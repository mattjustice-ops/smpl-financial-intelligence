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40" yWindow="1860" windowWidth="28800" windowHeight="18000" tabRatio="600" firstSheet="0" activeTab="0" autoFilterDateGrouping="1"/>
  </bookViews>
  <sheets>
    <sheet xmlns:r="http://schemas.openxmlformats.org/officeDocument/2006/relationships" name="NOTES" sheetId="1" state="visible" r:id="rId1"/>
    <sheet xmlns:r="http://schemas.openxmlformats.org/officeDocument/2006/relationships" name="Marketplace 2021" sheetId="2" state="visible" r:id="rId2"/>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b val="1"/>
      <color theme="1"/>
      <sz val="14"/>
      <scheme val="minor"/>
    </font>
    <font>
      <name val="Calibri"/>
      <family val="2"/>
      <b val="1"/>
      <color theme="1"/>
      <sz val="11"/>
      <scheme val="minor"/>
    </font>
    <font>
      <name val="Calibri"/>
      <family val="2"/>
      <color theme="10"/>
      <sz val="11"/>
      <u val="single"/>
      <scheme val="minor"/>
    </font>
    <font>
      <name val="Calibri"/>
      <family val="2"/>
      <b val="1"/>
      <color theme="1"/>
      <sz val="12"/>
      <u val="single"/>
      <scheme val="minor"/>
    </font>
    <font>
      <name val="Calibri"/>
      <family val="2"/>
      <sz val="11"/>
      <scheme val="minor"/>
    </font>
    <font>
      <name val="Calibri"/>
      <family val="2"/>
      <b val="1"/>
      <sz val="11"/>
      <scheme val="minor"/>
    </font>
    <font>
      <name val="Calibri"/>
      <family val="2"/>
      <color theme="1"/>
      <sz val="11"/>
      <scheme val="minor"/>
    </font>
    <font>
      <b val="1"/>
      <sz val="14"/>
    </font>
    <font>
      <i val="1"/>
      <color rgb="00C00000"/>
    </font>
    <font>
      <b val="1"/>
    </font>
    <font>
      <b val="1"/>
      <color rgb="00C00000"/>
    </font>
  </fonts>
  <fills count="12">
    <fill>
      <patternFill/>
    </fill>
    <fill>
      <patternFill patternType="gray125"/>
    </fill>
    <fill>
      <patternFill patternType="solid">
        <fgColor rgb="FF92D050"/>
        <bgColor indexed="64"/>
      </patternFill>
    </fill>
    <fill>
      <patternFill patternType="solid">
        <fgColor theme="5"/>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00D9E2F3"/>
      </patternFill>
    </fill>
    <fill>
      <patternFill patternType="solid">
        <fgColor rgb="00C6EFCE"/>
      </patternFill>
    </fill>
    <fill>
      <patternFill patternType="solid">
        <fgColor rgb="00FFC7CE"/>
      </patternFill>
    </fill>
    <fill>
      <patternFill patternType="solid">
        <fgColor rgb="00FFEB9C"/>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3">
    <xf numFmtId="0" fontId="2" fillId="0" borderId="0"/>
    <xf numFmtId="0" fontId="6" fillId="0" borderId="0"/>
    <xf numFmtId="0" fontId="10" fillId="0" borderId="0"/>
  </cellStyleXfs>
  <cellXfs count="83">
    <xf numFmtId="0" fontId="0" fillId="0" borderId="0" pivotButton="0" quotePrefix="0" xfId="0"/>
    <xf numFmtId="0" fontId="0" fillId="0" borderId="0" pivotButton="0" quotePrefix="0" xfId="0"/>
    <xf numFmtId="0" fontId="5" fillId="2" borderId="2" applyAlignment="1" pivotButton="0" quotePrefix="0" xfId="0">
      <alignment vertical="center" wrapText="1"/>
    </xf>
    <xf numFmtId="0" fontId="0" fillId="0" borderId="2" applyAlignment="1" pivotButton="0" quotePrefix="0" xfId="0">
      <alignment vertical="center" wrapText="1"/>
    </xf>
    <xf numFmtId="0" fontId="0" fillId="0" borderId="2" applyAlignment="1" applyProtection="1" pivotButton="0" quotePrefix="0" xfId="0">
      <alignment vertical="center" wrapText="1"/>
      <protection locked="0" hidden="0"/>
    </xf>
    <xf numFmtId="0" fontId="0" fillId="5" borderId="2" applyAlignment="1" pivotButton="0" quotePrefix="0" xfId="0">
      <alignment vertical="center" wrapText="1"/>
    </xf>
    <xf numFmtId="0" fontId="0" fillId="4" borderId="2" applyAlignment="1" pivotButton="0" quotePrefix="0" xfId="0">
      <alignment vertical="center" wrapText="1"/>
    </xf>
    <xf numFmtId="0" fontId="10" fillId="0" borderId="0" applyAlignment="1" pivotButton="0" quotePrefix="0" xfId="2">
      <alignment horizontal="left" vertical="center"/>
    </xf>
    <xf numFmtId="0" fontId="10" fillId="0" borderId="2" applyAlignment="1" applyProtection="1" pivotButton="0" quotePrefix="0" xfId="2">
      <alignment horizontal="left" vertical="center" wrapText="1"/>
      <protection locked="0" hidden="0"/>
    </xf>
    <xf numFmtId="0" fontId="10" fillId="0" borderId="2" applyAlignment="1" pivotButton="0" quotePrefix="0" xfId="2">
      <alignment horizontal="left" vertical="center" wrapText="1"/>
    </xf>
    <xf numFmtId="0" fontId="5" fillId="2" borderId="2" applyAlignment="1" pivotButton="0" quotePrefix="0" xfId="2">
      <alignment horizontal="center" vertical="center"/>
    </xf>
    <xf numFmtId="0" fontId="5" fillId="2" borderId="2" applyAlignment="1" pivotButton="0" quotePrefix="0" xfId="2">
      <alignment horizontal="center" vertical="center" wrapText="1"/>
    </xf>
    <xf numFmtId="0" fontId="5" fillId="0" borderId="2" applyAlignment="1" pivotButton="0" quotePrefix="0" xfId="2">
      <alignment horizontal="center" vertical="center" wrapText="1"/>
    </xf>
    <xf numFmtId="0" fontId="0" fillId="0" borderId="2" applyAlignment="1" applyProtection="1" pivotButton="0" quotePrefix="0" xfId="0">
      <alignment vertical="center" wrapText="1"/>
      <protection locked="0" hidden="0"/>
    </xf>
    <xf numFmtId="0" fontId="1" fillId="0" borderId="2" applyAlignment="1" applyProtection="1" pivotButton="0" quotePrefix="0" xfId="2">
      <alignment horizontal="left" vertical="center" wrapText="1"/>
      <protection locked="0" hidden="0"/>
    </xf>
    <xf numFmtId="0" fontId="5" fillId="3" borderId="2" applyAlignment="1" applyProtection="1" pivotButton="0" quotePrefix="0" xfId="0">
      <alignment horizontal="center" vertical="center" wrapText="1"/>
      <protection locked="1" hidden="1"/>
    </xf>
    <xf numFmtId="0" fontId="5" fillId="3" borderId="0" applyAlignment="1" applyProtection="1" pivotButton="0" quotePrefix="0" xfId="0">
      <alignment horizontal="center" vertical="center" wrapText="1"/>
      <protection locked="1" hidden="1"/>
    </xf>
    <xf numFmtId="0" fontId="0" fillId="6" borderId="2" applyAlignment="1" applyProtection="1" pivotButton="0" quotePrefix="0" xfId="0">
      <alignment horizontal="center" vertical="center" wrapText="1"/>
      <protection locked="1" hidden="1"/>
    </xf>
    <xf numFmtId="0" fontId="0" fillId="7" borderId="0" applyAlignment="1" applyProtection="1" pivotButton="0" quotePrefix="0" xfId="0">
      <alignment horizontal="center" vertical="center" wrapText="1"/>
      <protection locked="1" hidden="1"/>
    </xf>
    <xf numFmtId="0" fontId="0" fillId="7" borderId="0" applyAlignment="1" applyProtection="1" pivotButton="0" quotePrefix="0" xfId="0">
      <alignment horizontal="left" vertical="center"/>
      <protection locked="1" hidden="1"/>
    </xf>
    <xf numFmtId="0" fontId="8" fillId="5" borderId="2" applyAlignment="1" applyProtection="1" pivotButton="0" quotePrefix="0" xfId="0">
      <alignment horizontal="center" vertical="center" wrapText="1"/>
      <protection locked="1" hidden="1"/>
    </xf>
    <xf numFmtId="0" fontId="0" fillId="0" borderId="0" applyAlignment="1" applyProtection="1" pivotButton="0" quotePrefix="0" xfId="0">
      <alignment horizontal="center" vertical="center" wrapText="1"/>
      <protection locked="1" hidden="1"/>
    </xf>
    <xf numFmtId="0" fontId="0" fillId="0" borderId="0" applyAlignment="1" applyProtection="1" pivotButton="0" quotePrefix="0" xfId="0">
      <alignment horizontal="center" vertical="center"/>
      <protection locked="1" hidden="1"/>
    </xf>
    <xf numFmtId="0" fontId="0" fillId="0" borderId="2" applyAlignment="1" applyProtection="1" pivotButton="0" quotePrefix="0" xfId="0">
      <alignment horizontal="center" vertical="center" wrapText="1"/>
      <protection locked="1" hidden="1"/>
    </xf>
    <xf numFmtId="0" fontId="0" fillId="0" borderId="2" applyAlignment="1" applyProtection="1" pivotButton="0" quotePrefix="0" xfId="0">
      <alignment horizontal="center" vertical="center"/>
      <protection locked="1" hidden="1"/>
    </xf>
    <xf numFmtId="0" fontId="1" fillId="0" borderId="2" applyAlignment="1" applyProtection="1" pivotButton="0" quotePrefix="0" xfId="2">
      <alignment horizontal="left" vertical="center" wrapText="1"/>
      <protection locked="0" hidden="0"/>
    </xf>
    <xf numFmtId="0" fontId="10" fillId="0" borderId="2" applyAlignment="1" applyProtection="1" pivotButton="0" quotePrefix="0" xfId="2">
      <alignment horizontal="left" vertical="center" wrapText="1"/>
      <protection locked="0" hidden="0"/>
    </xf>
    <xf numFmtId="0" fontId="5" fillId="3" borderId="1" applyAlignment="1" applyProtection="1" pivotButton="0" quotePrefix="0" xfId="0">
      <alignment horizontal="center" vertical="center" wrapText="1"/>
      <protection locked="1" hidden="1"/>
    </xf>
    <xf numFmtId="0" fontId="0" fillId="6" borderId="1" applyAlignment="1" applyProtection="1" pivotButton="0" quotePrefix="0" xfId="0">
      <alignment horizontal="center" vertical="center" wrapText="1"/>
      <protection locked="1" hidden="1"/>
    </xf>
    <xf numFmtId="0" fontId="8" fillId="5" borderId="1" applyAlignment="1" applyProtection="1" pivotButton="0" quotePrefix="0" xfId="0">
      <alignment horizontal="center" vertical="center" wrapText="1"/>
      <protection locked="1" hidden="1"/>
    </xf>
    <xf numFmtId="0" fontId="5" fillId="2" borderId="2" applyAlignment="1" pivotButton="0" quotePrefix="0" xfId="0">
      <alignment vertical="center"/>
    </xf>
    <xf numFmtId="0" fontId="10" fillId="5" borderId="2" applyAlignment="1" pivotButton="0" quotePrefix="0" xfId="2">
      <alignment horizontal="left" vertical="center" wrapText="1"/>
    </xf>
    <xf numFmtId="0" fontId="8" fillId="5" borderId="2" applyAlignment="1" applyProtection="1" pivotButton="0" quotePrefix="0" xfId="2">
      <alignment horizontal="center" vertical="center" wrapText="1"/>
      <protection locked="0" hidden="0"/>
    </xf>
    <xf numFmtId="0" fontId="9" fillId="5" borderId="2" applyAlignment="1" applyProtection="1" pivotButton="0" quotePrefix="0" xfId="2">
      <alignment horizontal="center" vertical="center" wrapText="1"/>
      <protection locked="0" hidden="0"/>
    </xf>
    <xf numFmtId="0" fontId="0" fillId="0" borderId="2" applyAlignment="1" pivotButton="0" quotePrefix="0" xfId="0">
      <alignment vertical="top" wrapText="1"/>
    </xf>
    <xf numFmtId="0" fontId="0" fillId="0" borderId="2" applyAlignment="1" applyProtection="1" pivotButton="0" quotePrefix="0" xfId="0">
      <alignment vertical="center" wrapText="1"/>
      <protection locked="0" hidden="0"/>
    </xf>
    <xf numFmtId="0" fontId="0" fillId="4" borderId="2" applyAlignment="1" applyProtection="1" pivotButton="0" quotePrefix="0" xfId="0">
      <alignment vertical="center" wrapText="1"/>
      <protection locked="0" hidden="0"/>
    </xf>
    <xf numFmtId="0" fontId="0" fillId="0" borderId="3" applyAlignment="1" applyProtection="1" pivotButton="0" quotePrefix="0" xfId="0">
      <alignment vertical="center" wrapText="1"/>
      <protection locked="0" hidden="0"/>
    </xf>
    <xf numFmtId="0" fontId="0" fillId="0" borderId="0" pivotButton="0" quotePrefix="0" xfId="0"/>
    <xf numFmtId="0" fontId="0" fillId="0" borderId="5" applyAlignment="1" applyProtection="1" pivotButton="0" quotePrefix="0" xfId="0">
      <alignment vertical="center" wrapText="1"/>
      <protection locked="0" hidden="0"/>
    </xf>
    <xf numFmtId="0" fontId="0" fillId="0" borderId="5" applyAlignment="1" applyProtection="1" pivotButton="0" quotePrefix="0" xfId="0">
      <alignment vertical="center" wrapText="1"/>
      <protection locked="0" hidden="0"/>
    </xf>
    <xf numFmtId="0" fontId="0" fillId="4" borderId="5" applyAlignment="1" applyProtection="1" pivotButton="0" quotePrefix="0" xfId="0">
      <alignment vertical="center" wrapText="1"/>
      <protection locked="0" hidden="0"/>
    </xf>
    <xf numFmtId="0" fontId="8" fillId="5" borderId="3" applyAlignment="1" applyProtection="1" pivotButton="0" quotePrefix="0" xfId="0">
      <alignment horizontal="center" vertical="center" wrapText="1"/>
      <protection locked="1" hidden="1"/>
    </xf>
    <xf numFmtId="0" fontId="8" fillId="5" borderId="5" applyAlignment="1" applyProtection="1" pivotButton="0" quotePrefix="0" xfId="0">
      <alignment horizontal="center" vertical="center" wrapText="1"/>
      <protection locked="1" hidden="1"/>
    </xf>
    <xf numFmtId="0" fontId="0" fillId="6" borderId="4" applyAlignment="1" applyProtection="1" pivotButton="0" quotePrefix="0" xfId="0">
      <alignment horizontal="center" vertical="center" wrapText="1"/>
      <protection locked="1" hidden="1"/>
    </xf>
    <xf numFmtId="0" fontId="0" fillId="6" borderId="6" applyAlignment="1" applyProtection="1" pivotButton="0" quotePrefix="0" xfId="0">
      <alignment horizontal="center" vertical="center" wrapText="1"/>
      <protection locked="1" hidden="1"/>
    </xf>
    <xf numFmtId="0" fontId="8" fillId="5" borderId="2" applyAlignment="1" applyProtection="1" pivotButton="0" quotePrefix="0" xfId="2">
      <alignment horizontal="center" vertical="center" wrapText="1"/>
      <protection locked="0" hidden="0"/>
    </xf>
    <xf numFmtId="0" fontId="9" fillId="5" borderId="2" applyAlignment="1" applyProtection="1" pivotButton="0" quotePrefix="0" xfId="0">
      <alignment vertical="center" wrapText="1"/>
      <protection locked="0" hidden="0"/>
    </xf>
    <xf numFmtId="0" fontId="0" fillId="5" borderId="2" applyAlignment="1" applyProtection="1" pivotButton="0" quotePrefix="0" xfId="0">
      <alignment vertical="center" wrapText="1"/>
      <protection locked="0" hidden="0"/>
    </xf>
    <xf numFmtId="0" fontId="5" fillId="3" borderId="2" applyAlignment="1" pivotButton="0" quotePrefix="0" xfId="2">
      <alignment horizontal="center" vertical="center" wrapText="1"/>
    </xf>
    <xf numFmtId="0" fontId="8" fillId="5" borderId="2" applyAlignment="1" applyProtection="1" pivotButton="0" quotePrefix="0" xfId="0">
      <alignment vertical="center" wrapText="1"/>
      <protection locked="0" hidden="0"/>
    </xf>
    <xf numFmtId="0" fontId="0" fillId="4" borderId="2" applyAlignment="1" applyProtection="1" pivotButton="0" quotePrefix="0" xfId="0">
      <alignment vertical="center" wrapText="1"/>
      <protection locked="0" hidden="0"/>
    </xf>
    <xf numFmtId="0" fontId="2" fillId="0" borderId="6" applyAlignment="1" pivotButton="0" quotePrefix="0" xfId="0">
      <alignment vertical="center" wrapText="1"/>
    </xf>
    <xf numFmtId="0" fontId="5" fillId="3" borderId="2" applyAlignment="1" pivotButton="0" quotePrefix="0" xfId="0">
      <alignment vertical="center" wrapText="1"/>
    </xf>
    <xf numFmtId="0" fontId="0" fillId="5" borderId="2" applyAlignment="1" pivotButton="0" quotePrefix="0" xfId="0">
      <alignment horizontal="center" vertical="center" wrapText="1"/>
    </xf>
    <xf numFmtId="14" fontId="0" fillId="0" borderId="2" applyAlignment="1" applyProtection="1" pivotButton="0" quotePrefix="0" xfId="0">
      <alignment vertical="center" wrapText="1"/>
      <protection locked="0" hidden="0"/>
    </xf>
    <xf numFmtId="0" fontId="0" fillId="0" borderId="2" applyAlignment="1" applyProtection="1" pivotButton="0" quotePrefix="0" xfId="0">
      <alignment vertical="center" wrapText="1"/>
      <protection locked="0" hidden="0"/>
    </xf>
    <xf numFmtId="0" fontId="5" fillId="2" borderId="2" applyAlignment="1" pivotButton="0" quotePrefix="0" xfId="0">
      <alignment vertical="center" wrapText="1"/>
    </xf>
    <xf numFmtId="0" fontId="6" fillId="0" borderId="2" applyAlignment="1" applyProtection="1" pivotButton="0" quotePrefix="0" xfId="1">
      <alignment vertical="center" wrapText="1"/>
      <protection locked="0" hidden="0"/>
    </xf>
    <xf numFmtId="0" fontId="4" fillId="0" borderId="2" applyAlignment="1" pivotButton="0" quotePrefix="0" xfId="0">
      <alignment vertical="center" wrapText="1"/>
    </xf>
    <xf numFmtId="0" fontId="11" fillId="0" borderId="0" pivotButton="0" quotePrefix="0" xfId="0"/>
    <xf numFmtId="0" fontId="12" fillId="0" borderId="0" pivotButton="0" quotePrefix="0" xfId="0"/>
    <xf numFmtId="0" fontId="13"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13" fillId="0" borderId="0" pivotButton="0" quotePrefix="0" xfId="0"/>
    <xf numFmtId="0" fontId="14" fillId="0" borderId="0" pivotButton="0" quotePrefix="0" xfId="0"/>
    <xf numFmtId="0" fontId="0" fillId="0" borderId="8" pivotButton="0" quotePrefix="0" xfId="0"/>
    <xf numFmtId="0" fontId="0" fillId="0" borderId="1" pivotButton="0" quotePrefix="0" xfId="0"/>
    <xf numFmtId="0" fontId="0" fillId="0" borderId="2" applyAlignment="1" applyProtection="1" pivotButton="0" quotePrefix="0" xfId="0">
      <alignment vertical="top" wrapText="1"/>
      <protection locked="0" hidden="0"/>
    </xf>
    <xf numFmtId="0" fontId="0" fillId="0" borderId="1" applyProtection="1" pivotButton="0" quotePrefix="0" xfId="0">
      <protection locked="0" hidden="0"/>
    </xf>
    <xf numFmtId="0" fontId="6" fillId="0" borderId="2" applyAlignment="1" applyProtection="1" pivotButton="0" quotePrefix="0" xfId="1">
      <alignment vertical="top" wrapText="1"/>
      <protection locked="0" hidden="0"/>
    </xf>
    <xf numFmtId="14" fontId="0" fillId="0" borderId="2" applyAlignment="1" applyProtection="1" pivotButton="0" quotePrefix="0" xfId="0">
      <alignment vertical="top" wrapText="1"/>
      <protection locked="0" hidden="0"/>
    </xf>
    <xf numFmtId="0" fontId="0" fillId="0" borderId="3" applyAlignment="1" applyProtection="1" pivotButton="0" quotePrefix="0" xfId="0">
      <alignment vertical="top" wrapText="1"/>
      <protection locked="0" hidden="0"/>
    </xf>
    <xf numFmtId="0" fontId="0" fillId="0" borderId="5" applyAlignment="1" applyProtection="1" pivotButton="0" quotePrefix="0" xfId="0">
      <alignment vertical="top" wrapText="1"/>
      <protection locked="0" hidden="0"/>
    </xf>
    <xf numFmtId="0" fontId="0" fillId="0" borderId="7" pivotButton="0" quotePrefix="0" xfId="0"/>
    <xf numFmtId="0" fontId="0" fillId="0" borderId="3" pivotButton="0" quotePrefix="0" xfId="0"/>
    <xf numFmtId="0" fontId="0" fillId="0" borderId="12" pivotButton="0" quotePrefix="0" xfId="0"/>
    <xf numFmtId="0" fontId="0" fillId="0" borderId="10" pivotButton="0" quotePrefix="0" xfId="0"/>
    <xf numFmtId="0" fontId="0" fillId="0" borderId="4" pivotButton="0" quotePrefix="0" xfId="0"/>
    <xf numFmtId="0" fontId="1" fillId="0" borderId="2" applyAlignment="1" applyProtection="1" pivotButton="0" quotePrefix="0" xfId="2">
      <alignment vertical="top" wrapText="1"/>
      <protection locked="0" hidden="0"/>
    </xf>
    <xf numFmtId="0" fontId="10" fillId="0" borderId="2" applyAlignment="1" applyProtection="1" pivotButton="0" quotePrefix="0" xfId="2">
      <alignment vertical="top" wrapText="1"/>
      <protection locked="0" hidden="0"/>
    </xf>
  </cellXfs>
  <cellStyles count="3">
    <cellStyle name="Normal" xfId="0" builtinId="0"/>
    <cellStyle name="Hyperlink" xfId="1" builtinId="8"/>
    <cellStyle name="Normal 2" xfId="2"/>
  </cellStyles>
  <dxfs count="1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200025</colOff>
      <row>0</row>
      <rowOff>54312</rowOff>
    </from>
    <to>
      <col>0</col>
      <colOff>1620807</colOff>
      <row>0</row>
      <rowOff>495300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0025" y="54312"/>
          <a:ext cx="1420782" cy="44098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8" customWidth="1" style="38" min="1" max="1"/>
    <col width="36" customWidth="1" style="38" min="2" max="2"/>
    <col width="18" customWidth="1" style="38" min="3" max="3"/>
    <col width="70" customWidth="1" style="38" min="4" max="4"/>
    <col width="14" customWidth="1" style="38" min="5" max="5"/>
    <col width="55" customWidth="1" style="38" min="6" max="6"/>
  </cols>
  <sheetData>
    <row r="1">
      <c r="A1" s="60" t="inlineStr">
        <is>
          <t>SMPL DRAFT — Sage Intacct Marketplace Partner Security Questionnaire II 2021</t>
        </is>
      </c>
    </row>
    <row r="2">
      <c r="A2" s="61" t="inlineStr">
        <is>
          <t>Status: DRAFT for Matt review. Prefer under-claim. NOT SOC 2 certified. Do not send until Matt confirms flagged items.</t>
        </is>
      </c>
    </row>
    <row r="3">
      <c r="A3" t="inlineStr">
        <is>
          <t>Draft prepared: 2026-08-04 | Sources: docs/soc2/ (PROGRESS, SECURITY_ONE_PAGER, policies, subprocessors, evidence)</t>
        </is>
      </c>
    </row>
    <row r="4">
      <c r="A4" t="inlineStr">
        <is>
          <t>Company: SMPL / SMPL.ai (smpl-ai.com) | Completer: Matt Justice | Product: SaaS FP&amp;A / financial intelligence (read/reconcile; no GL write-back)</t>
        </is>
      </c>
    </row>
    <row r="6">
      <c r="A6" s="62" t="inlineStr">
        <is>
          <t>Row</t>
        </is>
      </c>
      <c r="B6" s="62" t="inlineStr">
        <is>
          <t>Question (short)</t>
        </is>
      </c>
      <c r="C6" s="62" t="inlineStr">
        <is>
          <t>Response</t>
        </is>
      </c>
      <c r="D6" s="62" t="inlineStr">
        <is>
          <t>Additional (summary)</t>
        </is>
      </c>
      <c r="E6" s="62" t="inlineStr">
        <is>
          <t>Status</t>
        </is>
      </c>
      <c r="F6" s="62" t="inlineStr">
        <is>
          <t>Note / confirmation needed</t>
        </is>
      </c>
    </row>
    <row r="7">
      <c r="A7" t="n">
        <v>3</v>
      </c>
      <c r="B7" t="inlineStr">
        <is>
          <t>Company name</t>
        </is>
      </c>
      <c r="C7" t="inlineStr">
        <is>
          <t>SMPL (SMPL.ai / smpl-ai.com)</t>
        </is>
      </c>
      <c r="D7" t="inlineStr"/>
      <c r="E7" s="63" t="inlineStr">
        <is>
          <t>answered</t>
        </is>
      </c>
      <c r="F7" t="inlineStr">
        <is>
          <t>Legal entity name TBD if different from brand</t>
        </is>
      </c>
    </row>
    <row r="8">
      <c r="A8" t="n">
        <v>4</v>
      </c>
      <c r="B8" t="inlineStr">
        <is>
          <t>Completer name</t>
        </is>
      </c>
      <c r="C8" t="inlineStr">
        <is>
          <t>Matt Justice</t>
        </is>
      </c>
      <c r="D8" t="inlineStr"/>
      <c r="E8" s="63" t="inlineStr">
        <is>
          <t>answered</t>
        </is>
      </c>
      <c r="F8" t="inlineStr"/>
    </row>
    <row r="9">
      <c r="A9" t="n">
        <v>5</v>
      </c>
      <c r="B9" t="inlineStr">
        <is>
          <t>Job title</t>
        </is>
      </c>
      <c r="C9" t="inlineStr">
        <is>
          <t>Founder; Executive Sponsor &amp; Security Owner</t>
        </is>
      </c>
      <c r="D9" t="inlineStr"/>
      <c r="E9" s="63" t="inlineStr">
        <is>
          <t>answered</t>
        </is>
      </c>
      <c r="F9" t="inlineStr"/>
    </row>
    <row r="10">
      <c r="A10" t="n">
        <v>6</v>
      </c>
      <c r="B10" t="inlineStr">
        <is>
          <t>Email</t>
        </is>
      </c>
      <c r="C10" t="inlineStr">
        <is>
          <t>mattjustice@smpl-ai.com</t>
        </is>
      </c>
      <c r="D10" t="inlineStr"/>
      <c r="E10" s="63" t="inlineStr">
        <is>
          <t>answered</t>
        </is>
      </c>
      <c r="F10" t="inlineStr"/>
    </row>
    <row r="11">
      <c r="A11" t="n">
        <v>7</v>
      </c>
      <c r="B11" t="inlineStr">
        <is>
          <t>Telephone</t>
        </is>
      </c>
      <c r="C11" t="inlineStr">
        <is>
          <t>To be confirmed</t>
        </is>
      </c>
      <c r="D11" t="inlineStr"/>
      <c r="E11" s="64" t="inlineStr">
        <is>
          <t>needs_matt</t>
        </is>
      </c>
      <c r="F11" t="inlineStr">
        <is>
          <t>Telephone not in soc2 docs</t>
        </is>
      </c>
    </row>
    <row r="12">
      <c r="A12" t="n">
        <v>8</v>
      </c>
      <c r="B12" t="inlineStr">
        <is>
          <t>Date of response</t>
        </is>
      </c>
      <c r="C12" t="inlineStr">
        <is>
          <t>2026-08-04</t>
        </is>
      </c>
      <c r="D12" t="inlineStr"/>
      <c r="E12" s="63" t="inlineStr">
        <is>
          <t>answered</t>
        </is>
      </c>
      <c r="F12" t="inlineStr">
        <is>
          <t>Draft date; update on final send</t>
        </is>
      </c>
    </row>
    <row r="13">
      <c r="A13" t="n">
        <v>10</v>
      </c>
      <c r="B13" t="inlineStr">
        <is>
          <t>App description</t>
        </is>
      </c>
      <c r="C13" t="inlineStr">
        <is>
          <t>SMPL.ai is a B2B SaaS financial intelligence / FP&amp;A platform. It helps finance teams read and reconcile finance data (ARR, close, board export). SMPL does not write back to the customer GL or ERP. Marketplace use with Sage Intacct is for read/reconcile integration flows.</t>
        </is>
      </c>
      <c r="D13" t="inlineStr"/>
      <c r="E13" s="63" t="inlineStr">
        <is>
          <t>answered</t>
        </is>
      </c>
      <c r="F13" t="inlineStr"/>
    </row>
    <row r="14">
      <c r="A14" t="n">
        <v>12</v>
      </c>
      <c r="B14" t="inlineStr">
        <is>
          <t>CC/SSN/Account numbers</t>
        </is>
      </c>
      <c r="C14" t="inlineStr">
        <is>
          <t>No</t>
        </is>
      </c>
      <c r="D14" t="inlineStr">
        <is>
          <t>Does not store full payment card numbers (SMPL billing via Stripe) or SSNs. May store business financial data for FP&amp;A (e.g., GL-derived facts, GL account codes, metrics). No ba...</t>
        </is>
      </c>
      <c r="E14" s="63" t="inlineStr">
        <is>
          <t>answered</t>
        </is>
      </c>
      <c r="F14" t="inlineStr">
        <is>
          <t>If Sage treats GL account codes as Account Numbers, Matt may prefer Yes + same explanation</t>
        </is>
      </c>
    </row>
    <row r="15">
      <c r="A15" t="n">
        <v>13</v>
      </c>
      <c r="B15" t="inlineStr">
        <is>
          <t>Storing data?</t>
        </is>
      </c>
      <c r="C15" t="inlineStr">
        <is>
          <t>Yes</t>
        </is>
      </c>
      <c r="D15" t="inlineStr">
        <is>
          <t>Auth identifiers (email, session, org membership); multi-tenant financial warehouse facts (GL-derived, ARR, pipeline, headcount, etc.); export artifacts (Excel close packs, boar...</t>
        </is>
      </c>
      <c r="E15" s="63" t="inlineStr">
        <is>
          <t>answered</t>
        </is>
      </c>
      <c r="F15" t="inlineStr"/>
    </row>
    <row r="16">
      <c r="A16" t="n">
        <v>14</v>
      </c>
      <c r="B16" t="inlineStr">
        <is>
          <t>Data in transit?</t>
        </is>
      </c>
      <c r="C16" t="inlineStr">
        <is>
          <t>Yes</t>
        </is>
      </c>
      <c r="D16" t="inlineStr">
        <is>
          <t>Customer and auth-related data transit over TLS to/from the web app (Vercel), API (Railway), datastore (Neon), transactional email (Resend), LLM API (Anthropic), and billing (St...</t>
        </is>
      </c>
      <c r="E16" s="63" t="inlineStr">
        <is>
          <t>answered</t>
        </is>
      </c>
      <c r="F16" t="inlineStr"/>
    </row>
    <row r="17">
      <c r="A17" t="n">
        <v>19</v>
      </c>
      <c r="B17" t="inlineStr">
        <is>
          <t>Written infoSec policies</t>
        </is>
      </c>
      <c r="C17" t="inlineStr">
        <is>
          <t>Yes</t>
        </is>
      </c>
      <c r="D17" t="inlineStr">
        <is>
          <t>Core information security policies approved internally (P01-P12; P15 AI/LLM). Approved policies are not SOC 2 certification. SMPL is pursuing SOC 2 Type I readiness (Security + ...</t>
        </is>
      </c>
      <c r="E17" s="63" t="inlineStr">
        <is>
          <t>answered</t>
        </is>
      </c>
      <c r="F17" t="inlineStr"/>
    </row>
    <row r="18">
      <c r="A18" t="n">
        <v>20</v>
      </c>
      <c r="B18" t="inlineStr">
        <is>
          <t>Dedicated security person</t>
        </is>
      </c>
      <c r="C18" t="inlineStr">
        <is>
          <t>Yes</t>
        </is>
      </c>
      <c r="D18" t="inlineStr">
        <is>
          <t>Matt Justice — Founder; Executive Sponsor &amp; Security Owner (solo-founder org; same person currently holds security / eng / ops roles).</t>
        </is>
      </c>
      <c r="E18" s="63" t="inlineStr">
        <is>
          <t>answered</t>
        </is>
      </c>
      <c r="F18" t="inlineStr"/>
    </row>
    <row r="19">
      <c r="A19" t="n">
        <v>21</v>
      </c>
      <c r="B19" t="inlineStr">
        <is>
          <t>Major breach?</t>
        </is>
      </c>
      <c r="C19" t="inlineStr">
        <is>
          <t>No</t>
        </is>
      </c>
      <c r="D19" t="inlineStr">
        <is>
          <t>No major security breach documented / known to date. To be confirmed by Matt if any historical incident should be disclosed.</t>
        </is>
      </c>
      <c r="E19" s="64" t="inlineStr">
        <is>
          <t>needs_matt</t>
        </is>
      </c>
      <c r="F19" t="inlineStr">
        <is>
          <t>Confirm no historical breach to disclose</t>
        </is>
      </c>
    </row>
    <row r="20">
      <c r="A20" t="n">
        <v>22</v>
      </c>
      <c r="B20" t="inlineStr">
        <is>
          <t>Cyber insurance</t>
        </is>
      </c>
      <c r="C20" t="inlineStr">
        <is>
          <t>No</t>
        </is>
      </c>
      <c r="D20" t="inlineStr">
        <is>
          <t>No cyber insurance policy documented in current readiness materials. To be confirmed by Matt (do not invent coverage amounts).</t>
        </is>
      </c>
      <c r="E20" s="64" t="inlineStr">
        <is>
          <t>needs_matt</t>
        </is>
      </c>
      <c r="F20" t="inlineStr">
        <is>
          <t>Confirm whether cyber insurance exists</t>
        </is>
      </c>
    </row>
    <row r="21">
      <c r="A21" t="n">
        <v>23</v>
      </c>
      <c r="B21" t="inlineStr">
        <is>
          <t>Change control</t>
        </is>
      </c>
      <c r="C21" t="inlineStr">
        <is>
          <t>Yes</t>
        </is>
      </c>
      <c r="D21" t="inlineStr">
        <is>
          <t>Formal change management / secure SDLC policy (P05): GitHub PRs, protected main, deploy to Vercel (FE) / Railway (API).</t>
        </is>
      </c>
      <c r="E21" s="63" t="inlineStr">
        <is>
          <t>answered</t>
        </is>
      </c>
      <c r="F21" t="inlineStr"/>
    </row>
    <row r="22">
      <c r="A22" t="n">
        <v>24</v>
      </c>
      <c r="B22" t="inlineStr">
        <is>
          <t>Incident management</t>
        </is>
      </c>
      <c r="C22" t="inlineStr">
        <is>
          <t>Yes</t>
        </is>
      </c>
      <c r="D22" t="inlineStr">
        <is>
          <t>Approved Incident Response Plan (P04). Tabletop exercised 2026-07-28 (readiness evidence; not SOC 2 certification).</t>
        </is>
      </c>
      <c r="E22" s="63" t="inlineStr">
        <is>
          <t>answered</t>
        </is>
      </c>
      <c r="F22" t="inlineStr"/>
    </row>
    <row r="23">
      <c r="A23" t="n">
        <v>25</v>
      </c>
      <c r="B23" t="inlineStr">
        <is>
          <t>Privacy policy</t>
        </is>
      </c>
      <c r="C23" t="inlineStr">
        <is>
          <t>No</t>
        </is>
      </c>
      <c r="D23" t="inlineStr">
        <is>
          <t>Customer-facing privacy policy / customer DPA not yet published as a shareable link. Confidentiality, retention/deletion, and data-handling policies are approved internally. Pri...</t>
        </is>
      </c>
      <c r="E23" s="63" t="inlineStr">
        <is>
          <t>answered</t>
        </is>
      </c>
      <c r="F23" t="inlineStr"/>
    </row>
    <row r="24">
      <c r="A24" t="n">
        <v>26</v>
      </c>
      <c r="B24" t="inlineStr">
        <is>
          <t>Privacy Shield</t>
        </is>
      </c>
      <c r="C24" t="inlineStr">
        <is>
          <t>No</t>
        </is>
      </c>
      <c r="D24" t="inlineStr">
        <is>
          <t>Not Privacy Shield certified. (Privacy Shield framework discontinued; not applicable.)</t>
        </is>
      </c>
      <c r="E24" s="63" t="inlineStr">
        <is>
          <t>answered</t>
        </is>
      </c>
      <c r="F24" t="inlineStr"/>
    </row>
    <row r="25">
      <c r="A25" t="n">
        <v>27</v>
      </c>
      <c r="B25" t="inlineStr">
        <is>
          <t>Incident response process</t>
        </is>
      </c>
      <c r="C25" t="inlineStr">
        <is>
          <t>Yes</t>
        </is>
      </c>
      <c r="D25" t="inlineStr">
        <is>
          <t>Incident Response Plan (P04) covers detection, containment, recovery, and customer notification when material; includes security/privacy-related incidents.</t>
        </is>
      </c>
      <c r="E25" s="63" t="inlineStr">
        <is>
          <t>answered</t>
        </is>
      </c>
      <c r="F25" t="inlineStr"/>
    </row>
    <row r="26">
      <c r="A26" t="n">
        <v>28</v>
      </c>
      <c r="B26" t="inlineStr">
        <is>
          <t>Security awareness program</t>
        </is>
      </c>
      <c r="C26" t="inlineStr">
        <is>
          <t>No</t>
        </is>
      </c>
      <c r="D26" t="inlineStr">
        <is>
          <t>Formal security awareness training program (planned policy P17) not yet established. Solo-founder posture; training program TBD.</t>
        </is>
      </c>
      <c r="E26" s="63" t="inlineStr">
        <is>
          <t>answered</t>
        </is>
      </c>
      <c r="F26" t="inlineStr"/>
    </row>
    <row r="27">
      <c r="A27" t="n">
        <v>29</v>
      </c>
      <c r="B27" t="inlineStr">
        <is>
          <t>Awareness training required</t>
        </is>
      </c>
      <c r="C27" t="inlineStr">
        <is>
          <t>No</t>
        </is>
      </c>
      <c r="D27" t="inlineStr">
        <is>
          <t>No formal recurring security awareness training requirement in place yet (P17 not started).</t>
        </is>
      </c>
      <c r="E27" s="63" t="inlineStr">
        <is>
          <t>answered</t>
        </is>
      </c>
      <c r="F27" t="inlineStr"/>
    </row>
    <row r="28">
      <c r="A28" t="n">
        <v>30</v>
      </c>
      <c r="B28" t="inlineStr">
        <is>
          <t>Compliance certs (SOC/ISO/PCI)</t>
        </is>
      </c>
      <c r="C28" t="inlineStr">
        <is>
          <t>No</t>
        </is>
      </c>
      <c r="D28" t="inlineStr">
        <is>
          <t>SMPL is NOT SOC 2 certified and has no CPA SOC 2 / ISO 27001 / PCI AoC / SSAE18 report for SMPL to provide. We are pursuing SOC 2 Type I readiness. Subprocessor (vendor) SOC 2 r...</t>
        </is>
      </c>
      <c r="E28" s="63" t="inlineStr">
        <is>
          <t>answered</t>
        </is>
      </c>
      <c r="F28" t="inlineStr"/>
    </row>
    <row r="29">
      <c r="A29" t="n">
        <v>31</v>
      </c>
      <c r="B29" t="inlineStr">
        <is>
          <t>Third-party audits (2y)</t>
        </is>
      </c>
      <c r="C29" t="inlineStr">
        <is>
          <t>No</t>
        </is>
      </c>
      <c r="D29" t="inlineStr">
        <is>
          <t>No third-party external audit report of SMPL systems within the past two years. Vendor SOC reports for certain subprocessors collected under NDA for readiness review only.</t>
        </is>
      </c>
      <c r="E29" s="63" t="inlineStr">
        <is>
          <t>answered</t>
        </is>
      </c>
      <c r="F29" t="inlineStr"/>
    </row>
    <row r="30">
      <c r="A30" t="n">
        <v>32</v>
      </c>
      <c r="B30" t="inlineStr">
        <is>
          <t>Physical/env controls</t>
        </is>
      </c>
      <c r="C30" t="inlineStr">
        <is>
          <t>Yes</t>
        </is>
      </c>
      <c r="D30" t="inlineStr">
        <is>
          <t>Production is cloud-hosted (Vercel, Railway, Neon). Physical / environmental controls are provided by those subprocessors; SMPL relies on provider controls and reviews vendor re...</t>
        </is>
      </c>
      <c r="E30" s="63" t="inlineStr">
        <is>
          <t>answered</t>
        </is>
      </c>
      <c r="F30" t="inlineStr"/>
    </row>
    <row r="31">
      <c r="A31" t="n">
        <v>33</v>
      </c>
      <c r="B31" t="inlineStr">
        <is>
          <t>Physical access restricted</t>
        </is>
      </c>
      <c r="C31" t="inlineStr">
        <is>
          <t>Yes</t>
        </is>
      </c>
      <c r="D31" t="inlineStr">
        <is>
          <t>Physical access to production servers/network equipment is restricted by cloud providers (Vercel / Railway / Neon). SMPL personnel do not have physical access to provider data c...</t>
        </is>
      </c>
      <c r="E31" s="63" t="inlineStr">
        <is>
          <t>answered</t>
        </is>
      </c>
      <c r="F31" t="inlineStr"/>
    </row>
    <row r="32">
      <c r="A32" t="n">
        <v>34</v>
      </c>
      <c r="B32" t="inlineStr">
        <is>
          <t>Background screening</t>
        </is>
      </c>
      <c r="C32" t="inlineStr">
        <is>
          <t>N/A</t>
        </is>
      </c>
      <c r="D32" t="inlineStr">
        <is>
          <t>Solo-founder company today (Matt Justice). No formal background-screening program for additional employees/contractors documented. To be confirmed / established before hiring pr...</t>
        </is>
      </c>
      <c r="E32" s="64" t="inlineStr">
        <is>
          <t>needs_matt</t>
        </is>
      </c>
      <c r="F32" t="inlineStr">
        <is>
          <t>Confirm if any background screening exists</t>
        </is>
      </c>
    </row>
    <row r="33">
      <c r="A33" t="n">
        <v>35</v>
      </c>
      <c r="B33" t="inlineStr">
        <is>
          <t>Secure destruction</t>
        </is>
      </c>
      <c r="C33" t="inlineStr">
        <is>
          <t>Yes</t>
        </is>
      </c>
      <c r="D33" t="inlineStr">
        <is>
          <t>Retention &amp; deletion policy (P08): customer offboarding / deletion requests; delete or anonymize Confidential warehouse + auth data within agreed window; backups expire per prov...</t>
        </is>
      </c>
      <c r="E33" s="63" t="inlineStr">
        <is>
          <t>answered</t>
        </is>
      </c>
      <c r="F33" t="inlineStr"/>
    </row>
    <row r="34">
      <c r="A34" t="n">
        <v>36</v>
      </c>
      <c r="B34" t="inlineStr">
        <is>
          <t>Encryption</t>
        </is>
      </c>
      <c r="C34" t="inlineStr">
        <is>
          <t>Yes</t>
        </is>
      </c>
      <c r="D34" t="inlineStr">
        <is>
          <t>In transit: TLS to application and API. At rest: customer data in managed Postgres (Neon) with provider encryption-at-rest defaults. Production secrets in host env/secret stores...</t>
        </is>
      </c>
      <c r="E34" s="63" t="inlineStr">
        <is>
          <t>answered</t>
        </is>
      </c>
      <c r="F34" t="inlineStr"/>
    </row>
    <row r="35">
      <c r="A35" t="n">
        <v>37</v>
      </c>
      <c r="B35" t="inlineStr">
        <is>
          <t>Backups</t>
        </is>
      </c>
      <c r="C35" t="inlineStr">
        <is>
          <t>Yes</t>
        </is>
      </c>
      <c r="D35" t="inlineStr">
        <is>
          <t>Primary datastore backups / PITR via Neon. Backup &amp; restore policy (P12). Restore fire-drill to throwaway branch completed 2026-07-27 (Pass; production connection strings unchan...</t>
        </is>
      </c>
      <c r="E35" s="63" t="inlineStr">
        <is>
          <t>answered</t>
        </is>
      </c>
      <c r="F35" t="inlineStr"/>
    </row>
    <row r="36">
      <c r="A36" t="n">
        <v>38</v>
      </c>
      <c r="B36" t="inlineStr">
        <is>
          <t>Security monitoring</t>
        </is>
      </c>
      <c r="C36" t="inlineStr">
        <is>
          <t>No</t>
        </is>
      </c>
      <c r="D36" t="inlineStr">
        <is>
          <t>Formal Logging &amp; Monitoring policy (P14) not yet published. Operational reliance on provider consoles/alerts and dependency/secret scanning (Dependabot, GitHub Secret Protection...</t>
        </is>
      </c>
      <c r="E36" s="63" t="inlineStr">
        <is>
          <t>answered</t>
        </is>
      </c>
      <c r="F36" t="inlineStr"/>
    </row>
    <row r="37">
      <c r="A37" t="n">
        <v>39</v>
      </c>
      <c r="B37" t="inlineStr">
        <is>
          <t>Annual vuln tests</t>
        </is>
      </c>
      <c r="C37" t="inlineStr">
        <is>
          <t>No</t>
        </is>
      </c>
      <c r="D37" t="inlineStr">
        <is>
          <t>No annual third-party penetration test or full internal/external vulnerability assessment program documented to date. Dependency vulnerability alerting via Dependabot is enabled...</t>
        </is>
      </c>
      <c r="E37" s="63" t="inlineStr">
        <is>
          <t>answered</t>
        </is>
      </c>
      <c r="F37" t="inlineStr"/>
    </row>
    <row r="38">
      <c r="A38" t="n">
        <v>40</v>
      </c>
      <c r="B38" t="inlineStr">
        <is>
          <t>Vuln management process</t>
        </is>
      </c>
      <c r="C38" t="inlineStr">
        <is>
          <t>Yes</t>
        </is>
      </c>
      <c r="D38" t="inlineStr">
        <is>
          <t>Dependency and secret scanning enabled on the application repository (Dependabot, GitHub Secret Protection / push protection — confirmed 2026-07-28). Documented risk assessment ...</t>
        </is>
      </c>
      <c r="E38" s="63" t="inlineStr">
        <is>
          <t>answered</t>
        </is>
      </c>
      <c r="F38" t="inlineStr"/>
    </row>
    <row r="39">
      <c r="A39" t="n">
        <v>41</v>
      </c>
      <c r="B39" t="inlineStr">
        <is>
          <t>BC/DR policy</t>
        </is>
      </c>
      <c r="C39" t="inlineStr">
        <is>
          <t>Yes</t>
        </is>
      </c>
      <c r="D39" t="inlineStr">
        <is>
          <t>Approved Business Continuity / Disaster Recovery policy (P11) and Backup &amp; Restore policy (P12), honest for managed-cloud solo-founder SaaS. Working RTO/RPO are internal targets...</t>
        </is>
      </c>
      <c r="E39" s="63" t="inlineStr">
        <is>
          <t>answered</t>
        </is>
      </c>
      <c r="F39" t="inlineStr"/>
    </row>
    <row r="40">
      <c r="A40" t="n">
        <v>42</v>
      </c>
      <c r="B40" t="inlineStr">
        <is>
          <t>Payment gateway</t>
        </is>
      </c>
      <c r="C40" t="inlineStr">
        <is>
          <t>Yes</t>
        </is>
      </c>
      <c r="D40" t="inlineStr">
        <is>
          <t>Stripe for SMPL subscription billing / checkout. Card data processed by Stripe; SMPL does not store full PANs. Not used as a customer payment gateway inside Sage Intacct.</t>
        </is>
      </c>
      <c r="E40" s="63" t="inlineStr">
        <is>
          <t>answered</t>
        </is>
      </c>
      <c r="F40" t="inlineStr"/>
    </row>
    <row r="41">
      <c r="A41" t="n">
        <v>43</v>
      </c>
      <c r="B41" t="inlineStr">
        <is>
          <t>SDLC</t>
        </is>
      </c>
      <c r="C41" t="inlineStr">
        <is>
          <t>Yes</t>
        </is>
      </c>
      <c r="D41" t="inlineStr">
        <is>
          <t>Secure SDLC / change management (P05): branch -&gt; PR -&gt; protected main -&gt; deploy (Vercel FE / Railway API).</t>
        </is>
      </c>
      <c r="E41" s="63" t="inlineStr">
        <is>
          <t>answered</t>
        </is>
      </c>
      <c r="F41" t="inlineStr"/>
    </row>
    <row r="42">
      <c r="A42" t="n">
        <v>44</v>
      </c>
      <c r="B42" t="inlineStr">
        <is>
          <t>Source control</t>
        </is>
      </c>
      <c r="C42" t="inlineStr">
        <is>
          <t>Yes</t>
        </is>
      </c>
      <c r="D42" t="inlineStr">
        <is>
          <t>GitHub for source control and CI.</t>
        </is>
      </c>
      <c r="E42" s="63" t="inlineStr">
        <is>
          <t>answered</t>
        </is>
      </c>
      <c r="F42" t="inlineStr"/>
    </row>
    <row r="43">
      <c r="A43" t="n">
        <v>45</v>
      </c>
      <c r="B43" t="inlineStr">
        <is>
          <t>App security reviews</t>
        </is>
      </c>
      <c r="C43" t="inlineStr">
        <is>
          <t>Yes</t>
        </is>
      </c>
      <c r="D43" t="inlineStr">
        <is>
          <t>PR-based code review; Dependabot / secret scanning; tenant-isolation readiness testing completed 2026-07-29 (Org A != Org B). Scope/frequency: continuous for dependency alerts; ...</t>
        </is>
      </c>
      <c r="E43" s="63" t="inlineStr">
        <is>
          <t>answered</t>
        </is>
      </c>
      <c r="F43" t="inlineStr"/>
    </row>
    <row r="44">
      <c r="A44" t="n">
        <v>46</v>
      </c>
      <c r="B44" t="inlineStr">
        <is>
          <t>AppSec training (OWASP)</t>
        </is>
      </c>
      <c r="C44" t="inlineStr">
        <is>
          <t>No</t>
        </is>
      </c>
      <c r="D44" t="inlineStr">
        <is>
          <t>No formal OWASP / application-security-specific training program required today (solo founder; P17 awareness training not started).</t>
        </is>
      </c>
      <c r="E44" s="63" t="inlineStr">
        <is>
          <t>answered</t>
        </is>
      </c>
      <c r="F44" t="inlineStr"/>
    </row>
    <row r="45">
      <c r="A45" t="n">
        <v>47</v>
      </c>
      <c r="B45" t="inlineStr">
        <is>
          <t>Mobile app</t>
        </is>
      </c>
      <c r="C45" t="inlineStr">
        <is>
          <t>No</t>
        </is>
      </c>
      <c r="D45" t="inlineStr">
        <is>
          <t>No native mobile application. Responsive web app only (www.smpl-ai.com).</t>
        </is>
      </c>
      <c r="E45" s="63" t="inlineStr">
        <is>
          <t>answered</t>
        </is>
      </c>
      <c r="F45" t="inlineStr"/>
    </row>
    <row r="46">
      <c r="A46" t="n">
        <v>48</v>
      </c>
      <c r="B46" t="inlineStr">
        <is>
          <t>Other cloud integrations</t>
        </is>
      </c>
      <c r="C46" t="inlineStr">
        <is>
          <t>Yes</t>
        </is>
      </c>
      <c r="D46" t="inlineStr">
        <is>
          <t>Product cloud integrations / subprocessors typically include: Vercel (web), Railway (API), Neon (Postgres, AWS us-east-1), Resend (email), Anthropic (LLM commentary API), Stripe...</t>
        </is>
      </c>
      <c r="E46" s="63" t="inlineStr">
        <is>
          <t>answered</t>
        </is>
      </c>
      <c r="F46" t="inlineStr"/>
    </row>
    <row r="47">
      <c r="A47" t="n">
        <v>49</v>
      </c>
      <c r="B47" t="inlineStr">
        <is>
          <t>Public cloud / shared services</t>
        </is>
      </c>
      <c r="C47" t="inlineStr">
        <is>
          <t>Yes</t>
        </is>
      </c>
      <c r="D47" t="inlineStr">
        <is>
          <t>Yes — public cloud / shared services: Vercel, Railway, Neon (managed Postgres on AWS), GitHub. Development and production use these platforms. Other vendor regions TBD except Ne...</t>
        </is>
      </c>
      <c r="E47" s="63" t="inlineStr">
        <is>
          <t>answered</t>
        </is>
      </c>
      <c r="F47" t="inlineStr"/>
    </row>
    <row r="48">
      <c r="A48" t="n">
        <v>51</v>
      </c>
      <c r="B48" t="inlineStr">
        <is>
          <t>Privacy policy + link</t>
        </is>
      </c>
      <c r="C48" t="inlineStr">
        <is>
          <t>No</t>
        </is>
      </c>
      <c r="D48" t="inlineStr">
        <is>
          <t>No published customer-facing privacy policy URL to provide yet. Internal confidentiality / retention / data-handling policies approved. Customer DPA/MSA legal workstream in prog...</t>
        </is>
      </c>
      <c r="E48" s="63" t="inlineStr">
        <is>
          <t>answered</t>
        </is>
      </c>
      <c r="F48" t="inlineStr"/>
    </row>
    <row r="49">
      <c r="A49" t="n">
        <v>52</v>
      </c>
      <c r="B49" t="inlineStr">
        <is>
          <t>Privacy Shield listed</t>
        </is>
      </c>
      <c r="C49" t="inlineStr">
        <is>
          <t>No</t>
        </is>
      </c>
      <c r="D49" t="inlineStr">
        <is>
          <t>Not Privacy Shield certified / listed.</t>
        </is>
      </c>
      <c r="E49" s="63" t="inlineStr">
        <is>
          <t>answered</t>
        </is>
      </c>
      <c r="F49" t="inlineStr"/>
    </row>
    <row r="50">
      <c r="A50" t="n">
        <v>53</v>
      </c>
      <c r="B50" t="inlineStr">
        <is>
          <t>Privacy owner</t>
        </is>
      </c>
      <c r="C50" t="inlineStr">
        <is>
          <t>Yes</t>
        </is>
      </c>
      <c r="D50" t="inlineStr">
        <is>
          <t>Matt Justice (Founder; Security Owner) currently owns privacy/compliance questions for the organization (solo-founder).</t>
        </is>
      </c>
      <c r="E50" s="65" t="inlineStr">
        <is>
          <t>assumed</t>
        </is>
      </c>
      <c r="F50" t="inlineStr">
        <is>
          <t>Confirm Matt wants to claim dedicated privacy owner vs N/A given Privacy deferred</t>
        </is>
      </c>
    </row>
    <row r="51">
      <c r="A51" t="n">
        <v>54</v>
      </c>
      <c r="B51" t="inlineStr">
        <is>
          <t>Privacy risk assessments</t>
        </is>
      </c>
      <c r="C51" t="inlineStr">
        <is>
          <t>No</t>
        </is>
      </c>
      <c r="D51" t="inlineStr">
        <is>
          <t>No separate regular privacy risk assessment program. Broader information security risk assessment documented (P10). Privacy TSC deferred for Type I.</t>
        </is>
      </c>
      <c r="E51" s="63" t="inlineStr">
        <is>
          <t>answered</t>
        </is>
      </c>
      <c r="F51" t="inlineStr"/>
    </row>
    <row r="52">
      <c r="A52" t="n">
        <v>55</v>
      </c>
      <c r="B52" t="inlineStr">
        <is>
          <t>Privacy incident process</t>
        </is>
      </c>
      <c r="C52" t="inlineStr">
        <is>
          <t>Yes</t>
        </is>
      </c>
      <c r="D52" t="inlineStr">
        <is>
          <t>Incident Response Plan (P04) includes process for security and privacy-related incidents and customer notification when material.</t>
        </is>
      </c>
      <c r="E52" s="63" t="inlineStr">
        <is>
          <t>answered</t>
        </is>
      </c>
      <c r="F52" t="inlineStr"/>
    </row>
    <row r="53">
      <c r="A53" t="n">
        <v>56</v>
      </c>
      <c r="B53" t="inlineStr">
        <is>
          <t>GDPR DPA</t>
        </is>
      </c>
      <c r="C53" t="inlineStr">
        <is>
          <t>No</t>
        </is>
      </c>
      <c r="D53" t="inlineStr">
        <is>
          <t>GDPR DPA / readiness exhibit not yet customer-offerable. Outline sent toward counsel; firm selection / redline still open. Do not claim GDPR certification.</t>
        </is>
      </c>
      <c r="E53" s="64" t="inlineStr">
        <is>
          <t>needs_matt</t>
        </is>
      </c>
      <c r="F53" t="inlineStr">
        <is>
          <t>Confirm DPA status before send; still No unless customer-ready DPA exists</t>
        </is>
      </c>
    </row>
    <row r="54">
      <c r="A54" t="n">
        <v>57</v>
      </c>
      <c r="B54" t="inlineStr">
        <is>
          <t>CCPA DPA</t>
        </is>
      </c>
      <c r="C54" t="inlineStr">
        <is>
          <t>No</t>
        </is>
      </c>
      <c r="D54" t="inlineStr">
        <is>
          <t>CCPA DPA / readiness exhibit not yet customer-offerable (same legal workstream as GDPR/DPA). Do not claim CCPA certification.</t>
        </is>
      </c>
      <c r="E54" s="64" t="inlineStr">
        <is>
          <t>needs_matt</t>
        </is>
      </c>
      <c r="F54" t="inlineStr">
        <is>
          <t>Same as GDPR DPA status</t>
        </is>
      </c>
    </row>
    <row r="55">
      <c r="A55" t="n">
        <v>59</v>
      </c>
      <c r="B55" t="inlineStr">
        <is>
          <t>SolarWinds impact</t>
        </is>
      </c>
      <c r="C55" t="inlineStr">
        <is>
          <t>No</t>
        </is>
      </c>
      <c r="D55" t="inlineStr">
        <is>
          <t>Not impacted by SolarWinds Sunburst to our knowledge. SMPL does not rely on SolarWinds Orion for production.</t>
        </is>
      </c>
      <c r="E55" s="65" t="inlineStr">
        <is>
          <t>assumed</t>
        </is>
      </c>
      <c r="F55" t="inlineStr">
        <is>
          <t>Confirm Matt has no SolarWinds exposure</t>
        </is>
      </c>
    </row>
    <row r="56">
      <c r="A56" t="n">
        <v>61</v>
      </c>
      <c r="B56" t="inlineStr">
        <is>
          <t>MS on-prem zero-day impact</t>
        </is>
      </c>
      <c r="C56" t="inlineStr">
        <is>
          <t>No</t>
        </is>
      </c>
      <c r="D56" t="inlineStr">
        <is>
          <t>Not impacted by Microsoft on-premises Exchange zero-day issues to our knowledge. SMPL does not operate on-premises Microsoft Exchange.</t>
        </is>
      </c>
      <c r="E56" s="65" t="inlineStr">
        <is>
          <t>assumed</t>
        </is>
      </c>
      <c r="F56" t="inlineStr">
        <is>
          <t>Confirm no on-prem Exchange exposure</t>
        </is>
      </c>
    </row>
    <row r="58">
      <c r="A58" s="66" t="inlineStr">
        <is>
          <t>COUNTS</t>
        </is>
      </c>
    </row>
    <row r="59">
      <c r="A59" t="inlineStr">
        <is>
          <t>answered (from docs)</t>
        </is>
      </c>
      <c r="B59" t="n">
        <v>41</v>
      </c>
    </row>
    <row r="60">
      <c r="A60" t="inlineStr">
        <is>
          <t>assumed (reasonable; still verify)</t>
        </is>
      </c>
      <c r="B60" t="n">
        <v>3</v>
      </c>
    </row>
    <row r="61">
      <c r="A61" t="inlineStr">
        <is>
          <t>needs_matt (confirm before send)</t>
        </is>
      </c>
      <c r="B61" t="n">
        <v>6</v>
      </c>
    </row>
    <row r="62">
      <c r="A62" t="inlineStr">
        <is>
          <t>TOTAL questionnaire items filled</t>
        </is>
      </c>
      <c r="B62" t="n">
        <v>50</v>
      </c>
    </row>
    <row r="64">
      <c r="A64" s="67" t="inlineStr">
        <is>
          <t>TOP ITEMS MATT MUST VERIFY BEFORE SENDING TO SAGE</t>
        </is>
      </c>
    </row>
    <row r="65">
      <c r="A65" t="inlineStr">
        <is>
          <t>1) Confirm NOT claiming SOC 2 certified anywhere in the package (draft already says No / readiness only).</t>
        </is>
      </c>
    </row>
    <row r="66">
      <c r="A66" t="inlineStr">
        <is>
          <t>2) Telephone number (row 7) — currently 'To be confirmed'.</t>
        </is>
      </c>
    </row>
    <row r="67">
      <c r="A67" t="inlineStr">
        <is>
          <t>3) Cyber insurance (row 22) — answered No; change only if a policy exists (do not invent limits).</t>
        </is>
      </c>
    </row>
    <row r="68">
      <c r="A68" t="inlineStr">
        <is>
          <t>4) Major breach history (row 21) — answered No; disclose if anything material exists.</t>
        </is>
      </c>
    </row>
    <row r="69">
      <c r="A69" t="inlineStr">
        <is>
          <t>5) GDPR/CCPA DPA (rows 56-57) — answered No; flip only if customer-ready DPA exists.</t>
        </is>
      </c>
    </row>
    <row r="70">
      <c r="A70" t="inlineStr">
        <is>
          <t>6) Background screening (row 34) — N/A for solo founder; confirm.</t>
        </is>
      </c>
    </row>
    <row r="71">
      <c r="A71" t="inlineStr">
        <is>
          <t>7) Legal entity / company name for Sage contracts if different from 'SMPL / SMPL.ai'.</t>
        </is>
      </c>
    </row>
    <row r="72">
      <c r="A72" t="inlineStr">
        <is>
          <t>8) Optional: whether row 12 should be Yes because GL account codes are stored (draft = No + explanation).</t>
        </is>
      </c>
    </row>
    <row r="73">
      <c r="A73" t="inlineStr">
        <is>
          <t>9) Privacy owner claim (row 53) — Yes as Matt; switch to N/A if preferred given Privacy deferred.</t>
        </is>
      </c>
    </row>
    <row r="74">
      <c r="A74" t="inlineStr">
        <is>
          <t>10) SolarWinds / MS on-prem (rows 59/61) — answered No based on stack;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tabSelected="1" zoomScale="75" workbookViewId="0">
      <selection activeCell="B5" sqref="B5:C5"/>
    </sheetView>
  </sheetViews>
  <sheetFormatPr baseColWidth="10" defaultColWidth="10.83203125" defaultRowHeight="16"/>
  <cols>
    <col width="113" customWidth="1" style="38" min="1" max="1"/>
    <col width="9.33203125" customWidth="1" style="38" min="2" max="2"/>
    <col width="40.5" customWidth="1" style="38" min="3" max="4"/>
    <col hidden="1" width="10.83203125" customWidth="1" style="38" min="5" max="5"/>
    <col hidden="1" width="43" customWidth="1" style="38" min="6" max="6"/>
    <col hidden="1" width="10.83203125" customWidth="1" style="38" min="7" max="10"/>
    <col width="10.83203125" customWidth="1" style="38" min="11" max="16384"/>
  </cols>
  <sheetData>
    <row r="1" ht="45" customHeight="1" s="38">
      <c r="A1" s="59" t="inlineStr">
        <is>
          <t xml:space="preserve">                                                      Sage Intacct Corporation: Security Due Diligence Questionnaire for Marketplace Partners</t>
        </is>
      </c>
      <c r="B1" s="68" t="n"/>
      <c r="C1" s="68" t="n"/>
      <c r="D1" s="68" t="n"/>
      <c r="E1" s="68" t="n"/>
      <c r="F1" s="69" t="n"/>
    </row>
    <row r="2">
      <c r="A2" s="57" t="inlineStr">
        <is>
          <t>Company Information</t>
        </is>
      </c>
      <c r="B2" s="57" t="inlineStr">
        <is>
          <t>Response</t>
        </is>
      </c>
      <c r="C2" s="69" t="n"/>
      <c r="D2" s="57" t="n"/>
      <c r="E2" s="53" t="inlineStr">
        <is>
          <t>Intacct Comments (For Intacct Use Only)</t>
        </is>
      </c>
      <c r="F2" s="69" t="n"/>
    </row>
    <row r="3" ht="17" customHeight="1" s="38">
      <c r="A3" s="3" t="inlineStr">
        <is>
          <t>Company name</t>
        </is>
      </c>
      <c r="B3" s="70" t="inlineStr">
        <is>
          <t>SMPL (SMPL.ai / smpl-ai.com)</t>
        </is>
      </c>
      <c r="C3" s="71" t="n"/>
      <c r="D3" s="56" t="n"/>
      <c r="E3" s="51" t="n"/>
      <c r="F3" s="71" t="n"/>
    </row>
    <row r="4" ht="17" customHeight="1" s="38">
      <c r="A4" s="3" t="inlineStr">
        <is>
          <t>Name of individual completing this questionnaire</t>
        </is>
      </c>
      <c r="B4" s="70" t="inlineStr">
        <is>
          <t>Matt Justice</t>
        </is>
      </c>
      <c r="C4" s="71" t="n"/>
      <c r="D4" s="56" t="n"/>
      <c r="E4" s="51" t="n"/>
      <c r="F4" s="71" t="n"/>
    </row>
    <row r="5" ht="17" customHeight="1" s="38">
      <c r="A5" s="3" t="inlineStr">
        <is>
          <t xml:space="preserve">      Job Title</t>
        </is>
      </c>
      <c r="B5" s="70" t="inlineStr">
        <is>
          <t>Founder; Executive Sponsor &amp; Security Owner</t>
        </is>
      </c>
      <c r="C5" s="71" t="n"/>
      <c r="D5" s="56" t="n"/>
      <c r="E5" s="51" t="n"/>
      <c r="F5" s="71" t="n"/>
    </row>
    <row r="6" ht="17" customHeight="1" s="38">
      <c r="A6" s="3" t="inlineStr">
        <is>
          <t xml:space="preserve">      Email address</t>
        </is>
      </c>
      <c r="B6" s="72" t="inlineStr">
        <is>
          <t>mattjustice@smpl-ai.com</t>
        </is>
      </c>
      <c r="C6" s="71" t="n"/>
      <c r="D6" s="56" t="n"/>
      <c r="E6" s="51" t="n"/>
      <c r="F6" s="71" t="n"/>
    </row>
    <row r="7" ht="17" customHeight="1" s="38">
      <c r="A7" s="3" t="inlineStr">
        <is>
          <t xml:space="preserve">      Telephone</t>
        </is>
      </c>
      <c r="B7" s="70" t="inlineStr">
        <is>
          <t>To be confirmed</t>
        </is>
      </c>
      <c r="C7" s="71" t="n"/>
      <c r="D7" s="56" t="n"/>
      <c r="E7" s="51" t="n"/>
      <c r="F7" s="71" t="n"/>
    </row>
    <row r="8" ht="17" customHeight="1" s="38">
      <c r="A8" s="3" t="inlineStr">
        <is>
          <t>Date of Response</t>
        </is>
      </c>
      <c r="B8" s="73" t="inlineStr">
        <is>
          <t>2026-08-04</t>
        </is>
      </c>
      <c r="C8" s="71" t="n"/>
      <c r="D8" s="56" t="n"/>
      <c r="E8" s="51" t="n"/>
      <c r="F8" s="71" t="n"/>
    </row>
    <row r="9" ht="32" customHeight="1" s="38">
      <c r="A9" s="57" t="inlineStr">
        <is>
          <t>Application Details</t>
        </is>
      </c>
      <c r="B9" s="57" t="inlineStr">
        <is>
          <t>Response</t>
        </is>
      </c>
      <c r="C9" s="69" t="n"/>
      <c r="D9" s="57" t="n"/>
      <c r="E9" s="48" t="n"/>
      <c r="F9" s="71" t="n"/>
      <c r="G9" s="27" t="inlineStr">
        <is>
          <t>Risk score</t>
        </is>
      </c>
      <c r="H9" s="15" t="inlineStr">
        <is>
          <t>Weight</t>
        </is>
      </c>
      <c r="I9" s="16" t="inlineStr">
        <is>
          <t>Weighted Score</t>
        </is>
      </c>
      <c r="J9" s="16" t="inlineStr">
        <is>
          <t>App Risk Score</t>
        </is>
      </c>
    </row>
    <row r="10" ht="17" customHeight="1" s="38">
      <c r="A10" s="3" t="inlineStr">
        <is>
          <t>High Level Description of MarketPlace application</t>
        </is>
      </c>
      <c r="B10" s="70" t="inlineStr">
        <is>
          <t>SMPL.ai is a B2B SaaS financial intelligence / FP&amp;A platform. It helps finance teams read and reconcile finance data (ARR, close, board export). SMPL does not write back to the customer GL or ERP. Marketplace use with Sage Intacct is for read/reconcile integration flows.</t>
        </is>
      </c>
      <c r="C10" s="71" t="n"/>
      <c r="D10" s="56" t="n"/>
      <c r="E10" s="51" t="n"/>
      <c r="F10" s="71" t="n"/>
      <c r="G10" s="28" t="n"/>
      <c r="H10" s="17" t="n"/>
      <c r="I10" s="18" t="n"/>
      <c r="J10" s="19" t="n"/>
    </row>
    <row r="11">
      <c r="A11" s="3" t="n"/>
      <c r="B11" s="56" t="n"/>
      <c r="C11" s="56" t="n"/>
      <c r="D11" s="56" t="n"/>
      <c r="E11" s="51" t="n"/>
      <c r="F11" s="51" t="n"/>
      <c r="G11" s="28" t="n"/>
      <c r="H11" s="17" t="n"/>
      <c r="I11" s="18" t="n"/>
      <c r="J11" s="19" t="n"/>
    </row>
    <row r="12" ht="93" customHeight="1" s="38">
      <c r="A12" s="34" t="inlineStr">
        <is>
          <t>Will your application store, process or handle CC#'s, SSN's, Account Numbers?   If so, please explain</t>
        </is>
      </c>
      <c r="B12" s="70" t="inlineStr">
        <is>
          <t>No</t>
        </is>
      </c>
      <c r="C12" s="70" t="inlineStr">
        <is>
          <t>Does not store full payment card numbers (SMPL billing via Stripe) or SSNs. May store business financial data for FP&amp;A (e.g., GL-derived facts, GL account codes, metrics). No bank-account / PAN storage as payment instruments.</t>
        </is>
      </c>
      <c r="D12" s="56" t="n"/>
      <c r="E12" s="51" t="n"/>
      <c r="F12" s="71" t="n"/>
      <c r="G12" s="29">
        <f>IF(B12="No",10,IF(B12="N/A",0,0))</f>
        <v/>
      </c>
      <c r="H12" s="20" t="n">
        <v>10</v>
      </c>
      <c r="I12" s="21">
        <f>G12*H12</f>
        <v/>
      </c>
      <c r="J12" s="19" t="n"/>
    </row>
    <row r="13" ht="34" customHeight="1" s="38">
      <c r="A13" s="34" t="inlineStr">
        <is>
          <t>Are you storing data?
Please list what type of data you will be storing:</t>
        </is>
      </c>
      <c r="B13" s="70" t="inlineStr">
        <is>
          <t>Yes</t>
        </is>
      </c>
      <c r="C13" s="74" t="inlineStr">
        <is>
          <t>Auth identifiers (email, session, org membership); multi-tenant financial warehouse facts (GL-derived, ARR, pipeline, headcount, etc.); export artifacts (Excel close packs, board decks); billing contact / subscription metadata via Stripe (no full PAN at SMPL); limited LLM prompt context derived from engine outputs (Anthropic API; keys on backend only).</t>
        </is>
      </c>
      <c r="D13" s="56" t="n"/>
      <c r="E13" s="51" t="n"/>
      <c r="F13" s="51" t="n"/>
      <c r="G13" s="29" t="n"/>
      <c r="H13" s="20" t="n"/>
      <c r="I13" s="21" t="n"/>
      <c r="J13" s="19" t="n"/>
    </row>
    <row r="14" ht="34" customHeight="1" s="38">
      <c r="A14" t="inlineStr">
        <is>
          <t>Does the data transition through your system in any way, including data in transit?</t>
        </is>
      </c>
      <c r="B14" s="75" t="inlineStr">
        <is>
          <t>Yes</t>
        </is>
      </c>
      <c r="C14" s="74" t="inlineStr">
        <is>
          <t>Customer and auth-related data transit over TLS to/from the web app (Vercel), API (Railway), datastore (Neon), transactional email (Resend), LLM API (Anthropic), and billing (Stripe). Customer source systems (e.g., Sage Intacct) may provide data via customer-authorized import/integration paths.</t>
        </is>
      </c>
      <c r="D14" s="40" t="n"/>
      <c r="E14" s="41" t="n"/>
      <c r="F14" s="41" t="n"/>
      <c r="G14" s="42" t="n"/>
      <c r="H14" s="43" t="n"/>
      <c r="I14" s="21" t="n"/>
      <c r="J14" s="19" t="n"/>
    </row>
    <row r="15" ht="25" customHeight="1" s="38">
      <c r="A15" s="54" t="n"/>
      <c r="B15" s="76" t="n"/>
      <c r="C15" s="76" t="n"/>
      <c r="D15" s="76" t="n"/>
      <c r="E15" s="76" t="n"/>
      <c r="F15" s="76" t="n"/>
      <c r="G15" s="76" t="n"/>
      <c r="H15" s="76" t="n"/>
      <c r="I15" s="76" t="n"/>
      <c r="J15" s="77" t="n"/>
    </row>
    <row r="16">
      <c r="A16" s="78" t="n"/>
      <c r="B16" s="79" t="n"/>
      <c r="C16" s="79" t="n"/>
      <c r="D16" s="79" t="n"/>
      <c r="E16" s="79" t="n"/>
      <c r="F16" s="79" t="n"/>
      <c r="G16" s="79" t="n"/>
      <c r="H16" s="79" t="n"/>
      <c r="I16" s="79" t="n"/>
      <c r="J16" s="80" t="n"/>
    </row>
    <row r="17" ht="89" customHeight="1" s="38">
      <c r="A17" s="52" t="inlineStr">
        <is>
          <t>Questionnaire Instructions:
For each question below choose either Yes, No or N/A from the drop-down menu provided.  If asked (identified by shaded areas), please provide additional information. If N/A is chosen, an explanation is required.  Note:  Additional Information is always encouraged regardless, in order to allow us to better understand your security program in more detail.</t>
        </is>
      </c>
      <c r="B17" s="79" t="n"/>
      <c r="C17" s="79" t="n"/>
      <c r="D17" s="79" t="n"/>
      <c r="E17" s="79" t="n"/>
      <c r="F17" s="80" t="n"/>
      <c r="G17" s="44" t="n"/>
      <c r="H17" s="45" t="n"/>
      <c r="I17" s="18" t="n"/>
      <c r="J17" s="22">
        <f>I12</f>
        <v/>
      </c>
    </row>
    <row r="18" ht="48" customHeight="1" s="38">
      <c r="A18" s="30" t="inlineStr">
        <is>
          <t xml:space="preserve"> General Security Questions</t>
        </is>
      </c>
      <c r="B18" s="57" t="inlineStr">
        <is>
          <t>Response</t>
        </is>
      </c>
      <c r="C18" s="57" t="inlineStr">
        <is>
          <t>Additional 
Information</t>
        </is>
      </c>
      <c r="D18" s="57" t="n"/>
      <c r="E18" s="53" t="inlineStr">
        <is>
          <t>Intacct Comments (For Intacct Use Only)</t>
        </is>
      </c>
      <c r="F18" s="69" t="n"/>
      <c r="G18" s="27" t="inlineStr">
        <is>
          <t>Security score</t>
        </is>
      </c>
      <c r="H18" s="15" t="inlineStr">
        <is>
          <t>Weight</t>
        </is>
      </c>
      <c r="I18" s="16" t="inlineStr">
        <is>
          <t>Weighted Score</t>
        </is>
      </c>
      <c r="J18" s="16" t="inlineStr">
        <is>
          <t>Total Security Score</t>
        </is>
      </c>
    </row>
    <row r="19" ht="17" customHeight="1" s="38">
      <c r="A19" s="3" t="inlineStr">
        <is>
          <t>Does your organization have formal written information security policies?</t>
        </is>
      </c>
      <c r="B19" s="70" t="inlineStr">
        <is>
          <t>Yes</t>
        </is>
      </c>
      <c r="C19" s="70" t="inlineStr">
        <is>
          <t>Core information security policies approved internally (P01-P12; P15 AI/LLM). Approved policies are not SOC 2 certification. SMPL is pursuing SOC 2 Type I readiness (Security + Availability + Confidentiality) and is NOT SOC 2 certified.</t>
        </is>
      </c>
      <c r="D19" s="56" t="n"/>
      <c r="E19" s="50" t="n"/>
      <c r="F19" s="71" t="n"/>
      <c r="G19" s="29">
        <f>IF(B19="Yes",1,IF(B19="N/A",1,0))</f>
        <v/>
      </c>
      <c r="H19" s="20" t="n">
        <v>2</v>
      </c>
      <c r="I19" s="23">
        <f>G19*H19</f>
        <v/>
      </c>
      <c r="J19" s="19" t="n"/>
    </row>
    <row r="20" ht="17" customHeight="1" s="38">
      <c r="A20" s="5" t="inlineStr">
        <is>
          <t>Do you have an individual who is dedicated to Security within your organization?  If so, who, or what title does this person hold?</t>
        </is>
      </c>
      <c r="B20" s="70" t="inlineStr">
        <is>
          <t>Yes</t>
        </is>
      </c>
      <c r="C20" s="70" t="inlineStr">
        <is>
          <t>Matt Justice — Founder; Executive Sponsor &amp; Security Owner (solo-founder org; same person currently holds security / eng / ops roles).</t>
        </is>
      </c>
      <c r="D20" s="56" t="n"/>
      <c r="E20" s="50" t="n"/>
      <c r="F20" s="71" t="n"/>
      <c r="G20" s="29">
        <f>IF(B20="Yes",1,IF(B20="N/A",1,0))</f>
        <v/>
      </c>
      <c r="H20" s="20" t="n">
        <v>2</v>
      </c>
      <c r="I20" s="23">
        <f>G20*H20</f>
        <v/>
      </c>
      <c r="J20" s="19" t="n"/>
    </row>
    <row r="21" ht="17" customHeight="1" s="38">
      <c r="A21" s="5" t="inlineStr">
        <is>
          <t>Have you ever experienced a major security breach?  If so, please explain</t>
        </is>
      </c>
      <c r="B21" s="70" t="inlineStr">
        <is>
          <t>No</t>
        </is>
      </c>
      <c r="C21" s="70" t="inlineStr">
        <is>
          <t>No major security breach documented / known to date. To be confirmed by Matt if any historical incident should be disclosed.</t>
        </is>
      </c>
      <c r="D21" s="56" t="n"/>
      <c r="E21" s="50" t="n"/>
      <c r="F21" s="71" t="n"/>
      <c r="G21" s="29">
        <f>IF(B21="No",1,IF(B21="N/A",1,0))</f>
        <v/>
      </c>
      <c r="H21" s="20" t="n">
        <v>4</v>
      </c>
      <c r="I21" s="23">
        <f>G21*H21</f>
        <v/>
      </c>
      <c r="J21" s="19" t="n"/>
    </row>
    <row r="22" ht="17" customHeight="1" s="38">
      <c r="A22" s="3" t="inlineStr">
        <is>
          <t>Do you have a cyber insurance policy?</t>
        </is>
      </c>
      <c r="B22" s="70" t="inlineStr">
        <is>
          <t>No</t>
        </is>
      </c>
      <c r="C22" s="70" t="inlineStr">
        <is>
          <t>No cyber insurance policy documented in current readiness materials. To be confirmed by Matt (do not invent coverage amounts).</t>
        </is>
      </c>
      <c r="D22" s="56" t="n"/>
      <c r="E22" s="50" t="n"/>
      <c r="F22" s="71" t="n"/>
      <c r="G22" s="29">
        <f>IF(B22="Yes",1,IF(B22="N/A",1,0))</f>
        <v/>
      </c>
      <c r="H22" s="20" t="n">
        <v>2</v>
      </c>
      <c r="I22" s="23">
        <f>G22*H22</f>
        <v/>
      </c>
      <c r="J22" s="19" t="n"/>
    </row>
    <row r="23" ht="17" customHeight="1" s="38">
      <c r="A23" s="3" t="inlineStr">
        <is>
          <t>Does your organization have a formal change control process?</t>
        </is>
      </c>
      <c r="B23" s="70" t="inlineStr">
        <is>
          <t>Yes</t>
        </is>
      </c>
      <c r="C23" s="70" t="inlineStr">
        <is>
          <t>Formal change management / secure SDLC policy (P05): GitHub PRs, protected main, deploy to Vercel (FE) / Railway (API).</t>
        </is>
      </c>
      <c r="D23" s="56" t="n"/>
      <c r="E23" s="50" t="n"/>
      <c r="F23" s="71" t="n"/>
      <c r="G23" s="29">
        <f>IF(B23="Yes",1,IF(B23="N/A",1,0))</f>
        <v/>
      </c>
      <c r="H23" s="20" t="n">
        <v>2</v>
      </c>
      <c r="I23" s="23">
        <f>G23*H23</f>
        <v/>
      </c>
      <c r="J23" s="19" t="n"/>
    </row>
    <row r="24" ht="17" customHeight="1" s="38">
      <c r="A24" s="3" t="inlineStr">
        <is>
          <t>Is there an Incident Management program?</t>
        </is>
      </c>
      <c r="B24" s="70" t="inlineStr">
        <is>
          <t>Yes</t>
        </is>
      </c>
      <c r="C24" s="70" t="inlineStr">
        <is>
          <t>Approved Incident Response Plan (P04). Tabletop exercised 2026-07-28 (readiness evidence; not SOC 2 certification).</t>
        </is>
      </c>
      <c r="D24" s="56" t="n"/>
      <c r="E24" s="50" t="n"/>
      <c r="F24" s="71" t="n"/>
      <c r="G24" s="29">
        <f>IF(B24="Yes",1,IF(B24="N/A",1,0))</f>
        <v/>
      </c>
      <c r="H24" s="20" t="n">
        <v>2</v>
      </c>
      <c r="I24" s="23">
        <f>G24*H24</f>
        <v/>
      </c>
      <c r="J24" s="19" t="n"/>
    </row>
    <row r="25" ht="17" customHeight="1" s="38">
      <c r="A25" s="3" t="inlineStr">
        <is>
          <t>Is there a formally documented privacy policy (or policies)?</t>
        </is>
      </c>
      <c r="B25" s="70" t="inlineStr">
        <is>
          <t>No</t>
        </is>
      </c>
      <c r="C25" s="70" t="inlineStr">
        <is>
          <t>Customer-facing privacy policy / customer DPA not yet published as a shareable link. Confidentiality, retention/deletion, and data-handling policies are approved internally. Privacy Trust Services criteria deferred for first SOC 2 Type I. DPA/MSA with counsel in progress — not customer-ready.</t>
        </is>
      </c>
      <c r="D25" s="56" t="n"/>
      <c r="E25" s="50" t="n"/>
      <c r="F25" s="71" t="n"/>
      <c r="G25" s="29">
        <f>IF(B25="Yes",1,IF(B25="N/A",1,0))</f>
        <v/>
      </c>
      <c r="H25" s="20" t="n">
        <v>2</v>
      </c>
      <c r="I25" s="23">
        <f>G25*H25</f>
        <v/>
      </c>
      <c r="J25" s="19" t="n"/>
    </row>
    <row r="26" ht="17" customHeight="1" s="38">
      <c r="A26" s="3" t="inlineStr">
        <is>
          <t>Is your organization certified via Privacy Shield (formerly known as EU Safe Harbor)?</t>
        </is>
      </c>
      <c r="B26" s="70" t="inlineStr">
        <is>
          <t>No</t>
        </is>
      </c>
      <c r="C26" s="70" t="inlineStr">
        <is>
          <t>Not Privacy Shield certified. (Privacy Shield framework discontinued; not applicable.)</t>
        </is>
      </c>
      <c r="D26" s="56" t="n"/>
      <c r="E26" s="50" t="n"/>
      <c r="F26" s="71" t="n"/>
      <c r="G26" s="29">
        <f>IF(B26="Yes",1,IF(B26="N/A",1,0))</f>
        <v/>
      </c>
      <c r="H26" s="20" t="n">
        <v>2</v>
      </c>
      <c r="I26" s="23">
        <f>G26*H26</f>
        <v/>
      </c>
      <c r="J26" s="19" t="n"/>
    </row>
    <row r="27" ht="17" customHeight="1" s="38">
      <c r="A27" s="3" t="inlineStr">
        <is>
          <t>Is there a process for responding to security and/or privacy incidents?</t>
        </is>
      </c>
      <c r="B27" s="70" t="inlineStr">
        <is>
          <t>Yes</t>
        </is>
      </c>
      <c r="C27" s="70" t="inlineStr">
        <is>
          <t>Incident Response Plan (P04) covers detection, containment, recovery, and customer notification when material; includes security/privacy-related incidents.</t>
        </is>
      </c>
      <c r="D27" s="56" t="n"/>
      <c r="E27" s="50" t="n"/>
      <c r="F27" s="71" t="n"/>
      <c r="G27" s="29">
        <f>IF(B27="Yes",1,IF(B27="N/A",1,0))</f>
        <v/>
      </c>
      <c r="H27" s="20" t="n">
        <v>4</v>
      </c>
      <c r="I27" s="23">
        <f>G27*H27</f>
        <v/>
      </c>
      <c r="J27" s="19" t="n"/>
    </row>
    <row r="28" ht="17" customHeight="1" s="38">
      <c r="A28" s="3" t="inlineStr">
        <is>
          <t>Is there a security awareness training program?</t>
        </is>
      </c>
      <c r="B28" s="70" t="inlineStr">
        <is>
          <t>No</t>
        </is>
      </c>
      <c r="C28" s="70" t="inlineStr">
        <is>
          <t>Formal security awareness training program (planned policy P17) not yet established. Solo-founder posture; training program TBD.</t>
        </is>
      </c>
      <c r="D28" s="56" t="n"/>
      <c r="E28" s="50" t="n"/>
      <c r="F28" s="71" t="n"/>
      <c r="G28" s="29">
        <f>IF(B28="Yes",1,IF(B28="N/A",1,0))</f>
        <v/>
      </c>
      <c r="H28" s="20" t="n">
        <v>4</v>
      </c>
      <c r="I28" s="23">
        <f>G28*H28</f>
        <v/>
      </c>
      <c r="J28" s="19" t="n"/>
    </row>
    <row r="29" ht="17" customHeight="1" s="38">
      <c r="A29" s="5" t="inlineStr">
        <is>
          <t>Are all employees and contingent workers required to complete security awareness training? If so, how often?</t>
        </is>
      </c>
      <c r="B29" s="70" t="inlineStr">
        <is>
          <t>No</t>
        </is>
      </c>
      <c r="C29" s="70" t="inlineStr">
        <is>
          <t>No formal recurring security awareness training requirement in place yet (P17 not started).</t>
        </is>
      </c>
      <c r="D29" s="56" t="n"/>
      <c r="E29" s="50" t="n"/>
      <c r="F29" s="71" t="n"/>
      <c r="G29" s="29">
        <f>IF(B29="Yes",1,IF(B29="N/A",1,0))</f>
        <v/>
      </c>
      <c r="H29" s="20" t="n">
        <v>2</v>
      </c>
      <c r="I29" s="23">
        <f>G29*H29</f>
        <v/>
      </c>
      <c r="J29" s="19" t="n"/>
    </row>
    <row r="30" ht="34" customHeight="1" s="38">
      <c r="A30" s="5" t="inlineStr">
        <is>
          <t>Can you provide relevant documentation of applicable compliance certifications (most recent PCI AoC, ISO 27001 report, SSAE18 audit report)?  If so, please list, if you can't provide, please describe.</t>
        </is>
      </c>
      <c r="B30" s="70" t="inlineStr">
        <is>
          <t>No</t>
        </is>
      </c>
      <c r="C30" s="70" t="inlineStr">
        <is>
          <t>SMPL is NOT SOC 2 certified and has no CPA SOC 2 / ISO 27001 / PCI AoC / SSAE18 report for SMPL to provide. We are pursuing SOC 2 Type I readiness. Subprocessor (vendor) SOC 2 reports may be shareable under NDA where collected — not a substitute for SMPL certification.</t>
        </is>
      </c>
      <c r="D30" s="56" t="n"/>
      <c r="E30" s="50" t="n"/>
      <c r="F30" s="71" t="n"/>
      <c r="G30" s="29">
        <f>IF(B30="Yes",1,IF(B30="N/A",1,0))</f>
        <v/>
      </c>
      <c r="H30" s="20" t="n">
        <v>4</v>
      </c>
      <c r="I30" s="23">
        <f>G30*H30</f>
        <v/>
      </c>
      <c r="J30" s="19" t="n"/>
    </row>
    <row r="31" ht="17" customHeight="1" s="38">
      <c r="A31" s="3" t="inlineStr">
        <is>
          <t>Can you provide results of third-party external audits conducted within the past two years?</t>
        </is>
      </c>
      <c r="B31" s="70" t="inlineStr">
        <is>
          <t>No</t>
        </is>
      </c>
      <c r="C31" s="70" t="inlineStr">
        <is>
          <t>No third-party external audit report of SMPL systems within the past two years. Vendor SOC reports for certain subprocessors collected under NDA for readiness review only.</t>
        </is>
      </c>
      <c r="D31" s="56" t="n"/>
      <c r="E31" s="50" t="n"/>
      <c r="F31" s="71" t="n"/>
      <c r="G31" s="29">
        <f>IF(B31="Yes",1,IF(B31="N/A",1,0))</f>
        <v/>
      </c>
      <c r="H31" s="20" t="n">
        <v>4</v>
      </c>
      <c r="I31" s="23">
        <f>G31*H31</f>
        <v/>
      </c>
      <c r="J31" s="19" t="n"/>
    </row>
    <row r="32" ht="17" customHeight="1" s="38">
      <c r="A32" s="3" t="inlineStr">
        <is>
          <t>Are reasonable physical security and environmental controls present in the building/data center that is used for business?</t>
        </is>
      </c>
      <c r="B32" s="70" t="inlineStr">
        <is>
          <t>Yes</t>
        </is>
      </c>
      <c r="C32" s="70" t="inlineStr">
        <is>
          <t>Production is cloud-hosted (Vercel, Railway, Neon). Physical / environmental controls are provided by those subprocessors; SMPL relies on provider controls and reviews vendor reports under NDA where available. SMPL does not operate its own data center.</t>
        </is>
      </c>
      <c r="D32" s="56" t="n"/>
      <c r="E32" s="50" t="n"/>
      <c r="F32" s="71" t="n"/>
      <c r="G32" s="29">
        <f>IF(B32="Yes",1,IF(B32="N/A",1,0))</f>
        <v/>
      </c>
      <c r="H32" s="20" t="n">
        <v>4</v>
      </c>
      <c r="I32" s="23">
        <f>G32*H32</f>
        <v/>
      </c>
      <c r="J32" s="19" t="n"/>
    </row>
    <row r="33" ht="17" customHeight="1" s="38">
      <c r="A33" s="3" t="inlineStr">
        <is>
          <t>Is physical access to data processing equipment (servers and network equipment) restricted?</t>
        </is>
      </c>
      <c r="B33" s="70" t="inlineStr">
        <is>
          <t>Yes</t>
        </is>
      </c>
      <c r="C33" s="70" t="inlineStr">
        <is>
          <t>Physical access to production servers/network equipment is restricted by cloud providers (Vercel / Railway / Neon). SMPL personnel do not have physical access to provider data centers.</t>
        </is>
      </c>
      <c r="D33" s="56" t="n"/>
      <c r="E33" s="50" t="n"/>
      <c r="F33" s="71" t="n"/>
      <c r="G33" s="29">
        <f>IF(B33="Yes",1,IF(B33="N/A",1,0))</f>
        <v/>
      </c>
      <c r="H33" s="20" t="n">
        <v>4</v>
      </c>
      <c r="I33" s="23">
        <f>G33*H33</f>
        <v/>
      </c>
      <c r="J33" s="19" t="n"/>
    </row>
    <row r="34" ht="17" customHeight="1" s="38">
      <c r="A34" s="3" t="inlineStr">
        <is>
          <t>Is a background screening performed on employees/contractors/contingent workers who are responsible for handling sensitive data?</t>
        </is>
      </c>
      <c r="B34" s="70" t="inlineStr">
        <is>
          <t>N/A</t>
        </is>
      </c>
      <c r="C34" s="70" t="inlineStr">
        <is>
          <t>Solo-founder company today (Matt Justice). No formal background-screening program for additional employees/contractors documented. To be confirmed / established before hiring privileged roles.</t>
        </is>
      </c>
      <c r="D34" s="56" t="n"/>
      <c r="E34" s="50" t="n"/>
      <c r="F34" s="71" t="n"/>
      <c r="G34" s="29">
        <f>IF(B34="Yes",1,IF(B34="N/A",1,0))</f>
        <v/>
      </c>
      <c r="H34" s="20" t="n">
        <v>4</v>
      </c>
      <c r="I34" s="23">
        <f>G34*H34</f>
        <v/>
      </c>
      <c r="J34" s="19" t="n"/>
    </row>
    <row r="35" ht="17" customHeight="1" s="38">
      <c r="A35" s="3" t="inlineStr">
        <is>
          <t>Does your organization follow secure data destruction processes for confidential data and IT equipment/media?</t>
        </is>
      </c>
      <c r="B35" s="70" t="inlineStr">
        <is>
          <t>Yes</t>
        </is>
      </c>
      <c r="C35" s="70" t="inlineStr">
        <is>
          <t>Retention &amp; deletion policy (P08): customer offboarding / deletion requests; delete or anonymize Confidential warehouse + auth data within agreed window; backups expire per provider window. Relies on cloud-provider media destruction practices for underlying infrastructure.</t>
        </is>
      </c>
      <c r="D35" s="56" t="n"/>
      <c r="E35" s="50" t="n"/>
      <c r="F35" s="71" t="n"/>
      <c r="G35" s="29">
        <f>IF(B35="Yes",1,IF(B35="N/A",1,0))</f>
        <v/>
      </c>
      <c r="H35" s="20" t="n">
        <v>2</v>
      </c>
      <c r="I35" s="23">
        <f>G35*H35</f>
        <v/>
      </c>
      <c r="J35" s="19" t="n"/>
    </row>
    <row r="36" ht="17" customHeight="1" s="38">
      <c r="A36" s="5" t="inlineStr">
        <is>
          <t>Are encryption tools managed and maintained for sensitive data?  If so, what level of encryption is used?</t>
        </is>
      </c>
      <c r="B36" s="70" t="inlineStr">
        <is>
          <t>Yes</t>
        </is>
      </c>
      <c r="C36" s="70" t="inlineStr">
        <is>
          <t>In transit: TLS to application and API. At rest: customer data in managed Postgres (Neon) with provider encryption-at-rest defaults. Production secrets in host env/secret stores (not in source). Exact cipher suites / key management are provider-managed — do not invent AES/ISO claims beyond this.</t>
        </is>
      </c>
      <c r="D36" s="56" t="n"/>
      <c r="E36" s="50" t="n"/>
      <c r="F36" s="71" t="n"/>
      <c r="G36" s="29">
        <f>IF(B36="Yes",1,IF(B36="N/A",1,0))</f>
        <v/>
      </c>
      <c r="H36" s="20" t="n">
        <v>4</v>
      </c>
      <c r="I36" s="23">
        <f>G36*H36</f>
        <v/>
      </c>
      <c r="J36" s="19" t="n"/>
    </row>
    <row r="37" ht="17" customHeight="1" s="38">
      <c r="A37" s="3" t="inlineStr">
        <is>
          <t>Are system backups of Systems, PC's and Data performed?</t>
        </is>
      </c>
      <c r="B37" s="70" t="inlineStr">
        <is>
          <t>Yes</t>
        </is>
      </c>
      <c r="C37" s="70" t="inlineStr">
        <is>
          <t>Primary datastore backups / PITR via Neon. Backup &amp; restore policy (P12). Restore fire-drill to throwaway branch completed 2026-07-27 (Pass; production connection strings unchanged). Laptop/PC backups: recommended full-disk encryption / local practice — not a formal enterprise backup suite.</t>
        </is>
      </c>
      <c r="D37" s="56" t="n"/>
      <c r="E37" s="50" t="n"/>
      <c r="F37" s="71" t="n"/>
      <c r="G37" s="29">
        <f>IF(B37="Yes",1,IF(B37="N/A",1,0))</f>
        <v/>
      </c>
      <c r="H37" s="20" t="n">
        <v>4</v>
      </c>
      <c r="I37" s="23">
        <f>G37*H37</f>
        <v/>
      </c>
      <c r="J37" s="19" t="n"/>
    </row>
    <row r="38" ht="17" customHeight="1" s="38">
      <c r="A38" s="6" t="inlineStr">
        <is>
          <t>Do you monitor your production and corporate infrastructure for security events / indicators of compromise?</t>
        </is>
      </c>
      <c r="B38" s="70" t="inlineStr">
        <is>
          <t>No</t>
        </is>
      </c>
      <c r="C38" s="70" t="inlineStr">
        <is>
          <t>Formal Logging &amp; Monitoring policy (P14) not yet published. Operational reliance on provider consoles/alerts and dependency/secret scanning (Dependabot, GitHub Secret Protection). No dedicated SIEM/SOC claimed.</t>
        </is>
      </c>
      <c r="D38" s="56" t="n"/>
      <c r="E38" s="50" t="n"/>
      <c r="F38" s="71" t="n"/>
      <c r="G38" s="29">
        <f>IF(B38="Yes",1,IF(B38="N/A",1,0))</f>
        <v/>
      </c>
      <c r="H38" s="20" t="n">
        <v>4</v>
      </c>
      <c r="I38" s="23">
        <f>G38*H38</f>
        <v/>
      </c>
      <c r="J38" s="19" t="n"/>
    </row>
    <row r="39" ht="17" customHeight="1" s="38">
      <c r="A39" s="3" t="inlineStr">
        <is>
          <t>Are vulnerability tests (internal/external) performed on all applications at least annually?</t>
        </is>
      </c>
      <c r="B39" s="70" t="inlineStr">
        <is>
          <t>No</t>
        </is>
      </c>
      <c r="C39" s="70" t="inlineStr">
        <is>
          <t>No annual third-party penetration test or full internal/external vulnerability assessment program documented to date. Dependency vulnerability alerting via Dependabot is enabled (not a substitute for annual app pen tests).</t>
        </is>
      </c>
      <c r="D39" s="56" t="n"/>
      <c r="E39" s="50" t="n"/>
      <c r="F39" s="71" t="n"/>
      <c r="G39" s="29">
        <f>IF(B39="Yes",1,IF(B39="N/A",1,0))</f>
        <v/>
      </c>
      <c r="H39" s="20" t="n">
        <v>4</v>
      </c>
      <c r="I39" s="23">
        <f>G39*H39</f>
        <v/>
      </c>
      <c r="J39" s="19" t="n"/>
    </row>
    <row r="40" ht="17" customHeight="1" s="38">
      <c r="A40" s="6" t="inlineStr">
        <is>
          <t>Do you have a process to identify and manage vulnerabilities to your business systems?</t>
        </is>
      </c>
      <c r="B40" s="70" t="inlineStr">
        <is>
          <t>Yes</t>
        </is>
      </c>
      <c r="C40" s="70" t="inlineStr">
        <is>
          <t>Dependency and secret scanning enabled on the application repository (Dependabot, GitHub Secret Protection / push protection — confirmed 2026-07-28). Documented risk assessment (P10). Formal Vulnerability Management policy (P13) not started.</t>
        </is>
      </c>
      <c r="D40" s="56" t="n"/>
      <c r="E40" s="50" t="n"/>
      <c r="F40" s="71" t="n"/>
      <c r="G40" s="29">
        <f>IF(B40="Yes",1,IF(B40="N/A",1,0))</f>
        <v/>
      </c>
      <c r="H40" s="20" t="n">
        <v>2</v>
      </c>
      <c r="I40" s="23">
        <f>G40*H40</f>
        <v/>
      </c>
      <c r="J40" s="19" t="n"/>
    </row>
    <row r="41" ht="17" customHeight="1" s="38">
      <c r="A41" s="3" t="inlineStr">
        <is>
          <t>Is there a documented policy and process for business continuity and disaster recovery?</t>
        </is>
      </c>
      <c r="B41" s="70" t="inlineStr">
        <is>
          <t>Yes</t>
        </is>
      </c>
      <c r="C41" s="70" t="inlineStr">
        <is>
          <t>Approved Business Continuity / Disaster Recovery policy (P11) and Backup &amp; Restore policy (P12), honest for managed-cloud solo-founder SaaS. Working RTO/RPO are internal targets, not published customer SLAs unless MSA states otherwise.</t>
        </is>
      </c>
      <c r="D41" s="56" t="n"/>
      <c r="E41" s="50" t="n"/>
      <c r="F41" s="71" t="n"/>
      <c r="G41" s="29">
        <f>IF(B41="Yes",1,IF(B41="N/A",1,0))</f>
        <v/>
      </c>
      <c r="H41" s="20" t="n">
        <v>2</v>
      </c>
      <c r="I41" s="23">
        <f>G41*H41</f>
        <v/>
      </c>
      <c r="J41" s="19" t="n"/>
    </row>
    <row r="42" ht="17" customHeight="1" s="38">
      <c r="A42" s="5" t="inlineStr">
        <is>
          <t>Do you utilize any payment gateway integrations (i.e. paypal, authorize.net)?  If so, please explain.</t>
        </is>
      </c>
      <c r="B42" s="70" t="inlineStr">
        <is>
          <t>Yes</t>
        </is>
      </c>
      <c r="C42" s="70" t="inlineStr">
        <is>
          <t>Stripe for SMPL subscription billing / checkout. Card data processed by Stripe; SMPL does not store full PANs. Not used as a customer payment gateway inside Sage Intacct.</t>
        </is>
      </c>
      <c r="D42" s="56" t="n"/>
      <c r="E42" s="47" t="n"/>
      <c r="F42" s="71" t="n"/>
      <c r="G42" s="29">
        <f>IF(B42="Yes",1,IF(B42="N/A",1,0))</f>
        <v/>
      </c>
      <c r="H42" s="20" t="n">
        <v>2</v>
      </c>
      <c r="I42" s="23">
        <f>G42*H42</f>
        <v/>
      </c>
      <c r="J42" s="19" t="n"/>
    </row>
    <row r="43" ht="17" customHeight="1" s="38">
      <c r="A43" s="6" t="inlineStr">
        <is>
          <t xml:space="preserve">Does your company utilize a SDLC? </t>
        </is>
      </c>
      <c r="B43" s="70" t="inlineStr">
        <is>
          <t>Yes</t>
        </is>
      </c>
      <c r="C43" s="70" t="inlineStr">
        <is>
          <t>Secure SDLC / change management (P05): branch -&gt; PR -&gt; protected main -&gt; deploy (Vercel FE / Railway API).</t>
        </is>
      </c>
      <c r="D43" s="56" t="n"/>
      <c r="E43" s="47" t="n"/>
      <c r="F43" s="71" t="n"/>
      <c r="G43" s="29">
        <f>IF(B43="Yes",1,IF(B43="N/A",1,0))</f>
        <v/>
      </c>
      <c r="H43" s="20" t="n">
        <v>4</v>
      </c>
      <c r="I43" s="23">
        <f>G43*H43</f>
        <v/>
      </c>
      <c r="J43" s="19" t="n"/>
    </row>
    <row r="44" ht="17" customHeight="1" s="38">
      <c r="A44" s="6" t="inlineStr">
        <is>
          <t>Do you utilze a source code managaement system (i.e. GIT, Subversion, Clearcase, etc)</t>
        </is>
      </c>
      <c r="B44" s="70" t="inlineStr">
        <is>
          <t>Yes</t>
        </is>
      </c>
      <c r="C44" s="70" t="inlineStr">
        <is>
          <t>GitHub for source control and CI.</t>
        </is>
      </c>
      <c r="D44" s="56" t="n"/>
      <c r="E44" s="47" t="n"/>
      <c r="F44" s="71" t="n"/>
      <c r="G44" s="29">
        <f>IF(B44="Yes",1,IF(B44="N/A",1,0))</f>
        <v/>
      </c>
      <c r="H44" s="20" t="n">
        <v>4</v>
      </c>
      <c r="I44" s="23">
        <f>G44*H44</f>
        <v/>
      </c>
      <c r="J44" s="19" t="n"/>
    </row>
    <row r="45" ht="17" customHeight="1" s="38">
      <c r="A45" s="5" t="inlineStr">
        <is>
          <t>Do you conduct application security reviews?  If so, please describe the scope and frequency</t>
        </is>
      </c>
      <c r="B45" s="70" t="inlineStr">
        <is>
          <t>Yes</t>
        </is>
      </c>
      <c r="C45" s="70" t="inlineStr">
        <is>
          <t>PR-based code review; Dependabot / secret scanning; tenant-isolation readiness testing completed 2026-07-29 (Org A != Org B). Scope/frequency: continuous for dependency alerts; isolation test as readiness evidence. No scheduled third-party application pen test yet.</t>
        </is>
      </c>
      <c r="D45" s="56" t="n"/>
      <c r="E45" s="47" t="n"/>
      <c r="F45" s="71" t="n"/>
      <c r="G45" s="29">
        <f>IF(B45="Yes",1,IF(B45="N/A",1,0))</f>
        <v/>
      </c>
      <c r="H45" s="20" t="n">
        <v>4</v>
      </c>
      <c r="I45" s="23">
        <f>G45*H45</f>
        <v/>
      </c>
      <c r="J45" s="19" t="n"/>
    </row>
    <row r="46" ht="17" customHeight="1" s="38">
      <c r="A46" s="6" t="inlineStr">
        <is>
          <t>Are your developers required to take application security specific training (i.e. OWASP)?</t>
        </is>
      </c>
      <c r="B46" s="70" t="inlineStr">
        <is>
          <t>No</t>
        </is>
      </c>
      <c r="C46" s="70" t="inlineStr">
        <is>
          <t>No formal OWASP / application-security-specific training program required today (solo founder; P17 awareness training not started).</t>
        </is>
      </c>
      <c r="D46" s="56" t="n"/>
      <c r="E46" s="47" t="n"/>
      <c r="F46" s="71" t="n"/>
      <c r="G46" s="29">
        <f>IF(B46="Yes",1,IF(B46="N/A",1,0))</f>
        <v/>
      </c>
      <c r="H46" s="20" t="n">
        <v>4</v>
      </c>
      <c r="I46" s="23">
        <f>G46*H46</f>
        <v/>
      </c>
      <c r="J46" s="19" t="n"/>
    </row>
    <row r="47" ht="17" customHeight="1" s="38">
      <c r="A47" s="5" t="inlineStr">
        <is>
          <t>Does your solution include a mobile application?  If so, please describe.</t>
        </is>
      </c>
      <c r="B47" s="70" t="inlineStr">
        <is>
          <t>No</t>
        </is>
      </c>
      <c r="C47" s="70" t="inlineStr">
        <is>
          <t>No native mobile application. Responsive web app only (www.smpl-ai.com).</t>
        </is>
      </c>
      <c r="D47" s="56" t="n"/>
      <c r="E47" s="47" t="n"/>
      <c r="F47" s="71" t="n"/>
      <c r="G47" s="29">
        <f>IF(B47="Yes",1,IF(B47="N/A",1,0))</f>
        <v/>
      </c>
      <c r="H47" s="20" t="n">
        <v>2</v>
      </c>
      <c r="I47" s="23">
        <f>G47*H47</f>
        <v/>
      </c>
      <c r="J47" s="19" t="n"/>
    </row>
    <row r="48" ht="17" customHeight="1" s="38">
      <c r="A48" s="5" t="inlineStr">
        <is>
          <t>Does your integation / application have other cloud service integrations?  If so, please explain.</t>
        </is>
      </c>
      <c r="B48" s="70" t="inlineStr">
        <is>
          <t>Yes</t>
        </is>
      </c>
      <c r="C48" s="70" t="inlineStr">
        <is>
          <t>Product cloud integrations / subprocessors typically include: Vercel (web), Railway (API), Neon (Postgres, AWS us-east-1), Resend (email), Anthropic (LLM commentary API), Stripe (billing), GitHub (source/CI). Customer source systems (e.g., Sage Intacct, other ERPs/CRMs) are customer-controlled; SMPL reads/reconciles via authorized import/integration. Marketing CMS (Sanity) and sales CRM (HubSpot) are org tools, not product Customer Data exhibit.</t>
        </is>
      </c>
      <c r="D48" s="56" t="n"/>
      <c r="E48" s="48" t="n"/>
      <c r="F48" s="71" t="n"/>
      <c r="G48" s="29">
        <f>IF(B48="Yes",1,IF(B48="N/A",1,0))</f>
        <v/>
      </c>
      <c r="H48" s="20" t="n">
        <v>2</v>
      </c>
      <c r="I48" s="23">
        <f>G48*H48</f>
        <v/>
      </c>
      <c r="J48" s="19" t="n"/>
    </row>
    <row r="49" ht="17" customHeight="1" s="38">
      <c r="A49" s="5" t="inlineStr">
        <is>
          <t>Do you utilize any public cloud or shared services to develop / maintain your product?  If so, please explain</t>
        </is>
      </c>
      <c r="B49" s="70" t="inlineStr">
        <is>
          <t>Yes</t>
        </is>
      </c>
      <c r="C49" s="70" t="inlineStr">
        <is>
          <t>Yes — public cloud / shared services: Vercel, Railway, Neon (managed Postgres on AWS), GitHub. Development and production use these platforms. Other vendor regions TBD except Neon us-east-1.</t>
        </is>
      </c>
      <c r="D49" s="56" t="n"/>
      <c r="E49" s="48" t="n"/>
      <c r="F49" s="71" t="n"/>
      <c r="G49" s="29">
        <f>IF(B49="Yes",1,IF(B49="N/A",1,0))</f>
        <v/>
      </c>
      <c r="H49" s="20" t="n">
        <v>2</v>
      </c>
      <c r="I49" s="23">
        <f>G49*H49</f>
        <v/>
      </c>
      <c r="J49" s="22">
        <f>(SUM(I19:I49))</f>
        <v/>
      </c>
    </row>
    <row r="50" ht="29.25" customFormat="1" customHeight="1" s="7">
      <c r="A50" s="10" t="inlineStr">
        <is>
          <t>Privacy Related Questions</t>
        </is>
      </c>
      <c r="B50" s="11" t="inlineStr">
        <is>
          <t>Response</t>
        </is>
      </c>
      <c r="C50" s="11" t="inlineStr">
        <is>
          <t>Additional Information</t>
        </is>
      </c>
      <c r="D50" s="11" t="n"/>
      <c r="E50" s="49" t="inlineStr">
        <is>
          <t>Sage Intacct Comments (For Intacct Use Only)</t>
        </is>
      </c>
      <c r="F50" s="69" t="n"/>
      <c r="G50" s="27" t="inlineStr">
        <is>
          <t>Security score</t>
        </is>
      </c>
      <c r="H50" s="15" t="inlineStr">
        <is>
          <t>Weight</t>
        </is>
      </c>
      <c r="I50" s="15" t="inlineStr">
        <is>
          <t>Weighted Score</t>
        </is>
      </c>
      <c r="J50" s="16" t="inlineStr">
        <is>
          <t>Total Privacy Score</t>
        </is>
      </c>
    </row>
    <row r="51" customFormat="1" s="7">
      <c r="A51" s="31" t="inlineStr">
        <is>
          <t>Is there a formally documented privacy policy (or policies)?  Please provide the document or a link.</t>
        </is>
      </c>
      <c r="B51" s="81" t="inlineStr">
        <is>
          <t>No</t>
        </is>
      </c>
      <c r="C51" s="82" t="inlineStr">
        <is>
          <t>No published customer-facing privacy policy URL to provide yet. Internal confidentiality / retention / data-handling policies approved. Customer DPA/MSA legal workstream in progress with counsel — not customer-ready. Privacy Trust Services deferred for first SOC 2 Type I.</t>
        </is>
      </c>
      <c r="D51" s="26" t="n"/>
      <c r="E51" s="46" t="n"/>
      <c r="F51" s="71" t="n"/>
      <c r="G51" s="29">
        <f>IF(B51="Yes",5,IF(B51="N/A",1,0))</f>
        <v/>
      </c>
      <c r="H51" s="20" t="n">
        <v>4</v>
      </c>
      <c r="I51" s="23">
        <f>G51*H51</f>
        <v/>
      </c>
      <c r="J51" s="19" t="n"/>
    </row>
    <row r="52" customFormat="1" s="7">
      <c r="A52" s="31" t="inlineStr">
        <is>
          <t xml:space="preserve">Are you certified and listed with Privacy Shield for your product and/or your Web Site?.  Please indicate </t>
        </is>
      </c>
      <c r="B52" s="82" t="inlineStr">
        <is>
          <t>No</t>
        </is>
      </c>
      <c r="C52" s="82" t="inlineStr">
        <is>
          <t>Not Privacy Shield certified / listed.</t>
        </is>
      </c>
      <c r="D52" s="26" t="n"/>
      <c r="E52" s="46" t="n"/>
      <c r="F52" s="46" t="n"/>
      <c r="G52" s="29">
        <f>IF(B52="Yes",5,IF(B52="N/A",1,0))</f>
        <v/>
      </c>
      <c r="H52" s="20" t="n">
        <v>4</v>
      </c>
      <c r="I52" s="23">
        <f>G52*H52</f>
        <v/>
      </c>
      <c r="J52" s="19" t="n"/>
    </row>
    <row r="53" customFormat="1" s="7">
      <c r="A53" s="9" t="inlineStr">
        <is>
          <t>Is there a dedicated person (or group) responsible for privacy compliance?</t>
        </is>
      </c>
      <c r="B53" s="82" t="inlineStr">
        <is>
          <t>Yes</t>
        </is>
      </c>
      <c r="C53" s="82" t="inlineStr">
        <is>
          <t>Matt Justice (Founder; Security Owner) currently owns privacy/compliance questions for the organization (solo-founder).</t>
        </is>
      </c>
      <c r="D53" s="26" t="n"/>
      <c r="E53" s="46" t="n"/>
      <c r="F53" s="71" t="n"/>
      <c r="G53" s="29">
        <f>IF(B53="Yes",5,IF(B53="N/A",1,0))</f>
        <v/>
      </c>
      <c r="H53" s="20" t="n">
        <v>4</v>
      </c>
      <c r="I53" s="23">
        <f>G53*H53</f>
        <v/>
      </c>
      <c r="J53" s="19" t="n"/>
    </row>
    <row r="54" customFormat="1" s="7">
      <c r="A54" s="9" t="inlineStr">
        <is>
          <t>Are there regular privacy risk assessments?</t>
        </is>
      </c>
      <c r="B54" s="81" t="inlineStr">
        <is>
          <t>No</t>
        </is>
      </c>
      <c r="C54" s="82" t="inlineStr">
        <is>
          <t>No separate regular privacy risk assessment program. Broader information security risk assessment documented (P10). Privacy TSC deferred for Type I.</t>
        </is>
      </c>
      <c r="D54" s="26" t="n"/>
      <c r="E54" s="46" t="n"/>
      <c r="F54" s="71" t="n"/>
      <c r="G54" s="29">
        <f>IF(B54="Yes",5,IF(B54="N/A",1,0))</f>
        <v/>
      </c>
      <c r="H54" s="20" t="n">
        <v>4</v>
      </c>
      <c r="I54" s="23">
        <f>G54*H54</f>
        <v/>
      </c>
      <c r="J54" s="19" t="n"/>
    </row>
    <row r="55" customFormat="1" s="7">
      <c r="A55" s="9" t="inlineStr">
        <is>
          <t>Is there a process for responding to a privacy incident?</t>
        </is>
      </c>
      <c r="B55" s="82" t="inlineStr">
        <is>
          <t>Yes</t>
        </is>
      </c>
      <c r="C55" s="82" t="inlineStr">
        <is>
          <t>Incident Response Plan (P04) includes process for security and privacy-related incidents and customer notification when material.</t>
        </is>
      </c>
      <c r="D55" s="26" t="n"/>
      <c r="E55" s="46" t="n"/>
      <c r="F55" s="71" t="n"/>
      <c r="G55" s="29">
        <f>IF(B55="Yes",5,IF(B55="N/A",1,0))</f>
        <v/>
      </c>
      <c r="H55" s="20" t="n">
        <v>4</v>
      </c>
      <c r="I55" s="23">
        <f>G55*H55</f>
        <v/>
      </c>
      <c r="J55" s="19" t="n"/>
    </row>
    <row r="56" customFormat="1" s="7">
      <c r="A56" s="9" t="inlineStr">
        <is>
          <t>Do you have a GDPR data processing addendum or other GDPR readiness document? If so, please provide</t>
        </is>
      </c>
      <c r="B56" s="82" t="inlineStr">
        <is>
          <t>No</t>
        </is>
      </c>
      <c r="C56" s="82" t="inlineStr">
        <is>
          <t>GDPR DPA / readiness exhibit not yet customer-offerable. Outline sent toward counsel; firm selection / redline still open. Do not claim GDPR certification.</t>
        </is>
      </c>
      <c r="D56" s="26" t="n"/>
      <c r="E56" s="46" t="n"/>
      <c r="F56" s="46" t="n"/>
      <c r="G56" s="29">
        <f>IF(B56="Yes",5,IF(B56="N/A",1,0))</f>
        <v/>
      </c>
      <c r="H56" s="20" t="n">
        <v>4</v>
      </c>
      <c r="I56" s="23">
        <f>G56*H56</f>
        <v/>
      </c>
      <c r="J56" s="19" t="n"/>
    </row>
    <row r="57" customFormat="1" s="7">
      <c r="A57" s="9" t="inlineStr">
        <is>
          <t>Do you have a CCPA data processing addendum or other CCPA readiness document? If so, please provide</t>
        </is>
      </c>
      <c r="B57" s="82" t="inlineStr">
        <is>
          <t>No</t>
        </is>
      </c>
      <c r="C57" s="82" t="inlineStr">
        <is>
          <t>CCPA DPA / readiness exhibit not yet customer-offerable (same legal workstream as GDPR/DPA). Do not claim CCPA certification.</t>
        </is>
      </c>
      <c r="D57" s="26" t="n"/>
      <c r="E57" s="33" t="n"/>
      <c r="F57" s="33" t="n"/>
      <c r="G57" s="29">
        <f>IF(B57="Yes",5,IF(B57="N/A",1,0))</f>
        <v/>
      </c>
      <c r="H57" s="20" t="n">
        <v>4</v>
      </c>
      <c r="I57" s="23">
        <f>G57*H57</f>
        <v/>
      </c>
      <c r="J57" s="22">
        <f>SUM(I51:I57)</f>
        <v/>
      </c>
    </row>
    <row r="58" ht="34" customFormat="1" customHeight="1" s="7">
      <c r="A58" s="10" t="inlineStr">
        <is>
          <t xml:space="preserve">Solar Winds Breach </t>
        </is>
      </c>
      <c r="B58" s="11" t="inlineStr">
        <is>
          <t>Response</t>
        </is>
      </c>
      <c r="C58" s="10" t="inlineStr">
        <is>
          <t>Additional 
Information</t>
        </is>
      </c>
      <c r="D58" s="10" t="n"/>
      <c r="E58" s="12" t="n"/>
      <c r="F58" s="12" t="n"/>
      <c r="G58" s="27" t="inlineStr">
        <is>
          <t>Security score</t>
        </is>
      </c>
      <c r="H58" s="15" t="inlineStr">
        <is>
          <t>Weight</t>
        </is>
      </c>
      <c r="I58" s="15" t="inlineStr">
        <is>
          <t>Weighted Score</t>
        </is>
      </c>
      <c r="J58" s="16" t="inlineStr">
        <is>
          <t>SW Breach Score</t>
        </is>
      </c>
    </row>
    <row r="59" ht="32" customFormat="1" customHeight="1" s="7">
      <c r="A59" s="9" t="inlineStr">
        <is>
          <t xml:space="preserve">
Has the organization been impacted by the recent SolarWinds “Sunburst” malware cyberattack? (If yes, please explain)</t>
        </is>
      </c>
      <c r="B59" s="82" t="inlineStr">
        <is>
          <t>No</t>
        </is>
      </c>
      <c r="C59" s="82" t="inlineStr">
        <is>
          <t>Not impacted by SolarWinds Sunburst to our knowledge. SMPL does not rely on SolarWinds Orion for production.</t>
        </is>
      </c>
      <c r="D59" s="9" t="n"/>
      <c r="E59" s="9" t="n"/>
      <c r="F59" s="9" t="n"/>
      <c r="G59" s="29">
        <f>IF(B59="No",10,IF(B59="N/A",5,0))</f>
        <v/>
      </c>
      <c r="H59" s="20" t="n">
        <v>10</v>
      </c>
      <c r="I59" s="23">
        <f>G59*H59</f>
        <v/>
      </c>
      <c r="J59" s="22">
        <f>I59</f>
        <v/>
      </c>
    </row>
    <row r="60" ht="34" customFormat="1" customHeight="1" s="7">
      <c r="A60" s="10" t="inlineStr">
        <is>
          <t xml:space="preserve">Microsoft Outlook (on-premise)  Breach </t>
        </is>
      </c>
      <c r="B60" s="11" t="inlineStr">
        <is>
          <t>Response</t>
        </is>
      </c>
      <c r="C60" s="10" t="inlineStr">
        <is>
          <t>Additional 
Information</t>
        </is>
      </c>
      <c r="D60" s="10" t="n"/>
      <c r="E60" s="12" t="n"/>
      <c r="F60" s="12" t="n"/>
      <c r="G60" s="27" t="inlineStr">
        <is>
          <t>Security score</t>
        </is>
      </c>
      <c r="H60" s="15" t="inlineStr">
        <is>
          <t>Weight</t>
        </is>
      </c>
      <c r="I60" s="15" t="inlineStr">
        <is>
          <t>Weighted Score</t>
        </is>
      </c>
      <c r="J60" s="16" t="inlineStr">
        <is>
          <t>MS Breach Score</t>
        </is>
      </c>
    </row>
    <row r="61" customFormat="1" s="7">
      <c r="A61" s="9" t="inlineStr">
        <is>
          <t>Has the organization been impacted by the recent microsoft on premise, zero day vulnerabilities?(if yes please explain)</t>
        </is>
      </c>
      <c r="B61" s="82" t="inlineStr">
        <is>
          <t>No</t>
        </is>
      </c>
      <c r="C61" s="81" t="inlineStr">
        <is>
          <t>Not impacted by Microsoft on-premises Exchange zero-day issues to our knowledge. SMPL does not operate on-premises Microsoft Exchange.</t>
        </is>
      </c>
      <c r="D61" s="9" t="n"/>
      <c r="E61" s="9" t="n"/>
      <c r="F61" s="9" t="n"/>
      <c r="G61" s="29">
        <f>IF(B61="No",10,IF(B61="N/A",5,0))</f>
        <v/>
      </c>
      <c r="H61" s="20" t="n">
        <v>10</v>
      </c>
      <c r="I61" s="23">
        <f>G61*H61</f>
        <v/>
      </c>
      <c r="J61" s="24">
        <f>I61</f>
        <v/>
      </c>
    </row>
    <row r="69">
      <c r="A69" t="inlineStr">
        <is>
          <t xml:space="preserve"> </t>
        </is>
      </c>
    </row>
  </sheetData>
  <sheetProtection selectLockedCells="1" selectUnlockedCells="0" algorithmName="SHA-512" sheet="1" objects="0" insertRows="1" insertHyperlinks="1" autoFilter="1" scenarios="0" formatColumns="1" deleteColumns="1" insertColumns="1" pivotTables="1" deleteRows="1" formatCells="0" saltValue="7TQkJxUzBj5WL9094hwscA==" formatRows="0" sort="1" spinCount="100000" hashValue="N3xOYyf1JHt+JrmBTgelsb8dDGxxg8FG09ylVK9m2vgPnLCCPe+E//qgTpgMazKpqPgm8yyLJnFn1w+xV4n8Ig=="/>
  <mergeCells count="59">
    <mergeCell ref="E43:F43"/>
    <mergeCell ref="E12:F12"/>
    <mergeCell ref="E50:F50"/>
    <mergeCell ref="B7:C7"/>
    <mergeCell ref="E55:F55"/>
    <mergeCell ref="E24:F24"/>
    <mergeCell ref="B3:C3"/>
    <mergeCell ref="E33:F33"/>
    <mergeCell ref="E5:F5"/>
    <mergeCell ref="E23:F23"/>
    <mergeCell ref="E42:F42"/>
    <mergeCell ref="E48:F48"/>
    <mergeCell ref="E39:F39"/>
    <mergeCell ref="E8:F8"/>
    <mergeCell ref="E44:F44"/>
    <mergeCell ref="E35:F35"/>
    <mergeCell ref="E4:F4"/>
    <mergeCell ref="E51:F51"/>
    <mergeCell ref="B2:C2"/>
    <mergeCell ref="E20:F20"/>
    <mergeCell ref="E38:F38"/>
    <mergeCell ref="E29:F29"/>
    <mergeCell ref="E10:F10"/>
    <mergeCell ref="E19:F19"/>
    <mergeCell ref="E28:F28"/>
    <mergeCell ref="A17:F17"/>
    <mergeCell ref="E40:F40"/>
    <mergeCell ref="E9:F9"/>
    <mergeCell ref="B8:C8"/>
    <mergeCell ref="E31:F31"/>
    <mergeCell ref="E34:F34"/>
    <mergeCell ref="E6:F6"/>
    <mergeCell ref="E30:F30"/>
    <mergeCell ref="E46:F46"/>
    <mergeCell ref="E2:F2"/>
    <mergeCell ref="B10:C10"/>
    <mergeCell ref="E49:F49"/>
    <mergeCell ref="E27:F27"/>
    <mergeCell ref="E45:F45"/>
    <mergeCell ref="E36:F36"/>
    <mergeCell ref="B9:C9"/>
    <mergeCell ref="E26:F26"/>
    <mergeCell ref="B6:C6"/>
    <mergeCell ref="E54:F54"/>
    <mergeCell ref="E32:F32"/>
    <mergeCell ref="E7:F7"/>
    <mergeCell ref="E25:F25"/>
    <mergeCell ref="B5:C5"/>
    <mergeCell ref="A1:F1"/>
    <mergeCell ref="E41:F41"/>
    <mergeCell ref="E37:F37"/>
    <mergeCell ref="E22:F22"/>
    <mergeCell ref="A15:J16"/>
    <mergeCell ref="E53:F53"/>
    <mergeCell ref="E3:F3"/>
    <mergeCell ref="E18:F18"/>
    <mergeCell ref="B4:C4"/>
    <mergeCell ref="E47:F47"/>
    <mergeCell ref="E21:F21"/>
  </mergeCells>
  <conditionalFormatting sqref="J17">
    <cfRule type="cellIs" priority="8" operator="lessThan" dxfId="2">
      <formula>100</formula>
    </cfRule>
    <cfRule type="cellIs" priority="9" operator="equal" dxfId="0">
      <formula>100</formula>
    </cfRule>
    <cfRule type="cellIs" priority="16" operator="equal" dxfId="1">
      <formula>40</formula>
    </cfRule>
    <cfRule type="cellIs" priority="17" operator="equal" dxfId="2">
      <formula>0</formula>
    </cfRule>
    <cfRule type="cellIs" priority="18" operator="equal" dxfId="0">
      <formula>200</formula>
    </cfRule>
  </conditionalFormatting>
  <conditionalFormatting sqref="J57">
    <cfRule type="cellIs" priority="10" operator="lessThan" dxfId="2">
      <formula>41</formula>
    </cfRule>
    <cfRule type="cellIs" priority="11" operator="lessThan" dxfId="2">
      <formula>40</formula>
    </cfRule>
    <cfRule type="cellIs" priority="13" operator="between" dxfId="1">
      <formula>40</formula>
      <formula>79</formula>
    </cfRule>
    <cfRule type="cellIs" priority="14" operator="between" dxfId="1">
      <formula>60</formula>
      <formula>79</formula>
    </cfRule>
    <cfRule type="cellIs" priority="15" operator="greaterThan" dxfId="0">
      <formula>79</formula>
    </cfRule>
  </conditionalFormatting>
  <conditionalFormatting sqref="C56">
    <cfRule type="cellIs" priority="12" operator="between" dxfId="1">
      <formula>41</formula>
      <formula>79</formula>
    </cfRule>
  </conditionalFormatting>
  <conditionalFormatting sqref="J59">
    <cfRule type="cellIs" priority="6" operator="lessThan" dxfId="2">
      <formula>100</formula>
    </cfRule>
    <cfRule type="cellIs" priority="7" operator="equal" dxfId="0">
      <formula>100</formula>
    </cfRule>
  </conditionalFormatting>
  <conditionalFormatting sqref="J61">
    <cfRule type="cellIs" priority="4" operator="lessThan" dxfId="2">
      <formula>100</formula>
    </cfRule>
    <cfRule type="cellIs" priority="5" operator="equal" dxfId="0">
      <formula>100</formula>
    </cfRule>
  </conditionalFormatting>
  <conditionalFormatting sqref="J49">
    <cfRule type="cellIs" priority="1" operator="lessThan" dxfId="2">
      <formula>60</formula>
    </cfRule>
    <cfRule type="cellIs" priority="2" operator="between" dxfId="1">
      <formula>60</formula>
      <formula>74</formula>
    </cfRule>
    <cfRule type="cellIs" priority="3" operator="greaterThan" dxfId="0">
      <formula>75</formula>
    </cfRule>
  </conditionalFormatting>
  <dataValidations count="1">
    <dataValidation sqref="B12:B14 B19:B49 B51:B57 B59 B61" showDropDown="0" showInputMessage="1" showErrorMessage="1" allowBlank="1" type="list">
      <formula1>"Yes, No, N/A"</formula1>
    </dataValidation>
  </dataValidation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2021-04-16T00:39:03Z</dcterms:created>
  <dcterms:modified xmlns:dcterms="http://purl.org/dc/terms/" xmlns:xsi="http://www.w3.org/2001/XMLSchema-instance" xsi:type="dcterms:W3CDTF">2026-08-04T21:39:25Z</dcterms:modified>
  <cp:lastModifiedBy>Microsoft Office User</cp:lastModifiedBy>
</cp:coreProperties>
</file>