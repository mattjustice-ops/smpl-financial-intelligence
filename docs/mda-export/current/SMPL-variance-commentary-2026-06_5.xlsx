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NI walk" sheetId="3" state="visible" r:id="rId3"/>
    <sheet xmlns:r="http://schemas.openxmlformats.org/officeDocument/2006/relationships" name="Comparison matrix" sheetId="4" state="visible" r:id="rId4"/>
    <sheet xmlns:r="http://schemas.openxmlformats.org/officeDocument/2006/relationships" name="MoM" sheetId="5" state="visible" r:id="rId5"/>
    <sheet xmlns:r="http://schemas.openxmlformats.org/officeDocument/2006/relationships" name="QoQ" sheetId="6" state="visible" r:id="rId6"/>
    <sheet xmlns:r="http://schemas.openxmlformats.org/officeDocument/2006/relationships" name="YoY" sheetId="7" state="visible" r:id="rId7"/>
    <sheet xmlns:r="http://schemas.openxmlformats.org/officeDocument/2006/relationships" name="YTD" sheetId="8" state="visible" r:id="rId8"/>
    <sheet xmlns:r="http://schemas.openxmlformats.org/officeDocument/2006/relationships" name="Budget M" sheetId="9" state="visible" r:id="rId9"/>
    <sheet xmlns:r="http://schemas.openxmlformats.org/officeDocument/2006/relationships" name="Forecast M" sheetId="10" state="visible" r:id="rId10"/>
    <sheet xmlns:r="http://schemas.openxmlformats.org/officeDocument/2006/relationships" name="Labor bridge" sheetId="11" state="visible" r:id="rId11"/>
    <sheet xmlns:r="http://schemas.openxmlformats.org/officeDocument/2006/relationships" name="Watch list" sheetId="12" state="visible" r:id="rId12"/>
    <sheet xmlns:r="http://schemas.openxmlformats.org/officeDocument/2006/relationships" name="Tie-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SMPL variance commentary</t>
        </is>
      </c>
    </row>
    <row r="2">
      <c r="A2" t="inlineStr">
        <is>
          <t>Close</t>
        </is>
      </c>
      <c r="B2" t="inlineStr">
        <is>
          <t>2026-06</t>
        </is>
      </c>
    </row>
    <row r="3">
      <c r="A3" t="inlineStr">
        <is>
          <t>Finalize</t>
        </is>
      </c>
      <c r="B3" t="inlineStr">
        <is>
          <t>Not allowed yet</t>
        </is>
      </c>
    </row>
    <row r="5">
      <c r="A5" t="inlineStr">
        <is>
          <t>One paragraph per line. Amounts in a paragraph are the line's own amounts. Future impacts are blank until they are noted on a GL line. A blank amount means that side was not loaded.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Narrative</t>
        </is>
      </c>
      <c r="C1" t="inlineStr">
        <is>
          <t>Added on the overview</t>
        </is>
      </c>
    </row>
    <row r="2">
      <c r="A2" t="inlineStr">
        <is>
          <t>May 2026 to June 2026</t>
        </is>
      </c>
      <c r="B2" t="inlineStr">
        <is>
          <t>Revenue rose $96,113.67. Cost of revenue rose $4,560.87. Operating expenses rose $88,193.37 because higher research and development ($69,706.08), higher sales and marketing ($10,977.37) and higher general and administrative ($7,509.92). Depreciation and amortization rose $1,309.10. Interest was unchanged. Tax rose $512.59. Net income rose $1,537.74 because higher revenue ($96,113.67) and lower operating expenses (-$88,193.37); other items (-$6,382.56). Gross profit rose $91,552.80 because higher revenue ($96,113.67) and lower cost of revenue (-$4,560.87). The compensation bridge has no beginning and ending totals.
Cash rose $1,687,473.33. Total assets rose $820,500.63. Total liabilities fell $209,277.42.
Operating cash flow rose $284,347.33. Investing cash flow fell $3,059.10. Financing cash flow was unchanged. Net change in cash rose $281,288.23 because higher operating cash flow ($284,347.33) and lower investing cash flow (-$3,059.10). Ending cash rose $1,687,473.33.</t>
        </is>
      </c>
      <c r="C2" t="inlineStr"/>
    </row>
    <row r="3">
      <c r="A3" t="inlineStr">
        <is>
          <t>Q1 2026 to Q2 2026</t>
        </is>
      </c>
      <c r="B3" t="inlineStr">
        <is>
          <t>Revenue rose $903,621.96. Cost of revenue rose $92,324.35. Operating expenses rose $461,873.76 because higher research and development ($350,163.86), higher sales and marketing ($163,795.29) and lower general and administrative (-$52,085.39). Depreciation and amortization rose $11,534.45. Interest was unchanged. Tax rose $84,472.35. Net income rose $253,417.05 because higher revenue ($903,621.96) and lower operating expenses (-$461,873.76); other items (-$188,331.15). Gross profit rose $811,297.61 because higher revenue ($903,621.96) and lower cost of revenue (-$92,324.35).
Cash rose $10,395,869.57. Total assets rose $6,636,716.58. Total liabilities fell $1,887,967.02.
Operating cash flow rose $745,764.72. Investing cash flow fell $19,784.45. Financing cash flow was unchanged. Net change in cash rose $725,980.27 because higher operating cash flow ($745,764.72) and lower investing cash flow (-$19,784.45). Ending cash rose $10,395,869.57.</t>
        </is>
      </c>
      <c r="C3" t="inlineStr"/>
    </row>
    <row r="4">
      <c r="A4" t="inlineStr">
        <is>
          <t>June 2025 to June 2026</t>
        </is>
      </c>
      <c r="B4" t="inlineStr">
        <is>
          <t>Revenue rose $1,225,084.92. Cost of revenue rose $162,706.40. Operating expenses rose $841,604.71 because higher sales and marketing ($349,642.03), higher research and development ($318,430.67) and higher general and administrative ($173,532.01). Depreciation and amortization rose $15,178.29. Interest was unchanged. Tax rose $51,398.88. Net income rose $154,196.64 because higher revenue ($1,225,084.92) and lower operating expenses (-$841,604.71); other items (-$229,283.57). Gross profit rose $1,062,378.52 because higher revenue ($1,225,084.92) and lower cost of revenue (-$162,706.40).
Cash rose $9,879,996.06. Total assets rose $10,450,566.12. Total liabilities fell $165,297.28.
Operating cash flow rose $187,364.81. Investing cash flow fell $79,655.56. Financing cash flow was unchanged. Net change in cash rose $107,709.25 because higher operating cash flow ($187,364.81) and lower investing cash flow (-$79,655.56). Ending cash rose $9,879,996.06.</t>
        </is>
      </c>
      <c r="C4" t="inlineStr"/>
    </row>
    <row r="5">
      <c r="A5" t="inlineStr">
        <is>
          <t>Year to date through June 2026 versus the prior year</t>
        </is>
      </c>
      <c r="B5" t="inlineStr">
        <is>
          <t>Revenue rose $7,146,078.64. Cost of revenue rose $1,024,352.70. Operating expenses rose $4,828,847.85 because higher sales and marketing ($2,163,359.62), higher research and development ($1,686,182.47) and higher general and administrative ($979,305.76). Depreciation and amortization rose $90,869.51. Interest was unchanged. Tax rose $300,502.14. Net income rose $901,506.44 because higher revenue ($7,146,078.64) and lower operating expenses (-$4,828,847.85); other items (-$1,415,724.35). Gross profit rose $6,121,725.94 because higher revenue ($7,146,078.64) and lower cost of revenue (-$1,024,352.70).
Cash rose $66,433,355.27. Total assets rose $75,777,960.12. Total liabilities rose $6,898,418.12.
Operating cash flow rose $575,541.76. Investing cash flow fell $431,755.87. Financing cash flow fell $8,412,393.69. Net change in cash fell $8,268,607.80 because lower financing cash flow (-$8,412,393.69), lower investing cash flow (-$431,755.87) and higher operating cash flow ($575,541.76). Ending cash rose $66,433,355.27.</t>
        </is>
      </c>
      <c r="C5" t="inlineStr"/>
    </row>
    <row r="6">
      <c r="A6" t="inlineStr">
        <is>
          <t>June 2026 versus budget</t>
        </is>
      </c>
      <c r="B6" t="inlineStr">
        <is>
          <t>Revenue rose $829,830.81. Cost of revenue rose $7,545.60. Operating expenses fell $15,656.38 because lower general and administrative (-$30,582.62), lower research and development (-$18,903.82) and higher sales and marketing ($33,830.06). Depreciation and amortization fell $3,958.29. Interest was unchanged. Tax rose $210,474.97. Net income rose $631,424.91 because higher revenue ($829,830.81), higher operating expenses ($15,656.38), higher depreciation and amortization ($3,958.29) and lower tax (-$210,474.97); other items (-$7,545.60). Gross profit rose $822,285.21 because higher revenue ($829,830.81) and lower cost of revenue (-$7,545.60). The compensation bridge has no beginning and ending totals.
Cash rose $3,850,394.60. Total assets rose $2,544,885.40. Total liabilities fell $1,197,115.44.
Operating cash flow rose $129,439.69. Investing cash flow rose $5,795.79. Financing cash flow was unchanged. Net change in cash rose $135,235.48 because higher operating cash flow ($129,439.69) and higher investing cash flow ($5,795.79). Ending cash rose $3,850,394.60.</t>
        </is>
      </c>
      <c r="C6" t="inlineStr"/>
    </row>
    <row r="7">
      <c r="A7" t="inlineStr">
        <is>
          <t>June 2026 versus forecast</t>
        </is>
      </c>
      <c r="B7" t="inlineStr">
        <is>
          <t>No forecast for June 2026.</t>
        </is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MoM</t>
        </is>
      </c>
      <c r="C1" t="inlineStr">
        <is>
          <t>QoQ</t>
        </is>
      </c>
      <c r="D1" t="inlineStr">
        <is>
          <t>YoY</t>
        </is>
      </c>
      <c r="E1" t="inlineStr">
        <is>
          <t>YTD</t>
        </is>
      </c>
      <c r="F1" t="inlineStr">
        <is>
          <t>Budget M</t>
        </is>
      </c>
      <c r="G1" t="inlineStr">
        <is>
          <t>Forecast M</t>
        </is>
      </c>
    </row>
    <row r="2">
      <c r="A2" t="inlineStr">
        <is>
          <t>Revenue</t>
        </is>
      </c>
      <c r="B2" t="n">
        <v>96113.67</v>
      </c>
      <c r="C2" t="n">
        <v>903621.96</v>
      </c>
      <c r="D2" t="n">
        <v>1225084.92</v>
      </c>
      <c r="E2" t="n">
        <v>7146078.64</v>
      </c>
      <c r="F2" t="n">
        <v>829830.8100000001</v>
      </c>
    </row>
    <row r="3">
      <c r="A3" t="inlineStr">
        <is>
          <t>Cost of revenue</t>
        </is>
      </c>
      <c r="B3" t="n">
        <v>4560.87</v>
      </c>
      <c r="C3" t="n">
        <v>92324.35000000001</v>
      </c>
      <c r="D3" t="n">
        <v>162706.4</v>
      </c>
      <c r="E3" t="n">
        <v>1024352.7</v>
      </c>
      <c r="F3" t="n">
        <v>7545.6</v>
      </c>
    </row>
    <row r="4">
      <c r="A4" t="inlineStr">
        <is>
          <t>Operating expenses</t>
        </is>
      </c>
      <c r="B4" t="n">
        <v>88193.37</v>
      </c>
      <c r="C4" t="n">
        <v>461873.76</v>
      </c>
      <c r="D4" t="n">
        <v>841604.71</v>
      </c>
      <c r="E4" t="n">
        <v>4828847.85</v>
      </c>
      <c r="F4" t="n">
        <v>-15656.38</v>
      </c>
    </row>
    <row r="5">
      <c r="A5" t="inlineStr">
        <is>
          <t>Depreciation and amortization</t>
        </is>
      </c>
      <c r="B5" t="n">
        <v>1309.1</v>
      </c>
      <c r="C5" t="n">
        <v>11534.45</v>
      </c>
      <c r="D5" t="n">
        <v>15178.29</v>
      </c>
      <c r="E5" t="n">
        <v>90869.50999999999</v>
      </c>
      <c r="F5" t="n">
        <v>-3958.29</v>
      </c>
    </row>
    <row r="6">
      <c r="A6" t="inlineStr">
        <is>
          <t>Interest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Tax</t>
        </is>
      </c>
      <c r="B7" t="n">
        <v>512.59</v>
      </c>
      <c r="C7" t="n">
        <v>84472.35000000001</v>
      </c>
      <c r="D7" t="n">
        <v>51398.88</v>
      </c>
      <c r="E7" t="n">
        <v>300502.14</v>
      </c>
      <c r="F7" t="n">
        <v>210474.97</v>
      </c>
    </row>
    <row r="8">
      <c r="A8" t="inlineStr">
        <is>
          <t>Net income</t>
        </is>
      </c>
      <c r="B8" t="n">
        <v>1537.74</v>
      </c>
      <c r="C8" t="n">
        <v>253417.05</v>
      </c>
      <c r="D8" t="n">
        <v>154196.64</v>
      </c>
      <c r="E8" t="n">
        <v>901506.4399999999</v>
      </c>
      <c r="F8" t="n">
        <v>631424.91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Line</t>
        </is>
      </c>
      <c r="C1" t="inlineStr">
        <is>
          <t>MoM</t>
        </is>
      </c>
      <c r="D1" t="inlineStr">
        <is>
          <t>QoQ</t>
        </is>
      </c>
      <c r="E1" t="inlineStr">
        <is>
          <t>YoY</t>
        </is>
      </c>
      <c r="F1" t="inlineStr">
        <is>
          <t>YTD</t>
        </is>
      </c>
      <c r="G1" t="inlineStr">
        <is>
          <t>Budget M</t>
        </is>
      </c>
      <c r="H1" t="inlineStr">
        <is>
          <t>Forecast M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96113.67</v>
      </c>
      <c r="D2" t="n">
        <v>903621.96</v>
      </c>
      <c r="E2" t="n">
        <v>1225084.92</v>
      </c>
      <c r="F2" t="n">
        <v>7146078.64</v>
      </c>
      <c r="G2" t="n">
        <v>829830.8100000001</v>
      </c>
    </row>
    <row r="3">
      <c r="A3" t="inlineStr">
        <is>
          <t>Income statement</t>
        </is>
      </c>
      <c r="B3" t="inlineStr">
        <is>
          <t>Cost of revenue</t>
        </is>
      </c>
      <c r="C3" t="n">
        <v>4560.87</v>
      </c>
      <c r="D3" t="n">
        <v>92324.35000000001</v>
      </c>
      <c r="E3" t="n">
        <v>162706.4</v>
      </c>
      <c r="F3" t="n">
        <v>1024352.7</v>
      </c>
      <c r="G3" t="n">
        <v>7545.6</v>
      </c>
    </row>
    <row r="4">
      <c r="A4" t="inlineStr">
        <is>
          <t>Income statement</t>
        </is>
      </c>
      <c r="B4" t="inlineStr">
        <is>
          <t>Gross profit</t>
        </is>
      </c>
      <c r="C4" t="n">
        <v>91552.8</v>
      </c>
      <c r="D4" t="n">
        <v>811297.61</v>
      </c>
      <c r="E4" t="n">
        <v>1062378.52</v>
      </c>
      <c r="F4" t="n">
        <v>6121725.94</v>
      </c>
      <c r="G4" t="n">
        <v>822285.21</v>
      </c>
    </row>
    <row r="5">
      <c r="A5" t="inlineStr">
        <is>
          <t>Income statement</t>
        </is>
      </c>
      <c r="B5" t="inlineStr">
        <is>
          <t>Sales and marketing</t>
        </is>
      </c>
      <c r="C5" t="n">
        <v>10977.37</v>
      </c>
      <c r="D5" t="n">
        <v>163795.29</v>
      </c>
      <c r="E5" t="n">
        <v>349642.03</v>
      </c>
      <c r="F5" t="n">
        <v>2163359.62</v>
      </c>
      <c r="G5" t="n">
        <v>33830.06</v>
      </c>
    </row>
    <row r="6">
      <c r="A6" t="inlineStr">
        <is>
          <t>Income statement</t>
        </is>
      </c>
      <c r="B6" t="inlineStr">
        <is>
          <t>Research and development</t>
        </is>
      </c>
      <c r="C6" t="n">
        <v>69706.08</v>
      </c>
      <c r="D6" t="n">
        <v>350163.86</v>
      </c>
      <c r="E6" t="n">
        <v>318430.67</v>
      </c>
      <c r="F6" t="n">
        <v>1686182.47</v>
      </c>
      <c r="G6" t="n">
        <v>-18903.82</v>
      </c>
    </row>
    <row r="7">
      <c r="A7" t="inlineStr">
        <is>
          <t>Income statement</t>
        </is>
      </c>
      <c r="B7" t="inlineStr">
        <is>
          <t>General and administrative</t>
        </is>
      </c>
      <c r="C7" t="n">
        <v>7509.92</v>
      </c>
      <c r="D7" t="n">
        <v>-52085.39</v>
      </c>
      <c r="E7" t="n">
        <v>173532.01</v>
      </c>
      <c r="F7" t="n">
        <v>979305.76</v>
      </c>
      <c r="G7" t="n">
        <v>-30582.62</v>
      </c>
    </row>
    <row r="8">
      <c r="A8" t="inlineStr">
        <is>
          <t>Income statement</t>
        </is>
      </c>
      <c r="B8" t="inlineStr">
        <is>
          <t>Operating expenses</t>
        </is>
      </c>
      <c r="C8" t="n">
        <v>88193.37</v>
      </c>
      <c r="D8" t="n">
        <v>461873.76</v>
      </c>
      <c r="E8" t="n">
        <v>841604.71</v>
      </c>
      <c r="F8" t="n">
        <v>4828847.85</v>
      </c>
      <c r="G8" t="n">
        <v>-15656.38</v>
      </c>
    </row>
    <row r="9">
      <c r="A9" t="inlineStr">
        <is>
          <t>Income statement</t>
        </is>
      </c>
      <c r="B9" t="inlineStr">
        <is>
          <t>Depreciation and amortization</t>
        </is>
      </c>
      <c r="C9" t="n">
        <v>1309.1</v>
      </c>
      <c r="D9" t="n">
        <v>11534.45</v>
      </c>
      <c r="E9" t="n">
        <v>15178.29</v>
      </c>
      <c r="F9" t="n">
        <v>90869.50999999999</v>
      </c>
      <c r="G9" t="n">
        <v>-3958.29</v>
      </c>
    </row>
    <row r="10">
      <c r="A10" t="inlineStr">
        <is>
          <t>Income statement</t>
        </is>
      </c>
      <c r="B10" t="inlineStr">
        <is>
          <t>Interest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Income statement</t>
        </is>
      </c>
      <c r="B11" t="inlineStr">
        <is>
          <t>Tax</t>
        </is>
      </c>
      <c r="C11" t="n">
        <v>512.59</v>
      </c>
      <c r="D11" t="n">
        <v>84472.35000000001</v>
      </c>
      <c r="E11" t="n">
        <v>51398.88</v>
      </c>
      <c r="F11" t="n">
        <v>300502.14</v>
      </c>
      <c r="G11" t="n">
        <v>210474.97</v>
      </c>
    </row>
    <row r="12">
      <c r="A12" t="inlineStr">
        <is>
          <t>Income statement</t>
        </is>
      </c>
      <c r="B12" t="inlineStr">
        <is>
          <t>Net income</t>
        </is>
      </c>
      <c r="C12" t="n">
        <v>1537.74</v>
      </c>
      <c r="D12" t="n">
        <v>253417.05</v>
      </c>
      <c r="E12" t="n">
        <v>154196.64</v>
      </c>
      <c r="F12" t="n">
        <v>901506.4399999999</v>
      </c>
      <c r="G12" t="n">
        <v>631424.91</v>
      </c>
    </row>
    <row r="13">
      <c r="A13" t="inlineStr">
        <is>
          <t>Income statement</t>
        </is>
      </c>
      <c r="B13" t="inlineStr">
        <is>
          <t>Compensation</t>
        </is>
      </c>
    </row>
    <row r="14">
      <c r="A14" t="inlineStr">
        <is>
          <t>Balance sheet</t>
        </is>
      </c>
      <c r="B14" t="inlineStr">
        <is>
          <t>Cash</t>
        </is>
      </c>
      <c r="C14" t="n">
        <v>1687473.33</v>
      </c>
      <c r="D14" t="n">
        <v>10395869.57</v>
      </c>
      <c r="E14" t="n">
        <v>9879996.060000001</v>
      </c>
      <c r="F14" t="n">
        <v>66433355.27</v>
      </c>
      <c r="G14" t="n">
        <v>3850394.6</v>
      </c>
    </row>
    <row r="15">
      <c r="A15" t="inlineStr">
        <is>
          <t>Balance sheet</t>
        </is>
      </c>
      <c r="B15" t="inlineStr">
        <is>
          <t>Accounts receivable</t>
        </is>
      </c>
      <c r="C15" t="n">
        <v>-506344.1</v>
      </c>
      <c r="D15" t="n">
        <v>-878222.73</v>
      </c>
      <c r="E15" t="n">
        <v>659484.29</v>
      </c>
      <c r="F15" t="n">
        <v>5458489.72</v>
      </c>
      <c r="G15" t="n">
        <v>-617396.49</v>
      </c>
    </row>
    <row r="16">
      <c r="A16" t="inlineStr">
        <is>
          <t>Balance sheet</t>
        </is>
      </c>
      <c r="B16" t="inlineStr">
        <is>
          <t>Deferred revenue</t>
        </is>
      </c>
      <c r="C16" t="n">
        <v>-1052721.09</v>
      </c>
      <c r="D16" t="n">
        <v>-896308.46</v>
      </c>
      <c r="E16" t="n">
        <v>38171.01</v>
      </c>
      <c r="F16" t="n">
        <v>5377712.93</v>
      </c>
      <c r="G16" t="n">
        <v>-1709632.2</v>
      </c>
    </row>
    <row r="17">
      <c r="A17" t="inlineStr">
        <is>
          <t>Balance sheet</t>
        </is>
      </c>
      <c r="B17" t="inlineStr">
        <is>
          <t>Debt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Balance sheet</t>
        </is>
      </c>
      <c r="B18" t="inlineStr">
        <is>
          <t>Total assets</t>
        </is>
      </c>
      <c r="C18" t="n">
        <v>820500.63</v>
      </c>
      <c r="D18" t="n">
        <v>6636716.58</v>
      </c>
      <c r="E18" t="n">
        <v>10450566.12</v>
      </c>
      <c r="F18" t="n">
        <v>75777960.12</v>
      </c>
      <c r="G18" t="n">
        <v>2544885.4</v>
      </c>
    </row>
    <row r="19">
      <c r="A19" t="inlineStr">
        <is>
          <t>Balance sheet</t>
        </is>
      </c>
      <c r="B19" t="inlineStr">
        <is>
          <t>Total liabilities</t>
        </is>
      </c>
      <c r="C19" t="n">
        <v>-209277.42</v>
      </c>
      <c r="D19" t="n">
        <v>-1887967.02</v>
      </c>
      <c r="E19" t="n">
        <v>-165297.28</v>
      </c>
      <c r="F19" t="n">
        <v>6898418.12</v>
      </c>
      <c r="G19" t="n">
        <v>-1197115.44</v>
      </c>
    </row>
    <row r="20">
      <c r="A20" t="inlineStr">
        <is>
          <t>Balance sheet</t>
        </is>
      </c>
      <c r="B20" t="inlineStr">
        <is>
          <t>Total liabilities and equity</t>
        </is>
      </c>
      <c r="C20" t="n">
        <v>820500.63</v>
      </c>
      <c r="D20" t="n">
        <v>6636716.58</v>
      </c>
      <c r="E20" t="n">
        <v>10450566.12</v>
      </c>
      <c r="F20" t="n">
        <v>75777960.12</v>
      </c>
      <c r="G20" t="n">
        <v>2544885.4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284347.33</v>
      </c>
      <c r="D21" t="n">
        <v>745764.72</v>
      </c>
      <c r="E21" t="n">
        <v>187364.81</v>
      </c>
      <c r="F21" t="n">
        <v>575541.76</v>
      </c>
      <c r="G21" t="n">
        <v>129439.69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-3059.1</v>
      </c>
      <c r="D22" t="n">
        <v>-19784.45</v>
      </c>
      <c r="E22" t="n">
        <v>-79655.56</v>
      </c>
      <c r="F22" t="n">
        <v>-431755.87</v>
      </c>
      <c r="G22" t="n">
        <v>5795.79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0</v>
      </c>
      <c r="D23" t="n">
        <v>0</v>
      </c>
      <c r="E23" t="n">
        <v>0</v>
      </c>
      <c r="F23" t="n">
        <v>-8412393.689999999</v>
      </c>
      <c r="G23" t="n">
        <v>0</v>
      </c>
    </row>
    <row r="24">
      <c r="A24" t="inlineStr">
        <is>
          <t>Cash flow</t>
        </is>
      </c>
      <c r="B24" t="inlineStr">
        <is>
          <t>Net change in cash</t>
        </is>
      </c>
      <c r="C24" t="n">
        <v>281288.23</v>
      </c>
      <c r="D24" t="n">
        <v>725980.27</v>
      </c>
      <c r="E24" t="n">
        <v>107709.25</v>
      </c>
      <c r="F24" t="n">
        <v>-8268607.8</v>
      </c>
      <c r="G24" t="n">
        <v>135235.48</v>
      </c>
    </row>
    <row r="25">
      <c r="A25" t="inlineStr">
        <is>
          <t>Cash flow</t>
        </is>
      </c>
      <c r="B25" t="inlineStr">
        <is>
          <t>Ending cash</t>
        </is>
      </c>
      <c r="C25" t="n">
        <v>1687473.33</v>
      </c>
      <c r="D25" t="n">
        <v>10395869.57</v>
      </c>
      <c r="E25" t="n">
        <v>9879996.060000001</v>
      </c>
      <c r="F25" t="n">
        <v>66433355.27</v>
      </c>
      <c r="G25" t="n">
        <v>3850394.6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Current</t>
        </is>
      </c>
      <c r="C1" t="inlineStr">
        <is>
          <t>Comparison</t>
        </is>
      </c>
      <c r="D1" t="inlineStr">
        <is>
          <t>Variance</t>
        </is>
      </c>
      <c r="E1" t="inlineStr">
        <is>
          <t>%</t>
        </is>
      </c>
      <c r="F1" t="inlineStr">
        <is>
          <t>F/U</t>
        </is>
      </c>
      <c r="G1" t="inlineStr">
        <is>
          <t>Commentary</t>
        </is>
      </c>
      <c r="H1" t="inlineStr">
        <is>
          <t>Future impacts</t>
        </is>
      </c>
      <c r="I1" t="inlineStr">
        <is>
          <t>Reviewed</t>
        </is>
      </c>
      <c r="J1" t="inlineStr">
        <is>
          <t>Ties</t>
        </is>
      </c>
    </row>
    <row r="2">
      <c r="A2" t="inlineStr">
        <is>
          <t>Income statement</t>
        </is>
      </c>
      <c r="F2" t="inlineStr"/>
      <c r="G2" t="inlineStr">
        <is>
          <t>Revenue rose $96,113.67. Cost of revenue rose $4,560.87. Operating expenses rose $88,193.37 because higher research and development ($69,706.08), higher sales and marketing ($10,977.37) and higher general and administrative ($7,509.92). Depreciation and amortization rose $1,309.10. Interest was unchanged. Tax rose $512.59. Net income rose $1,537.74 because higher revenue ($96,113.67) and lower operating expenses (-$88,193.37); other items (-$6,382.56). Gross profit rose $91,552.80 because higher revenue ($96,113.67) and lower cost of revenue (-$4,560.87). The compensation bridge has no beginning and ending totals.</t>
        </is>
      </c>
      <c r="I2" t="inlineStr"/>
      <c r="J2" t="inlineStr">
        <is>
          <t>No</t>
        </is>
      </c>
    </row>
    <row r="3">
      <c r="A3" t="inlineStr">
        <is>
          <t>Revenue</t>
        </is>
      </c>
      <c r="B3" t="n">
        <v>7396112.93</v>
      </c>
      <c r="C3" t="n">
        <v>7299999.26</v>
      </c>
      <c r="D3">
        <f>B3-C3</f>
        <v/>
      </c>
      <c r="E3">
        <f>IF(C3=0,"",D3/C3)</f>
        <v/>
      </c>
      <c r="F3" t="inlineStr">
        <is>
          <t>F</t>
        </is>
      </c>
      <c r="G3" t="inlineStr">
        <is>
          <t>Revenue rose $96,113.67.</t>
        </is>
      </c>
      <c r="I3" t="inlineStr"/>
      <c r="J3" t="inlineStr"/>
    </row>
    <row r="4">
      <c r="A4" t="inlineStr">
        <is>
          <t>Cost of revenue</t>
        </is>
      </c>
      <c r="B4" t="n">
        <v>1084669.33</v>
      </c>
      <c r="C4" t="n">
        <v>1080108.46</v>
      </c>
      <c r="D4">
        <f>B4-C4</f>
        <v/>
      </c>
      <c r="E4">
        <f>IF(C4=0,"",D4/C4)</f>
        <v/>
      </c>
      <c r="F4" t="inlineStr">
        <is>
          <t>U</t>
        </is>
      </c>
      <c r="G4" t="inlineStr">
        <is>
          <t>Cost of revenue rose $4,560.87.</t>
        </is>
      </c>
      <c r="I4" t="inlineStr"/>
      <c r="J4" t="inlineStr"/>
    </row>
    <row r="5">
      <c r="A5" t="inlineStr">
        <is>
          <t>Gross profit</t>
        </is>
      </c>
      <c r="B5" t="n">
        <v>6311443.6</v>
      </c>
      <c r="C5" t="n">
        <v>6219890.8</v>
      </c>
      <c r="D5">
        <f>B5-C5</f>
        <v/>
      </c>
      <c r="E5">
        <f>IF(C5=0,"",D5/C5)</f>
        <v/>
      </c>
      <c r="F5" t="inlineStr">
        <is>
          <t>F</t>
        </is>
      </c>
      <c r="G5" t="inlineStr">
        <is>
          <t>Gross profit rose $91,552.80 because higher revenue ($96,113.67) and lower cost of revenue (-$4,560.87).</t>
        </is>
      </c>
      <c r="I5" t="inlineStr"/>
      <c r="J5" t="inlineStr"/>
    </row>
    <row r="6">
      <c r="A6" t="inlineStr">
        <is>
          <t>Sales and marketing</t>
        </is>
      </c>
      <c r="B6" t="n">
        <v>2659200.69</v>
      </c>
      <c r="C6" t="n">
        <v>2648223.32</v>
      </c>
      <c r="D6">
        <f>B6-C6</f>
        <v/>
      </c>
      <c r="E6">
        <f>IF(C6=0,"",D6/C6)</f>
        <v/>
      </c>
      <c r="F6" t="inlineStr">
        <is>
          <t>U</t>
        </is>
      </c>
      <c r="G6" t="inlineStr">
        <is>
          <t>Sales and marketing rose $10,977.37 because higher Marketing in Marketing ($15,725.98) and lower Customer Success in Customer Success (-$2,750.65); other items (-$1,997.96).</t>
        </is>
      </c>
      <c r="I6" t="inlineStr"/>
      <c r="J6" t="inlineStr"/>
    </row>
    <row r="7">
      <c r="A7" t="inlineStr">
        <is>
          <t>Research and development</t>
        </is>
      </c>
      <c r="B7" t="n">
        <v>1732606.98</v>
      </c>
      <c r="C7" t="n">
        <v>1662900.9</v>
      </c>
      <c r="D7">
        <f>B7-C7</f>
        <v/>
      </c>
      <c r="E7">
        <f>IF(C7=0,"",D7/C7)</f>
        <v/>
      </c>
      <c r="F7" t="inlineStr">
        <is>
          <t>U</t>
        </is>
      </c>
      <c r="G7" t="inlineStr">
        <is>
          <t>Research and development rose $69,706.08 because higher Engineering in Engineering ($69,727.52) and lower Product in Product (-$21.44).</t>
        </is>
      </c>
      <c r="I7" t="inlineStr"/>
      <c r="J7" t="inlineStr"/>
    </row>
    <row r="8">
      <c r="A8" t="inlineStr">
        <is>
          <t>General and administrative</t>
        </is>
      </c>
      <c r="B8" t="n">
        <v>935173.71</v>
      </c>
      <c r="C8" t="n">
        <v>927663.79</v>
      </c>
      <c r="D8">
        <f>B8-C8</f>
        <v/>
      </c>
      <c r="E8">
        <f>IF(C8=0,"",D8/C8)</f>
        <v/>
      </c>
      <c r="F8" t="inlineStr">
        <is>
          <t>U</t>
        </is>
      </c>
      <c r="G8" t="inlineStr">
        <is>
          <t>General and administrative rose $7,509.92 because higher G&amp;A in G&amp;A ($17,148.26), higher Support in Support ($83.45) and lower Finance in Finance (-$9,721.79).</t>
        </is>
      </c>
      <c r="I8" t="inlineStr"/>
      <c r="J8" t="inlineStr"/>
    </row>
    <row r="9">
      <c r="A9" t="inlineStr">
        <is>
          <t>Operating expenses</t>
        </is>
      </c>
      <c r="B9" t="n">
        <v>5326981.38</v>
      </c>
      <c r="C9" t="n">
        <v>5238788.01</v>
      </c>
      <c r="D9">
        <f>B9-C9</f>
        <v/>
      </c>
      <c r="E9">
        <f>IF(C9=0,"",D9/C9)</f>
        <v/>
      </c>
      <c r="F9" t="inlineStr">
        <is>
          <t>U</t>
        </is>
      </c>
      <c r="G9" t="inlineStr">
        <is>
          <t>Operating expenses rose $88,193.37 because higher research and development ($69,706.08), higher sales and marketing ($10,977.37) and higher general and administrative ($7,509.92).</t>
        </is>
      </c>
      <c r="I9" t="inlineStr"/>
      <c r="J9" t="inlineStr"/>
    </row>
    <row r="10">
      <c r="A10" t="inlineStr">
        <is>
          <t>Depreciation and amortization</t>
        </is>
      </c>
      <c r="B10" t="n">
        <v>94535.94</v>
      </c>
      <c r="C10" t="n">
        <v>93226.84</v>
      </c>
      <c r="D10">
        <f>B10-C10</f>
        <v/>
      </c>
      <c r="E10">
        <f>IF(C10=0,"",D10/C10)</f>
        <v/>
      </c>
      <c r="F10" t="inlineStr">
        <is>
          <t>U</t>
        </is>
      </c>
      <c r="G10" t="inlineStr">
        <is>
          <t>Depreciation and amortization rose $1,309.10.</t>
        </is>
      </c>
      <c r="I10" t="inlineStr"/>
      <c r="J10" t="inlineStr"/>
    </row>
    <row r="11">
      <c r="A11" t="inlineStr">
        <is>
          <t>Interest</t>
        </is>
      </c>
      <c r="B11" t="n">
        <v>40000</v>
      </c>
      <c r="C11" t="n">
        <v>40000</v>
      </c>
      <c r="D11">
        <f>B11-C11</f>
        <v/>
      </c>
      <c r="E11">
        <f>IF(C11=0,"",D11/C11)</f>
        <v/>
      </c>
      <c r="F11" t="inlineStr">
        <is>
          <t>F</t>
        </is>
      </c>
      <c r="G11" t="inlineStr">
        <is>
          <t>Interest was unchanged.</t>
        </is>
      </c>
      <c r="I11" t="inlineStr"/>
      <c r="J11" t="inlineStr"/>
    </row>
    <row r="12">
      <c r="A12" t="inlineStr">
        <is>
          <t>Tax</t>
        </is>
      </c>
      <c r="B12" t="n">
        <v>212481.57</v>
      </c>
      <c r="C12" t="n">
        <v>211968.98</v>
      </c>
      <c r="D12">
        <f>B12-C12</f>
        <v/>
      </c>
      <c r="E12">
        <f>IF(C12=0,"",D12/C12)</f>
        <v/>
      </c>
      <c r="F12" t="inlineStr">
        <is>
          <t>U</t>
        </is>
      </c>
      <c r="G12" t="inlineStr">
        <is>
          <t>Tax rose $512.59.</t>
        </is>
      </c>
      <c r="I12" t="inlineStr"/>
      <c r="J12" t="inlineStr"/>
    </row>
    <row r="13">
      <c r="A13" t="inlineStr">
        <is>
          <t>Net income</t>
        </is>
      </c>
      <c r="B13" t="n">
        <v>637444.71</v>
      </c>
      <c r="C13" t="n">
        <v>635906.97</v>
      </c>
      <c r="D13">
        <f>B13-C13</f>
        <v/>
      </c>
      <c r="E13">
        <f>IF(C13=0,"",D13/C13)</f>
        <v/>
      </c>
      <c r="F13" t="inlineStr">
        <is>
          <t>F</t>
        </is>
      </c>
      <c r="G13" t="inlineStr">
        <is>
          <t>Net income rose $1,537.74 because higher revenue ($96,113.67) and lower operating expenses (-$88,193.37); other items (-$6,382.56).</t>
        </is>
      </c>
      <c r="I13" t="inlineStr"/>
      <c r="J13" t="inlineStr"/>
    </row>
    <row r="14">
      <c r="A14" t="inlineStr">
        <is>
          <t>Compensation</t>
        </is>
      </c>
      <c r="F14" t="inlineStr"/>
      <c r="G14" t="inlineStr">
        <is>
          <t>The compensation bridge has no beginning and ending totals.</t>
        </is>
      </c>
      <c r="I14" t="inlineStr"/>
      <c r="J14" t="inlineStr"/>
    </row>
    <row r="15">
      <c r="A15" t="inlineStr">
        <is>
          <t xml:space="preserve">  Revenue</t>
        </is>
      </c>
      <c r="B15" t="n">
        <v>7396112.93</v>
      </c>
      <c r="C15" t="n">
        <v>7299999.26</v>
      </c>
      <c r="D15">
        <f>B15-C15</f>
        <v/>
      </c>
      <c r="E15">
        <f>IF(C15=0,"",D15/C15)</f>
        <v/>
      </c>
      <c r="F15" t="inlineStr">
        <is>
          <t>F</t>
        </is>
      </c>
      <c r="G15" t="inlineStr">
        <is>
          <t>Revenue rose $96,113.67 because higher Revenue · Subscription Revenue ($94,648.79), higher Recurring Services · Recurring Services Revenue ($9,464.88) and lower Implementation &amp; Onboarding · Implementation &amp; Onboarding Revenue (-$8,000.00).</t>
        </is>
      </c>
      <c r="I15" t="inlineStr"/>
      <c r="J15" t="inlineStr"/>
    </row>
    <row r="16">
      <c r="A16" t="inlineStr">
        <is>
          <t xml:space="preserve">    Implementation &amp; Onboarding · Implementation &amp; Onboarding Revenue</t>
        </is>
      </c>
      <c r="B16" t="n">
        <v>19000</v>
      </c>
      <c r="C16" t="n">
        <v>27000</v>
      </c>
      <c r="D16">
        <f>B16-C16</f>
        <v/>
      </c>
      <c r="E16">
        <f>IF(C16=0,"",D16/C16)</f>
        <v/>
      </c>
      <c r="F16" t="inlineStr">
        <is>
          <t>U</t>
        </is>
      </c>
      <c r="G16" t="inlineStr">
        <is>
          <t>Implementation &amp; Onboarding · Implementation &amp; Onboarding Revenue fell $8,000.00.</t>
        </is>
      </c>
      <c r="I16" t="inlineStr"/>
      <c r="J16" t="inlineStr"/>
    </row>
    <row r="17">
      <c r="A17" t="inlineStr">
        <is>
          <t xml:space="preserve">    Recurring Services · Recurring Services Revenue</t>
        </is>
      </c>
      <c r="B17" t="n">
        <v>670646.63</v>
      </c>
      <c r="C17" t="n">
        <v>661181.75</v>
      </c>
      <c r="D17">
        <f>B17-C17</f>
        <v/>
      </c>
      <c r="E17">
        <f>IF(C17=0,"",D17/C17)</f>
        <v/>
      </c>
      <c r="F17" t="inlineStr">
        <is>
          <t>F</t>
        </is>
      </c>
      <c r="G17" t="inlineStr">
        <is>
          <t>Recurring Services · Recurring Services Revenue rose $9,464.88.</t>
        </is>
      </c>
      <c r="I17" t="inlineStr"/>
      <c r="J17" t="inlineStr"/>
    </row>
    <row r="18">
      <c r="A18" t="inlineStr">
        <is>
          <t xml:space="preserve">    Revenue · Subscription Revenue</t>
        </is>
      </c>
      <c r="B18" t="n">
        <v>6706466.3</v>
      </c>
      <c r="C18" t="n">
        <v>6611817.51</v>
      </c>
      <c r="D18">
        <f>B18-C18</f>
        <v/>
      </c>
      <c r="E18">
        <f>IF(C18=0,"",D18/C18)</f>
        <v/>
      </c>
      <c r="F18" t="inlineStr">
        <is>
          <t>F</t>
        </is>
      </c>
      <c r="G18" t="inlineStr">
        <is>
          <t>Revenue · Subscription Revenue rose $94,648.79.</t>
        </is>
      </c>
      <c r="I18" t="inlineStr"/>
      <c r="J18" t="inlineStr"/>
    </row>
    <row r="19">
      <c r="A19" t="inlineStr">
        <is>
          <t xml:space="preserve">  Customer Success</t>
        </is>
      </c>
      <c r="B19" t="n">
        <v>187820.14</v>
      </c>
      <c r="C19" t="n">
        <v>187820.14</v>
      </c>
      <c r="D19">
        <f>B19-C19</f>
        <v/>
      </c>
      <c r="E19">
        <f>IF(C19=0,"",D19/C19)</f>
        <v/>
      </c>
      <c r="F19" t="inlineStr">
        <is>
          <t>F</t>
        </is>
      </c>
      <c r="G19" t="inlineStr">
        <is>
          <t>Customer Success was unchanged.</t>
        </is>
      </c>
      <c r="I19" t="inlineStr"/>
      <c r="J19" t="inlineStr"/>
    </row>
    <row r="20">
      <c r="A20" t="inlineStr">
        <is>
          <t xml:space="preserve">    Labor · Customer Success Labor COGS</t>
        </is>
      </c>
      <c r="B20" t="n">
        <v>174903.47</v>
      </c>
      <c r="C20" t="n">
        <v>174903.47</v>
      </c>
      <c r="D20">
        <f>B20-C20</f>
        <v/>
      </c>
      <c r="E20">
        <f>IF(C20=0,"",D20/C20)</f>
        <v/>
      </c>
      <c r="F20" t="inlineStr">
        <is>
          <t>F</t>
        </is>
      </c>
      <c r="G20" t="inlineStr">
        <is>
          <t>Labor · Customer Success Labor COGS was unchanged.</t>
        </is>
      </c>
      <c r="I20" t="inlineStr"/>
      <c r="J20" t="inlineStr"/>
    </row>
    <row r="21">
      <c r="A21" t="inlineStr">
        <is>
          <t xml:space="preserve">    Stock-Based Compensation · Stock-Based Compensation COGS</t>
        </is>
      </c>
      <c r="B21" t="n">
        <v>12916.67</v>
      </c>
      <c r="C21" t="n">
        <v>12916.67</v>
      </c>
      <c r="D21">
        <f>B21-C21</f>
        <v/>
      </c>
      <c r="E21">
        <f>IF(C21=0,"",D21/C21)</f>
        <v/>
      </c>
      <c r="F21" t="inlineStr">
        <is>
          <t>F</t>
        </is>
      </c>
      <c r="G21" t="inlineStr">
        <is>
          <t>Stock-Based Compensation · Stock-Based Compensation COGS was unchanged.</t>
        </is>
      </c>
      <c r="I21" t="inlineStr"/>
      <c r="J21" t="inlineStr"/>
    </row>
    <row r="22">
      <c r="A22" t="inlineStr">
        <is>
          <t xml:space="preserve">  Engineering · Cloud Hosting · Cloud Hosting COGS</t>
        </is>
      </c>
      <c r="B22" t="n">
        <v>665632.62</v>
      </c>
      <c r="C22" t="n">
        <v>661822.12</v>
      </c>
      <c r="D22">
        <f>B22-C22</f>
        <v/>
      </c>
      <c r="E22">
        <f>IF(C22=0,"",D22/C22)</f>
        <v/>
      </c>
      <c r="F22" t="inlineStr">
        <is>
          <t>U</t>
        </is>
      </c>
      <c r="G22" t="inlineStr">
        <is>
          <t>Engineering · Cloud Hosting · Cloud Hosting COGS rose $3,810.50.</t>
        </is>
      </c>
      <c r="I22" t="inlineStr"/>
      <c r="J22" t="inlineStr"/>
    </row>
    <row r="23">
      <c r="A23" t="inlineStr">
        <is>
          <t xml:space="preserve">  Product · Vendor Expense · Third Party Product Fees COGS</t>
        </is>
      </c>
      <c r="B23" t="n">
        <v>75637.99000000001</v>
      </c>
      <c r="C23" t="n">
        <v>74887.62</v>
      </c>
      <c r="D23">
        <f>B23-C23</f>
        <v/>
      </c>
      <c r="E23">
        <f>IF(C23=0,"",D23/C23)</f>
        <v/>
      </c>
      <c r="F23" t="inlineStr">
        <is>
          <t>U</t>
        </is>
      </c>
      <c r="G23" t="inlineStr">
        <is>
          <t>Product · Vendor Expense · Third Party Product Fees COGS rose $750.37.</t>
        </is>
      </c>
      <c r="I23" t="inlineStr"/>
      <c r="J23" t="inlineStr"/>
    </row>
    <row r="24">
      <c r="A24" t="inlineStr">
        <is>
          <t xml:space="preserve">  Support</t>
        </is>
      </c>
      <c r="B24" t="n">
        <v>155578.58</v>
      </c>
      <c r="C24" t="n">
        <v>155578.58</v>
      </c>
      <c r="D24">
        <f>B24-C24</f>
        <v/>
      </c>
      <c r="E24">
        <f>IF(C24=0,"",D24/C24)</f>
        <v/>
      </c>
      <c r="F24" t="inlineStr">
        <is>
          <t>F</t>
        </is>
      </c>
      <c r="G24" t="inlineStr">
        <is>
          <t>Support was unchanged.</t>
        </is>
      </c>
      <c r="I24" t="inlineStr"/>
      <c r="J24" t="inlineStr"/>
    </row>
    <row r="25">
      <c r="A25" t="inlineStr">
        <is>
          <t xml:space="preserve">    Labor · Customer Support Labor COGS</t>
        </is>
      </c>
      <c r="B25" t="n">
        <v>148995.25</v>
      </c>
      <c r="C25" t="n">
        <v>148995.25</v>
      </c>
      <c r="D25">
        <f>B25-C25</f>
        <v/>
      </c>
      <c r="E25">
        <f>IF(C25=0,"",D25/C25)</f>
        <v/>
      </c>
      <c r="F25" t="inlineStr">
        <is>
          <t>F</t>
        </is>
      </c>
      <c r="G25" t="inlineStr">
        <is>
          <t>Labor · Customer Support Labor COGS was unchanged.</t>
        </is>
      </c>
      <c r="I25" t="inlineStr"/>
      <c r="J25" t="inlineStr"/>
    </row>
    <row r="26">
      <c r="A26" t="inlineStr">
        <is>
          <t xml:space="preserve">    Stock-Based Compensation · Stock-Based Compensation COGS</t>
        </is>
      </c>
      <c r="B26" t="n">
        <v>6583.33</v>
      </c>
      <c r="C26" t="n">
        <v>6583.33</v>
      </c>
      <c r="D26">
        <f>B26-C26</f>
        <v/>
      </c>
      <c r="E26">
        <f>IF(C26=0,"",D26/C26)</f>
        <v/>
      </c>
      <c r="F26" t="inlineStr">
        <is>
          <t>F</t>
        </is>
      </c>
      <c r="G26" t="inlineStr">
        <is>
          <t>Stock-Based Compensation · Stock-Based Compensation COGS was unchanged.</t>
        </is>
      </c>
      <c r="I26" t="inlineStr"/>
      <c r="J26" t="inlineStr"/>
    </row>
    <row r="27">
      <c r="A27" t="inlineStr">
        <is>
          <t xml:space="preserve">  Customer Success</t>
        </is>
      </c>
      <c r="B27" t="n">
        <v>325739.97</v>
      </c>
      <c r="C27" t="n">
        <v>328490.62</v>
      </c>
      <c r="D27">
        <f>B27-C27</f>
        <v/>
      </c>
      <c r="E27">
        <f>IF(C27=0,"",D27/C27)</f>
        <v/>
      </c>
      <c r="F27" t="inlineStr">
        <is>
          <t>F</t>
        </is>
      </c>
      <c r="G27" t="inlineStr">
        <is>
          <t>Customer Success fell $2,750.65 because lower Commissions · Sales Commissions - Expensed (-$3,177.31) and higher Travel &amp; Entertainment · Sales Travel ($426.66).</t>
        </is>
      </c>
      <c r="I27" t="inlineStr"/>
      <c r="J27" t="inlineStr"/>
    </row>
    <row r="28">
      <c r="A28" t="inlineStr">
        <is>
          <t xml:space="preserve">    Benefits · Employee Benefits</t>
        </is>
      </c>
      <c r="B28" t="n">
        <v>24000</v>
      </c>
      <c r="C28" t="n">
        <v>24000</v>
      </c>
      <c r="D28">
        <f>B28-C28</f>
        <v/>
      </c>
      <c r="E28">
        <f>IF(C28=0,"",D28/C28)</f>
        <v/>
      </c>
      <c r="F28" t="inlineStr">
        <is>
          <t>F</t>
        </is>
      </c>
      <c r="G28" t="inlineStr">
        <is>
          <t>Benefits · Employee Benefits was unchanged.</t>
        </is>
      </c>
      <c r="I28" t="inlineStr"/>
      <c r="J28" t="inlineStr"/>
    </row>
    <row r="29">
      <c r="A29" t="inlineStr">
        <is>
          <t xml:space="preserve">    Bonus · Bonuses</t>
        </is>
      </c>
      <c r="B29" t="n">
        <v>16141.67</v>
      </c>
      <c r="C29" t="n">
        <v>16141.67</v>
      </c>
      <c r="D29">
        <f>B29-C29</f>
        <v/>
      </c>
      <c r="E29">
        <f>IF(C29=0,"",D29/C29)</f>
        <v/>
      </c>
      <c r="F29" t="inlineStr">
        <is>
          <t>F</t>
        </is>
      </c>
      <c r="G29" t="inlineStr">
        <is>
          <t>Bonus · Bonuses was unchanged.</t>
        </is>
      </c>
      <c r="I29" t="inlineStr"/>
      <c r="J29" t="inlineStr"/>
    </row>
    <row r="30">
      <c r="A30" t="inlineStr">
        <is>
          <t xml:space="preserve">    Commissions · Sales Commissions - Expensed</t>
        </is>
      </c>
      <c r="B30" t="n">
        <v>15353.4</v>
      </c>
      <c r="C30" t="n">
        <v>18530.71</v>
      </c>
      <c r="D30">
        <f>B30-C30</f>
        <v/>
      </c>
      <c r="E30">
        <f>IF(C30=0,"",D30/C30)</f>
        <v/>
      </c>
      <c r="F30" t="inlineStr">
        <is>
          <t>F</t>
        </is>
      </c>
      <c r="G30" t="inlineStr">
        <is>
          <t>Commissions · Sales Commissions - Expensed fell $3,177.31.</t>
        </is>
      </c>
      <c r="I30" t="inlineStr"/>
      <c r="J30" t="inlineStr"/>
    </row>
    <row r="31">
      <c r="A31" t="inlineStr">
        <is>
          <t xml:space="preserve">    Payroll Taxes</t>
        </is>
      </c>
      <c r="B31" t="n">
        <v>17728.01</v>
      </c>
      <c r="C31" t="n">
        <v>17728.01</v>
      </c>
      <c r="D31">
        <f>B31-C31</f>
        <v/>
      </c>
      <c r="E31">
        <f>IF(C31=0,"",D31/C31)</f>
        <v/>
      </c>
      <c r="F31" t="inlineStr">
        <is>
          <t>F</t>
        </is>
      </c>
      <c r="G31" t="inlineStr">
        <is>
          <t>Payroll Taxes was unchanged.</t>
        </is>
      </c>
      <c r="I31" t="inlineStr"/>
      <c r="J31" t="inlineStr"/>
    </row>
    <row r="32">
      <c r="A32" t="inlineStr">
        <is>
          <t xml:space="preserve">    Retirement Match · 401(k) Employer Match</t>
        </is>
      </c>
      <c r="B32" t="n">
        <v>6872.13</v>
      </c>
      <c r="C32" t="n">
        <v>6872.13</v>
      </c>
      <c r="D32">
        <f>B32-C32</f>
        <v/>
      </c>
      <c r="E32">
        <f>IF(C32=0,"",D32/C32)</f>
        <v/>
      </c>
      <c r="F32" t="inlineStr">
        <is>
          <t>F</t>
        </is>
      </c>
      <c r="G32" t="inlineStr">
        <is>
          <t>Retirement Match · 401(k) Employer Match was unchanged.</t>
        </is>
      </c>
      <c r="I32" t="inlineStr"/>
      <c r="J32" t="inlineStr"/>
    </row>
    <row r="33">
      <c r="A33" t="inlineStr">
        <is>
          <t xml:space="preserve">    Salaries and Wages · Base Salaries</t>
        </is>
      </c>
      <c r="B33" t="n">
        <v>205458.33</v>
      </c>
      <c r="C33" t="n">
        <v>205458.33</v>
      </c>
      <c r="D33">
        <f>B33-C33</f>
        <v/>
      </c>
      <c r="E33">
        <f>IF(C33=0,"",D33/C33)</f>
        <v/>
      </c>
      <c r="F33" t="inlineStr">
        <is>
          <t>F</t>
        </is>
      </c>
      <c r="G33" t="inlineStr">
        <is>
          <t>Salaries and Wages · Base Salaries was unchanged.</t>
        </is>
      </c>
      <c r="I33" t="inlineStr"/>
      <c r="J33" t="inlineStr"/>
    </row>
    <row r="34">
      <c r="A34" t="inlineStr">
        <is>
          <t xml:space="preserve">    Software · Software Tools</t>
        </is>
      </c>
      <c r="B34" t="n">
        <v>4500</v>
      </c>
      <c r="C34" t="n">
        <v>4500</v>
      </c>
      <c r="D34">
        <f>B34-C34</f>
        <v/>
      </c>
      <c r="E34">
        <f>IF(C34=0,"",D34/C34)</f>
        <v/>
      </c>
      <c r="F34" t="inlineStr">
        <is>
          <t>F</t>
        </is>
      </c>
      <c r="G34" t="inlineStr">
        <is>
          <t>Software · Software Tools was unchanged.</t>
        </is>
      </c>
      <c r="I34" t="inlineStr"/>
      <c r="J34" t="inlineStr"/>
    </row>
    <row r="35">
      <c r="A35" t="inlineStr">
        <is>
          <t xml:space="preserve">    Stock-Based Compensation</t>
        </is>
      </c>
      <c r="B35" t="n">
        <v>23416.67</v>
      </c>
      <c r="C35" t="n">
        <v>23416.67</v>
      </c>
      <c r="D35">
        <f>B35-C35</f>
        <v/>
      </c>
      <c r="E35">
        <f>IF(C35=0,"",D35/C35)</f>
        <v/>
      </c>
      <c r="F35" t="inlineStr">
        <is>
          <t>F</t>
        </is>
      </c>
      <c r="G35" t="inlineStr">
        <is>
          <t>Stock-Based Compensation was unchanged.</t>
        </is>
      </c>
      <c r="I35" t="inlineStr"/>
      <c r="J35" t="inlineStr"/>
    </row>
    <row r="36">
      <c r="A36" t="inlineStr">
        <is>
          <t xml:space="preserve">    Travel &amp; Entertainment · Sales Travel</t>
        </is>
      </c>
      <c r="B36" t="n">
        <v>12269.76</v>
      </c>
      <c r="C36" t="n">
        <v>11843.1</v>
      </c>
      <c r="D36">
        <f>B36-C36</f>
        <v/>
      </c>
      <c r="E36">
        <f>IF(C36=0,"",D36/C36)</f>
        <v/>
      </c>
      <c r="F36" t="inlineStr">
        <is>
          <t>U</t>
        </is>
      </c>
      <c r="G36" t="inlineStr">
        <is>
          <t>Travel &amp; Entertainment · Sales Travel rose $426.66.</t>
        </is>
      </c>
      <c r="I36" t="inlineStr"/>
      <c r="J36" t="inlineStr"/>
    </row>
    <row r="37">
      <c r="A37" t="inlineStr">
        <is>
          <t xml:space="preserve">  Marketing</t>
        </is>
      </c>
      <c r="B37" t="n">
        <v>1361997.19</v>
      </c>
      <c r="C37" t="n">
        <v>1346271.21</v>
      </c>
      <c r="D37">
        <f>B37-C37</f>
        <v/>
      </c>
      <c r="E37">
        <f>IF(C37=0,"",D37/C37)</f>
        <v/>
      </c>
      <c r="F37" t="inlineStr">
        <is>
          <t>U</t>
        </is>
      </c>
      <c r="G37" t="inlineStr">
        <is>
          <t>Marketing rose $15,725.98 because higher Marketing Programs ($15,748.43) and lower Travel &amp; Entertainment (-$22.45).</t>
        </is>
      </c>
      <c r="I37" t="inlineStr"/>
      <c r="J37" t="inlineStr"/>
    </row>
    <row r="38">
      <c r="A38" t="inlineStr">
        <is>
          <t xml:space="preserve">    Benefits · Employee Benefits</t>
        </is>
      </c>
      <c r="B38" t="n">
        <v>27600</v>
      </c>
      <c r="C38" t="n">
        <v>27600</v>
      </c>
      <c r="D38">
        <f>B38-C38</f>
        <v/>
      </c>
      <c r="E38">
        <f>IF(C38=0,"",D38/C38)</f>
        <v/>
      </c>
      <c r="F38" t="inlineStr">
        <is>
          <t>F</t>
        </is>
      </c>
      <c r="G38" t="inlineStr">
        <is>
          <t>Benefits · Employee Benefits was unchanged.</t>
        </is>
      </c>
      <c r="I38" t="inlineStr"/>
      <c r="J38" t="inlineStr"/>
    </row>
    <row r="39">
      <c r="A39" t="inlineStr">
        <is>
          <t xml:space="preserve">    Bonus · Bonuses</t>
        </is>
      </c>
      <c r="B39" t="n">
        <v>33507.9</v>
      </c>
      <c r="C39" t="n">
        <v>33507.9</v>
      </c>
      <c r="D39">
        <f>B39-C39</f>
        <v/>
      </c>
      <c r="E39">
        <f>IF(C39=0,"",D39/C39)</f>
        <v/>
      </c>
      <c r="F39" t="inlineStr">
        <is>
          <t>F</t>
        </is>
      </c>
      <c r="G39" t="inlineStr">
        <is>
          <t>Bonus · Bonuses was unchanged.</t>
        </is>
      </c>
      <c r="I39" t="inlineStr"/>
      <c r="J39" t="inlineStr"/>
    </row>
    <row r="40">
      <c r="A40" t="inlineStr">
        <is>
          <t xml:space="preserve">    Marketing Programs</t>
        </is>
      </c>
      <c r="B40" t="n">
        <v>1000025.19</v>
      </c>
      <c r="C40" t="n">
        <v>984276.76</v>
      </c>
      <c r="D40">
        <f>B40-C40</f>
        <v/>
      </c>
      <c r="E40">
        <f>IF(C40=0,"",D40/C40)</f>
        <v/>
      </c>
      <c r="F40" t="inlineStr">
        <is>
          <t>U</t>
        </is>
      </c>
      <c r="G40" t="inlineStr">
        <is>
          <t>Marketing Programs rose $15,748.43 because higher Paid Search ($115,511.83), higher Events and Webinars ($61,775.30), higher Partner Marketing ($53,942.73) and lower Content and Syndication (-$172,086.89); other items (-$43,394.54).</t>
        </is>
      </c>
      <c r="I40" t="inlineStr"/>
      <c r="J40" t="inlineStr"/>
    </row>
    <row r="41">
      <c r="A41" t="inlineStr">
        <is>
          <t xml:space="preserve">      Content and Syndication</t>
        </is>
      </c>
      <c r="B41" t="n">
        <v>234986.8</v>
      </c>
      <c r="C41" t="n">
        <v>407073.69</v>
      </c>
      <c r="D41">
        <f>B41-C41</f>
        <v/>
      </c>
      <c r="E41">
        <f>IF(C41=0,"",D41/C41)</f>
        <v/>
      </c>
      <c r="F41" t="inlineStr">
        <is>
          <t>F</t>
        </is>
      </c>
      <c r="G41" t="inlineStr">
        <is>
          <t>Content and Syndication fell $172,086.89.</t>
        </is>
      </c>
      <c r="I41" t="inlineStr"/>
      <c r="J41" t="inlineStr"/>
    </row>
    <row r="42">
      <c r="A42" t="inlineStr">
        <is>
          <t xml:space="preserve">      Events and Webinars</t>
        </is>
      </c>
      <c r="B42" t="n">
        <v>175257.81</v>
      </c>
      <c r="C42" t="n">
        <v>113482.51</v>
      </c>
      <c r="D42">
        <f>B42-C42</f>
        <v/>
      </c>
      <c r="E42">
        <f>IF(C42=0,"",D42/C42)</f>
        <v/>
      </c>
      <c r="F42" t="inlineStr">
        <is>
          <t>U</t>
        </is>
      </c>
      <c r="G42" t="inlineStr">
        <is>
          <t>Events and Webinars rose $61,775.30.</t>
        </is>
      </c>
      <c r="I42" t="inlineStr"/>
      <c r="J42" t="inlineStr"/>
    </row>
    <row r="43">
      <c r="A43" t="inlineStr">
        <is>
          <t xml:space="preserve">      Paid Search</t>
        </is>
      </c>
      <c r="B43" t="n">
        <v>329287.01</v>
      </c>
      <c r="C43" t="n">
        <v>213775.18</v>
      </c>
      <c r="D43">
        <f>B43-C43</f>
        <v/>
      </c>
      <c r="E43">
        <f>IF(C43=0,"",D43/C43)</f>
        <v/>
      </c>
      <c r="F43" t="inlineStr">
        <is>
          <t>U</t>
        </is>
      </c>
      <c r="G43" t="inlineStr">
        <is>
          <t>Paid Search rose $115,511.83.</t>
        </is>
      </c>
      <c r="I43" t="inlineStr"/>
      <c r="J43" t="inlineStr"/>
    </row>
    <row r="44">
      <c r="A44" t="inlineStr">
        <is>
          <t xml:space="preserve">      Paid Social</t>
        </is>
      </c>
      <c r="B44" t="n">
        <v>66592.12</v>
      </c>
      <c r="C44" t="n">
        <v>109986.66</v>
      </c>
      <c r="D44">
        <f>B44-C44</f>
        <v/>
      </c>
      <c r="E44">
        <f>IF(C44=0,"",D44/C44)</f>
        <v/>
      </c>
      <c r="F44" t="inlineStr">
        <is>
          <t>F</t>
        </is>
      </c>
      <c r="G44" t="inlineStr">
        <is>
          <t>Paid Social fell $43,394.54.</t>
        </is>
      </c>
      <c r="I44" t="inlineStr"/>
      <c r="J44" t="inlineStr"/>
    </row>
    <row r="45">
      <c r="A45" t="inlineStr">
        <is>
          <t xml:space="preserve">      Partner Marketing</t>
        </is>
      </c>
      <c r="B45" t="n">
        <v>193901.45</v>
      </c>
      <c r="C45" t="n">
        <v>139958.72</v>
      </c>
      <c r="D45">
        <f>B45-C45</f>
        <v/>
      </c>
      <c r="E45">
        <f>IF(C45=0,"",D45/C45)</f>
        <v/>
      </c>
      <c r="F45" t="inlineStr">
        <is>
          <t>U</t>
        </is>
      </c>
      <c r="G45" t="inlineStr">
        <is>
          <t>Partner Marketing rose $53,942.73.</t>
        </is>
      </c>
      <c r="I45" t="inlineStr"/>
      <c r="J45" t="inlineStr"/>
    </row>
    <row r="46">
      <c r="A46" t="inlineStr">
        <is>
          <t xml:space="preserve">    Payroll Taxes</t>
        </is>
      </c>
      <c r="B46" t="n">
        <v>21330.62</v>
      </c>
      <c r="C46" t="n">
        <v>21330.62</v>
      </c>
      <c r="D46">
        <f>B46-C46</f>
        <v/>
      </c>
      <c r="E46">
        <f>IF(C46=0,"",D46/C46)</f>
        <v/>
      </c>
      <c r="F46" t="inlineStr">
        <is>
          <t>F</t>
        </is>
      </c>
      <c r="G46" t="inlineStr">
        <is>
          <t>Payroll Taxes was unchanged.</t>
        </is>
      </c>
      <c r="I46" t="inlineStr"/>
      <c r="J46" t="inlineStr"/>
    </row>
    <row r="47">
      <c r="A47" t="inlineStr">
        <is>
          <t xml:space="preserve">    Retirement Match · 401(k) Employer Match</t>
        </is>
      </c>
      <c r="B47" t="n">
        <v>9524.049999999999</v>
      </c>
      <c r="C47" t="n">
        <v>9524.049999999999</v>
      </c>
      <c r="D47">
        <f>B47-C47</f>
        <v/>
      </c>
      <c r="E47">
        <f>IF(C47=0,"",D47/C47)</f>
        <v/>
      </c>
      <c r="F47" t="inlineStr">
        <is>
          <t>F</t>
        </is>
      </c>
      <c r="G47" t="inlineStr">
        <is>
          <t>Retirement Match · 401(k) Employer Match was unchanged.</t>
        </is>
      </c>
      <c r="I47" t="inlineStr"/>
      <c r="J47" t="inlineStr"/>
    </row>
    <row r="48">
      <c r="A48" t="inlineStr">
        <is>
          <t xml:space="preserve">    Salaries and Wages · Base Salaries</t>
        </is>
      </c>
      <c r="B48" t="n">
        <v>233125</v>
      </c>
      <c r="C48" t="n">
        <v>233125</v>
      </c>
      <c r="D48">
        <f>B48-C48</f>
        <v/>
      </c>
      <c r="E48">
        <f>IF(C48=0,"",D48/C48)</f>
        <v/>
      </c>
      <c r="F48" t="inlineStr">
        <is>
          <t>F</t>
        </is>
      </c>
      <c r="G48" t="inlineStr">
        <is>
          <t>Salaries and Wages · Base Salaries was unchanged.</t>
        </is>
      </c>
      <c r="I48" t="inlineStr"/>
      <c r="J48" t="inlineStr"/>
    </row>
    <row r="49">
      <c r="A49" t="inlineStr">
        <is>
          <t xml:space="preserve">    Software · Software Tools</t>
        </is>
      </c>
      <c r="B49" t="n">
        <v>5800</v>
      </c>
      <c r="C49" t="n">
        <v>5800</v>
      </c>
      <c r="D49">
        <f>B49-C49</f>
        <v/>
      </c>
      <c r="E49">
        <f>IF(C49=0,"",D49/C49)</f>
        <v/>
      </c>
      <c r="F49" t="inlineStr">
        <is>
          <t>F</t>
        </is>
      </c>
      <c r="G49" t="inlineStr">
        <is>
          <t>Software · Software Tools was unchanged.</t>
        </is>
      </c>
      <c r="I49" t="inlineStr"/>
      <c r="J49" t="inlineStr"/>
    </row>
    <row r="50">
      <c r="A50" t="inlineStr">
        <is>
          <t xml:space="preserve">    Stock-Based Compensation</t>
        </is>
      </c>
      <c r="B50" t="n">
        <v>28666.67</v>
      </c>
      <c r="C50" t="n">
        <v>28666.67</v>
      </c>
      <c r="D50">
        <f>B50-C50</f>
        <v/>
      </c>
      <c r="E50">
        <f>IF(C50=0,"",D50/C50)</f>
        <v/>
      </c>
      <c r="F50" t="inlineStr">
        <is>
          <t>F</t>
        </is>
      </c>
      <c r="G50" t="inlineStr">
        <is>
          <t>Stock-Based Compensation was unchanged.</t>
        </is>
      </c>
      <c r="I50" t="inlineStr"/>
      <c r="J50" t="inlineStr"/>
    </row>
    <row r="51">
      <c r="A51" t="inlineStr">
        <is>
          <t xml:space="preserve">    Travel &amp; Entertainment</t>
        </is>
      </c>
      <c r="B51" t="n">
        <v>2417.76</v>
      </c>
      <c r="C51" t="n">
        <v>2440.21</v>
      </c>
      <c r="D51">
        <f>B51-C51</f>
        <v/>
      </c>
      <c r="E51">
        <f>IF(C51=0,"",D51/C51)</f>
        <v/>
      </c>
      <c r="F51" t="inlineStr">
        <is>
          <t>F</t>
        </is>
      </c>
      <c r="G51" t="inlineStr">
        <is>
          <t>Travel &amp; Entertainment fell $22.45.</t>
        </is>
      </c>
      <c r="I51" t="inlineStr"/>
      <c r="J51" t="inlineStr"/>
    </row>
    <row r="52">
      <c r="A52" t="inlineStr">
        <is>
          <t xml:space="preserve">  Sales</t>
        </is>
      </c>
      <c r="B52" t="n">
        <v>971463.53</v>
      </c>
      <c r="C52" t="n">
        <v>973461.49</v>
      </c>
      <c r="D52">
        <f>B52-C52</f>
        <v/>
      </c>
      <c r="E52">
        <f>IF(C52=0,"",D52/C52)</f>
        <v/>
      </c>
      <c r="F52" t="inlineStr">
        <is>
          <t>F</t>
        </is>
      </c>
      <c r="G52" t="inlineStr">
        <is>
          <t>Sales fell $1,997.96 because lower Salaries and Wages · Base Salaries (-$5,916.66), lower Payroll Taxes (-$2,107.72), lower Bonus · Bonuses (-$887.50) and higher Travel &amp; Entertainment · Sales Travel ($5,927.06); other items ($986.86).</t>
        </is>
      </c>
      <c r="I52" t="inlineStr"/>
      <c r="J52" t="inlineStr"/>
    </row>
    <row r="53">
      <c r="A53" t="inlineStr">
        <is>
          <t xml:space="preserve">    Benefits · Employee Benefits</t>
        </is>
      </c>
      <c r="B53" t="n">
        <v>58800</v>
      </c>
      <c r="C53" t="n">
        <v>58800</v>
      </c>
      <c r="D53">
        <f>B53-C53</f>
        <v/>
      </c>
      <c r="E53">
        <f>IF(C53=0,"",D53/C53)</f>
        <v/>
      </c>
      <c r="F53" t="inlineStr">
        <is>
          <t>F</t>
        </is>
      </c>
      <c r="G53" t="inlineStr">
        <is>
          <t>Benefits · Employee Benefits was unchanged.</t>
        </is>
      </c>
      <c r="I53" t="inlineStr"/>
      <c r="J53" t="inlineStr"/>
    </row>
    <row r="54">
      <c r="A54" t="inlineStr">
        <is>
          <t xml:space="preserve">    Bonus · Bonuses</t>
        </is>
      </c>
      <c r="B54" t="n">
        <v>88174.98</v>
      </c>
      <c r="C54" t="n">
        <v>89062.48</v>
      </c>
      <c r="D54">
        <f>B54-C54</f>
        <v/>
      </c>
      <c r="E54">
        <f>IF(C54=0,"",D54/C54)</f>
        <v/>
      </c>
      <c r="F54" t="inlineStr">
        <is>
          <t>F</t>
        </is>
      </c>
      <c r="G54" t="inlineStr">
        <is>
          <t>Bonus · Bonuses fell $887.50.</t>
        </is>
      </c>
      <c r="I54" t="inlineStr"/>
      <c r="J54" t="inlineStr"/>
    </row>
    <row r="55">
      <c r="A55" t="inlineStr">
        <is>
          <t xml:space="preserve">    Commissions · Sales Commissions</t>
        </is>
      </c>
      <c r="B55" t="n">
        <v>106768.05</v>
      </c>
      <c r="C55" t="n">
        <v>105727.41</v>
      </c>
      <c r="D55">
        <f>B55-C55</f>
        <v/>
      </c>
      <c r="E55">
        <f>IF(C55=0,"",D55/C55)</f>
        <v/>
      </c>
      <c r="F55" t="inlineStr">
        <is>
          <t>U</t>
        </is>
      </c>
      <c r="G55" t="inlineStr">
        <is>
          <t>Commissions · Sales Commissions rose $1,040.64.</t>
        </is>
      </c>
      <c r="I55" t="inlineStr"/>
      <c r="J55" t="inlineStr"/>
    </row>
    <row r="56">
      <c r="A56" t="inlineStr">
        <is>
          <t xml:space="preserve">    Payroll Taxes</t>
        </is>
      </c>
      <c r="B56" t="n">
        <v>58970.22</v>
      </c>
      <c r="C56" t="n">
        <v>61077.94</v>
      </c>
      <c r="D56">
        <f>B56-C56</f>
        <v/>
      </c>
      <c r="E56">
        <f>IF(C56=0,"",D56/C56)</f>
        <v/>
      </c>
      <c r="F56" t="inlineStr">
        <is>
          <t>F</t>
        </is>
      </c>
      <c r="G56" t="inlineStr">
        <is>
          <t>Payroll Taxes fell $2,107.72.</t>
        </is>
      </c>
      <c r="I56" t="inlineStr"/>
      <c r="J56" t="inlineStr"/>
    </row>
    <row r="57">
      <c r="A57" t="inlineStr">
        <is>
          <t xml:space="preserve">    Retirement Match · 401(k) Employer Match</t>
        </is>
      </c>
      <c r="B57" t="n">
        <v>19086.07</v>
      </c>
      <c r="C57" t="n">
        <v>19358.23</v>
      </c>
      <c r="D57">
        <f>B57-C57</f>
        <v/>
      </c>
      <c r="E57">
        <f>IF(C57=0,"",D57/C57)</f>
        <v/>
      </c>
      <c r="F57" t="inlineStr">
        <is>
          <t>F</t>
        </is>
      </c>
      <c r="G57" t="inlineStr">
        <is>
          <t>Retirement Match · 401(k) Employer Match fell $272.16.</t>
        </is>
      </c>
      <c r="I57" t="inlineStr"/>
      <c r="J57" t="inlineStr"/>
    </row>
    <row r="58">
      <c r="A58" t="inlineStr">
        <is>
          <t xml:space="preserve">    Salaries and Wages · Base Salaries</t>
        </is>
      </c>
      <c r="B58" t="n">
        <v>504083.32</v>
      </c>
      <c r="C58" t="n">
        <v>509999.98</v>
      </c>
      <c r="D58">
        <f>B58-C58</f>
        <v/>
      </c>
      <c r="E58">
        <f>IF(C58=0,"",D58/C58)</f>
        <v/>
      </c>
      <c r="F58" t="inlineStr">
        <is>
          <t>F</t>
        </is>
      </c>
      <c r="G58" t="inlineStr">
        <is>
          <t>Salaries and Wages · Base Salaries fell $5,916.66.</t>
        </is>
      </c>
      <c r="I58" t="inlineStr"/>
      <c r="J58" t="inlineStr"/>
    </row>
    <row r="59">
      <c r="A59" t="inlineStr">
        <is>
          <t xml:space="preserve">    Software · Sales Tools</t>
        </is>
      </c>
      <c r="B59" t="n">
        <v>34271.08</v>
      </c>
      <c r="C59" t="n">
        <v>33427.7</v>
      </c>
      <c r="D59">
        <f>B59-C59</f>
        <v/>
      </c>
      <c r="E59">
        <f>IF(C59=0,"",D59/C59)</f>
        <v/>
      </c>
      <c r="F59" t="inlineStr">
        <is>
          <t>U</t>
        </is>
      </c>
      <c r="G59" t="inlineStr">
        <is>
          <t>Software · Sales Tools rose $843.38.</t>
        </is>
      </c>
      <c r="I59" t="inlineStr"/>
      <c r="J59" t="inlineStr"/>
    </row>
    <row r="60">
      <c r="A60" t="inlineStr">
        <is>
          <t xml:space="preserve">    Stock-Based Compensation</t>
        </is>
      </c>
      <c r="B60" t="n">
        <v>67958.33</v>
      </c>
      <c r="C60" t="n">
        <v>68583.33</v>
      </c>
      <c r="D60">
        <f>B60-C60</f>
        <v/>
      </c>
      <c r="E60">
        <f>IF(C60=0,"",D60/C60)</f>
        <v/>
      </c>
      <c r="F60" t="inlineStr">
        <is>
          <t>F</t>
        </is>
      </c>
      <c r="G60" t="inlineStr">
        <is>
          <t>Stock-Based Compensation fell $625.00.</t>
        </is>
      </c>
      <c r="I60" t="inlineStr"/>
      <c r="J60" t="inlineStr"/>
    </row>
    <row r="61">
      <c r="A61" t="inlineStr">
        <is>
          <t xml:space="preserve">    Travel &amp; Entertainment · Sales Travel</t>
        </is>
      </c>
      <c r="B61" t="n">
        <v>33351.48</v>
      </c>
      <c r="C61" t="n">
        <v>27424.42</v>
      </c>
      <c r="D61">
        <f>B61-C61</f>
        <v/>
      </c>
      <c r="E61">
        <f>IF(C61=0,"",D61/C61)</f>
        <v/>
      </c>
      <c r="F61" t="inlineStr">
        <is>
          <t>U</t>
        </is>
      </c>
      <c r="G61" t="inlineStr">
        <is>
          <t>Travel &amp; Entertainment · Sales Travel rose $5,927.06.</t>
        </is>
      </c>
      <c r="I61" t="inlineStr"/>
      <c r="J61" t="inlineStr"/>
    </row>
    <row r="62">
      <c r="A62" t="inlineStr">
        <is>
          <t xml:space="preserve">  Engineering</t>
        </is>
      </c>
      <c r="B62" t="n">
        <v>1474242.87</v>
      </c>
      <c r="C62" t="n">
        <v>1404515.35</v>
      </c>
      <c r="D62">
        <f>B62-C62</f>
        <v/>
      </c>
      <c r="E62">
        <f>IF(C62=0,"",D62/C62)</f>
        <v/>
      </c>
      <c r="F62" t="inlineStr">
        <is>
          <t>U</t>
        </is>
      </c>
      <c r="G62" t="inlineStr">
        <is>
          <t>Engineering rose $69,727.52.</t>
        </is>
      </c>
      <c r="I62" t="inlineStr"/>
      <c r="J62" t="inlineStr"/>
    </row>
    <row r="63">
      <c r="A63" t="inlineStr">
        <is>
          <t xml:space="preserve">    Benefits · Employee Benefits</t>
        </is>
      </c>
      <c r="B63" t="n">
        <v>60000</v>
      </c>
      <c r="C63" t="n">
        <v>60000</v>
      </c>
      <c r="D63">
        <f>B63-C63</f>
        <v/>
      </c>
      <c r="E63">
        <f>IF(C63=0,"",D63/C63)</f>
        <v/>
      </c>
      <c r="F63" t="inlineStr">
        <is>
          <t>F</t>
        </is>
      </c>
      <c r="G63" t="inlineStr">
        <is>
          <t>Benefits · Employee Benefits was unchanged.</t>
        </is>
      </c>
      <c r="I63" t="inlineStr"/>
      <c r="J63" t="inlineStr"/>
    </row>
    <row r="64">
      <c r="A64" t="inlineStr">
        <is>
          <t xml:space="preserve">    Bonus · Bonuses</t>
        </is>
      </c>
      <c r="B64" t="n">
        <v>90410.41</v>
      </c>
      <c r="C64" t="n">
        <v>89583.32000000001</v>
      </c>
      <c r="D64">
        <f>B64-C64</f>
        <v/>
      </c>
      <c r="E64">
        <f>IF(C64=0,"",D64/C64)</f>
        <v/>
      </c>
      <c r="F64" t="inlineStr">
        <is>
          <t>U</t>
        </is>
      </c>
      <c r="G64" t="inlineStr">
        <is>
          <t>Bonus · Bonuses rose $827.09.</t>
        </is>
      </c>
      <c r="I64" t="inlineStr"/>
      <c r="J64" t="inlineStr"/>
    </row>
    <row r="65">
      <c r="A65" t="inlineStr">
        <is>
          <t xml:space="preserve">    Cloud Hosting · Cloud Infrastructure</t>
        </is>
      </c>
      <c r="B65" t="n">
        <v>269618.17</v>
      </c>
      <c r="C65" t="n">
        <v>255271.13</v>
      </c>
      <c r="D65">
        <f>B65-C65</f>
        <v/>
      </c>
      <c r="E65">
        <f>IF(C65=0,"",D65/C65)</f>
        <v/>
      </c>
      <c r="F65" t="inlineStr">
        <is>
          <t>U</t>
        </is>
      </c>
      <c r="G65" t="inlineStr">
        <is>
          <t>Cloud Hosting · Cloud Infrastructure rose $14,347.04.</t>
        </is>
      </c>
      <c r="I65" t="inlineStr"/>
      <c r="J65" t="inlineStr"/>
    </row>
    <row r="66">
      <c r="A66" t="inlineStr">
        <is>
          <t xml:space="preserve">    Contractors · Contractor Labor</t>
        </is>
      </c>
      <c r="B66" t="n">
        <v>28000</v>
      </c>
      <c r="C66" t="n">
        <v>28000</v>
      </c>
      <c r="D66">
        <f>B66-C66</f>
        <v/>
      </c>
      <c r="E66">
        <f>IF(C66=0,"",D66/C66)</f>
        <v/>
      </c>
      <c r="F66" t="inlineStr">
        <is>
          <t>F</t>
        </is>
      </c>
      <c r="G66" t="inlineStr">
        <is>
          <t>Contractors · Contractor Labor was unchanged.</t>
        </is>
      </c>
      <c r="I66" t="inlineStr"/>
      <c r="J66" t="inlineStr"/>
    </row>
    <row r="67">
      <c r="A67" t="inlineStr">
        <is>
          <t xml:space="preserve">    Payroll Taxes</t>
        </is>
      </c>
      <c r="B67" t="n">
        <v>63787.82</v>
      </c>
      <c r="C67" t="n">
        <v>63146.65</v>
      </c>
      <c r="D67">
        <f>B67-C67</f>
        <v/>
      </c>
      <c r="E67">
        <f>IF(C67=0,"",D67/C67)</f>
        <v/>
      </c>
      <c r="F67" t="inlineStr">
        <is>
          <t>U</t>
        </is>
      </c>
      <c r="G67" t="inlineStr">
        <is>
          <t>Payroll Taxes rose $641.17.</t>
        </is>
      </c>
      <c r="I67" t="inlineStr"/>
      <c r="J67" t="inlineStr"/>
    </row>
    <row r="68">
      <c r="A68" t="inlineStr">
        <is>
          <t xml:space="preserve">    Recruiting</t>
        </is>
      </c>
      <c r="B68" t="n">
        <v>45000</v>
      </c>
      <c r="F68" t="inlineStr"/>
      <c r="G68" t="inlineStr">
        <is>
          <t>Recruiting has no comparison amount.</t>
        </is>
      </c>
      <c r="I68" t="inlineStr"/>
      <c r="J68" t="inlineStr"/>
    </row>
    <row r="69">
      <c r="A69" t="inlineStr">
        <is>
          <t xml:space="preserve">    Retirement Match · 401(k) Employer Match</t>
        </is>
      </c>
      <c r="B69" t="n">
        <v>26722.36</v>
      </c>
      <c r="C69" t="n">
        <v>26401.78</v>
      </c>
      <c r="D69">
        <f>B69-C69</f>
        <v/>
      </c>
      <c r="E69">
        <f>IF(C69=0,"",D69/C69)</f>
        <v/>
      </c>
      <c r="F69" t="inlineStr">
        <is>
          <t>U</t>
        </is>
      </c>
      <c r="G69" t="inlineStr">
        <is>
          <t>Retirement Match · 401(k) Employer Match rose $320.58.</t>
        </is>
      </c>
      <c r="I69" t="inlineStr"/>
      <c r="J69" t="inlineStr"/>
    </row>
    <row r="70">
      <c r="A70" t="inlineStr">
        <is>
          <t xml:space="preserve">    Salaries and Wages · Base Salaries</t>
        </is>
      </c>
      <c r="B70" t="n">
        <v>706937.51</v>
      </c>
      <c r="C70" t="n">
        <v>699750.01</v>
      </c>
      <c r="D70">
        <f>B70-C70</f>
        <v/>
      </c>
      <c r="E70">
        <f>IF(C70=0,"",D70/C70)</f>
        <v/>
      </c>
      <c r="F70" t="inlineStr">
        <is>
          <t>U</t>
        </is>
      </c>
      <c r="G70" t="inlineStr">
        <is>
          <t>Salaries and Wages · Base Salaries rose $7,187.50.</t>
        </is>
      </c>
      <c r="I70" t="inlineStr"/>
      <c r="J70" t="inlineStr"/>
    </row>
    <row r="71">
      <c r="A71" t="inlineStr">
        <is>
          <t xml:space="preserve">    Software</t>
        </is>
      </c>
      <c r="B71" t="n">
        <v>34143.95</v>
      </c>
      <c r="C71" t="n">
        <v>34011.65</v>
      </c>
      <c r="D71">
        <f>B71-C71</f>
        <v/>
      </c>
      <c r="E71">
        <f>IF(C71=0,"",D71/C71)</f>
        <v/>
      </c>
      <c r="F71" t="inlineStr">
        <is>
          <t>U</t>
        </is>
      </c>
      <c r="G71" t="inlineStr">
        <is>
          <t>Software rose $132.30 because higher Software Tools ($132.30).</t>
        </is>
      </c>
      <c r="I71" t="inlineStr"/>
      <c r="J71" t="inlineStr"/>
    </row>
    <row r="72">
      <c r="A72" t="inlineStr">
        <is>
          <t xml:space="preserve">      Data Warehouse</t>
        </is>
      </c>
      <c r="B72" t="n">
        <v>30000</v>
      </c>
      <c r="C72" t="n">
        <v>30000</v>
      </c>
      <c r="D72">
        <f>B72-C72</f>
        <v/>
      </c>
      <c r="E72">
        <f>IF(C72=0,"",D72/C72)</f>
        <v/>
      </c>
      <c r="F72" t="inlineStr">
        <is>
          <t>F</t>
        </is>
      </c>
      <c r="G72" t="inlineStr">
        <is>
          <t>Data Warehouse was unchanged.</t>
        </is>
      </c>
      <c r="I72" t="inlineStr"/>
      <c r="J72" t="inlineStr"/>
    </row>
    <row r="73">
      <c r="A73" t="inlineStr">
        <is>
          <t xml:space="preserve">      Software Tools</t>
        </is>
      </c>
      <c r="B73" t="n">
        <v>4143.95</v>
      </c>
      <c r="C73" t="n">
        <v>4011.65</v>
      </c>
      <c r="D73">
        <f>B73-C73</f>
        <v/>
      </c>
      <c r="E73">
        <f>IF(C73=0,"",D73/C73)</f>
        <v/>
      </c>
      <c r="F73" t="inlineStr">
        <is>
          <t>U</t>
        </is>
      </c>
      <c r="G73" t="inlineStr">
        <is>
          <t>Software Tools rose $132.30.</t>
        </is>
      </c>
      <c r="I73" t="inlineStr"/>
      <c r="J73" t="inlineStr"/>
    </row>
    <row r="74">
      <c r="A74" t="inlineStr">
        <is>
          <t xml:space="preserve">    Stock-Based Compensation</t>
        </is>
      </c>
      <c r="B74" t="n">
        <v>144208.34</v>
      </c>
      <c r="C74" t="n">
        <v>143166.67</v>
      </c>
      <c r="D74">
        <f>B74-C74</f>
        <v/>
      </c>
      <c r="E74">
        <f>IF(C74=0,"",D74/C74)</f>
        <v/>
      </c>
      <c r="F74" t="inlineStr">
        <is>
          <t>U</t>
        </is>
      </c>
      <c r="G74" t="inlineStr">
        <is>
          <t>Stock-Based Compensation rose $1,041.67.</t>
        </is>
      </c>
      <c r="I74" t="inlineStr"/>
      <c r="J74" t="inlineStr"/>
    </row>
    <row r="75">
      <c r="A75" t="inlineStr">
        <is>
          <t xml:space="preserve">    Travel &amp; Entertainment</t>
        </is>
      </c>
      <c r="B75" t="n">
        <v>5414.31</v>
      </c>
      <c r="C75" t="n">
        <v>5184.14</v>
      </c>
      <c r="D75">
        <f>B75-C75</f>
        <v/>
      </c>
      <c r="E75">
        <f>IF(C75=0,"",D75/C75)</f>
        <v/>
      </c>
      <c r="F75" t="inlineStr">
        <is>
          <t>U</t>
        </is>
      </c>
      <c r="G75" t="inlineStr">
        <is>
          <t>Travel &amp; Entertainment rose $230.17.</t>
        </is>
      </c>
      <c r="I75" t="inlineStr"/>
      <c r="J75" t="inlineStr"/>
    </row>
    <row r="76">
      <c r="A76" t="inlineStr">
        <is>
          <t xml:space="preserve">  Product</t>
        </is>
      </c>
      <c r="B76" t="n">
        <v>258364.11</v>
      </c>
      <c r="C76" t="n">
        <v>258385.55</v>
      </c>
      <c r="D76">
        <f>B76-C76</f>
        <v/>
      </c>
      <c r="E76">
        <f>IF(C76=0,"",D76/C76)</f>
        <v/>
      </c>
      <c r="F76" t="inlineStr">
        <is>
          <t>F</t>
        </is>
      </c>
      <c r="G76" t="inlineStr">
        <is>
          <t>Product fell $21.44 because lower Travel &amp; Entertainment (-$21.44).</t>
        </is>
      </c>
      <c r="I76" t="inlineStr"/>
      <c r="J76" t="inlineStr"/>
    </row>
    <row r="77">
      <c r="A77" t="inlineStr">
        <is>
          <t xml:space="preserve">    Benefits · Employee Benefits</t>
        </is>
      </c>
      <c r="B77" t="n">
        <v>14400</v>
      </c>
      <c r="C77" t="n">
        <v>14400</v>
      </c>
      <c r="D77">
        <f>B77-C77</f>
        <v/>
      </c>
      <c r="E77">
        <f>IF(C77=0,"",D77/C77)</f>
        <v/>
      </c>
      <c r="F77" t="inlineStr">
        <is>
          <t>F</t>
        </is>
      </c>
      <c r="G77" t="inlineStr">
        <is>
          <t>Benefits · Employee Benefits was unchanged.</t>
        </is>
      </c>
      <c r="I77" t="inlineStr"/>
      <c r="J77" t="inlineStr"/>
    </row>
    <row r="78">
      <c r="A78" t="inlineStr">
        <is>
          <t xml:space="preserve">    Bonus · Bonuses</t>
        </is>
      </c>
      <c r="B78" t="n">
        <v>24782.92</v>
      </c>
      <c r="C78" t="n">
        <v>24782.92</v>
      </c>
      <c r="D78">
        <f>B78-C78</f>
        <v/>
      </c>
      <c r="E78">
        <f>IF(C78=0,"",D78/C78)</f>
        <v/>
      </c>
      <c r="F78" t="inlineStr">
        <is>
          <t>F</t>
        </is>
      </c>
      <c r="G78" t="inlineStr">
        <is>
          <t>Bonus · Bonuses was unchanged.</t>
        </is>
      </c>
      <c r="I78" t="inlineStr"/>
      <c r="J78" t="inlineStr"/>
    </row>
    <row r="79">
      <c r="A79" t="inlineStr">
        <is>
          <t xml:space="preserve">    Payroll Taxes</t>
        </is>
      </c>
      <c r="B79" t="n">
        <v>14822.64</v>
      </c>
      <c r="C79" t="n">
        <v>14822.64</v>
      </c>
      <c r="D79">
        <f>B79-C79</f>
        <v/>
      </c>
      <c r="E79">
        <f>IF(C79=0,"",D79/C79)</f>
        <v/>
      </c>
      <c r="F79" t="inlineStr">
        <is>
          <t>F</t>
        </is>
      </c>
      <c r="G79" t="inlineStr">
        <is>
          <t>Payroll Taxes was unchanged.</t>
        </is>
      </c>
      <c r="I79" t="inlineStr"/>
      <c r="J79" t="inlineStr"/>
    </row>
    <row r="80">
      <c r="A80" t="inlineStr">
        <is>
          <t xml:space="preserve">    Retirement Match · 401(k) Employer Match</t>
        </is>
      </c>
      <c r="B80" t="n">
        <v>7261.51</v>
      </c>
      <c r="C80" t="n">
        <v>7261.51</v>
      </c>
      <c r="D80">
        <f>B80-C80</f>
        <v/>
      </c>
      <c r="E80">
        <f>IF(C80=0,"",D80/C80)</f>
        <v/>
      </c>
      <c r="F80" t="inlineStr">
        <is>
          <t>F</t>
        </is>
      </c>
      <c r="G80" t="inlineStr">
        <is>
          <t>Retirement Match · 401(k) Employer Match was unchanged.</t>
        </is>
      </c>
      <c r="I80" t="inlineStr"/>
      <c r="J80" t="inlineStr"/>
    </row>
    <row r="81">
      <c r="A81" t="inlineStr">
        <is>
          <t xml:space="preserve">    Salaries and Wages · Base Salaries</t>
        </is>
      </c>
      <c r="B81" t="n">
        <v>160499.99</v>
      </c>
      <c r="C81" t="n">
        <v>160499.99</v>
      </c>
      <c r="D81">
        <f>B81-C81</f>
        <v/>
      </c>
      <c r="E81">
        <f>IF(C81=0,"",D81/C81)</f>
        <v/>
      </c>
      <c r="F81" t="inlineStr">
        <is>
          <t>F</t>
        </is>
      </c>
      <c r="G81" t="inlineStr">
        <is>
          <t>Salaries and Wages · Base Salaries was unchanged.</t>
        </is>
      </c>
      <c r="I81" t="inlineStr"/>
      <c r="J81" t="inlineStr"/>
    </row>
    <row r="82">
      <c r="A82" t="inlineStr">
        <is>
          <t xml:space="preserve">    Software · Software Tools</t>
        </is>
      </c>
      <c r="B82" t="n">
        <v>793.76</v>
      </c>
      <c r="C82" t="n">
        <v>793.76</v>
      </c>
      <c r="D82">
        <f>B82-C82</f>
        <v/>
      </c>
      <c r="E82">
        <f>IF(C82=0,"",D82/C82)</f>
        <v/>
      </c>
      <c r="F82" t="inlineStr">
        <is>
          <t>F</t>
        </is>
      </c>
      <c r="G82" t="inlineStr">
        <is>
          <t>Software · Software Tools was unchanged.</t>
        </is>
      </c>
      <c r="I82" t="inlineStr"/>
      <c r="J82" t="inlineStr"/>
    </row>
    <row r="83">
      <c r="A83" t="inlineStr">
        <is>
          <t xml:space="preserve">    Stock-Based Compensation</t>
        </is>
      </c>
      <c r="B83" t="n">
        <v>34500</v>
      </c>
      <c r="C83" t="n">
        <v>34500</v>
      </c>
      <c r="D83">
        <f>B83-C83</f>
        <v/>
      </c>
      <c r="E83">
        <f>IF(C83=0,"",D83/C83)</f>
        <v/>
      </c>
      <c r="F83" t="inlineStr">
        <is>
          <t>F</t>
        </is>
      </c>
      <c r="G83" t="inlineStr">
        <is>
          <t>Stock-Based Compensation was unchanged.</t>
        </is>
      </c>
      <c r="I83" t="inlineStr"/>
      <c r="J83" t="inlineStr"/>
    </row>
    <row r="84">
      <c r="A84" t="inlineStr">
        <is>
          <t xml:space="preserve">    Travel &amp; Entertainment</t>
        </is>
      </c>
      <c r="B84" t="n">
        <v>1303.29</v>
      </c>
      <c r="C84" t="n">
        <v>1324.73</v>
      </c>
      <c r="D84">
        <f>B84-C84</f>
        <v/>
      </c>
      <c r="E84">
        <f>IF(C84=0,"",D84/C84)</f>
        <v/>
      </c>
      <c r="F84" t="inlineStr">
        <is>
          <t>F</t>
        </is>
      </c>
      <c r="G84" t="inlineStr">
        <is>
          <t>Travel &amp; Entertainment fell $21.44.</t>
        </is>
      </c>
      <c r="I84" t="inlineStr"/>
      <c r="J84" t="inlineStr"/>
    </row>
    <row r="85">
      <c r="A85" t="inlineStr">
        <is>
          <t xml:space="preserve">  Finance</t>
        </is>
      </c>
      <c r="B85" t="n">
        <v>220373.97</v>
      </c>
      <c r="C85" t="n">
        <v>230095.76</v>
      </c>
      <c r="D85">
        <f>B85-C85</f>
        <v/>
      </c>
      <c r="E85">
        <f>IF(C85=0,"",D85/C85)</f>
        <v/>
      </c>
      <c r="F85" t="inlineStr">
        <is>
          <t>F</t>
        </is>
      </c>
      <c r="G85" t="inlineStr">
        <is>
          <t>Finance fell $9,721.79 because lower Bad Debt · Bad Debt Expense (-$9,791.03) and higher Travel &amp; Entertainment ($69.24).</t>
        </is>
      </c>
      <c r="I85" t="inlineStr"/>
      <c r="J85" t="inlineStr"/>
    </row>
    <row r="86">
      <c r="A86" t="inlineStr">
        <is>
          <t xml:space="preserve">    Bad Debt · Bad Debt Expense</t>
        </is>
      </c>
      <c r="B86" t="n">
        <v>-2338.99</v>
      </c>
      <c r="C86" t="n">
        <v>7452.04</v>
      </c>
      <c r="D86">
        <f>B86-C86</f>
        <v/>
      </c>
      <c r="E86">
        <f>IF(C86=0,"",D86/C86)</f>
        <v/>
      </c>
      <c r="F86" t="inlineStr">
        <is>
          <t>F</t>
        </is>
      </c>
      <c r="G86" t="inlineStr">
        <is>
          <t>Bad Debt · Bad Debt Expense fell $9,791.03.</t>
        </is>
      </c>
      <c r="I86" t="inlineStr"/>
      <c r="J86" t="inlineStr"/>
    </row>
    <row r="87">
      <c r="A87" t="inlineStr">
        <is>
          <t xml:space="preserve">    Benefits · Employee Benefits</t>
        </is>
      </c>
      <c r="B87" t="n">
        <v>14400</v>
      </c>
      <c r="C87" t="n">
        <v>14400</v>
      </c>
      <c r="D87">
        <f>B87-C87</f>
        <v/>
      </c>
      <c r="E87">
        <f>IF(C87=0,"",D87/C87)</f>
        <v/>
      </c>
      <c r="F87" t="inlineStr">
        <is>
          <t>F</t>
        </is>
      </c>
      <c r="G87" t="inlineStr">
        <is>
          <t>Benefits · Employee Benefits was unchanged.</t>
        </is>
      </c>
      <c r="I87" t="inlineStr"/>
      <c r="J87" t="inlineStr"/>
    </row>
    <row r="88">
      <c r="A88" t="inlineStr">
        <is>
          <t xml:space="preserve">    Bonus · Bonuses</t>
        </is>
      </c>
      <c r="B88" t="n">
        <v>22135.83</v>
      </c>
      <c r="C88" t="n">
        <v>22135.83</v>
      </c>
      <c r="D88">
        <f>B88-C88</f>
        <v/>
      </c>
      <c r="E88">
        <f>IF(C88=0,"",D88/C88)</f>
        <v/>
      </c>
      <c r="F88" t="inlineStr">
        <is>
          <t>F</t>
        </is>
      </c>
      <c r="G88" t="inlineStr">
        <is>
          <t>Bonus · Bonuses was unchanged.</t>
        </is>
      </c>
      <c r="I88" t="inlineStr"/>
      <c r="J88" t="inlineStr"/>
    </row>
    <row r="89">
      <c r="A89" t="inlineStr">
        <is>
          <t xml:space="preserve">    Payroll Taxes</t>
        </is>
      </c>
      <c r="B89" t="n">
        <v>12300.86</v>
      </c>
      <c r="C89" t="n">
        <v>12300.86</v>
      </c>
      <c r="D89">
        <f>B89-C89</f>
        <v/>
      </c>
      <c r="E89">
        <f>IF(C89=0,"",D89/C89)</f>
        <v/>
      </c>
      <c r="F89" t="inlineStr">
        <is>
          <t>F</t>
        </is>
      </c>
      <c r="G89" t="inlineStr">
        <is>
          <t>Payroll Taxes was unchanged.</t>
        </is>
      </c>
      <c r="I89" t="inlineStr"/>
      <c r="J89" t="inlineStr"/>
    </row>
    <row r="90">
      <c r="A90" t="inlineStr">
        <is>
          <t xml:space="preserve">    Retirement Match · 401(k) Employer Match</t>
        </is>
      </c>
      <c r="B90" t="n">
        <v>5438.74</v>
      </c>
      <c r="C90" t="n">
        <v>5438.74</v>
      </c>
      <c r="D90">
        <f>B90-C90</f>
        <v/>
      </c>
      <c r="E90">
        <f>IF(C90=0,"",D90/C90)</f>
        <v/>
      </c>
      <c r="F90" t="inlineStr">
        <is>
          <t>F</t>
        </is>
      </c>
      <c r="G90" t="inlineStr">
        <is>
          <t>Retirement Match · 401(k) Employer Match was unchanged.</t>
        </is>
      </c>
      <c r="I90" t="inlineStr"/>
      <c r="J90" t="inlineStr"/>
    </row>
    <row r="91">
      <c r="A91" t="inlineStr">
        <is>
          <t xml:space="preserve">    Salaries and Wages · Base Salaries</t>
        </is>
      </c>
      <c r="B91" t="n">
        <v>131625.02</v>
      </c>
      <c r="C91" t="n">
        <v>131625.02</v>
      </c>
      <c r="D91">
        <f>B91-C91</f>
        <v/>
      </c>
      <c r="E91">
        <f>IF(C91=0,"",D91/C91)</f>
        <v/>
      </c>
      <c r="F91" t="inlineStr">
        <is>
          <t>F</t>
        </is>
      </c>
      <c r="G91" t="inlineStr">
        <is>
          <t>Salaries and Wages · Base Salaries was unchanged.</t>
        </is>
      </c>
      <c r="I91" t="inlineStr"/>
      <c r="J91" t="inlineStr"/>
    </row>
    <row r="92">
      <c r="A92" t="inlineStr">
        <is>
          <t xml:space="preserve">    Software · Software Tools</t>
        </is>
      </c>
      <c r="B92" t="n">
        <v>14916.67</v>
      </c>
      <c r="C92" t="n">
        <v>14916.67</v>
      </c>
      <c r="D92">
        <f>B92-C92</f>
        <v/>
      </c>
      <c r="E92">
        <f>IF(C92=0,"",D92/C92)</f>
        <v/>
      </c>
      <c r="F92" t="inlineStr">
        <is>
          <t>F</t>
        </is>
      </c>
      <c r="G92" t="inlineStr">
        <is>
          <t>Software · Software Tools was unchanged.</t>
        </is>
      </c>
      <c r="I92" t="inlineStr"/>
      <c r="J92" t="inlineStr"/>
    </row>
    <row r="93">
      <c r="A93" t="inlineStr">
        <is>
          <t xml:space="preserve">    Stock-Based Compensation</t>
        </is>
      </c>
      <c r="B93" t="n">
        <v>20583.34</v>
      </c>
      <c r="C93" t="n">
        <v>20583.34</v>
      </c>
      <c r="D93">
        <f>B93-C93</f>
        <v/>
      </c>
      <c r="E93">
        <f>IF(C93=0,"",D93/C93)</f>
        <v/>
      </c>
      <c r="F93" t="inlineStr">
        <is>
          <t>F</t>
        </is>
      </c>
      <c r="G93" t="inlineStr">
        <is>
          <t>Stock-Based Compensation was unchanged.</t>
        </is>
      </c>
      <c r="I93" t="inlineStr"/>
      <c r="J93" t="inlineStr"/>
    </row>
    <row r="94">
      <c r="A94" t="inlineStr">
        <is>
          <t xml:space="preserve">    Travel &amp; Entertainment</t>
        </is>
      </c>
      <c r="B94" t="n">
        <v>1312.5</v>
      </c>
      <c r="C94" t="n">
        <v>1243.26</v>
      </c>
      <c r="D94">
        <f>B94-C94</f>
        <v/>
      </c>
      <c r="E94">
        <f>IF(C94=0,"",D94/C94)</f>
        <v/>
      </c>
      <c r="F94" t="inlineStr">
        <is>
          <t>U</t>
        </is>
      </c>
      <c r="G94" t="inlineStr">
        <is>
          <t>Travel &amp; Entertainment rose $69.24.</t>
        </is>
      </c>
      <c r="I94" t="inlineStr"/>
      <c r="J94" t="inlineStr"/>
    </row>
    <row r="95">
      <c r="A95" t="inlineStr">
        <is>
          <t xml:space="preserve">  G&amp;A</t>
        </is>
      </c>
      <c r="B95" t="n">
        <v>627207.17</v>
      </c>
      <c r="C95" t="n">
        <v>610058.91</v>
      </c>
      <c r="D95">
        <f>B95-C95</f>
        <v/>
      </c>
      <c r="E95">
        <f>IF(C95=0,"",D95/C95)</f>
        <v/>
      </c>
      <c r="F95" t="inlineStr">
        <is>
          <t>U</t>
        </is>
      </c>
      <c r="G95" t="inlineStr">
        <is>
          <t>G&amp;A rose $17,148.26 because higher Professional Services ($10,185.60), higher Salaries and Wages · Base Salaries ($4,133.07), higher Benefits · Employee Benefits ($1,200.00) and lower Travel &amp; Entertainment (-$116.97); other items ($1,746.56).</t>
        </is>
      </c>
      <c r="I95" t="inlineStr"/>
      <c r="J95" t="inlineStr"/>
    </row>
    <row r="96">
      <c r="A96" t="inlineStr">
        <is>
          <t xml:space="preserve">    Benefits · Employee Benefits</t>
        </is>
      </c>
      <c r="B96" t="n">
        <v>25200</v>
      </c>
      <c r="C96" t="n">
        <v>24000</v>
      </c>
      <c r="D96">
        <f>B96-C96</f>
        <v/>
      </c>
      <c r="E96">
        <f>IF(C96=0,"",D96/C96)</f>
        <v/>
      </c>
      <c r="F96" t="inlineStr">
        <is>
          <t>U</t>
        </is>
      </c>
      <c r="G96" t="inlineStr">
        <is>
          <t>Benefits · Employee Benefits rose $1,200.00.</t>
        </is>
      </c>
      <c r="I96" t="inlineStr"/>
      <c r="J96" t="inlineStr"/>
    </row>
    <row r="97">
      <c r="A97" t="inlineStr">
        <is>
          <t xml:space="preserve">    Bonus · Bonuses</t>
        </is>
      </c>
      <c r="B97" t="n">
        <v>44180.42</v>
      </c>
      <c r="C97" t="n">
        <v>43767.11</v>
      </c>
      <c r="D97">
        <f>B97-C97</f>
        <v/>
      </c>
      <c r="E97">
        <f>IF(C97=0,"",D97/C97)</f>
        <v/>
      </c>
      <c r="F97" t="inlineStr">
        <is>
          <t>U</t>
        </is>
      </c>
      <c r="G97" t="inlineStr">
        <is>
          <t>Bonus · Bonuses rose $413.31.</t>
        </is>
      </c>
      <c r="I97" t="inlineStr"/>
      <c r="J97" t="inlineStr"/>
    </row>
    <row r="98">
      <c r="A98" t="inlineStr">
        <is>
          <t xml:space="preserve">    Insurance</t>
        </is>
      </c>
      <c r="B98" t="n">
        <v>33916.7</v>
      </c>
      <c r="C98" t="n">
        <v>33916.66</v>
      </c>
      <c r="D98">
        <f>B98-C98</f>
        <v/>
      </c>
      <c r="E98">
        <f>IF(C98=0,"",D98/C98)</f>
        <v/>
      </c>
      <c r="F98" t="inlineStr">
        <is>
          <t>U</t>
        </is>
      </c>
      <c r="G98" t="inlineStr">
        <is>
          <t>Insurance rose $0.04.</t>
        </is>
      </c>
      <c r="I98" t="inlineStr"/>
      <c r="J98" t="inlineStr"/>
    </row>
    <row r="99">
      <c r="A99" t="inlineStr">
        <is>
          <t xml:space="preserve">    Other G&amp;A</t>
        </is>
      </c>
      <c r="B99" t="n">
        <v>4884</v>
      </c>
      <c r="C99" t="n">
        <v>4840</v>
      </c>
      <c r="D99">
        <f>B99-C99</f>
        <v/>
      </c>
      <c r="E99">
        <f>IF(C99=0,"",D99/C99)</f>
        <v/>
      </c>
      <c r="F99" t="inlineStr">
        <is>
          <t>U</t>
        </is>
      </c>
      <c r="G99" t="inlineStr">
        <is>
          <t>Other G&amp;A rose $44.00.</t>
        </is>
      </c>
      <c r="I99" t="inlineStr"/>
      <c r="J99" t="inlineStr"/>
    </row>
    <row r="100">
      <c r="A100" t="inlineStr">
        <is>
          <t xml:space="preserve">    Payroll Taxes</t>
        </is>
      </c>
      <c r="B100" t="n">
        <v>22287.78</v>
      </c>
      <c r="C100" t="n">
        <v>21924.07</v>
      </c>
      <c r="D100">
        <f>B100-C100</f>
        <v/>
      </c>
      <c r="E100">
        <f>IF(C100=0,"",D100/C100)</f>
        <v/>
      </c>
      <c r="F100" t="inlineStr">
        <is>
          <t>U</t>
        </is>
      </c>
      <c r="G100" t="inlineStr">
        <is>
          <t>Payroll Taxes rose $363.71.</t>
        </is>
      </c>
      <c r="I100" t="inlineStr"/>
      <c r="J100" t="inlineStr"/>
    </row>
    <row r="101">
      <c r="A101" t="inlineStr">
        <is>
          <t xml:space="preserve">    Professional Services</t>
        </is>
      </c>
      <c r="B101" t="n">
        <v>37996.8</v>
      </c>
      <c r="C101" t="n">
        <v>27811.2</v>
      </c>
      <c r="D101">
        <f>B101-C101</f>
        <v/>
      </c>
      <c r="E101">
        <f>IF(C101=0,"",D101/C101)</f>
        <v/>
      </c>
      <c r="F101" t="inlineStr">
        <is>
          <t>U</t>
        </is>
      </c>
      <c r="G101" t="inlineStr">
        <is>
          <t>Professional Services rose $10,185.60.</t>
        </is>
      </c>
      <c r="I101" t="inlineStr"/>
      <c r="J101" t="inlineStr"/>
    </row>
    <row r="102">
      <c r="A102" t="inlineStr">
        <is>
          <t xml:space="preserve">    Recruiting</t>
        </is>
      </c>
      <c r="B102" t="n">
        <v>8666.67</v>
      </c>
      <c r="C102" t="n">
        <v>8666.67</v>
      </c>
      <c r="D102">
        <f>B102-C102</f>
        <v/>
      </c>
      <c r="E102">
        <f>IF(C102=0,"",D102/C102)</f>
        <v/>
      </c>
      <c r="F102" t="inlineStr">
        <is>
          <t>F</t>
        </is>
      </c>
      <c r="G102" t="inlineStr">
        <is>
          <t>Recruiting was unchanged.</t>
        </is>
      </c>
      <c r="I102" t="inlineStr"/>
      <c r="J102" t="inlineStr"/>
    </row>
    <row r="103">
      <c r="A103" t="inlineStr">
        <is>
          <t xml:space="preserve">    Rent &amp; Facilities</t>
        </is>
      </c>
      <c r="B103" t="n">
        <v>101720.76</v>
      </c>
      <c r="C103" t="n">
        <v>101610.76</v>
      </c>
      <c r="D103">
        <f>B103-C103</f>
        <v/>
      </c>
      <c r="E103">
        <f>IF(C103=0,"",D103/C103)</f>
        <v/>
      </c>
      <c r="F103" t="inlineStr">
        <is>
          <t>U</t>
        </is>
      </c>
      <c r="G103" t="inlineStr">
        <is>
          <t>Rent &amp; Facilities rose $110.00.</t>
        </is>
      </c>
      <c r="I103" t="inlineStr"/>
      <c r="J103" t="inlineStr"/>
    </row>
    <row r="104">
      <c r="A104" t="inlineStr">
        <is>
          <t xml:space="preserve">    Retirement Match · 401(k) Employer Match</t>
        </is>
      </c>
      <c r="B104" t="n">
        <v>9188.27</v>
      </c>
      <c r="C104" t="n">
        <v>9006.42</v>
      </c>
      <c r="D104">
        <f>B104-C104</f>
        <v/>
      </c>
      <c r="E104">
        <f>IF(C104=0,"",D104/C104)</f>
        <v/>
      </c>
      <c r="F104" t="inlineStr">
        <is>
          <t>U</t>
        </is>
      </c>
      <c r="G104" t="inlineStr">
        <is>
          <t>Retirement Match · 401(k) Employer Match rose $181.85.</t>
        </is>
      </c>
      <c r="I104" t="inlineStr"/>
      <c r="J104" t="inlineStr"/>
    </row>
    <row r="105">
      <c r="A105" t="inlineStr">
        <is>
          <t xml:space="preserve">    Salaries and Wages · Base Salaries</t>
        </is>
      </c>
      <c r="B105" t="n">
        <v>234416.67</v>
      </c>
      <c r="C105" t="n">
        <v>230283.6</v>
      </c>
      <c r="D105">
        <f>B105-C105</f>
        <v/>
      </c>
      <c r="E105">
        <f>IF(C105=0,"",D105/C105)</f>
        <v/>
      </c>
      <c r="F105" t="inlineStr">
        <is>
          <t>U</t>
        </is>
      </c>
      <c r="G105" t="inlineStr">
        <is>
          <t>Salaries and Wages · Base Salaries rose $4,133.07.</t>
        </is>
      </c>
      <c r="I105" t="inlineStr"/>
      <c r="J105" t="inlineStr"/>
    </row>
    <row r="106">
      <c r="A106" t="inlineStr">
        <is>
          <t xml:space="preserve">    Software</t>
        </is>
      </c>
      <c r="B106" t="n">
        <v>50158.03</v>
      </c>
      <c r="C106" t="n">
        <v>49846.96</v>
      </c>
      <c r="D106">
        <f>B106-C106</f>
        <v/>
      </c>
      <c r="E106">
        <f>IF(C106=0,"",D106/C106)</f>
        <v/>
      </c>
      <c r="F106" t="inlineStr">
        <is>
          <t>U</t>
        </is>
      </c>
      <c r="G106" t="inlineStr">
        <is>
          <t>Software rose $311.07 because higher Software Tools ($183.30) and higher Computer Equipment and Supplies ($127.77).</t>
        </is>
      </c>
      <c r="I106" t="inlineStr"/>
      <c r="J106" t="inlineStr"/>
    </row>
    <row r="107">
      <c r="A107" t="inlineStr">
        <is>
          <t xml:space="preserve">      Computer Equipment and Supplies</t>
        </is>
      </c>
      <c r="B107" t="n">
        <v>21083.33</v>
      </c>
      <c r="C107" t="n">
        <v>20955.56</v>
      </c>
      <c r="D107">
        <f>B107-C107</f>
        <v/>
      </c>
      <c r="E107">
        <f>IF(C107=0,"",D107/C107)</f>
        <v/>
      </c>
      <c r="F107" t="inlineStr">
        <is>
          <t>U</t>
        </is>
      </c>
      <c r="G107" t="inlineStr">
        <is>
          <t>Computer Equipment and Supplies rose $127.77.</t>
        </is>
      </c>
      <c r="I107" t="inlineStr"/>
      <c r="J107" t="inlineStr"/>
    </row>
    <row r="108">
      <c r="A108" t="inlineStr">
        <is>
          <t xml:space="preserve">      Software Tools</t>
        </is>
      </c>
      <c r="B108" t="n">
        <v>29074.7</v>
      </c>
      <c r="C108" t="n">
        <v>28891.4</v>
      </c>
      <c r="D108">
        <f>B108-C108</f>
        <v/>
      </c>
      <c r="E108">
        <f>IF(C108=0,"",D108/C108)</f>
        <v/>
      </c>
      <c r="F108" t="inlineStr">
        <is>
          <t>U</t>
        </is>
      </c>
      <c r="G108" t="inlineStr">
        <is>
          <t>Software Tools rose $183.30.</t>
        </is>
      </c>
      <c r="I108" t="inlineStr"/>
      <c r="J108" t="inlineStr"/>
    </row>
    <row r="109">
      <c r="A109" t="inlineStr">
        <is>
          <t xml:space="preserve">    Stock-Based Compensation</t>
        </is>
      </c>
      <c r="B109" t="n">
        <v>47916.66</v>
      </c>
      <c r="C109" t="n">
        <v>47594.08</v>
      </c>
      <c r="D109">
        <f>B109-C109</f>
        <v/>
      </c>
      <c r="E109">
        <f>IF(C109=0,"",D109/C109)</f>
        <v/>
      </c>
      <c r="F109" t="inlineStr">
        <is>
          <t>U</t>
        </is>
      </c>
      <c r="G109" t="inlineStr">
        <is>
          <t>Stock-Based Compensation rose $322.58.</t>
        </is>
      </c>
      <c r="I109" t="inlineStr"/>
      <c r="J109" t="inlineStr"/>
    </row>
    <row r="110">
      <c r="A110" t="inlineStr">
        <is>
          <t xml:space="preserve">    Travel &amp; Entertainment</t>
        </is>
      </c>
      <c r="B110" t="n">
        <v>6674.41</v>
      </c>
      <c r="C110" t="n">
        <v>6791.38</v>
      </c>
      <c r="D110">
        <f>B110-C110</f>
        <v/>
      </c>
      <c r="E110">
        <f>IF(C110=0,"",D110/C110)</f>
        <v/>
      </c>
      <c r="F110" t="inlineStr">
        <is>
          <t>F</t>
        </is>
      </c>
      <c r="G110" t="inlineStr">
        <is>
          <t>Travel &amp; Entertainment fell $116.97.</t>
        </is>
      </c>
      <c r="I110" t="inlineStr"/>
      <c r="J110" t="inlineStr"/>
    </row>
    <row r="111">
      <c r="A111" t="inlineStr">
        <is>
          <t xml:space="preserve">  Support</t>
        </is>
      </c>
      <c r="B111" t="n">
        <v>87592.57000000001</v>
      </c>
      <c r="C111" t="n">
        <v>87509.12</v>
      </c>
      <c r="D111">
        <f>B111-C111</f>
        <v/>
      </c>
      <c r="E111">
        <f>IF(C111=0,"",D111/C111)</f>
        <v/>
      </c>
      <c r="F111" t="inlineStr">
        <is>
          <t>U</t>
        </is>
      </c>
      <c r="G111" t="inlineStr">
        <is>
          <t>Support rose $83.45 because higher Travel &amp; Entertainment ($83.45).</t>
        </is>
      </c>
      <c r="I111" t="inlineStr"/>
      <c r="J111" t="inlineStr"/>
    </row>
    <row r="112">
      <c r="A112" t="inlineStr">
        <is>
          <t xml:space="preserve">    Benefits · Employee Benefits</t>
        </is>
      </c>
      <c r="B112" t="n">
        <v>7200</v>
      </c>
      <c r="C112" t="n">
        <v>7200</v>
      </c>
      <c r="D112">
        <f>B112-C112</f>
        <v/>
      </c>
      <c r="E112">
        <f>IF(C112=0,"",D112/C112)</f>
        <v/>
      </c>
      <c r="F112" t="inlineStr">
        <is>
          <t>F</t>
        </is>
      </c>
      <c r="G112" t="inlineStr">
        <is>
          <t>Benefits · Employee Benefits was unchanged.</t>
        </is>
      </c>
      <c r="I112" t="inlineStr"/>
      <c r="J112" t="inlineStr"/>
    </row>
    <row r="113">
      <c r="A113" t="inlineStr">
        <is>
          <t xml:space="preserve">    Bonus · Bonuses</t>
        </is>
      </c>
      <c r="B113" t="n">
        <v>6519.17</v>
      </c>
      <c r="C113" t="n">
        <v>6519.17</v>
      </c>
      <c r="D113">
        <f>B113-C113</f>
        <v/>
      </c>
      <c r="E113">
        <f>IF(C113=0,"",D113/C113)</f>
        <v/>
      </c>
      <c r="F113" t="inlineStr">
        <is>
          <t>F</t>
        </is>
      </c>
      <c r="G113" t="inlineStr">
        <is>
          <t>Bonus · Bonuses was unchanged.</t>
        </is>
      </c>
      <c r="I113" t="inlineStr"/>
      <c r="J113" t="inlineStr"/>
    </row>
    <row r="114">
      <c r="A114" t="inlineStr">
        <is>
          <t xml:space="preserve">    Payroll Taxes</t>
        </is>
      </c>
      <c r="B114" t="n">
        <v>5008.2</v>
      </c>
      <c r="C114" t="n">
        <v>5008.2</v>
      </c>
      <c r="D114">
        <f>B114-C114</f>
        <v/>
      </c>
      <c r="E114">
        <f>IF(C114=0,"",D114/C114)</f>
        <v/>
      </c>
      <c r="F114" t="inlineStr">
        <is>
          <t>F</t>
        </is>
      </c>
      <c r="G114" t="inlineStr">
        <is>
          <t>Payroll Taxes was unchanged.</t>
        </is>
      </c>
      <c r="I114" t="inlineStr"/>
      <c r="J114" t="inlineStr"/>
    </row>
    <row r="115">
      <c r="A115" t="inlineStr">
        <is>
          <t xml:space="preserve">    Retirement Match · 401(k) Employer Match</t>
        </is>
      </c>
      <c r="B115" t="n">
        <v>2414.1</v>
      </c>
      <c r="C115" t="n">
        <v>2414.1</v>
      </c>
      <c r="D115">
        <f>B115-C115</f>
        <v/>
      </c>
      <c r="E115">
        <f>IF(C115=0,"",D115/C115)</f>
        <v/>
      </c>
      <c r="F115" t="inlineStr">
        <is>
          <t>F</t>
        </is>
      </c>
      <c r="G115" t="inlineStr">
        <is>
          <t>Retirement Match · 401(k) Employer Match was unchanged.</t>
        </is>
      </c>
      <c r="I115" t="inlineStr"/>
      <c r="J115" t="inlineStr"/>
    </row>
    <row r="116">
      <c r="A116" t="inlineStr">
        <is>
          <t xml:space="preserve">    Salaries and Wages · Base Salaries</t>
        </is>
      </c>
      <c r="B116" t="n">
        <v>56083.33</v>
      </c>
      <c r="C116" t="n">
        <v>56083.33</v>
      </c>
      <c r="D116">
        <f>B116-C116</f>
        <v/>
      </c>
      <c r="E116">
        <f>IF(C116=0,"",D116/C116)</f>
        <v/>
      </c>
      <c r="F116" t="inlineStr">
        <is>
          <t>F</t>
        </is>
      </c>
      <c r="G116" t="inlineStr">
        <is>
          <t>Salaries and Wages · Base Salaries was unchanged.</t>
        </is>
      </c>
      <c r="I116" t="inlineStr"/>
      <c r="J116" t="inlineStr"/>
    </row>
    <row r="117">
      <c r="A117" t="inlineStr">
        <is>
          <t xml:space="preserve">    Software · Software Tools</t>
        </is>
      </c>
      <c r="B117" t="n">
        <v>2415</v>
      </c>
      <c r="C117" t="n">
        <v>2415</v>
      </c>
      <c r="D117">
        <f>B117-C117</f>
        <v/>
      </c>
      <c r="E117">
        <f>IF(C117=0,"",D117/C117)</f>
        <v/>
      </c>
      <c r="F117" t="inlineStr">
        <is>
          <t>F</t>
        </is>
      </c>
      <c r="G117" t="inlineStr">
        <is>
          <t>Software · Software Tools was unchanged.</t>
        </is>
      </c>
      <c r="I117" t="inlineStr"/>
      <c r="J117" t="inlineStr"/>
    </row>
    <row r="118">
      <c r="A118" t="inlineStr">
        <is>
          <t xml:space="preserve">    Stock-Based Compensation</t>
        </is>
      </c>
      <c r="B118" t="n">
        <v>5583.33</v>
      </c>
      <c r="C118" t="n">
        <v>5583.33</v>
      </c>
      <c r="D118">
        <f>B118-C118</f>
        <v/>
      </c>
      <c r="E118">
        <f>IF(C118=0,"",D118/C118)</f>
        <v/>
      </c>
      <c r="F118" t="inlineStr">
        <is>
          <t>F</t>
        </is>
      </c>
      <c r="G118" t="inlineStr">
        <is>
          <t>Stock-Based Compensation was unchanged.</t>
        </is>
      </c>
      <c r="I118" t="inlineStr"/>
      <c r="J118" t="inlineStr"/>
    </row>
    <row r="119">
      <c r="A119" t="inlineStr">
        <is>
          <t xml:space="preserve">    Travel &amp; Entertainment</t>
        </is>
      </c>
      <c r="B119" t="n">
        <v>2369.44</v>
      </c>
      <c r="C119" t="n">
        <v>2285.99</v>
      </c>
      <c r="D119">
        <f>B119-C119</f>
        <v/>
      </c>
      <c r="E119">
        <f>IF(C119=0,"",D119/C119)</f>
        <v/>
      </c>
      <c r="F119" t="inlineStr">
        <is>
          <t>U</t>
        </is>
      </c>
      <c r="G119" t="inlineStr">
        <is>
          <t>Travel &amp; Entertainment rose $83.45.</t>
        </is>
      </c>
      <c r="I119" t="inlineStr"/>
      <c r="J119" t="inlineStr"/>
    </row>
    <row r="120">
      <c r="A120" t="inlineStr">
        <is>
          <t xml:space="preserve">  G&amp;A · Depreciation and Amortization</t>
        </is>
      </c>
      <c r="B120" t="n">
        <v>94535.94</v>
      </c>
      <c r="C120" t="n">
        <v>93226.84</v>
      </c>
      <c r="D120">
        <f>B120-C120</f>
        <v/>
      </c>
      <c r="E120">
        <f>IF(C120=0,"",D120/C120)</f>
        <v/>
      </c>
      <c r="F120" t="inlineStr">
        <is>
          <t>U</t>
        </is>
      </c>
      <c r="G120" t="inlineStr">
        <is>
          <t>G&amp;A · Depreciation and Amortization rose $1,309.10.</t>
        </is>
      </c>
      <c r="I120" t="inlineStr"/>
      <c r="J120" t="inlineStr"/>
    </row>
    <row r="121">
      <c r="A121" t="inlineStr">
        <is>
          <t xml:space="preserve">  Finance · Interest Expense</t>
        </is>
      </c>
      <c r="B121" t="n">
        <v>40000</v>
      </c>
      <c r="C121" t="n">
        <v>40000</v>
      </c>
      <c r="D121">
        <f>B121-C121</f>
        <v/>
      </c>
      <c r="E121">
        <f>IF(C121=0,"",D121/C121)</f>
        <v/>
      </c>
      <c r="F121" t="inlineStr">
        <is>
          <t>F</t>
        </is>
      </c>
      <c r="G121" t="inlineStr">
        <is>
          <t>Finance · Interest Expense was unchanged.</t>
        </is>
      </c>
      <c r="I121" t="inlineStr"/>
      <c r="J121" t="inlineStr"/>
    </row>
    <row r="122">
      <c r="A122" t="inlineStr">
        <is>
          <t xml:space="preserve">  Finance · Tax Expense</t>
        </is>
      </c>
      <c r="B122" t="n">
        <v>212481.57</v>
      </c>
      <c r="C122" t="n">
        <v>211968.98</v>
      </c>
      <c r="D122">
        <f>B122-C122</f>
        <v/>
      </c>
      <c r="E122">
        <f>IF(C122=0,"",D122/C122)</f>
        <v/>
      </c>
      <c r="F122" t="inlineStr">
        <is>
          <t>U</t>
        </is>
      </c>
      <c r="G122" t="inlineStr">
        <is>
          <t>Finance · Tax Expense rose $512.59.</t>
        </is>
      </c>
      <c r="I122" t="inlineStr"/>
      <c r="J122" t="inlineStr"/>
    </row>
    <row r="123">
      <c r="A123" t="inlineStr">
        <is>
          <t>Balance sheet</t>
        </is>
      </c>
      <c r="F123" t="inlineStr"/>
      <c r="G123" t="inlineStr">
        <is>
          <t>Cash rose $1,687,473.33. Total assets rose $820,500.63. Total liabilities fell $209,277.42.</t>
        </is>
      </c>
      <c r="I123" t="inlineStr"/>
      <c r="J123" t="inlineStr">
        <is>
          <t>Yes</t>
        </is>
      </c>
    </row>
    <row r="124">
      <c r="A124" t="inlineStr">
        <is>
          <t>Cash</t>
        </is>
      </c>
      <c r="B124" t="n">
        <v>30000000</v>
      </c>
      <c r="C124" t="n">
        <v>28312526.67</v>
      </c>
      <c r="D124">
        <f>B124-C124</f>
        <v/>
      </c>
      <c r="E124">
        <f>IF(C124=0,"",D124/C124)</f>
        <v/>
      </c>
      <c r="F124" t="inlineStr">
        <is>
          <t>F</t>
        </is>
      </c>
      <c r="G124" t="inlineStr">
        <is>
          <t>Cash rose $1,687,473.33.</t>
        </is>
      </c>
      <c r="I124" t="inlineStr"/>
      <c r="J124" t="inlineStr"/>
    </row>
    <row r="125">
      <c r="A125" t="inlineStr">
        <is>
          <t>Accounts receivable</t>
        </is>
      </c>
      <c r="B125" t="n">
        <v>5441240.81</v>
      </c>
      <c r="C125" t="n">
        <v>5947584.91</v>
      </c>
      <c r="D125">
        <f>B125-C125</f>
        <v/>
      </c>
      <c r="E125">
        <f>IF(C125=0,"",D125/C125)</f>
        <v/>
      </c>
      <c r="F125" t="inlineStr">
        <is>
          <t>U</t>
        </is>
      </c>
      <c r="G125" t="inlineStr">
        <is>
          <t>Accounts receivable fell $506,344.10.</t>
        </is>
      </c>
      <c r="I125" t="inlineStr"/>
      <c r="J125" t="inlineStr"/>
    </row>
    <row r="126">
      <c r="A126" t="inlineStr">
        <is>
          <t>Deferred revenue</t>
        </is>
      </c>
      <c r="B126" t="n">
        <v>4700868.96</v>
      </c>
      <c r="C126" t="n">
        <v>5753590.05</v>
      </c>
      <c r="D126">
        <f>B126-C126</f>
        <v/>
      </c>
      <c r="E126">
        <f>IF(C126=0,"",D126/C126)</f>
        <v/>
      </c>
      <c r="F126" t="inlineStr">
        <is>
          <t>U</t>
        </is>
      </c>
      <c r="G126" t="inlineStr">
        <is>
          <t>Deferred revenue fell $1,052,721.09.</t>
        </is>
      </c>
      <c r="I126" t="inlineStr"/>
      <c r="J126" t="inlineStr"/>
    </row>
    <row r="127">
      <c r="A127" t="inlineStr">
        <is>
          <t>Debt</t>
        </is>
      </c>
      <c r="B127" t="n">
        <v>5000000</v>
      </c>
      <c r="C127" t="n">
        <v>5000000</v>
      </c>
      <c r="D127">
        <f>B127-C127</f>
        <v/>
      </c>
      <c r="E127">
        <f>IF(C127=0,"",D127/C127)</f>
        <v/>
      </c>
      <c r="F127" t="inlineStr">
        <is>
          <t>F</t>
        </is>
      </c>
      <c r="G127" t="inlineStr">
        <is>
          <t>Debt was unchanged.</t>
        </is>
      </c>
      <c r="I127" t="inlineStr"/>
      <c r="J127" t="inlineStr"/>
    </row>
    <row r="128">
      <c r="A128" t="inlineStr">
        <is>
          <t>Total assets</t>
        </is>
      </c>
      <c r="B128" t="n">
        <v>48964891.28</v>
      </c>
      <c r="C128" t="n">
        <v>48144390.65</v>
      </c>
      <c r="D128">
        <f>B128-C128</f>
        <v/>
      </c>
      <c r="E128">
        <f>IF(C128=0,"",D128/C128)</f>
        <v/>
      </c>
      <c r="F128" t="inlineStr">
        <is>
          <t>F</t>
        </is>
      </c>
      <c r="G128" t="inlineStr">
        <is>
          <t>Total assets rose $820,500.63.</t>
        </is>
      </c>
      <c r="I128" t="inlineStr"/>
      <c r="J128" t="inlineStr"/>
    </row>
    <row r="129">
      <c r="A129" t="inlineStr">
        <is>
          <t>Total liabilities</t>
        </is>
      </c>
      <c r="B129" t="n">
        <v>17913077.24</v>
      </c>
      <c r="C129" t="n">
        <v>18122354.66</v>
      </c>
      <c r="D129">
        <f>B129-C129</f>
        <v/>
      </c>
      <c r="E129">
        <f>IF(C129=0,"",D129/C129)</f>
        <v/>
      </c>
      <c r="F129" t="inlineStr">
        <is>
          <t>U</t>
        </is>
      </c>
      <c r="G129" t="inlineStr">
        <is>
          <t>Total liabilities fell $209,277.42.</t>
        </is>
      </c>
      <c r="I129" t="inlineStr"/>
      <c r="J129" t="inlineStr"/>
    </row>
    <row r="130">
      <c r="A130" t="inlineStr">
        <is>
          <t>Total liabilities and equity</t>
        </is>
      </c>
      <c r="B130" t="n">
        <v>48964891.28</v>
      </c>
      <c r="C130" t="n">
        <v>48144390.65</v>
      </c>
      <c r="D130">
        <f>B130-C130</f>
        <v/>
      </c>
      <c r="E130">
        <f>IF(C130=0,"",D130/C130)</f>
        <v/>
      </c>
      <c r="F130" t="inlineStr">
        <is>
          <t>F</t>
        </is>
      </c>
      <c r="G130" t="inlineStr">
        <is>
          <t>Total liabilities and equity rose $820,500.63.</t>
        </is>
      </c>
      <c r="I130" t="inlineStr"/>
      <c r="J130" t="inlineStr"/>
    </row>
    <row r="131">
      <c r="A131" t="inlineStr">
        <is>
          <t>Account and department detail is not loaded for the balance sheet.</t>
        </is>
      </c>
      <c r="F131" t="inlineStr"/>
      <c r="G131" t="inlineStr"/>
      <c r="I131" t="inlineStr"/>
      <c r="J131" t="inlineStr"/>
    </row>
    <row r="132">
      <c r="A132" t="inlineStr">
        <is>
          <t>Cash flow</t>
        </is>
      </c>
      <c r="F132" t="inlineStr"/>
      <c r="G132" t="inlineStr">
        <is>
          <t>Operating cash flow rose $284,347.33. Investing cash flow fell $3,059.10. Financing cash flow was unchanged. Net change in cash rose $281,288.23 because higher operating cash flow ($284,347.33) and lower investing cash flow (-$3,059.10). Ending cash rose $1,687,473.33.</t>
        </is>
      </c>
      <c r="I132" t="inlineStr"/>
      <c r="J132" t="inlineStr">
        <is>
          <t>Yes</t>
        </is>
      </c>
    </row>
    <row r="133">
      <c r="A133" t="inlineStr">
        <is>
          <t>Operating cash flow</t>
        </is>
      </c>
      <c r="B133" t="n">
        <v>1818759.27</v>
      </c>
      <c r="C133" t="n">
        <v>1534411.94</v>
      </c>
      <c r="D133">
        <f>B133-C133</f>
        <v/>
      </c>
      <c r="E133">
        <f>IF(C133=0,"",D133/C133)</f>
        <v/>
      </c>
      <c r="F133" t="inlineStr">
        <is>
          <t>F</t>
        </is>
      </c>
      <c r="G133" t="inlineStr">
        <is>
          <t>Operating cash flow rose $284,347.33.</t>
        </is>
      </c>
      <c r="I133" t="inlineStr"/>
      <c r="J133" t="inlineStr"/>
    </row>
    <row r="134">
      <c r="A134" t="inlineStr">
        <is>
          <t>Investing cash flow</t>
        </is>
      </c>
      <c r="B134" t="n">
        <v>-131285.94</v>
      </c>
      <c r="C134" t="n">
        <v>-128226.84</v>
      </c>
      <c r="D134">
        <f>B134-C134</f>
        <v/>
      </c>
      <c r="E134">
        <f>IF(C134=0,"",D134/C134)</f>
        <v/>
      </c>
      <c r="F134" t="inlineStr">
        <is>
          <t>U</t>
        </is>
      </c>
      <c r="G134" t="inlineStr">
        <is>
          <t>Investing cash flow fell $3,059.10.</t>
        </is>
      </c>
      <c r="I134" t="inlineStr"/>
      <c r="J134" t="inlineStr"/>
    </row>
    <row r="135">
      <c r="A135" t="inlineStr">
        <is>
          <t>Financing cash flow</t>
        </is>
      </c>
      <c r="B135" t="n">
        <v>0</v>
      </c>
      <c r="C135" t="n">
        <v>0</v>
      </c>
      <c r="D135">
        <f>B135-C135</f>
        <v/>
      </c>
      <c r="E135">
        <f>IF(C135=0,"",D135/C135)</f>
        <v/>
      </c>
      <c r="F135" t="inlineStr">
        <is>
          <t>F</t>
        </is>
      </c>
      <c r="G135" t="inlineStr">
        <is>
          <t>Financing cash flow was unchanged.</t>
        </is>
      </c>
      <c r="I135" t="inlineStr"/>
      <c r="J135" t="inlineStr"/>
    </row>
    <row r="136">
      <c r="A136" t="inlineStr">
        <is>
          <t>Net change in cash</t>
        </is>
      </c>
      <c r="B136" t="n">
        <v>1687473.33</v>
      </c>
      <c r="C136" t="n">
        <v>1406185.1</v>
      </c>
      <c r="D136">
        <f>B136-C136</f>
        <v/>
      </c>
      <c r="E136">
        <f>IF(C136=0,"",D136/C136)</f>
        <v/>
      </c>
      <c r="F136" t="inlineStr">
        <is>
          <t>F</t>
        </is>
      </c>
      <c r="G136" t="inlineStr">
        <is>
          <t>Net change in cash rose $281,288.23 because higher operating cash flow ($284,347.33) and lower investing cash flow (-$3,059.10).</t>
        </is>
      </c>
      <c r="I136" t="inlineStr"/>
      <c r="J136" t="inlineStr"/>
    </row>
    <row r="137">
      <c r="A137" t="inlineStr">
        <is>
          <t>Ending cash</t>
        </is>
      </c>
      <c r="B137" t="n">
        <v>30000000</v>
      </c>
      <c r="C137" t="n">
        <v>28312526.67</v>
      </c>
      <c r="D137">
        <f>B137-C137</f>
        <v/>
      </c>
      <c r="E137">
        <f>IF(C137=0,"",D137/C137)</f>
        <v/>
      </c>
      <c r="F137" t="inlineStr">
        <is>
          <t>F</t>
        </is>
      </c>
      <c r="G137" t="inlineStr">
        <is>
          <t>Ending cash rose $1,687,473.33.</t>
        </is>
      </c>
      <c r="I137" t="inlineStr"/>
      <c r="J137" t="inlineStr"/>
    </row>
    <row r="138">
      <c r="A138" t="inlineStr">
        <is>
          <t>Account and department detail is not loaded for cash flow.</t>
        </is>
      </c>
      <c r="F138" t="inlineStr"/>
      <c r="G138" t="inlineStr"/>
      <c r="I138" t="inlineStr"/>
      <c r="J1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Current</t>
        </is>
      </c>
      <c r="C1" t="inlineStr">
        <is>
          <t>Comparison</t>
        </is>
      </c>
      <c r="D1" t="inlineStr">
        <is>
          <t>Variance</t>
        </is>
      </c>
      <c r="E1" t="inlineStr">
        <is>
          <t>%</t>
        </is>
      </c>
      <c r="F1" t="inlineStr">
        <is>
          <t>F/U</t>
        </is>
      </c>
      <c r="G1" t="inlineStr">
        <is>
          <t>Commentary</t>
        </is>
      </c>
      <c r="H1" t="inlineStr">
        <is>
          <t>Future impacts</t>
        </is>
      </c>
      <c r="I1" t="inlineStr">
        <is>
          <t>Reviewed</t>
        </is>
      </c>
      <c r="J1" t="inlineStr">
        <is>
          <t>Ties</t>
        </is>
      </c>
    </row>
    <row r="2">
      <c r="A2" t="inlineStr">
        <is>
          <t>Income statement</t>
        </is>
      </c>
      <c r="F2" t="inlineStr"/>
      <c r="G2" t="inlineStr">
        <is>
          <t>Revenue rose $903,621.96. Cost of revenue rose $92,324.35. Operating expenses rose $461,873.76 because higher research and development ($350,163.86), higher sales and marketing ($163,795.29) and lower general and administrative (-$52,085.39). Depreciation and amortization rose $11,534.45. Interest was unchanged. Tax rose $84,472.35. Net income rose $253,417.05 because higher revenue ($903,621.96) and lower operating expenses (-$461,873.76); other items (-$188,331.15). Gross profit rose $811,297.61 because higher revenue ($903,621.96) and lower cost of revenue (-$92,324.35).</t>
        </is>
      </c>
      <c r="I2" t="inlineStr"/>
      <c r="J2" t="inlineStr">
        <is>
          <t>Yes</t>
        </is>
      </c>
    </row>
    <row r="3">
      <c r="A3" t="inlineStr">
        <is>
          <t>Revenue</t>
        </is>
      </c>
      <c r="B3" t="n">
        <v>21906307.7</v>
      </c>
      <c r="C3" t="n">
        <v>21002685.74</v>
      </c>
      <c r="D3">
        <f>B3-C3</f>
        <v/>
      </c>
      <c r="E3">
        <f>IF(C3=0,"",D3/C3)</f>
        <v/>
      </c>
      <c r="F3" t="inlineStr">
        <is>
          <t>F</t>
        </is>
      </c>
      <c r="G3" t="inlineStr">
        <is>
          <t>Revenue rose $903,621.96.</t>
        </is>
      </c>
      <c r="I3" t="inlineStr"/>
      <c r="J3" t="inlineStr"/>
    </row>
    <row r="4">
      <c r="A4" t="inlineStr">
        <is>
          <t>Cost of revenue</t>
        </is>
      </c>
      <c r="B4" t="n">
        <v>3240428.66</v>
      </c>
      <c r="C4" t="n">
        <v>3148104.31</v>
      </c>
      <c r="D4">
        <f>B4-C4</f>
        <v/>
      </c>
      <c r="E4">
        <f>IF(C4=0,"",D4/C4)</f>
        <v/>
      </c>
      <c r="F4" t="inlineStr">
        <is>
          <t>U</t>
        </is>
      </c>
      <c r="G4" t="inlineStr">
        <is>
          <t>Cost of revenue rose $92,324.35.</t>
        </is>
      </c>
      <c r="I4" t="inlineStr"/>
      <c r="J4" t="inlineStr"/>
    </row>
    <row r="5">
      <c r="A5" t="inlineStr">
        <is>
          <t>Gross profit</t>
        </is>
      </c>
      <c r="B5" t="n">
        <v>18665879.04</v>
      </c>
      <c r="C5" t="n">
        <v>17854581.43</v>
      </c>
      <c r="D5">
        <f>B5-C5</f>
        <v/>
      </c>
      <c r="E5">
        <f>IF(C5=0,"",D5/C5)</f>
        <v/>
      </c>
      <c r="F5" t="inlineStr">
        <is>
          <t>F</t>
        </is>
      </c>
      <c r="G5" t="inlineStr">
        <is>
          <t>Gross profit rose $811,297.61 because higher revenue ($903,621.96) and lower cost of revenue (-$92,324.35).</t>
        </is>
      </c>
      <c r="I5" t="inlineStr">
        <is>
          <t>Yes</t>
        </is>
      </c>
      <c r="J5" t="inlineStr"/>
    </row>
    <row r="6">
      <c r="A6" t="inlineStr">
        <is>
          <t>Sales and marketing</t>
        </is>
      </c>
      <c r="B6" t="n">
        <v>7933054.76</v>
      </c>
      <c r="C6" t="n">
        <v>7769259.47</v>
      </c>
      <c r="D6">
        <f>B6-C6</f>
        <v/>
      </c>
      <c r="E6">
        <f>IF(C6=0,"",D6/C6)</f>
        <v/>
      </c>
      <c r="F6" t="inlineStr">
        <is>
          <t>U</t>
        </is>
      </c>
      <c r="G6" t="inlineStr">
        <is>
          <t>Sales and marketing rose $163,795.29.</t>
        </is>
      </c>
      <c r="I6" t="inlineStr"/>
      <c r="J6" t="inlineStr"/>
    </row>
    <row r="7">
      <c r="A7" t="inlineStr">
        <is>
          <t>Research and development</t>
        </is>
      </c>
      <c r="B7" t="n">
        <v>5118984.26</v>
      </c>
      <c r="C7" t="n">
        <v>4768820.4</v>
      </c>
      <c r="D7">
        <f>B7-C7</f>
        <v/>
      </c>
      <c r="E7">
        <f>IF(C7=0,"",D7/C7)</f>
        <v/>
      </c>
      <c r="F7" t="inlineStr">
        <is>
          <t>U</t>
        </is>
      </c>
      <c r="G7" t="inlineStr">
        <is>
          <t>Research and development rose $350,163.86.</t>
        </is>
      </c>
      <c r="I7" t="inlineStr"/>
      <c r="J7" t="inlineStr"/>
    </row>
    <row r="8">
      <c r="A8" t="inlineStr">
        <is>
          <t>General and administrative</t>
        </is>
      </c>
      <c r="B8" t="n">
        <v>2836241.35</v>
      </c>
      <c r="C8" t="n">
        <v>2888326.74</v>
      </c>
      <c r="D8">
        <f>B8-C8</f>
        <v/>
      </c>
      <c r="E8">
        <f>IF(C8=0,"",D8/C8)</f>
        <v/>
      </c>
      <c r="F8" t="inlineStr">
        <is>
          <t>F</t>
        </is>
      </c>
      <c r="G8" t="inlineStr">
        <is>
          <t>General and administrative fell $52,085.39.</t>
        </is>
      </c>
      <c r="I8" t="inlineStr"/>
      <c r="J8" t="inlineStr"/>
    </row>
    <row r="9">
      <c r="A9" t="inlineStr">
        <is>
          <t>Operating expenses</t>
        </is>
      </c>
      <c r="B9" t="n">
        <v>15888280.37</v>
      </c>
      <c r="C9" t="n">
        <v>15426406.61</v>
      </c>
      <c r="D9">
        <f>B9-C9</f>
        <v/>
      </c>
      <c r="E9">
        <f>IF(C9=0,"",D9/C9)</f>
        <v/>
      </c>
      <c r="F9" t="inlineStr">
        <is>
          <t>U</t>
        </is>
      </c>
      <c r="G9" t="inlineStr">
        <is>
          <t>Operating expenses rose $461,873.76 because higher research and development ($350,163.86), higher sales and marketing ($163,795.29) and lower general and administrative (-$52,085.39).</t>
        </is>
      </c>
      <c r="I9" t="inlineStr"/>
      <c r="J9" t="inlineStr"/>
    </row>
    <row r="10">
      <c r="A10" t="inlineStr">
        <is>
          <t>Depreciation and amortization</t>
        </is>
      </c>
      <c r="B10" t="n">
        <v>279799.62</v>
      </c>
      <c r="C10" t="n">
        <v>268265.17</v>
      </c>
      <c r="D10">
        <f>B10-C10</f>
        <v/>
      </c>
      <c r="E10">
        <f>IF(C10=0,"",D10/C10)</f>
        <v/>
      </c>
      <c r="F10" t="inlineStr">
        <is>
          <t>U</t>
        </is>
      </c>
      <c r="G10" t="inlineStr">
        <is>
          <t>Depreciation and amortization rose $11,534.45.</t>
        </is>
      </c>
      <c r="I10" t="inlineStr"/>
      <c r="J10" t="inlineStr"/>
    </row>
    <row r="11">
      <c r="A11" t="inlineStr">
        <is>
          <t>Interest</t>
        </is>
      </c>
      <c r="B11" t="n">
        <v>120000</v>
      </c>
      <c r="C11" t="n">
        <v>120000</v>
      </c>
      <c r="D11">
        <f>B11-C11</f>
        <v/>
      </c>
      <c r="E11">
        <f>IF(C11=0,"",D11/C11)</f>
        <v/>
      </c>
      <c r="F11" t="inlineStr">
        <is>
          <t>F</t>
        </is>
      </c>
      <c r="G11" t="inlineStr">
        <is>
          <t>Interest was unchanged.</t>
        </is>
      </c>
      <c r="I11" t="inlineStr"/>
      <c r="J11" t="inlineStr"/>
    </row>
    <row r="12">
      <c r="A12" t="inlineStr">
        <is>
          <t>Tax</t>
        </is>
      </c>
      <c r="B12" t="n">
        <v>594449.76</v>
      </c>
      <c r="C12" t="n">
        <v>509977.41</v>
      </c>
      <c r="D12">
        <f>B12-C12</f>
        <v/>
      </c>
      <c r="E12">
        <f>IF(C12=0,"",D12/C12)</f>
        <v/>
      </c>
      <c r="F12" t="inlineStr">
        <is>
          <t>U</t>
        </is>
      </c>
      <c r="G12" t="inlineStr">
        <is>
          <t>Tax rose $84,472.35.</t>
        </is>
      </c>
      <c r="I12" t="inlineStr"/>
      <c r="J12" t="inlineStr"/>
    </row>
    <row r="13">
      <c r="A13" t="inlineStr">
        <is>
          <t>Net income</t>
        </is>
      </c>
      <c r="B13" t="n">
        <v>1783349.29</v>
      </c>
      <c r="C13" t="n">
        <v>1529932.24</v>
      </c>
      <c r="D13">
        <f>B13-C13</f>
        <v/>
      </c>
      <c r="E13">
        <f>IF(C13=0,"",D13/C13)</f>
        <v/>
      </c>
      <c r="F13" t="inlineStr">
        <is>
          <t>F</t>
        </is>
      </c>
      <c r="G13" t="inlineStr">
        <is>
          <t>Net income rose $253,417.05 because higher revenue ($903,621.96) and lower operating expenses (-$461,873.76); other items (-$188,331.15).</t>
        </is>
      </c>
      <c r="I13" t="inlineStr"/>
      <c r="J13" t="inlineStr"/>
    </row>
    <row r="14">
      <c r="A14" t="inlineStr">
        <is>
          <t>Account and department detail is not used on this comparison.</t>
        </is>
      </c>
      <c r="F14" t="inlineStr"/>
      <c r="G14" t="inlineStr"/>
      <c r="I14" t="inlineStr"/>
      <c r="J14" t="inlineStr"/>
    </row>
    <row r="15">
      <c r="A15" t="inlineStr">
        <is>
          <t>Balance sheet</t>
        </is>
      </c>
      <c r="F15" t="inlineStr"/>
      <c r="G15" t="inlineStr">
        <is>
          <t>Cash rose $10,395,869.57. Total assets rose $6,636,716.58. Total liabilities fell $1,887,967.02.</t>
        </is>
      </c>
      <c r="I15" t="inlineStr"/>
      <c r="J15" t="inlineStr">
        <is>
          <t>Yes</t>
        </is>
      </c>
    </row>
    <row r="16">
      <c r="A16" t="inlineStr">
        <is>
          <t>Cash</t>
        </is>
      </c>
      <c r="B16" t="n">
        <v>85218868.23999999</v>
      </c>
      <c r="C16" t="n">
        <v>74822998.67</v>
      </c>
      <c r="D16">
        <f>B16-C16</f>
        <v/>
      </c>
      <c r="E16">
        <f>IF(C16=0,"",D16/C16)</f>
        <v/>
      </c>
      <c r="F16" t="inlineStr">
        <is>
          <t>F</t>
        </is>
      </c>
      <c r="G16" t="inlineStr">
        <is>
          <t>Cash rose $10,395,869.57.</t>
        </is>
      </c>
      <c r="I16" t="inlineStr"/>
      <c r="J16" t="inlineStr"/>
    </row>
    <row r="17">
      <c r="A17" t="inlineStr">
        <is>
          <t>Accounts receivable</t>
        </is>
      </c>
      <c r="B17" t="n">
        <v>17282888.62</v>
      </c>
      <c r="C17" t="n">
        <v>18161111.35</v>
      </c>
      <c r="D17">
        <f>B17-C17</f>
        <v/>
      </c>
      <c r="E17">
        <f>IF(C17=0,"",D17/C17)</f>
        <v/>
      </c>
      <c r="F17" t="inlineStr">
        <is>
          <t>U</t>
        </is>
      </c>
      <c r="G17" t="inlineStr">
        <is>
          <t>Accounts receivable fell $878,222.73.</t>
        </is>
      </c>
      <c r="I17" t="inlineStr"/>
      <c r="J17" t="inlineStr"/>
    </row>
    <row r="18">
      <c r="A18" t="inlineStr">
        <is>
          <t>Deferred revenue</t>
        </is>
      </c>
      <c r="B18" t="n">
        <v>15969716.52</v>
      </c>
      <c r="C18" t="n">
        <v>16866024.98</v>
      </c>
      <c r="D18">
        <f>B18-C18</f>
        <v/>
      </c>
      <c r="E18">
        <f>IF(C18=0,"",D18/C18)</f>
        <v/>
      </c>
      <c r="F18" t="inlineStr">
        <is>
          <t>U</t>
        </is>
      </c>
      <c r="G18" t="inlineStr">
        <is>
          <t>Deferred revenue fell $896,308.46.</t>
        </is>
      </c>
      <c r="I18" t="inlineStr"/>
      <c r="J18" t="inlineStr"/>
    </row>
    <row r="19">
      <c r="A19" t="inlineStr">
        <is>
          <t>Debt</t>
        </is>
      </c>
      <c r="B19" t="n">
        <v>15000000</v>
      </c>
      <c r="C19" t="n">
        <v>15000000</v>
      </c>
      <c r="D19">
        <f>B19-C19</f>
        <v/>
      </c>
      <c r="E19">
        <f>IF(C19=0,"",D19/C19)</f>
        <v/>
      </c>
      <c r="F19" t="inlineStr">
        <is>
          <t>F</t>
        </is>
      </c>
      <c r="G19" t="inlineStr">
        <is>
          <t>Debt was unchanged.</t>
        </is>
      </c>
      <c r="I19" t="inlineStr"/>
      <c r="J19" t="inlineStr"/>
    </row>
    <row r="20">
      <c r="A20" t="inlineStr">
        <is>
          <t>Total assets</t>
        </is>
      </c>
      <c r="B20" t="n">
        <v>144195097.09</v>
      </c>
      <c r="C20" t="n">
        <v>137558380.51</v>
      </c>
      <c r="D20">
        <f>B20-C20</f>
        <v/>
      </c>
      <c r="E20">
        <f>IF(C20=0,"",D20/C20)</f>
        <v/>
      </c>
      <c r="F20" t="inlineStr">
        <is>
          <t>F</t>
        </is>
      </c>
      <c r="G20" t="inlineStr">
        <is>
          <t>Total assets rose $6,636,716.58.</t>
        </is>
      </c>
      <c r="I20" t="inlineStr"/>
      <c r="J20" t="inlineStr"/>
    </row>
    <row r="21">
      <c r="A21" t="inlineStr">
        <is>
          <t>Total liabilities</t>
        </is>
      </c>
      <c r="B21" t="n">
        <v>54126712.13</v>
      </c>
      <c r="C21" t="n">
        <v>56014679.15</v>
      </c>
      <c r="D21">
        <f>B21-C21</f>
        <v/>
      </c>
      <c r="E21">
        <f>IF(C21=0,"",D21/C21)</f>
        <v/>
      </c>
      <c r="F21" t="inlineStr">
        <is>
          <t>U</t>
        </is>
      </c>
      <c r="G21" t="inlineStr">
        <is>
          <t>Total liabilities fell $1,887,967.02.</t>
        </is>
      </c>
      <c r="I21" t="inlineStr"/>
      <c r="J21" t="inlineStr"/>
    </row>
    <row r="22">
      <c r="A22" t="inlineStr">
        <is>
          <t>Total liabilities and equity</t>
        </is>
      </c>
      <c r="B22" t="n">
        <v>144195097.09</v>
      </c>
      <c r="C22" t="n">
        <v>137558380.51</v>
      </c>
      <c r="D22">
        <f>B22-C22</f>
        <v/>
      </c>
      <c r="E22">
        <f>IF(C22=0,"",D22/C22)</f>
        <v/>
      </c>
      <c r="F22" t="inlineStr">
        <is>
          <t>F</t>
        </is>
      </c>
      <c r="G22" t="inlineStr">
        <is>
          <t>Total liabilities and equity rose $6,636,716.58.</t>
        </is>
      </c>
      <c r="I22" t="inlineStr"/>
      <c r="J22" t="inlineStr"/>
    </row>
    <row r="23">
      <c r="A23" t="inlineStr">
        <is>
          <t>Account and department detail is not loaded for the balance sheet.</t>
        </is>
      </c>
      <c r="F23" t="inlineStr"/>
      <c r="G23" t="inlineStr"/>
      <c r="I23" t="inlineStr"/>
      <c r="J23" t="inlineStr"/>
    </row>
    <row r="24">
      <c r="A24" t="inlineStr">
        <is>
          <t>Cash flow</t>
        </is>
      </c>
      <c r="F24" t="inlineStr"/>
      <c r="G24" t="inlineStr">
        <is>
          <t>Operating cash flow rose $745,764.72. Investing cash flow fell $19,784.45. Financing cash flow was unchanged. Net change in cash rose $725,980.27 because higher operating cash flow ($745,764.72) and lower investing cash flow (-$19,784.45). Ending cash rose $10,395,869.57.</t>
        </is>
      </c>
      <c r="I24" t="inlineStr"/>
      <c r="J24" t="inlineStr">
        <is>
          <t>Yes</t>
        </is>
      </c>
    </row>
    <row r="25">
      <c r="A25" t="inlineStr">
        <is>
          <t>Operating cash flow</t>
        </is>
      </c>
      <c r="B25" t="n">
        <v>3675992.63</v>
      </c>
      <c r="C25" t="n">
        <v>2930227.91</v>
      </c>
      <c r="D25">
        <f>B25-C25</f>
        <v/>
      </c>
      <c r="E25">
        <f>IF(C25=0,"",D25/C25)</f>
        <v/>
      </c>
      <c r="F25" t="inlineStr">
        <is>
          <t>F</t>
        </is>
      </c>
      <c r="G25" t="inlineStr">
        <is>
          <t>Operating cash flow rose $745,764.72.</t>
        </is>
      </c>
      <c r="I25" t="inlineStr"/>
      <c r="J25" t="inlineStr"/>
    </row>
    <row r="26">
      <c r="A26" t="inlineStr">
        <is>
          <t>Investing cash flow</t>
        </is>
      </c>
      <c r="B26" t="n">
        <v>-385049.62</v>
      </c>
      <c r="C26" t="n">
        <v>-365265.17</v>
      </c>
      <c r="D26">
        <f>B26-C26</f>
        <v/>
      </c>
      <c r="E26">
        <f>IF(C26=0,"",D26/C26)</f>
        <v/>
      </c>
      <c r="F26" t="inlineStr">
        <is>
          <t>U</t>
        </is>
      </c>
      <c r="G26" t="inlineStr">
        <is>
          <t>Investing cash flow fell $19,784.45.</t>
        </is>
      </c>
      <c r="I26" t="inlineStr"/>
      <c r="J26" t="inlineStr"/>
    </row>
    <row r="27">
      <c r="A27" t="inlineStr">
        <is>
          <t>Financing cash flow</t>
        </is>
      </c>
      <c r="B27" t="n">
        <v>0</v>
      </c>
      <c r="C27" t="n">
        <v>0</v>
      </c>
      <c r="D27">
        <f>B27-C27</f>
        <v/>
      </c>
      <c r="E27">
        <f>IF(C27=0,"",D27/C27)</f>
        <v/>
      </c>
      <c r="F27" t="inlineStr">
        <is>
          <t>F</t>
        </is>
      </c>
      <c r="G27" t="inlineStr">
        <is>
          <t>Financing cash flow was unchanged.</t>
        </is>
      </c>
      <c r="I27" t="inlineStr"/>
      <c r="J27" t="inlineStr"/>
    </row>
    <row r="28">
      <c r="A28" t="inlineStr">
        <is>
          <t>Net change in cash</t>
        </is>
      </c>
      <c r="B28" t="n">
        <v>3290943.01</v>
      </c>
      <c r="C28" t="n">
        <v>2564962.74</v>
      </c>
      <c r="D28">
        <f>B28-C28</f>
        <v/>
      </c>
      <c r="E28">
        <f>IF(C28=0,"",D28/C28)</f>
        <v/>
      </c>
      <c r="F28" t="inlineStr">
        <is>
          <t>F</t>
        </is>
      </c>
      <c r="G28" t="inlineStr">
        <is>
          <t>Net change in cash rose $725,980.27 because higher operating cash flow ($745,764.72) and lower investing cash flow (-$19,784.45).</t>
        </is>
      </c>
      <c r="I28" t="inlineStr"/>
      <c r="J28" t="inlineStr"/>
    </row>
    <row r="29">
      <c r="A29" t="inlineStr">
        <is>
          <t>Ending cash</t>
        </is>
      </c>
      <c r="B29" t="n">
        <v>85218868.23999999</v>
      </c>
      <c r="C29" t="n">
        <v>74822998.67</v>
      </c>
      <c r="D29">
        <f>B29-C29</f>
        <v/>
      </c>
      <c r="E29">
        <f>IF(C29=0,"",D29/C29)</f>
        <v/>
      </c>
      <c r="F29" t="inlineStr">
        <is>
          <t>F</t>
        </is>
      </c>
      <c r="G29" t="inlineStr">
        <is>
          <t>Ending cash rose $10,395,869.57.</t>
        </is>
      </c>
      <c r="I29" t="inlineStr"/>
      <c r="J29" t="inlineStr"/>
    </row>
    <row r="30">
      <c r="A30" t="inlineStr">
        <is>
          <t>Account and department detail is not loaded for cash flow.</t>
        </is>
      </c>
      <c r="F30" t="inlineStr"/>
      <c r="G30" t="inlineStr"/>
      <c r="I30" t="inlineStr"/>
      <c r="J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Current</t>
        </is>
      </c>
      <c r="C1" t="inlineStr">
        <is>
          <t>Comparison</t>
        </is>
      </c>
      <c r="D1" t="inlineStr">
        <is>
          <t>Variance</t>
        </is>
      </c>
      <c r="E1" t="inlineStr">
        <is>
          <t>%</t>
        </is>
      </c>
      <c r="F1" t="inlineStr">
        <is>
          <t>F/U</t>
        </is>
      </c>
      <c r="G1" t="inlineStr">
        <is>
          <t>Commentary</t>
        </is>
      </c>
      <c r="H1" t="inlineStr">
        <is>
          <t>Future impacts</t>
        </is>
      </c>
      <c r="I1" t="inlineStr">
        <is>
          <t>Reviewed</t>
        </is>
      </c>
      <c r="J1" t="inlineStr">
        <is>
          <t>Ties</t>
        </is>
      </c>
    </row>
    <row r="2">
      <c r="A2" t="inlineStr">
        <is>
          <t>Income statement</t>
        </is>
      </c>
      <c r="F2" t="inlineStr"/>
      <c r="G2" t="inlineStr">
        <is>
          <t>Revenue rose $1,225,084.92. Cost of revenue rose $162,706.40. Operating expenses rose $841,604.71 because higher sales and marketing ($349,642.03), higher research and development ($318,430.67) and higher general and administrative ($173,532.01). Depreciation and amortization rose $15,178.29. Interest was unchanged. Tax rose $51,398.88. Net income rose $154,196.64 because higher revenue ($1,225,084.92) and lower operating expenses (-$841,604.71); other items (-$229,283.57). Gross profit rose $1,062,378.52 because higher revenue ($1,225,084.92) and lower cost of revenue (-$162,706.40).</t>
        </is>
      </c>
      <c r="I2" t="inlineStr"/>
      <c r="J2" t="inlineStr">
        <is>
          <t>Yes</t>
        </is>
      </c>
    </row>
    <row r="3">
      <c r="A3" t="inlineStr">
        <is>
          <t>Revenue</t>
        </is>
      </c>
      <c r="B3" t="n">
        <v>7396112.93</v>
      </c>
      <c r="C3" t="n">
        <v>6171028.01</v>
      </c>
      <c r="D3">
        <f>B3-C3</f>
        <v/>
      </c>
      <c r="E3">
        <f>IF(C3=0,"",D3/C3)</f>
        <v/>
      </c>
      <c r="F3" t="inlineStr">
        <is>
          <t>F</t>
        </is>
      </c>
      <c r="G3" t="inlineStr">
        <is>
          <t>Revenue rose $1,225,084.92.</t>
        </is>
      </c>
      <c r="I3" t="inlineStr"/>
      <c r="J3" t="inlineStr"/>
    </row>
    <row r="4">
      <c r="A4" t="inlineStr">
        <is>
          <t>Cost of revenue</t>
        </is>
      </c>
      <c r="B4" t="n">
        <v>1084669.33</v>
      </c>
      <c r="C4" t="n">
        <v>921962.9300000001</v>
      </c>
      <c r="D4">
        <f>B4-C4</f>
        <v/>
      </c>
      <c r="E4">
        <f>IF(C4=0,"",D4/C4)</f>
        <v/>
      </c>
      <c r="F4" t="inlineStr">
        <is>
          <t>U</t>
        </is>
      </c>
      <c r="G4" t="inlineStr">
        <is>
          <t>Cost of revenue rose $162,706.40.</t>
        </is>
      </c>
      <c r="I4" t="inlineStr"/>
      <c r="J4" t="inlineStr"/>
    </row>
    <row r="5">
      <c r="A5" t="inlineStr">
        <is>
          <t>Gross profit</t>
        </is>
      </c>
      <c r="B5" t="n">
        <v>6311443.6</v>
      </c>
      <c r="C5" t="n">
        <v>5249065.08</v>
      </c>
      <c r="D5">
        <f>B5-C5</f>
        <v/>
      </c>
      <c r="E5">
        <f>IF(C5=0,"",D5/C5)</f>
        <v/>
      </c>
      <c r="F5" t="inlineStr">
        <is>
          <t>F</t>
        </is>
      </c>
      <c r="G5" t="inlineStr">
        <is>
          <t>Gross profit rose $1,062,378.52 because higher revenue ($1,225,084.92) and lower cost of revenue (-$162,706.40).</t>
        </is>
      </c>
      <c r="I5" t="inlineStr"/>
      <c r="J5" t="inlineStr"/>
    </row>
    <row r="6">
      <c r="A6" t="inlineStr">
        <is>
          <t>Sales and marketing</t>
        </is>
      </c>
      <c r="B6" t="n">
        <v>2659200.69</v>
      </c>
      <c r="C6" t="n">
        <v>2309558.66</v>
      </c>
      <c r="D6">
        <f>B6-C6</f>
        <v/>
      </c>
      <c r="E6">
        <f>IF(C6=0,"",D6/C6)</f>
        <v/>
      </c>
      <c r="F6" t="inlineStr">
        <is>
          <t>U</t>
        </is>
      </c>
      <c r="G6" t="inlineStr">
        <is>
          <t>Sales and marketing rose $349,642.03.</t>
        </is>
      </c>
      <c r="I6" t="inlineStr"/>
      <c r="J6" t="inlineStr"/>
    </row>
    <row r="7">
      <c r="A7" t="inlineStr">
        <is>
          <t>Research and development</t>
        </is>
      </c>
      <c r="B7" t="n">
        <v>1732606.98</v>
      </c>
      <c r="C7" t="n">
        <v>1414176.31</v>
      </c>
      <c r="D7">
        <f>B7-C7</f>
        <v/>
      </c>
      <c r="E7">
        <f>IF(C7=0,"",D7/C7)</f>
        <v/>
      </c>
      <c r="F7" t="inlineStr">
        <is>
          <t>U</t>
        </is>
      </c>
      <c r="G7" t="inlineStr">
        <is>
          <t>Research and development rose $318,430.67.</t>
        </is>
      </c>
      <c r="I7" t="inlineStr"/>
      <c r="J7" t="inlineStr"/>
    </row>
    <row r="8">
      <c r="A8" t="inlineStr">
        <is>
          <t>General and administrative</t>
        </is>
      </c>
      <c r="B8" t="n">
        <v>935173.71</v>
      </c>
      <c r="C8" t="n">
        <v>761641.7</v>
      </c>
      <c r="D8">
        <f>B8-C8</f>
        <v/>
      </c>
      <c r="E8">
        <f>IF(C8=0,"",D8/C8)</f>
        <v/>
      </c>
      <c r="F8" t="inlineStr">
        <is>
          <t>U</t>
        </is>
      </c>
      <c r="G8" t="inlineStr">
        <is>
          <t>General and administrative rose $173,532.01.</t>
        </is>
      </c>
      <c r="I8" t="inlineStr"/>
      <c r="J8" t="inlineStr"/>
    </row>
    <row r="9">
      <c r="A9" t="inlineStr">
        <is>
          <t>Operating expenses</t>
        </is>
      </c>
      <c r="B9" t="n">
        <v>5326981.38</v>
      </c>
      <c r="C9" t="n">
        <v>4485376.67</v>
      </c>
      <c r="D9">
        <f>B9-C9</f>
        <v/>
      </c>
      <c r="E9">
        <f>IF(C9=0,"",D9/C9)</f>
        <v/>
      </c>
      <c r="F9" t="inlineStr">
        <is>
          <t>U</t>
        </is>
      </c>
      <c r="G9" t="inlineStr">
        <is>
          <t>Operating expenses rose $841,604.71 because higher sales and marketing ($349,642.03), higher research and development ($318,430.67) and higher general and administrative ($173,532.01).</t>
        </is>
      </c>
      <c r="I9" t="inlineStr"/>
      <c r="J9" t="inlineStr"/>
    </row>
    <row r="10">
      <c r="A10" t="inlineStr">
        <is>
          <t>Depreciation and amortization</t>
        </is>
      </c>
      <c r="B10" t="n">
        <v>94535.94</v>
      </c>
      <c r="C10" t="n">
        <v>79357.64999999999</v>
      </c>
      <c r="D10">
        <f>B10-C10</f>
        <v/>
      </c>
      <c r="E10">
        <f>IF(C10=0,"",D10/C10)</f>
        <v/>
      </c>
      <c r="F10" t="inlineStr">
        <is>
          <t>U</t>
        </is>
      </c>
      <c r="G10" t="inlineStr">
        <is>
          <t>Depreciation and amortization rose $15,178.29.</t>
        </is>
      </c>
      <c r="I10" t="inlineStr"/>
      <c r="J10" t="inlineStr"/>
    </row>
    <row r="11">
      <c r="A11" t="inlineStr">
        <is>
          <t>Interest</t>
        </is>
      </c>
      <c r="B11" t="n">
        <v>40000</v>
      </c>
      <c r="C11" t="n">
        <v>40000</v>
      </c>
      <c r="D11">
        <f>B11-C11</f>
        <v/>
      </c>
      <c r="E11">
        <f>IF(C11=0,"",D11/C11)</f>
        <v/>
      </c>
      <c r="F11" t="inlineStr">
        <is>
          <t>F</t>
        </is>
      </c>
      <c r="G11" t="inlineStr">
        <is>
          <t>Interest was unchanged.</t>
        </is>
      </c>
      <c r="I11" t="inlineStr"/>
      <c r="J11" t="inlineStr"/>
    </row>
    <row r="12">
      <c r="A12" t="inlineStr">
        <is>
          <t>Tax</t>
        </is>
      </c>
      <c r="B12" t="n">
        <v>212481.57</v>
      </c>
      <c r="C12" t="n">
        <v>161082.69</v>
      </c>
      <c r="D12">
        <f>B12-C12</f>
        <v/>
      </c>
      <c r="E12">
        <f>IF(C12=0,"",D12/C12)</f>
        <v/>
      </c>
      <c r="F12" t="inlineStr">
        <is>
          <t>U</t>
        </is>
      </c>
      <c r="G12" t="inlineStr">
        <is>
          <t>Tax rose $51,398.88.</t>
        </is>
      </c>
      <c r="I12" t="inlineStr"/>
      <c r="J12" t="inlineStr"/>
    </row>
    <row r="13">
      <c r="A13" t="inlineStr">
        <is>
          <t>Net income</t>
        </is>
      </c>
      <c r="B13" t="n">
        <v>637444.71</v>
      </c>
      <c r="C13" t="n">
        <v>483248.07</v>
      </c>
      <c r="D13">
        <f>B13-C13</f>
        <v/>
      </c>
      <c r="E13">
        <f>IF(C13=0,"",D13/C13)</f>
        <v/>
      </c>
      <c r="F13" t="inlineStr">
        <is>
          <t>F</t>
        </is>
      </c>
      <c r="G13" t="inlineStr">
        <is>
          <t>Net income rose $154,196.64 because higher revenue ($1,225,084.92) and lower operating expenses (-$841,604.71); other items (-$229,283.57).</t>
        </is>
      </c>
      <c r="I13" t="inlineStr"/>
      <c r="J13" t="inlineStr"/>
    </row>
    <row r="14">
      <c r="A14" t="inlineStr">
        <is>
          <t>Account and department detail is not used on this comparison.</t>
        </is>
      </c>
      <c r="F14" t="inlineStr"/>
      <c r="G14" t="inlineStr"/>
      <c r="I14" t="inlineStr"/>
      <c r="J14" t="inlineStr"/>
    </row>
    <row r="15">
      <c r="A15" t="inlineStr">
        <is>
          <t>Balance sheet</t>
        </is>
      </c>
      <c r="F15" t="inlineStr"/>
      <c r="G15" t="inlineStr">
        <is>
          <t>Cash rose $9,879,996.06. Total assets rose $10,450,566.12. Total liabilities fell $165,297.28.</t>
        </is>
      </c>
      <c r="I15" t="inlineStr"/>
      <c r="J15" t="inlineStr">
        <is>
          <t>Yes</t>
        </is>
      </c>
    </row>
    <row r="16">
      <c r="A16" t="inlineStr">
        <is>
          <t>Cash</t>
        </is>
      </c>
      <c r="B16" t="n">
        <v>30000000</v>
      </c>
      <c r="C16" t="n">
        <v>20120003.94</v>
      </c>
      <c r="D16">
        <f>B16-C16</f>
        <v/>
      </c>
      <c r="E16">
        <f>IF(C16=0,"",D16/C16)</f>
        <v/>
      </c>
      <c r="F16" t="inlineStr">
        <is>
          <t>F</t>
        </is>
      </c>
      <c r="G16" t="inlineStr">
        <is>
          <t>Cash rose $9,879,996.06.</t>
        </is>
      </c>
      <c r="I16" t="inlineStr"/>
      <c r="J16" t="inlineStr"/>
    </row>
    <row r="17">
      <c r="A17" t="inlineStr">
        <is>
          <t>Accounts receivable</t>
        </is>
      </c>
      <c r="B17" t="n">
        <v>5441240.81</v>
      </c>
      <c r="C17" t="n">
        <v>4781756.52</v>
      </c>
      <c r="D17">
        <f>B17-C17</f>
        <v/>
      </c>
      <c r="E17">
        <f>IF(C17=0,"",D17/C17)</f>
        <v/>
      </c>
      <c r="F17" t="inlineStr">
        <is>
          <t>F</t>
        </is>
      </c>
      <c r="G17" t="inlineStr">
        <is>
          <t>Accounts receivable rose $659,484.29.</t>
        </is>
      </c>
      <c r="I17" t="inlineStr"/>
      <c r="J17" t="inlineStr"/>
    </row>
    <row r="18">
      <c r="A18" t="inlineStr">
        <is>
          <t>Deferred revenue</t>
        </is>
      </c>
      <c r="B18" t="n">
        <v>4700868.96</v>
      </c>
      <c r="C18" t="n">
        <v>4662697.95</v>
      </c>
      <c r="D18">
        <f>B18-C18</f>
        <v/>
      </c>
      <c r="E18">
        <f>IF(C18=0,"",D18/C18)</f>
        <v/>
      </c>
      <c r="F18" t="inlineStr">
        <is>
          <t>F</t>
        </is>
      </c>
      <c r="G18" t="inlineStr">
        <is>
          <t>Deferred revenue rose $38,171.01.</t>
        </is>
      </c>
      <c r="I18" t="inlineStr"/>
      <c r="J18" t="inlineStr"/>
    </row>
    <row r="19">
      <c r="A19" t="inlineStr">
        <is>
          <t>Debt</t>
        </is>
      </c>
      <c r="B19" t="n">
        <v>5000000</v>
      </c>
      <c r="C19" t="n">
        <v>5000000</v>
      </c>
      <c r="D19">
        <f>B19-C19</f>
        <v/>
      </c>
      <c r="E19">
        <f>IF(C19=0,"",D19/C19)</f>
        <v/>
      </c>
      <c r="F19" t="inlineStr">
        <is>
          <t>F</t>
        </is>
      </c>
      <c r="G19" t="inlineStr">
        <is>
          <t>Debt was unchanged.</t>
        </is>
      </c>
      <c r="I19" t="inlineStr"/>
      <c r="J19" t="inlineStr"/>
    </row>
    <row r="20">
      <c r="A20" t="inlineStr">
        <is>
          <t>Total assets</t>
        </is>
      </c>
      <c r="B20" t="n">
        <v>48964891.28</v>
      </c>
      <c r="C20" t="n">
        <v>38514325.16</v>
      </c>
      <c r="D20">
        <f>B20-C20</f>
        <v/>
      </c>
      <c r="E20">
        <f>IF(C20=0,"",D20/C20)</f>
        <v/>
      </c>
      <c r="F20" t="inlineStr">
        <is>
          <t>F</t>
        </is>
      </c>
      <c r="G20" t="inlineStr">
        <is>
          <t>Total assets rose $10,450,566.12.</t>
        </is>
      </c>
      <c r="I20" t="inlineStr"/>
      <c r="J20" t="inlineStr"/>
    </row>
    <row r="21">
      <c r="A21" t="inlineStr">
        <is>
          <t>Total liabilities</t>
        </is>
      </c>
      <c r="B21" t="n">
        <v>17913077.24</v>
      </c>
      <c r="C21" t="n">
        <v>18078374.52</v>
      </c>
      <c r="D21">
        <f>B21-C21</f>
        <v/>
      </c>
      <c r="E21">
        <f>IF(C21=0,"",D21/C21)</f>
        <v/>
      </c>
      <c r="F21" t="inlineStr">
        <is>
          <t>U</t>
        </is>
      </c>
      <c r="G21" t="inlineStr">
        <is>
          <t>Total liabilities fell $165,297.28.</t>
        </is>
      </c>
      <c r="I21" t="inlineStr"/>
      <c r="J21" t="inlineStr"/>
    </row>
    <row r="22">
      <c r="A22" t="inlineStr">
        <is>
          <t>Total liabilities and equity</t>
        </is>
      </c>
      <c r="B22" t="n">
        <v>48964891.28</v>
      </c>
      <c r="C22" t="n">
        <v>38514325.16</v>
      </c>
      <c r="D22">
        <f>B22-C22</f>
        <v/>
      </c>
      <c r="E22">
        <f>IF(C22=0,"",D22/C22)</f>
        <v/>
      </c>
      <c r="F22" t="inlineStr">
        <is>
          <t>F</t>
        </is>
      </c>
      <c r="G22" t="inlineStr">
        <is>
          <t>Total liabilities and equity rose $10,450,566.12.</t>
        </is>
      </c>
      <c r="I22" t="inlineStr"/>
      <c r="J22" t="inlineStr"/>
    </row>
    <row r="23">
      <c r="A23" t="inlineStr">
        <is>
          <t>Account and department detail is not loaded for the balance sheet.</t>
        </is>
      </c>
      <c r="F23" t="inlineStr"/>
      <c r="G23" t="inlineStr"/>
      <c r="I23" t="inlineStr"/>
      <c r="J23" t="inlineStr"/>
    </row>
    <row r="24">
      <c r="A24" t="inlineStr">
        <is>
          <t>Cash flow</t>
        </is>
      </c>
      <c r="F24" t="inlineStr"/>
      <c r="G24" t="inlineStr">
        <is>
          <t>Operating cash flow rose $187,364.81. Investing cash flow fell $79,655.56. Financing cash flow was unchanged. Net change in cash rose $107,709.25 because higher operating cash flow ($187,364.81) and lower investing cash flow (-$79,655.56). Ending cash rose $9,879,996.06.</t>
        </is>
      </c>
      <c r="I24" t="inlineStr"/>
      <c r="J24" t="inlineStr">
        <is>
          <t>Yes</t>
        </is>
      </c>
    </row>
    <row r="25">
      <c r="A25" t="inlineStr">
        <is>
          <t>Operating cash flow</t>
        </is>
      </c>
      <c r="B25" t="n">
        <v>1818759.27</v>
      </c>
      <c r="C25" t="n">
        <v>1631394.46</v>
      </c>
      <c r="D25">
        <f>B25-C25</f>
        <v/>
      </c>
      <c r="E25">
        <f>IF(C25=0,"",D25/C25)</f>
        <v/>
      </c>
      <c r="F25" t="inlineStr">
        <is>
          <t>F</t>
        </is>
      </c>
      <c r="G25" t="inlineStr">
        <is>
          <t>Operating cash flow rose $187,364.81.</t>
        </is>
      </c>
      <c r="I25" t="inlineStr"/>
      <c r="J25" t="inlineStr"/>
    </row>
    <row r="26">
      <c r="A26" t="inlineStr">
        <is>
          <t>Investing cash flow</t>
        </is>
      </c>
      <c r="B26" t="n">
        <v>-131285.94</v>
      </c>
      <c r="C26" t="n">
        <v>-51630.38</v>
      </c>
      <c r="D26">
        <f>B26-C26</f>
        <v/>
      </c>
      <c r="E26">
        <f>IF(C26=0,"",D26/C26)</f>
        <v/>
      </c>
      <c r="F26" t="inlineStr">
        <is>
          <t>U</t>
        </is>
      </c>
      <c r="G26" t="inlineStr">
        <is>
          <t>Investing cash flow fell $79,655.56.</t>
        </is>
      </c>
      <c r="I26" t="inlineStr"/>
      <c r="J26" t="inlineStr"/>
    </row>
    <row r="27">
      <c r="A27" t="inlineStr">
        <is>
          <t>Financing cash flow</t>
        </is>
      </c>
      <c r="B27" t="n">
        <v>0</v>
      </c>
      <c r="C27" t="n">
        <v>0</v>
      </c>
      <c r="D27">
        <f>B27-C27</f>
        <v/>
      </c>
      <c r="E27">
        <f>IF(C27=0,"",D27/C27)</f>
        <v/>
      </c>
      <c r="F27" t="inlineStr">
        <is>
          <t>F</t>
        </is>
      </c>
      <c r="G27" t="inlineStr">
        <is>
          <t>Financing cash flow was unchanged.</t>
        </is>
      </c>
      <c r="I27" t="inlineStr"/>
      <c r="J27" t="inlineStr"/>
    </row>
    <row r="28">
      <c r="A28" t="inlineStr">
        <is>
          <t>Net change in cash</t>
        </is>
      </c>
      <c r="B28" t="n">
        <v>1687473.33</v>
      </c>
      <c r="C28" t="n">
        <v>1579764.08</v>
      </c>
      <c r="D28">
        <f>B28-C28</f>
        <v/>
      </c>
      <c r="E28">
        <f>IF(C28=0,"",D28/C28)</f>
        <v/>
      </c>
      <c r="F28" t="inlineStr">
        <is>
          <t>F</t>
        </is>
      </c>
      <c r="G28" t="inlineStr">
        <is>
          <t>Net change in cash rose $107,709.25 because higher operating cash flow ($187,364.81) and lower investing cash flow (-$79,655.56).</t>
        </is>
      </c>
      <c r="I28" t="inlineStr"/>
      <c r="J28" t="inlineStr"/>
    </row>
    <row r="29">
      <c r="A29" t="inlineStr">
        <is>
          <t>Ending cash</t>
        </is>
      </c>
      <c r="B29" t="n">
        <v>30000000</v>
      </c>
      <c r="C29" t="n">
        <v>20120003.94</v>
      </c>
      <c r="D29">
        <f>B29-C29</f>
        <v/>
      </c>
      <c r="E29">
        <f>IF(C29=0,"",D29/C29)</f>
        <v/>
      </c>
      <c r="F29" t="inlineStr">
        <is>
          <t>F</t>
        </is>
      </c>
      <c r="G29" t="inlineStr">
        <is>
          <t>Ending cash rose $9,879,996.06.</t>
        </is>
      </c>
      <c r="I29" t="inlineStr"/>
      <c r="J29" t="inlineStr"/>
    </row>
    <row r="30">
      <c r="A30" t="inlineStr">
        <is>
          <t>Account and department detail is not loaded for cash flow.</t>
        </is>
      </c>
      <c r="F30" t="inlineStr"/>
      <c r="G30" t="inlineStr"/>
      <c r="I30" t="inlineStr"/>
      <c r="J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Current</t>
        </is>
      </c>
      <c r="C1" t="inlineStr">
        <is>
          <t>Comparison</t>
        </is>
      </c>
      <c r="D1" t="inlineStr">
        <is>
          <t>Variance</t>
        </is>
      </c>
      <c r="E1" t="inlineStr">
        <is>
          <t>%</t>
        </is>
      </c>
      <c r="F1" t="inlineStr">
        <is>
          <t>F/U</t>
        </is>
      </c>
      <c r="G1" t="inlineStr">
        <is>
          <t>Commentary</t>
        </is>
      </c>
      <c r="H1" t="inlineStr">
        <is>
          <t>Future impacts</t>
        </is>
      </c>
      <c r="I1" t="inlineStr">
        <is>
          <t>Reviewed</t>
        </is>
      </c>
      <c r="J1" t="inlineStr">
        <is>
          <t>Ties</t>
        </is>
      </c>
    </row>
    <row r="2">
      <c r="A2" t="inlineStr">
        <is>
          <t>Income statement</t>
        </is>
      </c>
      <c r="F2" t="inlineStr"/>
      <c r="G2" t="inlineStr">
        <is>
          <t>Revenue rose $7,146,078.64. Cost of revenue rose $1,024,352.70. Operating expenses rose $4,828,847.85 because higher sales and marketing ($2,163,359.62), higher research and development ($1,686,182.47) and higher general and administrative ($979,305.76). Depreciation and amortization rose $90,869.51. Interest was unchanged. Tax rose $300,502.14. Net income rose $901,506.44 because higher revenue ($7,146,078.64) and lower operating expenses (-$4,828,847.85); other items (-$1,415,724.35). Gross profit rose $6,121,725.94 because higher revenue ($7,146,078.64) and lower cost of revenue (-$1,024,352.70).</t>
        </is>
      </c>
      <c r="I2" t="inlineStr"/>
      <c r="J2" t="inlineStr">
        <is>
          <t>Yes</t>
        </is>
      </c>
    </row>
    <row r="3">
      <c r="A3" t="inlineStr">
        <is>
          <t>Revenue</t>
        </is>
      </c>
      <c r="B3" t="n">
        <v>42908993.44</v>
      </c>
      <c r="C3" t="n">
        <v>35762914.8</v>
      </c>
      <c r="D3">
        <f>B3-C3</f>
        <v/>
      </c>
      <c r="E3">
        <f>IF(C3=0,"",D3/C3)</f>
        <v/>
      </c>
      <c r="F3" t="inlineStr">
        <is>
          <t>F</t>
        </is>
      </c>
      <c r="G3" t="inlineStr">
        <is>
          <t>Revenue rose $7,146,078.64.</t>
        </is>
      </c>
      <c r="I3" t="inlineStr"/>
      <c r="J3" t="inlineStr"/>
    </row>
    <row r="4">
      <c r="A4" t="inlineStr">
        <is>
          <t>Cost of revenue</t>
        </is>
      </c>
      <c r="B4" t="n">
        <v>6388532.97</v>
      </c>
      <c r="C4" t="n">
        <v>5364180.27</v>
      </c>
      <c r="D4">
        <f>B4-C4</f>
        <v/>
      </c>
      <c r="E4">
        <f>IF(C4=0,"",D4/C4)</f>
        <v/>
      </c>
      <c r="F4" t="inlineStr">
        <is>
          <t>U</t>
        </is>
      </c>
      <c r="G4" t="inlineStr">
        <is>
          <t>Cost of revenue rose $1,024,352.70.</t>
        </is>
      </c>
      <c r="I4" t="inlineStr"/>
      <c r="J4" t="inlineStr"/>
    </row>
    <row r="5">
      <c r="A5" t="inlineStr">
        <is>
          <t>Gross profit</t>
        </is>
      </c>
      <c r="B5" t="n">
        <v>36520460.47</v>
      </c>
      <c r="C5" t="n">
        <v>30398734.53</v>
      </c>
      <c r="D5">
        <f>B5-C5</f>
        <v/>
      </c>
      <c r="E5">
        <f>IF(C5=0,"",D5/C5)</f>
        <v/>
      </c>
      <c r="F5" t="inlineStr">
        <is>
          <t>F</t>
        </is>
      </c>
      <c r="G5" t="inlineStr">
        <is>
          <t>Gross profit rose $6,121,725.94 because higher revenue ($7,146,078.64) and lower cost of revenue (-$1,024,352.70).</t>
        </is>
      </c>
      <c r="I5" t="inlineStr"/>
      <c r="J5" t="inlineStr"/>
    </row>
    <row r="6">
      <c r="A6" t="inlineStr">
        <is>
          <t>Sales and marketing</t>
        </is>
      </c>
      <c r="B6" t="n">
        <v>15702314.23</v>
      </c>
      <c r="C6" t="n">
        <v>13538954.61</v>
      </c>
      <c r="D6">
        <f>B6-C6</f>
        <v/>
      </c>
      <c r="E6">
        <f>IF(C6=0,"",D6/C6)</f>
        <v/>
      </c>
      <c r="F6" t="inlineStr">
        <is>
          <t>U</t>
        </is>
      </c>
      <c r="G6" t="inlineStr">
        <is>
          <t>Sales and marketing rose $2,163,359.62.</t>
        </is>
      </c>
      <c r="I6" t="inlineStr"/>
      <c r="J6" t="inlineStr"/>
    </row>
    <row r="7">
      <c r="A7" t="inlineStr">
        <is>
          <t>Research and development</t>
        </is>
      </c>
      <c r="B7" t="n">
        <v>9887804.66</v>
      </c>
      <c r="C7" t="n">
        <v>8201622.19</v>
      </c>
      <c r="D7">
        <f>B7-C7</f>
        <v/>
      </c>
      <c r="E7">
        <f>IF(C7=0,"",D7/C7)</f>
        <v/>
      </c>
      <c r="F7" t="inlineStr">
        <is>
          <t>U</t>
        </is>
      </c>
      <c r="G7" t="inlineStr">
        <is>
          <t>Research and development rose $1,686,182.47.</t>
        </is>
      </c>
      <c r="I7" t="inlineStr"/>
      <c r="J7" t="inlineStr"/>
    </row>
    <row r="8">
      <c r="A8" t="inlineStr">
        <is>
          <t>General and administrative</t>
        </is>
      </c>
      <c r="B8" t="n">
        <v>5724568.09</v>
      </c>
      <c r="C8" t="n">
        <v>4745262.33</v>
      </c>
      <c r="D8">
        <f>B8-C8</f>
        <v/>
      </c>
      <c r="E8">
        <f>IF(C8=0,"",D8/C8)</f>
        <v/>
      </c>
      <c r="F8" t="inlineStr">
        <is>
          <t>U</t>
        </is>
      </c>
      <c r="G8" t="inlineStr">
        <is>
          <t>General and administrative rose $979,305.76.</t>
        </is>
      </c>
      <c r="I8" t="inlineStr"/>
      <c r="J8" t="inlineStr"/>
    </row>
    <row r="9">
      <c r="A9" t="inlineStr">
        <is>
          <t>Operating expenses</t>
        </is>
      </c>
      <c r="B9" t="n">
        <v>31314686.98</v>
      </c>
      <c r="C9" t="n">
        <v>26485839.13</v>
      </c>
      <c r="D9">
        <f>B9-C9</f>
        <v/>
      </c>
      <c r="E9">
        <f>IF(C9=0,"",D9/C9)</f>
        <v/>
      </c>
      <c r="F9" t="inlineStr">
        <is>
          <t>U</t>
        </is>
      </c>
      <c r="G9" t="inlineStr">
        <is>
          <t>Operating expenses rose $4,828,847.85 because higher sales and marketing ($2,163,359.62), higher research and development ($1,686,182.47) and higher general and administrative ($979,305.76).</t>
        </is>
      </c>
      <c r="I9" t="inlineStr"/>
      <c r="J9" t="inlineStr"/>
    </row>
    <row r="10">
      <c r="A10" t="inlineStr">
        <is>
          <t>Depreciation and amortization</t>
        </is>
      </c>
      <c r="B10" t="n">
        <v>548064.79</v>
      </c>
      <c r="C10" t="n">
        <v>457195.28</v>
      </c>
      <c r="D10">
        <f>B10-C10</f>
        <v/>
      </c>
      <c r="E10">
        <f>IF(C10=0,"",D10/C10)</f>
        <v/>
      </c>
      <c r="F10" t="inlineStr">
        <is>
          <t>U</t>
        </is>
      </c>
      <c r="G10" t="inlineStr">
        <is>
          <t>Depreciation and amortization rose $90,869.51.</t>
        </is>
      </c>
      <c r="I10" t="inlineStr"/>
      <c r="J10" t="inlineStr"/>
    </row>
    <row r="11">
      <c r="A11" t="inlineStr">
        <is>
          <t>Interest</t>
        </is>
      </c>
      <c r="B11" t="n">
        <v>240000</v>
      </c>
      <c r="C11" t="n">
        <v>240000</v>
      </c>
      <c r="D11">
        <f>B11-C11</f>
        <v/>
      </c>
      <c r="E11">
        <f>IF(C11=0,"",D11/C11)</f>
        <v/>
      </c>
      <c r="F11" t="inlineStr">
        <is>
          <t>F</t>
        </is>
      </c>
      <c r="G11" t="inlineStr">
        <is>
          <t>Interest was unchanged.</t>
        </is>
      </c>
      <c r="I11" t="inlineStr"/>
      <c r="J11" t="inlineStr"/>
    </row>
    <row r="12">
      <c r="A12" t="inlineStr">
        <is>
          <t>Tax</t>
        </is>
      </c>
      <c r="B12" t="n">
        <v>1104427.17</v>
      </c>
      <c r="C12" t="n">
        <v>803925.03</v>
      </c>
      <c r="D12">
        <f>B12-C12</f>
        <v/>
      </c>
      <c r="E12">
        <f>IF(C12=0,"",D12/C12)</f>
        <v/>
      </c>
      <c r="F12" t="inlineStr">
        <is>
          <t>U</t>
        </is>
      </c>
      <c r="G12" t="inlineStr">
        <is>
          <t>Tax rose $300,502.14.</t>
        </is>
      </c>
      <c r="I12" t="inlineStr"/>
      <c r="J12" t="inlineStr"/>
    </row>
    <row r="13">
      <c r="A13" t="inlineStr">
        <is>
          <t>Net income</t>
        </is>
      </c>
      <c r="B13" t="n">
        <v>3313281.53</v>
      </c>
      <c r="C13" t="n">
        <v>2411775.09</v>
      </c>
      <c r="D13">
        <f>B13-C13</f>
        <v/>
      </c>
      <c r="E13">
        <f>IF(C13=0,"",D13/C13)</f>
        <v/>
      </c>
      <c r="F13" t="inlineStr">
        <is>
          <t>F</t>
        </is>
      </c>
      <c r="G13" t="inlineStr">
        <is>
          <t>Net income rose $901,506.44 because higher revenue ($7,146,078.64) and lower operating expenses (-$4,828,847.85); other items (-$1,415,724.35).</t>
        </is>
      </c>
      <c r="I13" t="inlineStr"/>
      <c r="J13" t="inlineStr"/>
    </row>
    <row r="14">
      <c r="A14" t="inlineStr">
        <is>
          <t>Account and department detail is not used on this comparison.</t>
        </is>
      </c>
      <c r="F14" t="inlineStr"/>
      <c r="G14" t="inlineStr"/>
      <c r="I14" t="inlineStr"/>
      <c r="J14" t="inlineStr"/>
    </row>
    <row r="15">
      <c r="A15" t="inlineStr">
        <is>
          <t>Balance sheet</t>
        </is>
      </c>
      <c r="F15" t="inlineStr"/>
      <c r="G15" t="inlineStr">
        <is>
          <t>Cash rose $66,433,355.27. Total assets rose $75,777,960.12. Total liabilities rose $6,898,418.12.</t>
        </is>
      </c>
      <c r="I15" t="inlineStr"/>
      <c r="J15" t="inlineStr">
        <is>
          <t>Yes</t>
        </is>
      </c>
    </row>
    <row r="16">
      <c r="A16" t="inlineStr">
        <is>
          <t>Cash</t>
        </is>
      </c>
      <c r="B16" t="n">
        <v>160041866.91</v>
      </c>
      <c r="C16" t="n">
        <v>93608511.64</v>
      </c>
      <c r="D16">
        <f>B16-C16</f>
        <v/>
      </c>
      <c r="E16">
        <f>IF(C16=0,"",D16/C16)</f>
        <v/>
      </c>
      <c r="F16" t="inlineStr">
        <is>
          <t>F</t>
        </is>
      </c>
      <c r="G16" t="inlineStr">
        <is>
          <t>Cash rose $66,433,355.27.</t>
        </is>
      </c>
      <c r="I16" t="inlineStr"/>
      <c r="J16" t="inlineStr"/>
    </row>
    <row r="17">
      <c r="A17" t="inlineStr">
        <is>
          <t>Accounts receivable</t>
        </is>
      </c>
      <c r="B17" t="n">
        <v>35443999.97</v>
      </c>
      <c r="C17" t="n">
        <v>29985510.25</v>
      </c>
      <c r="D17">
        <f>B17-C17</f>
        <v/>
      </c>
      <c r="E17">
        <f>IF(C17=0,"",D17/C17)</f>
        <v/>
      </c>
      <c r="F17" t="inlineStr">
        <is>
          <t>F</t>
        </is>
      </c>
      <c r="G17" t="inlineStr">
        <is>
          <t>Accounts receivable rose $5,458,489.72.</t>
        </is>
      </c>
      <c r="I17" t="inlineStr"/>
      <c r="J17" t="inlineStr"/>
    </row>
    <row r="18">
      <c r="A18" t="inlineStr">
        <is>
          <t>Deferred revenue</t>
        </is>
      </c>
      <c r="B18" t="n">
        <v>32835741.5</v>
      </c>
      <c r="C18" t="n">
        <v>27458028.57</v>
      </c>
      <c r="D18">
        <f>B18-C18</f>
        <v/>
      </c>
      <c r="E18">
        <f>IF(C18=0,"",D18/C18)</f>
        <v/>
      </c>
      <c r="F18" t="inlineStr">
        <is>
          <t>F</t>
        </is>
      </c>
      <c r="G18" t="inlineStr">
        <is>
          <t>Deferred revenue rose $5,377,712.93.</t>
        </is>
      </c>
      <c r="I18" t="inlineStr"/>
      <c r="J18" t="inlineStr"/>
    </row>
    <row r="19">
      <c r="A19" t="inlineStr">
        <is>
          <t>Debt</t>
        </is>
      </c>
      <c r="B19" t="n">
        <v>30000000</v>
      </c>
      <c r="C19" t="n">
        <v>30000000</v>
      </c>
      <c r="D19">
        <f>B19-C19</f>
        <v/>
      </c>
      <c r="E19">
        <f>IF(C19=0,"",D19/C19)</f>
        <v/>
      </c>
      <c r="F19" t="inlineStr">
        <is>
          <t>F</t>
        </is>
      </c>
      <c r="G19" t="inlineStr">
        <is>
          <t>Debt was unchanged.</t>
        </is>
      </c>
      <c r="I19" t="inlineStr"/>
      <c r="J19" t="inlineStr"/>
    </row>
    <row r="20">
      <c r="A20" t="inlineStr">
        <is>
          <t>Total assets</t>
        </is>
      </c>
      <c r="B20" t="n">
        <v>281753477.6</v>
      </c>
      <c r="C20" t="n">
        <v>205975517.48</v>
      </c>
      <c r="D20">
        <f>B20-C20</f>
        <v/>
      </c>
      <c r="E20">
        <f>IF(C20=0,"",D20/C20)</f>
        <v/>
      </c>
      <c r="F20" t="inlineStr">
        <is>
          <t>F</t>
        </is>
      </c>
      <c r="G20" t="inlineStr">
        <is>
          <t>Total assets rose $75,777,960.12.</t>
        </is>
      </c>
      <c r="I20" t="inlineStr"/>
      <c r="J20" t="inlineStr"/>
    </row>
    <row r="21">
      <c r="A21" t="inlineStr">
        <is>
          <t>Total liabilities</t>
        </is>
      </c>
      <c r="B21" t="n">
        <v>110141391.28</v>
      </c>
      <c r="C21" t="n">
        <v>103242973.16</v>
      </c>
      <c r="D21">
        <f>B21-C21</f>
        <v/>
      </c>
      <c r="E21">
        <f>IF(C21=0,"",D21/C21)</f>
        <v/>
      </c>
      <c r="F21" t="inlineStr">
        <is>
          <t>F</t>
        </is>
      </c>
      <c r="G21" t="inlineStr">
        <is>
          <t>Total liabilities rose $6,898,418.12.</t>
        </is>
      </c>
      <c r="I21" t="inlineStr"/>
      <c r="J21" t="inlineStr"/>
    </row>
    <row r="22">
      <c r="A22" t="inlineStr">
        <is>
          <t>Total liabilities and equity</t>
        </is>
      </c>
      <c r="B22" t="n">
        <v>281753477.6</v>
      </c>
      <c r="C22" t="n">
        <v>205975517.48</v>
      </c>
      <c r="D22">
        <f>B22-C22</f>
        <v/>
      </c>
      <c r="E22">
        <f>IF(C22=0,"",D22/C22)</f>
        <v/>
      </c>
      <c r="F22" t="inlineStr">
        <is>
          <t>F</t>
        </is>
      </c>
      <c r="G22" t="inlineStr">
        <is>
          <t>Total liabilities and equity rose $75,777,960.12.</t>
        </is>
      </c>
      <c r="I22" t="inlineStr"/>
      <c r="J22" t="inlineStr"/>
    </row>
    <row r="23">
      <c r="A23" t="inlineStr">
        <is>
          <t>Account and department detail is not loaded for the balance sheet.</t>
        </is>
      </c>
      <c r="F23" t="inlineStr"/>
      <c r="G23" t="inlineStr"/>
      <c r="I23" t="inlineStr"/>
      <c r="J23" t="inlineStr"/>
    </row>
    <row r="24">
      <c r="A24" t="inlineStr">
        <is>
          <t>Cash flow</t>
        </is>
      </c>
      <c r="F24" t="inlineStr"/>
      <c r="G24" t="inlineStr">
        <is>
          <t>Operating cash flow rose $575,541.76. Investing cash flow fell $431,755.87. Financing cash flow fell $8,412,393.69. Net change in cash fell $8,268,607.80 because lower financing cash flow (-$8,412,393.69), lower investing cash flow (-$431,755.87) and higher operating cash flow ($575,541.76). Ending cash rose $66,433,355.27.</t>
        </is>
      </c>
      <c r="I24" t="inlineStr"/>
      <c r="J24" t="inlineStr">
        <is>
          <t>Yes</t>
        </is>
      </c>
    </row>
    <row r="25">
      <c r="A25" t="inlineStr">
        <is>
          <t>Operating cash flow</t>
        </is>
      </c>
      <c r="B25" t="n">
        <v>6606220.54</v>
      </c>
      <c r="C25" t="n">
        <v>6030678.78</v>
      </c>
      <c r="D25">
        <f>B25-C25</f>
        <v/>
      </c>
      <c r="E25">
        <f>IF(C25=0,"",D25/C25)</f>
        <v/>
      </c>
      <c r="F25" t="inlineStr">
        <is>
          <t>F</t>
        </is>
      </c>
      <c r="G25" t="inlineStr">
        <is>
          <t>Operating cash flow rose $575,541.76.</t>
        </is>
      </c>
      <c r="I25" t="inlineStr"/>
      <c r="J25" t="inlineStr"/>
    </row>
    <row r="26">
      <c r="A26" t="inlineStr">
        <is>
          <t>Investing cash flow</t>
        </is>
      </c>
      <c r="B26" t="n">
        <v>-750314.79</v>
      </c>
      <c r="C26" t="n">
        <v>-318558.92</v>
      </c>
      <c r="D26">
        <f>B26-C26</f>
        <v/>
      </c>
      <c r="E26">
        <f>IF(C26=0,"",D26/C26)</f>
        <v/>
      </c>
      <c r="F26" t="inlineStr">
        <is>
          <t>U</t>
        </is>
      </c>
      <c r="G26" t="inlineStr">
        <is>
          <t>Investing cash flow fell $431,755.87.</t>
        </is>
      </c>
      <c r="I26" t="inlineStr"/>
      <c r="J26" t="inlineStr"/>
    </row>
    <row r="27">
      <c r="A27" t="inlineStr">
        <is>
          <t>Financing cash flow</t>
        </is>
      </c>
      <c r="B27" t="n">
        <v>0</v>
      </c>
      <c r="C27" t="n">
        <v>8412393.689999999</v>
      </c>
      <c r="D27">
        <f>B27-C27</f>
        <v/>
      </c>
      <c r="E27">
        <f>IF(C27=0,"",D27/C27)</f>
        <v/>
      </c>
      <c r="F27" t="inlineStr">
        <is>
          <t>U</t>
        </is>
      </c>
      <c r="G27" t="inlineStr">
        <is>
          <t>Financing cash flow fell $8,412,393.69.</t>
        </is>
      </c>
      <c r="I27" t="inlineStr"/>
      <c r="J27" t="inlineStr"/>
    </row>
    <row r="28">
      <c r="A28" t="inlineStr">
        <is>
          <t>Net change in cash</t>
        </is>
      </c>
      <c r="B28" t="n">
        <v>5855905.75</v>
      </c>
      <c r="C28" t="n">
        <v>14124513.55</v>
      </c>
      <c r="D28">
        <f>B28-C28</f>
        <v/>
      </c>
      <c r="E28">
        <f>IF(C28=0,"",D28/C28)</f>
        <v/>
      </c>
      <c r="F28" t="inlineStr">
        <is>
          <t>U</t>
        </is>
      </c>
      <c r="G28" t="inlineStr">
        <is>
          <t>Net change in cash fell $8,268,607.80 because lower financing cash flow (-$8,412,393.69), lower investing cash flow (-$431,755.87) and higher operating cash flow ($575,541.76).</t>
        </is>
      </c>
      <c r="I28" t="inlineStr"/>
      <c r="J28" t="inlineStr"/>
    </row>
    <row r="29">
      <c r="A29" t="inlineStr">
        <is>
          <t>Ending cash</t>
        </is>
      </c>
      <c r="B29" t="n">
        <v>160041866.91</v>
      </c>
      <c r="C29" t="n">
        <v>93608511.64</v>
      </c>
      <c r="D29">
        <f>B29-C29</f>
        <v/>
      </c>
      <c r="E29">
        <f>IF(C29=0,"",D29/C29)</f>
        <v/>
      </c>
      <c r="F29" t="inlineStr">
        <is>
          <t>F</t>
        </is>
      </c>
      <c r="G29" t="inlineStr">
        <is>
          <t>Ending cash rose $66,433,355.27.</t>
        </is>
      </c>
      <c r="I29" t="inlineStr"/>
      <c r="J29" t="inlineStr"/>
    </row>
    <row r="30">
      <c r="A30" t="inlineStr">
        <is>
          <t>Account and department detail is not loaded for cash flow.</t>
        </is>
      </c>
      <c r="F30" t="inlineStr"/>
      <c r="G30" t="inlineStr"/>
      <c r="I30" t="inlineStr"/>
      <c r="J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Current</t>
        </is>
      </c>
      <c r="C1" t="inlineStr">
        <is>
          <t>Comparison</t>
        </is>
      </c>
      <c r="D1" t="inlineStr">
        <is>
          <t>Variance</t>
        </is>
      </c>
      <c r="E1" t="inlineStr">
        <is>
          <t>%</t>
        </is>
      </c>
      <c r="F1" t="inlineStr">
        <is>
          <t>F/U</t>
        </is>
      </c>
      <c r="G1" t="inlineStr">
        <is>
          <t>Commentary</t>
        </is>
      </c>
      <c r="H1" t="inlineStr">
        <is>
          <t>Future impacts</t>
        </is>
      </c>
      <c r="I1" t="inlineStr">
        <is>
          <t>Reviewed</t>
        </is>
      </c>
      <c r="J1" t="inlineStr">
        <is>
          <t>Ties</t>
        </is>
      </c>
    </row>
    <row r="2">
      <c r="A2" t="inlineStr">
        <is>
          <t>Income statement</t>
        </is>
      </c>
      <c r="F2" t="inlineStr"/>
      <c r="G2" t="inlineStr">
        <is>
          <t>Revenue rose $829,830.81. Cost of revenue rose $7,545.60. Operating expenses fell $15,656.38 because lower general and administrative (-$30,582.62), lower research and development (-$18,903.82) and higher sales and marketing ($33,830.06). Depreciation and amortization fell $3,958.29. Interest was unchanged. Tax rose $210,474.97. Net income rose $631,424.91 because higher revenue ($829,830.81), higher operating expenses ($15,656.38), higher depreciation and amortization ($3,958.29) and lower tax (-$210,474.97); other items (-$7,545.60). Gross profit rose $822,285.21 because higher revenue ($829,830.81) and lower cost of revenue (-$7,545.60). The compensation bridge has no beginning and ending totals.</t>
        </is>
      </c>
      <c r="I2" t="inlineStr"/>
      <c r="J2" t="inlineStr">
        <is>
          <t>No</t>
        </is>
      </c>
    </row>
    <row r="3">
      <c r="A3" t="inlineStr">
        <is>
          <t>Revenue</t>
        </is>
      </c>
      <c r="B3" t="n">
        <v>7396112.93</v>
      </c>
      <c r="C3" t="n">
        <v>6566282.12</v>
      </c>
      <c r="D3">
        <f>B3-C3</f>
        <v/>
      </c>
      <c r="E3">
        <f>IF(C3=0,"",D3/C3)</f>
        <v/>
      </c>
      <c r="F3" t="inlineStr">
        <is>
          <t>F</t>
        </is>
      </c>
      <c r="G3" t="inlineStr">
        <is>
          <t>Revenue rose $829,830.81.</t>
        </is>
      </c>
      <c r="I3" t="inlineStr"/>
      <c r="J3" t="inlineStr"/>
    </row>
    <row r="4">
      <c r="A4" t="inlineStr">
        <is>
          <t>Cost of revenue</t>
        </is>
      </c>
      <c r="B4" t="n">
        <v>1084669.33</v>
      </c>
      <c r="C4" t="n">
        <v>1077123.73</v>
      </c>
      <c r="D4">
        <f>B4-C4</f>
        <v/>
      </c>
      <c r="E4">
        <f>IF(C4=0,"",D4/C4)</f>
        <v/>
      </c>
      <c r="F4" t="inlineStr">
        <is>
          <t>U</t>
        </is>
      </c>
      <c r="G4" t="inlineStr">
        <is>
          <t>Cost of revenue rose $7,545.60.</t>
        </is>
      </c>
      <c r="I4" t="inlineStr"/>
      <c r="J4" t="inlineStr"/>
    </row>
    <row r="5">
      <c r="A5" t="inlineStr">
        <is>
          <t>Gross profit</t>
        </is>
      </c>
      <c r="B5" t="n">
        <v>6311443.6</v>
      </c>
      <c r="C5" t="n">
        <v>5489158.39</v>
      </c>
      <c r="D5">
        <f>B5-C5</f>
        <v/>
      </c>
      <c r="E5">
        <f>IF(C5=0,"",D5/C5)</f>
        <v/>
      </c>
      <c r="F5" t="inlineStr">
        <is>
          <t>F</t>
        </is>
      </c>
      <c r="G5" t="inlineStr">
        <is>
          <t>Gross profit rose $822,285.21 because higher revenue ($829,830.81) and lower cost of revenue (-$7,545.60).</t>
        </is>
      </c>
      <c r="I5" t="inlineStr"/>
      <c r="J5" t="inlineStr"/>
    </row>
    <row r="6">
      <c r="A6" t="inlineStr">
        <is>
          <t>Sales and marketing</t>
        </is>
      </c>
      <c r="B6" t="n">
        <v>2659200.69</v>
      </c>
      <c r="C6" t="n">
        <v>2625370.63</v>
      </c>
      <c r="D6">
        <f>B6-C6</f>
        <v/>
      </c>
      <c r="E6">
        <f>IF(C6=0,"",D6/C6)</f>
        <v/>
      </c>
      <c r="F6" t="inlineStr">
        <is>
          <t>U</t>
        </is>
      </c>
      <c r="G6" t="inlineStr">
        <is>
          <t>Sales and marketing rose $33,830.06 because higher Marketing in Marketing ($103,266.59) and lower Sales in Sales (-$53,151.35); other items (-$16,285.18).</t>
        </is>
      </c>
      <c r="I6" t="inlineStr"/>
      <c r="J6" t="inlineStr"/>
    </row>
    <row r="7">
      <c r="A7" t="inlineStr">
        <is>
          <t>Research and development</t>
        </is>
      </c>
      <c r="B7" t="n">
        <v>1732606.98</v>
      </c>
      <c r="C7" t="n">
        <v>1751510.8</v>
      </c>
      <c r="D7">
        <f>B7-C7</f>
        <v/>
      </c>
      <c r="E7">
        <f>IF(C7=0,"",D7/C7)</f>
        <v/>
      </c>
      <c r="F7" t="inlineStr">
        <is>
          <t>F</t>
        </is>
      </c>
      <c r="G7" t="inlineStr">
        <is>
          <t>Research and development fell $18,903.82 because lower Product in Product (-$21,130.21) and higher Engineering in Engineering ($2,226.39).</t>
        </is>
      </c>
      <c r="I7" t="inlineStr"/>
      <c r="J7" t="inlineStr"/>
    </row>
    <row r="8">
      <c r="A8" t="inlineStr">
        <is>
          <t>General and administrative</t>
        </is>
      </c>
      <c r="B8" t="n">
        <v>935173.71</v>
      </c>
      <c r="C8" t="n">
        <v>965756.33</v>
      </c>
      <c r="D8">
        <f>B8-C8</f>
        <v/>
      </c>
      <c r="E8">
        <f>IF(C8=0,"",D8/C8)</f>
        <v/>
      </c>
      <c r="F8" t="inlineStr">
        <is>
          <t>F</t>
        </is>
      </c>
      <c r="G8" t="inlineStr">
        <is>
          <t>General and administrative fell $30,582.62 because lower Support in Support (-$15,049.82), lower G&amp;A in G&amp;A (-$9,318.43) and lower Finance in Finance (-$6,214.37).</t>
        </is>
      </c>
      <c r="I8" t="inlineStr"/>
      <c r="J8" t="inlineStr"/>
    </row>
    <row r="9">
      <c r="A9" t="inlineStr">
        <is>
          <t>Operating expenses</t>
        </is>
      </c>
      <c r="B9" t="n">
        <v>5326981.38</v>
      </c>
      <c r="C9" t="n">
        <v>5342637.76</v>
      </c>
      <c r="D9">
        <f>B9-C9</f>
        <v/>
      </c>
      <c r="E9">
        <f>IF(C9=0,"",D9/C9)</f>
        <v/>
      </c>
      <c r="F9" t="inlineStr">
        <is>
          <t>F</t>
        </is>
      </c>
      <c r="G9" t="inlineStr">
        <is>
          <t>Operating expenses fell $15,656.38 because lower general and administrative (-$30,582.62), lower research and development (-$18,903.82) and higher sales and marketing ($33,830.06).</t>
        </is>
      </c>
      <c r="I9" t="inlineStr"/>
      <c r="J9" t="inlineStr"/>
    </row>
    <row r="10">
      <c r="A10" t="inlineStr">
        <is>
          <t>Depreciation and amortization</t>
        </is>
      </c>
      <c r="B10" t="n">
        <v>94535.94</v>
      </c>
      <c r="C10" t="n">
        <v>98494.23</v>
      </c>
      <c r="D10">
        <f>B10-C10</f>
        <v/>
      </c>
      <c r="E10">
        <f>IF(C10=0,"",D10/C10)</f>
        <v/>
      </c>
      <c r="F10" t="inlineStr">
        <is>
          <t>F</t>
        </is>
      </c>
      <c r="G10" t="inlineStr">
        <is>
          <t>Depreciation and amortization fell $3,958.29.</t>
        </is>
      </c>
      <c r="I10" t="inlineStr"/>
      <c r="J10" t="inlineStr"/>
    </row>
    <row r="11">
      <c r="A11" t="inlineStr">
        <is>
          <t>Interest</t>
        </is>
      </c>
      <c r="B11" t="n">
        <v>40000</v>
      </c>
      <c r="C11" t="n">
        <v>40000</v>
      </c>
      <c r="D11">
        <f>B11-C11</f>
        <v/>
      </c>
      <c r="E11">
        <f>IF(C11=0,"",D11/C11)</f>
        <v/>
      </c>
      <c r="F11" t="inlineStr">
        <is>
          <t>F</t>
        </is>
      </c>
      <c r="G11" t="inlineStr">
        <is>
          <t>Interest was unchanged.</t>
        </is>
      </c>
      <c r="I11" t="inlineStr"/>
      <c r="J11" t="inlineStr"/>
    </row>
    <row r="12">
      <c r="A12" t="inlineStr">
        <is>
          <t>Tax</t>
        </is>
      </c>
      <c r="B12" t="n">
        <v>212481.57</v>
      </c>
      <c r="C12" t="n">
        <v>2006.6</v>
      </c>
      <c r="D12">
        <f>B12-C12</f>
        <v/>
      </c>
      <c r="E12">
        <f>IF(C12=0,"",D12/C12)</f>
        <v/>
      </c>
      <c r="F12" t="inlineStr">
        <is>
          <t>U</t>
        </is>
      </c>
      <c r="G12" t="inlineStr">
        <is>
          <t>Tax rose $210,474.97.</t>
        </is>
      </c>
      <c r="I12" t="inlineStr"/>
      <c r="J12" t="inlineStr"/>
    </row>
    <row r="13">
      <c r="A13" t="inlineStr">
        <is>
          <t>Net income</t>
        </is>
      </c>
      <c r="B13" t="n">
        <v>637444.71</v>
      </c>
      <c r="C13" t="n">
        <v>6019.8</v>
      </c>
      <c r="D13">
        <f>B13-C13</f>
        <v/>
      </c>
      <c r="E13">
        <f>IF(C13=0,"",D13/C13)</f>
        <v/>
      </c>
      <c r="F13" t="inlineStr">
        <is>
          <t>F</t>
        </is>
      </c>
      <c r="G13" t="inlineStr">
        <is>
          <t>Net income rose $631,424.91 because higher revenue ($829,830.81), higher operating expenses ($15,656.38), higher depreciation and amortization ($3,958.29) and lower tax (-$210,474.97); other items (-$7,545.60).</t>
        </is>
      </c>
      <c r="I13" t="inlineStr"/>
      <c r="J13" t="inlineStr"/>
    </row>
    <row r="14">
      <c r="A14" t="inlineStr">
        <is>
          <t>Compensation</t>
        </is>
      </c>
      <c r="F14" t="inlineStr"/>
      <c r="G14" t="inlineStr">
        <is>
          <t>The compensation bridge has no beginning and ending totals.</t>
        </is>
      </c>
      <c r="I14" t="inlineStr"/>
      <c r="J14" t="inlineStr"/>
    </row>
    <row r="15">
      <c r="A15" t="inlineStr">
        <is>
          <t xml:space="preserve">  Revenue</t>
        </is>
      </c>
      <c r="B15" t="n">
        <v>7396112.93</v>
      </c>
      <c r="C15" t="n">
        <v>6566282.12</v>
      </c>
      <c r="D15">
        <f>B15-C15</f>
        <v/>
      </c>
      <c r="E15">
        <f>IF(C15=0,"",D15/C15)</f>
        <v/>
      </c>
      <c r="F15" t="inlineStr">
        <is>
          <t>F</t>
        </is>
      </c>
      <c r="G15" t="inlineStr">
        <is>
          <t>Revenue rose $829,830.81 because higher Revenue · Subscription Revenue ($772,118.92), higher Recurring Services · Recurring Services Revenue ($77,211.89) and lower Implementation &amp; Onboarding · Implementation &amp; Onboarding Revenue (-$19,500.00).</t>
        </is>
      </c>
      <c r="I15" t="inlineStr"/>
      <c r="J15" t="inlineStr"/>
    </row>
    <row r="16">
      <c r="A16" t="inlineStr">
        <is>
          <t xml:space="preserve">    Implementation &amp; Onboarding · Implementation &amp; Onboarding Revenue</t>
        </is>
      </c>
      <c r="B16" t="n">
        <v>19000</v>
      </c>
      <c r="C16" t="n">
        <v>38500</v>
      </c>
      <c r="D16">
        <f>B16-C16</f>
        <v/>
      </c>
      <c r="E16">
        <f>IF(C16=0,"",D16/C16)</f>
        <v/>
      </c>
      <c r="F16" t="inlineStr">
        <is>
          <t>U</t>
        </is>
      </c>
      <c r="G16" t="inlineStr">
        <is>
          <t>Implementation &amp; Onboarding · Implementation &amp; Onboarding Revenue fell $19,500.00.</t>
        </is>
      </c>
      <c r="I16" t="inlineStr"/>
      <c r="J16" t="inlineStr"/>
    </row>
    <row r="17">
      <c r="A17" t="inlineStr">
        <is>
          <t xml:space="preserve">    Recurring Services · Recurring Services Revenue</t>
        </is>
      </c>
      <c r="B17" t="n">
        <v>670646.63</v>
      </c>
      <c r="C17" t="n">
        <v>593434.74</v>
      </c>
      <c r="D17">
        <f>B17-C17</f>
        <v/>
      </c>
      <c r="E17">
        <f>IF(C17=0,"",D17/C17)</f>
        <v/>
      </c>
      <c r="F17" t="inlineStr">
        <is>
          <t>F</t>
        </is>
      </c>
      <c r="G17" t="inlineStr">
        <is>
          <t>Recurring Services · Recurring Services Revenue rose $77,211.89.</t>
        </is>
      </c>
      <c r="I17" t="inlineStr"/>
      <c r="J17" t="inlineStr"/>
    </row>
    <row r="18">
      <c r="A18" t="inlineStr">
        <is>
          <t xml:space="preserve">    Revenue · Subscription Revenue</t>
        </is>
      </c>
      <c r="B18" t="n">
        <v>6706466.3</v>
      </c>
      <c r="C18" t="n">
        <v>5934347.38</v>
      </c>
      <c r="D18">
        <f>B18-C18</f>
        <v/>
      </c>
      <c r="E18">
        <f>IF(C18=0,"",D18/C18)</f>
        <v/>
      </c>
      <c r="F18" t="inlineStr">
        <is>
          <t>F</t>
        </is>
      </c>
      <c r="G18" t="inlineStr">
        <is>
          <t>Revenue · Subscription Revenue rose $772,118.92.</t>
        </is>
      </c>
      <c r="I18" t="inlineStr"/>
      <c r="J18" t="inlineStr"/>
    </row>
    <row r="19">
      <c r="A19" t="inlineStr">
        <is>
          <t xml:space="preserve">  Customer Success</t>
        </is>
      </c>
      <c r="B19" t="n">
        <v>187820.14</v>
      </c>
      <c r="C19" t="n">
        <v>203421.6</v>
      </c>
      <c r="D19">
        <f>B19-C19</f>
        <v/>
      </c>
      <c r="E19">
        <f>IF(C19=0,"",D19/C19)</f>
        <v/>
      </c>
      <c r="F19" t="inlineStr">
        <is>
          <t>F</t>
        </is>
      </c>
      <c r="G19" t="inlineStr">
        <is>
          <t>Customer Success fell $15,601.46 because lower Labor · Customer Success Labor COGS (-$14,684.80) and lower Stock-Based Compensation · Stock-Based Compensation COGS (-$916.66).</t>
        </is>
      </c>
      <c r="I19" t="inlineStr"/>
      <c r="J19" t="inlineStr"/>
    </row>
    <row r="20">
      <c r="A20" t="inlineStr">
        <is>
          <t xml:space="preserve">    Labor · Customer Success Labor COGS</t>
        </is>
      </c>
      <c r="B20" t="n">
        <v>174903.47</v>
      </c>
      <c r="C20" t="n">
        <v>189588.27</v>
      </c>
      <c r="D20">
        <f>B20-C20</f>
        <v/>
      </c>
      <c r="E20">
        <f>IF(C20=0,"",D20/C20)</f>
        <v/>
      </c>
      <c r="F20" t="inlineStr">
        <is>
          <t>F</t>
        </is>
      </c>
      <c r="G20" t="inlineStr">
        <is>
          <t>Labor · Customer Success Labor COGS fell $14,684.80.</t>
        </is>
      </c>
      <c r="I20" t="inlineStr"/>
      <c r="J20" t="inlineStr"/>
    </row>
    <row r="21">
      <c r="A21" t="inlineStr">
        <is>
          <t xml:space="preserve">    Stock-Based Compensation · Stock-Based Compensation COGS</t>
        </is>
      </c>
      <c r="B21" t="n">
        <v>12916.67</v>
      </c>
      <c r="C21" t="n">
        <v>13833.33</v>
      </c>
      <c r="D21">
        <f>B21-C21</f>
        <v/>
      </c>
      <c r="E21">
        <f>IF(C21=0,"",D21/C21)</f>
        <v/>
      </c>
      <c r="F21" t="inlineStr">
        <is>
          <t>F</t>
        </is>
      </c>
      <c r="G21" t="inlineStr">
        <is>
          <t>Stock-Based Compensation · Stock-Based Compensation COGS fell $916.66.</t>
        </is>
      </c>
      <c r="I21" t="inlineStr"/>
      <c r="J21" t="inlineStr"/>
    </row>
    <row r="22">
      <c r="A22" t="inlineStr">
        <is>
          <t xml:space="preserve">  Engineering · Cloud Hosting · Cloud Hosting COGS</t>
        </is>
      </c>
      <c r="B22" t="n">
        <v>665632.62</v>
      </c>
      <c r="C22" t="n">
        <v>645054.3</v>
      </c>
      <c r="D22">
        <f>B22-C22</f>
        <v/>
      </c>
      <c r="E22">
        <f>IF(C22=0,"",D22/C22)</f>
        <v/>
      </c>
      <c r="F22" t="inlineStr">
        <is>
          <t>U</t>
        </is>
      </c>
      <c r="G22" t="inlineStr">
        <is>
          <t>Engineering · Cloud Hosting · Cloud Hosting COGS rose $20,578.32.</t>
        </is>
      </c>
      <c r="I22" t="inlineStr"/>
      <c r="J22" t="inlineStr"/>
    </row>
    <row r="23">
      <c r="A23" t="inlineStr">
        <is>
          <t xml:space="preserve">  Product · Vendor Expense · Third Party Product Fees COGS</t>
        </is>
      </c>
      <c r="B23" t="n">
        <v>75637.99000000001</v>
      </c>
      <c r="C23" t="n">
        <v>72577.38</v>
      </c>
      <c r="D23">
        <f>B23-C23</f>
        <v/>
      </c>
      <c r="E23">
        <f>IF(C23=0,"",D23/C23)</f>
        <v/>
      </c>
      <c r="F23" t="inlineStr">
        <is>
          <t>U</t>
        </is>
      </c>
      <c r="G23" t="inlineStr">
        <is>
          <t>Product · Vendor Expense · Third Party Product Fees COGS rose $3,060.61.</t>
        </is>
      </c>
      <c r="I23" t="inlineStr"/>
      <c r="J23" t="inlineStr"/>
    </row>
    <row r="24">
      <c r="A24" t="inlineStr">
        <is>
          <t xml:space="preserve">  Support</t>
        </is>
      </c>
      <c r="B24" t="n">
        <v>155578.58</v>
      </c>
      <c r="C24" t="n">
        <v>156070.45</v>
      </c>
      <c r="D24">
        <f>B24-C24</f>
        <v/>
      </c>
      <c r="E24">
        <f>IF(C24=0,"",D24/C24)</f>
        <v/>
      </c>
      <c r="F24" t="inlineStr">
        <is>
          <t>F</t>
        </is>
      </c>
      <c r="G24" t="inlineStr">
        <is>
          <t>Support fell $491.87 because lower Labor · Customer Support Labor COGS (-$491.87).</t>
        </is>
      </c>
      <c r="I24" t="inlineStr"/>
      <c r="J24" t="inlineStr"/>
    </row>
    <row r="25">
      <c r="A25" t="inlineStr">
        <is>
          <t xml:space="preserve">    Labor · Customer Support Labor COGS</t>
        </is>
      </c>
      <c r="B25" t="n">
        <v>148995.25</v>
      </c>
      <c r="C25" t="n">
        <v>149487.12</v>
      </c>
      <c r="D25">
        <f>B25-C25</f>
        <v/>
      </c>
      <c r="E25">
        <f>IF(C25=0,"",D25/C25)</f>
        <v/>
      </c>
      <c r="F25" t="inlineStr">
        <is>
          <t>F</t>
        </is>
      </c>
      <c r="G25" t="inlineStr">
        <is>
          <t>Labor · Customer Support Labor COGS fell $491.87.</t>
        </is>
      </c>
      <c r="I25" t="inlineStr"/>
      <c r="J25" t="inlineStr"/>
    </row>
    <row r="26">
      <c r="A26" t="inlineStr">
        <is>
          <t xml:space="preserve">    Stock-Based Compensation · Stock-Based Compensation COGS</t>
        </is>
      </c>
      <c r="B26" t="n">
        <v>6583.33</v>
      </c>
      <c r="C26" t="n">
        <v>6583.33</v>
      </c>
      <c r="D26">
        <f>B26-C26</f>
        <v/>
      </c>
      <c r="E26">
        <f>IF(C26=0,"",D26/C26)</f>
        <v/>
      </c>
      <c r="F26" t="inlineStr">
        <is>
          <t>F</t>
        </is>
      </c>
      <c r="G26" t="inlineStr">
        <is>
          <t>Stock-Based Compensation · Stock-Based Compensation COGS was unchanged.</t>
        </is>
      </c>
      <c r="I26" t="inlineStr"/>
      <c r="J26" t="inlineStr"/>
    </row>
    <row r="27">
      <c r="A27" t="inlineStr">
        <is>
          <t xml:space="preserve">  Customer Success</t>
        </is>
      </c>
      <c r="B27" t="n">
        <v>325739.97</v>
      </c>
      <c r="C27" t="n">
        <v>342025.15</v>
      </c>
      <c r="D27">
        <f>B27-C27</f>
        <v/>
      </c>
      <c r="E27">
        <f>IF(C27=0,"",D27/C27)</f>
        <v/>
      </c>
      <c r="F27" t="inlineStr">
        <is>
          <t>F</t>
        </is>
      </c>
      <c r="G27" t="inlineStr">
        <is>
          <t>Customer Success fell $16,285.18 because lower Salaries and Wages · Base Salaries (-$10,583.33), lower Commissions · Sales Commissions - Expensed (-$1,833.37) and lower Benefits · Employee Benefits (-$1,200.00); other items (-$2,668.48).</t>
        </is>
      </c>
      <c r="I27" t="inlineStr"/>
      <c r="J27" t="inlineStr"/>
    </row>
    <row r="28">
      <c r="A28" t="inlineStr">
        <is>
          <t xml:space="preserve">    Benefits · Employee Benefits</t>
        </is>
      </c>
      <c r="B28" t="n">
        <v>24000</v>
      </c>
      <c r="C28" t="n">
        <v>25200</v>
      </c>
      <c r="D28">
        <f>B28-C28</f>
        <v/>
      </c>
      <c r="E28">
        <f>IF(C28=0,"",D28/C28)</f>
        <v/>
      </c>
      <c r="F28" t="inlineStr">
        <is>
          <t>F</t>
        </is>
      </c>
      <c r="G28" t="inlineStr">
        <is>
          <t>Benefits · Employee Benefits fell $1,200.00.</t>
        </is>
      </c>
      <c r="I28" t="inlineStr"/>
      <c r="J28" t="inlineStr"/>
    </row>
    <row r="29">
      <c r="A29" t="inlineStr">
        <is>
          <t xml:space="preserve">    Bonus · Bonuses</t>
        </is>
      </c>
      <c r="B29" t="n">
        <v>16141.67</v>
      </c>
      <c r="C29" t="n">
        <v>16141.67</v>
      </c>
      <c r="D29">
        <f>B29-C29</f>
        <v/>
      </c>
      <c r="E29">
        <f>IF(C29=0,"",D29/C29)</f>
        <v/>
      </c>
      <c r="F29" t="inlineStr">
        <is>
          <t>F</t>
        </is>
      </c>
      <c r="G29" t="inlineStr">
        <is>
          <t>Bonus · Bonuses was unchanged.</t>
        </is>
      </c>
      <c r="I29" t="inlineStr"/>
      <c r="J29" t="inlineStr"/>
    </row>
    <row r="30">
      <c r="A30" t="inlineStr">
        <is>
          <t xml:space="preserve">    Commissions · Sales Commissions - Expensed</t>
        </is>
      </c>
      <c r="B30" t="n">
        <v>15353.4</v>
      </c>
      <c r="C30" t="n">
        <v>17186.77</v>
      </c>
      <c r="D30">
        <f>B30-C30</f>
        <v/>
      </c>
      <c r="E30">
        <f>IF(C30=0,"",D30/C30)</f>
        <v/>
      </c>
      <c r="F30" t="inlineStr">
        <is>
          <t>F</t>
        </is>
      </c>
      <c r="G30" t="inlineStr">
        <is>
          <t>Commissions · Sales Commissions - Expensed fell $1,833.37.</t>
        </is>
      </c>
      <c r="I30" t="inlineStr"/>
      <c r="J30" t="inlineStr"/>
    </row>
    <row r="31">
      <c r="A31" t="inlineStr">
        <is>
          <t xml:space="preserve">    Payroll Taxes</t>
        </is>
      </c>
      <c r="B31" t="n">
        <v>17728.01</v>
      </c>
      <c r="C31" t="n">
        <v>18574.68</v>
      </c>
      <c r="D31">
        <f>B31-C31</f>
        <v/>
      </c>
      <c r="E31">
        <f>IF(C31=0,"",D31/C31)</f>
        <v/>
      </c>
      <c r="F31" t="inlineStr">
        <is>
          <t>F</t>
        </is>
      </c>
      <c r="G31" t="inlineStr">
        <is>
          <t>Payroll Taxes fell $846.67.</t>
        </is>
      </c>
      <c r="I31" t="inlineStr"/>
      <c r="J31" t="inlineStr"/>
    </row>
    <row r="32">
      <c r="A32" t="inlineStr">
        <is>
          <t xml:space="preserve">    Retirement Match · 401(k) Employer Match</t>
        </is>
      </c>
      <c r="B32" t="n">
        <v>6872.13</v>
      </c>
      <c r="C32" t="n">
        <v>6872.13</v>
      </c>
      <c r="D32">
        <f>B32-C32</f>
        <v/>
      </c>
      <c r="E32">
        <f>IF(C32=0,"",D32/C32)</f>
        <v/>
      </c>
      <c r="F32" t="inlineStr">
        <is>
          <t>F</t>
        </is>
      </c>
      <c r="G32" t="inlineStr">
        <is>
          <t>Retirement Match · 401(k) Employer Match was unchanged.</t>
        </is>
      </c>
      <c r="I32" t="inlineStr"/>
      <c r="J32" t="inlineStr"/>
    </row>
    <row r="33">
      <c r="A33" t="inlineStr">
        <is>
          <t xml:space="preserve">    Salaries and Wages · Base Salaries</t>
        </is>
      </c>
      <c r="B33" t="n">
        <v>205458.33</v>
      </c>
      <c r="C33" t="n">
        <v>216041.66</v>
      </c>
      <c r="D33">
        <f>B33-C33</f>
        <v/>
      </c>
      <c r="E33">
        <f>IF(C33=0,"",D33/C33)</f>
        <v/>
      </c>
      <c r="F33" t="inlineStr">
        <is>
          <t>F</t>
        </is>
      </c>
      <c r="G33" t="inlineStr">
        <is>
          <t>Salaries and Wages · Base Salaries fell $10,583.33.</t>
        </is>
      </c>
      <c r="I33" t="inlineStr"/>
      <c r="J33" t="inlineStr"/>
    </row>
    <row r="34">
      <c r="A34" t="inlineStr">
        <is>
          <t xml:space="preserve">    Software · Software Tools</t>
        </is>
      </c>
      <c r="B34" t="n">
        <v>4500</v>
      </c>
      <c r="C34" t="n">
        <v>4500</v>
      </c>
      <c r="D34">
        <f>B34-C34</f>
        <v/>
      </c>
      <c r="E34">
        <f>IF(C34=0,"",D34/C34)</f>
        <v/>
      </c>
      <c r="F34" t="inlineStr">
        <is>
          <t>F</t>
        </is>
      </c>
      <c r="G34" t="inlineStr">
        <is>
          <t>Software · Software Tools was unchanged.</t>
        </is>
      </c>
      <c r="I34" t="inlineStr"/>
      <c r="J34" t="inlineStr"/>
    </row>
    <row r="35">
      <c r="A35" t="inlineStr">
        <is>
          <t xml:space="preserve">    Stock-Based Compensation</t>
        </is>
      </c>
      <c r="B35" t="n">
        <v>23416.67</v>
      </c>
      <c r="C35" t="n">
        <v>24416.67</v>
      </c>
      <c r="D35">
        <f>B35-C35</f>
        <v/>
      </c>
      <c r="E35">
        <f>IF(C35=0,"",D35/C35)</f>
        <v/>
      </c>
      <c r="F35" t="inlineStr">
        <is>
          <t>F</t>
        </is>
      </c>
      <c r="G35" t="inlineStr">
        <is>
          <t>Stock-Based Compensation fell $1,000.00.</t>
        </is>
      </c>
      <c r="I35" t="inlineStr"/>
      <c r="J35" t="inlineStr"/>
    </row>
    <row r="36">
      <c r="A36" t="inlineStr">
        <is>
          <t xml:space="preserve">    Travel &amp; Entertainment · Sales Travel</t>
        </is>
      </c>
      <c r="B36" t="n">
        <v>12269.76</v>
      </c>
      <c r="C36" t="n">
        <v>13091.57</v>
      </c>
      <c r="D36">
        <f>B36-C36</f>
        <v/>
      </c>
      <c r="E36">
        <f>IF(C36=0,"",D36/C36)</f>
        <v/>
      </c>
      <c r="F36" t="inlineStr">
        <is>
          <t>F</t>
        </is>
      </c>
      <c r="G36" t="inlineStr">
        <is>
          <t>Travel &amp; Entertainment · Sales Travel fell $821.81.</t>
        </is>
      </c>
      <c r="I36" t="inlineStr"/>
      <c r="J36" t="inlineStr"/>
    </row>
    <row r="37">
      <c r="A37" t="inlineStr">
        <is>
          <t xml:space="preserve">  Marketing</t>
        </is>
      </c>
      <c r="B37" t="n">
        <v>1361997.19</v>
      </c>
      <c r="C37" t="n">
        <v>1258730.6</v>
      </c>
      <c r="D37">
        <f>B37-C37</f>
        <v/>
      </c>
      <c r="E37">
        <f>IF(C37=0,"",D37/C37)</f>
        <v/>
      </c>
      <c r="F37" t="inlineStr">
        <is>
          <t>U</t>
        </is>
      </c>
      <c r="G37" t="inlineStr">
        <is>
          <t>Marketing rose $103,266.59 because higher Marketing Programs ($117,232.56) and lower Salaries and Wages · Base Salaries (-$9,291.67); other items (-$4,674.30).</t>
        </is>
      </c>
      <c r="I37" t="inlineStr"/>
      <c r="J37" t="inlineStr"/>
    </row>
    <row r="38">
      <c r="A38" t="inlineStr">
        <is>
          <t xml:space="preserve">    Benefits · Employee Benefits</t>
        </is>
      </c>
      <c r="B38" t="n">
        <v>27600</v>
      </c>
      <c r="C38" t="n">
        <v>28800</v>
      </c>
      <c r="D38">
        <f>B38-C38</f>
        <v/>
      </c>
      <c r="E38">
        <f>IF(C38=0,"",D38/C38)</f>
        <v/>
      </c>
      <c r="F38" t="inlineStr">
        <is>
          <t>F</t>
        </is>
      </c>
      <c r="G38" t="inlineStr">
        <is>
          <t>Benefits · Employee Benefits fell $1,200.00.</t>
        </is>
      </c>
      <c r="I38" t="inlineStr"/>
      <c r="J38" t="inlineStr"/>
    </row>
    <row r="39">
      <c r="A39" t="inlineStr">
        <is>
          <t xml:space="preserve">    Bonus · Bonuses</t>
        </is>
      </c>
      <c r="B39" t="n">
        <v>33507.9</v>
      </c>
      <c r="C39" t="n">
        <v>34633.74</v>
      </c>
      <c r="D39">
        <f>B39-C39</f>
        <v/>
      </c>
      <c r="E39">
        <f>IF(C39=0,"",D39/C39)</f>
        <v/>
      </c>
      <c r="F39" t="inlineStr">
        <is>
          <t>F</t>
        </is>
      </c>
      <c r="G39" t="inlineStr">
        <is>
          <t>Bonus · Bonuses fell $1,125.84.</t>
        </is>
      </c>
      <c r="I39" t="inlineStr"/>
      <c r="J39" t="inlineStr"/>
    </row>
    <row r="40">
      <c r="A40" t="inlineStr">
        <is>
          <t xml:space="preserve">    Marketing Programs</t>
        </is>
      </c>
      <c r="B40" t="n">
        <v>1000025.19</v>
      </c>
      <c r="C40" t="n">
        <v>882792.63</v>
      </c>
      <c r="D40">
        <f>B40-C40</f>
        <v/>
      </c>
      <c r="E40">
        <f>IF(C40=0,"",D40/C40)</f>
        <v/>
      </c>
      <c r="F40" t="inlineStr">
        <is>
          <t>U</t>
        </is>
      </c>
      <c r="G40" t="inlineStr">
        <is>
          <t>Marketing Programs rose $117,232.56 because higher Paid Search ($38,602.21), higher Content and Syndication ($27,547.40) and higher Partner Marketing ($22,730.98); other items ($28,351.97).</t>
        </is>
      </c>
      <c r="I40" t="inlineStr"/>
      <c r="J40" t="inlineStr"/>
    </row>
    <row r="41">
      <c r="A41" t="inlineStr">
        <is>
          <t xml:space="preserve">      Content and Syndication</t>
        </is>
      </c>
      <c r="B41" t="n">
        <v>234986.8</v>
      </c>
      <c r="C41" t="n">
        <v>207439.4</v>
      </c>
      <c r="D41">
        <f>B41-C41</f>
        <v/>
      </c>
      <c r="E41">
        <f>IF(C41=0,"",D41/C41)</f>
        <v/>
      </c>
      <c r="F41" t="inlineStr">
        <is>
          <t>U</t>
        </is>
      </c>
      <c r="G41" t="inlineStr">
        <is>
          <t>Content and Syndication rose $27,547.40.</t>
        </is>
      </c>
      <c r="I41" t="inlineStr"/>
      <c r="J41" t="inlineStr"/>
    </row>
    <row r="42">
      <c r="A42" t="inlineStr">
        <is>
          <t xml:space="preserve">      Events and Webinars</t>
        </is>
      </c>
      <c r="B42" t="n">
        <v>175257.81</v>
      </c>
      <c r="C42" t="n">
        <v>154712.41</v>
      </c>
      <c r="D42">
        <f>B42-C42</f>
        <v/>
      </c>
      <c r="E42">
        <f>IF(C42=0,"",D42/C42)</f>
        <v/>
      </c>
      <c r="F42" t="inlineStr">
        <is>
          <t>U</t>
        </is>
      </c>
      <c r="G42" t="inlineStr">
        <is>
          <t>Events and Webinars rose $20,545.40.</t>
        </is>
      </c>
      <c r="I42" t="inlineStr"/>
      <c r="J42" t="inlineStr"/>
    </row>
    <row r="43">
      <c r="A43" t="inlineStr">
        <is>
          <t xml:space="preserve">      Paid Search</t>
        </is>
      </c>
      <c r="B43" t="n">
        <v>329287.01</v>
      </c>
      <c r="C43" t="n">
        <v>290684.8</v>
      </c>
      <c r="D43">
        <f>B43-C43</f>
        <v/>
      </c>
      <c r="E43">
        <f>IF(C43=0,"",D43/C43)</f>
        <v/>
      </c>
      <c r="F43" t="inlineStr">
        <is>
          <t>U</t>
        </is>
      </c>
      <c r="G43" t="inlineStr">
        <is>
          <t>Paid Search rose $38,602.21.</t>
        </is>
      </c>
      <c r="I43" t="inlineStr"/>
      <c r="J43" t="inlineStr"/>
    </row>
    <row r="44">
      <c r="A44" t="inlineStr">
        <is>
          <t xml:space="preserve">      Paid Social</t>
        </is>
      </c>
      <c r="B44" t="n">
        <v>66592.12</v>
      </c>
      <c r="C44" t="n">
        <v>58785.55</v>
      </c>
      <c r="D44">
        <f>B44-C44</f>
        <v/>
      </c>
      <c r="E44">
        <f>IF(C44=0,"",D44/C44)</f>
        <v/>
      </c>
      <c r="F44" t="inlineStr">
        <is>
          <t>U</t>
        </is>
      </c>
      <c r="G44" t="inlineStr">
        <is>
          <t>Paid Social rose $7,806.57.</t>
        </is>
      </c>
      <c r="I44" t="inlineStr"/>
      <c r="J44" t="inlineStr"/>
    </row>
    <row r="45">
      <c r="A45" t="inlineStr">
        <is>
          <t xml:space="preserve">      Partner Marketing</t>
        </is>
      </c>
      <c r="B45" t="n">
        <v>193901.45</v>
      </c>
      <c r="C45" t="n">
        <v>171170.47</v>
      </c>
      <c r="D45">
        <f>B45-C45</f>
        <v/>
      </c>
      <c r="E45">
        <f>IF(C45=0,"",D45/C45)</f>
        <v/>
      </c>
      <c r="F45" t="inlineStr">
        <is>
          <t>U</t>
        </is>
      </c>
      <c r="G45" t="inlineStr">
        <is>
          <t>Partner Marketing rose $22,730.98.</t>
        </is>
      </c>
      <c r="I45" t="inlineStr"/>
      <c r="J45" t="inlineStr"/>
    </row>
    <row r="46">
      <c r="A46" t="inlineStr">
        <is>
          <t xml:space="preserve">    Payroll Taxes</t>
        </is>
      </c>
      <c r="B46" t="n">
        <v>21330.62</v>
      </c>
      <c r="C46" t="n">
        <v>22164.03</v>
      </c>
      <c r="D46">
        <f>B46-C46</f>
        <v/>
      </c>
      <c r="E46">
        <f>IF(C46=0,"",D46/C46)</f>
        <v/>
      </c>
      <c r="F46" t="inlineStr">
        <is>
          <t>F</t>
        </is>
      </c>
      <c r="G46" t="inlineStr">
        <is>
          <t>Payroll Taxes fell $833.41.</t>
        </is>
      </c>
      <c r="I46" t="inlineStr"/>
      <c r="J46" t="inlineStr"/>
    </row>
    <row r="47">
      <c r="A47" t="inlineStr">
        <is>
          <t xml:space="preserve">    Retirement Match · 401(k) Employer Match</t>
        </is>
      </c>
      <c r="B47" t="n">
        <v>9524.049999999999</v>
      </c>
      <c r="C47" t="n">
        <v>9940.74</v>
      </c>
      <c r="D47">
        <f>B47-C47</f>
        <v/>
      </c>
      <c r="E47">
        <f>IF(C47=0,"",D47/C47)</f>
        <v/>
      </c>
      <c r="F47" t="inlineStr">
        <is>
          <t>F</t>
        </is>
      </c>
      <c r="G47" t="inlineStr">
        <is>
          <t>Retirement Match · 401(k) Employer Match fell $416.69.</t>
        </is>
      </c>
      <c r="I47" t="inlineStr"/>
      <c r="J47" t="inlineStr"/>
    </row>
    <row r="48">
      <c r="A48" t="inlineStr">
        <is>
          <t xml:space="preserve">    Salaries and Wages · Base Salaries</t>
        </is>
      </c>
      <c r="B48" t="n">
        <v>233125</v>
      </c>
      <c r="C48" t="n">
        <v>242416.67</v>
      </c>
      <c r="D48">
        <f>B48-C48</f>
        <v/>
      </c>
      <c r="E48">
        <f>IF(C48=0,"",D48/C48)</f>
        <v/>
      </c>
      <c r="F48" t="inlineStr">
        <is>
          <t>F</t>
        </is>
      </c>
      <c r="G48" t="inlineStr">
        <is>
          <t>Salaries and Wages · Base Salaries fell $9,291.67.</t>
        </is>
      </c>
      <c r="I48" t="inlineStr"/>
      <c r="J48" t="inlineStr"/>
    </row>
    <row r="49">
      <c r="A49" t="inlineStr">
        <is>
          <t xml:space="preserve">    Software · Software Tools</t>
        </is>
      </c>
      <c r="B49" t="n">
        <v>5800</v>
      </c>
      <c r="C49" t="n">
        <v>5800</v>
      </c>
      <c r="D49">
        <f>B49-C49</f>
        <v/>
      </c>
      <c r="E49">
        <f>IF(C49=0,"",D49/C49)</f>
        <v/>
      </c>
      <c r="F49" t="inlineStr">
        <is>
          <t>F</t>
        </is>
      </c>
      <c r="G49" t="inlineStr">
        <is>
          <t>Software · Software Tools was unchanged.</t>
        </is>
      </c>
      <c r="I49" t="inlineStr"/>
      <c r="J49" t="inlineStr"/>
    </row>
    <row r="50">
      <c r="A50" t="inlineStr">
        <is>
          <t xml:space="preserve">    Stock-Based Compensation</t>
        </is>
      </c>
      <c r="B50" t="n">
        <v>28666.67</v>
      </c>
      <c r="C50" t="n">
        <v>29666.67</v>
      </c>
      <c r="D50">
        <f>B50-C50</f>
        <v/>
      </c>
      <c r="E50">
        <f>IF(C50=0,"",D50/C50)</f>
        <v/>
      </c>
      <c r="F50" t="inlineStr">
        <is>
          <t>F</t>
        </is>
      </c>
      <c r="G50" t="inlineStr">
        <is>
          <t>Stock-Based Compensation fell $1,000.00.</t>
        </is>
      </c>
      <c r="I50" t="inlineStr"/>
      <c r="J50" t="inlineStr"/>
    </row>
    <row r="51">
      <c r="A51" t="inlineStr">
        <is>
          <t xml:space="preserve">    Travel &amp; Entertainment</t>
        </is>
      </c>
      <c r="B51" t="n">
        <v>2417.76</v>
      </c>
      <c r="C51" t="n">
        <v>2516.12</v>
      </c>
      <c r="D51">
        <f>B51-C51</f>
        <v/>
      </c>
      <c r="E51">
        <f>IF(C51=0,"",D51/C51)</f>
        <v/>
      </c>
      <c r="F51" t="inlineStr">
        <is>
          <t>F</t>
        </is>
      </c>
      <c r="G51" t="inlineStr">
        <is>
          <t>Travel &amp; Entertainment fell $98.36.</t>
        </is>
      </c>
      <c r="I51" t="inlineStr"/>
      <c r="J51" t="inlineStr"/>
    </row>
    <row r="52">
      <c r="A52" t="inlineStr">
        <is>
          <t xml:space="preserve">  Sales</t>
        </is>
      </c>
      <c r="B52" t="n">
        <v>971463.53</v>
      </c>
      <c r="C52" t="n">
        <v>1024614.88</v>
      </c>
      <c r="D52">
        <f>B52-C52</f>
        <v/>
      </c>
      <c r="E52">
        <f>IF(C52=0,"",D52/C52)</f>
        <v/>
      </c>
      <c r="F52" t="inlineStr">
        <is>
          <t>F</t>
        </is>
      </c>
      <c r="G52" t="inlineStr">
        <is>
          <t>Sales fell $53,151.35 because lower Salaries and Wages · Base Salaries (-$17,541.66), lower Payroll Taxes (-$14,581.78) and lower Commissions · Sales Commissions (-$11,801.08); other items (-$9,226.83).</t>
        </is>
      </c>
      <c r="I52" t="inlineStr"/>
      <c r="J52" t="inlineStr"/>
    </row>
    <row r="53">
      <c r="A53" t="inlineStr">
        <is>
          <t xml:space="preserve">    Benefits · Employee Benefits</t>
        </is>
      </c>
      <c r="B53" t="n">
        <v>58800</v>
      </c>
      <c r="C53" t="n">
        <v>60000</v>
      </c>
      <c r="D53">
        <f>B53-C53</f>
        <v/>
      </c>
      <c r="E53">
        <f>IF(C53=0,"",D53/C53)</f>
        <v/>
      </c>
      <c r="F53" t="inlineStr">
        <is>
          <t>F</t>
        </is>
      </c>
      <c r="G53" t="inlineStr">
        <is>
          <t>Benefits · Employee Benefits fell $1,200.00.</t>
        </is>
      </c>
      <c r="I53" t="inlineStr"/>
      <c r="J53" t="inlineStr"/>
    </row>
    <row r="54">
      <c r="A54" t="inlineStr">
        <is>
          <t xml:space="preserve">    Bonus · Bonuses</t>
        </is>
      </c>
      <c r="B54" t="n">
        <v>88174.98</v>
      </c>
      <c r="C54" t="n">
        <v>91579.14999999999</v>
      </c>
      <c r="D54">
        <f>B54-C54</f>
        <v/>
      </c>
      <c r="E54">
        <f>IF(C54=0,"",D54/C54)</f>
        <v/>
      </c>
      <c r="F54" t="inlineStr">
        <is>
          <t>F</t>
        </is>
      </c>
      <c r="G54" t="inlineStr">
        <is>
          <t>Bonus · Bonuses fell $3,404.17.</t>
        </is>
      </c>
      <c r="I54" t="inlineStr"/>
      <c r="J54" t="inlineStr"/>
    </row>
    <row r="55">
      <c r="A55" t="inlineStr">
        <is>
          <t xml:space="preserve">    Commissions · Sales Commissions</t>
        </is>
      </c>
      <c r="B55" t="n">
        <v>106768.05</v>
      </c>
      <c r="C55" t="n">
        <v>118569.13</v>
      </c>
      <c r="D55">
        <f>B55-C55</f>
        <v/>
      </c>
      <c r="E55">
        <f>IF(C55=0,"",D55/C55)</f>
        <v/>
      </c>
      <c r="F55" t="inlineStr">
        <is>
          <t>F</t>
        </is>
      </c>
      <c r="G55" t="inlineStr">
        <is>
          <t>Commissions · Sales Commissions fell $11,801.08.</t>
        </is>
      </c>
      <c r="I55" t="inlineStr"/>
      <c r="J55" t="inlineStr"/>
    </row>
    <row r="56">
      <c r="A56" t="inlineStr">
        <is>
          <t xml:space="preserve">    Payroll Taxes</t>
        </is>
      </c>
      <c r="B56" t="n">
        <v>58970.22</v>
      </c>
      <c r="C56" t="n">
        <v>73552</v>
      </c>
      <c r="D56">
        <f>B56-C56</f>
        <v/>
      </c>
      <c r="E56">
        <f>IF(C56=0,"",D56/C56)</f>
        <v/>
      </c>
      <c r="F56" t="inlineStr">
        <is>
          <t>F</t>
        </is>
      </c>
      <c r="G56" t="inlineStr">
        <is>
          <t>Payroll Taxes fell $14,581.78.</t>
        </is>
      </c>
      <c r="I56" t="inlineStr"/>
      <c r="J56" t="inlineStr"/>
    </row>
    <row r="57">
      <c r="A57" t="inlineStr">
        <is>
          <t xml:space="preserve">    Retirement Match · 401(k) Employer Match</t>
        </is>
      </c>
      <c r="B57" t="n">
        <v>19086.07</v>
      </c>
      <c r="C57" t="n">
        <v>19579.47</v>
      </c>
      <c r="D57">
        <f>B57-C57</f>
        <v/>
      </c>
      <c r="E57">
        <f>IF(C57=0,"",D57/C57)</f>
        <v/>
      </c>
      <c r="F57" t="inlineStr">
        <is>
          <t>F</t>
        </is>
      </c>
      <c r="G57" t="inlineStr">
        <is>
          <t>Retirement Match · 401(k) Employer Match fell $493.40.</t>
        </is>
      </c>
      <c r="I57" t="inlineStr"/>
      <c r="J57" t="inlineStr"/>
    </row>
    <row r="58">
      <c r="A58" t="inlineStr">
        <is>
          <t xml:space="preserve">    Salaries and Wages · Base Salaries</t>
        </is>
      </c>
      <c r="B58" t="n">
        <v>504083.32</v>
      </c>
      <c r="C58" t="n">
        <v>521624.98</v>
      </c>
      <c r="D58">
        <f>B58-C58</f>
        <v/>
      </c>
      <c r="E58">
        <f>IF(C58=0,"",D58/C58)</f>
        <v/>
      </c>
      <c r="F58" t="inlineStr">
        <is>
          <t>F</t>
        </is>
      </c>
      <c r="G58" t="inlineStr">
        <is>
          <t>Salaries and Wages · Base Salaries fell $17,541.66.</t>
        </is>
      </c>
      <c r="I58" t="inlineStr"/>
      <c r="J58" t="inlineStr"/>
    </row>
    <row r="59">
      <c r="A59" t="inlineStr">
        <is>
          <t xml:space="preserve">    Software · Sales Tools</t>
        </is>
      </c>
      <c r="B59" t="n">
        <v>34271.08</v>
      </c>
      <c r="C59" t="n">
        <v>34910.53</v>
      </c>
      <c r="D59">
        <f>B59-C59</f>
        <v/>
      </c>
      <c r="E59">
        <f>IF(C59=0,"",D59/C59)</f>
        <v/>
      </c>
      <c r="F59" t="inlineStr">
        <is>
          <t>F</t>
        </is>
      </c>
      <c r="G59" t="inlineStr">
        <is>
          <t>Software · Sales Tools fell $639.45.</t>
        </is>
      </c>
      <c r="I59" t="inlineStr"/>
      <c r="J59" t="inlineStr"/>
    </row>
    <row r="60">
      <c r="A60" t="inlineStr">
        <is>
          <t xml:space="preserve">    Stock-Based Compensation</t>
        </is>
      </c>
      <c r="B60" t="n">
        <v>67958.33</v>
      </c>
      <c r="C60" t="n">
        <v>70250</v>
      </c>
      <c r="D60">
        <f>B60-C60</f>
        <v/>
      </c>
      <c r="E60">
        <f>IF(C60=0,"",D60/C60)</f>
        <v/>
      </c>
      <c r="F60" t="inlineStr">
        <is>
          <t>F</t>
        </is>
      </c>
      <c r="G60" t="inlineStr">
        <is>
          <t>Stock-Based Compensation fell $2,291.67.</t>
        </is>
      </c>
      <c r="I60" t="inlineStr"/>
      <c r="J60" t="inlineStr"/>
    </row>
    <row r="61">
      <c r="A61" t="inlineStr">
        <is>
          <t xml:space="preserve">    Travel &amp; Entertainment · Sales Travel</t>
        </is>
      </c>
      <c r="B61" t="n">
        <v>33351.48</v>
      </c>
      <c r="C61" t="n">
        <v>34549.62</v>
      </c>
      <c r="D61">
        <f>B61-C61</f>
        <v/>
      </c>
      <c r="E61">
        <f>IF(C61=0,"",D61/C61)</f>
        <v/>
      </c>
      <c r="F61" t="inlineStr">
        <is>
          <t>F</t>
        </is>
      </c>
      <c r="G61" t="inlineStr">
        <is>
          <t>Travel &amp; Entertainment · Sales Travel fell $1,198.14.</t>
        </is>
      </c>
      <c r="I61" t="inlineStr"/>
      <c r="J61" t="inlineStr"/>
    </row>
    <row r="62">
      <c r="A62" t="inlineStr">
        <is>
          <t xml:space="preserve">  Engineering</t>
        </is>
      </c>
      <c r="B62" t="n">
        <v>1474242.87</v>
      </c>
      <c r="C62" t="n">
        <v>1472016.48</v>
      </c>
      <c r="D62">
        <f>B62-C62</f>
        <v/>
      </c>
      <c r="E62">
        <f>IF(C62=0,"",D62/C62)</f>
        <v/>
      </c>
      <c r="F62" t="inlineStr">
        <is>
          <t>U</t>
        </is>
      </c>
      <c r="G62" t="inlineStr">
        <is>
          <t>Engineering rose $2,226.39 because higher Cloud Hosting · Cloud Infrastructure ($12,047.24), higher Recruiting ($11,100.00) and lower Salaries and Wages · Base Salaries (-$14,166.65); other items (-$6,754.20).</t>
        </is>
      </c>
      <c r="I62" t="inlineStr"/>
      <c r="J62" t="inlineStr"/>
    </row>
    <row r="63">
      <c r="A63" t="inlineStr">
        <is>
          <t xml:space="preserve">    Benefits · Employee Benefits</t>
        </is>
      </c>
      <c r="B63" t="n">
        <v>60000</v>
      </c>
      <c r="C63" t="n">
        <v>61200</v>
      </c>
      <c r="D63">
        <f>B63-C63</f>
        <v/>
      </c>
      <c r="E63">
        <f>IF(C63=0,"",D63/C63)</f>
        <v/>
      </c>
      <c r="F63" t="inlineStr">
        <is>
          <t>F</t>
        </is>
      </c>
      <c r="G63" t="inlineStr">
        <is>
          <t>Benefits · Employee Benefits fell $1,200.00.</t>
        </is>
      </c>
      <c r="I63" t="inlineStr"/>
      <c r="J63" t="inlineStr"/>
    </row>
    <row r="64">
      <c r="A64" t="inlineStr">
        <is>
          <t xml:space="preserve">    Bonus · Bonuses</t>
        </is>
      </c>
      <c r="B64" t="n">
        <v>90410.41</v>
      </c>
      <c r="C64" t="n">
        <v>91950.81</v>
      </c>
      <c r="D64">
        <f>B64-C64</f>
        <v/>
      </c>
      <c r="E64">
        <f>IF(C64=0,"",D64/C64)</f>
        <v/>
      </c>
      <c r="F64" t="inlineStr">
        <is>
          <t>F</t>
        </is>
      </c>
      <c r="G64" t="inlineStr">
        <is>
          <t>Bonus · Bonuses fell $1,540.40.</t>
        </is>
      </c>
      <c r="I64" t="inlineStr"/>
      <c r="J64" t="inlineStr"/>
    </row>
    <row r="65">
      <c r="A65" t="inlineStr">
        <is>
          <t xml:space="preserve">    Cloud Hosting · Cloud Infrastructure</t>
        </is>
      </c>
      <c r="B65" t="n">
        <v>269618.17</v>
      </c>
      <c r="C65" t="n">
        <v>257570.93</v>
      </c>
      <c r="D65">
        <f>B65-C65</f>
        <v/>
      </c>
      <c r="E65">
        <f>IF(C65=0,"",D65/C65)</f>
        <v/>
      </c>
      <c r="F65" t="inlineStr">
        <is>
          <t>U</t>
        </is>
      </c>
      <c r="G65" t="inlineStr">
        <is>
          <t>Cloud Hosting · Cloud Infrastructure rose $12,047.24.</t>
        </is>
      </c>
      <c r="I65" t="inlineStr"/>
      <c r="J65" t="inlineStr"/>
    </row>
    <row r="66">
      <c r="A66" t="inlineStr">
        <is>
          <t xml:space="preserve">    Contractors · Contractor Labor</t>
        </is>
      </c>
      <c r="B66" t="n">
        <v>28000</v>
      </c>
      <c r="C66" t="n">
        <v>28000</v>
      </c>
      <c r="D66">
        <f>B66-C66</f>
        <v/>
      </c>
      <c r="E66">
        <f>IF(C66=0,"",D66/C66)</f>
        <v/>
      </c>
      <c r="F66" t="inlineStr">
        <is>
          <t>F</t>
        </is>
      </c>
      <c r="G66" t="inlineStr">
        <is>
          <t>Contractors · Contractor Labor was unchanged.</t>
        </is>
      </c>
      <c r="I66" t="inlineStr"/>
      <c r="J66" t="inlineStr"/>
    </row>
    <row r="67">
      <c r="A67" t="inlineStr">
        <is>
          <t xml:space="preserve">    Payroll Taxes</t>
        </is>
      </c>
      <c r="B67" t="n">
        <v>63787.82</v>
      </c>
      <c r="C67" t="n">
        <v>65044.38</v>
      </c>
      <c r="D67">
        <f>B67-C67</f>
        <v/>
      </c>
      <c r="E67">
        <f>IF(C67=0,"",D67/C67)</f>
        <v/>
      </c>
      <c r="F67" t="inlineStr">
        <is>
          <t>F</t>
        </is>
      </c>
      <c r="G67" t="inlineStr">
        <is>
          <t>Payroll Taxes fell $1,256.56.</t>
        </is>
      </c>
      <c r="I67" t="inlineStr"/>
      <c r="J67" t="inlineStr"/>
    </row>
    <row r="68">
      <c r="A68" t="inlineStr">
        <is>
          <t xml:space="preserve">    Recruiting</t>
        </is>
      </c>
      <c r="B68" t="n">
        <v>45000</v>
      </c>
      <c r="C68" t="n">
        <v>33900</v>
      </c>
      <c r="D68">
        <f>B68-C68</f>
        <v/>
      </c>
      <c r="E68">
        <f>IF(C68=0,"",D68/C68)</f>
        <v/>
      </c>
      <c r="F68" t="inlineStr">
        <is>
          <t>U</t>
        </is>
      </c>
      <c r="G68" t="inlineStr">
        <is>
          <t>Recruiting rose $11,100.00.</t>
        </is>
      </c>
      <c r="I68" t="inlineStr"/>
      <c r="J68" t="inlineStr"/>
    </row>
    <row r="69">
      <c r="A69" t="inlineStr">
        <is>
          <t xml:space="preserve">    Retirement Match · 401(k) Employer Match</t>
        </is>
      </c>
      <c r="B69" t="n">
        <v>26722.36</v>
      </c>
      <c r="C69" t="n">
        <v>26835.48</v>
      </c>
      <c r="D69">
        <f>B69-C69</f>
        <v/>
      </c>
      <c r="E69">
        <f>IF(C69=0,"",D69/C69)</f>
        <v/>
      </c>
      <c r="F69" t="inlineStr">
        <is>
          <t>F</t>
        </is>
      </c>
      <c r="G69" t="inlineStr">
        <is>
          <t>Retirement Match · 401(k) Employer Match fell $113.12.</t>
        </is>
      </c>
      <c r="I69" t="inlineStr"/>
      <c r="J69" t="inlineStr"/>
    </row>
    <row r="70">
      <c r="A70" t="inlineStr">
        <is>
          <t xml:space="preserve">    Salaries and Wages · Base Salaries</t>
        </is>
      </c>
      <c r="B70" t="n">
        <v>706937.51</v>
      </c>
      <c r="C70" t="n">
        <v>721104.16</v>
      </c>
      <c r="D70">
        <f>B70-C70</f>
        <v/>
      </c>
      <c r="E70">
        <f>IF(C70=0,"",D70/C70)</f>
        <v/>
      </c>
      <c r="F70" t="inlineStr">
        <is>
          <t>F</t>
        </is>
      </c>
      <c r="G70" t="inlineStr">
        <is>
          <t>Salaries and Wages · Base Salaries fell $14,166.65.</t>
        </is>
      </c>
      <c r="I70" t="inlineStr"/>
      <c r="J70" t="inlineStr"/>
    </row>
    <row r="71">
      <c r="A71" t="inlineStr">
        <is>
          <t xml:space="preserve">    Software</t>
        </is>
      </c>
      <c r="B71" t="n">
        <v>34143.95</v>
      </c>
      <c r="C71" t="n">
        <v>34188.05</v>
      </c>
      <c r="D71">
        <f>B71-C71</f>
        <v/>
      </c>
      <c r="E71">
        <f>IF(C71=0,"",D71/C71)</f>
        <v/>
      </c>
      <c r="F71" t="inlineStr">
        <is>
          <t>F</t>
        </is>
      </c>
      <c r="G71" t="inlineStr">
        <is>
          <t>Software fell $44.10 because lower Software Tools (-$44.10).</t>
        </is>
      </c>
      <c r="I71" t="inlineStr"/>
      <c r="J71" t="inlineStr"/>
    </row>
    <row r="72">
      <c r="A72" t="inlineStr">
        <is>
          <t xml:space="preserve">      Data Warehouse</t>
        </is>
      </c>
      <c r="B72" t="n">
        <v>30000</v>
      </c>
      <c r="C72" t="n">
        <v>30000</v>
      </c>
      <c r="D72">
        <f>B72-C72</f>
        <v/>
      </c>
      <c r="E72">
        <f>IF(C72=0,"",D72/C72)</f>
        <v/>
      </c>
      <c r="F72" t="inlineStr">
        <is>
          <t>F</t>
        </is>
      </c>
      <c r="G72" t="inlineStr">
        <is>
          <t>Data Warehouse was unchanged.</t>
        </is>
      </c>
      <c r="I72" t="inlineStr"/>
      <c r="J72" t="inlineStr"/>
    </row>
    <row r="73">
      <c r="A73" t="inlineStr">
        <is>
          <t xml:space="preserve">      Software Tools</t>
        </is>
      </c>
      <c r="B73" t="n">
        <v>4143.95</v>
      </c>
      <c r="C73" t="n">
        <v>4188.05</v>
      </c>
      <c r="D73">
        <f>B73-C73</f>
        <v/>
      </c>
      <c r="E73">
        <f>IF(C73=0,"",D73/C73)</f>
        <v/>
      </c>
      <c r="F73" t="inlineStr">
        <is>
          <t>F</t>
        </is>
      </c>
      <c r="G73" t="inlineStr">
        <is>
          <t>Software Tools fell $44.10.</t>
        </is>
      </c>
      <c r="I73" t="inlineStr"/>
      <c r="J73" t="inlineStr"/>
    </row>
    <row r="74">
      <c r="A74" t="inlineStr">
        <is>
          <t xml:space="preserve">    Stock-Based Compensation</t>
        </is>
      </c>
      <c r="B74" t="n">
        <v>144208.34</v>
      </c>
      <c r="C74" t="n">
        <v>146708.34</v>
      </c>
      <c r="D74">
        <f>B74-C74</f>
        <v/>
      </c>
      <c r="E74">
        <f>IF(C74=0,"",D74/C74)</f>
        <v/>
      </c>
      <c r="F74" t="inlineStr">
        <is>
          <t>F</t>
        </is>
      </c>
      <c r="G74" t="inlineStr">
        <is>
          <t>Stock-Based Compensation fell $2,500.00.</t>
        </is>
      </c>
      <c r="I74" t="inlineStr"/>
      <c r="J74" t="inlineStr"/>
    </row>
    <row r="75">
      <c r="A75" t="inlineStr">
        <is>
          <t xml:space="preserve">    Travel &amp; Entertainment</t>
        </is>
      </c>
      <c r="B75" t="n">
        <v>5414.31</v>
      </c>
      <c r="C75" t="n">
        <v>5514.33</v>
      </c>
      <c r="D75">
        <f>B75-C75</f>
        <v/>
      </c>
      <c r="E75">
        <f>IF(C75=0,"",D75/C75)</f>
        <v/>
      </c>
      <c r="F75" t="inlineStr">
        <is>
          <t>F</t>
        </is>
      </c>
      <c r="G75" t="inlineStr">
        <is>
          <t>Travel &amp; Entertainment fell $100.02.</t>
        </is>
      </c>
      <c r="I75" t="inlineStr"/>
      <c r="J75" t="inlineStr"/>
    </row>
    <row r="76">
      <c r="A76" t="inlineStr">
        <is>
          <t xml:space="preserve">  Product</t>
        </is>
      </c>
      <c r="B76" t="n">
        <v>258364.11</v>
      </c>
      <c r="C76" t="n">
        <v>279494.32</v>
      </c>
      <c r="D76">
        <f>B76-C76</f>
        <v/>
      </c>
      <c r="E76">
        <f>IF(C76=0,"",D76/C76)</f>
        <v/>
      </c>
      <c r="F76" t="inlineStr">
        <is>
          <t>F</t>
        </is>
      </c>
      <c r="G76" t="inlineStr">
        <is>
          <t>Product fell $21,130.21 because lower Salaries and Wages · Base Salaries (-$13,083.34), lower Stock-Based Compensation (-$2,916.67) and lower Bonus · Bonuses (-$1,976.25); other items (-$3,153.95).</t>
        </is>
      </c>
      <c r="I76" t="inlineStr"/>
      <c r="J76" t="inlineStr"/>
    </row>
    <row r="77">
      <c r="A77" t="inlineStr">
        <is>
          <t xml:space="preserve">    Benefits · Employee Benefits</t>
        </is>
      </c>
      <c r="B77" t="n">
        <v>14400</v>
      </c>
      <c r="C77" t="n">
        <v>15600</v>
      </c>
      <c r="D77">
        <f>B77-C77</f>
        <v/>
      </c>
      <c r="E77">
        <f>IF(C77=0,"",D77/C77)</f>
        <v/>
      </c>
      <c r="F77" t="inlineStr">
        <is>
          <t>F</t>
        </is>
      </c>
      <c r="G77" t="inlineStr">
        <is>
          <t>Benefits · Employee Benefits fell $1,200.00.</t>
        </is>
      </c>
      <c r="I77" t="inlineStr"/>
      <c r="J77" t="inlineStr"/>
    </row>
    <row r="78">
      <c r="A78" t="inlineStr">
        <is>
          <t xml:space="preserve">    Bonus · Bonuses</t>
        </is>
      </c>
      <c r="B78" t="n">
        <v>24782.92</v>
      </c>
      <c r="C78" t="n">
        <v>26759.17</v>
      </c>
      <c r="D78">
        <f>B78-C78</f>
        <v/>
      </c>
      <c r="E78">
        <f>IF(C78=0,"",D78/C78)</f>
        <v/>
      </c>
      <c r="F78" t="inlineStr">
        <is>
          <t>F</t>
        </is>
      </c>
      <c r="G78" t="inlineStr">
        <is>
          <t>Bonus · Bonuses fell $1,976.25.</t>
        </is>
      </c>
      <c r="I78" t="inlineStr"/>
      <c r="J78" t="inlineStr"/>
    </row>
    <row r="79">
      <c r="A79" t="inlineStr">
        <is>
          <t xml:space="preserve">    Payroll Taxes</t>
        </is>
      </c>
      <c r="B79" t="n">
        <v>14822.64</v>
      </c>
      <c r="C79" t="n">
        <v>16027.4</v>
      </c>
      <c r="D79">
        <f>B79-C79</f>
        <v/>
      </c>
      <c r="E79">
        <f>IF(C79=0,"",D79/C79)</f>
        <v/>
      </c>
      <c r="F79" t="inlineStr">
        <is>
          <t>F</t>
        </is>
      </c>
      <c r="G79" t="inlineStr">
        <is>
          <t>Payroll Taxes fell $1,204.76.</t>
        </is>
      </c>
      <c r="I79" t="inlineStr"/>
      <c r="J79" t="inlineStr"/>
    </row>
    <row r="80">
      <c r="A80" t="inlineStr">
        <is>
          <t xml:space="preserve">    Retirement Match · 401(k) Employer Match</t>
        </is>
      </c>
      <c r="B80" t="n">
        <v>7261.51</v>
      </c>
      <c r="C80" t="n">
        <v>7863.9</v>
      </c>
      <c r="D80">
        <f>B80-C80</f>
        <v/>
      </c>
      <c r="E80">
        <f>IF(C80=0,"",D80/C80)</f>
        <v/>
      </c>
      <c r="F80" t="inlineStr">
        <is>
          <t>F</t>
        </is>
      </c>
      <c r="G80" t="inlineStr">
        <is>
          <t>Retirement Match · 401(k) Employer Match fell $602.39.</t>
        </is>
      </c>
      <c r="I80" t="inlineStr"/>
      <c r="J80" t="inlineStr"/>
    </row>
    <row r="81">
      <c r="A81" t="inlineStr">
        <is>
          <t xml:space="preserve">    Salaries and Wages · Base Salaries</t>
        </is>
      </c>
      <c r="B81" t="n">
        <v>160499.99</v>
      </c>
      <c r="C81" t="n">
        <v>173583.33</v>
      </c>
      <c r="D81">
        <f>B81-C81</f>
        <v/>
      </c>
      <c r="E81">
        <f>IF(C81=0,"",D81/C81)</f>
        <v/>
      </c>
      <c r="F81" t="inlineStr">
        <is>
          <t>F</t>
        </is>
      </c>
      <c r="G81" t="inlineStr">
        <is>
          <t>Salaries and Wages · Base Salaries fell $13,083.34.</t>
        </is>
      </c>
      <c r="I81" t="inlineStr"/>
      <c r="J81" t="inlineStr"/>
    </row>
    <row r="82">
      <c r="A82" t="inlineStr">
        <is>
          <t xml:space="preserve">    Software · Software Tools</t>
        </is>
      </c>
      <c r="B82" t="n">
        <v>793.76</v>
      </c>
      <c r="C82" t="n">
        <v>843.37</v>
      </c>
      <c r="D82">
        <f>B82-C82</f>
        <v/>
      </c>
      <c r="E82">
        <f>IF(C82=0,"",D82/C82)</f>
        <v/>
      </c>
      <c r="F82" t="inlineStr">
        <is>
          <t>F</t>
        </is>
      </c>
      <c r="G82" t="inlineStr">
        <is>
          <t>Software · Software Tools fell $49.61.</t>
        </is>
      </c>
      <c r="I82" t="inlineStr"/>
      <c r="J82" t="inlineStr"/>
    </row>
    <row r="83">
      <c r="A83" t="inlineStr">
        <is>
          <t xml:space="preserve">    Stock-Based Compensation</t>
        </is>
      </c>
      <c r="B83" t="n">
        <v>34500</v>
      </c>
      <c r="C83" t="n">
        <v>37416.67</v>
      </c>
      <c r="D83">
        <f>B83-C83</f>
        <v/>
      </c>
      <c r="E83">
        <f>IF(C83=0,"",D83/C83)</f>
        <v/>
      </c>
      <c r="F83" t="inlineStr">
        <is>
          <t>F</t>
        </is>
      </c>
      <c r="G83" t="inlineStr">
        <is>
          <t>Stock-Based Compensation fell $2,916.67.</t>
        </is>
      </c>
      <c r="I83" t="inlineStr"/>
      <c r="J83" t="inlineStr"/>
    </row>
    <row r="84">
      <c r="A84" t="inlineStr">
        <is>
          <t xml:space="preserve">    Travel &amp; Entertainment</t>
        </is>
      </c>
      <c r="B84" t="n">
        <v>1303.29</v>
      </c>
      <c r="C84" t="n">
        <v>1400.48</v>
      </c>
      <c r="D84">
        <f>B84-C84</f>
        <v/>
      </c>
      <c r="E84">
        <f>IF(C84=0,"",D84/C84)</f>
        <v/>
      </c>
      <c r="F84" t="inlineStr">
        <is>
          <t>F</t>
        </is>
      </c>
      <c r="G84" t="inlineStr">
        <is>
          <t>Travel &amp; Entertainment fell $97.19.</t>
        </is>
      </c>
      <c r="I84" t="inlineStr"/>
      <c r="J84" t="inlineStr"/>
    </row>
    <row r="85">
      <c r="A85" t="inlineStr">
        <is>
          <t xml:space="preserve">  Finance</t>
        </is>
      </c>
      <c r="B85" t="n">
        <v>220373.97</v>
      </c>
      <c r="C85" t="n">
        <v>226588.34</v>
      </c>
      <c r="D85">
        <f>B85-C85</f>
        <v/>
      </c>
      <c r="E85">
        <f>IF(C85=0,"",D85/C85)</f>
        <v/>
      </c>
      <c r="F85" t="inlineStr">
        <is>
          <t>F</t>
        </is>
      </c>
      <c r="G85" t="inlineStr">
        <is>
          <t>Finance fell $6,214.37 because lower Salaries and Wages · Base Salaries (-$5,125.00), lower Retirement Match · 401(k) Employer Match (-$700.47), lower Bonus · Bonuses (-$622.50) and higher Bad Debt · Bad Debt Expense ($1,220.79); other items (-$987.19).</t>
        </is>
      </c>
      <c r="I85" t="inlineStr"/>
      <c r="J85" t="inlineStr"/>
    </row>
    <row r="86">
      <c r="A86" t="inlineStr">
        <is>
          <t xml:space="preserve">    Bad Debt · Bad Debt Expense</t>
        </is>
      </c>
      <c r="B86" t="n">
        <v>-2338.99</v>
      </c>
      <c r="C86" t="n">
        <v>-3559.78</v>
      </c>
      <c r="D86">
        <f>B86-C86</f>
        <v/>
      </c>
      <c r="E86">
        <f>IF(C86=0,"",D86/C86)</f>
        <v/>
      </c>
      <c r="F86" t="inlineStr">
        <is>
          <t>U</t>
        </is>
      </c>
      <c r="G86" t="inlineStr">
        <is>
          <t>Bad Debt · Bad Debt Expense rose $1,220.79.</t>
        </is>
      </c>
      <c r="I86" t="inlineStr"/>
      <c r="J86" t="inlineStr"/>
    </row>
    <row r="87">
      <c r="A87" t="inlineStr">
        <is>
          <t xml:space="preserve">    Benefits · Employee Benefits</t>
        </is>
      </c>
      <c r="B87" t="n">
        <v>14400</v>
      </c>
      <c r="C87" t="n">
        <v>14400</v>
      </c>
      <c r="D87">
        <f>B87-C87</f>
        <v/>
      </c>
      <c r="E87">
        <f>IF(C87=0,"",D87/C87)</f>
        <v/>
      </c>
      <c r="F87" t="inlineStr">
        <is>
          <t>F</t>
        </is>
      </c>
      <c r="G87" t="inlineStr">
        <is>
          <t>Benefits · Employee Benefits was unchanged.</t>
        </is>
      </c>
      <c r="I87" t="inlineStr"/>
      <c r="J87" t="inlineStr"/>
    </row>
    <row r="88">
      <c r="A88" t="inlineStr">
        <is>
          <t xml:space="preserve">    Bonus · Bonuses</t>
        </is>
      </c>
      <c r="B88" t="n">
        <v>22135.83</v>
      </c>
      <c r="C88" t="n">
        <v>22758.33</v>
      </c>
      <c r="D88">
        <f>B88-C88</f>
        <v/>
      </c>
      <c r="E88">
        <f>IF(C88=0,"",D88/C88)</f>
        <v/>
      </c>
      <c r="F88" t="inlineStr">
        <is>
          <t>F</t>
        </is>
      </c>
      <c r="G88" t="inlineStr">
        <is>
          <t>Bonus · Bonuses fell $622.50.</t>
        </is>
      </c>
      <c r="I88" t="inlineStr"/>
      <c r="J88" t="inlineStr"/>
    </row>
    <row r="89">
      <c r="A89" t="inlineStr">
        <is>
          <t xml:space="preserve">    Payroll Taxes</t>
        </is>
      </c>
      <c r="B89" t="n">
        <v>12300.86</v>
      </c>
      <c r="C89" t="n">
        <v>12760.66</v>
      </c>
      <c r="D89">
        <f>B89-C89</f>
        <v/>
      </c>
      <c r="E89">
        <f>IF(C89=0,"",D89/C89)</f>
        <v/>
      </c>
      <c r="F89" t="inlineStr">
        <is>
          <t>F</t>
        </is>
      </c>
      <c r="G89" t="inlineStr">
        <is>
          <t>Payroll Taxes fell $459.80.</t>
        </is>
      </c>
      <c r="I89" t="inlineStr"/>
      <c r="J89" t="inlineStr"/>
    </row>
    <row r="90">
      <c r="A90" t="inlineStr">
        <is>
          <t xml:space="preserve">    Retirement Match · 401(k) Employer Match</t>
        </is>
      </c>
      <c r="B90" t="n">
        <v>5438.74</v>
      </c>
      <c r="C90" t="n">
        <v>6139.21</v>
      </c>
      <c r="D90">
        <f>B90-C90</f>
        <v/>
      </c>
      <c r="E90">
        <f>IF(C90=0,"",D90/C90)</f>
        <v/>
      </c>
      <c r="F90" t="inlineStr">
        <is>
          <t>F</t>
        </is>
      </c>
      <c r="G90" t="inlineStr">
        <is>
          <t>Retirement Match · 401(k) Employer Match fell $700.47.</t>
        </is>
      </c>
      <c r="I90" t="inlineStr"/>
      <c r="J90" t="inlineStr"/>
    </row>
    <row r="91">
      <c r="A91" t="inlineStr">
        <is>
          <t xml:space="preserve">    Salaries and Wages · Base Salaries</t>
        </is>
      </c>
      <c r="B91" t="n">
        <v>131625.02</v>
      </c>
      <c r="C91" t="n">
        <v>136750.02</v>
      </c>
      <c r="D91">
        <f>B91-C91</f>
        <v/>
      </c>
      <c r="E91">
        <f>IF(C91=0,"",D91/C91)</f>
        <v/>
      </c>
      <c r="F91" t="inlineStr">
        <is>
          <t>F</t>
        </is>
      </c>
      <c r="G91" t="inlineStr">
        <is>
          <t>Salaries and Wages · Base Salaries fell $5,125.00.</t>
        </is>
      </c>
      <c r="I91" t="inlineStr"/>
      <c r="J91" t="inlineStr"/>
    </row>
    <row r="92">
      <c r="A92" t="inlineStr">
        <is>
          <t xml:space="preserve">    Software · Software Tools</t>
        </is>
      </c>
      <c r="B92" t="n">
        <v>14916.67</v>
      </c>
      <c r="C92" t="n">
        <v>14916.67</v>
      </c>
      <c r="D92">
        <f>B92-C92</f>
        <v/>
      </c>
      <c r="E92">
        <f>IF(C92=0,"",D92/C92)</f>
        <v/>
      </c>
      <c r="F92" t="inlineStr">
        <is>
          <t>F</t>
        </is>
      </c>
      <c r="G92" t="inlineStr">
        <is>
          <t>Software · Software Tools was unchanged.</t>
        </is>
      </c>
      <c r="I92" t="inlineStr"/>
      <c r="J92" t="inlineStr"/>
    </row>
    <row r="93">
      <c r="A93" t="inlineStr">
        <is>
          <t xml:space="preserve">    Stock-Based Compensation</t>
        </is>
      </c>
      <c r="B93" t="n">
        <v>20583.34</v>
      </c>
      <c r="C93" t="n">
        <v>21000.01</v>
      </c>
      <c r="D93">
        <f>B93-C93</f>
        <v/>
      </c>
      <c r="E93">
        <f>IF(C93=0,"",D93/C93)</f>
        <v/>
      </c>
      <c r="F93" t="inlineStr">
        <is>
          <t>F</t>
        </is>
      </c>
      <c r="G93" t="inlineStr">
        <is>
          <t>Stock-Based Compensation fell $416.67.</t>
        </is>
      </c>
      <c r="I93" t="inlineStr"/>
      <c r="J93" t="inlineStr"/>
    </row>
    <row r="94">
      <c r="A94" t="inlineStr">
        <is>
          <t xml:space="preserve">    Travel &amp; Entertainment</t>
        </is>
      </c>
      <c r="B94" t="n">
        <v>1312.5</v>
      </c>
      <c r="C94" t="n">
        <v>1423.22</v>
      </c>
      <c r="D94">
        <f>B94-C94</f>
        <v/>
      </c>
      <c r="E94">
        <f>IF(C94=0,"",D94/C94)</f>
        <v/>
      </c>
      <c r="F94" t="inlineStr">
        <is>
          <t>F</t>
        </is>
      </c>
      <c r="G94" t="inlineStr">
        <is>
          <t>Travel &amp; Entertainment fell $110.72.</t>
        </is>
      </c>
      <c r="I94" t="inlineStr"/>
      <c r="J94" t="inlineStr"/>
    </row>
    <row r="95">
      <c r="A95" t="inlineStr">
        <is>
          <t xml:space="preserve">  G&amp;A</t>
        </is>
      </c>
      <c r="B95" t="n">
        <v>627207.17</v>
      </c>
      <c r="C95" t="n">
        <v>636525.6</v>
      </c>
      <c r="D95">
        <f>B95-C95</f>
        <v/>
      </c>
      <c r="E95">
        <f>IF(C95=0,"",D95/C95)</f>
        <v/>
      </c>
      <c r="F95" t="inlineStr">
        <is>
          <t>F</t>
        </is>
      </c>
      <c r="G95" t="inlineStr">
        <is>
          <t>G&amp;A fell $9,318.43 because lower Software (-$8,313.63), lower Rent &amp; Facilities (-$440.00) and lower Salaries and Wages · Base Salaries (-$291.66); other items (-$273.14).</t>
        </is>
      </c>
      <c r="I95" t="inlineStr"/>
      <c r="J95" t="inlineStr"/>
    </row>
    <row r="96">
      <c r="A96" t="inlineStr">
        <is>
          <t xml:space="preserve">    Benefits · Employee Benefits</t>
        </is>
      </c>
      <c r="B96" t="n">
        <v>25200</v>
      </c>
      <c r="C96" t="n">
        <v>25200</v>
      </c>
      <c r="D96">
        <f>B96-C96</f>
        <v/>
      </c>
      <c r="E96">
        <f>IF(C96=0,"",D96/C96)</f>
        <v/>
      </c>
      <c r="F96" t="inlineStr">
        <is>
          <t>F</t>
        </is>
      </c>
      <c r="G96" t="inlineStr">
        <is>
          <t>Benefits · Employee Benefits was unchanged.</t>
        </is>
      </c>
      <c r="I96" t="inlineStr"/>
      <c r="J96" t="inlineStr"/>
    </row>
    <row r="97">
      <c r="A97" t="inlineStr">
        <is>
          <t xml:space="preserve">    Bonus · Bonuses</t>
        </is>
      </c>
      <c r="B97" t="n">
        <v>44180.42</v>
      </c>
      <c r="C97" t="n">
        <v>44216.26</v>
      </c>
      <c r="D97">
        <f>B97-C97</f>
        <v/>
      </c>
      <c r="E97">
        <f>IF(C97=0,"",D97/C97)</f>
        <v/>
      </c>
      <c r="F97" t="inlineStr">
        <is>
          <t>F</t>
        </is>
      </c>
      <c r="G97" t="inlineStr">
        <is>
          <t>Bonus · Bonuses fell $35.84.</t>
        </is>
      </c>
      <c r="I97" t="inlineStr"/>
      <c r="J97" t="inlineStr"/>
    </row>
    <row r="98">
      <c r="A98" t="inlineStr">
        <is>
          <t xml:space="preserve">    Insurance</t>
        </is>
      </c>
      <c r="B98" t="n">
        <v>33916.7</v>
      </c>
      <c r="C98" t="n">
        <v>33916.7</v>
      </c>
      <c r="D98">
        <f>B98-C98</f>
        <v/>
      </c>
      <c r="E98">
        <f>IF(C98=0,"",D98/C98)</f>
        <v/>
      </c>
      <c r="F98" t="inlineStr">
        <is>
          <t>F</t>
        </is>
      </c>
      <c r="G98" t="inlineStr">
        <is>
          <t>Insurance was unchanged.</t>
        </is>
      </c>
      <c r="I98" t="inlineStr"/>
      <c r="J98" t="inlineStr"/>
    </row>
    <row r="99">
      <c r="A99" t="inlineStr">
        <is>
          <t xml:space="preserve">    Other G&amp;A</t>
        </is>
      </c>
      <c r="B99" t="n">
        <v>4884</v>
      </c>
      <c r="C99" t="n">
        <v>5082</v>
      </c>
      <c r="D99">
        <f>B99-C99</f>
        <v/>
      </c>
      <c r="E99">
        <f>IF(C99=0,"",D99/C99)</f>
        <v/>
      </c>
      <c r="F99" t="inlineStr">
        <is>
          <t>F</t>
        </is>
      </c>
      <c r="G99" t="inlineStr">
        <is>
          <t>Other G&amp;A fell $198.00.</t>
        </is>
      </c>
      <c r="I99" t="inlineStr"/>
      <c r="J99" t="inlineStr"/>
    </row>
    <row r="100">
      <c r="A100" t="inlineStr">
        <is>
          <t xml:space="preserve">    Payroll Taxes</t>
        </is>
      </c>
      <c r="B100" t="n">
        <v>22287.78</v>
      </c>
      <c r="C100" t="n">
        <v>22313.98</v>
      </c>
      <c r="D100">
        <f>B100-C100</f>
        <v/>
      </c>
      <c r="E100">
        <f>IF(C100=0,"",D100/C100)</f>
        <v/>
      </c>
      <c r="F100" t="inlineStr">
        <is>
          <t>F</t>
        </is>
      </c>
      <c r="G100" t="inlineStr">
        <is>
          <t>Payroll Taxes fell $26.20.</t>
        </is>
      </c>
      <c r="I100" t="inlineStr"/>
      <c r="J100" t="inlineStr"/>
    </row>
    <row r="101">
      <c r="A101" t="inlineStr">
        <is>
          <t xml:space="preserve">    Professional Services</t>
        </is>
      </c>
      <c r="B101" t="n">
        <v>37996.8</v>
      </c>
      <c r="C101" t="n">
        <v>37996.8</v>
      </c>
      <c r="D101">
        <f>B101-C101</f>
        <v/>
      </c>
      <c r="E101">
        <f>IF(C101=0,"",D101/C101)</f>
        <v/>
      </c>
      <c r="F101" t="inlineStr">
        <is>
          <t>F</t>
        </is>
      </c>
      <c r="G101" t="inlineStr">
        <is>
          <t>Professional Services was unchanged.</t>
        </is>
      </c>
      <c r="I101" t="inlineStr"/>
      <c r="J101" t="inlineStr"/>
    </row>
    <row r="102">
      <c r="A102" t="inlineStr">
        <is>
          <t xml:space="preserve">    Recruiting</t>
        </is>
      </c>
      <c r="B102" t="n">
        <v>8666.67</v>
      </c>
      <c r="C102" t="n">
        <v>8666.67</v>
      </c>
      <c r="D102">
        <f>B102-C102</f>
        <v/>
      </c>
      <c r="E102">
        <f>IF(C102=0,"",D102/C102)</f>
        <v/>
      </c>
      <c r="F102" t="inlineStr">
        <is>
          <t>F</t>
        </is>
      </c>
      <c r="G102" t="inlineStr">
        <is>
          <t>Recruiting was unchanged.</t>
        </is>
      </c>
      <c r="I102" t="inlineStr"/>
      <c r="J102" t="inlineStr"/>
    </row>
    <row r="103">
      <c r="A103" t="inlineStr">
        <is>
          <t xml:space="preserve">    Rent &amp; Facilities</t>
        </is>
      </c>
      <c r="B103" t="n">
        <v>101720.76</v>
      </c>
      <c r="C103" t="n">
        <v>102160.76</v>
      </c>
      <c r="D103">
        <f>B103-C103</f>
        <v/>
      </c>
      <c r="E103">
        <f>IF(C103=0,"",D103/C103)</f>
        <v/>
      </c>
      <c r="F103" t="inlineStr">
        <is>
          <t>F</t>
        </is>
      </c>
      <c r="G103" t="inlineStr">
        <is>
          <t>Rent &amp; Facilities fell $440.00.</t>
        </is>
      </c>
      <c r="I103" t="inlineStr"/>
      <c r="J103" t="inlineStr"/>
    </row>
    <row r="104">
      <c r="A104" t="inlineStr">
        <is>
          <t xml:space="preserve">    Retirement Match · 401(k) Employer Match</t>
        </is>
      </c>
      <c r="B104" t="n">
        <v>9188.27</v>
      </c>
      <c r="C104" t="n">
        <v>9201.370000000001</v>
      </c>
      <c r="D104">
        <f>B104-C104</f>
        <v/>
      </c>
      <c r="E104">
        <f>IF(C104=0,"",D104/C104)</f>
        <v/>
      </c>
      <c r="F104" t="inlineStr">
        <is>
          <t>F</t>
        </is>
      </c>
      <c r="G104" t="inlineStr">
        <is>
          <t>Retirement Match · 401(k) Employer Match fell $13.10.</t>
        </is>
      </c>
      <c r="I104" t="inlineStr"/>
      <c r="J104" t="inlineStr"/>
    </row>
    <row r="105">
      <c r="A105" t="inlineStr">
        <is>
          <t xml:space="preserve">    Salaries and Wages · Base Salaries</t>
        </is>
      </c>
      <c r="B105" t="n">
        <v>234416.67</v>
      </c>
      <c r="C105" t="n">
        <v>234708.33</v>
      </c>
      <c r="D105">
        <f>B105-C105</f>
        <v/>
      </c>
      <c r="E105">
        <f>IF(C105=0,"",D105/C105)</f>
        <v/>
      </c>
      <c r="F105" t="inlineStr">
        <is>
          <t>F</t>
        </is>
      </c>
      <c r="G105" t="inlineStr">
        <is>
          <t>Salaries and Wages · Base Salaries fell $291.66.</t>
        </is>
      </c>
      <c r="I105" t="inlineStr"/>
      <c r="J105" t="inlineStr"/>
    </row>
    <row r="106">
      <c r="A106" t="inlineStr">
        <is>
          <t xml:space="preserve">    Software</t>
        </is>
      </c>
      <c r="B106" t="n">
        <v>50158.03</v>
      </c>
      <c r="C106" t="n">
        <v>58471.66</v>
      </c>
      <c r="D106">
        <f>B106-C106</f>
        <v/>
      </c>
      <c r="E106">
        <f>IF(C106=0,"",D106/C106)</f>
        <v/>
      </c>
      <c r="F106" t="inlineStr">
        <is>
          <t>F</t>
        </is>
      </c>
      <c r="G106" t="inlineStr">
        <is>
          <t>Software fell $8,313.63 because lower Computer Equipment and Supplies (-$7,475.00) and lower Software Tools (-$838.63).</t>
        </is>
      </c>
      <c r="I106" t="inlineStr"/>
      <c r="J106" t="inlineStr"/>
    </row>
    <row r="107">
      <c r="A107" t="inlineStr">
        <is>
          <t xml:space="preserve">      Computer Equipment and Supplies</t>
        </is>
      </c>
      <c r="B107" t="n">
        <v>21083.33</v>
      </c>
      <c r="C107" t="n">
        <v>28558.33</v>
      </c>
      <c r="D107">
        <f>B107-C107</f>
        <v/>
      </c>
      <c r="E107">
        <f>IF(C107=0,"",D107/C107)</f>
        <v/>
      </c>
      <c r="F107" t="inlineStr">
        <is>
          <t>F</t>
        </is>
      </c>
      <c r="G107" t="inlineStr">
        <is>
          <t>Computer Equipment and Supplies fell $7,475.00.</t>
        </is>
      </c>
      <c r="I107" t="inlineStr"/>
      <c r="J107" t="inlineStr"/>
    </row>
    <row r="108">
      <c r="A108" t="inlineStr">
        <is>
          <t xml:space="preserve">      Software Tools</t>
        </is>
      </c>
      <c r="B108" t="n">
        <v>29074.7</v>
      </c>
      <c r="C108" t="n">
        <v>29913.33</v>
      </c>
      <c r="D108">
        <f>B108-C108</f>
        <v/>
      </c>
      <c r="E108">
        <f>IF(C108=0,"",D108/C108)</f>
        <v/>
      </c>
      <c r="F108" t="inlineStr">
        <is>
          <t>F</t>
        </is>
      </c>
      <c r="G108" t="inlineStr">
        <is>
          <t>Software Tools fell $838.63.</t>
        </is>
      </c>
      <c r="I108" t="inlineStr"/>
      <c r="J108" t="inlineStr"/>
    </row>
    <row r="109">
      <c r="A109" t="inlineStr">
        <is>
          <t xml:space="preserve">    Stock-Based Compensation</t>
        </is>
      </c>
      <c r="B109" t="n">
        <v>47916.66</v>
      </c>
      <c r="C109" t="n">
        <v>47916.66</v>
      </c>
      <c r="D109">
        <f>B109-C109</f>
        <v/>
      </c>
      <c r="E109">
        <f>IF(C109=0,"",D109/C109)</f>
        <v/>
      </c>
      <c r="F109" t="inlineStr">
        <is>
          <t>F</t>
        </is>
      </c>
      <c r="G109" t="inlineStr">
        <is>
          <t>Stock-Based Compensation was unchanged.</t>
        </is>
      </c>
      <c r="I109" t="inlineStr"/>
      <c r="J109" t="inlineStr"/>
    </row>
    <row r="110">
      <c r="A110" t="inlineStr">
        <is>
          <t xml:space="preserve">    Travel &amp; Entertainment</t>
        </is>
      </c>
      <c r="B110" t="n">
        <v>6674.41</v>
      </c>
      <c r="C110" t="n">
        <v>6674.41</v>
      </c>
      <c r="D110">
        <f>B110-C110</f>
        <v/>
      </c>
      <c r="E110">
        <f>IF(C110=0,"",D110/C110)</f>
        <v/>
      </c>
      <c r="F110" t="inlineStr">
        <is>
          <t>F</t>
        </is>
      </c>
      <c r="G110" t="inlineStr">
        <is>
          <t>Travel &amp; Entertainment was unchanged.</t>
        </is>
      </c>
      <c r="I110" t="inlineStr"/>
      <c r="J110" t="inlineStr"/>
    </row>
    <row r="111">
      <c r="A111" t="inlineStr">
        <is>
          <t xml:space="preserve">  Support</t>
        </is>
      </c>
      <c r="B111" t="n">
        <v>87592.57000000001</v>
      </c>
      <c r="C111" t="n">
        <v>102642.39</v>
      </c>
      <c r="D111">
        <f>B111-C111</f>
        <v/>
      </c>
      <c r="E111">
        <f>IF(C111=0,"",D111/C111)</f>
        <v/>
      </c>
      <c r="F111" t="inlineStr">
        <is>
          <t>F</t>
        </is>
      </c>
      <c r="G111" t="inlineStr">
        <is>
          <t>Support fell $15,049.82 because lower Salaries and Wages · Base Salaries (-$10,166.67), lower Bonus · Bonuses (-$1,220.00) and lower Benefits · Employee Benefits (-$1,200.00); other items (-$2,463.15).</t>
        </is>
      </c>
      <c r="I111" t="inlineStr"/>
      <c r="J111" t="inlineStr"/>
    </row>
    <row r="112">
      <c r="A112" t="inlineStr">
        <is>
          <t xml:space="preserve">    Benefits · Employee Benefits</t>
        </is>
      </c>
      <c r="B112" t="n">
        <v>7200</v>
      </c>
      <c r="C112" t="n">
        <v>8400</v>
      </c>
      <c r="D112">
        <f>B112-C112</f>
        <v/>
      </c>
      <c r="E112">
        <f>IF(C112=0,"",D112/C112)</f>
        <v/>
      </c>
      <c r="F112" t="inlineStr">
        <is>
          <t>F</t>
        </is>
      </c>
      <c r="G112" t="inlineStr">
        <is>
          <t>Benefits · Employee Benefits fell $1,200.00.</t>
        </is>
      </c>
      <c r="I112" t="inlineStr"/>
      <c r="J112" t="inlineStr"/>
    </row>
    <row r="113">
      <c r="A113" t="inlineStr">
        <is>
          <t xml:space="preserve">    Bonus · Bonuses</t>
        </is>
      </c>
      <c r="B113" t="n">
        <v>6519.17</v>
      </c>
      <c r="C113" t="n">
        <v>7739.17</v>
      </c>
      <c r="D113">
        <f>B113-C113</f>
        <v/>
      </c>
      <c r="E113">
        <f>IF(C113=0,"",D113/C113)</f>
        <v/>
      </c>
      <c r="F113" t="inlineStr">
        <is>
          <t>F</t>
        </is>
      </c>
      <c r="G113" t="inlineStr">
        <is>
          <t>Bonus · Bonuses fell $1,220.00.</t>
        </is>
      </c>
      <c r="I113" t="inlineStr"/>
      <c r="J113" t="inlineStr"/>
    </row>
    <row r="114">
      <c r="A114" t="inlineStr">
        <is>
          <t xml:space="preserve">    Payroll Taxes</t>
        </is>
      </c>
      <c r="B114" t="n">
        <v>5008.2</v>
      </c>
      <c r="C114" t="n">
        <v>5919.13</v>
      </c>
      <c r="D114">
        <f>B114-C114</f>
        <v/>
      </c>
      <c r="E114">
        <f>IF(C114=0,"",D114/C114)</f>
        <v/>
      </c>
      <c r="F114" t="inlineStr">
        <is>
          <t>F</t>
        </is>
      </c>
      <c r="G114" t="inlineStr">
        <is>
          <t>Payroll Taxes fell $910.93.</t>
        </is>
      </c>
      <c r="I114" t="inlineStr"/>
      <c r="J114" t="inlineStr"/>
    </row>
    <row r="115">
      <c r="A115" t="inlineStr">
        <is>
          <t xml:space="preserve">    Retirement Match · 401(k) Employer Match</t>
        </is>
      </c>
      <c r="B115" t="n">
        <v>2414.1</v>
      </c>
      <c r="C115" t="n">
        <v>2869.57</v>
      </c>
      <c r="D115">
        <f>B115-C115</f>
        <v/>
      </c>
      <c r="E115">
        <f>IF(C115=0,"",D115/C115)</f>
        <v/>
      </c>
      <c r="F115" t="inlineStr">
        <is>
          <t>F</t>
        </is>
      </c>
      <c r="G115" t="inlineStr">
        <is>
          <t>Retirement Match · 401(k) Employer Match fell $455.47.</t>
        </is>
      </c>
      <c r="I115" t="inlineStr"/>
      <c r="J115" t="inlineStr"/>
    </row>
    <row r="116">
      <c r="A116" t="inlineStr">
        <is>
          <t xml:space="preserve">    Salaries and Wages · Base Salaries</t>
        </is>
      </c>
      <c r="B116" t="n">
        <v>56083.33</v>
      </c>
      <c r="C116" t="n">
        <v>66250</v>
      </c>
      <c r="D116">
        <f>B116-C116</f>
        <v/>
      </c>
      <c r="E116">
        <f>IF(C116=0,"",D116/C116)</f>
        <v/>
      </c>
      <c r="F116" t="inlineStr">
        <is>
          <t>F</t>
        </is>
      </c>
      <c r="G116" t="inlineStr">
        <is>
          <t>Salaries and Wages · Base Salaries fell $10,166.67.</t>
        </is>
      </c>
      <c r="I116" t="inlineStr"/>
      <c r="J116" t="inlineStr"/>
    </row>
    <row r="117">
      <c r="A117" t="inlineStr">
        <is>
          <t xml:space="preserve">    Software · Software Tools</t>
        </is>
      </c>
      <c r="B117" t="n">
        <v>2415</v>
      </c>
      <c r="C117" t="n">
        <v>2415</v>
      </c>
      <c r="D117">
        <f>B117-C117</f>
        <v/>
      </c>
      <c r="E117">
        <f>IF(C117=0,"",D117/C117)</f>
        <v/>
      </c>
      <c r="F117" t="inlineStr">
        <is>
          <t>F</t>
        </is>
      </c>
      <c r="G117" t="inlineStr">
        <is>
          <t>Software · Software Tools was unchanged.</t>
        </is>
      </c>
      <c r="I117" t="inlineStr"/>
      <c r="J117" t="inlineStr"/>
    </row>
    <row r="118">
      <c r="A118" t="inlineStr">
        <is>
          <t xml:space="preserve">    Stock-Based Compensation</t>
        </is>
      </c>
      <c r="B118" t="n">
        <v>5583.33</v>
      </c>
      <c r="C118" t="n">
        <v>6583.33</v>
      </c>
      <c r="D118">
        <f>B118-C118</f>
        <v/>
      </c>
      <c r="E118">
        <f>IF(C118=0,"",D118/C118)</f>
        <v/>
      </c>
      <c r="F118" t="inlineStr">
        <is>
          <t>F</t>
        </is>
      </c>
      <c r="G118" t="inlineStr">
        <is>
          <t>Stock-Based Compensation fell $1,000.00.</t>
        </is>
      </c>
      <c r="I118" t="inlineStr"/>
      <c r="J118" t="inlineStr"/>
    </row>
    <row r="119">
      <c r="A119" t="inlineStr">
        <is>
          <t xml:space="preserve">    Travel &amp; Entertainment</t>
        </is>
      </c>
      <c r="B119" t="n">
        <v>2369.44</v>
      </c>
      <c r="C119" t="n">
        <v>2466.19</v>
      </c>
      <c r="D119">
        <f>B119-C119</f>
        <v/>
      </c>
      <c r="E119">
        <f>IF(C119=0,"",D119/C119)</f>
        <v/>
      </c>
      <c r="F119" t="inlineStr">
        <is>
          <t>F</t>
        </is>
      </c>
      <c r="G119" t="inlineStr">
        <is>
          <t>Travel &amp; Entertainment fell $96.75.</t>
        </is>
      </c>
      <c r="I119" t="inlineStr"/>
      <c r="J119" t="inlineStr"/>
    </row>
    <row r="120">
      <c r="A120" t="inlineStr">
        <is>
          <t xml:space="preserve">  G&amp;A · Depreciation and Amortization</t>
        </is>
      </c>
      <c r="B120" t="n">
        <v>94535.94</v>
      </c>
      <c r="C120" t="n">
        <v>98494.23</v>
      </c>
      <c r="D120">
        <f>B120-C120</f>
        <v/>
      </c>
      <c r="E120">
        <f>IF(C120=0,"",D120/C120)</f>
        <v/>
      </c>
      <c r="F120" t="inlineStr">
        <is>
          <t>F</t>
        </is>
      </c>
      <c r="G120" t="inlineStr">
        <is>
          <t>G&amp;A · Depreciation and Amortization fell $3,958.29.</t>
        </is>
      </c>
      <c r="I120" t="inlineStr"/>
      <c r="J120" t="inlineStr"/>
    </row>
    <row r="121">
      <c r="A121" t="inlineStr">
        <is>
          <t xml:space="preserve">  Finance · Interest Expense</t>
        </is>
      </c>
      <c r="B121" t="n">
        <v>40000</v>
      </c>
      <c r="C121" t="n">
        <v>40000</v>
      </c>
      <c r="D121">
        <f>B121-C121</f>
        <v/>
      </c>
      <c r="E121">
        <f>IF(C121=0,"",D121/C121)</f>
        <v/>
      </c>
      <c r="F121" t="inlineStr">
        <is>
          <t>F</t>
        </is>
      </c>
      <c r="G121" t="inlineStr">
        <is>
          <t>Finance · Interest Expense was unchanged.</t>
        </is>
      </c>
      <c r="I121" t="inlineStr"/>
      <c r="J121" t="inlineStr"/>
    </row>
    <row r="122">
      <c r="A122" t="inlineStr">
        <is>
          <t xml:space="preserve">  Finance · Tax Expense</t>
        </is>
      </c>
      <c r="B122" t="n">
        <v>212481.57</v>
      </c>
      <c r="C122" t="n">
        <v>2006.6</v>
      </c>
      <c r="D122">
        <f>B122-C122</f>
        <v/>
      </c>
      <c r="E122">
        <f>IF(C122=0,"",D122/C122)</f>
        <v/>
      </c>
      <c r="F122" t="inlineStr">
        <is>
          <t>U</t>
        </is>
      </c>
      <c r="G122" t="inlineStr">
        <is>
          <t>Finance · Tax Expense rose $210,474.97.</t>
        </is>
      </c>
      <c r="I122" t="inlineStr"/>
      <c r="J122" t="inlineStr"/>
    </row>
    <row r="123">
      <c r="A123" t="inlineStr">
        <is>
          <t>Balance sheet</t>
        </is>
      </c>
      <c r="F123" t="inlineStr"/>
      <c r="G123" t="inlineStr">
        <is>
          <t>Cash rose $3,850,394.60. Total assets rose $2,544,885.40. Total liabilities fell $1,197,115.44.</t>
        </is>
      </c>
      <c r="I123" t="inlineStr"/>
      <c r="J123" t="inlineStr">
        <is>
          <t>Yes</t>
        </is>
      </c>
    </row>
    <row r="124">
      <c r="A124" t="inlineStr">
        <is>
          <t>Cash</t>
        </is>
      </c>
      <c r="B124" t="n">
        <v>30000000</v>
      </c>
      <c r="C124" t="n">
        <v>26149605.4</v>
      </c>
      <c r="D124">
        <f>B124-C124</f>
        <v/>
      </c>
      <c r="E124">
        <f>IF(C124=0,"",D124/C124)</f>
        <v/>
      </c>
      <c r="F124" t="inlineStr">
        <is>
          <t>F</t>
        </is>
      </c>
      <c r="G124" t="inlineStr">
        <is>
          <t>Cash rose $3,850,394.60.</t>
        </is>
      </c>
      <c r="I124" t="inlineStr"/>
      <c r="J124" t="inlineStr"/>
    </row>
    <row r="125">
      <c r="A125" t="inlineStr">
        <is>
          <t>Accounts receivable</t>
        </is>
      </c>
      <c r="B125" t="n">
        <v>5441240.81</v>
      </c>
      <c r="C125" t="n">
        <v>6058637.3</v>
      </c>
      <c r="D125">
        <f>B125-C125</f>
        <v/>
      </c>
      <c r="E125">
        <f>IF(C125=0,"",D125/C125)</f>
        <v/>
      </c>
      <c r="F125" t="inlineStr">
        <is>
          <t>U</t>
        </is>
      </c>
      <c r="G125" t="inlineStr">
        <is>
          <t>Accounts receivable fell $617,396.49.</t>
        </is>
      </c>
      <c r="I125" t="inlineStr"/>
      <c r="J125" t="inlineStr"/>
    </row>
    <row r="126">
      <c r="A126" t="inlineStr">
        <is>
          <t>Deferred revenue</t>
        </is>
      </c>
      <c r="B126" t="n">
        <v>4700868.96</v>
      </c>
      <c r="C126" t="n">
        <v>6410501.16</v>
      </c>
      <c r="D126">
        <f>B126-C126</f>
        <v/>
      </c>
      <c r="E126">
        <f>IF(C126=0,"",D126/C126)</f>
        <v/>
      </c>
      <c r="F126" t="inlineStr">
        <is>
          <t>U</t>
        </is>
      </c>
      <c r="G126" t="inlineStr">
        <is>
          <t>Deferred revenue fell $1,709,632.20.</t>
        </is>
      </c>
      <c r="I126" t="inlineStr"/>
      <c r="J126" t="inlineStr"/>
    </row>
    <row r="127">
      <c r="A127" t="inlineStr">
        <is>
          <t>Debt</t>
        </is>
      </c>
      <c r="B127" t="n">
        <v>5000000</v>
      </c>
      <c r="C127" t="n">
        <v>5000000</v>
      </c>
      <c r="D127">
        <f>B127-C127</f>
        <v/>
      </c>
      <c r="E127">
        <f>IF(C127=0,"",D127/C127)</f>
        <v/>
      </c>
      <c r="F127" t="inlineStr">
        <is>
          <t>F</t>
        </is>
      </c>
      <c r="G127" t="inlineStr">
        <is>
          <t>Debt was unchanged.</t>
        </is>
      </c>
      <c r="I127" t="inlineStr"/>
      <c r="J127" t="inlineStr"/>
    </row>
    <row r="128">
      <c r="A128" t="inlineStr">
        <is>
          <t>Total assets</t>
        </is>
      </c>
      <c r="B128" t="n">
        <v>48964891.28</v>
      </c>
      <c r="C128" t="n">
        <v>46420005.88</v>
      </c>
      <c r="D128">
        <f>B128-C128</f>
        <v/>
      </c>
      <c r="E128">
        <f>IF(C128=0,"",D128/C128)</f>
        <v/>
      </c>
      <c r="F128" t="inlineStr">
        <is>
          <t>F</t>
        </is>
      </c>
      <c r="G128" t="inlineStr">
        <is>
          <t>Total assets rose $2,544,885.40.</t>
        </is>
      </c>
      <c r="I128" t="inlineStr"/>
      <c r="J128" t="inlineStr"/>
    </row>
    <row r="129">
      <c r="A129" t="inlineStr">
        <is>
          <t>Total liabilities</t>
        </is>
      </c>
      <c r="B129" t="n">
        <v>17913077.24</v>
      </c>
      <c r="C129" t="n">
        <v>19110192.68</v>
      </c>
      <c r="D129">
        <f>B129-C129</f>
        <v/>
      </c>
      <c r="E129">
        <f>IF(C129=0,"",D129/C129)</f>
        <v/>
      </c>
      <c r="F129" t="inlineStr">
        <is>
          <t>U</t>
        </is>
      </c>
      <c r="G129" t="inlineStr">
        <is>
          <t>Total liabilities fell $1,197,115.44.</t>
        </is>
      </c>
      <c r="I129" t="inlineStr"/>
      <c r="J129" t="inlineStr"/>
    </row>
    <row r="130">
      <c r="A130" t="inlineStr">
        <is>
          <t>Total liabilities and equity</t>
        </is>
      </c>
      <c r="B130" t="n">
        <v>48964891.28</v>
      </c>
      <c r="C130" t="n">
        <v>46420005.88</v>
      </c>
      <c r="D130">
        <f>B130-C130</f>
        <v/>
      </c>
      <c r="E130">
        <f>IF(C130=0,"",D130/C130)</f>
        <v/>
      </c>
      <c r="F130" t="inlineStr">
        <is>
          <t>F</t>
        </is>
      </c>
      <c r="G130" t="inlineStr">
        <is>
          <t>Total liabilities and equity rose $2,544,885.40.</t>
        </is>
      </c>
      <c r="I130" t="inlineStr"/>
      <c r="J130" t="inlineStr"/>
    </row>
    <row r="131">
      <c r="A131" t="inlineStr">
        <is>
          <t>Account and department detail is not loaded for the balance sheet.</t>
        </is>
      </c>
      <c r="F131" t="inlineStr"/>
      <c r="G131" t="inlineStr"/>
      <c r="I131" t="inlineStr"/>
      <c r="J131" t="inlineStr"/>
    </row>
    <row r="132">
      <c r="A132" t="inlineStr">
        <is>
          <t>Cash flow</t>
        </is>
      </c>
      <c r="F132" t="inlineStr"/>
      <c r="G132" t="inlineStr">
        <is>
          <t>Operating cash flow rose $129,439.69. Investing cash flow rose $5,795.79. Financing cash flow was unchanged. Net change in cash rose $135,235.48 because higher operating cash flow ($129,439.69) and higher investing cash flow ($5,795.79). Ending cash rose $3,850,394.60.</t>
        </is>
      </c>
      <c r="I132" t="inlineStr"/>
      <c r="J132" t="inlineStr">
        <is>
          <t>Yes</t>
        </is>
      </c>
    </row>
    <row r="133">
      <c r="A133" t="inlineStr">
        <is>
          <t>Operating cash flow</t>
        </is>
      </c>
      <c r="B133" t="n">
        <v>1818759.27</v>
      </c>
      <c r="C133" t="n">
        <v>1689319.58</v>
      </c>
      <c r="D133">
        <f>B133-C133</f>
        <v/>
      </c>
      <c r="E133">
        <f>IF(C133=0,"",D133/C133)</f>
        <v/>
      </c>
      <c r="F133" t="inlineStr">
        <is>
          <t>F</t>
        </is>
      </c>
      <c r="G133" t="inlineStr">
        <is>
          <t>Operating cash flow rose $129,439.69.</t>
        </is>
      </c>
      <c r="I133" t="inlineStr"/>
      <c r="J133" t="inlineStr"/>
    </row>
    <row r="134">
      <c r="A134" t="inlineStr">
        <is>
          <t>Investing cash flow</t>
        </is>
      </c>
      <c r="B134" t="n">
        <v>-131285.94</v>
      </c>
      <c r="C134" t="n">
        <v>-137081.73</v>
      </c>
      <c r="D134">
        <f>B134-C134</f>
        <v/>
      </c>
      <c r="E134">
        <f>IF(C134=0,"",D134/C134)</f>
        <v/>
      </c>
      <c r="F134" t="inlineStr">
        <is>
          <t>F</t>
        </is>
      </c>
      <c r="G134" t="inlineStr">
        <is>
          <t>Investing cash flow rose $5,795.79.</t>
        </is>
      </c>
      <c r="I134" t="inlineStr"/>
      <c r="J134" t="inlineStr"/>
    </row>
    <row r="135">
      <c r="A135" t="inlineStr">
        <is>
          <t>Financing cash flow</t>
        </is>
      </c>
      <c r="B135" t="n">
        <v>0</v>
      </c>
      <c r="C135" t="n">
        <v>0</v>
      </c>
      <c r="D135">
        <f>B135-C135</f>
        <v/>
      </c>
      <c r="E135">
        <f>IF(C135=0,"",D135/C135)</f>
        <v/>
      </c>
      <c r="F135" t="inlineStr">
        <is>
          <t>F</t>
        </is>
      </c>
      <c r="G135" t="inlineStr">
        <is>
          <t>Financing cash flow was unchanged.</t>
        </is>
      </c>
      <c r="I135" t="inlineStr"/>
      <c r="J135" t="inlineStr"/>
    </row>
    <row r="136">
      <c r="A136" t="inlineStr">
        <is>
          <t>Net change in cash</t>
        </is>
      </c>
      <c r="B136" t="n">
        <v>1687473.33</v>
      </c>
      <c r="C136" t="n">
        <v>1552237.85</v>
      </c>
      <c r="D136">
        <f>B136-C136</f>
        <v/>
      </c>
      <c r="E136">
        <f>IF(C136=0,"",D136/C136)</f>
        <v/>
      </c>
      <c r="F136" t="inlineStr">
        <is>
          <t>F</t>
        </is>
      </c>
      <c r="G136" t="inlineStr">
        <is>
          <t>Net change in cash rose $135,235.48 because higher operating cash flow ($129,439.69) and higher investing cash flow ($5,795.79).</t>
        </is>
      </c>
      <c r="I136" t="inlineStr"/>
      <c r="J136" t="inlineStr"/>
    </row>
    <row r="137">
      <c r="A137" t="inlineStr">
        <is>
          <t>Ending cash</t>
        </is>
      </c>
      <c r="B137" t="n">
        <v>30000000</v>
      </c>
      <c r="C137" t="n">
        <v>26149605.4</v>
      </c>
      <c r="D137">
        <f>B137-C137</f>
        <v/>
      </c>
      <c r="E137">
        <f>IF(C137=0,"",D137/C137)</f>
        <v/>
      </c>
      <c r="F137" t="inlineStr">
        <is>
          <t>F</t>
        </is>
      </c>
      <c r="G137" t="inlineStr">
        <is>
          <t>Ending cash rose $3,850,394.60.</t>
        </is>
      </c>
      <c r="I137" t="inlineStr"/>
      <c r="J137" t="inlineStr"/>
    </row>
    <row r="138">
      <c r="A138" t="inlineStr">
        <is>
          <t>Account and department detail is not loaded for cash flow.</t>
        </is>
      </c>
      <c r="F138" t="inlineStr"/>
      <c r="G138" t="inlineStr"/>
      <c r="I138" t="inlineStr"/>
      <c r="J1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Current</t>
        </is>
      </c>
      <c r="C1" t="inlineStr">
        <is>
          <t>Comparison</t>
        </is>
      </c>
      <c r="D1" t="inlineStr">
        <is>
          <t>Variance</t>
        </is>
      </c>
      <c r="E1" t="inlineStr">
        <is>
          <t>%</t>
        </is>
      </c>
      <c r="F1" t="inlineStr">
        <is>
          <t>F/U</t>
        </is>
      </c>
      <c r="G1" t="inlineStr">
        <is>
          <t>Commentary</t>
        </is>
      </c>
      <c r="H1" t="inlineStr">
        <is>
          <t>Future impacts</t>
        </is>
      </c>
      <c r="I1" t="inlineStr">
        <is>
          <t>Reviewed</t>
        </is>
      </c>
      <c r="J1" t="inlineStr">
        <is>
          <t>Ties</t>
        </is>
      </c>
    </row>
    <row r="2">
      <c r="A2" t="inlineStr">
        <is>
          <t>No forecast for June 2026.</t>
        </is>
      </c>
      <c r="F2" t="inlineStr"/>
      <c r="G2" t="inlineStr"/>
      <c r="I2" t="inlineStr"/>
      <c r="J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Current</t>
        </is>
      </c>
      <c r="C1" t="inlineStr">
        <is>
          <t>Comparison amount</t>
        </is>
      </c>
      <c r="D1" t="inlineStr">
        <is>
          <t>Variance</t>
        </is>
      </c>
      <c r="E1" t="inlineStr">
        <is>
          <t>Commentary</t>
        </is>
      </c>
    </row>
    <row r="2">
      <c r="A2" t="inlineStr">
        <is>
          <t>May 2026 to June 2026</t>
        </is>
      </c>
      <c r="E2" t="inlineStr">
        <is>
          <t>The compensation bridge has no beginning and ending totals.</t>
        </is>
      </c>
    </row>
    <row r="3">
      <c r="A3" t="inlineStr">
        <is>
          <t>June 2026 versus budget</t>
        </is>
      </c>
      <c r="E3" t="inlineStr">
        <is>
          <t>The compensation bridge has no beginning and ending totals.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impacts</t>
        </is>
      </c>
      <c r="B1" t="inlineStr">
        <is>
          <t>None noted for this close. They are entered on GL lines and are not a variance.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Statement</t>
        </is>
      </c>
      <c r="C1" t="inlineStr">
        <is>
          <t>Ties</t>
        </is>
      </c>
      <c r="D1" t="inlineStr">
        <is>
          <t>Note</t>
        </is>
      </c>
    </row>
    <row r="2">
      <c r="A2" t="inlineStr">
        <is>
          <t>May 2026 to June 2026</t>
        </is>
      </c>
      <c r="B2" t="inlineStr">
        <is>
          <t>Income statement</t>
        </is>
      </c>
      <c r="C2" t="inlineStr">
        <is>
          <t>No</t>
        </is>
      </c>
      <c r="D2" t="inlineStr">
        <is>
          <t>The compensation sentence does not add up to the compensation change.</t>
        </is>
      </c>
    </row>
    <row r="3">
      <c r="A3" t="inlineStr">
        <is>
          <t>May 2026 to June 2026</t>
        </is>
      </c>
      <c r="B3" t="inlineStr">
        <is>
          <t>Balance sheet</t>
        </is>
      </c>
      <c r="C3" t="inlineStr">
        <is>
          <t>Yes</t>
        </is>
      </c>
      <c r="D3" t="inlineStr">
        <is>
          <t>Each amount is that line's own change.</t>
        </is>
      </c>
    </row>
    <row r="4">
      <c r="A4" t="inlineStr">
        <is>
          <t>May 2026 to June 2026</t>
        </is>
      </c>
      <c r="B4" t="inlineStr">
        <is>
          <t>Cash flow</t>
        </is>
      </c>
      <c r="C4" t="inlineStr">
        <is>
          <t>Yes</t>
        </is>
      </c>
      <c r="D4" t="inlineStr">
        <is>
          <t>Operating, investing, and financing cash flow equal the net change in cash. Ending cash is the balance, not part of that sum.</t>
        </is>
      </c>
    </row>
    <row r="5">
      <c r="A5" t="inlineStr">
        <is>
          <t>Q1 2026 to Q2 2026</t>
        </is>
      </c>
      <c r="B5" t="inlineStr">
        <is>
          <t>Income statement</t>
        </is>
      </c>
      <c r="C5" t="inlineStr">
        <is>
          <t>Yes</t>
        </is>
      </c>
      <c r="D5" t="inlineStr">
        <is>
          <t>Revenue, cost of revenue, operating expenses, and the lines below operating income equal the net income change. Gross profit is not added again.</t>
        </is>
      </c>
    </row>
    <row r="6">
      <c r="A6" t="inlineStr">
        <is>
          <t>Q1 2026 to Q2 2026</t>
        </is>
      </c>
      <c r="B6" t="inlineStr">
        <is>
          <t>Balance sheet</t>
        </is>
      </c>
      <c r="C6" t="inlineStr">
        <is>
          <t>Yes</t>
        </is>
      </c>
      <c r="D6" t="inlineStr">
        <is>
          <t>Each amount is that line's own change.</t>
        </is>
      </c>
    </row>
    <row r="7">
      <c r="A7" t="inlineStr">
        <is>
          <t>Q1 2026 to Q2 2026</t>
        </is>
      </c>
      <c r="B7" t="inlineStr">
        <is>
          <t>Cash flow</t>
        </is>
      </c>
      <c r="C7" t="inlineStr">
        <is>
          <t>Yes</t>
        </is>
      </c>
      <c r="D7" t="inlineStr">
        <is>
          <t>Operating, investing, and financing cash flow equal the net change in cash. Ending cash is the balance, not part of that sum.</t>
        </is>
      </c>
    </row>
    <row r="8">
      <c r="A8" t="inlineStr">
        <is>
          <t>June 2025 to June 2026</t>
        </is>
      </c>
      <c r="B8" t="inlineStr">
        <is>
          <t>Income statement</t>
        </is>
      </c>
      <c r="C8" t="inlineStr">
        <is>
          <t>Yes</t>
        </is>
      </c>
      <c r="D8" t="inlineStr">
        <is>
          <t>Revenue, cost of revenue, operating expenses, and the lines below operating income equal the net income change. Gross profit is not added again.</t>
        </is>
      </c>
    </row>
    <row r="9">
      <c r="A9" t="inlineStr">
        <is>
          <t>June 2025 to June 2026</t>
        </is>
      </c>
      <c r="B9" t="inlineStr">
        <is>
          <t>Balance sheet</t>
        </is>
      </c>
      <c r="C9" t="inlineStr">
        <is>
          <t>Yes</t>
        </is>
      </c>
      <c r="D9" t="inlineStr">
        <is>
          <t>Each amount is that line's own change.</t>
        </is>
      </c>
    </row>
    <row r="10">
      <c r="A10" t="inlineStr">
        <is>
          <t>June 2025 to June 2026</t>
        </is>
      </c>
      <c r="B10" t="inlineStr">
        <is>
          <t>Cash flow</t>
        </is>
      </c>
      <c r="C10" t="inlineStr">
        <is>
          <t>Yes</t>
        </is>
      </c>
      <c r="D10" t="inlineStr">
        <is>
          <t>Operating, investing, and financing cash flow equal the net change in cash. Ending cash is the balance, not part of that sum.</t>
        </is>
      </c>
    </row>
    <row r="11">
      <c r="A11" t="inlineStr">
        <is>
          <t>Year to date through June 2026 versus the prior year</t>
        </is>
      </c>
      <c r="B11" t="inlineStr">
        <is>
          <t>Income statement</t>
        </is>
      </c>
      <c r="C11" t="inlineStr">
        <is>
          <t>Yes</t>
        </is>
      </c>
      <c r="D11" t="inlineStr">
        <is>
          <t>Revenue, cost of revenue, operating expenses, and the lines below operating income equal the net income change. Gross profit is not added again.</t>
        </is>
      </c>
    </row>
    <row r="12">
      <c r="A12" t="inlineStr">
        <is>
          <t>Year to date through June 2026 versus the prior year</t>
        </is>
      </c>
      <c r="B12" t="inlineStr">
        <is>
          <t>Balance sheet</t>
        </is>
      </c>
      <c r="C12" t="inlineStr">
        <is>
          <t>Yes</t>
        </is>
      </c>
      <c r="D12" t="inlineStr">
        <is>
          <t>Each amount is that line's own change.</t>
        </is>
      </c>
    </row>
    <row r="13">
      <c r="A13" t="inlineStr">
        <is>
          <t>Year to date through June 2026 versus the prior year</t>
        </is>
      </c>
      <c r="B13" t="inlineStr">
        <is>
          <t>Cash flow</t>
        </is>
      </c>
      <c r="C13" t="inlineStr">
        <is>
          <t>Yes</t>
        </is>
      </c>
      <c r="D13" t="inlineStr">
        <is>
          <t>Operating, investing, and financing cash flow equal the net change in cash. Ending cash is the balance, not part of that sum.</t>
        </is>
      </c>
    </row>
    <row r="14">
      <c r="A14" t="inlineStr">
        <is>
          <t>June 2026 versus budget</t>
        </is>
      </c>
      <c r="B14" t="inlineStr">
        <is>
          <t>Income statement</t>
        </is>
      </c>
      <c r="C14" t="inlineStr">
        <is>
          <t>No</t>
        </is>
      </c>
      <c r="D14" t="inlineStr">
        <is>
          <t>The compensation sentence does not add up to the compensation change.</t>
        </is>
      </c>
    </row>
    <row r="15">
      <c r="A15" t="inlineStr">
        <is>
          <t>June 2026 versus budget</t>
        </is>
      </c>
      <c r="B15" t="inlineStr">
        <is>
          <t>Balance sheet</t>
        </is>
      </c>
      <c r="C15" t="inlineStr">
        <is>
          <t>Yes</t>
        </is>
      </c>
      <c r="D15" t="inlineStr">
        <is>
          <t>Each amount is that line's own change.</t>
        </is>
      </c>
    </row>
    <row r="16">
      <c r="A16" t="inlineStr">
        <is>
          <t>June 2026 versus budget</t>
        </is>
      </c>
      <c r="B16" t="inlineStr">
        <is>
          <t>Cash flow</t>
        </is>
      </c>
      <c r="C16" t="inlineStr">
        <is>
          <t>Yes</t>
        </is>
      </c>
      <c r="D16" t="inlineStr">
        <is>
          <t>Operating, investing, and financing cash flow equal the net change in cash. Ending cash is the balance, not part of that sum.</t>
        </is>
      </c>
    </row>
    <row r="17">
      <c r="A17" t="inlineStr">
        <is>
          <t>June 2026 versus forecast</t>
        </is>
      </c>
      <c r="B17" t="inlineStr"/>
      <c r="C17" t="inlineStr">
        <is>
          <t>No</t>
        </is>
      </c>
      <c r="D17" t="inlineStr">
        <is>
          <t>No forecast for June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2026-10-24T19:03:21Z</dcterms:created>
  <dcterms:modified xmlns:dcterms="http://purl.org/dc/terms/" xmlns:xsi="http://www.w3.org/2001/XMLSchema-instance" xsi:type="dcterms:W3CDTF">2026-10-24T19:03:21Z</dcterms:modified>
</cp:coreProperties>
</file>