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6.xml.rels" ContentType="application/vnd.openxmlformats-package.relationships+xml"/>
  <Override PartName="/xl/worksheets/_rels/sheet15.xml.rels" ContentType="application/vnd.openxmlformats-package.relationships+xml"/>
  <Override PartName="/xl/worksheets/_rels/sheet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Executive summary" sheetId="2" state="visible" r:id="rId4"/>
    <sheet name="NI walk" sheetId="3" state="visible" r:id="rId5"/>
    <sheet name="Comparison matrix" sheetId="4" state="visible" r:id="rId6"/>
    <sheet name="MoM" sheetId="5" state="visible" r:id="rId7"/>
    <sheet name="QoQ" sheetId="6" state="visible" r:id="rId8"/>
    <sheet name="YoY" sheetId="7" state="visible" r:id="rId9"/>
    <sheet name="YTD" sheetId="8" state="visible" r:id="rId10"/>
    <sheet name="Budget M" sheetId="9" state="visible" r:id="rId11"/>
    <sheet name="Budget YTD" sheetId="10" state="visible" r:id="rId12"/>
    <sheet name="Forecast M" sheetId="11" state="visible" r:id="rId13"/>
    <sheet name="Labor bridge" sheetId="12" state="visible" r:id="rId14"/>
    <sheet name="Watch list" sheetId="13" state="visible" r:id="rId15"/>
    <sheet name="Tie-outs" sheetId="14" state="visible" r:id="rId16"/>
    <sheet name="Line data" sheetId="15" state="visible" r:id="rId17"/>
    <sheet name="Commentary drivers" sheetId="16" state="visible" r:id="rId18"/>
  </sheets>
  <definedNames>
    <definedName function="false" hidden="false" localSheetId="8" name="_xlnm.Print_Titles" vbProcedure="false">'Budget M'!$5:$5</definedName>
    <definedName function="false" hidden="false" localSheetId="9" name="_xlnm.Print_Titles" vbProcedure="false">'Budget YTD'!$5:$5</definedName>
    <definedName function="false" hidden="true" localSheetId="15" name="_xlnm._FilterDatabase" vbProcedure="false">'Commentary drivers'!$A$1:$E$2366</definedName>
    <definedName function="false" hidden="false" localSheetId="10" name="_xlnm.Print_Titles" vbProcedure="false">'Forecast M'!$5:$5</definedName>
    <definedName function="false" hidden="true" localSheetId="14" name="_xlnm._FilterDatabase" vbProcedure="false">'Line data'!$A$1:$S$924</definedName>
    <definedName function="false" hidden="false" localSheetId="4" name="_xlnm.Print_Titles" vbProcedure="false">MoM!$5:$5</definedName>
    <definedName function="false" hidden="false" localSheetId="5" name="_xlnm.Print_Titles" vbProcedure="false">QoQ!$5:$5</definedName>
    <definedName function="false" hidden="false" localSheetId="6" name="_xlnm.Print_Titles" vbProcedure="false">YoY!$5:$5</definedName>
    <definedName function="false" hidden="false" localSheetId="7" name="_xlnm.Print_Titles" vbProcedure="false">YTD!$5:$5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<sst xmlns="http://schemas.openxmlformats.org/spreadsheetml/2006/main" count="19235" uniqueCount="2462">
  <si>
    <t xml:space="preserve">SMPL · MD&amp;A variance commentary</t>
  </si>
  <si>
    <t xml:space="preserve">Aug 2026 close · US01 · GAAP_PRIMARY · USD thousands</t>
  </si>
  <si>
    <t xml:space="preserve">Package</t>
  </si>
  <si>
    <t xml:space="preserve">Package ID</t>
  </si>
  <si>
    <t xml:space="preserve">MDA-US01-2026-08-001</t>
  </si>
  <si>
    <t xml:space="preserve">Status</t>
  </si>
  <si>
    <t xml:space="preserve">Approved · J. Patel, Controller · 2026-09-10</t>
  </si>
  <si>
    <t xml:space="preserve">Data snapshot</t>
  </si>
  <si>
    <t xml:space="preserve">SNAP-US01-2026-08-003</t>
  </si>
  <si>
    <t xml:space="preserve">Content hash</t>
  </si>
  <si>
    <t xml:space="preserve">c33b460e9ec15c44</t>
  </si>
  <si>
    <t xml:space="preserve">Generated</t>
  </si>
  <si>
    <t xml:space="preserve">2026-10-07 10:30 PT · SMPL MD&amp;A export v1</t>
  </si>
  <si>
    <t xml:space="preserve">Tie-outs</t>
  </si>
  <si>
    <t xml:space="preserve">If a comparison is reopened</t>
  </si>
  <si>
    <t xml:space="preserve">SMPL marks this package Replaced and issues a new package ID. Check the ID in SMPL before distributing.</t>
  </si>
  <si>
    <t xml:space="preserve">Data</t>
  </si>
  <si>
    <t xml:space="preserve">Synthetic fixture for the SMPL specification; not company data.</t>
  </si>
  <si>
    <t xml:space="preserve">Comparisons and sign-off</t>
  </si>
  <si>
    <t xml:space="preserve">Tab</t>
  </si>
  <si>
    <t xml:space="preserve">Comparison</t>
  </si>
  <si>
    <t xml:space="preserve">Approved by</t>
  </si>
  <si>
    <t xml:space="preserve">Approved</t>
  </si>
  <si>
    <t xml:space="preserve">Lines in scope</t>
  </si>
  <si>
    <t xml:space="preserve">Reviewed</t>
  </si>
  <si>
    <t xml:space="preserve">MoM</t>
  </si>
  <si>
    <t xml:space="preserve">Aug 2026 vs Jul 2026</t>
  </si>
  <si>
    <t xml:space="preserve">J. Patel, Controller</t>
  </si>
  <si>
    <t xml:space="preserve">2026-09-10</t>
  </si>
  <si>
    <t xml:space="preserve">QoQ</t>
  </si>
  <si>
    <t xml:space="preserve">Q3 2026 QTD vs prior quarter (same months)</t>
  </si>
  <si>
    <t xml:space="preserve">YoY</t>
  </si>
  <si>
    <t xml:space="preserve">Aug 2026 vs Aug 2025</t>
  </si>
  <si>
    <t xml:space="preserve">YTD</t>
  </si>
  <si>
    <t xml:space="preserve">YTD 2026 vs YTD 2025 (Jan–Aug)</t>
  </si>
  <si>
    <t xml:space="preserve">Budget M</t>
  </si>
  <si>
    <t xml:space="preserve">Aug 2026 vs Budget 2026 v1</t>
  </si>
  <si>
    <t xml:space="preserve">Budget YTD</t>
  </si>
  <si>
    <t xml:space="preserve">YTD Aug 2026 vs Budget 2026 v1</t>
  </si>
  <si>
    <t xml:space="preserve">Forecast M</t>
  </si>
  <si>
    <t xml:space="preserve">Aug 2026 vs Forecast 2026 7+5</t>
  </si>
  <si>
    <t xml:space="preserve">Contents</t>
  </si>
  <si>
    <t xml:space="preserve">Executive summary</t>
  </si>
  <si>
    <t xml:space="preserve">AI-written summary for each comparison, key lines, and the check that cited components add up to the net income change</t>
  </si>
  <si>
    <t xml:space="preserve">NI walk</t>
  </si>
  <si>
    <t xml:space="preserve">Comparison net income to August net income by statement subtotal, for the accounting and management views</t>
  </si>
  <si>
    <t xml:space="preserve">Comparison matrix</t>
  </si>
  <si>
    <t xml:space="preserve">Variance of every statement line across all seven comparisons</t>
  </si>
  <si>
    <t xml:space="preserve">Aug 2026 vs Jul 2026: income statement, management P&amp;L, GL detail, balance sheet and cash flow, with approved commentary</t>
  </si>
  <si>
    <t xml:space="preserve">Q3 2026 QTD vs prior quarter (same months): income statement, management P&amp;L, GL detail, balance sheet and cash flow, with approved commentary</t>
  </si>
  <si>
    <t xml:space="preserve">Aug 2026 vs Aug 2025: income statement, management P&amp;L, GL detail, balance sheet and cash flow, with approved commentary</t>
  </si>
  <si>
    <t xml:space="preserve">YTD 2026 vs YTD 2025 (Jan–Aug): income statement, management P&amp;L, GL detail, balance sheet and cash flow, with approved commentary</t>
  </si>
  <si>
    <t xml:space="preserve">Aug 2026 vs Budget 2026 v1: income statement, management P&amp;L, GL detail, balance sheet and cash flow, with approved commentary</t>
  </si>
  <si>
    <t xml:space="preserve">YTD Aug 2026 vs Budget 2026 v1: income statement, management P&amp;L, GL detail, balance sheet and cash flow, with approved commentary</t>
  </si>
  <si>
    <t xml:space="preserve">Aug 2026 vs Forecast 2026 7+5: income statement, management P&amp;L, GL detail, balance sheet and cash flow, with approved commentary</t>
  </si>
  <si>
    <t xml:space="preserve">Labor bridge</t>
  </si>
  <si>
    <t xml:space="preserve">Compensation bridge month over month and vs budget, company and by department (§18)</t>
  </si>
  <si>
    <t xml:space="preserve">Watch list</t>
  </si>
  <si>
    <t xml:space="preserve">Future impacts by month with the net income effect, and how last month's watch list played out</t>
  </si>
  <si>
    <t xml:space="preserve">Every validation for every comparison, from SMPL and recomputed here</t>
  </si>
  <si>
    <t xml:space="preserve">Line data</t>
  </si>
  <si>
    <t xml:space="preserve">Every line of every view and comparison in one table, with driver sums</t>
  </si>
  <si>
    <t xml:space="preserve">Commentary drivers</t>
  </si>
  <si>
    <t xml:space="preserve">The drivers and component lines each paragraph cites</t>
  </si>
  <si>
    <t xml:space="preserve">How to read this workbook</t>
  </si>
  <si>
    <t xml:space="preserve">Blue numbers</t>
  </si>
  <si>
    <t xml:space="preserve">Ledger amounts from the data snapshot (and the labor engine's bars).</t>
  </si>
  <si>
    <t xml:space="preserve">Black numbers</t>
  </si>
  <si>
    <t xml:space="preserve">Formulas: roll-ups, variances, percentages, walks, checks.</t>
  </si>
  <si>
    <t xml:space="preserve">Green numbers</t>
  </si>
  <si>
    <t xml:space="preserve">Links to another sheet in this workbook.</t>
  </si>
  <si>
    <t xml:space="preserve">✓ / ✗</t>
  </si>
  <si>
    <t xml:space="preserve">A tie-out that passes or fails. Every ✓ is a live formula except SMPL's export validations.</t>
  </si>
  <si>
    <t xml:space="preserve">F / U</t>
  </si>
  <si>
    <t xml:space="preserve">Favorable or unfavorable for the line (revenue up or cost down is favorable).</t>
  </si>
  <si>
    <t xml:space="preserve">Commentary</t>
  </si>
  <si>
    <t xml:space="preserve">One paragraph per line. Its amounts are the top three drivers (or component lines) and Other, rounded so they add to the displayed variance.</t>
  </si>
  <si>
    <t xml:space="preserve">Outline</t>
  </si>
  <si>
    <t xml:space="preserve">On each comparison tab, GL lines sit under the statement line built from them; collapse with the outline buttons for a statement-level read.</t>
  </si>
  <si>
    <t xml:space="preserve">Executive summary · August 2026</t>
  </si>
  <si>
    <t xml:space="preserve">Package MDA-US01-2026-08-001 · US01 · GAAP_PRIMARY · USD thousands · Snapshot SNAP-US01-2026-08-003 · Content hash c33b460e9ec15c44</t>
  </si>
  <si>
    <t xml:space="preserve">Drafted by AI from approved lines only. Every amount is bound to a line in this package, and the net income components it cites add up to the net income change (checked below each summary).</t>
  </si>
  <si>
    <t xml:space="preserve">MoM · Aug 2026 vs Jul 2026</t>
  </si>
  <si>
    <t xml:space="preserve">Net income fell 39.2k (19.7%) vs Jul 2026. Higher cost of revenue (−26.5k) and higher operating expenses (−15.2k) outweighed higher net revenue (+8.5k); other lines contributed −6.0k. Revenue growth was mostly a change in mix: new logos (+55.6k; ENT-12, MM-18) and the P-107 ENT-12 implementation (+45.0k) replaced the completed P-105 ENT-03 rollout (−60.0k). Cost of revenue rose on pay rate changes (+5.8k) and production hosting (+4.0k). Within operating expenses, research and development (+21.6k) and general and administrative (+9.4k) rose, while sales and marketing fell (−15.8k) because the July customer conference (−55.0k) did not recur.</t>
  </si>
  <si>
    <t xml:space="preserve">AI draft · validated: no number outside a bound token; net income components cited once each.</t>
  </si>
  <si>
    <t xml:space="preserve">Key lines</t>
  </si>
  <si>
    <t xml:space="preserve">Aug 2026</t>
  </si>
  <si>
    <t xml:space="preserve">Jul 2026</t>
  </si>
  <si>
    <t xml:space="preserve">Variance</t>
  </si>
  <si>
    <t xml:space="preserve">%</t>
  </si>
  <si>
    <t xml:space="preserve">F/U</t>
  </si>
  <si>
    <t xml:space="preserve">Total net revenue</t>
  </si>
  <si>
    <t xml:space="preserve">Gross profit</t>
  </si>
  <si>
    <t xml:space="preserve">Gross margin %</t>
  </si>
  <si>
    <t xml:space="preserve">pts</t>
  </si>
  <si>
    <t xml:space="preserve">Total operating expenses</t>
  </si>
  <si>
    <t xml:space="preserve">Operating income</t>
  </si>
  <si>
    <t xml:space="preserve">Net income</t>
  </si>
  <si>
    <t xml:space="preserve">Contribution after direct go-to-market (management view)</t>
  </si>
  <si>
    <t xml:space="preserve">Net income components cited in the summary</t>
  </si>
  <si>
    <t xml:space="preserve">Shown</t>
  </si>
  <si>
    <t xml:space="preserve">Total cost of revenue</t>
  </si>
  <si>
    <t xml:space="preserve">Other (2 items)</t>
  </si>
  <si>
    <t xml:space="preserve">Sum of cited components</t>
  </si>
  <si>
    <t xml:space="preserve">Net income change</t>
  </si>
  <si>
    <t xml:space="preserve">QoQ · Q3 2026 QTD vs prior quarter (same months)</t>
  </si>
  <si>
    <t xml:space="preserve">Net income fell 48.5k (11.9%) in Jul–Aug against the same months of the prior quarter. Higher net revenue (+267.2k) was more than offset by higher operating expenses (−247.5k) and cost of revenue (−55.7k), with other lines at −12.5k. Revenue growth came from the P-107 ENT-12 implementation (+125.0k), new logos (+122.3k) and expansion (+68.0k). Sales and marketing (+152.7k) drove the operating expense increase, led by events &amp; conferences (+77.3k) for the annual customer conference held in July; general and administrative (+49.9k) and research and development (+44.9k) also rose.</t>
  </si>
  <si>
    <t xml:space="preserve">Jul–Aug 2026</t>
  </si>
  <si>
    <t xml:space="preserve">Apr–May 2026</t>
  </si>
  <si>
    <t xml:space="preserve">Other (3 items)</t>
  </si>
  <si>
    <t xml:space="preserve">YoY · Aug 2026 vs Aug 2025</t>
  </si>
  <si>
    <t xml:space="preserve">Net income fell 86.0k (35.0%) vs Aug 2025. Higher net revenue (+376.4k) was more than offset by higher operating expenses (−300.4k) and cost of revenue (−145.0k); other lines were −17.0k. New logos (+381.8k) drove revenue, net of churned customers (−145.8k). Operating expenses rose in sales and marketing (+147.5k), research and development (+100.0k) and general and administrative (+52.9k), with compensation up 243.8k, mostly base pay (+191.8k).</t>
  </si>
  <si>
    <t xml:space="preserve">Aug 2025</t>
  </si>
  <si>
    <t xml:space="preserve">YTD · YTD 2026 vs YTD 2025 (Jan–Aug)</t>
  </si>
  <si>
    <t xml:space="preserve">Year to date, net income rose 49.7k (3.0%) against Jan–Aug 2025. Higher net revenue (+3,135.7k) more than covered higher operating expenses (−1,905.0k) and cost of revenue (−1,099.5k), with other lines at −81.5k. Revenue growth came from new logos (+2,318.9k) and expansion (+1,190.9k), partly offset by contraction (−606.6k). Compensation was the largest cost driver, up 1,796.3k with base pay at +1,439.2k.</t>
  </si>
  <si>
    <t xml:space="preserve">YTD Aug 2026</t>
  </si>
  <si>
    <t xml:space="preserve">YTD Aug 2025</t>
  </si>
  <si>
    <t xml:space="preserve">vs Budget (month) · Aug 2026 vs Budget 2026 v1</t>
  </si>
  <si>
    <t xml:space="preserve">Net income was 51.9k (48.0%) above Budget 2026 v1. Lower operating expenses (+67.1k) and other lines (+7.0k) more than covered lower net revenue (−30.0k), and cost of revenue added +7.8k. The revenue shortfall is in enterprise (−83.9k), partly offset by SMB (+22.4k) and professional services (+20.0k). Most of the expense favorability is headcount: compensation is 68.9k under budget, with headcount and mix at −78.7k.</t>
  </si>
  <si>
    <t xml:space="preserve">Budget 2026 v1</t>
  </si>
  <si>
    <t xml:space="preserve">vs Budget (YTD) · YTD Aug 2026 vs Budget 2026 v1</t>
  </si>
  <si>
    <t xml:space="preserve">Year to date, net income is 154.5k (10.0%) above Budget 2026 v1. Lower operating expenses (+472.6k) offset the revenue shortfall (−466.6k), with cost of revenue (+90.0k) and other lines (+58.5k) also favorable. Enterprise revenue is the gap (−774.5k), partly offset by mid-market (+196.8k) and SMB (+141.1k). Expense favorability is spread across research and development (−202.0k), sales and marketing (−198.8k) and general and administrative (−71.8k), led by base pay (−270.8k).</t>
  </si>
  <si>
    <t xml:space="preserve">Budget 2026 v1 YTD</t>
  </si>
  <si>
    <t xml:space="preserve">vs Forecast 7+5 (month) · Aug 2026 vs Forecast 2026 7+5</t>
  </si>
  <si>
    <t xml:space="preserve">Net income was 11.2k (6.6%) below Forecast 2026 7+5. Higher cost of revenue (−7.2k), operating expenses (−2.2k) and income tax (−2.0k) account for the gap, with other lines at +0.2k; revenue was in line with the forecast. General and administrative ran over (+19.0k) on audit &amp; tax fees (+10.0k), outside legal (+6.0k) and journal JE-2026-08-114 (+3.0k), which the reviewer has explained as the outside-legal accrual true-up.</t>
  </si>
  <si>
    <t xml:space="preserve">Forecast 2026 7+5</t>
  </si>
  <si>
    <t xml:space="preserve">Income tax expense</t>
  </si>
  <si>
    <t xml:space="preserve">Other (1 item)</t>
  </si>
  <si>
    <t xml:space="preserve">Net income walk · comparison net income to August 2026</t>
  </si>
  <si>
    <t xml:space="preserve">Each step is a statement subtotal's variance times its sign in net income (the same component lines the net income commentary cites). Steps link to the comparison tabs; the walk must land on the statement's net income.</t>
  </si>
  <si>
    <t xml:space="preserve">Income statement walk</t>
  </si>
  <si>
    <t xml:space="preserve">USD thousands</t>
  </si>
  <si>
    <t xml:space="preserve">vs Budget (month)</t>
  </si>
  <si>
    <t xml:space="preserve">vs Budget (YTD)</t>
  </si>
  <si>
    <t xml:space="preserve">vs Forecast 7+5 (month)</t>
  </si>
  <si>
    <t xml:space="preserve">Comparison net income</t>
  </si>
  <si>
    <t xml:space="preserve">+ Total net revenue</t>
  </si>
  <si>
    <t xml:space="preserve">− Total cost of revenue</t>
  </si>
  <si>
    <t xml:space="preserve">− Total operating expenses</t>
  </si>
  <si>
    <t xml:space="preserve">+ Interest income</t>
  </si>
  <si>
    <t xml:space="preserve">− Interest expense</t>
  </si>
  <si>
    <t xml:space="preserve">− Income tax</t>
  </si>
  <si>
    <t xml:space="preserve">Current net income (walk)</t>
  </si>
  <si>
    <t xml:space="preserve">Current net income (statement)</t>
  </si>
  <si>
    <t xml:space="preserve">Walk lands on net income</t>
  </si>
  <si>
    <t xml:space="preserve">Management P&amp;L walk (allocations included)</t>
  </si>
  <si>
    <t xml:space="preserve">− Service delivery cost</t>
  </si>
  <si>
    <t xml:space="preserve">− S&amp;M — direct go-to-market</t>
  </si>
  <si>
    <t xml:space="preserve">− Shared S&amp;M, R&amp;D and G&amp;A (with allocations)</t>
  </si>
  <si>
    <t xml:space="preserve">Comparison matrix · variance by line across every comparison</t>
  </si>
  <si>
    <t xml:space="preserve">Links to the comparison tabs. Statement lines only; open a tab for GL lines and commentary.</t>
  </si>
  <si>
    <t xml:space="preserve">Line (USD thousands)</t>
  </si>
  <si>
    <t xml:space="preserve">INCOME STATEMENT · accounting view</t>
  </si>
  <si>
    <t xml:space="preserve">Subscription revenue</t>
  </si>
  <si>
    <t xml:space="preserve">Professional services revenue</t>
  </si>
  <si>
    <t xml:space="preserve">Cost of revenue — subscription &amp; service delivery</t>
  </si>
  <si>
    <t xml:space="preserve">Cost of revenue — professional services</t>
  </si>
  <si>
    <t xml:space="preserve">Research and development</t>
  </si>
  <si>
    <t xml:space="preserve">Sales and marketing</t>
  </si>
  <si>
    <t xml:space="preserve">General and administrative</t>
  </si>
  <si>
    <t xml:space="preserve">Interest income</t>
  </si>
  <si>
    <t xml:space="preserve">Interest expense</t>
  </si>
  <si>
    <t xml:space="preserve">Income before income taxes</t>
  </si>
  <si>
    <t xml:space="preserve">MANAGEMENT P&amp;L · functional view with allocations</t>
  </si>
  <si>
    <t xml:space="preserve">Service delivery (subscription COR)</t>
  </si>
  <si>
    <t xml:space="preserve">Services delivery (PS COR)</t>
  </si>
  <si>
    <t xml:space="preserve">Total service delivery cost</t>
  </si>
  <si>
    <t xml:space="preserve">Management gross profit</t>
  </si>
  <si>
    <t xml:space="preserve">S&amp;M — direct go-to-market</t>
  </si>
  <si>
    <t xml:space="preserve">Contribution after direct go-to-market</t>
  </si>
  <si>
    <t xml:space="preserve">S&amp;M — shared costs</t>
  </si>
  <si>
    <t xml:space="preserve">Shared S&amp;M, R&amp;D and G&amp;A</t>
  </si>
  <si>
    <t xml:space="preserve">Approved by J. Patel, Controller · 2026-09-10 · 87 lines in scope, all reviewed · Ledger amounts in blue, formulas in black; GL lines are grouped under the statement lines built from them (use the outline buttons to collapse).</t>
  </si>
  <si>
    <t xml:space="preserve">Line</t>
  </si>
  <si>
    <t xml:space="preserve">Commentary (approved)</t>
  </si>
  <si>
    <t xml:space="preserve">Future impacts as of Aug 2026 close</t>
  </si>
  <si>
    <t xml:space="preserve">Ties</t>
  </si>
  <si>
    <t xml:space="preserve">Ledger current</t>
  </si>
  <si>
    <t xml:space="preserve">Ledger comparison</t>
  </si>
  <si>
    <t xml:space="preserve">Subscription revenue rose 23.5k (1.3%) vs Jul 2026: new logos (+55.6k; ENT-12, MM-18), partly offset by churned customers (−30.9k; MM-09) and contraction (−12.3k; ENT-04, MM-05); other items (+11.1k).</t>
  </si>
  <si>
    <t xml:space="preserve">Later: MM-12 non-renewal notice; subscription ends Sep 30 (Oct on, −29.7k/mo); ENT-12 ramps to contracted MRR in October (Oct on, +22.2k/mo; suggested). Noted at Jul close: ENT-12 goes live in August, partly realized (expected +50.0k, actual +44.5k).</t>
  </si>
  <si>
    <t xml:space="preserve">MC · 2026-09-08</t>
  </si>
  <si>
    <t xml:space="preserve">✓</t>
  </si>
  <si>
    <t xml:space="preserve">Professional services revenue fell 15.0k (7.0%) vs Jul 2026: P-105 ENT-03 analytics rollout (−60.0k) and P-106 ENT-07 integration (−20.0k), partly offset by P-107 ENT-12 implementation (+45.0k); other items (+20.0k).</t>
  </si>
  <si>
    <t xml:space="preserve">Noted at Jul close: P-105 ENT-03 analytics rollout completes in July, realized (expected −60.0k, actual −60.0k).</t>
  </si>
  <si>
    <t xml:space="preserve">Total net revenue rose 8.5k (0.4%) vs Jul 2026: new logos (+55.6k; ENT-12, MM-18) and P-107 ENT-12 implementation (+45.0k), partly offset by P-105 ENT-03 analytics rollout (−60.0k); other items (−32.1k).</t>
  </si>
  <si>
    <t xml:space="preserve">Later: MM-12 non-renewal notice; subscription ends Sep 30 (Oct on, −29.7k/mo); ENT-12 ramps to contracted MRR in October (Oct on, +22.2k/mo; suggested).</t>
  </si>
  <si>
    <t xml:space="preserve">Cost of revenue — subscription &amp; service delivery rose 25.6k (5.0%) vs Jul 2026: pay rate changes (+5.8k), prod (+4.0k) and headcount and mix (+3.8k); other items (+12.0k).</t>
  </si>
  <si>
    <t xml:space="preserve">Sep −4.4k: August severance does not recur (−2.1k); August sign-on bonus does not recur (−1.3k); August payroll accrual true-up reverses (−1.0k). Later: Capitalized platform release goes live Oct 1 (Oct on, +1.0k/mo; suggested); Merit cycle effective Jan 1, 2027 (+3.5% of base pay) (Jan on, +9.5k/mo; suggested); and 1 more.</t>
  </si>
  <si>
    <t xml:space="preserve">6100 Cloud hosting · Engineering</t>
  </si>
  <si>
    <t xml:space="preserve">Cloud hosting (Engineering) rose 4.0k (2.9%) vs Jul 2026: prod (+4.0k).</t>
  </si>
  <si>
    <t xml:space="preserve">Not required</t>
  </si>
  <si>
    <t xml:space="preserve">6000 Compensation · Engineering</t>
  </si>
  <si>
    <t xml:space="preserve">Compensation (Engineering) rose 7.0k (7.5%) vs Jul 2026: hires (+4.1k) and the mix of roles (+2.2k), partly offset by departures (−4.1k); other items (+4.8k).</t>
  </si>
  <si>
    <t xml:space="preserve">Sep −2.3k: August sign-on bonus does not recur (−1.3k); August payroll accrual true-up reverses (−1.0k). Later: Merit cycle effective Jan 1, 2027 (+3.5% of base pay) (Jan on, +2.9k/mo; suggested).</t>
  </si>
  <si>
    <t xml:space="preserve">6000 Compensation · Customer Success</t>
  </si>
  <si>
    <t xml:space="preserve">Compensation (Customer Success) fell 4.6k (5.2%) vs Jul 2026: departures (−7.4k), partly offset by one-time compensation (+2.1k) and benefits and payroll taxes (+0.7k).</t>
  </si>
  <si>
    <t xml:space="preserve">Sep −2.1k: August severance does not recur (−2.1k). Later: Merit cycle effective Jan 1, 2027 (+3.5% of base pay) (Jan on, +2.3k/mo; suggested).</t>
  </si>
  <si>
    <t xml:space="preserve">6000 Compensation · Support</t>
  </si>
  <si>
    <t xml:space="preserve">Compensation (Support) rose 15.7k (10.9%) vs Jul 2026: hires (+9.0k), pay rate changes (+5.1k) and benefits and payroll taxes (+1.6k).</t>
  </si>
  <si>
    <t xml:space="preserve">Later: Merit cycle effective Jan 1, 2027 (+3.5% of base pay) (Jan on, +4.3k/mo; suggested). Noted at Jul close: Support market adjustment effective Aug 1 (+4% of base), realized (expected +5.0k, actual +5.1k).</t>
  </si>
  <si>
    <t xml:space="preserve">6200 Software &amp; IT services · Corporate IT</t>
  </si>
  <si>
    <t xml:space="preserve">Software &amp; IT services (Corporate IT) rose 2.3k (17.0%) vs Jul 2026: a shift in IT seat allocation (+1.6k) and identity &amp; security (+0.7k). Contract: new SSO/identity platform, start Aug 1, 2026, 12-month term.</t>
  </si>
  <si>
    <t xml:space="preserve">Later: Identity platform price step-up in month 7 (Feb on, +0.2k/mo; suggested). Noted at Jul close: Collaboration suite renewal credit in August, missed (expected −3.0k, actual 0.0k).</t>
  </si>
  <si>
    <t xml:space="preserve">6700 Depreciation &amp; amortization · Shared assets</t>
  </si>
  <si>
    <t xml:space="preserve">Depreciation &amp; amortization (Shared assets) rose 0.7k (3.4%) vs Jul 2026: servers &amp; hardware (+0.7k). Asset register: production server expansion placed in service Aug 3.</t>
  </si>
  <si>
    <t xml:space="preserve">Later: Capitalized platform release goes live Oct 1 (Oct on, +1.0k/mo; suggested).</t>
  </si>
  <si>
    <t xml:space="preserve">6800 Stock-based compensation · Company pool</t>
  </si>
  <si>
    <t xml:space="preserve">Stock-based compensation (Company pool) rose 0.5k (2.6%) vs Jul 2026: 2026 refresh grants (+0.5k).</t>
  </si>
  <si>
    <t xml:space="preserve">Cost of revenue — professional services rose 0.9k (0.7%) vs Jul 2026: benefits and payroll taxes (+0.9k).</t>
  </si>
  <si>
    <t xml:space="preserve">Later: Merit cycle effective Jan 1, 2027 (+3.5% of base pay) (Jan on, +3.4k/mo; suggested).</t>
  </si>
  <si>
    <t xml:space="preserve">Total cost of revenue rose 26.5k (4.2%) vs Jul 2026: pay rate changes (+5.8k), prod (+4.0k) and headcount and mix (+3.9k); other items (+12.8k).</t>
  </si>
  <si>
    <t xml:space="preserve">Sep −4.4k: August severance does not recur (−2.1k); August sign-on bonus does not recur (−1.3k); August payroll accrual true-up reverses (−1.0k). Later: Capitalized platform release goes live Oct 1 (Oct on, +1.0k/mo; suggested); Merit cycle effective Jan 1, 2027 (+3.5% of base pay) (Jan on, +12.8k/mo; suggested); and 1 more.</t>
  </si>
  <si>
    <t xml:space="preserve">Gross profit fell 18.0k (1.3%) vs Jul 2026: higher cost of revenue (−26.5k), partly offset by higher net revenue (+8.5k).</t>
  </si>
  <si>
    <t xml:space="preserve">Sep +4.4k: August severance does not recur (+2.1k); August sign-on bonus does not recur (+1.3k); August payroll accrual true-up reverses (+1.0k). Later: MM-12 non-renewal notice; subscription ends Sep 30 (Oct on, −29.7k/mo); ENT-12 ramps to contracted MRR in October (Oct on, +22.2k/mo; suggested); and 3 more.</t>
  </si>
  <si>
    <t xml:space="preserve">Research and development rose 21.6k (5.5%) vs Jul 2026: headcount and mix (+6.7k), partial-month timing (+5.5k) and one-time compensation (+3.8k); other items (+5.6k).</t>
  </si>
  <si>
    <t xml:space="preserve">Sep −6.8k: August sign-on bonus does not recur (−3.8k); August payroll accrual true-up reverses (−3.0k). Later: Capitalized platform release goes live Oct 1 (Oct on, +1.0k/mo; suggested); Merit cycle effective Jan 1, 2027 (+3.5% of base pay) (Jan on, +8.7k/mo; suggested); and 1 more.</t>
  </si>
  <si>
    <t xml:space="preserve">Compensation (Engineering) rose 20.9k (7.5%) vs Jul 2026: hires (+12.4k) and the mix of roles (+6.7k), partly offset by departures (−12.5k); other items (+14.3k).</t>
  </si>
  <si>
    <t xml:space="preserve">Sep −6.8k: August sign-on bonus does not recur (−3.8k); August payroll accrual true-up reverses (−3.0k). Later: Merit cycle effective Jan 1, 2027 (+3.5% of base pay) (Jan on, +8.7k/mo; suggested).</t>
  </si>
  <si>
    <t xml:space="preserve">Cloud hosting (Engineering) fell 2.0k (4.8%) vs Jul 2026: dev-test (−2.0k).</t>
  </si>
  <si>
    <t xml:space="preserve">Software &amp; IT services (Corporate IT) rose 1.2k (5.3%) vs Jul 2026: identity &amp; security (+1.2k). Contract: new SSO/identity platform, start Aug 1, 2026, 12-month term.</t>
  </si>
  <si>
    <t xml:space="preserve">Later: Identity platform price step-up in month 7 (Feb on, +0.3k/mo; suggested). Noted at Jul close: Collaboration suite renewal credit in August, missed (expected −3.0k, actual 0.0k).</t>
  </si>
  <si>
    <t xml:space="preserve">Stock-based compensation (Company pool) rose 0.8k (2.6%) vs Jul 2026: 2026 refresh grants (+0.8k).</t>
  </si>
  <si>
    <t xml:space="preserve">Sales and marketing fell 15.8k (3.1%) vs Jul 2026: events &amp; conferences (−55.0k), partly offset by partner marketing (+10.0k) and demo (+10.0k); other items (+19.2k). Journal memo: annual customer conference (Jul 21–23).</t>
  </si>
  <si>
    <t xml:space="preserve">Sep −10.9k: Partner Summit demo clusters wind down (−10.0k; suggested); August severance does not recur (−0.9k). Later: Q4 user conference deposits (Oct–Nov, +75.0k total); Capitalized platform release goes live Oct 1 (Oct on, +0.5k/mo; suggested); and 2 more.</t>
  </si>
  <si>
    <t xml:space="preserve">6000 Compensation · Sales</t>
  </si>
  <si>
    <t xml:space="preserve">Compensation (Sales) rose 14.7k (6.5%) vs Jul 2026: hires (+13.0k) and the mix of roles (+9.0k), partly offset by departures (−13.0k); other items (+5.7k).</t>
  </si>
  <si>
    <t xml:space="preserve">Later: Merit cycle effective Jan 1, 2027 (+3.5% of base pay) (Jan on, +6.8k/mo; suggested). Noted at Jul close: Two account executives start in August, realized (expected +13.0k, actual +13.0k).</t>
  </si>
  <si>
    <t xml:space="preserve">Compensation (Customer Success) fell 2.0k (5.2%) vs Jul 2026: departures (−3.2k), partly offset by one-time compensation (+0.9k) and benefits and payroll taxes (+0.3k).</t>
  </si>
  <si>
    <t xml:space="preserve">Sep −0.9k: August severance does not recur (−0.9k). Later: Merit cycle effective Jan 1, 2027 (+3.5% of base pay) (Jan on, +1.0k/mo; suggested).</t>
  </si>
  <si>
    <t xml:space="preserve">6300 Marketing programs · Marketing</t>
  </si>
  <si>
    <t xml:space="preserve">Marketing programs (Marketing) fell 40.0k (28.6%) vs Jul 2026: events &amp; conferences (−55.0k), partly offset by partner marketing (+10.0k) and paid search &amp; social (+3.0k); other items (+2.0k). Journal memo: annual customer conference (Jul 21–23).</t>
  </si>
  <si>
    <t xml:space="preserve">Later: Q4 user conference deposits (Oct–Nov, +75.0k total). Noted at Jul close: July customer conference does not recur in August, realized (expected −55.0k, actual −55.0k); Paid search pilot paused in August, missed (expected −3.0k, actual +3.0k).</t>
  </si>
  <si>
    <t xml:space="preserve">6410 Amortization of capitalized commissions · Sales</t>
  </si>
  <si>
    <t xml:space="preserve">Amortization of capitalized commissions (Sales) rose 1.0k (2.6%) vs Jul 2026: FY26 H2 cohort (+1.0k).</t>
  </si>
  <si>
    <t xml:space="preserve">Cloud hosting (Engineering) rose 10.0k (100.0%) vs Jul 2026: demo (+10.0k). Invoice memo: demo clusters for Partner Summit (Aug 12–14).</t>
  </si>
  <si>
    <t xml:space="preserve">Sep −10.0k: Partner Summit demo clusters wind down (−10.0k; suggested).</t>
  </si>
  <si>
    <t xml:space="preserve">Software &amp; IT services (Corporate IT) fell 0.3k (1.3%) vs Jul 2026: a shift in IT seat allocation (−1.6k), partly offset by identity &amp; security (+1.3k). Contract: new SSO/identity platform, start Aug 1, 2026, 12-month term.</t>
  </si>
  <si>
    <t xml:space="preserve">Depreciation &amp; amortization (Shared assets) rose 0.3k (3.4%) vs Jul 2026: servers &amp; hardware (+0.3k). Asset register: production server expansion placed in service Aug 3.</t>
  </si>
  <si>
    <t xml:space="preserve">Later: Capitalized platform release goes live Oct 1 (Oct on, +0.5k/mo; suggested).</t>
  </si>
  <si>
    <t xml:space="preserve">General and administrative rose 9.4k (4.5%) vs Jul 2026: outside legal (+8.0k) and a journal without a category (JE-2026-08-114; +3.0k), partly offset by audit &amp; tax fees (−5.0k); other items (+3.4k). Matter: enterprise renewal contract reviews.</t>
  </si>
  <si>
    <t xml:space="preserve">Later: Capitalized platform release goes live Oct 1 (Oct on, +0.5k/mo; suggested); FY2026 audit fieldwork (Dec–Jan, +43.0k total); and 1 more.</t>
  </si>
  <si>
    <t xml:space="preserve">6050 Corporate labor &amp; professional services · G&amp;A</t>
  </si>
  <si>
    <t xml:space="preserve">Corporate labor &amp; professional services (G&amp;A) rose 8.0k (4.7%) vs Jul 2026: outside legal (+8.0k) and a journal without a category (JE-2026-08-114; +3.0k), partly offset by audit &amp; tax fees (−5.0k); other items (+2.0k). Matter: enterprise renewal contract reviews. Reviewer: JE-2026-08-114 is the August outside-legal accrual true-up; it has been recategorized to outside legal.</t>
  </si>
  <si>
    <t xml:space="preserve">Later: FY2026 audit fieldwork (Dec–Jan, +43.0k total). Noted at Jul close: Q2 review accrual reverses in August, partly realized (expected −8.0k, actual −5.0k).</t>
  </si>
  <si>
    <t xml:space="preserve">Software &amp; IT services (Corporate IT) rose 0.8k (5.3%) vs Jul 2026: identity &amp; security (+0.8k). Contract: new SSO/identity platform, start Aug 1, 2026, 12-month term.</t>
  </si>
  <si>
    <t xml:space="preserve">Stock-based compensation (Company pool) rose 0.3k (2.6%) vs Jul 2026: 2026 refresh grants (+0.3k).</t>
  </si>
  <si>
    <t xml:space="preserve">Total operating expenses rose 15.2k (1.4%) vs Jul 2026: research and development (+21.6k) and general and administrative (+9.4k), partly offset by sales and marketing (−15.8k).</t>
  </si>
  <si>
    <t xml:space="preserve">Sep −17.7k: Partner Summit demo clusters wind down (−10.0k; suggested); August sign-on bonus does not recur (−3.8k); August payroll accrual true-up reverses (−3.0k); and 1 more. Later: Capitalized platform release goes live Oct 1 (Oct on, +2.0k/mo; suggested); Q4 user conference deposits (Oct–Nov, +75.0k total); and 3 more.</t>
  </si>
  <si>
    <t xml:space="preserve">Operating income fell 33.2k (13.1%) vs Jul 2026: higher cost of revenue (−26.5k) and higher operating expenses (−15.2k), partly offset by higher net revenue (+8.5k).</t>
  </si>
  <si>
    <t xml:space="preserve">Sep +22.0k: Partner Summit demo clusters wind down (+10.0k; suggested); August sign-on bonus does not recur (+5.0k); August payroll accrual true-up reverses (+4.0k); and 1 more. Later: MM-12 non-renewal notice; subscription ends Sep 30 (Oct on, −29.7k/mo); ENT-12 ramps to contracted MRR in October (Oct on, +22.2k/mo; suggested); and 5 more.</t>
  </si>
  <si>
    <t xml:space="preserve">Interest income fell 1.0k (9.1%) vs Jul 2026: money market funds (−1.0k).</t>
  </si>
  <si>
    <t xml:space="preserve">Interest expense was unchanged vs Jul 2026.</t>
  </si>
  <si>
    <t xml:space="preserve">Income before income taxes fell 34.2k (14.6%) vs Jul 2026: higher cost of revenue (−26.5k) and higher operating expenses (−15.2k), partly offset by higher net revenue (+8.5k); other lines (−1.0k).</t>
  </si>
  <si>
    <t xml:space="preserve">Income tax expense rose 5.0k (14.3%) vs Jul 2026: current tax (+4.0k) and deferred tax (+1.0k).</t>
  </si>
  <si>
    <t xml:space="preserve">Net income fell 39.2k (19.7%) vs Jul 2026: higher cost of revenue (−26.5k) and higher operating expenses (−15.2k), partly offset by higher net revenue (+8.5k); other lines (−6.0k).</t>
  </si>
  <si>
    <t xml:space="preserve">Service delivery (subscription COR) rose 25.8k (5.0%) vs Jul 2026: pay rate changes (+5.8k), prod (+4.0k) and headcount and mix (+3.8k); other items (+12.2k).</t>
  </si>
  <si>
    <t xml:space="preserve">Production compute · 6100</t>
  </si>
  <si>
    <t xml:space="preserve">Production compute (6100) rose 4.0k (2.9%) vs Jul 2026: prod (+4.0k).</t>
  </si>
  <si>
    <t xml:space="preserve">SRE / platform operations · 6000</t>
  </si>
  <si>
    <t xml:space="preserve">SRE / platform operations (6000) rose 7.0k (7.5%) vs Jul 2026: hires (+4.1k) and the mix of roles (+2.2k), partly offset by departures (−4.1k); other items (+4.8k).</t>
  </si>
  <si>
    <t xml:space="preserve">Technical support · 6000</t>
  </si>
  <si>
    <t xml:space="preserve">Technical support (6000) rose 15.7k (10.9%) vs Jul 2026: hires (+9.0k), pay rate changes (+5.1k) and benefits and payroll taxes (+1.6k).</t>
  </si>
  <si>
    <t xml:space="preserve">CS / TAM delivery · 6000</t>
  </si>
  <si>
    <t xml:space="preserve">CS / TAM delivery (6000) fell 4.6k (5.2%) vs Jul 2026: departures (−7.4k), partly offset by one-time compensation (+2.1k) and benefits and payroll taxes (+0.7k).</t>
  </si>
  <si>
    <t xml:space="preserve">Shared IT (fully loaded) · 6200</t>
  </si>
  <si>
    <t xml:space="preserve">Shared IT (fully loaded) (6200) rose 2.5k (14.4%) vs Jul 2026: a shift in IT seat allocation (+1.6k) and identity &amp; security (+0.9k). Contract: new SSO/identity platform, start Aug 1, 2026, 12-month term.</t>
  </si>
  <si>
    <t xml:space="preserve">Depreciation &amp; amortization · 6700</t>
  </si>
  <si>
    <t xml:space="preserve">Depreciation &amp; amortization (6700) rose 0.7k (3.4%) vs Jul 2026: servers &amp; hardware (+0.7k). Asset register: production server expansion placed in service Aug 3.</t>
  </si>
  <si>
    <t xml:space="preserve">Stock-based compensation · 6800</t>
  </si>
  <si>
    <t xml:space="preserve">Stock-based compensation (6800) rose 0.5k (2.6%) vs Jul 2026: 2026 refresh grants (+0.5k).</t>
  </si>
  <si>
    <t xml:space="preserve">Services delivery (PS COR) rose 0.9k (0.7%) vs Jul 2026: benefits and payroll taxes (+0.9k).</t>
  </si>
  <si>
    <t xml:space="preserve">Services delivery · 6000</t>
  </si>
  <si>
    <t xml:space="preserve">Services delivery (6000) rose 0.9k (0.7%) vs Jul 2026: benefits and payroll taxes (+0.9k).</t>
  </si>
  <si>
    <t xml:space="preserve">Total service delivery cost rose 26.7k (4.2%) vs Jul 2026: service delivery (subscription COR) (+25.8k) and services delivery (PS COR) (+0.9k).</t>
  </si>
  <si>
    <t xml:space="preserve">Management gross profit fell 18.2k (1.3%) vs Jul 2026: higher service delivery cost (−26.7k), partly offset by higher net revenue (+8.5k).</t>
  </si>
  <si>
    <t xml:space="preserve">S&amp;M — direct go-to-market fell 16.3k (3.6%) vs Jul 2026: events &amp; conferences (−55.0k), partly offset by partner marketing (+10.0k) and demo (+10.0k); other items (+18.7k). Journal memo: annual customer conference (Jul 21–23).</t>
  </si>
  <si>
    <t xml:space="preserve">Sep −10.9k: Partner Summit demo clusters wind down (−10.0k; suggested); August severance does not recur (−0.9k). Later: Q4 user conference deposits (Oct–Nov, +75.0k total); Merit cycle effective Jan 1, 2027 (+3.5% of base pay) (Jan on, +7.8k/mo; suggested).</t>
  </si>
  <si>
    <t xml:space="preserve">Direct sales · 6000</t>
  </si>
  <si>
    <t xml:space="preserve">Direct sales (6000) rose 14.7k (6.5%) vs Jul 2026: hires (+13.0k) and the mix of roles (+9.0k), partly offset by departures (−13.0k); other items (+5.7k).</t>
  </si>
  <si>
    <t xml:space="preserve">Expansion selling · 6000</t>
  </si>
  <si>
    <t xml:space="preserve">Expansion selling (6000) fell 2.0k (5.2%) vs Jul 2026: departures (−3.2k), partly offset by one-time compensation (+0.9k) and benefits and payroll taxes (+0.3k).</t>
  </si>
  <si>
    <t xml:space="preserve">Demand generation · 6300</t>
  </si>
  <si>
    <t xml:space="preserve">Demand generation (6300) fell 40.0k (28.6%) vs Jul 2026: events &amp; conferences (−55.0k), partly offset by partner marketing (+10.0k) and paid search &amp; social (+3.0k); other items (+2.0k). Journal memo: annual customer conference (Jul 21–23).</t>
  </si>
  <si>
    <t xml:space="preserve">Commission amortization · 6410</t>
  </si>
  <si>
    <t xml:space="preserve">Commission amortization (6410) rose 1.0k (2.6%) vs Jul 2026: FY26 H2 cohort (+1.0k).</t>
  </si>
  <si>
    <t xml:space="preserve">Sales demo environments · 6100</t>
  </si>
  <si>
    <t xml:space="preserve">Sales demo environments (6100) rose 10.0k (100.0%) vs Jul 2026: demo (+10.0k). Invoice memo: demo clusters for Partner Summit (Aug 12–14).</t>
  </si>
  <si>
    <t xml:space="preserve">Contribution after direct go-to-market fell 1.9k (0.2%) vs Jul 2026: higher service delivery cost (−26.7k), partly offset by lower S&amp;M — direct go-to-market (+16.3k) and higher net revenue (+8.5k).</t>
  </si>
  <si>
    <t xml:space="preserve">Sep +15.3k: Partner Summit demo clusters wind down (+10.0k; suggested); August severance does not recur (+3.0k); August sign-on bonus does not recur (+1.3k); and 1 more. Later: MM-12 non-renewal notice; subscription ends Sep 30 (Oct on, −29.7k/mo); ENT-12 ramps to contracted MRR in October (Oct on, +22.2k/mo; suggested); and 4 more.</t>
  </si>
  <si>
    <t xml:space="preserve">S&amp;M — shared costs rose 0.8k (1.4%) vs Jul 2026: identity &amp; security (+1.6k) and 2026 refresh grants (+0.5k), partly offset by a shift in IT seat allocation (−1.6k); other items (+0.3k). Contract: new SSO/identity platform, start Aug 1, 2026, 12-month term.</t>
  </si>
  <si>
    <t xml:space="preserve">Later: Capitalized platform release goes live Oct 1 (Oct on, +0.5k/mo; suggested); Identity platform price step-up in month 7 (Feb on, +0.4k/mo; suggested).</t>
  </si>
  <si>
    <t xml:space="preserve">Shared IT (fully loaded) (6200) fell 0.0k (0.1%) vs Jul 2026: a shift in IT seat allocation (−1.6k), offset by identity &amp; security (+1.6k). Contract: new SSO/identity platform, start Aug 1, 2026, 12-month term.</t>
  </si>
  <si>
    <t xml:space="preserve">Later: Identity platform price step-up in month 7 (Feb on, +0.4k/mo; suggested). Noted at Jul close: Collaboration suite renewal credit in August, missed (expected −3.0k, actual 0.0k).</t>
  </si>
  <si>
    <t xml:space="preserve">Depreciation &amp; amortization (6700) rose 0.3k (3.4%) vs Jul 2026: servers &amp; hardware (+0.3k). Asset register: production server expansion placed in service Aug 3.</t>
  </si>
  <si>
    <t xml:space="preserve">Research and development rose 21.9k (5.5%) vs Jul 2026: headcount and mix (+6.7k), partial-month timing (+5.5k) and one-time compensation (+3.8k); other items (+5.9k).</t>
  </si>
  <si>
    <t xml:space="preserve">Product engineering · 6000</t>
  </si>
  <si>
    <t xml:space="preserve">Product engineering (6000) rose 20.9k (7.5%) vs Jul 2026: hires (+12.4k) and the mix of roles (+6.7k), partly offset by departures (−12.5k); other items (+14.3k).</t>
  </si>
  <si>
    <t xml:space="preserve">Dev/test infrastructure · 6100</t>
  </si>
  <si>
    <t xml:space="preserve">Dev/test infrastructure (6100) fell 2.0k (4.8%) vs Jul 2026: dev-test (−2.0k).</t>
  </si>
  <si>
    <t xml:space="preserve">Shared IT (fully loaded) (6200) rose 1.5k (5.3%) vs Jul 2026: identity &amp; security (+1.5k). Contract: new SSO/identity platform, start Aug 1, 2026, 12-month term.</t>
  </si>
  <si>
    <t xml:space="preserve">Stock-based compensation (6800) rose 0.8k (2.6%) vs Jul 2026: 2026 refresh grants (+0.8k).</t>
  </si>
  <si>
    <t xml:space="preserve">General and administrative rose 8.6k (4.5%) vs Jul 2026: outside legal (+8.0k) and a journal without a category (JE-2026-08-114; +3.0k), partly offset by audit &amp; tax fees (−5.0k); other items (+2.6k). Matter: enterprise renewal contract reviews.</t>
  </si>
  <si>
    <t xml:space="preserve">Later: Capitalized platform release goes live Oct 1 (Oct on, +0.5k/mo; suggested); FY2026 audit fieldwork (Dec–Jan, +43.0k total).</t>
  </si>
  <si>
    <t xml:space="preserve">Corporate administration · 6050</t>
  </si>
  <si>
    <t xml:space="preserve">Corporate administration (6050) rose 8.0k (4.7%) vs Jul 2026: outside legal (+8.0k) and a journal without a category (JE-2026-08-114; +3.0k), partly offset by audit &amp; tax fees (−5.0k); other items (+2.0k). Matter: enterprise renewal contract reviews. Reviewer: JE-2026-08-114 is the August outside-legal accrual true-up; it has been recategorized to outside legal.</t>
  </si>
  <si>
    <t xml:space="preserve">Stock-based compensation (6800) rose 0.3k (2.6%) vs Jul 2026: 2026 refresh grants (+0.3k).</t>
  </si>
  <si>
    <t xml:space="preserve">Shared S&amp;M, R&amp;D and G&amp;A rose 31.3k (4.8%) vs Jul 2026: research and development (+21.9k), general and administrative (+8.6k) and S&amp;M — shared costs (+0.8k).</t>
  </si>
  <si>
    <t xml:space="preserve">Sep −6.8k: August sign-on bonus does not recur (−3.8k); August payroll accrual true-up reverses (−3.0k). Later: Capitalized platform release goes live Oct 1 (Oct on, +2.0k/mo; suggested); FY2026 audit fieldwork (Dec–Jan, +43.0k total); and 2 more.</t>
  </si>
  <si>
    <t xml:space="preserve">Operating income fell 33.2k (13.1%) vs Jul 2026: higher shared S&amp;M, R&amp;D and G&amp;A (−31.3k) and higher service delivery cost (−26.7k), partly offset by lower S&amp;M — direct go-to-market (+16.3k); other lines (+8.5k).</t>
  </si>
  <si>
    <t xml:space="preserve">Net income fell 39.2k (19.7%) vs Jul 2026: higher shared S&amp;M, R&amp;D and G&amp;A (−31.3k) and higher service delivery cost (−26.7k), partly offset by lower S&amp;M — direct go-to-market (+16.3k); other lines (+2.5k).</t>
  </si>
  <si>
    <t xml:space="preserve">GL DETAIL · natural accounts by department</t>
  </si>
  <si>
    <t xml:space="preserve">Revenue</t>
  </si>
  <si>
    <t xml:space="preserve">Revenue rose 8.5k (0.4%) vs Jul 2026: new logos (+55.6k; ENT-12, MM-18) and P-107 ENT-12 implementation (+45.0k), partly offset by P-105 ENT-03 analytics rollout (−60.0k); other items (−32.1k).</t>
  </si>
  <si>
    <t xml:space="preserve">4000 Subscription revenue</t>
  </si>
  <si>
    <t xml:space="preserve">4100 Professional services revenue</t>
  </si>
  <si>
    <t xml:space="preserve">Compensation (6000)</t>
  </si>
  <si>
    <t xml:space="preserve">Compensation (6000) rose 52.7k (5.3%) vs Jul 2026: headcount and mix (+16.4k), partial-month timing (+11.4k) and one-time compensation (+8.0k); other items (+16.9k).</t>
  </si>
  <si>
    <t xml:space="preserve">Sep −12.0k: August sign-on bonus does not recur (−5.0k); August payroll accrual true-up reverses (−4.0k); August severance does not recur (−3.0k). Later: Merit cycle effective Jan 1, 2027 (+3.5% of base pay) (Jan on, +29.3k/mo; suggested).</t>
  </si>
  <si>
    <t xml:space="preserve">Compensation (Engineering) rose 27.9k (7.5%) vs Jul 2026: hires (+16.6k) and the mix of roles (+8.9k), partly offset by departures (−16.6k); other items (+19.0k).</t>
  </si>
  <si>
    <t xml:space="preserve">Sep −9.0k: August sign-on bonus does not recur (−5.0k); August payroll accrual true-up reverses (−4.0k). Later: Merit cycle effective Jan 1, 2027 (+3.5% of base pay) (Jan on, +11.6k/mo; suggested).</t>
  </si>
  <si>
    <t xml:space="preserve">Compensation (Customer Success) fell 6.6k (5.2%) vs Jul 2026: departures (−10.6k), partly offset by one-time compensation (+3.0k) and benefits and payroll taxes (+1.0k).</t>
  </si>
  <si>
    <t xml:space="preserve">Sep −3.0k: August severance does not recur (−3.0k). Later: Merit cycle effective Jan 1, 2027 (+3.5% of base pay) (Jan on, +3.2k/mo; suggested).</t>
  </si>
  <si>
    <t xml:space="preserve">6000 Compensation · Professional Services</t>
  </si>
  <si>
    <t xml:space="preserve">Compensation (Professional Services) rose 0.9k (0.7%) vs Jul 2026: benefits and payroll taxes (+0.9k).</t>
  </si>
  <si>
    <t xml:space="preserve">Cloud, software &amp; IT</t>
  </si>
  <si>
    <t xml:space="preserve">Cloud, software &amp; IT rose 16.0k (6.1%) vs Jul 2026: demo (+10.0k), identity &amp; security (+4.0k) and prod (+4.0k); other items (−2.0k). Invoice memo: demo clusters for Partner Summit (Aug 12–14).</t>
  </si>
  <si>
    <t xml:space="preserve">Sep −10.0k: Partner Summit demo clusters wind down (−10.0k; suggested). Later: Identity platform price step-up in month 7 (Feb on, +1.0k/mo; suggested).</t>
  </si>
  <si>
    <t xml:space="preserve">Cloud hosting (Engineering) rose 12.0k (6.4%) vs Jul 2026: demo (+10.0k) and prod (+4.0k), partly offset by dev-test (−2.0k). Invoice memo: demo clusters for Partner Summit (Aug 12–14).</t>
  </si>
  <si>
    <t xml:space="preserve">Software &amp; IT services (Corporate IT) rose 4.0k (5.3%) vs Jul 2026: identity &amp; security (+4.0k). Contract: new SSO/identity platform, start Aug 1, 2026, 12-month term.</t>
  </si>
  <si>
    <t xml:space="preserve">Later: Identity platform price step-up in month 7 (Feb on, +1.0k/mo; suggested). Noted at Jul close: Collaboration suite renewal credit in August, missed (expected −3.0k, actual 0.0k).</t>
  </si>
  <si>
    <t xml:space="preserve">Marketing &amp; corporate services</t>
  </si>
  <si>
    <t xml:space="preserve">Marketing &amp; corporate services fell 32.0k (10.3%) vs Jul 2026: events &amp; conferences (−55.0k), partly offset by partner marketing (+10.0k) and outside legal (+8.0k); other items (+5.0k). Journal memo: annual customer conference (Jul 21–23).</t>
  </si>
  <si>
    <t xml:space="preserve">Later: Q4 user conference deposits (Oct–Nov, +75.0k total); FY2026 audit fieldwork (Dec–Jan, +43.0k total).</t>
  </si>
  <si>
    <t xml:space="preserve">Amortization, D&amp;A and stock compensation</t>
  </si>
  <si>
    <t xml:space="preserve">Amortization, D&amp;A and stock compensation rose 5.0k (2.9%) vs Jul 2026: 2026 refresh grants (+2.0k), servers &amp; hardware (+2.0k) and FY26 H2 cohort (+1.0k). Asset register: production server expansion placed in service Aug 3.</t>
  </si>
  <si>
    <t xml:space="preserve">Later: Capitalized platform release goes live Oct 1 (Oct on, +3.0k/mo; suggested).</t>
  </si>
  <si>
    <t xml:space="preserve">Depreciation &amp; amortization (Shared assets) rose 2.0k (3.4%) vs Jul 2026: servers &amp; hardware (+2.0k). Asset register: production server expansion placed in service Aug 3.</t>
  </si>
  <si>
    <t xml:space="preserve">Stock-based compensation (Company pool) rose 2.0k (2.6%) vs Jul 2026: 2026 refresh grants (+2.0k).</t>
  </si>
  <si>
    <t xml:space="preserve">Total operating costs</t>
  </si>
  <si>
    <t xml:space="preserve">Total operating costs rose 41.7k (2.4%) vs Jul 2026: compensation (+52.7k) and cloud, software &amp; IT (+16.0k), partly offset by marketing &amp; corporate services (−32.0k); other lines (+5.0k).</t>
  </si>
  <si>
    <t xml:space="preserve">Sep −22.0k: Partner Summit demo clusters wind down (−10.0k; suggested); August sign-on bonus does not recur (−5.0k); August payroll accrual true-up reverses (−4.0k); and 1 more. Later: Q4 user conference deposits (Oct–Nov, +75.0k total); Capitalized platform release goes live Oct 1 (Oct on, +3.0k/mo; suggested); and 3 more.</t>
  </si>
  <si>
    <t xml:space="preserve">Operating income fell 33.2k (13.1%) vs Jul 2026: higher operating costs (−41.7k), partly offset by higher revenue (+8.5k).</t>
  </si>
  <si>
    <t xml:space="preserve">Interest, net</t>
  </si>
  <si>
    <t xml:space="preserve">Interest, net fell 1.0k (5.3%) vs Jul 2026: lower interest income (−1.0k).</t>
  </si>
  <si>
    <t xml:space="preserve">7000 Interest income</t>
  </si>
  <si>
    <t xml:space="preserve">7100 Interest expense</t>
  </si>
  <si>
    <t xml:space="preserve">8000 Income tax expense</t>
  </si>
  <si>
    <t xml:space="preserve">Net income fell 39.2k (19.7%) vs Jul 2026: higher operating costs (−41.7k) and higher income tax expense (−5.0k), partly offset by higher revenue (+8.5k); other lines (−1.0k).</t>
  </si>
  <si>
    <t xml:space="preserve">BALANCE SHEET</t>
  </si>
  <si>
    <t xml:space="preserve">Balances: end of Aug 2026 vs end of Jul 2026</t>
  </si>
  <si>
    <t xml:space="preserve">Current assets</t>
  </si>
  <si>
    <t xml:space="preserve">Current assets decreased 733.8k (3.8%) vs Jul 2026: accounts receivable — Collections (−2,654.4k), partly offset by cash — Operating cash flow (+1,018.6k) and accounts receivable — Subscription billings (+766.0k); other items (+136.0k).</t>
  </si>
  <si>
    <t xml:space="preserve">1000 Cash</t>
  </si>
  <si>
    <t xml:space="preserve">Cash increased 985.6k (7.3%) vs Jul 2026: operating cash flow (+1,018.6k), partly offset by investing cash flow (−33.0k).</t>
  </si>
  <si>
    <t xml:space="preserve">1200 Accounts receivable</t>
  </si>
  <si>
    <t xml:space="preserve">Accounts receivable decreased 1,688.4k (37.0%) vs Jul 2026: collections (−2,654.4k), partly offset by subscription billings (+766.0k) and services invoices (+200.0k).</t>
  </si>
  <si>
    <t xml:space="preserve">1300 Prepaid expenses</t>
  </si>
  <si>
    <t xml:space="preserve">Prepaid expenses decreased 46.0k (20.0%) vs Jul 2026: amortization to expense (−46.0k).</t>
  </si>
  <si>
    <t xml:space="preserve">1450 Capitalized commissions</t>
  </si>
  <si>
    <t xml:space="preserve">Capitalized commissions increased 15.0k (1.2%) vs Jul 2026: commissions capitalized (+55.0k), partly offset by amortization (−40.0k).</t>
  </si>
  <si>
    <t xml:space="preserve">Non-current assets</t>
  </si>
  <si>
    <t xml:space="preserve">Non-current assets decreased 27.0k (2.1%) vs Jul 2026: property, equipment &amp; capitalized software, net — Depreciation &amp; amortization (−60.0k), partly offset by property, equipment &amp; capitalized software, net — Capital expenditures (+33.0k).</t>
  </si>
  <si>
    <t xml:space="preserve">1600 Property, equipment &amp; capitalized software, net</t>
  </si>
  <si>
    <t xml:space="preserve">Property, equipment &amp; capitalized software, net decreased 27.0k (2.1%) vs Jul 2026: depreciation &amp; amortization (−60.0k), partly offset by capital expenditures (+33.0k).</t>
  </si>
  <si>
    <t xml:space="preserve">Total assets</t>
  </si>
  <si>
    <t xml:space="preserve">Total assets decreased 760.8k (3.7%) vs Jul 2026: current assets (−733.8k) and non-current assets (−27.0k).</t>
  </si>
  <si>
    <t xml:space="preserve">Current liabilities</t>
  </si>
  <si>
    <t xml:space="preserve">Current liabilities decreased 1,006.8k (38.3%) vs Jul 2026: deferred revenue — Revenue recognized (−1,800.0k), partly offset by deferred revenue — Billings (+765.9k) and accounts payable — Vendor invoices (+349.0k); other items (−321.7k).</t>
  </si>
  <si>
    <t xml:space="preserve">2000 Accounts payable</t>
  </si>
  <si>
    <t xml:space="preserve">Accounts payable increased 42.0k (13.7%) vs Jul 2026: vendor invoices (+349.0k), partly offset by vendor payments (−307.0k).</t>
  </si>
  <si>
    <t xml:space="preserve">2100 Accrued liabilities</t>
  </si>
  <si>
    <t xml:space="preserve">Accrued liabilities decreased 14.7k (8.8%) vs Jul 2026: event costs paid (−75.0k), partly offset by payroll accruals (+43.5k) and income tax accrual (+34.0k); other items (−17.2k).</t>
  </si>
  <si>
    <t xml:space="preserve">2400 Deferred revenue</t>
  </si>
  <si>
    <t xml:space="preserve">Deferred revenue decreased 1,034.0k (48.0%) vs Jul 2026: revenue recognized (−1,800.0k), partly offset by billings (+766.0k).</t>
  </si>
  <si>
    <t xml:space="preserve">Non-current liabilities</t>
  </si>
  <si>
    <t xml:space="preserve">Non-current liabilities increased 6.0k (0.1%) vs Jul 2026: deferred tax liability — Deferred tax provision (+6.0k).</t>
  </si>
  <si>
    <t xml:space="preserve">2500 Deferred tax liability</t>
  </si>
  <si>
    <t xml:space="preserve">Deferred tax liability increased 6.0k (1.6%) vs Jul 2026: deferred tax provision (+6.0k).</t>
  </si>
  <si>
    <t xml:space="preserve">2800 Term loan</t>
  </si>
  <si>
    <t xml:space="preserve">Term loan was unchanged vs Jul 2026.</t>
  </si>
  <si>
    <t xml:space="preserve">Total liabilities</t>
  </si>
  <si>
    <t xml:space="preserve">Total liabilities decreased 1,000.8k (13.9%) vs Jul 2026: current liabilities (−1,006.8k), partly offset by non-current liabilities (+6.0k).</t>
  </si>
  <si>
    <t xml:space="preserve">Stockholders' equity</t>
  </si>
  <si>
    <t xml:space="preserve">Stockholders' equity increased 240.0k (1.8%) vs Jul 2026: retained earnings (incl. current-year net income) — Net income (+160.0k) and additional paid-in capital — Stock-based compensation (+80.0k).</t>
  </si>
  <si>
    <t xml:space="preserve">3100 Additional paid-in capital</t>
  </si>
  <si>
    <t xml:space="preserve">Additional paid-in capital increased 80.0k (0.6%) vs Jul 2026: stock-based compensation (+80.0k).</t>
  </si>
  <si>
    <t xml:space="preserve">3900 Retained earnings (incl. current-year net income)</t>
  </si>
  <si>
    <t xml:space="preserve">Retained earnings (incl. current-year net income) increased 160.0k (51.1%) vs Jul 2026: net income (+160.0k).</t>
  </si>
  <si>
    <t xml:space="preserve">Total liabilities &amp; equity</t>
  </si>
  <si>
    <t xml:space="preserve">Total liabilities &amp; equity decreased 760.8k (3.7%) vs Jul 2026: liabilities (−1,000.8k), partly offset by stockholders' equity (+240.0k).</t>
  </si>
  <si>
    <t xml:space="preserve">CASH FLOW · indirect</t>
  </si>
  <si>
    <t xml:space="preserve">Net income fell 39.2k (19.7%) vs Jul 2026: operating costs (−41.7k) and income taxes (−5.0k), partly offset by revenue (+8.5k); other items (−1.0k).</t>
  </si>
  <si>
    <t xml:space="preserve">Non-cash adjustments</t>
  </si>
  <si>
    <t xml:space="preserve">Non-cash adjustments rose 6.0k (3.3%) vs Jul 2026: depreciation &amp; amortization — Servers &amp; hardware (+2.0k), stock-based compensation — 2026 refresh grants (+2.0k) and amortization of capitalized commissions — FY26 H2 cohort (+1.0k); other items (+1.0k).</t>
  </si>
  <si>
    <t xml:space="preserve">Depreciation &amp; amortization</t>
  </si>
  <si>
    <t xml:space="preserve">Depreciation &amp; amortization rose 2.0k (3.4%) vs Jul 2026: servers &amp; hardware (+2.0k).</t>
  </si>
  <si>
    <t xml:space="preserve">Stock-based compensation</t>
  </si>
  <si>
    <t xml:space="preserve">Stock-based compensation rose 2.0k (2.6%) vs Jul 2026: 2026 refresh grants (+2.0k).</t>
  </si>
  <si>
    <t xml:space="preserve">Amortization of capitalized commissions</t>
  </si>
  <si>
    <t xml:space="preserve">Amortization of capitalized commissions rose 1.0k (2.6%) vs Jul 2026: FY26 H2 cohort (+1.0k).</t>
  </si>
  <si>
    <t xml:space="preserve">Deferred income taxes</t>
  </si>
  <si>
    <t xml:space="preserve">Deferred income taxes rose 1.0k (20.0%) vs Jul 2026: deferred tax provision (+1.0k).</t>
  </si>
  <si>
    <t xml:space="preserve">Changes in operating assets &amp; liabilities</t>
  </si>
  <si>
    <t xml:space="preserve">Changes in operating assets &amp; liabilities rose 1,562.1k (175.6%) vs Jul 2026: accounts receivable — Subscription billings (+3,163.9k) and accounts receivable — Collections (+1,669.9k), partly offset by deferred revenue — Billings (−3,163.9k); other items (−107.8k).</t>
  </si>
  <si>
    <t xml:space="preserve">Accounts receivable</t>
  </si>
  <si>
    <t xml:space="preserve">Accounts receivable rose 4,848.8k (153.4%) vs Jul 2026: subscription billings (+3,163.9k), collections (+1,669.9k) and services invoices (+15.0k).</t>
  </si>
  <si>
    <t xml:space="preserve">Prepaid expenses</t>
  </si>
  <si>
    <t xml:space="preserve">Prepaid expenses was unchanged vs Jul 2026.</t>
  </si>
  <si>
    <t xml:space="preserve">Capitalized commissions</t>
  </si>
  <si>
    <t xml:space="preserve">Capitalized commissions fell 15.0k (37.5%) vs Jul 2026: commissions capitalized (−15.0k).</t>
  </si>
  <si>
    <t xml:space="preserve">Accounts payable</t>
  </si>
  <si>
    <t xml:space="preserve">Accounts payable rose 39.0k (1300.0%) vs Jul 2026: vendor invoices (+42.0k), partly offset by vendor payments (−3.0k).</t>
  </si>
  <si>
    <t xml:space="preserve">Accrued liabilities</t>
  </si>
  <si>
    <t xml:space="preserve">Accrued liabilities fell 123.4k (113.6%) vs Jul 2026: event costs paid (−60.0k), event accruals (−55.0k) and professional fees paid (−18.0k); other items (+9.6k).</t>
  </si>
  <si>
    <t xml:space="preserve">Deferred revenue</t>
  </si>
  <si>
    <t xml:space="preserve">Deferred revenue fell 3,187.4k (148.0%) vs Jul 2026: billings (−3,163.9k) and revenue recognized (−23.5k).</t>
  </si>
  <si>
    <t xml:space="preserve">Net cash from operating activities</t>
  </si>
  <si>
    <t xml:space="preserve">Net cash from operating activities rose 1,528.9k (299.6%) vs Jul 2026: accounts receivable — Subscription billings (+3,163.9k) and accounts receivable — Collections (+1,669.9k), partly offset by deferred revenue — Billings (−3,163.9k); other items (−141.0k).</t>
  </si>
  <si>
    <t xml:space="preserve">Net cash used in investing activities</t>
  </si>
  <si>
    <t xml:space="preserve">Net cash used in investing activities rose 140.0k (80.9%) vs Jul 2026: capital expenditures — Capital expenditures (+140.0k).</t>
  </si>
  <si>
    <t xml:space="preserve">Capital expenditures</t>
  </si>
  <si>
    <t xml:space="preserve">Capital expenditures rose 140.0k (80.9%) vs Jul 2026: capital expenditures (+140.0k).</t>
  </si>
  <si>
    <t xml:space="preserve">Net cash from financing activities</t>
  </si>
  <si>
    <t xml:space="preserve">Net cash from financing activities was unchanged vs Jul 2026.</t>
  </si>
  <si>
    <t xml:space="preserve">Repayment of term loan</t>
  </si>
  <si>
    <t xml:space="preserve">Repayment of term loan was unchanged vs Jul 2026.</t>
  </si>
  <si>
    <t xml:space="preserve">Proceeds from option exercises</t>
  </si>
  <si>
    <t xml:space="preserve">Proceeds from option exercises was unchanged vs Jul 2026.</t>
  </si>
  <si>
    <t xml:space="preserve">Net change in cash</t>
  </si>
  <si>
    <t xml:space="preserve">Net change in cash rose 1,668.9k (244.2%) vs Jul 2026: net cash from operating activities (+1,528.9k) and net cash used in investing activities (+140.0k).</t>
  </si>
  <si>
    <t xml:space="preserve">F = favorable, U = unfavorable. Variance = current − comparison; % is of the comparison amount. Ties: roll-ups recompute from their lines and equal the ledger total (columns K–L); GL lines tie their drivers and paragraph at export (T22, T26). Paragraph amounts are rounded so they add to the displayed variance.</t>
  </si>
  <si>
    <t xml:space="preserve">Approved by J. Patel, Controller · 2026-09-10 · 97 lines in scope, all reviewed · Ledger amounts in blue, formulas in black; GL lines are grouped under the statement lines built from them (use the outline buttons to collapse).</t>
  </si>
  <si>
    <t xml:space="preserve">Subscription revenue rose 132.2k (3.8%) vs the same months of the prior quarter: new logos (+122.3k; MM-17, ENT-12) and expansion at existing customers (+67.9k), partly offset by contraction (−43.2k; MM-09, ENT-04); other items (−14.8k).</t>
  </si>
  <si>
    <t xml:space="preserve">MC · 2026-09-09</t>
  </si>
  <si>
    <t xml:space="preserve">Professional services revenue rose 135.0k (48.2%) vs the same months of the prior quarter: P-107 ENT-12 implementation (+125.0k) and P-106 ENT-07 integration (+50.0k), partly offset by P-105 ENT-03 analytics rollout (−60.0k); other items (+20.0k).</t>
  </si>
  <si>
    <t xml:space="preserve">Total net revenue rose 267.2k (7.2%) vs the same months of the prior quarter: P-107 ENT-12 implementation (+125.0k), new logos (+122.3k; MM-17, ENT-12) and expansion at existing customers (+68.0k); other items (−48.1k).</t>
  </si>
  <si>
    <t xml:space="preserve">Cost of revenue — subscription &amp; service delivery rose 55.7k (5.6%) vs the same months of the prior quarter: prod (+24.4k), base pay (+14.1k) and benefits (+3.8k); other items (+13.4k).</t>
  </si>
  <si>
    <t xml:space="preserve">Cloud hosting (Engineering) rose 26.9k (10.8%) vs the same months of the prior quarter: prod (+24.4k), staging (prod-adjacent) (+2.0k) and shared observability (+0.5k).</t>
  </si>
  <si>
    <t xml:space="preserve">Compensation (Engineering) rose 9.9k (5.4%) vs the same months of the prior quarter: base pay (+8.2k), benefits (+1.1k) and GL vs payroll reconciling (+0.5k); other items (+0.1k).</t>
  </si>
  <si>
    <t xml:space="preserve">Compensation (Customer Success) fell 5.3k (3.0%) vs the same months of the prior quarter: base pay (−5.9k) and employer payroll taxes (−1.2k), partly offset by one-time compensation (+2.1k); other items (−0.3k).</t>
  </si>
  <si>
    <t xml:space="preserve">Compensation (Support) rose 14.6k (5.0%) vs the same months of the prior quarter: base pay (+11.7k) and benefits (+3.1k), partly offset by employer payroll taxes (−0.2k).</t>
  </si>
  <si>
    <t xml:space="preserve">Software &amp; IT services (Corporate IT) rose 5.1k (20.6%) vs the same months of the prior quarter: a shift in IT seat allocation (+3.2k), identity &amp; security (+0.8k) and developer tooling (+0.5k); other items (+0.6k). Contract: new SSO/identity platform, start Aug 1, 2026, 12-month term.</t>
  </si>
  <si>
    <t xml:space="preserve">Depreciation &amp; amortization (Shared assets) rose 2.0k (5.4%) vs the same months of the prior quarter: capitalized software (+1.0k) and servers &amp; hardware (+1.0k). Asset register: production server expansion placed in service Aug 3.</t>
  </si>
  <si>
    <t xml:space="preserve">Stock-based compensation (Company pool) rose 2.5k (6.8%) vs the same months of the prior quarter: 2026 refresh grants (+3.0k) and 2025 grants (+0.3k), partly offset by 2023 grants (−0.8k).</t>
  </si>
  <si>
    <t xml:space="preserve">Cost of revenue — professional services fell 0.1k (0.0%) vs the same months of the prior quarter: employer payroll taxes (−1.0k), partly offset by benefits (+0.9k).</t>
  </si>
  <si>
    <t xml:space="preserve">Total cost of revenue rose 55.7k (4.5%) vs the same months of the prior quarter: prod (+24.4k), base pay (+14.1k) and benefits (+4.7k); other items (+12.5k).</t>
  </si>
  <si>
    <t xml:space="preserve">Gross profit rose 211.5k (8.5%) vs the same months of the prior quarter: higher net revenue (+267.2k), partly offset by higher cost of revenue (−55.7k).</t>
  </si>
  <si>
    <t xml:space="preserve">Research and development rose 45.0k (5.9%) vs the same months of the prior quarter: base pay (+24.7k), dev-test (+6.0k) and 2026 refresh grants (+4.5k); other items (+9.8k).</t>
  </si>
  <si>
    <t xml:space="preserve">Compensation (Engineering) rose 29.8k (5.4%) vs the same months of the prior quarter: base pay (+24.7k), benefits (+3.2k) and GL vs payroll reconciling (+1.5k); other items (+0.4k).</t>
  </si>
  <si>
    <t xml:space="preserve">Cloud hosting (Engineering) rose 6.0k (7.9%) vs the same months of the prior quarter: dev-test (+6.0k).</t>
  </si>
  <si>
    <t xml:space="preserve">Software &amp; IT services (Corporate IT) rose 3.4k (7.7%) vs the same months of the prior quarter: identity &amp; security (+1.3k), developer tooling (+1.0k) and CRM seats (+0.9k); other items (+0.2k). Contract: new SSO/identity platform, start Aug 1, 2026, 12-month term.</t>
  </si>
  <si>
    <t xml:space="preserve">Stock-based compensation (Company pool) rose 3.8k (6.8%) vs the same months of the prior quarter: 2026 refresh grants (+4.5k) and 2025 grants (+0.4k), partly offset by 2023 grants (−1.1k).</t>
  </si>
  <si>
    <t xml:space="preserve">Sales and marketing rose 152.7k (18.1%) vs the same months of the prior quarter: events &amp; conferences (+77.3k), base pay (+37.5k) and demo (+12.0k); other items (+25.9k). Journal memo: annual customer conference (Jul 21–23).</t>
  </si>
  <si>
    <t xml:space="preserve">Compensation (Sales) rose 47.0k (11.2%) vs the same months of the prior quarter: base pay (+40.1k), benefits (+5.4k) and employer payroll taxes (+1.5k).</t>
  </si>
  <si>
    <t xml:space="preserve">Compensation (Customer Success) fell 2.3k (3.0%) vs the same months of the prior quarter: base pay (−2.5k) and employer payroll taxes (−0.5k), partly offset by one-time compensation (+0.9k); other items (−0.2k).</t>
  </si>
  <si>
    <t xml:space="preserve">Marketing programs (Marketing) rose 85.5k (55.3%) vs the same months of the prior quarter: events &amp; conferences (+77.3k), paid search &amp; social (+8.2k) and content &amp; SEO (+3.0k); other items (−3.0k). Journal memo: annual customer conference (Jul 21–23).</t>
  </si>
  <si>
    <t xml:space="preserve">Amortization of capitalized commissions (Sales) rose 6.5k (9.0%) vs the same months of the prior quarter: FY26 H1 cohort (+5.0k) and FY25 H2 cohort (+1.5k), partly offset by FY24 cohort (−1.0k); other items (+1.0k).</t>
  </si>
  <si>
    <t xml:space="preserve">Cloud hosting (Engineering) rose 12.0k (66.7%) vs the same months of the prior quarter: demo (+12.0k). Invoice memo: demo clusters for Partner Summit (Aug 12–14).</t>
  </si>
  <si>
    <t xml:space="preserve">Software &amp; IT services (Corporate IT) rose 0.5k (1.1%) vs the same months of the prior quarter: identity &amp; security (+1.5k) and developer tooling (+1.1k), partly offset by a shift in IT seat allocation (−3.2k); other items (+1.1k). Contract: new SSO/identity platform, start Aug 1, 2026, 12-month term.</t>
  </si>
  <si>
    <t xml:space="preserve">Depreciation &amp; amortization (Shared assets) rose 1.0k (5.4%) vs the same months of the prior quarter: capitalized software (+0.5k) and servers &amp; hardware (+0.5k). Asset register: production server expansion placed in service Aug 3.</t>
  </si>
  <si>
    <t xml:space="preserve">General and administrative rose 49.9k (13.4%) vs the same months of the prior quarter: audit &amp; tax fees (+28.0k), G&amp;A team payroll (+9.6k) and outside legal (+4.2k); other items (+8.1k). Accrual memo: Q2 review and tax provision support.</t>
  </si>
  <si>
    <t xml:space="preserve">Corporate labor &amp; professional services (G&amp;A) rose 45.4k (14.8%) vs the same months of the prior quarter: audit &amp; tax fees (+28.0k), G&amp;A team payroll (+9.6k) and outside legal (+4.2k); other items (+3.6k). Accrual memo: Q2 review and tax provision support. Other items include JE-2026-08-114, the August outside-legal accrual true-up, since recategorized to outside legal.</t>
  </si>
  <si>
    <t xml:space="preserve">Software &amp; IT services (Corporate IT) rose 2.2k (7.7%) vs the same months of the prior quarter: identity &amp; security (+0.9k), developer tooling (+0.6k) and CRM seats (+0.6k); other items (+0.1k). Contract: new SSO/identity platform, start Aug 1, 2026, 12-month term.</t>
  </si>
  <si>
    <t xml:space="preserve">Stock-based compensation (Company pool) rose 1.2k (6.8%) vs the same months of the prior quarter: 2026 refresh grants (+1.5k) and 2025 grants (+0.1k), partly offset by 2023 grants (−0.4k).</t>
  </si>
  <si>
    <t xml:space="preserve">Total operating expenses rose 247.5k (12.5%) vs the same months of the prior quarter: sales and marketing (+152.7k), general and administrative (+49.9k) and research and development (+44.9k).</t>
  </si>
  <si>
    <t xml:space="preserve">Operating income fell 36.0k (7.1%) vs the same months of the prior quarter: higher operating expenses (−247.5k) and higher cost of revenue (−55.7k), partly offset by higher net revenue (+267.2k).</t>
  </si>
  <si>
    <t xml:space="preserve">Interest income fell 1.5k (6.7%) vs the same months of the prior quarter: money market funds (−1.5k).</t>
  </si>
  <si>
    <t xml:space="preserve">Interest expense fell 0.5k (0.8%) vs the same months of the prior quarter: term loan (−0.5k).</t>
  </si>
  <si>
    <t xml:space="preserve">Income before income taxes fell 37.0k (7.9%) vs the same months of the prior quarter: higher operating expenses (−247.5k) and higher cost of revenue (−55.7k), partly offset by higher net revenue (+267.2k); other lines (−1.0k).</t>
  </si>
  <si>
    <t xml:space="preserve">Income tax expense rose 11.5k (18.1%) vs the same months of the prior quarter: current tax (+10.0k) and deferred tax (+1.5k).</t>
  </si>
  <si>
    <t xml:space="preserve">Net income fell 48.5k (11.9%) vs the same months of the prior quarter: higher operating expenses (−247.5k) and higher cost of revenue (−55.7k), partly offset by higher net revenue (+267.2k); other lines (−12.5k).</t>
  </si>
  <si>
    <t xml:space="preserve">Service delivery (subscription COR) rose 56.3k (5.6%) vs the same months of the prior quarter: prod (+24.4k), base pay (+14.1k) and benefits (+3.8k); other items (+14.0k).</t>
  </si>
  <si>
    <t xml:space="preserve">Production compute (6100) rose 26.9k (10.8%) vs the same months of the prior quarter: prod (+24.4k), staging (prod-adjacent) (+2.0k) and shared observability (+0.5k).</t>
  </si>
  <si>
    <t xml:space="preserve">SRE / platform operations (6000) rose 9.9k (5.4%) vs the same months of the prior quarter: base pay (+8.2k), benefits (+1.1k) and GL vs payroll reconciling (+0.5k); other items (+0.1k).</t>
  </si>
  <si>
    <t xml:space="preserve">Technical support (6000) rose 14.6k (5.0%) vs the same months of the prior quarter: base pay (+11.7k) and benefits (+3.1k), partly offset by employer payroll taxes (−0.2k).</t>
  </si>
  <si>
    <t xml:space="preserve">CS / TAM delivery (6000) fell 5.3k (3.0%) vs the same months of the prior quarter: base pay (−5.9k) and employer payroll taxes (−1.2k), partly offset by one-time compensation (+2.1k); other items (−0.3k).</t>
  </si>
  <si>
    <t xml:space="preserve">Shared IT (fully loaded) (6200) rose 5.6k (17.7%) vs the same months of the prior quarter: a shift in IT seat allocation (+3.1k), identity &amp; security (+1.0k) and developer tooling (+0.7k); other items (+0.8k). Contract: new SSO/identity platform, start Aug 1, 2026, 12-month term.</t>
  </si>
  <si>
    <t xml:space="preserve">Depreciation &amp; amortization (6700) rose 2.0k (5.4%) vs the same months of the prior quarter: capitalized software (+1.0k) and servers &amp; hardware (+1.0k). Asset register: production server expansion placed in service Aug 3.</t>
  </si>
  <si>
    <t xml:space="preserve">Stock-based compensation (6800) rose 2.5k (6.8%) vs the same months of the prior quarter: 2026 refresh grants (+3.0k) and 2025 grants (+0.3k), partly offset by 2023 grants (−0.8k).</t>
  </si>
  <si>
    <t xml:space="preserve">Services delivery (PS COR) fell 0.1k (0.0%) vs the same months of the prior quarter: employer payroll taxes (−1.0k), partly offset by benefits (+0.9k).</t>
  </si>
  <si>
    <t xml:space="preserve">Services delivery (6000) fell 0.1k (0.0%) vs the same months of the prior quarter: employer payroll taxes (−1.0k), partly offset by benefits (+0.9k).</t>
  </si>
  <si>
    <t xml:space="preserve">Total service delivery cost rose 56.2k (4.5%) vs the same months of the prior quarter: service delivery (subscription COR) (+56.3k), partly offset by services delivery (PS COR) (−0.1k).</t>
  </si>
  <si>
    <t xml:space="preserve">Management gross profit rose 211.0k (8.5%) vs the same months of the prior quarter: higher net revenue (+267.2k), partly offset by higher service delivery cost (−56.2k).</t>
  </si>
  <si>
    <t xml:space="preserve">S&amp;M — direct go-to-market rose 148.7k (20.1%) vs the same months of the prior quarter: events &amp; conferences (+77.3k), base pay (+37.5k) and demo (+12.0k); other items (+21.9k). Journal memo: annual customer conference (Jul 21–23).</t>
  </si>
  <si>
    <t xml:space="preserve">Direct sales (6000) rose 47.0k (11.2%) vs the same months of the prior quarter: base pay (+40.1k), benefits (+5.4k) and employer payroll taxes (+1.5k).</t>
  </si>
  <si>
    <t xml:space="preserve">Expansion selling (6000) fell 2.3k (3.0%) vs the same months of the prior quarter: base pay (−2.5k) and employer payroll taxes (−0.5k), partly offset by one-time compensation (+0.9k); other items (−0.2k).</t>
  </si>
  <si>
    <t xml:space="preserve">Demand generation (6300) rose 85.5k (55.3%) vs the same months of the prior quarter: events &amp; conferences (+77.3k), paid search &amp; social (+8.2k) and content &amp; SEO (+3.0k); other items (−3.0k). Journal memo: annual customer conference (Jul 21–23).</t>
  </si>
  <si>
    <t xml:space="preserve">Commission amortization (6410) rose 6.5k (9.0%) vs the same months of the prior quarter: FY26 H1 cohort (+5.0k) and FY25 H2 cohort (+1.5k), partly offset by FY24 cohort (−1.0k); other items (+1.0k).</t>
  </si>
  <si>
    <t xml:space="preserve">Sales demo environments (6100) rose 12.0k (66.7%) vs the same months of the prior quarter: demo (+12.0k). Invoice memo: demo clusters for Partner Summit (Aug 12–14).</t>
  </si>
  <si>
    <t xml:space="preserve">Contribution after direct go-to-market rose 62.3k (3.6%) vs the same months of the prior quarter: higher net revenue (+267.2k), partly offset by higher S&amp;M — direct go-to-market (−148.7k) and higher service delivery cost (−56.2k).</t>
  </si>
  <si>
    <t xml:space="preserve">S&amp;M — shared costs rose 4.9k (4.3%) vs the same months of the prior quarter: 2026 refresh grants (+3.0k) and identity &amp; security (+1.8k), partly offset by a shift in IT seat allocation (−3.1k); other items (+3.2k). Contract: new SSO/identity platform, start Aug 1, 2026, 12-month term.</t>
  </si>
  <si>
    <t xml:space="preserve">Shared IT (fully loaded) (6200) rose 1.4k (2.3%) vs the same months of the prior quarter: identity &amp; security (+1.8k) and developer tooling (+1.3k), partly offset by a shift in IT seat allocation (−3.1k); other items (+1.4k). Contract: new SSO/identity platform, start Aug 1, 2026, 12-month term.</t>
  </si>
  <si>
    <t xml:space="preserve">Depreciation &amp; amortization (6700) rose 1.0k (5.4%) vs the same months of the prior quarter: capitalized software (+0.5k) and servers &amp; hardware (+0.5k). Asset register: production server expansion placed in service Aug 3.</t>
  </si>
  <si>
    <t xml:space="preserve">Research and development rose 45.8k (5.9%) vs the same months of the prior quarter: base pay (+24.7k), dev-test (+6.0k) and 2026 refresh grants (+4.5k); other items (+10.6k).</t>
  </si>
  <si>
    <t xml:space="preserve">Product engineering (6000) rose 29.8k (5.4%) vs the same months of the prior quarter: base pay (+24.7k), benefits (+3.2k) and GL vs payroll reconciling (+1.5k); other items (+0.4k).</t>
  </si>
  <si>
    <t xml:space="preserve">Dev/test infrastructure (6100) rose 6.0k (7.9%) vs the same months of the prior quarter: dev-test (+6.0k).</t>
  </si>
  <si>
    <t xml:space="preserve">Shared IT (fully loaded) (6200) rose 4.2k (7.7%) vs the same months of the prior quarter: identity &amp; security (+1.7k), developer tooling (+1.2k) and CRM seats (+1.1k); other items (+0.2k). Contract: new SSO/identity platform, start Aug 1, 2026, 12-month term.</t>
  </si>
  <si>
    <t xml:space="preserve">Stock-based compensation (6800) rose 3.8k (6.8%) vs the same months of the prior quarter: 2026 refresh grants (+4.5k) and 2025 grants (+0.4k), partly offset by 2023 grants (−1.1k).</t>
  </si>
  <si>
    <t xml:space="preserve">General and administrative rose 47.6k (13.9%) vs the same months of the prior quarter: audit &amp; tax fees (+28.0k), G&amp;A team payroll (+9.6k) and outside legal (+4.2k); other items (+5.8k). Accrual memo: Q2 review and tax provision support.</t>
  </si>
  <si>
    <t xml:space="preserve">Corporate administration (6050) rose 45.4k (14.8%) vs the same months of the prior quarter: audit &amp; tax fees (+28.0k), G&amp;A team payroll (+9.6k) and outside legal (+4.2k); other items (+3.6k). Accrual memo: Q2 review and tax provision support. Other items include JE-2026-08-114, the August outside-legal accrual true-up, since recategorized to outside legal.</t>
  </si>
  <si>
    <t xml:space="preserve">Stock-based compensation (6800) rose 1.2k (6.8%) vs the same months of the prior quarter: 2026 refresh grants (+1.5k) and 2025 grants (+0.1k), partly offset by 2023 grants (−0.4k).</t>
  </si>
  <si>
    <t xml:space="preserve">Shared S&amp;M, R&amp;D and G&amp;A rose 98.3k (8.0%) vs the same months of the prior quarter: general and administrative (+47.6k), research and development (+45.8k) and S&amp;M — shared costs (+4.9k).</t>
  </si>
  <si>
    <t xml:space="preserve">Operating income fell 36.0k (7.1%) vs the same months of the prior quarter: higher S&amp;M — direct go-to-market (−148.7k) and higher shared S&amp;M, R&amp;D and G&amp;A (−98.3k), partly offset by higher net revenue (+267.2k); other lines (−56.2k).</t>
  </si>
  <si>
    <t xml:space="preserve">Net income fell 48.5k (11.9%) vs the same months of the prior quarter: higher S&amp;M — direct go-to-market (−148.7k) and higher shared S&amp;M, R&amp;D and G&amp;A (−98.3k), partly offset by higher net revenue (+267.2k); other lines (−68.7k).</t>
  </si>
  <si>
    <t xml:space="preserve">Revenue rose 267.2k (7.2%) vs the same months of the prior quarter: P-107 ENT-12 implementation (+125.0k), new logos (+122.3k; MM-17, ENT-12) and expansion at existing customers (+68.0k); other items (−48.1k).</t>
  </si>
  <si>
    <t xml:space="preserve">Compensation (6000) rose 93.7k (4.8%) vs the same months of the prior quarter: base pay (+76.3k), benefits (+13.2k) and one-time compensation (+4.0k); other items (+0.2k).</t>
  </si>
  <si>
    <t xml:space="preserve">Compensation (Engineering) rose 39.8k (5.4%) vs the same months of the prior quarter: base pay (+32.9k), benefits (+4.3k) and GL vs payroll reconciling (+2.0k); other items (+0.6k).</t>
  </si>
  <si>
    <t xml:space="preserve">Compensation (Customer Success) fell 7.6k (3.0%) vs the same months of the prior quarter: base pay (−8.4k) and employer payroll taxes (−1.7k), partly offset by one-time compensation (+3.0k); other items (−0.5k).</t>
  </si>
  <si>
    <t xml:space="preserve">Compensation (Professional Services) fell 0.1k (0.0%) vs the same months of the prior quarter: employer payroll taxes (−1.0k), partly offset by benefits (+0.9k).</t>
  </si>
  <si>
    <t xml:space="preserve">Cloud, software &amp; IT rose 56.1k (11.5%) vs the same months of the prior quarter: prod (+24.4k), demo (+12.0k) and dev-test (+6.0k); other items (+13.7k). Invoice memo: demo clusters for Partner Summit (Aug 12–14).</t>
  </si>
  <si>
    <t xml:space="preserve">Cloud hosting (Engineering) rose 44.9k (13.1%) vs the same months of the prior quarter: prod (+24.4k), demo (+12.0k) and dev-test (+6.0k); other items (+2.5k). Invoice memo: demo clusters for Partner Summit (Aug 12–14).</t>
  </si>
  <si>
    <t xml:space="preserve">Software &amp; IT services (Corporate IT) rose 11.2k (7.7%) vs the same months of the prior quarter: identity &amp; security (+4.5k), developer tooling (+3.2k) and CRM seats (+3.0k); other items (+0.5k). Contract: new SSO/identity platform, start Aug 1, 2026, 12-month term.</t>
  </si>
  <si>
    <t xml:space="preserve">Marketing &amp; corporate services rose 130.9k (28.4%) vs the same months of the prior quarter: events &amp; conferences (+77.3k), audit &amp; tax fees (+28.0k) and G&amp;A team payroll (+9.6k); other items (+16.0k). Journal memo: annual customer conference (Jul 21–23).</t>
  </si>
  <si>
    <t xml:space="preserve">Amortization, D&amp;A and stock compensation rose 22.5k (6.8%) vs the same months of the prior quarter: 2026 refresh grants (+12.0k) and FY26 H1 cohort (+5.0k), partly offset by 2023 grants (−3.0k); other items (+8.5k).</t>
  </si>
  <si>
    <t xml:space="preserve">Depreciation &amp; amortization (Shared assets) rose 6.0k (5.4%) vs the same months of the prior quarter: capitalized software (+3.0k) and servers &amp; hardware (+3.0k). Asset register: production server expansion placed in service Aug 3.</t>
  </si>
  <si>
    <t xml:space="preserve">Stock-based compensation (Company pool) rose 10.0k (6.8%) vs the same months of the prior quarter: 2026 refresh grants (+12.0k) and 2025 grants (+1.0k), partly offset by 2023 grants (−3.0k).</t>
  </si>
  <si>
    <t xml:space="preserve">Total operating costs rose 303.2k (9.4%) vs the same months of the prior quarter: marketing &amp; corporate services (+130.9k), compensation (+93.7k) and cloud, software &amp; IT (+56.1k); other lines (+22.5k).</t>
  </si>
  <si>
    <t xml:space="preserve">Operating income fell 36.0k (7.1%) vs the same months of the prior quarter: higher operating costs (−303.2k), partly offset by higher revenue (+267.2k).</t>
  </si>
  <si>
    <t xml:space="preserve">Interest, net fell 1.0k (2.6%) vs the same months of the prior quarter: lower interest income (−1.5k), partly offset by lower interest expense (+0.5k).</t>
  </si>
  <si>
    <t xml:space="preserve">Net income fell 48.5k (11.9%) vs the same months of the prior quarter: higher operating costs (−303.2k) and higher income tax expense (−11.5k), partly offset by higher revenue (+267.2k); other lines (−1.0k).</t>
  </si>
  <si>
    <t xml:space="preserve">Balances: end of Aug 2026 vs end of Jun 2026</t>
  </si>
  <si>
    <t xml:space="preserve">Current assets increased 1,698.4k (9.9%) vs the same months of the prior quarter: accounts receivable — Subscription billings (+4,695.8k) and cash — Operating cash flow (+508.4k), partly offset by accounts receivable — Collections (−3,638.8k); other items (+133.0k).</t>
  </si>
  <si>
    <t xml:space="preserve">Cash increased 302.3k (2.1%) vs the same months of the prior quarter: operating cash flow (+508.3k), partly offset by investing cash flow (−206.0k).</t>
  </si>
  <si>
    <t xml:space="preserve">Accounts receivable increased 1,472.0k (105.1%) vs the same months of the prior quarter: subscription billings (+4,695.8k) and services invoices (+415.0k), partly offset by collections (−3,638.8k).</t>
  </si>
  <si>
    <t xml:space="preserve">Prepaid expenses decreased 92.0k (33.3%) vs the same months of the prior quarter: amortization to expense (−92.0k).</t>
  </si>
  <si>
    <t xml:space="preserve">Capitalized commissions increased 16.0k (1.3%) vs the same months of the prior quarter: commissions capitalized (+95.0k), partly offset by amortization (−79.0k).</t>
  </si>
  <si>
    <t xml:space="preserve">Non-current assets increased 88.0k (7.7%) vs the same months of the prior quarter: property, equipment &amp; capitalized software, net — Capital expenditures (+206.0k), partly offset by property, equipment &amp; capitalized software, net — Depreciation &amp; amortization (−118.0k).</t>
  </si>
  <si>
    <t xml:space="preserve">Property, equipment &amp; capitalized software, net increased 88.0k (7.7%) vs the same months of the prior quarter: capital expenditures (+206.0k), partly offset by depreciation &amp; amortization (−118.0k).</t>
  </si>
  <si>
    <t xml:space="preserve">Total assets increased 1,786.4k (9.8%) vs the same months of the prior quarter: current assets (+1,698.4k) and non-current assets (+88.0k).</t>
  </si>
  <si>
    <t xml:space="preserve">Current liabilities increased 1,258.2k (347.0%) vs the same months of the prior quarter: deferred revenue — Billings (+4,695.8k) and accounts payable — Vendor invoices (+656.0k), partly offset by deferred revenue — Revenue recognized (−3,576.5k); other items (−517.1k).</t>
  </si>
  <si>
    <t xml:space="preserve">Accounts payable increased 45.0k (14.8%) vs the same months of the prior quarter: vendor invoices (+656.0k), partly offset by vendor payments (−611.0k).</t>
  </si>
  <si>
    <t xml:space="preserve">Accrued liabilities increased 93.9k (160.1%) vs the same months of the prior quarter: event accruals (+95.0k) and payroll accruals (+75.7k), partly offset by event costs paid (−90.0k); other items (+13.2k).</t>
  </si>
  <si>
    <t xml:space="preserve">Deferred revenue increased 1,119.3k vs the same months of the prior quarter: billings (+4,695.8k), partly offset by revenue recognized (−3,576.5k).</t>
  </si>
  <si>
    <t xml:space="preserve">Non-current liabilities increased 11.0k (0.2%) vs the same months of the prior quarter: deferred tax liability — Deferred tax provision (+11.0k).</t>
  </si>
  <si>
    <t xml:space="preserve">Deferred tax liability increased 11.0k (3.0%) vs the same months of the prior quarter: deferred tax provision (+11.0k).</t>
  </si>
  <si>
    <t xml:space="preserve">Term loan was unchanged vs the same months of the prior quarter.</t>
  </si>
  <si>
    <t xml:space="preserve">Total liabilities increased 1,269.2k (25.7%) vs the same months of the prior quarter: current liabilities (+1,258.2k) and non-current liabilities (+11.0k).</t>
  </si>
  <si>
    <t xml:space="preserve">Stockholders' equity increased 517.2k (3.9%) vs the same months of the prior quarter: retained earnings (incl. current-year net income) — Net income (+359.2k) and additional paid-in capital — Stock-based compensation (+158.0k).</t>
  </si>
  <si>
    <t xml:space="preserve">Additional paid-in capital increased 158.0k (1.2%) vs the same months of the prior quarter: stock-based compensation (+158.0k).</t>
  </si>
  <si>
    <t xml:space="preserve">Retained earnings (incl. current-year net income) increased 359.2k (314.9%) vs the same months of the prior quarter: net income (+359.2k).</t>
  </si>
  <si>
    <t xml:space="preserve">Total liabilities &amp; equity increased 1,786.4k (9.8%) vs the same months of the prior quarter: liabilities (+1,269.2k) and stockholders' equity (+517.2k).</t>
  </si>
  <si>
    <t xml:space="preserve">Net income fell 48.5k (11.9%) vs the same months of the prior quarter: operating costs (−303.2k) and income taxes (−11.5k), partly offset by revenue (+267.2k); other items (−1.0k).</t>
  </si>
  <si>
    <t xml:space="preserve">Non-cash adjustments rose 24.0k (7.0%) vs the same months of the prior quarter: stock-based compensation — 2026 refresh grants (+12.0k), amortization of capitalized commissions — FY26 H1 cohort (+5.0k) and depreciation &amp; amortization — Capitalized software (+3.0k); other items (+4.0k).</t>
  </si>
  <si>
    <t xml:space="preserve">Depreciation &amp; amortization rose 6.0k (5.4%) vs the same months of the prior quarter: capitalized software (+3.0k) and servers &amp; hardware (+3.0k).</t>
  </si>
  <si>
    <t xml:space="preserve">Stock-based compensation rose 10.0k (6.8%) vs the same months of the prior quarter: 2026 refresh grants (+12.0k) and 2025 grants (+1.0k), partly offset by 2023 grants (−3.0k).</t>
  </si>
  <si>
    <t xml:space="preserve">Amortization of capitalized commissions rose 6.5k (9.0%) vs the same months of the prior quarter: FY26 H1 cohort (+5.0k) and FY25 H2 cohort (+1.5k), partly offset by FY24 cohort (−1.0k); other items (+1.0k).</t>
  </si>
  <si>
    <t xml:space="preserve">Deferred income taxes rose 1.5k (15.8%) vs the same months of the prior quarter: deferred tax provision (+1.5k).</t>
  </si>
  <si>
    <t xml:space="preserve">Changes in operating assets &amp; liabilities rose 50.0k (18.7%) vs the same months of the prior quarter: deferred revenue — Billings (+194.0k) and accounts receivable — Collections (+135.7k), partly offset by accounts receivable — Subscription billings (−194.0k); other items (−85.7k).</t>
  </si>
  <si>
    <t xml:space="preserve">Accounts receivable fell 193.2k (15.1%) vs the same months of the prior quarter: subscription billings (−194.0k) and services invoices (−135.0k), partly offset by collections (+135.8k).</t>
  </si>
  <si>
    <t xml:space="preserve">Prepaid expenses rose 3.2k (3.6%) vs the same months of the prior quarter: amortization to expense (+3.2k).</t>
  </si>
  <si>
    <t xml:space="preserve">Capitalized commissions fell 15.0k (18.8%) vs the same months of the prior quarter: commissions capitalized (−15.0k).</t>
  </si>
  <si>
    <t xml:space="preserve">Accounts payable rose 31.1k (223.0%) vs the same months of the prior quarter: vendor invoices (+68.9k), partly offset by vendor payments (−37.8k).</t>
  </si>
  <si>
    <t xml:space="preserve">Accrued liabilities rose 162.2k (237.4%) vs the same months of the prior quarter: income tax payments (+102.7k) and event accruals (+77.3k), partly offset by event costs paid (−72.8k); other items (+55.0k).</t>
  </si>
  <si>
    <t xml:space="preserve">Deferred revenue rose 61.8k (5.8%) vs the same months of the prior quarter: billings (+194.0k), partly offset by revenue recognized (−132.2k).</t>
  </si>
  <si>
    <t xml:space="preserve">Net cash from operating activities rose 25.5k (5.3%) vs the same months of the prior quarter: net income — Revenue (+267.2k), partly offset by net income — Operating costs (−303.2k) and accounts receivable — Subscription billings (−194.0k); other items (+255.5k).</t>
  </si>
  <si>
    <t xml:space="preserve">Net cash used in investing activities fell 140.0k (212.1%) vs the same months of the prior quarter: capital expenditures — Capital expenditures (−140.0k).</t>
  </si>
  <si>
    <t xml:space="preserve">Capital expenditures fell 140.0k (212.1%) vs the same months of the prior quarter: capital expenditures (−140.0k).</t>
  </si>
  <si>
    <t xml:space="preserve">Net cash from financing activities fell 12.0k (100.0%) vs the same months of the prior quarter: proceeds from option exercises — Option exercises (−12.0k).</t>
  </si>
  <si>
    <t xml:space="preserve">Repayment of term loan was unchanged vs the same months of the prior quarter.</t>
  </si>
  <si>
    <t xml:space="preserve">Proceeds from option exercises fell 12.0k (100.0%) vs the same months of the prior quarter: option exercises (−12.0k).</t>
  </si>
  <si>
    <t xml:space="preserve">Net change in cash fell 126.5k (29.5%) vs the same months of the prior quarter: net cash used in investing activities (−140.0k) and net cash from financing activities (−12.0k), partly offset by net cash from operating activities (+25.5k).</t>
  </si>
  <si>
    <t xml:space="preserve">Approved by J. Patel, Controller · 2026-09-10 · 134 lines in scope, all reviewed · Ledger amounts in blue, formulas in black; GL lines are grouped under the statement lines built from them (use the outline buttons to collapse).</t>
  </si>
  <si>
    <t xml:space="preserve">Subscription revenue rose 306.4k (20.5%) vs Aug 2025: new logos (+381.7k; ENT-08, ENT-11) and expansion at existing customers (+82.8k), partly offset by churned customers (−145.8k; ENT-10, MM-09); other items (−12.3k).</t>
  </si>
  <si>
    <t xml:space="preserve">Professional services revenue rose 70.0k (53.8%) vs Aug 2025: P-107 ENT-12 implementation (+85.0k) and P-106 ENT-07 integration (+50.0k), partly offset by P-103 ENT-11 implementation (−55.0k); other items (−10.0k).</t>
  </si>
  <si>
    <t xml:space="preserve">Total net revenue rose 376.4k (23.2%) vs Aug 2025: new logos (+381.8k; ENT-08, ENT-11) and P-107 ENT-12 implementation (+85.0k), partly offset by churned customers (−145.8k; ENT-10, MM-09); other items (+55.4k).</t>
  </si>
  <si>
    <t xml:space="preserve">Cost of revenue — subscription &amp; service delivery rose 128.5k (31.2%) vs Aug 2025: base pay (+57.3k), prod (+36.0k) and benefits (+9.8k); other items (+25.4k).</t>
  </si>
  <si>
    <t xml:space="preserve">Cloud hosting (Engineering) rose 39.0k (38.6%) vs Aug 2025: prod (+36.0k), staging (prod-adjacent) (+2.0k) and shared observability (+1.0k).</t>
  </si>
  <si>
    <t xml:space="preserve">Compensation (Engineering) rose 25.1k (33.6%) vs Aug 2025: base pay (+19.8k), benefits (+2.0k) and employer payroll taxes (+1.6k); other items (+1.7k).</t>
  </si>
  <si>
    <t xml:space="preserve">Compensation (Customer Success) rose 12.6k (17.7%) vs Aug 2025: base pay (+8.1k), one-time compensation (+2.1k) and benefits (+1.7k); other items (+0.7k).</t>
  </si>
  <si>
    <t xml:space="preserve">Compensation (Support) rose 37.8k (31.0%) vs Aug 2025: base pay (+29.4k), benefits (+6.1k) and employer payroll taxes (+2.3k).</t>
  </si>
  <si>
    <t xml:space="preserve">Software &amp; IT services (Corporate IT) rose 6.6k (69.5%) vs Aug 2025: a shift in IT seat allocation (+3.2k), developer tooling (+1.0k) and identity &amp; security (+0.8k); other items (+1.6k). Contract: new SSO/identity platform, start Aug 1, 2026, 12-month term.</t>
  </si>
  <si>
    <t xml:space="preserve">Depreciation &amp; amortization (Shared assets) rose 3.7k (22.4%) vs Aug 2025: servers &amp; hardware (+2.0k) and capitalized software (+1.7k). Asset register: production server expansion placed in service Aug 3.</t>
  </si>
  <si>
    <t xml:space="preserve">Stock-based compensation (Company pool) rose 3.8k (23.1%) vs Aug 2025: 2026 refresh grants (+4.0k) and 2025 grants (+1.0k), partly offset by 2023 grants (−1.2k).</t>
  </si>
  <si>
    <t xml:space="preserve">Cost of revenue — professional services rose 16.4k (15.8%) vs Aug 2025: base pay (+13.0k), benefits (+2.4k) and employer payroll taxes (+1.0k).</t>
  </si>
  <si>
    <t xml:space="preserve">Total cost of revenue rose 144.9k (28.1%) vs Aug 2025: base pay (+70.3k), prod (+36.0k) and benefits (+12.2k); other items (+26.4k).</t>
  </si>
  <si>
    <t xml:space="preserve">Gross profit rose 231.4k (20.9%) vs Aug 2025: higher net revenue (+376.4k), partly offset by higher cost of revenue (−145.0k).</t>
  </si>
  <si>
    <t xml:space="preserve">Research and development rose 100.0k (31.8%) vs Aug 2025: base pay (+59.3k), dev-test (+8.0k) and benefits (+6.1k); other items (+26.6k).</t>
  </si>
  <si>
    <t xml:space="preserve">Compensation (Engineering) rose 75.4k (33.6%) vs Aug 2025: base pay (+59.3k), benefits (+6.1k) and employer payroll taxes (+4.7k); other items (+5.3k).</t>
  </si>
  <si>
    <t xml:space="preserve">Cloud hosting (Engineering) rose 9.0k (29.0%) vs Aug 2025: dev-test (+8.0k) and CI runners (+1.0k).</t>
  </si>
  <si>
    <t xml:space="preserve">Software &amp; IT services (Corporate IT) rose 6.3k (35.6%) vs Aug 2025: developer tooling (+1.8k), identity &amp; security (+1.5k) and CRM seats (+1.2k); other items (+1.8k). Contract: new SSO/identity platform, start Aug 1, 2026, 12-month term.</t>
  </si>
  <si>
    <t xml:space="preserve">Stock-based compensation (Company pool) rose 5.6k (23.1%) vs Aug 2025: 2026 refresh grants (+6.0k) and 2025 grants (+1.5k), partly offset by 2023 grants (−1.9k).</t>
  </si>
  <si>
    <t xml:space="preserve">Sales and marketing rose 147.5k (43.1%) vs Aug 2025: base pay (+62.2k), demo (+12.0k) and FY25 H2 cohort (+11.0k); other items (+62.3k). Invoice memo: demo clusters for Partner Summit (Aug 12–14).</t>
  </si>
  <si>
    <t xml:space="preserve">Compensation (Sales) rose 71.1k (42.1%) vs Aug 2025: base pay (+58.7k), benefits (+7.7k) and employer payroll taxes (+4.7k).</t>
  </si>
  <si>
    <t xml:space="preserve">Compensation (Customer Success) rose 5.4k (17.7%) vs Aug 2025: base pay (+3.5k), one-time compensation (+0.9k) and benefits (+0.7k); other items (+0.3k).</t>
  </si>
  <si>
    <t xml:space="preserve">Marketing programs (Marketing) rose 32.0k (47.1%) vs Aug 2025: events &amp; conferences (+10.0k), paid search &amp; social (+10.0k) and partner marketing (+7.0k); other items (+5.0k). Journal memo: Partner Summit co-marketing.</t>
  </si>
  <si>
    <t xml:space="preserve">Amortization of capitalized commissions (Sales) rose 16.5k (70.5%) vs Aug 2025: FY25 H2 cohort (+11.0k) and FY26 H1 cohort (+6.0k), partly offset by FY24 cohort (−3.5k); other items (+3.0k).</t>
  </si>
  <si>
    <t xml:space="preserve">Cloud hosting (Engineering) rose 13.0k (185.7%) vs Aug 2025: demo (+12.0k) and sales sandbox (+1.0k). Invoice memo: demo clusters for Partner Summit (Aug 12–14).</t>
  </si>
  <si>
    <t xml:space="preserve">Software &amp; IT services (Corporate IT) rose 3.9k (19.6%) vs Aug 2025: developer tooling (+2.0k) and identity &amp; security (+1.7k), partly offset by a shift in IT seat allocation (−3.2k); other items (+3.4k). Contract: new SSO/identity platform, start Aug 1, 2026, 12-month term.</t>
  </si>
  <si>
    <t xml:space="preserve">Depreciation &amp; amortization (Shared assets) rose 1.8k (22.4%) vs Aug 2025: servers &amp; hardware (+1.0k) and capitalized software (+0.8k). Asset register: production server expansion placed in service Aug 3.</t>
  </si>
  <si>
    <t xml:space="preserve">General and administrative rose 52.9k (32.4%) vs Aug 2025: G&amp;A team payroll (+20.0k), audit &amp; tax fees (+10.0k) and outside legal (+10.0k); other items (+12.9k). Matter: enterprise renewal contract reviews.</t>
  </si>
  <si>
    <t xml:space="preserve">Corporate labor &amp; professional services (G&amp;A) rose 45.0k (33.3%) vs Aug 2025: G&amp;A team payroll (+20.0k), audit &amp; tax fees (+10.0k) and outside legal (+10.0k); other items (+5.0k). Matter: enterprise renewal contract reviews. Other items include JE-2026-08-114, the August outside-legal accrual true-up, since recategorized to outside legal.</t>
  </si>
  <si>
    <t xml:space="preserve">Software &amp; IT services (Corporate IT) rose 4.2k (35.6%) vs Aug 2025: developer tooling (+1.2k), identity &amp; security (+1.0k) and CRM seats (+0.8k); other items (+1.2k). Contract: new SSO/identity platform, start Aug 1, 2026, 12-month term.</t>
  </si>
  <si>
    <t xml:space="preserve">Stock-based compensation (Company pool) rose 1.9k (23.1%) vs Aug 2025: 2026 refresh grants (+2.0k) and 2025 grants (+0.5k), partly offset by 2023 grants (−0.6k).</t>
  </si>
  <si>
    <t xml:space="preserve">Total operating expenses rose 300.4k (36.7%) vs Aug 2025: sales and marketing (+147.5k), research and development (+100.0k) and general and administrative (+52.9k).</t>
  </si>
  <si>
    <t xml:space="preserve">Operating income fell 69.0k (23.9%) vs Aug 2025: higher operating expenses (−300.4k) and higher cost of revenue (−145.0k), partly offset by higher net revenue (+376.4k).</t>
  </si>
  <si>
    <t xml:space="preserve">Interest income fell 3.0k (23.1%) vs Aug 2025: money market funds (−3.0k).</t>
  </si>
  <si>
    <t xml:space="preserve">Interest expense fell 2.0k (6.3%) vs Aug 2025: term loan (−2.0k).</t>
  </si>
  <si>
    <t xml:space="preserve">Income before income taxes fell 70.0k (25.9%) vs Aug 2025: higher operating expenses (−300.4k) and higher cost of revenue (−145.0k), partly offset by higher net revenue (+376.4k); other lines (−1.0k).</t>
  </si>
  <si>
    <t xml:space="preserve">Income tax expense rose 16.0k (66.7%) vs Aug 2025: current tax (+14.0k) and deferred tax (+2.0k).</t>
  </si>
  <si>
    <t xml:space="preserve">Net income fell 86.0k (35.0%) vs Aug 2025: higher operating expenses (−300.4k) and higher cost of revenue (−145.0k), partly offset by higher net revenue (+376.4k); other lines (−17.0k).</t>
  </si>
  <si>
    <t xml:space="preserve">Service delivery (subscription COR) rose 129.6k (31.3%) vs Aug 2025: base pay (+57.3k), prod (+36.0k) and benefits (+9.8k); other items (+26.5k).</t>
  </si>
  <si>
    <t xml:space="preserve">Production compute (6100) rose 39.0k (38.6%) vs Aug 2025: prod (+36.0k), staging (prod-adjacent) (+2.0k) and shared observability (+1.0k).</t>
  </si>
  <si>
    <t xml:space="preserve">SRE / platform operations (6000) rose 25.1k (33.6%) vs Aug 2025: base pay (+19.8k), benefits (+2.0k) and employer payroll taxes (+1.6k); other items (+1.7k).</t>
  </si>
  <si>
    <t xml:space="preserve">Technical support (6000) rose 37.8k (31.0%) vs Aug 2025: base pay (+29.4k), benefits (+6.1k) and employer payroll taxes (+2.3k).</t>
  </si>
  <si>
    <t xml:space="preserve">CS / TAM delivery (6000) rose 12.6k (17.7%) vs Aug 2025: base pay (+8.1k), one-time compensation (+2.1k) and benefits (+1.7k); other items (+0.7k).</t>
  </si>
  <si>
    <t xml:space="preserve">Shared IT (fully loaded) (6200) rose 7.6k (61.4%) vs Aug 2025: a shift in IT seat allocation (+3.2k), developer tooling (+1.3k) and identity &amp; security (+1.0k); other items (+2.1k). Contract: new SSO/identity platform, start Aug 1, 2026, 12-month term.</t>
  </si>
  <si>
    <t xml:space="preserve">Depreciation &amp; amortization (6700) rose 3.7k (22.4%) vs Aug 2025: servers &amp; hardware (+2.0k) and capitalized software (+1.7k). Asset register: production server expansion placed in service Aug 3.</t>
  </si>
  <si>
    <t xml:space="preserve">Stock-based compensation (6800) rose 3.8k (23.1%) vs Aug 2025: 2026 refresh grants (+4.0k) and 2025 grants (+1.0k), partly offset by 2023 grants (−1.2k).</t>
  </si>
  <si>
    <t xml:space="preserve">Services delivery (PS COR) rose 16.4k (15.8%) vs Aug 2025: base pay (+13.0k), benefits (+2.4k) and employer payroll taxes (+1.0k).</t>
  </si>
  <si>
    <t xml:space="preserve">Services delivery (6000) rose 16.4k (15.8%) vs Aug 2025: base pay (+13.0k), benefits (+2.4k) and employer payroll taxes (+1.0k).</t>
  </si>
  <si>
    <t xml:space="preserve">Total service delivery cost rose 146.0k (28.2%) vs Aug 2025: service delivery (subscription COR) (+129.6k) and services delivery (PS COR) (+16.4k).</t>
  </si>
  <si>
    <t xml:space="preserve">Management gross profit rose 230.4k (20.8%) vs Aug 2025: higher net revenue (+376.4k), partly offset by higher service delivery cost (−146.0k).</t>
  </si>
  <si>
    <t xml:space="preserve">S&amp;M — direct go-to-market rose 138.0k (46.3%) vs Aug 2025: base pay (+62.2k), demo (+12.0k) and FY25 H2 cohort (+11.0k); other items (+52.8k). Invoice memo: demo clusters for Partner Summit (Aug 12–14).</t>
  </si>
  <si>
    <t xml:space="preserve">Direct sales (6000) rose 71.1k (42.1%) vs Aug 2025: base pay (+58.7k), benefits (+7.7k) and employer payroll taxes (+4.7k).</t>
  </si>
  <si>
    <t xml:space="preserve">Expansion selling (6000) rose 5.4k (17.7%) vs Aug 2025: base pay (+3.5k), one-time compensation (+0.9k) and benefits (+0.7k); other items (+0.3k).</t>
  </si>
  <si>
    <t xml:space="preserve">Demand generation (6300) rose 32.0k (47.1%) vs Aug 2025: events &amp; conferences (+10.0k), paid search &amp; social (+10.0k) and partner marketing (+7.0k); other items (+5.0k). Journal memo: Partner Summit co-marketing.</t>
  </si>
  <si>
    <t xml:space="preserve">Commission amortization (6410) rose 16.5k (70.5%) vs Aug 2025: FY25 H2 cohort (+11.0k) and FY26 H1 cohort (+6.0k), partly offset by FY24 cohort (−3.5k); other items (+3.0k).</t>
  </si>
  <si>
    <t xml:space="preserve">Sales demo environments (6100) rose 13.0k (185.7%) vs Aug 2025: demo (+12.0k) and sales sandbox (+1.0k). Invoice memo: demo clusters for Partner Summit (Aug 12–14).</t>
  </si>
  <si>
    <t xml:space="preserve">Contribution after direct go-to-market rose 92.4k (11.4%) vs Aug 2025: higher net revenue (+376.4k), partly offset by higher service delivery cost (−146.0k) and higher S&amp;M — direct go-to-market (−138.0k).</t>
  </si>
  <si>
    <t xml:space="preserve">S&amp;M — shared costs rose 11.1k (22.7%) vs Aug 2025: 2026 refresh grants (+4.0k) and developer tooling (+2.5k), partly offset by a shift in IT seat allocation (−3.2k); other items (+7.8k).</t>
  </si>
  <si>
    <t xml:space="preserve">Shared IT (fully loaded) (6200) rose 5.5k (22.5%) vs Aug 2025: developer tooling (+2.5k) and identity &amp; security (+2.1k), partly offset by a shift in IT seat allocation (−3.2k); other items (+4.1k). Contract: new SSO/identity platform, start Aug 1, 2026, 12-month term.</t>
  </si>
  <si>
    <t xml:space="preserve">Depreciation &amp; amortization (6700) rose 1.8k (22.4%) vs Aug 2025: servers &amp; hardware (+1.0k) and capitalized software (+0.8k). Asset register: production server expansion placed in service Aug 3.</t>
  </si>
  <si>
    <t xml:space="preserve">Research and development rose 101.5k (31.9%) vs Aug 2025: base pay (+59.3k), dev-test (+8.0k) and benefits (+6.0k); other items (+28.2k).</t>
  </si>
  <si>
    <t xml:space="preserve">Product engineering (6000) rose 75.4k (33.6%) vs Aug 2025: base pay (+59.3k), benefits (+6.1k) and employer payroll taxes (+4.7k); other items (+5.3k).</t>
  </si>
  <si>
    <t xml:space="preserve">Dev/test infrastructure (6100) rose 9.0k (29.0%) vs Aug 2025: dev-test (+8.0k) and CI runners (+1.0k).</t>
  </si>
  <si>
    <t xml:space="preserve">Shared IT (fully loaded) (6200) rose 7.9k (35.6%) vs Aug 2025: developer tooling (+2.2k), identity &amp; security (+1.9k) and CRM seats (+1.5k); other items (+2.3k). Contract: new SSO/identity platform, start Aug 1, 2026, 12-month term.</t>
  </si>
  <si>
    <t xml:space="preserve">Stock-based compensation (6800) rose 5.6k (23.1%) vs Aug 2025: 2026 refresh grants (+6.0k) and 2025 grants (+1.5k), partly offset by 2023 grants (−1.9k).</t>
  </si>
  <si>
    <t xml:space="preserve">General and administrative rose 48.7k (32.2%) vs Aug 2025: G&amp;A team payroll (+20.0k), audit &amp; tax fees (+10.0k) and outside legal (+10.0k); other items (+8.7k). Matter: enterprise renewal contract reviews.</t>
  </si>
  <si>
    <t xml:space="preserve">Corporate administration (6050) rose 45.0k (33.3%) vs Aug 2025: G&amp;A team payroll (+20.0k), audit &amp; tax fees (+10.0k) and outside legal (+10.0k); other items (+5.0k). Matter: enterprise renewal contract reviews. Other items include JE-2026-08-114, the August outside-legal accrual true-up, since recategorized to outside legal.</t>
  </si>
  <si>
    <t xml:space="preserve">Stock-based compensation (6800) rose 1.9k (23.1%) vs Aug 2025: 2026 refresh grants (+2.0k) and 2025 grants (+0.5k), partly offset by 2023 grants (−0.6k).</t>
  </si>
  <si>
    <t xml:space="preserve">Shared S&amp;M, R&amp;D and G&amp;A rose 161.4k (31.1%) vs Aug 2025: research and development (+101.6k), general and administrative (+48.7k) and S&amp;M — shared costs (+11.1k).</t>
  </si>
  <si>
    <t xml:space="preserve">Operating income fell 69.0k (23.9%) vs Aug 2025: higher shared S&amp;M, R&amp;D and G&amp;A (−161.4k) and higher service delivery cost (−146.0k), partly offset by higher net revenue (+376.4k); other lines (−138.0k).</t>
  </si>
  <si>
    <t xml:space="preserve">Net income fell 86.0k (35.0%) vs Aug 2025: higher shared S&amp;M, R&amp;D and G&amp;A (−161.4k) and higher service delivery cost (−146.0k), partly offset by higher net revenue (+376.4k); other lines (−155.0k).</t>
  </si>
  <si>
    <t xml:space="preserve">Revenue rose 376.4k (23.2%) vs Aug 2025: new logos (+381.8k; ENT-08, ENT-11) and P-107 ENT-12 implementation (+85.0k), partly offset by churned customers (−145.8k; ENT-10, MM-09); other items (+55.4k).</t>
  </si>
  <si>
    <t xml:space="preserve">Compensation (6000) rose 243.8k (30.6%) vs Aug 2025: base pay (+191.8k), benefits (+26.7k) and employer payroll taxes (+15.3k); other items (+10.0k).</t>
  </si>
  <si>
    <t xml:space="preserve">Compensation (Engineering) rose 100.5k (33.6%) vs Aug 2025: base pay (+79.1k), benefits (+8.1k) and employer payroll taxes (+6.3k); other items (+7.0k).</t>
  </si>
  <si>
    <t xml:space="preserve">Compensation (Customer Success) rose 18.0k (17.7%) vs Aug 2025: base pay (+11.6k), one-time compensation (+3.0k) and benefits (+2.5k); other items (+0.9k).</t>
  </si>
  <si>
    <t xml:space="preserve">Compensation (Professional Services) rose 16.4k (15.8%) vs Aug 2025: base pay (+13.0k), benefits (+2.4k) and employer payroll taxes (+1.0k).</t>
  </si>
  <si>
    <t xml:space="preserve">Cloud, software &amp; IT rose 82.0k (41.4%) vs Aug 2025: prod (+36.0k), demo (+12.0k) and dev-test (+8.0k); other items (+26.0k). Invoice memo: demo clusters for Partner Summit (Aug 12–14).</t>
  </si>
  <si>
    <t xml:space="preserve">Cloud hosting (Engineering) rose 61.0k (43.9%) vs Aug 2025: prod (+36.0k), demo (+12.0k) and dev-test (+8.0k); other items (+5.0k). Invoice memo: demo clusters for Partner Summit (Aug 12–14).</t>
  </si>
  <si>
    <t xml:space="preserve">Software &amp; IT services (Corporate IT) rose 21.0k (35.6%) vs Aug 2025: developer tooling (+6.0k), identity &amp; security (+5.0k) and CRM seats (+4.0k); other items (+6.0k). Contract: new SSO/identity platform, start Aug 1, 2026, 12-month term.</t>
  </si>
  <si>
    <t xml:space="preserve">Marketing &amp; corporate services rose 77.0k (37.9%) vs Aug 2025: G&amp;A team payroll (+20.0k), audit &amp; tax fees (+10.0k) and events &amp; conferences (+10.0k); other items (+37.0k).</t>
  </si>
  <si>
    <t xml:space="preserve">Amortization, D&amp;A and stock compensation rose 42.5k (31.0%) vs Aug 2025: 2026 refresh grants (+16.0k), FY25 H2 cohort (+11.0k) and FY26 H1 cohort (+6.0k); other items (+9.5k).</t>
  </si>
  <si>
    <t xml:space="preserve">Depreciation &amp; amortization (Shared assets) rose 11.0k (22.4%) vs Aug 2025: servers &amp; hardware (+6.0k) and capitalized software (+5.0k). Asset register: production server expansion placed in service Aug 3.</t>
  </si>
  <si>
    <t xml:space="preserve">Stock-based compensation (Company pool) rose 15.0k (23.1%) vs Aug 2025: 2026 refresh grants (+16.0k) and 2025 grants (+4.0k), partly offset by 2023 grants (−5.0k).</t>
  </si>
  <si>
    <t xml:space="preserve">Total operating costs rose 445.4k (33.4%) vs Aug 2025: compensation (+243.8k), cloud, software &amp; IT (+82.0k) and marketing &amp; corporate services (+77.0k); other lines (+42.6k).</t>
  </si>
  <si>
    <t xml:space="preserve">Operating income fell 69.0k (23.9%) vs Aug 2025: higher operating costs (−445.4k), partly offset by higher revenue (+376.4k).</t>
  </si>
  <si>
    <t xml:space="preserve">Interest, net fell 1.0k (5.3%) vs Aug 2025: lower interest income (−3.0k), partly offset by lower interest expense (+2.0k).</t>
  </si>
  <si>
    <t xml:space="preserve">Net income fell 86.0k (35.0%) vs Aug 2025: higher operating costs (−445.4k) and higher income tax expense (−16.0k), partly offset by higher revenue (+376.4k); other lines (−1.0k).</t>
  </si>
  <si>
    <t xml:space="preserve">Balances: end of Aug 2026 vs end of Aug 2025</t>
  </si>
  <si>
    <t xml:space="preserve">Current assets increased 4,015.5k (27.2%) vs Aug 2025: accounts receivable — Subscription billings (+20,585.8k) and cash — Operating cash flow (+4,091.8k), partly offset by accounts receivable — Collections (−21,831.9k); other items (+1,169.8k).</t>
  </si>
  <si>
    <t xml:space="preserve">Cash increased 3,185.8k (28.2%) vs Aug 2025: operating cash flow (+4,091.8k), partly offset by investing cash flow (−536.0k) and financing cash flow (−370.0k).</t>
  </si>
  <si>
    <t xml:space="preserve">Accounts receivable increased 618.8k (27.5%) vs Aug 2025: subscription billings (+20,585.7k) and services invoices (+1,865.0k), partly offset by collections (−21,831.9k).</t>
  </si>
  <si>
    <t xml:space="preserve">Prepaid expenses increased 32.5k (21.5%) vs Aug 2025: annual prepayments (+540.0k), partly offset by amortization to expense (−507.5k).</t>
  </si>
  <si>
    <t xml:space="preserve">Capitalized commissions increased 178.3k (16.6%) vs Aug 2025: commissions capitalized (+585.0k), partly offset by amortization (−406.7k).</t>
  </si>
  <si>
    <t xml:space="preserve">Non-current assets decreased 120.0k (8.8%) vs Aug 2025: property, equipment &amp; capitalized software, net — Depreciation &amp; amortization (−656.0k), partly offset by property, equipment &amp; capitalized software, net — Capital expenditures (+536.0k).</t>
  </si>
  <si>
    <t xml:space="preserve">Property, equipment &amp; capitalized software, net decreased 120.0k (8.8%) vs Aug 2025: depreciation &amp; amortization (−656.0k), partly offset by capital expenditures (+536.0k).</t>
  </si>
  <si>
    <t xml:space="preserve">Total assets increased 3,895.5k (24.2%) vs Aug 2025: current assets (+4,015.5k), partly offset by non-current assets (−120.0k).</t>
  </si>
  <si>
    <t xml:space="preserve">Current liabilities increased 367.4k (29.3%) vs Aug 2025: deferred revenue — Billings (+20,585.7k) and accounts payable — Vendor invoices (+3,400.5k), partly offset by deferred revenue — Revenue recognized (−20,389.3k); other items (−3,229.5k).</t>
  </si>
  <si>
    <t xml:space="preserve">Accounts payable increased 109.0k (45.4%) vs Aug 2025: vendor invoices (+3,400.5k), partly offset by vendor payments (−3,291.5k).</t>
  </si>
  <si>
    <t xml:space="preserve">Accrued liabilities increased 62.0k (68.4%) vs Aug 2025: payroll accruals (+387.6k) and income tax accrual (+312.0k), partly offset by payroll paid (prior-month accrual) (−369.9k); other items (−267.7k).</t>
  </si>
  <si>
    <t xml:space="preserve">Deferred revenue increased 196.4k (21.3%) vs Aug 2025: billings (+20,585.7k), partly offset by revenue recognized (−20,389.3k).</t>
  </si>
  <si>
    <t xml:space="preserve">Non-current liabilities decreased 345.5k (7.0%) vs Aug 2025: term loan — Principal repayments (−400.0k), partly offset by deferred tax liability — Deferred tax provision (+54.5k).</t>
  </si>
  <si>
    <t xml:space="preserve">Deferred tax liability increased 54.5k (16.6%) vs Aug 2025: deferred tax provision (+54.5k).</t>
  </si>
  <si>
    <t xml:space="preserve">Term loan decreased 400.0k (8.7%) vs Aug 2025: principal repayments (−400.0k).</t>
  </si>
  <si>
    <t xml:space="preserve">Total liabilities increased 21.9k (0.4%) vs Aug 2025: current liabilities (+367.4k), partly offset by non-current liabilities (−345.5k).</t>
  </si>
  <si>
    <t xml:space="preserve">Stockholders' equity increased 3,873.6k (38.9%) vs Aug 2025: retained earnings (incl. current-year net income) — Net income (+2,999.6k), additional paid-in capital — Stock-based compensation (+844.0k) and additional paid-in capital — Option exercises (+30.0k).</t>
  </si>
  <si>
    <t xml:space="preserve">Additional paid-in capital increased 874.0k (7.0%) vs Aug 2025: stock-based compensation (+844.0k) and option exercises (+30.0k).</t>
  </si>
  <si>
    <t xml:space="preserve">Retained earnings (incl. current-year net income) increased 2,999.6k (118.7%) vs Aug 2025: net income (+2,999.6k).</t>
  </si>
  <si>
    <t xml:space="preserve">Total liabilities &amp; equity increased 3,895.5k (24.2%) vs Aug 2025: stockholders' equity (+3,873.6k) and liabilities (+21.9k).</t>
  </si>
  <si>
    <t xml:space="preserve">Net income fell 86.0k (35.0%) vs Aug 2025: operating costs (−445.4k) and income taxes (−16.0k), partly offset by revenue (+376.4k); other items (−1.0k).</t>
  </si>
  <si>
    <t xml:space="preserve">Non-cash adjustments rose 44.5k (31.5%) vs Aug 2025: stock-based compensation — 2026 refresh grants (+16.0k), amortization of capitalized commissions — FY25 H2 cohort (+11.0k) and amortization of capitalized commissions — FY26 H1 cohort (+6.0k); other items (+11.5k).</t>
  </si>
  <si>
    <t xml:space="preserve">Depreciation &amp; amortization rose 11.0k (22.4%) vs Aug 2025: servers &amp; hardware (+6.0k) and capitalized software (+5.0k).</t>
  </si>
  <si>
    <t xml:space="preserve">Stock-based compensation rose 15.0k (23.1%) vs Aug 2025: 2026 refresh grants (+16.0k) and 2025 grants (+4.0k), partly offset by 2023 grants (−5.0k).</t>
  </si>
  <si>
    <t xml:space="preserve">Amortization of capitalized commissions rose 16.5k (70.5%) vs Aug 2025: FY25 H2 cohort (+11.0k) and FY26 H1 cohort (+6.0k), partly offset by FY24 cohort (−3.5k); other items (+3.0k).</t>
  </si>
  <si>
    <t xml:space="preserve">Deferred income taxes rose 2.0k (50.0%) vs Aug 2025: deferred tax provision (+2.0k).</t>
  </si>
  <si>
    <t xml:space="preserve">Changes in operating assets &amp; liabilities rose 105.0k (18.5%) vs Aug 2025: accounts receivable — Collections (+491.7k), partly offset by deferred revenue — Revenue recognized (−306.4k) and accounts receivable — Subscription billings (−195.2k); other items (+114.9k).</t>
  </si>
  <si>
    <t xml:space="preserve">Accounts receivable rose 226.5k (15.5%) vs Aug 2025: collections (+491.7k), partly offset by subscription billings (−195.2k) and services invoices (−70.0k).</t>
  </si>
  <si>
    <t xml:space="preserve">Prepaid expenses rose 10.0k (27.8%) vs Aug 2025: amortization to expense (+10.0k).</t>
  </si>
  <si>
    <t xml:space="preserve">Capitalized commissions fell 20.0k (57.1%) vs Aug 2025: commissions capitalized (−20.0k).</t>
  </si>
  <si>
    <t xml:space="preserve">Accounts payable rose 37.0k (739.8%) vs Aug 2025: vendor invoices (+109.0k), partly offset by vendor payments (−72.0k).</t>
  </si>
  <si>
    <t xml:space="preserve">Accrued liabilities fell 37.4k (165.2%) vs Aug 2025: event costs paid (−67.0k) and professional fees paid (−15.3k), partly offset by payroll accruals (+17.7k); other items (+27.2k).</t>
  </si>
  <si>
    <t xml:space="preserve">Deferred revenue fell 111.2k (12.0%) vs Aug 2025: revenue recognized (−306.4k), partly offset by billings (+195.2k).</t>
  </si>
  <si>
    <t xml:space="preserve">Net cash from operating activities rose 63.5k (6.6%) vs Aug 2025: accounts receivable — Collections (+491.7k) and net income — Revenue (+376.4k), partly offset by net income — Operating costs (−445.4k); other items (−359.2k).</t>
  </si>
  <si>
    <t xml:space="preserve">Net cash used in investing activities was unchanged vs Aug 2025.</t>
  </si>
  <si>
    <t xml:space="preserve">Capital expenditures was unchanged vs Aug 2025.</t>
  </si>
  <si>
    <t xml:space="preserve">Net cash from financing activities was unchanged vs Aug 2025.</t>
  </si>
  <si>
    <t xml:space="preserve">Repayment of term loan was unchanged vs Aug 2025.</t>
  </si>
  <si>
    <t xml:space="preserve">Proceeds from option exercises was unchanged vs Aug 2025.</t>
  </si>
  <si>
    <t xml:space="preserve">Net change in cash rose 63.5k (6.9%) vs Aug 2025: net cash from operating activities (+63.5k).</t>
  </si>
  <si>
    <t xml:space="preserve">Approved by J. Patel, Controller · 2026-09-10 · 148 lines in scope, all reviewed · Ledger amounts in blue, formulas in black; GL lines are grouped under the statement lines built from them (use the outline buttons to collapse).</t>
  </si>
  <si>
    <t xml:space="preserve">Subscription revenue rose 2,695.7k (24.2%) year to date vs the same months of 2025: new logos (+2,318.9k; ENT-08, ENT-11) and expansion at existing customers (+1,190.9k), partly offset by contraction (−606.6k; ENT-10, MM-09); other items (−207.5k).</t>
  </si>
  <si>
    <t xml:space="preserve">Professional services revenue rose 440.0k (49.4%) year to date vs the same months of 2025: P-105 ENT-03 analytics rollout (+360.0k), partly offset by P-101 ENT-02 data migration (−270.0k) and P-102 ENT-05 integration (−245.0k); other items (+595.0k).</t>
  </si>
  <si>
    <t xml:space="preserve">Total net revenue rose 3,135.7k (26.1%) year to date vs the same months of 2025: new logos (+2,318.9k; ENT-08, ENT-11) and expansion at existing customers (+1,190.9k), partly offset by contraction (−606.6k; ENT-10, MM-09); other items (+232.5k).</t>
  </si>
  <si>
    <t xml:space="preserve">Cost of revenue — subscription &amp; service delivery rose 888.1k (28.7%) year to date vs the same months of 2025: base pay (+428.0k), prod (+230.0k) and benefits (+76.4k); other items (+153.7k).</t>
  </si>
  <si>
    <t xml:space="preserve">Cloud hosting (Engineering) rose 249.5k (33.0%) year to date vs the same months of 2025: prod (+230.0k), staging (prod-adjacent) (+10.0k) and shared observability (+9.5k).</t>
  </si>
  <si>
    <t xml:space="preserve">Compensation (Engineering) rose 168.6k (29.6%) year to date vs the same months of 2025: base pay (+138.8k), benefits (+15.2k) and employer payroll taxes (+12.2k); other items (+2.4k).</t>
  </si>
  <si>
    <t xml:space="preserve">Compensation (Customer Success) rose 151.4k (27.9%) year to date vs the same months of 2025: base pay (+116.8k), benefits (+22.2k) and employer payroll taxes (+10.3k); other items (+2.1k).</t>
  </si>
  <si>
    <t xml:space="preserve">Compensation (Support) rose 226.2k (24.5%) year to date vs the same months of 2025: base pay (+172.4k), benefits (+38.9k) and employer payroll taxes (+14.9k).</t>
  </si>
  <si>
    <t xml:space="preserve">Software &amp; IT services (Corporate IT) rose 37.0k (55.9%) year to date vs the same months of 2025: a shift in IT seat allocation (+15.3k), developer tooling (+7.2k) and collaboration suite (+6.0k); other items (+8.5k). Contract: collaboration suite renewal at new list price.</t>
  </si>
  <si>
    <t xml:space="preserve">Depreciation &amp; amortization (Shared assets) rose 27.3k (22.3%) year to date vs the same months of 2025: capitalized software (+13.7k), servers &amp; hardware (+12.3k) and laptops (+1.3k). Asset register: production server expansion placed in service Aug 3.</t>
  </si>
  <si>
    <t xml:space="preserve">Stock-based compensation (Company pool) rose 28.0k (23.7%) year to date vs the same months of 2025: 2025 grants (+21.8k) and 2026 refresh grants (+16.5k), partly offset by 2023 grants (−10.3k).</t>
  </si>
  <si>
    <t xml:space="preserve">Cost of revenue — professional services rose 211.4k (28.3%) year to date vs the same months of 2025: base pay (+168.7k), benefits (+27.9k) and employer payroll taxes (+14.8k).</t>
  </si>
  <si>
    <t xml:space="preserve">Total cost of revenue rose 1,099.5k (28.6%) year to date vs the same months of 2025: base pay (+596.7k), prod (+230.0k) and benefits (+104.2k); other items (+168.6k).</t>
  </si>
  <si>
    <t xml:space="preserve">Gross profit rose 2,036.2k (24.9%) year to date vs the same months of 2025: higher net revenue (+3,135.7k), partly offset by higher cost of revenue (−1,099.5k).</t>
  </si>
  <si>
    <t xml:space="preserve">Research and development rose 692.3k (29.2%) year to date vs the same months of 2025: base pay (+416.4k), dev-test (+66.0k) and benefits (+45.6k); other items (+164.3k).</t>
  </si>
  <si>
    <t xml:space="preserve">Compensation (Engineering) rose 505.7k (29.6%) year to date vs the same months of 2025: base pay (+416.4k), benefits (+45.6k) and employer payroll taxes (+36.6k); other items (+7.1k).</t>
  </si>
  <si>
    <t xml:space="preserve">Cloud hosting (Engineering) rose 74.0k (31.9%) year to date vs the same months of 2025: dev-test (+66.0k) and CI runners (+8.0k).</t>
  </si>
  <si>
    <t xml:space="preserve">Software &amp; IT services (Corporate IT) rose 43.3k (33.0%) year to date vs the same months of 2025: developer tooling (+14.3k), collaboration suite (+11.9k) and CRM seats (+8.7k); other items (+8.4k). Contract: collaboration suite renewal at new list price.</t>
  </si>
  <si>
    <t xml:space="preserve">Stock-based compensation (Company pool) rose 42.0k (23.7%) year to date vs the same months of 2025: 2025 grants (+32.6k) and 2026 refresh grants (+24.8k), partly offset by 2023 grants (−15.4k).</t>
  </si>
  <si>
    <t xml:space="preserve">Sales and marketing rose 946.5k (37.1%) year to date vs the same months of 2025: base pay (+426.1k), FY25 H2 cohort (+80.5k) and benefits (+62.7k); other items (+377.2k).</t>
  </si>
  <si>
    <t xml:space="preserve">Compensation (Sales) rose 468.0k (37.6%) year to date vs the same months of 2025: base pay (+376.1k), benefits (+53.1k) and employer payroll taxes (+32.8k); other items (+6.0k).</t>
  </si>
  <si>
    <t xml:space="preserve">Compensation (Customer Success) rose 64.9k (27.9%) year to date vs the same months of 2025: base pay (+50.1k), benefits (+9.5k) and employer payroll taxes (+4.4k); other items (+0.9k).</t>
  </si>
  <si>
    <t xml:space="preserve">Marketing programs (Marketing) rose 163.5k (30.4%) year to date vs the same months of 2025: paid search &amp; social (+61.0k), partner marketing (+35.0k) and events &amp; conferences (+34.5k); other items (+33.0k). Journal memo: Partner Summit co-marketing.</t>
  </si>
  <si>
    <t xml:space="preserve">Amortization of capitalized commissions (Sales) rose 136.7k (89.4%) year to date vs the same months of 2025: FY25 H2 cohort (+80.5k) and FY25 H1 cohort (+61.0k), partly offset by FY24 cohort (−32.8k); other items (+28.0k).</t>
  </si>
  <si>
    <t xml:space="preserve">Cloud hosting (Engineering) rose 32.0k (61.5%) year to date vs the same months of 2025: demo (+24.0k) and sales sandbox (+8.0k). Invoice memo: demo clusters for Partner Summit (Aug 12–14).</t>
  </si>
  <si>
    <t xml:space="preserve">Software &amp; IT services (Corporate IT) rose 39.8k (26.6%) year to date vs the same months of 2025: developer tooling (+16.3k), collaboration suite (+13.6k) and CRM seats (+9.9k). Contract: collaboration suite renewal at new list price.</t>
  </si>
  <si>
    <t xml:space="preserve">Depreciation &amp; amortization (Shared assets) rose 13.7k (22.3%) year to date vs the same months of 2025: capitalized software (+6.8k), servers &amp; hardware (+6.2k) and laptops (+0.7k). Asset register: production server expansion placed in service Aug 3.</t>
  </si>
  <si>
    <t xml:space="preserve">General and administrative rose 266.1k (20.9%) year to date vs the same months of 2025: G&amp;A team payroll (+136.0k), outside legal (+35.0k) and audit &amp; tax fees (+23.5k); other items (+71.6k). Matter: enterprise renewal contract reviews.</t>
  </si>
  <si>
    <t xml:space="preserve">Corporate labor &amp; professional services (G&amp;A) rose 214.5k (20.3%) year to date vs the same months of 2025: G&amp;A team payroll (+136.0k), outside legal (+35.0k) and audit &amp; tax fees (+23.5k); other items (+20.0k). Matter: enterprise renewal contract reviews. Other items include JE-2026-08-114, the August outside-legal accrual true-up, since recategorized to outside legal.</t>
  </si>
  <si>
    <t xml:space="preserve">Software &amp; IT services (Corporate IT) rose 23.9k (25.8%) year to date vs the same months of 2025: developer tooling (+10.1k) and collaboration suite (+8.4k), partly offset by a shift in IT seat allocation (−6.4k); other items (+11.8k). Contract: collaboration suite renewal at new list price.</t>
  </si>
  <si>
    <t xml:space="preserve">Stock-based compensation (Company pool) rose 14.0k (23.7%) year to date vs the same months of 2025: 2025 grants (+10.9k) and 2026 refresh grants (+8.2k), partly offset by 2023 grants (−5.1k).</t>
  </si>
  <si>
    <t xml:space="preserve">Total operating expenses rose 1,904.9k (30.8%) year to date vs the same months of 2025: sales and marketing (+946.5k), research and development (+692.3k) and general and administrative (+266.1k).</t>
  </si>
  <si>
    <t xml:space="preserve">Operating income rose 131.2k (6.6%) year to date vs the same months of 2025: higher net revenue (+3,135.7k), partly offset by higher operating expenses (−1,905.0k) and higher cost of revenue (−1,099.5k).</t>
  </si>
  <si>
    <t xml:space="preserve">Interest income fell 18.5k (17.1%) year to date vs the same months of 2025: money market funds (−18.5k).</t>
  </si>
  <si>
    <t xml:space="preserve">Interest expense fell 17.5k (6.7%) year to date vs the same months of 2025: term loan (−17.5k).</t>
  </si>
  <si>
    <t xml:space="preserve">Income before income taxes rose 130.2k (7.1%) year to date vs the same months of 2025: higher net revenue (+3,135.7k), partly offset by higher operating expenses (−1,905.0k) and higher cost of revenue (−1,099.5k); other lines (−1.0k).</t>
  </si>
  <si>
    <t xml:space="preserve">Income tax expense rose 80.5k (44.7%) year to date vs the same months of 2025: current tax (+70.0k) and deferred tax (+10.5k).</t>
  </si>
  <si>
    <t xml:space="preserve">Net income rose 49.7k (3.0%) year to date vs the same months of 2025: higher net revenue (+3,135.7k), partly offset by higher operating expenses (−1,905.0k) and higher cost of revenue (−1,099.5k); other lines (−81.5k).</t>
  </si>
  <si>
    <t xml:space="preserve">Service delivery (subscription COR) rose 894.1k (28.7%) year to date vs the same months of 2025: base pay (+428.0k), prod (+230.0k) and benefits (+76.4k); other items (+159.7k).</t>
  </si>
  <si>
    <t xml:space="preserve">Production compute (6100) rose 249.5k (33.0%) year to date vs the same months of 2025: prod (+230.0k), staging (prod-adjacent) (+10.0k) and shared observability (+9.5k).</t>
  </si>
  <si>
    <t xml:space="preserve">SRE / platform operations (6000) rose 168.6k (29.6%) year to date vs the same months of 2025: base pay (+138.8k), benefits (+15.2k) and employer payroll taxes (+12.2k); other items (+2.4k).</t>
  </si>
  <si>
    <t xml:space="preserve">Technical support (6000) rose 226.2k (24.5%) year to date vs the same months of 2025: base pay (+172.4k), benefits (+38.9k) and employer payroll taxes (+14.9k).</t>
  </si>
  <si>
    <t xml:space="preserve">CS / TAM delivery (6000) rose 151.4k (27.9%) year to date vs the same months of 2025: base pay (+116.8k), benefits (+22.2k) and employer payroll taxes (+10.3k); other items (+2.1k).</t>
  </si>
  <si>
    <t xml:space="preserve">Shared IT (fully loaded) (6200) rose 43.0k (48.1%) year to date vs the same months of 2025: a shift in IT seat allocation (+13.7k), developer tooling (+9.8k) and collaboration suite (+8.1k); other items (+11.4k). Contract: collaboration suite renewal at new list price.</t>
  </si>
  <si>
    <t xml:space="preserve">Depreciation &amp; amortization (6700) rose 27.3k (22.3%) year to date vs the same months of 2025: capitalized software (+13.7k), servers &amp; hardware (+12.3k) and laptops (+1.3k). Asset register: production server expansion placed in service Aug 3.</t>
  </si>
  <si>
    <t xml:space="preserve">Stock-based compensation (6800) rose 28.0k (23.7%) year to date vs the same months of 2025: 2025 grants (+21.8k) and 2026 refresh grants (+16.5k), partly offset by 2023 grants (−10.3k).</t>
  </si>
  <si>
    <t xml:space="preserve">Services delivery (PS COR) rose 211.4k (28.3%) year to date vs the same months of 2025: base pay (+168.7k), benefits (+27.9k) and employer payroll taxes (+14.8k).</t>
  </si>
  <si>
    <t xml:space="preserve">Services delivery (6000) rose 211.4k (28.3%) year to date vs the same months of 2025: base pay (+168.7k), benefits (+27.9k) and employer payroll taxes (+14.8k).</t>
  </si>
  <si>
    <t xml:space="preserve">Total service delivery cost rose 1,105.5k (28.6%) year to date vs the same months of 2025: service delivery (subscription COR) (+894.1k) and services delivery (PS COR) (+211.4k).</t>
  </si>
  <si>
    <t xml:space="preserve">Management gross profit rose 2,030.2k (24.9%) year to date vs the same months of 2025: higher net revenue (+3,135.7k), partly offset by higher service delivery cost (−1,105.5k).</t>
  </si>
  <si>
    <t xml:space="preserve">S&amp;M — direct go-to-market rose 865.0k (38.9%) year to date vs the same months of 2025: base pay (+426.1k), FY25 H2 cohort (+80.5k) and benefits (+62.6k); other items (+295.8k).</t>
  </si>
  <si>
    <t xml:space="preserve">Direct sales (6000) rose 468.0k (37.6%) year to date vs the same months of 2025: base pay (+376.1k), benefits (+53.1k) and employer payroll taxes (+32.8k); other items (+6.0k).</t>
  </si>
  <si>
    <t xml:space="preserve">Expansion selling (6000) rose 64.9k (27.9%) year to date vs the same months of 2025: base pay (+50.1k), benefits (+9.5k) and employer payroll taxes (+4.4k); other items (+0.9k).</t>
  </si>
  <si>
    <t xml:space="preserve">Demand generation (6300) rose 163.5k (30.4%) year to date vs the same months of 2025: paid search &amp; social (+61.0k), partner marketing (+35.0k) and events &amp; conferences (+34.5k); other items (+33.0k). Journal memo: Partner Summit co-marketing.</t>
  </si>
  <si>
    <t xml:space="preserve">Commission amortization (6410) rose 136.7k (89.4%) year to date vs the same months of 2025: FY25 H2 cohort (+80.5k) and FY25 H1 cohort (+61.0k), partly offset by FY24 cohort (−32.8k); other items (+28.0k).</t>
  </si>
  <si>
    <t xml:space="preserve">Sales demo environments (6100) rose 32.0k (61.5%) year to date vs the same months of 2025: demo (+24.0k) and sales sandbox (+8.0k). Invoice memo: demo clusters for Partner Summit (Aug 12–14).</t>
  </si>
  <si>
    <t xml:space="preserve">Contribution after direct go-to-market rose 1,165.1k (19.7%) year to date vs the same months of 2025: higher net revenue (+3,135.7k), partly offset by higher service delivery cost (−1,105.5k) and higher S&amp;M — direct go-to-market (−865.1k).</t>
  </si>
  <si>
    <t xml:space="preserve">S&amp;M — shared costs rose 90.4k (24.9%) year to date vs the same months of 2025: 2025 grants (+21.7k), developer tooling (+20.1k) and collaboration suite (+16.8k); other items (+31.8k). Contract: collaboration suite renewal at new list price.</t>
  </si>
  <si>
    <t xml:space="preserve">Shared IT (fully loaded) (6200) rose 48.8k (26.4%) year to date vs the same months of 2025: developer tooling (+20.1k), collaboration suite (+16.8k) and CRM seats (+12.2k); other items (−0.3k). Contract: collaboration suite renewal at new list price.</t>
  </si>
  <si>
    <t xml:space="preserve">Depreciation &amp; amortization (6700) rose 13.7k (22.3%) year to date vs the same months of 2025: capitalized software (+6.8k), servers &amp; hardware (+6.2k) and laptops (+0.7k). Asset register: production server expansion placed in service Aug 3.</t>
  </si>
  <si>
    <t xml:space="preserve">Research and development rose 701.3k (29.2%) year to date vs the same months of 2025: base pay (+416.4k), dev-test (+66.0k) and benefits (+45.6k); other items (+173.3k).</t>
  </si>
  <si>
    <t xml:space="preserve">Product engineering (6000) rose 505.7k (29.6%) year to date vs the same months of 2025: base pay (+416.4k), benefits (+45.6k) and employer payroll taxes (+36.6k); other items (+7.1k).</t>
  </si>
  <si>
    <t xml:space="preserve">Dev/test infrastructure (6100) rose 74.0k (31.9%) year to date vs the same months of 2025: dev-test (+66.0k) and CI runners (+8.0k).</t>
  </si>
  <si>
    <t xml:space="preserve">Shared IT (fully loaded) (6200) rose 52.2k (31.5%) year to date vs the same months of 2025: developer tooling (+18.1k), collaboration suite (+15.1k) and CRM seats (+10.9k); other items (+8.1k). Contract: collaboration suite renewal at new list price.</t>
  </si>
  <si>
    <t xml:space="preserve">Stock-based compensation (6800) rose 42.0k (23.7%) year to date vs the same months of 2025: 2025 grants (+32.6k) and 2026 refresh grants (+24.8k), partly offset by 2023 grants (−15.4k).</t>
  </si>
  <si>
    <t xml:space="preserve">General and administrative rose 242.2k (20.5%) year to date vs the same months of 2025: G&amp;A team payroll (+136.0k), outside legal (+35.0k) and audit &amp; tax fees (+23.5k); other items (+47.7k). Matter: enterprise renewal contract reviews.</t>
  </si>
  <si>
    <t xml:space="preserve">Corporate administration (6050) rose 214.5k (20.3%) year to date vs the same months of 2025: G&amp;A team payroll (+136.0k), outside legal (+35.0k) and audit &amp; tax fees (+23.5k); other items (+20.0k). Matter: enterprise renewal contract reviews. Other items include JE-2026-08-114, the August outside-legal accrual true-up, since recategorized to outside legal.</t>
  </si>
  <si>
    <t xml:space="preserve">Stock-based compensation (6800) rose 14.0k (23.7%) year to date vs the same months of 2025: 2025 grants (+10.9k) and 2026 refresh grants (+8.2k), partly offset by 2023 grants (−5.1k).</t>
  </si>
  <si>
    <t xml:space="preserve">Shared S&amp;M, R&amp;D and G&amp;A rose 1,033.9k (26.2%) year to date vs the same months of 2025: research and development (+701.3k), general and administrative (+242.2k) and S&amp;M — shared costs (+90.4k).</t>
  </si>
  <si>
    <t xml:space="preserve">Operating income rose 131.2k (6.6%) year to date vs the same months of 2025: higher net revenue (+3,135.7k), partly offset by higher service delivery cost (−1,105.5k) and higher shared S&amp;M, R&amp;D and G&amp;A (−1,033.9k); other lines (−865.1k).</t>
  </si>
  <si>
    <t xml:space="preserve">Net income rose 49.7k (3.0%) year to date vs the same months of 2025: higher net revenue (+3,135.7k), partly offset by higher service delivery cost (−1,105.5k) and higher shared S&amp;M, R&amp;D and G&amp;A (−1,033.9k); other lines (−946.6k).</t>
  </si>
  <si>
    <t xml:space="preserve">Revenue rose 3,135.7k (26.1%) year to date vs the same months of 2025: new logos (+2,318.9k; ENT-08, ENT-11) and expansion at existing customers (+1,190.9k), partly offset by contraction (−606.6k; ENT-10, MM-09); other items (+232.5k).</t>
  </si>
  <si>
    <t xml:space="preserve">Compensation (6000) rose 1,796.3k (30.1%) year to date vs the same months of 2025: base pay (+1,439.2k), benefits (+212.5k) and employer payroll taxes (+126.1k); other items (+18.5k).</t>
  </si>
  <si>
    <t xml:space="preserve">Compensation (Engineering) rose 674.3k (29.6%) year to date vs the same months of 2025: base pay (+555.2k), benefits (+60.8k) and employer payroll taxes (+48.8k); other items (+9.5k).</t>
  </si>
  <si>
    <t xml:space="preserve">Compensation (Customer Success) rose 216.3k (27.9%) year to date vs the same months of 2025: base pay (+166.8k), benefits (+31.8k) and employer payroll taxes (+14.7k); other items (+3.0k).</t>
  </si>
  <si>
    <t xml:space="preserve">Compensation (Professional Services) rose 211.4k (28.3%) year to date vs the same months of 2025: base pay (+168.7k), benefits (+27.9k) and employer payroll taxes (+14.8k).</t>
  </si>
  <si>
    <t xml:space="preserve">Cloud, software &amp; IT rose 499.5k (33.8%) year to date vs the same months of 2025: prod (+230.0k), dev-test (+66.0k) and developer tooling (+48.0k); other items (+155.5k).</t>
  </si>
  <si>
    <t xml:space="preserve">Cloud hosting (Engineering) rose 355.5k (34.2%) year to date vs the same months of 2025: prod (+230.0k), dev-test (+66.0k) and demo (+24.0k); other items (+35.5k). Invoice memo: demo clusters for Partner Summit (Aug 12–14).</t>
  </si>
  <si>
    <t xml:space="preserve">Software &amp; IT services (Corporate IT) rose 144.0k (32.7%) year to date vs the same months of 2025: developer tooling (+48.0k), collaboration suite (+40.0k) and CRM seats (+29.0k); other items (+27.0k). Contract: collaboration suite renewal at new list price.</t>
  </si>
  <si>
    <t xml:space="preserve">Marketing &amp; corporate services rose 378.0k (23.7%) year to date vs the same months of 2025: G&amp;A team payroll (+136.0k), paid search &amp; social (+61.0k) and outside legal (+35.0k); other items (+146.0k). Matter: enterprise renewal contract reviews.</t>
  </si>
  <si>
    <t xml:space="preserve">Amortization, D&amp;A and stock compensation rose 330.7k (33.3%) year to date vs the same months of 2025: 2025 grants (+87.0k), FY25 H2 cohort (+80.5k) and 2026 refresh grants (+66.0k); other items (+97.2k).</t>
  </si>
  <si>
    <t xml:space="preserve">Depreciation &amp; amortization (Shared assets) rose 82.0k (22.3%) year to date vs the same months of 2025: capitalized software (+41.0k), servers &amp; hardware (+37.0k) and laptops (+4.0k). Asset register: production server expansion placed in service Aug 3.</t>
  </si>
  <si>
    <t xml:space="preserve">Stock-based compensation (Company pool) rose 112.0k (23.7%) year to date vs the same months of 2025: 2025 grants (+87.0k) and 2026 refresh grants (+66.0k), partly offset by 2023 grants (−41.0k).</t>
  </si>
  <si>
    <t xml:space="preserve">Total operating costs rose 3,004.4k (29.9%) year to date vs the same months of 2025: compensation (+1,796.2k), cloud, software &amp; IT (+499.5k) and marketing &amp; corporate services (+378.0k); other lines (+330.7k).</t>
  </si>
  <si>
    <t xml:space="preserve">Operating income rose 131.2k (6.6%) year to date vs the same months of 2025: higher revenue (+3,135.7k), partly offset by higher operating costs (−3,004.5k).</t>
  </si>
  <si>
    <t xml:space="preserve">Interest, net fell 1.0k (0.7%) year to date vs the same months of 2025: lower interest income (−18.5k), partly offset by lower interest expense (+17.5k).</t>
  </si>
  <si>
    <t xml:space="preserve">Net income rose 49.7k (3.0%) year to date vs the same months of 2025: higher revenue (+3,135.7k), partly offset by higher operating costs (−3,004.5k) and higher income tax expense (−80.5k); other lines (−1.0k).</t>
  </si>
  <si>
    <t xml:space="preserve">Balances: end of Aug 2026 vs end of Dec 2025</t>
  </si>
  <si>
    <t xml:space="preserve">Current assets increased 3,475.4k (22.7%) year to date vs the same months of 2025: accounts receivable — Subscription billings (+14,938.6k) and cash — Operating cash flow (+2,132.3k), partly offset by accounts receivable — Collections (−14,623.0k); other items (+1,027.5k).</t>
  </si>
  <si>
    <t xml:space="preserve">Cash increased 1,540.3k (11.9%) year to date vs the same months of 2025: operating cash flow (+2,132.3k), partly offset by investing cash flow (−404.0k) and financing cash flow (−188.0k).</t>
  </si>
  <si>
    <t xml:space="preserve">Accounts receivable increased 1,645.6k (134.1%) year to date vs the same months of 2025: subscription billings (+14,938.6k) and services invoices (+1,330.0k), partly offset by collections (−14,623.0k).</t>
  </si>
  <si>
    <t xml:space="preserve">Prepaid expenses increased 184.0k year to date vs the same months of 2025: annual prepayments (+540.0k), partly offset by amortization to expense (−356.0k).</t>
  </si>
  <si>
    <t xml:space="preserve">Capitalized commissions increased 105.5k (9.2%) year to date vs the same months of 2025: commissions capitalized (+395.0k), partly offset by amortization (−289.5k).</t>
  </si>
  <si>
    <t xml:space="preserve">Non-current assets decreased 46.0k (3.6%) year to date vs the same months of 2025: property, equipment &amp; capitalized software, net — Depreciation &amp; amortization (−450.0k), partly offset by property, equipment &amp; capitalized software, net — Capital expenditures (+404.0k).</t>
  </si>
  <si>
    <t xml:space="preserve">Property, equipment &amp; capitalized software, net decreased 46.0k (3.6%) year to date vs the same months of 2025: depreciation &amp; amortization (−450.0k), partly offset by capital expenditures (+404.0k).</t>
  </si>
  <si>
    <t xml:space="preserve">Total assets increased 3,429.4k (20.7%) year to date vs the same months of 2025: current assets (+3,475.4k), partly offset by non-current assets (−46.0k).</t>
  </si>
  <si>
    <t xml:space="preserve">Current liabilities increased 1,299.5k (404.4%) year to date vs the same months of 2025: deferred revenue — Billings (+14,938.6k) and accounts payable — Vendor invoices (+2,375.5k), partly offset by deferred revenue — Revenue recognized (−13,819.3k); other items (−2,195.3k).</t>
  </si>
  <si>
    <t xml:space="preserve">Accounts payable increased 83.0k (31.2%) year to date vs the same months of 2025: vendor invoices (+2,375.5k), partly offset by vendor payments (−2,292.5k).</t>
  </si>
  <si>
    <t xml:space="preserve">Accrued liabilities increased 97.2k (175.7%) year to date vs the same months of 2025: payroll accruals (+269.5k) and income tax accrual (+222.0k), partly offset by payroll paid (prior-month accrual) (−255.3k); other items (−139.0k).</t>
  </si>
  <si>
    <t xml:space="preserve">Deferred revenue increased 1,119.3k year to date vs the same months of 2025: billings (+14,938.6k), partly offset by revenue recognized (−13,819.3k).</t>
  </si>
  <si>
    <t xml:space="preserve">Non-current liabilities decreased 161.5k (3.4%) year to date vs the same months of 2025: term loan — Principal repayments (−200.0k), partly offset by deferred tax liability — Deferred tax provision (+38.5k).</t>
  </si>
  <si>
    <t xml:space="preserve">Deferred tax liability increased 38.5k (11.2%) year to date vs the same months of 2025: deferred tax provision (+38.5k).</t>
  </si>
  <si>
    <t xml:space="preserve">Term loan decreased 200.0k (4.5%) year to date vs the same months of 2025: principal repayments (−200.0k).</t>
  </si>
  <si>
    <t xml:space="preserve">Total liabilities increased 1,138.0k (22.5%) year to date vs the same months of 2025: current liabilities (+1,299.5k), partly offset by non-current liabilities (−161.5k).</t>
  </si>
  <si>
    <t xml:space="preserve">Stockholders' equity increased 2,291.4k (19.9%) year to date vs the same months of 2025: retained earnings (incl. current-year net income) — Net income (+1,695.4k), additional paid-in capital — Stock-based compensation (+584.0k) and additional paid-in capital — Option exercises (+12.0k).</t>
  </si>
  <si>
    <t xml:space="preserve">Additional paid-in capital increased 596.0k (4.7%) year to date vs the same months of 2025: stock-based compensation (+584.0k) and option exercises (+12.0k).</t>
  </si>
  <si>
    <t xml:space="preserve">Retained earnings (incl. current-year net income) increased 1,695.4k (138.7%) year to date vs the same months of 2025: net income (+1,695.4k).</t>
  </si>
  <si>
    <t xml:space="preserve">Total liabilities &amp; equity increased 3,429.4k (20.7%) year to date vs the same months of 2025: stockholders' equity (+2,291.4k) and liabilities (+1,138.0k).</t>
  </si>
  <si>
    <t xml:space="preserve">Net income rose 49.7k (3.0%) year to date vs the same months of 2025: revenue (+3,135.7k), partly offset by operating costs (−3,004.5k) and income taxes (−80.5k); other items (−1.0k).</t>
  </si>
  <si>
    <t xml:space="preserve">Non-cash adjustments rose 341.2k (33.4%) year to date vs the same months of 2025: stock-based compensation — 2025 grants (+87.0k), amortization of capitalized commissions — FY25 H2 cohort (+80.5k) and stock-based compensation — 2026 refresh grants (+66.0k); other items (+107.7k).</t>
  </si>
  <si>
    <t xml:space="preserve">Depreciation &amp; amortization rose 82.0k (22.3%) year to date vs the same months of 2025: capitalized software (+41.0k), servers &amp; hardware (+37.0k) and laptops (+4.0k).</t>
  </si>
  <si>
    <t xml:space="preserve">Stock-based compensation rose 112.0k (23.7%) year to date vs the same months of 2025: 2025 grants (+87.0k) and 2026 refresh grants (+66.0k), partly offset by 2023 grants (−41.0k).</t>
  </si>
  <si>
    <t xml:space="preserve">Amortization of capitalized commissions rose 136.7k (89.4%) year to date vs the same months of 2025: FY25 H2 cohort (+80.5k) and FY25 H1 cohort (+61.0k), partly offset by FY24 cohort (−32.8k); other items (+28.0k).</t>
  </si>
  <si>
    <t xml:space="preserve">Deferred income taxes rose 10.5k (37.5%) year to date vs the same months of 2025: deferred tax provision (+10.5k).</t>
  </si>
  <si>
    <t xml:space="preserve">Changes in operating assets &amp; liabilities fell 1,071.0k (734.2%) year to date vs the same months of 2025: accounts receivable — Subscription billings (−2,892.1k) and deferred revenue — Revenue recognized (−2,695.7k), partly offset by deferred revenue — Billings (+2,892.1k); other items (+1,624.7k).</t>
  </si>
  <si>
    <t xml:space="preserve">Accounts receivable fell 1,391.6k (547.8%) year to date vs the same months of 2025: subscription billings (−2,892.1k) and services invoices (−440.0k), partly offset by collections (+1,940.5k).</t>
  </si>
  <si>
    <t xml:space="preserve">Prepaid expenses fell 32.5k (21.5%) year to date vs the same months of 2025: annual prepayments (−120.5k), partly offset by amortization to expense (+88.0k).</t>
  </si>
  <si>
    <t xml:space="preserve">Capitalized commissions fell 65.0k (19.7%) year to date vs the same months of 2025: commissions capitalized (−65.0k).</t>
  </si>
  <si>
    <t xml:space="preserve">Accounts payable rose 123.0k (307.5%) year to date vs the same months of 2025: vendor invoices (+595.5k), partly offset by vendor payments (−472.5k).</t>
  </si>
  <si>
    <t xml:space="preserve">Accrued liabilities rose 98.6k (6735.3%) year to date vs the same months of 2025: payroll accruals (+76.0k) and income tax accrual (+70.0k), partly offset by payroll paid (prior-month accrual) (−57.7k); other items (+10.3k).</t>
  </si>
  <si>
    <t xml:space="preserve">Deferred revenue rose 196.4k (21.3%) year to date vs the same months of 2025: billings (+2,892.1k), partly offset by revenue recognized (−2,695.7k).</t>
  </si>
  <si>
    <t xml:space="preserve">Net cash from operating activities fell 680.1k (24.2%) year to date vs the same months of 2025: net income — Operating costs (−3,004.5k) and accounts receivable — Subscription billings (−2,892.1k), partly offset by net income — Revenue (+3,135.7k); other items (+2,080.8k).</t>
  </si>
  <si>
    <t xml:space="preserve">Net cash used in investing activities fell 80.0k (24.7%) year to date vs the same months of 2025: capital expenditures — Capital expenditures (−80.0k).</t>
  </si>
  <si>
    <t xml:space="preserve">Capital expenditures fell 80.0k (24.7%) year to date vs the same months of 2025: capital expenditures (−80.0k).</t>
  </si>
  <si>
    <t xml:space="preserve">Net cash from financing activities rose 12.0k (6.0%) year to date vs the same months of 2025: proceeds from option exercises — Option exercises (+12.0k).</t>
  </si>
  <si>
    <t xml:space="preserve">Repayment of term loan was unchanged year to date vs the same months of 2025.</t>
  </si>
  <si>
    <t xml:space="preserve">Proceeds from option exercises rose 12.0k year to date vs the same months of 2025: option exercises (+12.0k).</t>
  </si>
  <si>
    <t xml:space="preserve">Net change in cash fell 748.1k (32.7%) year to date vs the same months of 2025: net cash from operating activities (−680.1k) and net cash used in investing activities (−80.0k), partly offset by net cash from financing activities (+12.0k).</t>
  </si>
  <si>
    <t xml:space="preserve">Approved by J. Patel, Controller · 2026-09-10 · 57 lines in scope, all reviewed · Ledger amounts in blue, formulas in black; GL lines are grouped under the statement lines built from them (use the outline buttons to collapse).</t>
  </si>
  <si>
    <t xml:space="preserve">Subscription revenue fell 50.0k (2.7%) vs Budget 2026 v1: enterprise (−83.9k), partly offset by SMB (+22.4k) and mid-market (+11.5k).</t>
  </si>
  <si>
    <t xml:space="preserve">AR · 2026-09-09</t>
  </si>
  <si>
    <t xml:space="preserve">Professional services revenue rose 20.0k (11.1%) vs Budget 2026 v1: professional services revenue (+20.0k). The plan is held at the account total, so there is no finer breakdown.</t>
  </si>
  <si>
    <t xml:space="preserve">Total net revenue fell 30.0k (1.5%) vs Budget 2026 v1: enterprise (−83.9k), partly offset by SMB (+22.4k) and professional services revenue (+20.0k); other items (+11.5k). The plan is held at the account total, so there is no finer breakdown.</t>
  </si>
  <si>
    <t xml:space="preserve">Cost of revenue — subscription &amp; service delivery fell 8.4k (1.5%) vs Budget 2026 v1: headcount and mix (−18.3k), partly offset by pay rate changes (+4.5k) and prod (+3.0k); other items (+2.4k).</t>
  </si>
  <si>
    <t xml:space="preserve">Cloud hosting (Engineering) rose 3.0k (2.2%) vs Budget 2026 v1: prod (+3.0k).</t>
  </si>
  <si>
    <t xml:space="preserve">Compensation (Engineering) fell 11.2k (10.1%) vs Budget 2026 v1: departures (−4.2k), hires (−4.2k) and opening headcount vs plan (−4.2k); other items (+1.4k).</t>
  </si>
  <si>
    <t xml:space="preserve">Compensation (Customer Success) fell 4.8k (5.4%) vs Budget 2026 v1: departures (−7.4k), partly offset by one-time compensation (+2.1k) and benefits and payroll taxes (+0.5k).</t>
  </si>
  <si>
    <t xml:space="preserve">Compensation (Support) rose 6.2k (4.0%) vs Budget 2026 v1: pay rate changes (+5.1k) and benefits and payroll taxes (+1.1k).</t>
  </si>
  <si>
    <t xml:space="preserve">Software &amp; IT services (Corporate IT) rose 0.4k (2.7%) vs Budget 2026 v1: a shift in IT seat allocation (+0.8k), partly offset by software &amp; IT services (−0.4k). The plan is held at the account total, so there is no finer breakdown.</t>
  </si>
  <si>
    <t xml:space="preserve">Depreciation &amp; amortization (Shared assets) fell 0.7k (3.2%) vs Budget 2026 v1: depreciation &amp; amortization (−0.7k). The plan is held at the account total, so there is no finer breakdown.</t>
  </si>
  <si>
    <t xml:space="preserve">Stock-based compensation (Company pool) fell 1.3k (5.9%) vs Budget 2026 v1: stock-based compensation (−1.3k). The plan is held at the account total, so there is no finer breakdown.</t>
  </si>
  <si>
    <t xml:space="preserve">Cost of revenue — professional services rose 0.6k (0.5%) vs Budget 2026 v1: benefits and payroll taxes (+0.6k).</t>
  </si>
  <si>
    <t xml:space="preserve">Total cost of revenue fell 7.8k (1.2%) vs Budget 2026 v1: headcount and mix (−18.3k), partly offset by pay rate changes (+4.5k) and prod (+3.0k); other items (+3.0k).</t>
  </si>
  <si>
    <t xml:space="preserve">Gross profit fell 22.2k (1.6%) vs Budget 2026 v1: lower net revenue (−30.0k), partly offset by lower cost of revenue (+7.8k).</t>
  </si>
  <si>
    <t xml:space="preserve">Research and development fell 36.7k (8.1%) vs Budget 2026 v1: headcount and mix (−32.6k), pay rate changes (−2.1k) and stock-based compensation (−1.9k); other items (−0.1k). The plan is held at the account total, so there is no finer breakdown.</t>
  </si>
  <si>
    <t xml:space="preserve">Compensation (Engineering) fell 33.7k (10.1%) vs Budget 2026 v1: departures (−12.7k), hires (−12.7k) and opening headcount vs plan (−12.7k); other items (+4.4k).</t>
  </si>
  <si>
    <t xml:space="preserve">Cloud hosting (Engineering) rose 1.0k (2.6%) vs Budget 2026 v1: dev-test (+1.0k).</t>
  </si>
  <si>
    <t xml:space="preserve">Software &amp; IT services (Corporate IT) fell 1.4k (5.6%) vs Budget 2026 v1: a shift in IT seat allocation (−0.8k) and software &amp; IT services (−0.6k). The plan is held at the account total, so there is no finer breakdown.</t>
  </si>
  <si>
    <t xml:space="preserve">Stock-based compensation (Company pool) fell 1.9k (5.9%) vs Budget 2026 v1: stock-based compensation (−1.9k). The plan is held at the account total, so there is no finer breakdown.</t>
  </si>
  <si>
    <t xml:space="preserve">Sales and marketing fell 34.1k (6.5%) vs Budget 2026 v1: headcount and mix (−27.8k) and events &amp; conferences (−5.0k), partly offset by demo (+6.0k); other items (−7.3k). Invoice memo: demo clusters for Partner Summit (Aug 12–14).</t>
  </si>
  <si>
    <t xml:space="preserve">Compensation (Sales) fell 23.9k (9.0%) vs Budget 2026 v1: departures (−13.2k), opening headcount vs plan (−13.2k) and partial-month timing (−4.5k); other items (+7.0k).</t>
  </si>
  <si>
    <t xml:space="preserve">Compensation (Customer Success) fell 2.1k (5.4%) vs Budget 2026 v1: departures (−3.2k), partly offset by one-time compensation (+0.9k) and benefits and payroll taxes (+0.2k).</t>
  </si>
  <si>
    <t xml:space="preserve">Marketing programs (Marketing) fell 10.0k (9.1%) vs Budget 2026 v1: events &amp; conferences (−5.0k) and paid search &amp; social (−5.0k).</t>
  </si>
  <si>
    <t xml:space="preserve">Amortization of capitalized commissions (Sales) fell 2.0k (4.8%) vs Budget 2026 v1: amortization of capitalized commissions (−2.0k). The plan is held at the account total, so there is no finer breakdown.</t>
  </si>
  <si>
    <t xml:space="preserve">Cloud hosting (Engineering) rose 6.0k (42.9%) vs Budget 2026 v1: demo (+6.0k). Invoice memo: demo clusters for Partner Summit (Aug 12–14).</t>
  </si>
  <si>
    <t xml:space="preserve">Software &amp; IT services (Corporate IT) fell 0.6k (2.4%) vs Budget 2026 v1: software &amp; IT services (−0.6k). The plan is held at the account total, so there is no finer breakdown.</t>
  </si>
  <si>
    <t xml:space="preserve">Depreciation &amp; amortization (Shared assets) fell 0.3k (3.2%) vs Budget 2026 v1: depreciation &amp; amortization (−0.3k). The plan is held at the account total, so there is no finer breakdown.</t>
  </si>
  <si>
    <t xml:space="preserve">General and administrative rose 3.6k (1.7%) vs Budget 2026 v1: audit &amp; tax fees (+5.0k) and a journal without a category (JE-2026-08-114; +3.0k), partly offset by payroll &amp; HR services (−3.0k); other items (−1.4k).</t>
  </si>
  <si>
    <t xml:space="preserve">Corporate labor &amp; professional services (G&amp;A) rose 5.0k (2.9%) vs Budget 2026 v1: audit &amp; tax fees (+5.0k) and a journal without a category (JE-2026-08-114; +3.0k), partly offset by payroll &amp; HR services (−3.0k). Reviewer: JE-2026-08-114 is the August outside-legal accrual true-up; it has been recategorized to outside legal.</t>
  </si>
  <si>
    <t xml:space="preserve">Software &amp; IT services (Corporate IT) fell 0.4k (2.4%) vs Budget 2026 v1: software &amp; IT services (−0.4k). The plan is held at the account total, so there is no finer breakdown.</t>
  </si>
  <si>
    <t xml:space="preserve">Stock-based compensation (Company pool) fell 0.6k (5.9%) vs Budget 2026 v1: stock-based compensation (−0.6k). The plan is held at the account total, so there is no finer breakdown.</t>
  </si>
  <si>
    <t xml:space="preserve">Total operating expenses fell 67.1k (5.7%) vs Budget 2026 v1: research and development (−36.6k) and sales and marketing (−34.1k), partly offset by general and administrative (+3.6k).</t>
  </si>
  <si>
    <t xml:space="preserve">Operating income rose 44.9k (25.7%) vs Budget 2026 v1: lower operating expenses (+67.1k) and lower cost of revenue (+7.8k), partly offset by lower net revenue (−30.0k).</t>
  </si>
  <si>
    <t xml:space="preserve">Interest income rose 2.0k (25.0%) vs Budget 2026 v1: interest income (+2.0k). The plan is held at the account total, so there is no finer breakdown.</t>
  </si>
  <si>
    <t xml:space="preserve">Interest expense was unchanged vs Budget 2026 v1.</t>
  </si>
  <si>
    <t xml:space="preserve">Income before income taxes rose 46.9k (30.7%) vs Budget 2026 v1: lower operating expenses (+67.1k) and lower cost of revenue (+7.8k), partly offset by lower net revenue (−30.0k); other lines (+2.0k).</t>
  </si>
  <si>
    <t xml:space="preserve">Income tax expense fell 5.0k (11.1%) vs Budget 2026 v1: income tax expense (−5.0k). The plan is held at the account total, so there is no finer breakdown.</t>
  </si>
  <si>
    <t xml:space="preserve">Net income rose 51.9k (48.0%) vs Budget 2026 v1: lower operating expenses (+67.1k) and lower cost of revenue (+7.8k), partly offset by lower net revenue (−30.0k); other lines (+7.0k).</t>
  </si>
  <si>
    <t xml:space="preserve">Service delivery (subscription COR) fell 8.5k (1.5%) vs Budget 2026 v1: headcount and mix (−18.3k), partly offset by pay rate changes (+4.5k) and prod (+3.0k); other items (+2.3k).</t>
  </si>
  <si>
    <t xml:space="preserve">Production compute (6100) rose 3.0k (2.2%) vs Budget 2026 v1: prod (+3.0k).</t>
  </si>
  <si>
    <t xml:space="preserve">SRE / platform operations (6000) fell 11.2k (10.1%) vs Budget 2026 v1: departures (−4.2k), hires (−4.2k) and opening headcount vs plan (−4.2k); other items (+1.4k).</t>
  </si>
  <si>
    <t xml:space="preserve">Technical support (6000) rose 6.2k (4.0%) vs Budget 2026 v1: pay rate changes (+5.1k) and benefits and payroll taxes (+1.1k).</t>
  </si>
  <si>
    <t xml:space="preserve">CS / TAM delivery (6000) fell 4.8k (5.4%) vs Budget 2026 v1: departures (−7.4k), partly offset by one-time compensation (+2.1k) and benefits and payroll taxes (+0.5k).</t>
  </si>
  <si>
    <t xml:space="preserve">Shared IT (fully loaded) (6200) rose 0.3k (1.6%) vs Budget 2026 v1: a shift in IT seat allocation (+0.8k), partly offset by software &amp; IT services (−0.5k). The plan is held at the account total, so there is no finer breakdown.</t>
  </si>
  <si>
    <t xml:space="preserve">Depreciation &amp; amortization (6700) fell 0.7k (3.2%) vs Budget 2026 v1: depreciation &amp; amortization (−0.7k). The plan is held at the account total, so there is no finer breakdown.</t>
  </si>
  <si>
    <t xml:space="preserve">Stock-based compensation (6800) fell 1.3k (5.9%) vs Budget 2026 v1: stock-based compensation (−1.3k). The plan is held at the account total, so there is no finer breakdown.</t>
  </si>
  <si>
    <t xml:space="preserve">Services delivery (PS COR) rose 0.6k (0.5%) vs Budget 2026 v1: benefits and payroll taxes (+0.6k).</t>
  </si>
  <si>
    <t xml:space="preserve">Services delivery (6000) rose 0.6k (0.5%) vs Budget 2026 v1: benefits and payroll taxes (+0.6k).</t>
  </si>
  <si>
    <t xml:space="preserve">Total service delivery cost fell 7.9k (1.2%) vs Budget 2026 v1: service delivery (subscription COR) (−8.5k), partly offset by services delivery (PS COR) (+0.6k).</t>
  </si>
  <si>
    <t xml:space="preserve">Management gross profit fell 22.1k (1.6%) vs Budget 2026 v1: lower net revenue (−30.0k), partly offset by lower service delivery cost (+7.9k).</t>
  </si>
  <si>
    <t xml:space="preserve">S&amp;M — direct go-to-market fell 32.0k (6.8%) vs Budget 2026 v1: headcount and mix (−27.9k) and events &amp; conferences (−5.0k), partly offset by demo (+6.0k); other items (−5.1k). Invoice memo: demo clusters for Partner Summit (Aug 12–14).</t>
  </si>
  <si>
    <t xml:space="preserve">Direct sales (6000) fell 23.9k (9.0%) vs Budget 2026 v1: departures (−13.2k), opening headcount vs plan (−13.2k) and partial-month timing (−4.5k); other items (+7.0k).</t>
  </si>
  <si>
    <t xml:space="preserve">Expansion selling (6000) fell 2.1k (5.4%) vs Budget 2026 v1: departures (−3.2k), partly offset by one-time compensation (+0.9k) and benefits and payroll taxes (+0.2k).</t>
  </si>
  <si>
    <t xml:space="preserve">Demand generation (6300) fell 10.0k (9.1%) vs Budget 2026 v1: events &amp; conferences (−5.0k) and paid search &amp; social (−5.0k).</t>
  </si>
  <si>
    <t xml:space="preserve">Commission amortization (6410) fell 2.0k (4.8%) vs Budget 2026 v1: amortization of capitalized commissions (−2.0k). The plan is held at the account total, so there is no finer breakdown.</t>
  </si>
  <si>
    <t xml:space="preserve">Sales demo environments (6100) rose 6.0k (42.9%) vs Budget 2026 v1: demo (+6.0k). Invoice memo: demo clusters for Partner Summit (Aug 12–14).</t>
  </si>
  <si>
    <t xml:space="preserve">Contribution after direct go-to-market rose 9.8k (1.1%) vs Budget 2026 v1: lower S&amp;M — direct go-to-market (+31.9k) and lower service delivery cost (+7.9k), partly offset by lower net revenue (−30.0k).</t>
  </si>
  <si>
    <t xml:space="preserve">S&amp;M — shared costs fell 2.3k (3.7%) vs Budget 2026 v1: stock-based compensation (−1.2k), software &amp; IT services (−0.8k) and depreciation &amp; amortization (−0.3k). The plan is held at the account total, so there is no finer breakdown.</t>
  </si>
  <si>
    <t xml:space="preserve">Shared IT (fully loaded) (6200) fell 0.8k (2.4%) vs Budget 2026 v1: software &amp; IT services (−0.8k). The plan is held at the account total, so there is no finer breakdown.</t>
  </si>
  <si>
    <t xml:space="preserve">Depreciation &amp; amortization (6700) fell 0.3k (3.2%) vs Budget 2026 v1: depreciation &amp; amortization (−0.3k). The plan is held at the account total, so there is no finer breakdown.</t>
  </si>
  <si>
    <t xml:space="preserve">Research and development fell 36.8k (8.1%) vs Budget 2026 v1: headcount and mix (−32.6k), pay rate changes (−2.0k) and stock-based compensation (−1.9k); other items (−0.3k). The plan is held at the account total, so there is no finer breakdown.</t>
  </si>
  <si>
    <t xml:space="preserve">Product engineering (6000) fell 33.7k (10.1%) vs Budget 2026 v1: departures (−12.7k), hires (−12.7k) and opening headcount vs plan (−12.7k); other items (+4.4k).</t>
  </si>
  <si>
    <t xml:space="preserve">Dev/test infrastructure (6100) rose 1.0k (2.6%) vs Budget 2026 v1: dev-test (+1.0k).</t>
  </si>
  <si>
    <t xml:space="preserve">Shared IT (fully loaded) (6200) fell 1.6k (5.0%) vs Budget 2026 v1: a shift in IT seat allocation (−0.8k) and software &amp; IT services (−0.8k). The plan is held at the account total, so there is no finer breakdown.</t>
  </si>
  <si>
    <t xml:space="preserve">Stock-based compensation (6800) fell 1.9k (5.9%) vs Budget 2026 v1: stock-based compensation (−1.9k). The plan is held at the account total, so there is no finer breakdown.</t>
  </si>
  <si>
    <t xml:space="preserve">General and administrative rose 4.0k (2.1%) vs Budget 2026 v1: audit &amp; tax fees (+5.0k) and a journal without a category (JE-2026-08-114; +3.0k), partly offset by payroll &amp; HR services (−3.0k); other items (−1.0k).</t>
  </si>
  <si>
    <t xml:space="preserve">Corporate administration (6050) rose 5.0k (2.9%) vs Budget 2026 v1: audit &amp; tax fees (+5.0k) and a journal without a category (JE-2026-08-114; +3.0k), partly offset by payroll &amp; HR services (−3.0k). Reviewer: JE-2026-08-114 is the August outside-legal accrual true-up; it has been recategorized to outside legal.</t>
  </si>
  <si>
    <t xml:space="preserve">Stock-based compensation (6800) fell 0.6k (5.9%) vs Budget 2026 v1: stock-based compensation (−0.6k). The plan is held at the account total, so there is no finer breakdown.</t>
  </si>
  <si>
    <t xml:space="preserve">Shared S&amp;M, R&amp;D and G&amp;A fell 35.1k (4.9%) vs Budget 2026 v1: research and development (−36.8k) and S&amp;M — shared costs (−2.3k), partly offset by general and administrative (+4.0k).</t>
  </si>
  <si>
    <t xml:space="preserve">Operating income rose 44.9k (25.7%) vs Budget 2026 v1: lower shared S&amp;M, R&amp;D and G&amp;A (+35.1k) and lower S&amp;M — direct go-to-market (+31.9k), partly offset by lower net revenue (−30.0k); other lines (+7.9k).</t>
  </si>
  <si>
    <t xml:space="preserve">Net income rose 51.9k (48.0%) vs Budget 2026 v1: lower shared S&amp;M, R&amp;D and G&amp;A (+35.1k) and lower S&amp;M — direct go-to-market (+31.9k), partly offset by lower net revenue (−30.0k); other lines (+14.9k).</t>
  </si>
  <si>
    <t xml:space="preserve">Revenue fell 30.0k (1.5%) vs Budget 2026 v1: enterprise (−83.9k), partly offset by SMB (+22.4k) and professional services revenue (+20.0k); other items (+11.5k). The plan is held at the account total, so there is no finer breakdown.</t>
  </si>
  <si>
    <t xml:space="preserve">Compensation (6000) fell 68.9k (6.2%) vs Budget 2026 v1: headcount and mix (−78.7k) and partial-month timing (−6.6k), partly offset by pay rate changes (+6.6k); other items (+9.8k).</t>
  </si>
  <si>
    <t xml:space="preserve">Compensation (Engineering) fell 44.9k (10.1%) vs Budget 2026 v1: departures (−16.9k), hires (−16.9k) and opening headcount vs plan (−16.9k); other items (+5.8k).</t>
  </si>
  <si>
    <t xml:space="preserve">Compensation (Customer Success) fell 6.9k (5.4%) vs Budget 2026 v1: departures (−10.6k), partly offset by one-time compensation (+3.0k) and benefits and payroll taxes (+0.7k).</t>
  </si>
  <si>
    <t xml:space="preserve">Compensation (Professional Services) rose 0.6k (0.5%) vs Budget 2026 v1: benefits and payroll taxes (+0.6k).</t>
  </si>
  <si>
    <t xml:space="preserve">Cloud, software &amp; IT rose 8.0k (2.9%) vs Budget 2026 v1: demo (+6.0k) and prod (+3.0k), partly offset by software &amp; IT services (−2.0k); other items (+1.0k). Invoice memo: demo clusters for Partner Summit (Aug 12–14). The plan is held at the account total, so there is no finer breakdown.</t>
  </si>
  <si>
    <t xml:space="preserve">Cloud hosting (Engineering) rose 10.0k (5.3%) vs Budget 2026 v1: demo (+6.0k), prod (+3.0k) and dev-test (+1.0k). Invoice memo: demo clusters for Partner Summit (Aug 12–14).</t>
  </si>
  <si>
    <t xml:space="preserve">Software &amp; IT services (Corporate IT) fell 2.0k (2.4%) vs Budget 2026 v1: software &amp; IT services (−2.0k). The plan is held at the account total, so there is no finer breakdown.</t>
  </si>
  <si>
    <t xml:space="preserve">Marketing &amp; corporate services fell 5.0k (1.8%) vs Budget 2026 v1: events &amp; conferences (−5.0k) and paid search &amp; social (−5.0k), partly offset by audit &amp; tax fees (+5.0k).</t>
  </si>
  <si>
    <t xml:space="preserve">Amortization, D&amp;A and stock compensation fell 9.0k (4.8%) vs Budget 2026 v1: stock-based compensation (−5.0k), amortization of capitalized commissions (−2.0k) and depreciation &amp; amortization (−2.0k). The plan is held at the account total, so there is no finer breakdown.</t>
  </si>
  <si>
    <t xml:space="preserve">Depreciation &amp; amortization (Shared assets) fell 2.0k (3.2%) vs Budget 2026 v1: depreciation &amp; amortization (−2.0k). The plan is held at the account total, so there is no finer breakdown.</t>
  </si>
  <si>
    <t xml:space="preserve">Stock-based compensation (Company pool) fell 5.0k (5.9%) vs Budget 2026 v1: stock-based compensation (−5.0k). The plan is held at the account total, so there is no finer breakdown.</t>
  </si>
  <si>
    <t xml:space="preserve">Total operating costs fell 74.9k (4.0%) vs Budget 2026 v1: compensation (−68.9k) and amortization, D&amp;A and stock compensation (−9.0k), partly offset by cloud, software &amp; IT (+8.0k); other lines (−5.0k).</t>
  </si>
  <si>
    <t xml:space="preserve">Operating income rose 44.9k (25.7%) vs Budget 2026 v1: lower operating costs (+74.9k), partly offset by lower revenue (−30.0k).</t>
  </si>
  <si>
    <t xml:space="preserve">Interest, net rose 2.0k (9.1%) vs Budget 2026 v1: higher interest income (+2.0k).</t>
  </si>
  <si>
    <t xml:space="preserve">Net income rose 51.9k (48.0%) vs Budget 2026 v1: lower operating costs (+74.9k) and lower income tax expense (+5.0k), partly offset by lower revenue (−30.0k); other lines (+2.0k).</t>
  </si>
  <si>
    <t xml:space="preserve">Not in Budget 2026 v1: no balance sheet in the plan version; this comparison runs against prior periods only.</t>
  </si>
  <si>
    <t xml:space="preserve">Not in Budget 2026 v1: no cash flow statement in the plan version; this comparison runs against prior periods only.</t>
  </si>
  <si>
    <t xml:space="preserve">Approved by J. Patel, Controller · 2026-09-10 · 76 lines in scope, all reviewed · Ledger amounts in blue, formulas in black; GL lines are grouped under the statement lines built from them (use the outline buttons to collapse).</t>
  </si>
  <si>
    <t xml:space="preserve">Subscription revenue fell 436.6k (3.1%) vs Budget 2026 v1 (YTD): enterprise (−774.5k), partly offset by mid-market (+196.8k) and SMB (+141.1k).</t>
  </si>
  <si>
    <t xml:space="preserve">Professional services revenue fell 30.0k (2.2%) vs Budget 2026 v1 (YTD): professional services revenue (−30.0k). The plan is held at the account total, so there is no finer breakdown.</t>
  </si>
  <si>
    <t xml:space="preserve">Total net revenue fell 466.6k (3.0%) vs Budget 2026 v1 (YTD): enterprise (−774.5k), partly offset by mid-market (+196.8k) and SMB (+141.1k); other items (−30.0k).</t>
  </si>
  <si>
    <t xml:space="preserve">Cost of revenue — subscription &amp; service delivery fell 90.6k (2.2%) vs Budget 2026 v1 (YTD): base pay (−48.8k), stock-based compensation (−11.0k) and software &amp; IT services (−9.1k); other items (−21.7k). The plan is held at the account total, so there is no finer breakdown.</t>
  </si>
  <si>
    <t xml:space="preserve">Cloud hosting (Engineering) fell 2.5k (0.2%) vs Budget 2026 v1 (YTD): prod (−2.0k) and staging (prod-adjacent) (−2.0k), partly offset by shared observability (+1.5k).</t>
  </si>
  <si>
    <t xml:space="preserve">Compensation (Engineering) fell 54.2k (6.8%) vs Budget 2026 v1 (YTD): base pay (−47.6k), employer payroll taxes (−4.1k) and benefits (−3.6k); other items (+1.1k).</t>
  </si>
  <si>
    <t xml:space="preserve">Compensation (Customer Success) fell 4.8k (0.7%) vs Budget 2026 v1 (YTD): base pay (−5.8k) and benefits (−0.6k), partly offset by one-time compensation (+2.1k); other items (−0.5k).</t>
  </si>
  <si>
    <t xml:space="preserve">Compensation (Support) rose 6.2k (0.5%) vs Budget 2026 v1 (YTD): base pay (+4.7k), benefits (+1.1k) and employer payroll taxes (+0.4k).</t>
  </si>
  <si>
    <t xml:space="preserve">Software &amp; IT services (Corporate IT) fell 16.9k (14.1%) vs Budget 2026 v1 (YTD): software &amp; IT services (−9.1k) and a shift in IT seat allocation (−7.8k). The plan is held at the account total, so there is no finer breakdown.</t>
  </si>
  <si>
    <t xml:space="preserve">Depreciation &amp; amortization (Shared assets) fell 7.3k (4.7%) vs Budget 2026 v1 (YTD): depreciation &amp; amortization (−7.3k). The plan is held at the account total, so there is no finer breakdown.</t>
  </si>
  <si>
    <t xml:space="preserve">Stock-based compensation (Company pool) fell 11.0k (7.0%) vs Budget 2026 v1 (YTD): stock-based compensation (−11.0k). The plan is held at the account total, so there is no finer breakdown.</t>
  </si>
  <si>
    <t xml:space="preserve">Cost of revenue — professional services rose 0.6k (0.1%) vs Budget 2026 v1 (YTD): benefits (+0.6k).</t>
  </si>
  <si>
    <t xml:space="preserve">Total cost of revenue fell 90.0k (1.8%) vs Budget 2026 v1 (YTD): base pay (−48.8k), stock-based compensation (−11.0k) and software &amp; IT services (−9.1k); other items (−21.1k). The plan is held at the account total, so there is no finer breakdown.</t>
  </si>
  <si>
    <t xml:space="preserve">Gross profit fell 376.6k (3.6%) vs Budget 2026 v1 (YTD): lower net revenue (−466.6k), partly offset by lower cost of revenue (+90.0k).</t>
  </si>
  <si>
    <t xml:space="preserve">Research and development fell 202.0k (6.2%) vs Budget 2026 v1 (YTD): base pay (−143.0k), stock-based compensation (−16.5k) and software &amp; IT services (−14.9k); other items (−27.6k). The plan is held at the account total, so there is no finer breakdown.</t>
  </si>
  <si>
    <t xml:space="preserve">Compensation (Engineering) fell 162.7k (6.8%) vs Budget 2026 v1 (YTD): base pay (−143.0k), employer payroll taxes (−12.2k) and benefits (−10.9k); other items (+3.4k).</t>
  </si>
  <si>
    <t xml:space="preserve">Cloud hosting (Engineering) rose 6.0k (2.0%) vs Budget 2026 v1 (YTD): dev-test (+6.0k).</t>
  </si>
  <si>
    <t xml:space="preserve">Software &amp; IT services (Corporate IT) fell 21.5k (11.0%) vs Budget 2026 v1 (YTD): software &amp; IT services (−14.9k) and a shift in IT seat allocation (−6.6k). The plan is held at the account total, so there is no finer breakdown.</t>
  </si>
  <si>
    <t xml:space="preserve">Stock-based compensation (Company pool) fell 16.5k (7.0%) vs Budget 2026 v1 (YTD): stock-based compensation (−16.5k). The plan is held at the account total, so there is no finer breakdown.</t>
  </si>
  <si>
    <t xml:space="preserve">Sales and marketing fell 198.8k (5.4%) vs Budget 2026 v1 (YTD): base pay (−79.0k), paid search &amp; social (−39.0k) and amortization of capitalized commissions (−30.5k); other items (−50.3k). The plan is held at the account total, so there is no finer breakdown.</t>
  </si>
  <si>
    <t xml:space="preserve">Compensation (Sales) fell 93.0k (5.1%) vs Budget 2026 v1 (YTD): base pay (−76.5k), benefits (−10.2k) and employer payroll taxes (−6.3k).</t>
  </si>
  <si>
    <t xml:space="preserve">Compensation (Customer Success) fell 2.1k (0.7%) vs Budget 2026 v1 (YTD): base pay (−2.5k) and benefits (−0.3k), partly offset by one-time compensation (+0.9k); other items (−0.2k).</t>
  </si>
  <si>
    <t xml:space="preserve">Marketing programs (Marketing) fell 65.5k (8.5%) vs Budget 2026 v1 (YTD): paid search &amp; social (−39.0k), partner marketing (−13.0k) and content &amp; SEO (−11.0k); other items (−2.5k). Journal memo: Partner Summit co-marketing.</t>
  </si>
  <si>
    <t xml:space="preserve">Amortization of capitalized commissions (Sales) fell 30.5k (9.5%) vs Budget 2026 v1 (YTD): amortization of capitalized commissions (−30.5k). The plan is held at the account total, so there is no finer breakdown.</t>
  </si>
  <si>
    <t xml:space="preserve">Cloud hosting (Engineering) rose 7.0k (9.1%) vs Budget 2026 v1 (YTD): demo (+7.0k). Invoice memo: demo clusters for Partner Summit (Aug 12–14).</t>
  </si>
  <si>
    <t xml:space="preserve">Software &amp; IT services (Corporate IT) fell 0.0k (0.0%) vs Budget 2026 v1 (YTD): software &amp; IT services (−14.4k), offset by a shift in IT seat allocation (+14.4k). The plan is held at the account total, so there is no finer breakdown.</t>
  </si>
  <si>
    <t xml:space="preserve">Depreciation &amp; amortization (Shared assets) fell 3.7k (4.7%) vs Budget 2026 v1 (YTD): depreciation &amp; amortization (−3.7k). The plan is held at the account total, so there is no finer breakdown.</t>
  </si>
  <si>
    <t xml:space="preserve">General and administrative fell 71.8k (4.5%) vs Budget 2026 v1 (YTD): payroll &amp; HR services (−23.0k), G&amp;A team payroll (−20.0k) and outside legal (−17.0k); other items (−11.8k). Matter: enterprise renewal contract reviews.</t>
  </si>
  <si>
    <t xml:space="preserve">Corporate labor &amp; professional services (G&amp;A) fell 53.0k (4.0%) vs Budget 2026 v1 (YTD): payroll &amp; HR services (−23.0k), G&amp;A team payroll (−20.0k) and outside legal (−17.0k); other items (+7.0k). Matter: enterprise renewal contract reviews. Other items include JE-2026-08-114, the August outside-legal accrual true-up, since recategorized to outside legal.</t>
  </si>
  <si>
    <t xml:space="preserve">Software &amp; IT services (Corporate IT) fell 9.6k (7.6%) vs Budget 2026 v1 (YTD): software &amp; IT services (−9.6k). The plan is held at the account total, so there is no finer breakdown.</t>
  </si>
  <si>
    <t xml:space="preserve">Stock-based compensation (Company pool) fell 5.5k (7.0%) vs Budget 2026 v1 (YTD): stock-based compensation (−5.5k). The plan is held at the account total, so there is no finer breakdown.</t>
  </si>
  <si>
    <t xml:space="preserve">Total operating expenses fell 472.6k (5.5%) vs Budget 2026 v1 (YTD): research and development (−202.0k), sales and marketing (−198.8k) and general and administrative (−71.8k).</t>
  </si>
  <si>
    <t xml:space="preserve">Operating income rose 96.0k (4.8%) vs Budget 2026 v1 (YTD): lower operating expenses (+472.6k) and lower cost of revenue (+90.0k), partly offset by lower net revenue (−466.6k).</t>
  </si>
  <si>
    <t xml:space="preserve">Interest income rose 17.5k (24.3%) vs Budget 2026 v1 (YTD): interest income (+17.5k). The plan is held at the account total, so there is no finer breakdown.</t>
  </si>
  <si>
    <t xml:space="preserve">Interest expense fell 1.5k (0.6%) vs Budget 2026 v1 (YTD): interest expense (−1.5k). The plan is held at the account total, so there is no finer breakdown.</t>
  </si>
  <si>
    <t xml:space="preserve">Income before income taxes rose 115.0k (6.2%) vs Budget 2026 v1 (YTD): lower operating expenses (+472.6k) and lower cost of revenue (+90.0k), partly offset by lower net revenue (−466.6k); other lines (+19.0k).</t>
  </si>
  <si>
    <t xml:space="preserve">Income tax expense fell 39.5k (13.2%) vs Budget 2026 v1 (YTD): income tax expense (−39.5k). The plan is held at the account total, so there is no finer breakdown.</t>
  </si>
  <si>
    <t xml:space="preserve">Net income rose 154.5k (10.0%) vs Budget 2026 v1 (YTD): lower operating expenses (+472.6k) and lower cost of revenue (+90.0k), partly offset by lower net revenue (−466.6k); other lines (+58.5k).</t>
  </si>
  <si>
    <t xml:space="preserve">Service delivery (subscription COR) fell 93.0k (2.3%) vs Budget 2026 v1 (YTD): base pay (−48.8k), software &amp; IT services (−11.5k) and stock-based compensation (−11.0k); other items (−21.7k). The plan is held at the account total, so there is no finer breakdown.</t>
  </si>
  <si>
    <t xml:space="preserve">Production compute (6100) fell 2.5k (0.2%) vs Budget 2026 v1 (YTD): prod (−2.0k) and staging (prod-adjacent) (−2.0k), partly offset by shared observability (+1.5k).</t>
  </si>
  <si>
    <t xml:space="preserve">SRE / platform operations (6000) fell 54.2k (6.8%) vs Budget 2026 v1 (YTD): base pay (−47.6k), employer payroll taxes (−4.1k) and benefits (−3.6k); other items (+1.1k).</t>
  </si>
  <si>
    <t xml:space="preserve">Technical support (6000) rose 6.2k (0.5%) vs Budget 2026 v1 (YTD): base pay (+4.7k), benefits (+1.1k) and employer payroll taxes (+0.4k).</t>
  </si>
  <si>
    <t xml:space="preserve">CS / TAM delivery (6000) fell 4.8k (0.7%) vs Budget 2026 v1 (YTD): base pay (−5.8k) and benefits (−0.6k), partly offset by one-time compensation (+2.1k); other items (−0.5k).</t>
  </si>
  <si>
    <t xml:space="preserve">Shared IT (fully loaded) (6200) fell 19.3k (12.7%) vs Budget 2026 v1 (YTD): software &amp; IT services (−11.5k) and a shift in IT seat allocation (−7.8k). The plan is held at the account total, so there is no finer breakdown.</t>
  </si>
  <si>
    <t xml:space="preserve">Depreciation &amp; amortization (6700) fell 7.3k (4.7%) vs Budget 2026 v1 (YTD): depreciation &amp; amortization (−7.3k). The plan is held at the account total, so there is no finer breakdown.</t>
  </si>
  <si>
    <t xml:space="preserve">Stock-based compensation (6800) fell 11.0k (7.0%) vs Budget 2026 v1 (YTD): stock-based compensation (−11.0k). The plan is held at the account total, so there is no finer breakdown.</t>
  </si>
  <si>
    <t xml:space="preserve">Services delivery (PS COR) rose 0.6k (0.1%) vs Budget 2026 v1 (YTD): benefits (+0.6k).</t>
  </si>
  <si>
    <t xml:space="preserve">Services delivery (6000) rose 0.6k (0.1%) vs Budget 2026 v1 (YTD): benefits (+0.6k).</t>
  </si>
  <si>
    <t xml:space="preserve">Total service delivery cost fell 92.4k (1.8%) vs Budget 2026 v1 (YTD): service delivery (subscription COR) (−93.0k), partly offset by services delivery (PS COR) (+0.6k).</t>
  </si>
  <si>
    <t xml:space="preserve">Management gross profit fell 374.2k (3.5%) vs Budget 2026 v1 (YTD): lower net revenue (−466.6k), partly offset by lower service delivery cost (+92.4k).</t>
  </si>
  <si>
    <t xml:space="preserve">S&amp;M — direct go-to-market fell 184.1k (5.6%) vs Budget 2026 v1 (YTD): base pay (−79.0k), paid search &amp; social (−39.0k) and amortization of capitalized commissions (−30.5k); other items (−35.6k). The plan is held at the account total, so there is no finer breakdown.</t>
  </si>
  <si>
    <t xml:space="preserve">Direct sales (6000) fell 93.0k (5.1%) vs Budget 2026 v1 (YTD): base pay (−76.5k), benefits (−10.2k) and employer payroll taxes (−6.3k).</t>
  </si>
  <si>
    <t xml:space="preserve">Expansion selling (6000) fell 2.1k (0.7%) vs Budget 2026 v1 (YTD): base pay (−2.5k) and benefits (−0.3k), partly offset by one-time compensation (+0.9k); other items (−0.2k).</t>
  </si>
  <si>
    <t xml:space="preserve">Demand generation (6300) fell 65.5k (8.5%) vs Budget 2026 v1 (YTD): paid search &amp; social (−39.0k), partner marketing (−13.0k) and content &amp; SEO (−11.0k); other items (−2.5k). Journal memo: Partner Summit co-marketing.</t>
  </si>
  <si>
    <t xml:space="preserve">Commission amortization (6410) fell 30.5k (9.5%) vs Budget 2026 v1 (YTD): amortization of capitalized commissions (−30.5k). The plan is held at the account total, so there is no finer breakdown.</t>
  </si>
  <si>
    <t xml:space="preserve">Sales demo environments (6100) rose 7.0k (9.1%) vs Budget 2026 v1 (YTD): demo (+7.0k). Invoice memo: demo clusters for Partner Summit (Aug 12–14).</t>
  </si>
  <si>
    <t xml:space="preserve">Contribution after direct go-to-market fell 190.1k (2.6%) vs Budget 2026 v1 (YTD): lower net revenue (−466.6k), partly offset by lower S&amp;M — direct go-to-market (+184.1k) and lower service delivery cost (+92.4k).</t>
  </si>
  <si>
    <t xml:space="preserve">S&amp;M — shared costs fell 18.3k (3.9%) vs Budget 2026 v1 (YTD): software &amp; IT services (−18.0k) and stock-based compensation (−11.0k), partly offset by a shift in IT seat allocation (+14.4k); other items (−3.7k). The plan is held at the account total, so there is no finer breakdown.</t>
  </si>
  <si>
    <t xml:space="preserve">Shared IT (fully loaded) (6200) fell 3.6k (1.5%) vs Budget 2026 v1 (YTD): software &amp; IT services (−18.0k), partly offset by a shift in IT seat allocation (+14.4k). The plan is held at the account total, so there is no finer breakdown.</t>
  </si>
  <si>
    <t xml:space="preserve">Depreciation &amp; amortization (6700) fell 3.7k (4.7%) vs Budget 2026 v1 (YTD): depreciation &amp; amortization (−3.7k). The plan is held at the account total, so there is no finer breakdown.</t>
  </si>
  <si>
    <t xml:space="preserve">Research and development fell 205.6k (6.2%) vs Budget 2026 v1 (YTD): base pay (−143.0k), software &amp; IT services (−18.5k) and stock-based compensation (−16.5k); other items (−27.6k). The plan is held at the account total, so there is no finer breakdown.</t>
  </si>
  <si>
    <t xml:space="preserve">Product engineering (6000) fell 162.7k (6.8%) vs Budget 2026 v1 (YTD): base pay (−143.0k), employer payroll taxes (−12.2k) and benefits (−10.9k); other items (+3.4k).</t>
  </si>
  <si>
    <t xml:space="preserve">Dev/test infrastructure (6100) rose 6.0k (2.0%) vs Budget 2026 v1 (YTD): dev-test (+6.0k).</t>
  </si>
  <si>
    <t xml:space="preserve">Shared IT (fully loaded) (6200) fell 25.1k (10.3%) vs Budget 2026 v1 (YTD): software &amp; IT services (−18.5k) and a shift in IT seat allocation (−6.6k). The plan is held at the account total, so there is no finer breakdown.</t>
  </si>
  <si>
    <t xml:space="preserve">Stock-based compensation (6800) fell 16.5k (7.0%) vs Budget 2026 v1 (YTD): stock-based compensation (−16.5k). The plan is held at the account total, so there is no finer breakdown.</t>
  </si>
  <si>
    <t xml:space="preserve">General and administrative fell 62.2k (4.2%) vs Budget 2026 v1 (YTD): payroll &amp; HR services (−23.0k), G&amp;A team payroll (−20.0k) and outside legal (−17.0k); other items (−2.2k). Matter: enterprise renewal contract reviews.</t>
  </si>
  <si>
    <t xml:space="preserve">Corporate administration (6050) fell 53.0k (4.0%) vs Budget 2026 v1 (YTD): payroll &amp; HR services (−23.0k), G&amp;A team payroll (−20.0k) and outside legal (−17.0k); other items (+7.0k). Matter: enterprise renewal contract reviews. Other items include JE-2026-08-114, the August outside-legal accrual true-up, since recategorized to outside legal.</t>
  </si>
  <si>
    <t xml:space="preserve">Stock-based compensation (6800) fell 5.5k (7.0%) vs Budget 2026 v1 (YTD): stock-based compensation (−5.5k). The plan is held at the account total, so there is no finer breakdown.</t>
  </si>
  <si>
    <t xml:space="preserve">Shared S&amp;M, R&amp;D and G&amp;A fell 286.0k (5.4%) vs Budget 2026 v1 (YTD): research and development (−205.5k), general and administrative (−62.2k) and S&amp;M — shared costs (−18.3k).</t>
  </si>
  <si>
    <t xml:space="preserve">Operating income rose 96.0k (4.8%) vs Budget 2026 v1 (YTD): lower shared S&amp;M, R&amp;D and G&amp;A (+286.1k) and lower S&amp;M — direct go-to-market (+184.1k), partly offset by lower net revenue (−466.6k); other lines (+92.4k).</t>
  </si>
  <si>
    <t xml:space="preserve">Net income rose 154.5k (10.0%) vs Budget 2026 v1 (YTD): lower shared S&amp;M, R&amp;D and G&amp;A (+286.1k) and lower S&amp;M — direct go-to-market (+184.1k), partly offset by lower net revenue (−466.6k); other lines (+150.9k).</t>
  </si>
  <si>
    <t xml:space="preserve">Revenue fell 466.6k (3.0%) vs Budget 2026 v1 (YTD): enterprise (−774.5k), partly offset by mid-market (+196.8k) and SMB (+141.1k); other items (−30.0k).</t>
  </si>
  <si>
    <t xml:space="preserve">Compensation (6000) fell 310.1k (3.8%) vs Budget 2026 v1 (YTD): base pay (−270.8k), benefits (−23.8k) and employer payroll taxes (−23.0k); other items (+7.5k).</t>
  </si>
  <si>
    <t xml:space="preserve">Compensation (Engineering) fell 216.9k (6.8%) vs Budget 2026 v1 (YTD): base pay (−190.6k), employer payroll taxes (−16.3k) and benefits (−14.5k); other items (+4.5k).</t>
  </si>
  <si>
    <t xml:space="preserve">Compensation (Customer Success) fell 6.9k (0.7%) vs Budget 2026 v1 (YTD): base pay (−8.4k) and benefits (−0.8k), partly offset by one-time compensation (+3.0k); other items (−0.7k).</t>
  </si>
  <si>
    <t xml:space="preserve">Compensation (Professional Services) rose 0.6k (0.1%) vs Budget 2026 v1 (YTD): benefits (+0.6k).</t>
  </si>
  <si>
    <t xml:space="preserve">Cloud, software &amp; IT fell 37.5k (1.9%) vs Budget 2026 v1 (YTD): software &amp; IT services (−48.0k), partly offset by demo (+7.0k) and dev-test (+6.0k); other items (−2.5k). Invoice memo: demo clusters for Partner Summit (Aug 12–14). The plan is held at the account total, so there is no finer breakdown.</t>
  </si>
  <si>
    <t xml:space="preserve">Cloud hosting (Engineering) rose 10.5k (0.8%) vs Budget 2026 v1 (YTD): demo (+7.0k) and dev-test (+6.0k), partly offset by prod (−2.0k); other items (−0.5k). Invoice memo: demo clusters for Partner Summit (Aug 12–14).</t>
  </si>
  <si>
    <t xml:space="preserve">Software &amp; IT services (Corporate IT) fell 48.0k (7.6%) vs Budget 2026 v1 (YTD): software &amp; IT services (−48.0k). The plan is held at the account total, so there is no finer breakdown.</t>
  </si>
  <si>
    <t xml:space="preserve">Marketing &amp; corporate services fell 118.5k (5.7%) vs Budget 2026 v1 (YTD): paid search &amp; social (−39.0k), payroll &amp; HR services (−23.0k) and G&amp;A team payroll (−20.0k); other items (−36.5k).</t>
  </si>
  <si>
    <t xml:space="preserve">Amortization, D&amp;A and stock compensation fell 96.5k (6.8%) vs Budget 2026 v1 (YTD): stock-based compensation (−44.0k), amortization of capitalized commissions (−30.5k) and depreciation &amp; amortization (−22.0k). The plan is held at the account total, so there is no finer breakdown.</t>
  </si>
  <si>
    <t xml:space="preserve">Depreciation &amp; amortization (Shared assets) fell 22.0k (4.7%) vs Budget 2026 v1 (YTD): depreciation &amp; amortization (−22.0k). The plan is held at the account total, so there is no finer breakdown.</t>
  </si>
  <si>
    <t xml:space="preserve">Stock-based compensation (Company pool) fell 44.0k (7.0%) vs Budget 2026 v1 (YTD): stock-based compensation (−44.0k). The plan is held at the account total, so there is no finer breakdown.</t>
  </si>
  <si>
    <t xml:space="preserve">Total operating costs fell 562.6k (4.1%) vs Budget 2026 v1 (YTD): compensation (−310.1k), marketing &amp; corporate services (−118.5k) and amortization, D&amp;A and stock compensation (−96.5k); other lines (−37.5k).</t>
  </si>
  <si>
    <t xml:space="preserve">Operating income rose 96.0k (4.8%) vs Budget 2026 v1 (YTD): lower operating costs (+562.6k), partly offset by lower revenue (−466.6k).</t>
  </si>
  <si>
    <t xml:space="preserve">Interest, net rose 19.0k (11.0%) vs Budget 2026 v1 (YTD): higher interest income (+17.5k) and lower interest expense (+1.5k).</t>
  </si>
  <si>
    <t xml:space="preserve">Net income rose 154.5k (10.0%) vs Budget 2026 v1 (YTD): lower operating costs (+562.6k) and lower income tax expense (+39.5k), partly offset by lower revenue (−466.6k); other lines (+19.0k).</t>
  </si>
  <si>
    <t xml:space="preserve">Approved by J. Patel, Controller · 2026-09-10 · 40 lines in scope, all reviewed · Ledger amounts in blue, formulas in black; GL lines are grouped under the statement lines built from them (use the outline buttons to collapse).</t>
  </si>
  <si>
    <t xml:space="preserve">Subscription revenue rose 5.2k (0.3%) vs Forecast 2026 7+5: enterprise (+35.3k), partly offset by mid-market (−30.1k).</t>
  </si>
  <si>
    <t xml:space="preserve">Professional services revenue fell 5.0k (2.4%) vs Forecast 2026 7+5: professional services revenue (−5.0k). The plan is held at the account total, so there is no finer breakdown.</t>
  </si>
  <si>
    <t xml:space="preserve">Total net revenue rose 0.2k (0.0%) vs Forecast 2026 7+5: enterprise (+35.3k), partly offset by mid-market (−30.1k) and professional services revenue (−5.0k). The plan is held at the account total, so there is no finer breakdown.</t>
  </si>
  <si>
    <t xml:space="preserve">Cost of revenue — subscription &amp; service delivery rose 6.6k (1.2%) vs Forecast 2026 7+5: base pay (+1.9k), a shift in IT seat allocation (+1.6k) and benefits (+1.5k); other items (+1.6k).</t>
  </si>
  <si>
    <t xml:space="preserve">Cloud hosting (Engineering) rose 1.0k (0.7%) vs Forecast 2026 7+5: prod (+1.0k).</t>
  </si>
  <si>
    <t xml:space="preserve">Compensation (Engineering) fell 2.7k (2.6%) vs Forecast 2026 7+5: base pay (−2.9k) and employer payroll taxes (−0.2k), partly offset by GL vs payroll reconciling (+0.5k); other items (−0.1k).</t>
  </si>
  <si>
    <t xml:space="preserve">Compensation (Customer Success) rose 0.5k (0.6%) vs Forecast 2026 7+5: benefits (+0.5k).</t>
  </si>
  <si>
    <t xml:space="preserve">Compensation (Support) rose 6.2k (4.0%) vs Forecast 2026 7+5: base pay (+4.7k), benefits (+1.1k) and employer payroll taxes (+0.4k).</t>
  </si>
  <si>
    <t xml:space="preserve">Software &amp; IT services (Corporate IT) rose 1.6k (11.1%) vs Forecast 2026 7+5: a shift in IT seat allocation (+1.6k).</t>
  </si>
  <si>
    <t xml:space="preserve">Depreciation &amp; amortization (Shared assets) was unchanged vs Forecast 2026 7+5.</t>
  </si>
  <si>
    <t xml:space="preserve">Stock-based compensation (Company pool) was unchanged vs Forecast 2026 7+5.</t>
  </si>
  <si>
    <t xml:space="preserve">Cost of revenue — professional services rose 0.6k (0.5%) vs Forecast 2026 7+5: benefits (+0.6k).</t>
  </si>
  <si>
    <t xml:space="preserve">Total cost of revenue rose 7.2k (1.1%) vs Forecast 2026 7+5: benefits (+2.1k), base pay (+1.9k) and a shift in IT seat allocation (+1.6k); other items (+1.6k).</t>
  </si>
  <si>
    <t xml:space="preserve">Gross profit fell 7.0k (0.5%) vs Forecast 2026 7+5: higher cost of revenue (−7.2k), partly offset by higher net revenue (+0.2k).</t>
  </si>
  <si>
    <t xml:space="preserve">Research and development fell 9.0k (2.1%) vs Forecast 2026 7+5: base pay (−8.7k) and dev-test (−1.0k), partly offset by GL vs payroll reconciling (+1.5k); other items (−0.8k).</t>
  </si>
  <si>
    <t xml:space="preserve">Compensation (Engineering) fell 8.0k (2.6%) vs Forecast 2026 7+5: base pay (−8.7k) and employer payroll taxes (−0.7k), partly offset by GL vs payroll reconciling (+1.5k); other items (−0.1k).</t>
  </si>
  <si>
    <t xml:space="preserve">Cloud hosting (Engineering) fell 1.0k (2.4%) vs Forecast 2026 7+5: dev-test (−1.0k).</t>
  </si>
  <si>
    <t xml:space="preserve">Software &amp; IT services (Corporate IT) was unchanged vs Forecast 2026 7+5.</t>
  </si>
  <si>
    <t xml:space="preserve">Sales and marketing fell 7.8k (1.6%) vs Forecast 2026 7+5: base pay (−10.2k) and a shift in IT seat allocation (−1.6k), partly offset by demo (+6.0k); other items (−2.0k). Invoice memo: demo clusters for Partner Summit (Aug 12–14).</t>
  </si>
  <si>
    <t xml:space="preserve">Compensation (Sales) fell 11.4k (4.5%) vs Forecast 2026 7+5: base pay (−10.2k), employer payroll taxes (−0.8k) and benefits (−0.4k).</t>
  </si>
  <si>
    <t xml:space="preserve">Compensation (Customer Success) rose 0.2k (0.6%) vs Forecast 2026 7+5: benefits (+0.2k).</t>
  </si>
  <si>
    <t xml:space="preserve">Marketing programs (Marketing) fell 1.0k (1.0%) vs Forecast 2026 7+5: paid search &amp; social (−1.0k).</t>
  </si>
  <si>
    <t xml:space="preserve">Amortization of capitalized commissions (Sales) was unchanged vs Forecast 2026 7+5.</t>
  </si>
  <si>
    <t xml:space="preserve">Cloud hosting (Engineering) rose 6.0k (42.9%) vs Forecast 2026 7+5: demo (+6.0k). Invoice memo: demo clusters for Partner Summit (Aug 12–14).</t>
  </si>
  <si>
    <t xml:space="preserve">Software &amp; IT services (Corporate IT) fell 1.6k (6.3%) vs Forecast 2026 7+5: a shift in IT seat allocation (−1.6k).</t>
  </si>
  <si>
    <t xml:space="preserve">General and administrative rose 19.0k (9.6%) vs Forecast 2026 7+5: audit &amp; tax fees (+10.0k), outside legal (+6.0k) and a journal without a category (JE-2026-08-114; +3.0k). Matter: enterprise renewal contract reviews.</t>
  </si>
  <si>
    <t xml:space="preserve">Corporate labor &amp; professional services (G&amp;A) rose 19.0k (11.8%) vs Forecast 2026 7+5: audit &amp; tax fees (+10.0k), outside legal (+6.0k) and a journal without a category (JE-2026-08-114; +3.0k). Matter: enterprise renewal contract reviews. Reviewer: JE-2026-08-114 is the August outside-legal accrual true-up; it has been recategorized to outside legal.</t>
  </si>
  <si>
    <t xml:space="preserve">Total operating expenses rose 2.3k (0.2%) vs Forecast 2026 7+5: general and administrative (+19.0k), partly offset by research and development (−8.9k) and sales and marketing (−7.8k).</t>
  </si>
  <si>
    <t xml:space="preserve">Operating income fell 9.2k (4.0%) vs Forecast 2026 7+5: higher cost of revenue (−7.2k) and higher operating expenses (−2.2k), partly offset by higher net revenue (+0.2k).</t>
  </si>
  <si>
    <t xml:space="preserve">Interest income was unchanged vs Forecast 2026 7+5.</t>
  </si>
  <si>
    <t xml:space="preserve">Interest expense was unchanged vs Forecast 2026 7+5.</t>
  </si>
  <si>
    <t xml:space="preserve">Income before income taxes fell 9.2k (4.4%) vs Forecast 2026 7+5: higher cost of revenue (−7.2k) and higher operating expenses (−2.2k), partly offset by higher net revenue (+0.2k).</t>
  </si>
  <si>
    <t xml:space="preserve">Income tax expense rose 2.0k (5.3%) vs Forecast 2026 7+5: income tax expense (+2.0k). The plan is held at the account total, so there is no finer breakdown.</t>
  </si>
  <si>
    <t xml:space="preserve">Net income fell 11.2k (6.6%) vs Forecast 2026 7+5: higher cost of revenue (−7.2k), higher operating expenses (−2.2k) and higher income tax expense (−2.0k); other lines (+0.2k).</t>
  </si>
  <si>
    <t xml:space="preserve">Service delivery (subscription COR) rose 6.6k (1.2%) vs Forecast 2026 7+5: base pay (+1.9k), a shift in IT seat allocation (+1.6k) and benefits (+1.5k); other items (+1.6k).</t>
  </si>
  <si>
    <t xml:space="preserve">Production compute (6100) rose 1.0k (0.7%) vs Forecast 2026 7+5: prod (+1.0k).</t>
  </si>
  <si>
    <t xml:space="preserve">SRE / platform operations (6000) fell 2.7k (2.6%) vs Forecast 2026 7+5: base pay (−2.9k) and employer payroll taxes (−0.2k), partly offset by GL vs payroll reconciling (+0.5k); other items (−0.1k).</t>
  </si>
  <si>
    <t xml:space="preserve">Technical support (6000) rose 6.2k (4.0%) vs Forecast 2026 7+5: base pay (+4.7k), benefits (+1.1k) and employer payroll taxes (+0.4k).</t>
  </si>
  <si>
    <t xml:space="preserve">CS / TAM delivery (6000) rose 0.5k (0.6%) vs Forecast 2026 7+5: benefits (+0.5k).</t>
  </si>
  <si>
    <t xml:space="preserve">Shared IT (fully loaded) (6200) rose 1.6k (8.7%) vs Forecast 2026 7+5: a shift in IT seat allocation (+1.6k).</t>
  </si>
  <si>
    <t xml:space="preserve">Depreciation &amp; amortization (6700) was unchanged vs Forecast 2026 7+5.</t>
  </si>
  <si>
    <t xml:space="preserve">Stock-based compensation (6800) was unchanged vs Forecast 2026 7+5.</t>
  </si>
  <si>
    <t xml:space="preserve">Services delivery (PS COR) rose 0.6k (0.5%) vs Forecast 2026 7+5: benefits (+0.6k).</t>
  </si>
  <si>
    <t xml:space="preserve">Services delivery (6000) rose 0.6k (0.5%) vs Forecast 2026 7+5: benefits (+0.6k).</t>
  </si>
  <si>
    <t xml:space="preserve">Total service delivery cost rose 7.2k (1.1%) vs Forecast 2026 7+5: service delivery (subscription COR) (+6.6k) and services delivery (PS COR) (+0.6k).</t>
  </si>
  <si>
    <t xml:space="preserve">Management gross profit fell 7.0k (0.5%) vs Forecast 2026 7+5: higher service delivery cost (−7.2k), partly offset by higher net revenue (+0.2k).</t>
  </si>
  <si>
    <t xml:space="preserve">S&amp;M — direct go-to-market fell 6.2k (1.4%) vs Forecast 2026 7+5: base pay (−10.2k) and paid search &amp; social (−1.0k), partly offset by demo (+6.0k); other items (−1.0k). Invoice memo: demo clusters for Partner Summit (Aug 12–14).</t>
  </si>
  <si>
    <t xml:space="preserve">Direct sales (6000) fell 11.4k (4.5%) vs Forecast 2026 7+5: base pay (−10.2k), employer payroll taxes (−0.8k) and benefits (−0.4k).</t>
  </si>
  <si>
    <t xml:space="preserve">Expansion selling (6000) rose 0.2k (0.6%) vs Forecast 2026 7+5: benefits (+0.2k).</t>
  </si>
  <si>
    <t xml:space="preserve">Demand generation (6300) fell 1.0k (1.0%) vs Forecast 2026 7+5: paid search &amp; social (−1.0k).</t>
  </si>
  <si>
    <t xml:space="preserve">Commission amortization (6410) was unchanged vs Forecast 2026 7+5.</t>
  </si>
  <si>
    <t xml:space="preserve">Sales demo environments (6100) rose 6.0k (42.9%) vs Forecast 2026 7+5: demo (+6.0k). Invoice memo: demo clusters for Partner Summit (Aug 12–14).</t>
  </si>
  <si>
    <t xml:space="preserve">Contribution after direct go-to-market fell 0.8k (0.1%) vs Forecast 2026 7+5: higher service delivery cost (−7.2k), partly offset by lower S&amp;M — direct go-to-market (+6.2k) and higher net revenue (+0.2k).</t>
  </si>
  <si>
    <t xml:space="preserve">S&amp;M — shared costs fell 1.6k (2.6%) vs Forecast 2026 7+5: a shift in IT seat allocation (−1.6k).</t>
  </si>
  <si>
    <t xml:space="preserve">Shared IT (fully loaded) (6200) fell 1.6k (5.1%) vs Forecast 2026 7+5: a shift in IT seat allocation (−1.6k).</t>
  </si>
  <si>
    <t xml:space="preserve">Product engineering (6000) fell 8.0k (2.6%) vs Forecast 2026 7+5: base pay (−8.7k) and employer payroll taxes (−0.7k), partly offset by GL vs payroll reconciling (+1.5k); other items (−0.1k).</t>
  </si>
  <si>
    <t xml:space="preserve">Dev/test infrastructure (6100) fell 1.0k (2.4%) vs Forecast 2026 7+5: dev-test (−1.0k).</t>
  </si>
  <si>
    <t xml:space="preserve">Shared IT (fully loaded) (6200) was unchanged vs Forecast 2026 7+5.</t>
  </si>
  <si>
    <t xml:space="preserve">General and administrative rose 19.0k (10.5%) vs Forecast 2026 7+5: audit &amp; tax fees (+10.0k), outside legal (+6.0k) and a journal without a category (JE-2026-08-114; +3.0k). Matter: enterprise renewal contract reviews.</t>
  </si>
  <si>
    <t xml:space="preserve">Corporate administration (6050) rose 19.0k (11.8%) vs Forecast 2026 7+5: audit &amp; tax fees (+10.0k), outside legal (+6.0k) and a journal without a category (JE-2026-08-114; +3.0k). Matter: enterprise renewal contract reviews. Reviewer: JE-2026-08-114 is the August outside-legal accrual true-up; it has been recategorized to outside legal.</t>
  </si>
  <si>
    <t xml:space="preserve">Shared S&amp;M, R&amp;D and G&amp;A rose 8.4k (1.3%) vs Forecast 2026 7+5: general and administrative (+19.0k), partly offset by research and development (−9.0k) and S&amp;M — shared costs (−1.6k).</t>
  </si>
  <si>
    <t xml:space="preserve">Operating income fell 9.2k (4.0%) vs Forecast 2026 7+5: higher shared S&amp;M, R&amp;D and G&amp;A (−8.4k) and higher service delivery cost (−7.2k), partly offset by lower S&amp;M — direct go-to-market (+6.2k); other lines (+0.2k).</t>
  </si>
  <si>
    <t xml:space="preserve">Net income fell 11.2k (6.6%) vs Forecast 2026 7+5: higher shared S&amp;M, R&amp;D and G&amp;A (−8.4k) and higher service delivery cost (−7.2k), partly offset by lower S&amp;M — direct go-to-market (+6.2k); other lines (−1.8k).</t>
  </si>
  <si>
    <t xml:space="preserve">Revenue rose 0.2k (0.0%) vs Forecast 2026 7+5: enterprise (+35.3k), partly offset by mid-market (−30.1k) and professional services revenue (−5.0k). The plan is held at the account total, so there is no finer breakdown.</t>
  </si>
  <si>
    <t xml:space="preserve">Compensation (6000) fell 14.5k (1.4%) vs Forecast 2026 7+5: base pay (−16.9k), partly offset by GL vs payroll reconciling (+2.0k) and benefits (+1.8k); other items (−1.4k).</t>
  </si>
  <si>
    <t xml:space="preserve">Compensation (Engineering) fell 10.6k (2.6%) vs Forecast 2026 7+5: base pay (−11.5k) and employer payroll taxes (−0.9k), partly offset by GL vs payroll reconciling (+2.0k); other items (−0.2k).</t>
  </si>
  <si>
    <t xml:space="preserve">Compensation (Customer Success) rose 0.7k (0.6%) vs Forecast 2026 7+5: benefits (+0.7k).</t>
  </si>
  <si>
    <t xml:space="preserve">Compensation (Professional Services) rose 0.6k (0.5%) vs Forecast 2026 7+5: benefits (+0.6k).</t>
  </si>
  <si>
    <t xml:space="preserve">Cloud, software &amp; IT rose 6.0k (2.2%) vs Forecast 2026 7+5: demo (+6.0k) and prod (+1.0k), partly offset by dev-test (−1.0k). Invoice memo: demo clusters for Partner Summit (Aug 12–14).</t>
  </si>
  <si>
    <t xml:space="preserve">Cloud hosting (Engineering) rose 6.0k (3.1%) vs Forecast 2026 7+5: demo (+6.0k) and prod (+1.0k), partly offset by dev-test (−1.0k). Invoice memo: demo clusters for Partner Summit (Aug 12–14).</t>
  </si>
  <si>
    <t xml:space="preserve">Marketing &amp; corporate services rose 18.0k (6.9%) vs Forecast 2026 7+5: audit &amp; tax fees (+10.0k), outside legal (+6.0k) and a journal without a category (JE-2026-08-114; +3.0k); other items (−1.0k). Matter: enterprise renewal contract reviews.</t>
  </si>
  <si>
    <t xml:space="preserve">Amortization, D&amp;A and stock compensation was unchanged vs Forecast 2026 7+5.</t>
  </si>
  <si>
    <t xml:space="preserve">Total operating costs rose 9.5k (0.5%) vs Forecast 2026 7+5: marketing &amp; corporate services (+18.0k) and cloud, software &amp; IT (+6.0k), partly offset by compensation (−14.5k).</t>
  </si>
  <si>
    <t xml:space="preserve">Operating income fell 9.2k (4.0%) vs Forecast 2026 7+5: higher operating costs (−9.4k), partly offset by higher revenue (+0.2k).</t>
  </si>
  <si>
    <t xml:space="preserve">Interest, net was unchanged vs Forecast 2026 7+5.</t>
  </si>
  <si>
    <t xml:space="preserve">Net income fell 11.2k (6.6%) vs Forecast 2026 7+5: higher operating costs (−9.4k) and higher income tax expense (−2.0k), partly offset by higher revenue (+0.2k).</t>
  </si>
  <si>
    <t xml:space="preserve">Not in Forecast 2026 7+5: no balance sheet in the plan version; this comparison runs against prior periods only.</t>
  </si>
  <si>
    <t xml:space="preserve">Not in Forecast 2026 7+5: no cash flow statement in the plan version; this comparison runs against prior periods only.</t>
  </si>
  <si>
    <t xml:space="preserve">Compensation bridge (§18) · month over month and vs budget</t>
  </si>
  <si>
    <t xml:space="preserve">Bars are the labor engine's (blue). Start and end link to the GL compensation lines; the bridge must land on the ledger. Hires, departures and mix are computed per department; only their sum (headcount &amp; mix) adds across departments.</t>
  </si>
  <si>
    <t xml:space="preserve">Compensation bridge, Jul 2026 → Aug 2026</t>
  </si>
  <si>
    <t xml:space="preserve">Company (all departments)</t>
  </si>
  <si>
    <t xml:space="preserve">Start: Jul 2026 actual (GL 6000)</t>
  </si>
  <si>
    <t xml:space="preserve">Headcount &amp; mix (hires, departures, mix)</t>
  </si>
  <si>
    <t xml:space="preserve">Rate (pay changes)</t>
  </si>
  <si>
    <t xml:space="preserve">Timing (partial months)</t>
  </si>
  <si>
    <t xml:space="preserve">Benefits &amp; payroll taxes</t>
  </si>
  <si>
    <t xml:space="preserve">One-time compensation</t>
  </si>
  <si>
    <t xml:space="preserve">GL vs payroll reconciling</t>
  </si>
  <si>
    <t xml:space="preserve">End: Aug 2026 actual (bridge)</t>
  </si>
  <si>
    <t xml:space="preserve">Aug 2026 compensation (ledger)</t>
  </si>
  <si>
    <t xml:space="preserve">By department</t>
  </si>
  <si>
    <t xml:space="preserve">Start</t>
  </si>
  <si>
    <t xml:space="preserve">Hires</t>
  </si>
  <si>
    <t xml:space="preserve">Departures</t>
  </si>
  <si>
    <t xml:space="preserve">Opening heads vs plan</t>
  </si>
  <si>
    <t xml:space="preserve">Mix</t>
  </si>
  <si>
    <t xml:space="preserve">Transfers</t>
  </si>
  <si>
    <t xml:space="preserve">Rate</t>
  </si>
  <si>
    <t xml:space="preserve">Timing</t>
  </si>
  <si>
    <t xml:space="preserve">Benefits &amp; taxes</t>
  </si>
  <si>
    <t xml:space="preserve">One-time</t>
  </si>
  <si>
    <t xml:space="preserve">GL vs payroll</t>
  </si>
  <si>
    <t xml:space="preserve">End (bridge)</t>
  </si>
  <si>
    <t xml:space="preserve">End (ledger)</t>
  </si>
  <si>
    <t xml:space="preserve">Engineering</t>
  </si>
  <si>
    <t xml:space="preserve">Customer Success</t>
  </si>
  <si>
    <t xml:space="preserve">Support</t>
  </si>
  <si>
    <t xml:space="preserve">Professional Services</t>
  </si>
  <si>
    <t xml:space="preserve">Sales</t>
  </si>
  <si>
    <t xml:space="preserve">All departments</t>
  </si>
  <si>
    <t xml:space="preserve">Headcount &amp; mix: Σ departments (hires + departures + opening + mix + transfers) = company</t>
  </si>
  <si>
    <t xml:space="preserve">Compensation bridge, Budget 2026 v1 → Aug 2026 actual</t>
  </si>
  <si>
    <t xml:space="preserve">Start: Budget 2026 v1, Aug (GL 6000)</t>
  </si>
  <si>
    <t xml:space="preserve">What to watch · future impacts noted at the Aug 2026 close</t>
  </si>
  <si>
    <t xml:space="preserve">Expected change on each GL line versus August, in the line's reported sign (revenue and costs positive). The net income row applies each line's sign. Suggested items are proposals awaiting acceptance; accepted items flow to the forecast as proposed adjustments.</t>
  </si>
  <si>
    <t xml:space="preserve">Impact</t>
  </si>
  <si>
    <t xml:space="preserve">GL line</t>
  </si>
  <si>
    <t xml:space="preserve">Type</t>
  </si>
  <si>
    <t xml:space="preserve">Owner</t>
  </si>
  <si>
    <t xml:space="preserve">Confidence</t>
  </si>
  <si>
    <t xml:space="preserve">Source</t>
  </si>
  <si>
    <t xml:space="preserve">NI sign</t>
  </si>
  <si>
    <t xml:space="preserve">Sep ’26</t>
  </si>
  <si>
    <t xml:space="preserve">Oct ’26</t>
  </si>
  <si>
    <t xml:space="preserve">Nov ’26</t>
  </si>
  <si>
    <t xml:space="preserve">Dec ’26</t>
  </si>
  <si>
    <t xml:space="preserve">Jan ’27</t>
  </si>
  <si>
    <t xml:space="preserve">Feb ’27</t>
  </si>
  <si>
    <t xml:space="preserve">Mar ’27</t>
  </si>
  <si>
    <t xml:space="preserve">August sign-on bonus does not recur</t>
  </si>
  <si>
    <t xml:space="preserve">One-time reversal</t>
  </si>
  <si>
    <t xml:space="preserve">FP&amp;A</t>
  </si>
  <si>
    <t xml:space="preserve">High</t>
  </si>
  <si>
    <t xml:space="preserve">Accepted</t>
  </si>
  <si>
    <t xml:space="preserve">SMPL rule: one-time compensation</t>
  </si>
  <si>
    <t xml:space="preserve">August payroll accrual true-up reverses</t>
  </si>
  <si>
    <t xml:space="preserve">Accrual reversal</t>
  </si>
  <si>
    <t xml:space="preserve">Accounting</t>
  </si>
  <si>
    <t xml:space="preserve">SMPL rule: accrual reversal</t>
  </si>
  <si>
    <t xml:space="preserve">August severance does not recur</t>
  </si>
  <si>
    <t xml:space="preserve">Merit cycle effective Jan 1, 2027 (+3.5% of base pay)</t>
  </si>
  <si>
    <t xml:space="preserve">Recurring</t>
  </si>
  <si>
    <t xml:space="preserve">Medium</t>
  </si>
  <si>
    <t xml:space="preserve">Suggested</t>
  </si>
  <si>
    <t xml:space="preserve">User: FP&amp;A</t>
  </si>
  <si>
    <t xml:space="preserve">Partner Summit demo clusters wind down</t>
  </si>
  <si>
    <t xml:space="preserve">AI suggestion (evidence: invoice memo)</t>
  </si>
  <si>
    <t xml:space="preserve">Capitalized platform release goes live Oct 1</t>
  </si>
  <si>
    <t xml:space="preserve">User: Controller</t>
  </si>
  <si>
    <t xml:space="preserve">MM-12 non-renewal notice; subscription ends Sep 30</t>
  </si>
  <si>
    <t xml:space="preserve">User: Customer Success</t>
  </si>
  <si>
    <t xml:space="preserve">ENT-12 ramps to contracted MRR in October</t>
  </si>
  <si>
    <t xml:space="preserve">Sales operations</t>
  </si>
  <si>
    <t xml:space="preserve">User: Sales operations</t>
  </si>
  <si>
    <t xml:space="preserve">Q4 user conference deposits</t>
  </si>
  <si>
    <t xml:space="preserve">Marketing</t>
  </si>
  <si>
    <t xml:space="preserve">User: Marketing</t>
  </si>
  <si>
    <t xml:space="preserve">Identity platform price step-up in month 7</t>
  </si>
  <si>
    <t xml:space="preserve">Corporate IT</t>
  </si>
  <si>
    <t xml:space="preserve">Low</t>
  </si>
  <si>
    <t xml:space="preserve">AI suggestion (evidence: contract metadata)</t>
  </si>
  <si>
    <t xml:space="preserve">FY2026 audit fieldwork</t>
  </si>
  <si>
    <t xml:space="preserve">Net income effect by month (formula)</t>
  </si>
  <si>
    <t xml:space="preserve">Net income effect (SMPL: GL, income statement and management P&amp;L agree)</t>
  </si>
  <si>
    <t xml:space="preserve">Next month (Sep 2026): net income effect</t>
  </si>
  <si>
    <t xml:space="preserve">How the Jul 2026-close watch list played out in Aug 2026</t>
  </si>
  <si>
    <t xml:space="preserve">Realized when actual ÷ expected is at or above</t>
  </si>
  <si>
    <t xml:space="preserve">Partly realized when at or above (else missed)</t>
  </si>
  <si>
    <t xml:space="preserve">Policy PD-32 (illustrative defaults); edit the yellow cells to test other thresholds.</t>
  </si>
  <si>
    <t xml:space="preserve">Impact noted at close</t>
  </si>
  <si>
    <t xml:space="preserve">Expected</t>
  </si>
  <si>
    <t xml:space="preserve">Actual</t>
  </si>
  <si>
    <t xml:space="preserve">Actual ÷ expected</t>
  </si>
  <si>
    <t xml:space="preserve">Outcome</t>
  </si>
  <si>
    <t xml:space="preserve">SMPL outcome</t>
  </si>
  <si>
    <t xml:space="preserve">Driver matched</t>
  </si>
  <si>
    <t xml:space="preserve">Follow-up for commentary</t>
  </si>
  <si>
    <t xml:space="preserve">Support market adjustment effective Aug 1 (+4% of base)</t>
  </si>
  <si>
    <t xml:space="preserve">Realized</t>
  </si>
  <si>
    <t xml:space="preserve">July customer conference does not recur in August</t>
  </si>
  <si>
    <t xml:space="preserve">Events &amp; conferences</t>
  </si>
  <si>
    <t xml:space="preserve">P-105 ENT-03 analytics rollout completes in July</t>
  </si>
  <si>
    <t xml:space="preserve">Professional services</t>
  </si>
  <si>
    <t xml:space="preserve">P-105 ENT-03 analytics rollout</t>
  </si>
  <si>
    <t xml:space="preserve">ENT-12 goes live in August</t>
  </si>
  <si>
    <t xml:space="preserve">Partly realized</t>
  </si>
  <si>
    <t xml:space="preserve">New logos: ENT-12 (Enterprise)</t>
  </si>
  <si>
    <t xml:space="preserve">Noted at Jul close: “ENT-12 goes live in August” was only partly realized.</t>
  </si>
  <si>
    <t xml:space="preserve">Q2 review accrual reverses in August</t>
  </si>
  <si>
    <t xml:space="preserve">Audit &amp; tax fees</t>
  </si>
  <si>
    <t xml:space="preserve">Noted at Jul close: “Q2 review accrual reverses in August” was only partly realized.</t>
  </si>
  <si>
    <t xml:space="preserve">Collaboration suite renewal credit in August</t>
  </si>
  <si>
    <t xml:space="preserve">Missed</t>
  </si>
  <si>
    <t xml:space="preserve">No driver moved</t>
  </si>
  <si>
    <t xml:space="preserve">Noted at Jul close: “Collaboration suite renewal credit in August” did not happen.</t>
  </si>
  <si>
    <t xml:space="preserve">Two account executives start in August</t>
  </si>
  <si>
    <t xml:space="preserve">Paid search pilot paused in August</t>
  </si>
  <si>
    <t xml:space="preserve">Paid search &amp; social</t>
  </si>
  <si>
    <t xml:space="preserve">Noted at Jul close: “Paid search pilot paused in August” did not happen; the line moved the other way.</t>
  </si>
  <si>
    <t xml:space="preserve">Outcomes match SMPL</t>
  </si>
  <si>
    <t xml:space="preserve">Dollar accuracy: 1 − Σ|actual − expected| ÷ Σ|expected|</t>
  </si>
  <si>
    <t xml:space="preserve">Accuracy by owner</t>
  </si>
  <si>
    <t xml:space="preserve">Items</t>
  </si>
  <si>
    <t xml:space="preserve">Partly</t>
  </si>
  <si>
    <t xml:space="preserve">Accuracy</t>
  </si>
  <si>
    <t xml:space="preserve">Tie-outs · every comparison</t>
  </si>
  <si>
    <t xml:space="preserve">SMPL validations at export (T22–T27) and the same ties recomputed by this workbook's formulas.</t>
  </si>
  <si>
    <t xml:space="preserve">Check</t>
  </si>
  <si>
    <t xml:space="preserve">SMPL validations at export</t>
  </si>
  <si>
    <t xml:space="preserve">Drivers sum to every line's variance (T22)</t>
  </si>
  <si>
    <t xml:space="preserve">Roll-ups equal the sum of their lines (T23)</t>
  </si>
  <si>
    <t xml:space="preserve">Commentary amounts add up to each variance (T26)</t>
  </si>
  <si>
    <t xml:space="preserve">Net income agrees: GL = income statement = management P&amp;L (T24)</t>
  </si>
  <si>
    <t xml:space="preserve">Allocations net to zero; operating income agrees (T24)</t>
  </si>
  <si>
    <t xml:space="preserve">Balance sheet balances (T27)</t>
  </si>
  <si>
    <t xml:space="preserve">n/a</t>
  </si>
  <si>
    <t xml:space="preserve">Cash flow ties to the change in cash (T27)</t>
  </si>
  <si>
    <t xml:space="preserve">Recomputed in this workbook</t>
  </si>
  <si>
    <t xml:space="preserve">Comparison tab: every roll-up recomputes from its lines to the ledger total; every line ties</t>
  </si>
  <si>
    <t xml:space="preserve">Line data: exact driver sums equal each line's variance; shown amounts equal the displayed variance</t>
  </si>
  <si>
    <t xml:space="preserve">Executive summary: cited net income components add up to the net income change</t>
  </si>
  <si>
    <t xml:space="preserve">Net income walk lands on the statement (income statement)</t>
  </si>
  <si>
    <t xml:space="preserve">Net income walk lands on the statement (management P&amp;L, allocations included)</t>
  </si>
  <si>
    <t xml:space="preserve">Package-level</t>
  </si>
  <si>
    <t xml:space="preserve">Labor bridge, month over month: lands on Aug compensation</t>
  </si>
  <si>
    <t xml:space="preserve">Labor bridge, month over month: headcount &amp; mix adds across departments</t>
  </si>
  <si>
    <t xml:space="preserve">Labor bridge vs budget: lands on Aug compensation</t>
  </si>
  <si>
    <t xml:space="preserve">Labor bridge vs budget: headcount &amp; mix adds across departments</t>
  </si>
  <si>
    <t xml:space="preserve">Watch list: net income effect by month equals SMPL's (all views agree)</t>
  </si>
  <si>
    <t xml:space="preserve">Watch list: outcome formulas match SMPL's scoring</t>
  </si>
  <si>
    <t xml:space="preserve">All tie-outs</t>
  </si>
  <si>
    <t xml:space="preserve">Key</t>
  </si>
  <si>
    <t xml:space="preserve">Comparison label</t>
  </si>
  <si>
    <t xml:space="preserve">View</t>
  </si>
  <si>
    <t xml:space="preserve">Line ID</t>
  </si>
  <si>
    <t xml:space="preserve">Level</t>
  </si>
  <si>
    <t xml:space="preserve">Current</t>
  </si>
  <si>
    <t xml:space="preserve">Comparison value</t>
  </si>
  <si>
    <t xml:space="preserve">Variance (ledger)</t>
  </si>
  <si>
    <t xml:space="preserve">Variance shown</t>
  </si>
  <si>
    <t xml:space="preserve">In scope</t>
  </si>
  <si>
    <t xml:space="preserve">Reviewed by</t>
  </si>
  <si>
    <t xml:space="preserve">Reviewed at</t>
  </si>
  <si>
    <t xml:space="preserve">Σ drivers exact</t>
  </si>
  <si>
    <t xml:space="preserve">Σ drivers shown</t>
  </si>
  <si>
    <t xml:space="preserve">Drivers tie</t>
  </si>
  <si>
    <t xml:space="preserve">2026-08|MOM|IS|IS.REV.SUB</t>
  </si>
  <si>
    <t xml:space="preserve">IS</t>
  </si>
  <si>
    <t xml:space="preserve">IS.REV.SUB</t>
  </si>
  <si>
    <t xml:space="preserve">Template</t>
  </si>
  <si>
    <t xml:space="preserve">Yes</t>
  </si>
  <si>
    <t xml:space="preserve">MC</t>
  </si>
  <si>
    <t xml:space="preserve">2026-09-08</t>
  </si>
  <si>
    <t xml:space="preserve">2026-08|MOM|IS|IS.REV.PS</t>
  </si>
  <si>
    <t xml:space="preserve">IS.REV.PS</t>
  </si>
  <si>
    <t xml:space="preserve">2026-08|MOM|IS|IS.REV.TOTAL</t>
  </si>
  <si>
    <t xml:space="preserve">IS.REV.TOTAL</t>
  </si>
  <si>
    <t xml:space="preserve">2026-08|MOM|IS|IS.COR.SUB</t>
  </si>
  <si>
    <t xml:space="preserve">IS.COR.SUB</t>
  </si>
  <si>
    <t xml:space="preserve">2026-08|MOM|IS|IS.COR.SUB.6100.ENG</t>
  </si>
  <si>
    <t xml:space="preserve">IS.COR.SUB.6100.ENG</t>
  </si>
  <si>
    <t xml:space="preserve">No</t>
  </si>
  <si>
    <t xml:space="preserve">2026-08|MOM|IS|IS.COR.SUB.6000.ENG</t>
  </si>
  <si>
    <t xml:space="preserve">IS.COR.SUB.6000.ENG</t>
  </si>
  <si>
    <t xml:space="preserve">2026-08|MOM|IS|IS.COR.SUB.6000.CS</t>
  </si>
  <si>
    <t xml:space="preserve">IS.COR.SUB.6000.CS</t>
  </si>
  <si>
    <t xml:space="preserve">2026-08|MOM|IS|IS.COR.SUB.6000.SUP</t>
  </si>
  <si>
    <t xml:space="preserve">IS.COR.SUB.6000.SUP</t>
  </si>
  <si>
    <t xml:space="preserve">2026-08|MOM|IS|IS.COR.SUB.6200.CORP_IT</t>
  </si>
  <si>
    <t xml:space="preserve">IS.COR.SUB.6200.CORP_IT</t>
  </si>
  <si>
    <t xml:space="preserve">2026-08|MOM|IS|IS.COR.SUB.6700.SHARED_ASSETS</t>
  </si>
  <si>
    <t xml:space="preserve">IS.COR.SUB.6700.SHARED_ASSETS</t>
  </si>
  <si>
    <t xml:space="preserve">2026-08|MOM|IS|IS.COR.SUB.6800.COMPANY_POOL</t>
  </si>
  <si>
    <t xml:space="preserve">IS.COR.SUB.6800.COMPANY_POOL</t>
  </si>
  <si>
    <t xml:space="preserve">2026-08|MOM|IS|IS.COR.PS</t>
  </si>
  <si>
    <t xml:space="preserve">IS.COR.PS</t>
  </si>
  <si>
    <t xml:space="preserve">2026-08|MOM|IS|IS.COR.TOTAL</t>
  </si>
  <si>
    <t xml:space="preserve">IS.COR.TOTAL</t>
  </si>
  <si>
    <t xml:space="preserve">2026-08|MOM|IS|IS.GP</t>
  </si>
  <si>
    <t xml:space="preserve">IS.GP</t>
  </si>
  <si>
    <t xml:space="preserve">2026-08|MOM|IS|IS.OPX.RD</t>
  </si>
  <si>
    <t xml:space="preserve">IS.OPX.RD</t>
  </si>
  <si>
    <t xml:space="preserve">2026-08|MOM|IS|IS.OPX.RD.6000.ENG</t>
  </si>
  <si>
    <t xml:space="preserve">IS.OPX.RD.6000.ENG</t>
  </si>
  <si>
    <t xml:space="preserve">2026-08|MOM|IS|IS.OPX.RD.6100.ENG</t>
  </si>
  <si>
    <t xml:space="preserve">IS.OPX.RD.6100.ENG</t>
  </si>
  <si>
    <t xml:space="preserve">2026-08|MOM|IS|IS.OPX.RD.6200.CORP_IT</t>
  </si>
  <si>
    <t xml:space="preserve">IS.OPX.RD.6200.CORP_IT</t>
  </si>
  <si>
    <t xml:space="preserve">2026-08|MOM|IS|IS.OPX.RD.6700.SHARED_ASSETS</t>
  </si>
  <si>
    <t xml:space="preserve">IS.OPX.RD.6700.SHARED_ASSETS</t>
  </si>
  <si>
    <t xml:space="preserve">2026-08|MOM|IS|IS.OPX.RD.6800.COMPANY_POOL</t>
  </si>
  <si>
    <t xml:space="preserve">IS.OPX.RD.6800.COMPANY_POOL</t>
  </si>
  <si>
    <t xml:space="preserve">2026-08|MOM|IS|IS.OPX.SM</t>
  </si>
  <si>
    <t xml:space="preserve">IS.OPX.SM</t>
  </si>
  <si>
    <t xml:space="preserve">2026-08|MOM|IS|IS.OPX.SM.6000.SALES</t>
  </si>
  <si>
    <t xml:space="preserve">IS.OPX.SM.6000.SALES</t>
  </si>
  <si>
    <t xml:space="preserve">2026-08|MOM|IS|IS.OPX.SM.6000.CS</t>
  </si>
  <si>
    <t xml:space="preserve">IS.OPX.SM.6000.CS</t>
  </si>
  <si>
    <t xml:space="preserve">2026-08|MOM|IS|IS.OPX.SM.6300.MKTG</t>
  </si>
  <si>
    <t xml:space="preserve">IS.OPX.SM.6300.MKTG</t>
  </si>
  <si>
    <t xml:space="preserve">2026-08|MOM|IS|IS.OPX.SM.6410.SALES</t>
  </si>
  <si>
    <t xml:space="preserve">IS.OPX.SM.6410.SALES</t>
  </si>
  <si>
    <t xml:space="preserve">2026-08|MOM|IS|IS.OPX.SM.6100.ENG</t>
  </si>
  <si>
    <t xml:space="preserve">IS.OPX.SM.6100.ENG</t>
  </si>
  <si>
    <t xml:space="preserve">2026-08|MOM|IS|IS.OPX.SM.6200.CORP_IT</t>
  </si>
  <si>
    <t xml:space="preserve">IS.OPX.SM.6200.CORP_IT</t>
  </si>
  <si>
    <t xml:space="preserve">2026-08|MOM|IS|IS.OPX.SM.6700.SHARED_ASSETS</t>
  </si>
  <si>
    <t xml:space="preserve">IS.OPX.SM.6700.SHARED_ASSETS</t>
  </si>
  <si>
    <t xml:space="preserve">2026-08|MOM|IS|IS.OPX.SM.6800.COMPANY_POOL</t>
  </si>
  <si>
    <t xml:space="preserve">IS.OPX.SM.6800.COMPANY_POOL</t>
  </si>
  <si>
    <t xml:space="preserve">2026-08|MOM|IS|IS.OPX.GA</t>
  </si>
  <si>
    <t xml:space="preserve">IS.OPX.GA</t>
  </si>
  <si>
    <t xml:space="preserve">2026-08|MOM|IS|IS.OPX.GA.6050.GA</t>
  </si>
  <si>
    <t xml:space="preserve">IS.OPX.GA.6050.GA</t>
  </si>
  <si>
    <t xml:space="preserve">Edited by reviewer</t>
  </si>
  <si>
    <t xml:space="preserve">2026-08|MOM|IS|IS.OPX.GA.6200.CORP_IT</t>
  </si>
  <si>
    <t xml:space="preserve">IS.OPX.GA.6200.CORP_IT</t>
  </si>
  <si>
    <t xml:space="preserve">2026-08|MOM|IS|IS.OPX.GA.6700.SHARED_ASSETS</t>
  </si>
  <si>
    <t xml:space="preserve">IS.OPX.GA.6700.SHARED_ASSETS</t>
  </si>
  <si>
    <t xml:space="preserve">2026-08|MOM|IS|IS.OPX.GA.6800.COMPANY_POOL</t>
  </si>
  <si>
    <t xml:space="preserve">IS.OPX.GA.6800.COMPANY_POOL</t>
  </si>
  <si>
    <t xml:space="preserve">2026-08|MOM|IS|IS.OPX.TOTAL</t>
  </si>
  <si>
    <t xml:space="preserve">IS.OPX.TOTAL</t>
  </si>
  <si>
    <t xml:space="preserve">2026-08|MOM|IS|IS.OI</t>
  </si>
  <si>
    <t xml:space="preserve">IS.OI</t>
  </si>
  <si>
    <t xml:space="preserve">2026-08|MOM|IS|IS.NOP.INT_INC</t>
  </si>
  <si>
    <t xml:space="preserve">IS.NOP.INT_INC</t>
  </si>
  <si>
    <t xml:space="preserve">2026-08|MOM|IS|IS.NOP.INT_EXP</t>
  </si>
  <si>
    <t xml:space="preserve">IS.NOP.INT_EXP</t>
  </si>
  <si>
    <t xml:space="preserve">2026-08|MOM|IS|IS.PRETAX</t>
  </si>
  <si>
    <t xml:space="preserve">IS.PRETAX</t>
  </si>
  <si>
    <t xml:space="preserve">2026-08|MOM|IS|IS.TAX</t>
  </si>
  <si>
    <t xml:space="preserve">IS.TAX</t>
  </si>
  <si>
    <t xml:space="preserve">2026-08|MOM|IS|IS.NI</t>
  </si>
  <si>
    <t xml:space="preserve">IS.NI</t>
  </si>
  <si>
    <t xml:space="preserve">2026-08|MOM|MP|MP.REV.SUB</t>
  </si>
  <si>
    <t xml:space="preserve">MP</t>
  </si>
  <si>
    <t xml:space="preserve">MP.REV.SUB</t>
  </si>
  <si>
    <t xml:space="preserve">2026-08|MOM|MP|MP.REV.PS</t>
  </si>
  <si>
    <t xml:space="preserve">MP.REV.PS</t>
  </si>
  <si>
    <t xml:space="preserve">2026-08|MOM|MP|MP.REV</t>
  </si>
  <si>
    <t xml:space="preserve">MP.REV</t>
  </si>
  <si>
    <t xml:space="preserve">2026-08|MOM|MP|MP.COR_SUB</t>
  </si>
  <si>
    <t xml:space="preserve">MP.COR_SUB</t>
  </si>
  <si>
    <t xml:space="preserve">2026-08|MOM|MP|MP.COR_SUB.PROD_COMPUTE</t>
  </si>
  <si>
    <t xml:space="preserve">MP.COR_SUB.PROD_COMPUTE</t>
  </si>
  <si>
    <t xml:space="preserve">2026-08|MOM|MP|MP.COR_SUB.SRE_PLATFORM_OPS</t>
  </si>
  <si>
    <t xml:space="preserve">MP.COR_SUB.SRE_PLATFORM_OPS</t>
  </si>
  <si>
    <t xml:space="preserve">2026-08|MOM|MP|MP.COR_SUB.TECH_SUPPORT</t>
  </si>
  <si>
    <t xml:space="preserve">MP.COR_SUB.TECH_SUPPORT</t>
  </si>
  <si>
    <t xml:space="preserve">2026-08|MOM|MP|MP.COR_SUB.CS_TAM_DELIVERY</t>
  </si>
  <si>
    <t xml:space="preserve">MP.COR_SUB.CS_TAM_DELIVERY</t>
  </si>
  <si>
    <t xml:space="preserve">2026-08|MOM|MP|MP.COR_SUB.SHARED_IT</t>
  </si>
  <si>
    <t xml:space="preserve">MP.COR_SUB.SHARED_IT</t>
  </si>
  <si>
    <t xml:space="preserve">2026-08|MOM|MP|MP.COR_SUB.DA</t>
  </si>
  <si>
    <t xml:space="preserve">MP.COR_SUB.DA</t>
  </si>
  <si>
    <t xml:space="preserve">2026-08|MOM|MP|MP.COR_SUB.SBC</t>
  </si>
  <si>
    <t xml:space="preserve">MP.COR_SUB.SBC</t>
  </si>
  <si>
    <t xml:space="preserve">2026-08|MOM|MP|MP.COR_PS</t>
  </si>
  <si>
    <t xml:space="preserve">MP.COR_PS</t>
  </si>
  <si>
    <t xml:space="preserve">2026-08|MOM|MP|MP.COR_PS.PS_DELIVERY</t>
  </si>
  <si>
    <t xml:space="preserve">MP.COR_PS.PS_DELIVERY</t>
  </si>
  <si>
    <t xml:space="preserve">2026-08|MOM|MP|MP.COR</t>
  </si>
  <si>
    <t xml:space="preserve">MP.COR</t>
  </si>
  <si>
    <t xml:space="preserve">2026-08|MOM|MP|MP.GP</t>
  </si>
  <si>
    <t xml:space="preserve">MP.GP</t>
  </si>
  <si>
    <t xml:space="preserve">2026-08|MOM|MP|MP.SM_DIRECT</t>
  </si>
  <si>
    <t xml:space="preserve">MP.SM_DIRECT</t>
  </si>
  <si>
    <t xml:space="preserve">2026-08|MOM|MP|MP.SM_DIRECT.DIRECT_SALES</t>
  </si>
  <si>
    <t xml:space="preserve">MP.SM_DIRECT.DIRECT_SALES</t>
  </si>
  <si>
    <t xml:space="preserve">2026-08|MOM|MP|MP.SM_DIRECT.EXPANSION_SELLING</t>
  </si>
  <si>
    <t xml:space="preserve">MP.SM_DIRECT.EXPANSION_SELLING</t>
  </si>
  <si>
    <t xml:space="preserve">2026-08|MOM|MP|MP.SM_DIRECT.DEMAND_GEN</t>
  </si>
  <si>
    <t xml:space="preserve">MP.SM_DIRECT.DEMAND_GEN</t>
  </si>
  <si>
    <t xml:space="preserve">2026-08|MOM|MP|MP.SM_DIRECT.COMMISSION_AMORTIZATION</t>
  </si>
  <si>
    <t xml:space="preserve">MP.SM_DIRECT.COMMISSION_AMORTIZATION</t>
  </si>
  <si>
    <t xml:space="preserve">2026-08|MOM|MP|MP.SM_DIRECT.SALES_DEMO_ENV</t>
  </si>
  <si>
    <t xml:space="preserve">MP.SM_DIRECT.SALES_DEMO_ENV</t>
  </si>
  <si>
    <t xml:space="preserve">2026-08|MOM|MP|MP.CM2</t>
  </si>
  <si>
    <t xml:space="preserve">MP.CM2</t>
  </si>
  <si>
    <t xml:space="preserve">2026-08|MOM|MP|MP.SM_SHARED</t>
  </si>
  <si>
    <t xml:space="preserve">MP.SM_SHARED</t>
  </si>
  <si>
    <t xml:space="preserve">2026-08|MOM|MP|MP.SM_SHARED.SHARED_IT</t>
  </si>
  <si>
    <t xml:space="preserve">MP.SM_SHARED.SHARED_IT</t>
  </si>
  <si>
    <t xml:space="preserve">2026-08|MOM|MP|MP.SM_SHARED.DA</t>
  </si>
  <si>
    <t xml:space="preserve">MP.SM_SHARED.DA</t>
  </si>
  <si>
    <t xml:space="preserve">2026-08|MOM|MP|MP.SM_SHARED.SBC</t>
  </si>
  <si>
    <t xml:space="preserve">MP.SM_SHARED.SBC</t>
  </si>
  <si>
    <t xml:space="preserve">2026-08|MOM|MP|MP.RD</t>
  </si>
  <si>
    <t xml:space="preserve">MP.RD</t>
  </si>
  <si>
    <t xml:space="preserve">2026-08|MOM|MP|MP.RD.PRODUCT_ENGINEERING</t>
  </si>
  <si>
    <t xml:space="preserve">MP.RD.PRODUCT_ENGINEERING</t>
  </si>
  <si>
    <t xml:space="preserve">2026-08|MOM|MP|MP.RD.DEV_TEST_INFRA</t>
  </si>
  <si>
    <t xml:space="preserve">MP.RD.DEV_TEST_INFRA</t>
  </si>
  <si>
    <t xml:space="preserve">2026-08|MOM|MP|MP.RD.SHARED_IT</t>
  </si>
  <si>
    <t xml:space="preserve">MP.RD.SHARED_IT</t>
  </si>
  <si>
    <t xml:space="preserve">2026-08|MOM|MP|MP.RD.DA</t>
  </si>
  <si>
    <t xml:space="preserve">MP.RD.DA</t>
  </si>
  <si>
    <t xml:space="preserve">2026-08|MOM|MP|MP.RD.SBC</t>
  </si>
  <si>
    <t xml:space="preserve">MP.RD.SBC</t>
  </si>
  <si>
    <t xml:space="preserve">2026-08|MOM|MP|MP.GA</t>
  </si>
  <si>
    <t xml:space="preserve">MP.GA</t>
  </si>
  <si>
    <t xml:space="preserve">2026-08|MOM|MP|MP.GA.CORPORATE_ADMIN</t>
  </si>
  <si>
    <t xml:space="preserve">MP.GA.CORPORATE_ADMIN</t>
  </si>
  <si>
    <t xml:space="preserve">2026-08|MOM|MP|MP.GA.DA</t>
  </si>
  <si>
    <t xml:space="preserve">MP.GA.DA</t>
  </si>
  <si>
    <t xml:space="preserve">2026-08|MOM|MP|MP.GA.SBC</t>
  </si>
  <si>
    <t xml:space="preserve">MP.GA.SBC</t>
  </si>
  <si>
    <t xml:space="preserve">2026-08|MOM|MP|MP.OPX</t>
  </si>
  <si>
    <t xml:space="preserve">MP.OPX</t>
  </si>
  <si>
    <t xml:space="preserve">2026-08|MOM|MP|MP.OI</t>
  </si>
  <si>
    <t xml:space="preserve">MP.OI</t>
  </si>
  <si>
    <t xml:space="preserve">2026-08|MOM|MP|MP.NOP.INT_INC</t>
  </si>
  <si>
    <t xml:space="preserve">MP.NOP.INT_INC</t>
  </si>
  <si>
    <t xml:space="preserve">2026-08|MOM|MP|MP.NOP.INT_EXP</t>
  </si>
  <si>
    <t xml:space="preserve">MP.NOP.INT_EXP</t>
  </si>
  <si>
    <t xml:space="preserve">2026-08|MOM|MP|MP.TAX</t>
  </si>
  <si>
    <t xml:space="preserve">MP.TAX</t>
  </si>
  <si>
    <t xml:space="preserve">2026-08|MOM|MP|MP.NI</t>
  </si>
  <si>
    <t xml:space="preserve">MP.NI</t>
  </si>
  <si>
    <t xml:space="preserve">2026-08|MOM|GL|GL.REV</t>
  </si>
  <si>
    <t xml:space="preserve">GL</t>
  </si>
  <si>
    <t xml:space="preserve">GL.REV</t>
  </si>
  <si>
    <t xml:space="preserve">2026-08|MOM|GL|GL.4000</t>
  </si>
  <si>
    <t xml:space="preserve">GL.4000</t>
  </si>
  <si>
    <t xml:space="preserve">2026-08|MOM|GL|GL.4100</t>
  </si>
  <si>
    <t xml:space="preserve">GL.4100</t>
  </si>
  <si>
    <t xml:space="preserve">2026-08|MOM|GL|GL.COMP</t>
  </si>
  <si>
    <t xml:space="preserve">GL.COMP</t>
  </si>
  <si>
    <t xml:space="preserve">2026-08|MOM|GL|GL.6000.ENG</t>
  </si>
  <si>
    <t xml:space="preserve">GL.6000.ENG</t>
  </si>
  <si>
    <t xml:space="preserve">2026-08|MOM|GL|GL.6000.CS</t>
  </si>
  <si>
    <t xml:space="preserve">GL.6000.CS</t>
  </si>
  <si>
    <t xml:space="preserve">2026-08|MOM|GL|GL.6000.SUP</t>
  </si>
  <si>
    <t xml:space="preserve">GL.6000.SUP</t>
  </si>
  <si>
    <t xml:space="preserve">2026-08|MOM|GL|GL.6000.PS</t>
  </si>
  <si>
    <t xml:space="preserve">GL.6000.PS</t>
  </si>
  <si>
    <t xml:space="preserve">2026-08|MOM|GL|GL.6000.SALES</t>
  </si>
  <si>
    <t xml:space="preserve">GL.6000.SALES</t>
  </si>
  <si>
    <t xml:space="preserve">2026-08|MOM|GL|GL.TECH</t>
  </si>
  <si>
    <t xml:space="preserve">GL.TECH</t>
  </si>
  <si>
    <t xml:space="preserve">2026-08|MOM|GL|GL.6100</t>
  </si>
  <si>
    <t xml:space="preserve">GL.6100</t>
  </si>
  <si>
    <t xml:space="preserve">2026-08|MOM|GL|GL.6200</t>
  </si>
  <si>
    <t xml:space="preserve">GL.6200</t>
  </si>
  <si>
    <t xml:space="preserve">2026-08|MOM|GL|GL.OTHERCASH</t>
  </si>
  <si>
    <t xml:space="preserve">GL.OTHERCASH</t>
  </si>
  <si>
    <t xml:space="preserve">2026-08|MOM|GL|GL.6300</t>
  </si>
  <si>
    <t xml:space="preserve">GL.6300</t>
  </si>
  <si>
    <t xml:space="preserve">2026-08|MOM|GL|GL.6050</t>
  </si>
  <si>
    <t xml:space="preserve">GL.6050</t>
  </si>
  <si>
    <t xml:space="preserve">2026-08|MOM|GL|GL.NONCASH</t>
  </si>
  <si>
    <t xml:space="preserve">GL.NONCASH</t>
  </si>
  <si>
    <t xml:space="preserve">2026-08|MOM|GL|GL.6410</t>
  </si>
  <si>
    <t xml:space="preserve">GL.6410</t>
  </si>
  <si>
    <t xml:space="preserve">2026-08|MOM|GL|GL.6700</t>
  </si>
  <si>
    <t xml:space="preserve">GL.6700</t>
  </si>
  <si>
    <t xml:space="preserve">2026-08|MOM|GL|GL.6800</t>
  </si>
  <si>
    <t xml:space="preserve">GL.6800</t>
  </si>
  <si>
    <t xml:space="preserve">2026-08|MOM|GL|GL.OPC</t>
  </si>
  <si>
    <t xml:space="preserve">GL.OPC</t>
  </si>
  <si>
    <t xml:space="preserve">2026-08|MOM|GL|GL.OI</t>
  </si>
  <si>
    <t xml:space="preserve">GL.OI</t>
  </si>
  <si>
    <t xml:space="preserve">2026-08|MOM|GL|GL.NOP</t>
  </si>
  <si>
    <t xml:space="preserve">GL.NOP</t>
  </si>
  <si>
    <t xml:space="preserve">2026-08|MOM|GL|GL.7000</t>
  </si>
  <si>
    <t xml:space="preserve">GL.7000</t>
  </si>
  <si>
    <t xml:space="preserve">2026-08|MOM|GL|GL.7100</t>
  </si>
  <si>
    <t xml:space="preserve">GL.7100</t>
  </si>
  <si>
    <t xml:space="preserve">2026-08|MOM|GL|GL.8000</t>
  </si>
  <si>
    <t xml:space="preserve">GL.8000</t>
  </si>
  <si>
    <t xml:space="preserve">2026-08|MOM|GL|GL.NI</t>
  </si>
  <si>
    <t xml:space="preserve">GL.NI</t>
  </si>
  <si>
    <t xml:space="preserve">2026-08|MOM|BS|BS.CA</t>
  </si>
  <si>
    <t xml:space="preserve">BS</t>
  </si>
  <si>
    <t xml:space="preserve">BS.CA</t>
  </si>
  <si>
    <t xml:space="preserve">2026-08|MOM|BS|BS.1000</t>
  </si>
  <si>
    <t xml:space="preserve">BS.1000</t>
  </si>
  <si>
    <t xml:space="preserve">2026-08|MOM|BS|BS.1200</t>
  </si>
  <si>
    <t xml:space="preserve">BS.1200</t>
  </si>
  <si>
    <t xml:space="preserve">2026-08|MOM|BS|BS.1300</t>
  </si>
  <si>
    <t xml:space="preserve">BS.1300</t>
  </si>
  <si>
    <t xml:space="preserve">2026-08|MOM|BS|BS.1450</t>
  </si>
  <si>
    <t xml:space="preserve">BS.1450</t>
  </si>
  <si>
    <t xml:space="preserve">2026-08|MOM|BS|BS.NCA</t>
  </si>
  <si>
    <t xml:space="preserve">BS.NCA</t>
  </si>
  <si>
    <t xml:space="preserve">2026-08|MOM|BS|BS.1600</t>
  </si>
  <si>
    <t xml:space="preserve">BS.1600</t>
  </si>
  <si>
    <t xml:space="preserve">2026-08|MOM|BS|BS.TA</t>
  </si>
  <si>
    <t xml:space="preserve">BS.TA</t>
  </si>
  <si>
    <t xml:space="preserve">2026-08|MOM|BS|BS.CL</t>
  </si>
  <si>
    <t xml:space="preserve">BS.CL</t>
  </si>
  <si>
    <t xml:space="preserve">2026-08|MOM|BS|BS.2000</t>
  </si>
  <si>
    <t xml:space="preserve">BS.2000</t>
  </si>
  <si>
    <t xml:space="preserve">2026-08|MOM|BS|BS.2100</t>
  </si>
  <si>
    <t xml:space="preserve">BS.2100</t>
  </si>
  <si>
    <t xml:space="preserve">2026-08|MOM|BS|BS.2400</t>
  </si>
  <si>
    <t xml:space="preserve">BS.2400</t>
  </si>
  <si>
    <t xml:space="preserve">2026-08|MOM|BS|BS.NCL</t>
  </si>
  <si>
    <t xml:space="preserve">BS.NCL</t>
  </si>
  <si>
    <t xml:space="preserve">2026-08|MOM|BS|BS.2500</t>
  </si>
  <si>
    <t xml:space="preserve">BS.2500</t>
  </si>
  <si>
    <t xml:space="preserve">2026-08|MOM|BS|BS.2800</t>
  </si>
  <si>
    <t xml:space="preserve">BS.2800</t>
  </si>
  <si>
    <t xml:space="preserve">2026-08|MOM|BS|BS.TL</t>
  </si>
  <si>
    <t xml:space="preserve">BS.TL</t>
  </si>
  <si>
    <t xml:space="preserve">2026-08|MOM|BS|BS.EQ</t>
  </si>
  <si>
    <t xml:space="preserve">BS.EQ</t>
  </si>
  <si>
    <t xml:space="preserve">2026-08|MOM|BS|BS.3100</t>
  </si>
  <si>
    <t xml:space="preserve">BS.3100</t>
  </si>
  <si>
    <t xml:space="preserve">2026-08|MOM|BS|BS.3900</t>
  </si>
  <si>
    <t xml:space="preserve">BS.3900</t>
  </si>
  <si>
    <t xml:space="preserve">2026-08|MOM|BS|BS.TLE</t>
  </si>
  <si>
    <t xml:space="preserve">BS.TLE</t>
  </si>
  <si>
    <t xml:space="preserve">2026-08|MOM|CF|CF.NI</t>
  </si>
  <si>
    <t xml:space="preserve">CF</t>
  </si>
  <si>
    <t xml:space="preserve">CF.NI</t>
  </si>
  <si>
    <t xml:space="preserve">2026-08|MOM|CF|CF.ADJ</t>
  </si>
  <si>
    <t xml:space="preserve">CF.ADJ</t>
  </si>
  <si>
    <t xml:space="preserve">2026-08|MOM|CF|CF.DA</t>
  </si>
  <si>
    <t xml:space="preserve">CF.DA</t>
  </si>
  <si>
    <t xml:space="preserve">2026-08|MOM|CF|CF.SBC</t>
  </si>
  <si>
    <t xml:space="preserve">CF.SBC</t>
  </si>
  <si>
    <t xml:space="preserve">2026-08|MOM|CF|CF.COMM_AMORT</t>
  </si>
  <si>
    <t xml:space="preserve">CF.COMM_AMORT</t>
  </si>
  <si>
    <t xml:space="preserve">2026-08|MOM|CF|CF.DEF_TAX</t>
  </si>
  <si>
    <t xml:space="preserve">CF.DEF_TAX</t>
  </si>
  <si>
    <t xml:space="preserve">2026-08|MOM|CF|CF.WC</t>
  </si>
  <si>
    <t xml:space="preserve">CF.WC</t>
  </si>
  <si>
    <t xml:space="preserve">2026-08|MOM|CF|CF.AR</t>
  </si>
  <si>
    <t xml:space="preserve">CF.AR</t>
  </si>
  <si>
    <t xml:space="preserve">2026-08|MOM|CF|CF.PREPAID</t>
  </si>
  <si>
    <t xml:space="preserve">CF.PREPAID</t>
  </si>
  <si>
    <t xml:space="preserve">2026-08|MOM|CF|CF.CAP_COMM</t>
  </si>
  <si>
    <t xml:space="preserve">CF.CAP_COMM</t>
  </si>
  <si>
    <t xml:space="preserve">2026-08|MOM|CF|CF.AP</t>
  </si>
  <si>
    <t xml:space="preserve">CF.AP</t>
  </si>
  <si>
    <t xml:space="preserve">2026-08|MOM|CF|CF.ACCRUED</t>
  </si>
  <si>
    <t xml:space="preserve">CF.ACCRUED</t>
  </si>
  <si>
    <t xml:space="preserve">2026-08|MOM|CF|CF.DEFREV</t>
  </si>
  <si>
    <t xml:space="preserve">CF.DEFREV</t>
  </si>
  <si>
    <t xml:space="preserve">2026-08|MOM|CF|CF.CFO</t>
  </si>
  <si>
    <t xml:space="preserve">CF.CFO</t>
  </si>
  <si>
    <t xml:space="preserve">2026-08|MOM|CF|CF.CFI</t>
  </si>
  <si>
    <t xml:space="preserve">CF.CFI</t>
  </si>
  <si>
    <t xml:space="preserve">2026-08|MOM|CF|CF.CAPEX</t>
  </si>
  <si>
    <t xml:space="preserve">CF.CAPEX</t>
  </si>
  <si>
    <t xml:space="preserve">2026-08|MOM|CF|CF.CFF</t>
  </si>
  <si>
    <t xml:space="preserve">CF.CFF</t>
  </si>
  <si>
    <t xml:space="preserve">2026-08|MOM|CF|CF.LOAN</t>
  </si>
  <si>
    <t xml:space="preserve">CF.LOAN</t>
  </si>
  <si>
    <t xml:space="preserve">2026-08|MOM|CF|CF.OPTIONS</t>
  </si>
  <si>
    <t xml:space="preserve">CF.OPTIONS</t>
  </si>
  <si>
    <t xml:space="preserve">2026-08|MOM|CF|CF.NET</t>
  </si>
  <si>
    <t xml:space="preserve">CF.NET</t>
  </si>
  <si>
    <t xml:space="preserve">2026-08|QOQ|IS|IS.REV.SUB</t>
  </si>
  <si>
    <t xml:space="preserve">2026-09-09</t>
  </si>
  <si>
    <t xml:space="preserve">2026-08|QOQ|IS|IS.REV.PS</t>
  </si>
  <si>
    <t xml:space="preserve">2026-08|QOQ|IS|IS.REV.TOTAL</t>
  </si>
  <si>
    <t xml:space="preserve">2026-08|QOQ|IS|IS.COR.SUB</t>
  </si>
  <si>
    <t xml:space="preserve">2026-08|QOQ|IS|IS.COR.SUB.6100.ENG</t>
  </si>
  <si>
    <t xml:space="preserve">2026-08|QOQ|IS|IS.COR.SUB.6000.ENG</t>
  </si>
  <si>
    <t xml:space="preserve">2026-08|QOQ|IS|IS.COR.SUB.6000.CS</t>
  </si>
  <si>
    <t xml:space="preserve">2026-08|QOQ|IS|IS.COR.SUB.6000.SUP</t>
  </si>
  <si>
    <t xml:space="preserve">2026-08|QOQ|IS|IS.COR.SUB.6200.CORP_IT</t>
  </si>
  <si>
    <t xml:space="preserve">2026-08|QOQ|IS|IS.COR.SUB.6700.SHARED_ASSETS</t>
  </si>
  <si>
    <t xml:space="preserve">2026-08|QOQ|IS|IS.COR.SUB.6800.COMPANY_POOL</t>
  </si>
  <si>
    <t xml:space="preserve">2026-08|QOQ|IS|IS.COR.PS</t>
  </si>
  <si>
    <t xml:space="preserve">2026-08|QOQ|IS|IS.COR.TOTAL</t>
  </si>
  <si>
    <t xml:space="preserve">2026-08|QOQ|IS|IS.GP</t>
  </si>
  <si>
    <t xml:space="preserve">2026-08|QOQ|IS|IS.OPX.RD</t>
  </si>
  <si>
    <t xml:space="preserve">2026-08|QOQ|IS|IS.OPX.RD.6000.ENG</t>
  </si>
  <si>
    <t xml:space="preserve">2026-08|QOQ|IS|IS.OPX.RD.6100.ENG</t>
  </si>
  <si>
    <t xml:space="preserve">2026-08|QOQ|IS|IS.OPX.RD.6200.CORP_IT</t>
  </si>
  <si>
    <t xml:space="preserve">2026-08|QOQ|IS|IS.OPX.RD.6700.SHARED_ASSETS</t>
  </si>
  <si>
    <t xml:space="preserve">2026-08|QOQ|IS|IS.OPX.RD.6800.COMPANY_POOL</t>
  </si>
  <si>
    <t xml:space="preserve">2026-08|QOQ|IS|IS.OPX.SM</t>
  </si>
  <si>
    <t xml:space="preserve">2026-08|QOQ|IS|IS.OPX.SM.6000.SALES</t>
  </si>
  <si>
    <t xml:space="preserve">2026-08|QOQ|IS|IS.OPX.SM.6000.CS</t>
  </si>
  <si>
    <t xml:space="preserve">2026-08|QOQ|IS|IS.OPX.SM.6300.MKTG</t>
  </si>
  <si>
    <t xml:space="preserve">2026-08|QOQ|IS|IS.OPX.SM.6410.SALES</t>
  </si>
  <si>
    <t xml:space="preserve">2026-08|QOQ|IS|IS.OPX.SM.6100.ENG</t>
  </si>
  <si>
    <t xml:space="preserve">2026-08|QOQ|IS|IS.OPX.SM.6200.CORP_IT</t>
  </si>
  <si>
    <t xml:space="preserve">2026-08|QOQ|IS|IS.OPX.SM.6700.SHARED_ASSETS</t>
  </si>
  <si>
    <t xml:space="preserve">2026-08|QOQ|IS|IS.OPX.SM.6800.COMPANY_POOL</t>
  </si>
  <si>
    <t xml:space="preserve">2026-08|QOQ|IS|IS.OPX.GA</t>
  </si>
  <si>
    <t xml:space="preserve">2026-08|QOQ|IS|IS.OPX.GA.6050.GA</t>
  </si>
  <si>
    <t xml:space="preserve">2026-08|QOQ|IS|IS.OPX.GA.6200.CORP_IT</t>
  </si>
  <si>
    <t xml:space="preserve">2026-08|QOQ|IS|IS.OPX.GA.6700.SHARED_ASSETS</t>
  </si>
  <si>
    <t xml:space="preserve">2026-08|QOQ|IS|IS.OPX.GA.6800.COMPANY_POOL</t>
  </si>
  <si>
    <t xml:space="preserve">2026-08|QOQ|IS|IS.OPX.TOTAL</t>
  </si>
  <si>
    <t xml:space="preserve">2026-08|QOQ|IS|IS.OI</t>
  </si>
  <si>
    <t xml:space="preserve">2026-08|QOQ|IS|IS.NOP.INT_INC</t>
  </si>
  <si>
    <t xml:space="preserve">2026-08|QOQ|IS|IS.NOP.INT_EXP</t>
  </si>
  <si>
    <t xml:space="preserve">2026-08|QOQ|IS|IS.PRETAX</t>
  </si>
  <si>
    <t xml:space="preserve">2026-08|QOQ|IS|IS.TAX</t>
  </si>
  <si>
    <t xml:space="preserve">2026-08|QOQ|IS|IS.NI</t>
  </si>
  <si>
    <t xml:space="preserve">2026-08|QOQ|MP|MP.REV.SUB</t>
  </si>
  <si>
    <t xml:space="preserve">2026-08|QOQ|MP|MP.REV.PS</t>
  </si>
  <si>
    <t xml:space="preserve">2026-08|QOQ|MP|MP.REV</t>
  </si>
  <si>
    <t xml:space="preserve">2026-08|QOQ|MP|MP.COR_SUB</t>
  </si>
  <si>
    <t xml:space="preserve">2026-08|QOQ|MP|MP.COR_SUB.PROD_COMPUTE</t>
  </si>
  <si>
    <t xml:space="preserve">2026-08|QOQ|MP|MP.COR_SUB.SRE_PLATFORM_OPS</t>
  </si>
  <si>
    <t xml:space="preserve">2026-08|QOQ|MP|MP.COR_SUB.TECH_SUPPORT</t>
  </si>
  <si>
    <t xml:space="preserve">2026-08|QOQ|MP|MP.COR_SUB.CS_TAM_DELIVERY</t>
  </si>
  <si>
    <t xml:space="preserve">2026-08|QOQ|MP|MP.COR_SUB.SHARED_IT</t>
  </si>
  <si>
    <t xml:space="preserve">2026-08|QOQ|MP|MP.COR_SUB.DA</t>
  </si>
  <si>
    <t xml:space="preserve">2026-08|QOQ|MP|MP.COR_SUB.SBC</t>
  </si>
  <si>
    <t xml:space="preserve">2026-08|QOQ|MP|MP.COR_PS</t>
  </si>
  <si>
    <t xml:space="preserve">2026-08|QOQ|MP|MP.COR_PS.PS_DELIVERY</t>
  </si>
  <si>
    <t xml:space="preserve">2026-08|QOQ|MP|MP.COR</t>
  </si>
  <si>
    <t xml:space="preserve">2026-08|QOQ|MP|MP.GP</t>
  </si>
  <si>
    <t xml:space="preserve">2026-08|QOQ|MP|MP.SM_DIRECT</t>
  </si>
  <si>
    <t xml:space="preserve">2026-08|QOQ|MP|MP.SM_DIRECT.DIRECT_SALES</t>
  </si>
  <si>
    <t xml:space="preserve">2026-08|QOQ|MP|MP.SM_DIRECT.EXPANSION_SELLING</t>
  </si>
  <si>
    <t xml:space="preserve">2026-08|QOQ|MP|MP.SM_DIRECT.DEMAND_GEN</t>
  </si>
  <si>
    <t xml:space="preserve">2026-08|QOQ|MP|MP.SM_DIRECT.COMMISSION_AMORTIZATION</t>
  </si>
  <si>
    <t xml:space="preserve">2026-08|QOQ|MP|MP.SM_DIRECT.SALES_DEMO_ENV</t>
  </si>
  <si>
    <t xml:space="preserve">2026-08|QOQ|MP|MP.CM2</t>
  </si>
  <si>
    <t xml:space="preserve">2026-08|QOQ|MP|MP.SM_SHARED</t>
  </si>
  <si>
    <t xml:space="preserve">2026-08|QOQ|MP|MP.SM_SHARED.SHARED_IT</t>
  </si>
  <si>
    <t xml:space="preserve">2026-08|QOQ|MP|MP.SM_SHARED.DA</t>
  </si>
  <si>
    <t xml:space="preserve">2026-08|QOQ|MP|MP.SM_SHARED.SBC</t>
  </si>
  <si>
    <t xml:space="preserve">2026-08|QOQ|MP|MP.RD</t>
  </si>
  <si>
    <t xml:space="preserve">2026-08|QOQ|MP|MP.RD.PRODUCT_ENGINEERING</t>
  </si>
  <si>
    <t xml:space="preserve">2026-08|QOQ|MP|MP.RD.DEV_TEST_INFRA</t>
  </si>
  <si>
    <t xml:space="preserve">2026-08|QOQ|MP|MP.RD.SHARED_IT</t>
  </si>
  <si>
    <t xml:space="preserve">2026-08|QOQ|MP|MP.RD.DA</t>
  </si>
  <si>
    <t xml:space="preserve">2026-08|QOQ|MP|MP.RD.SBC</t>
  </si>
  <si>
    <t xml:space="preserve">2026-08|QOQ|MP|MP.GA</t>
  </si>
  <si>
    <t xml:space="preserve">2026-08|QOQ|MP|MP.GA.CORPORATE_ADMIN</t>
  </si>
  <si>
    <t xml:space="preserve">2026-08|QOQ|MP|MP.GA.DA</t>
  </si>
  <si>
    <t xml:space="preserve">2026-08|QOQ|MP|MP.GA.SBC</t>
  </si>
  <si>
    <t xml:space="preserve">2026-08|QOQ|MP|MP.OPX</t>
  </si>
  <si>
    <t xml:space="preserve">2026-08|QOQ|MP|MP.OI</t>
  </si>
  <si>
    <t xml:space="preserve">2026-08|QOQ|MP|MP.NOP.INT_INC</t>
  </si>
  <si>
    <t xml:space="preserve">2026-08|QOQ|MP|MP.NOP.INT_EXP</t>
  </si>
  <si>
    <t xml:space="preserve">2026-08|QOQ|MP|MP.TAX</t>
  </si>
  <si>
    <t xml:space="preserve">2026-08|QOQ|MP|MP.NI</t>
  </si>
  <si>
    <t xml:space="preserve">2026-08|QOQ|GL|GL.REV</t>
  </si>
  <si>
    <t xml:space="preserve">2026-08|QOQ|GL|GL.4000</t>
  </si>
  <si>
    <t xml:space="preserve">2026-08|QOQ|GL|GL.4100</t>
  </si>
  <si>
    <t xml:space="preserve">2026-08|QOQ|GL|GL.COMP</t>
  </si>
  <si>
    <t xml:space="preserve">2026-08|QOQ|GL|GL.6000.ENG</t>
  </si>
  <si>
    <t xml:space="preserve">2026-08|QOQ|GL|GL.6000.CS</t>
  </si>
  <si>
    <t xml:space="preserve">2026-08|QOQ|GL|GL.6000.SUP</t>
  </si>
  <si>
    <t xml:space="preserve">2026-08|QOQ|GL|GL.6000.PS</t>
  </si>
  <si>
    <t xml:space="preserve">2026-08|QOQ|GL|GL.6000.SALES</t>
  </si>
  <si>
    <t xml:space="preserve">2026-08|QOQ|GL|GL.TECH</t>
  </si>
  <si>
    <t xml:space="preserve">2026-08|QOQ|GL|GL.6100</t>
  </si>
  <si>
    <t xml:space="preserve">2026-08|QOQ|GL|GL.6200</t>
  </si>
  <si>
    <t xml:space="preserve">2026-08|QOQ|GL|GL.OTHERCASH</t>
  </si>
  <si>
    <t xml:space="preserve">2026-08|QOQ|GL|GL.6300</t>
  </si>
  <si>
    <t xml:space="preserve">2026-08|QOQ|GL|GL.6050</t>
  </si>
  <si>
    <t xml:space="preserve">2026-08|QOQ|GL|GL.NONCASH</t>
  </si>
  <si>
    <t xml:space="preserve">2026-08|QOQ|GL|GL.6410</t>
  </si>
  <si>
    <t xml:space="preserve">2026-08|QOQ|GL|GL.6700</t>
  </si>
  <si>
    <t xml:space="preserve">2026-08|QOQ|GL|GL.6800</t>
  </si>
  <si>
    <t xml:space="preserve">2026-08|QOQ|GL|GL.OPC</t>
  </si>
  <si>
    <t xml:space="preserve">2026-08|QOQ|GL|GL.OI</t>
  </si>
  <si>
    <t xml:space="preserve">2026-08|QOQ|GL|GL.NOP</t>
  </si>
  <si>
    <t xml:space="preserve">2026-08|QOQ|GL|GL.7000</t>
  </si>
  <si>
    <t xml:space="preserve">2026-08|QOQ|GL|GL.7100</t>
  </si>
  <si>
    <t xml:space="preserve">2026-08|QOQ|GL|GL.8000</t>
  </si>
  <si>
    <t xml:space="preserve">2026-08|QOQ|GL|GL.NI</t>
  </si>
  <si>
    <t xml:space="preserve">2026-08|QOQ|BS|BS.CA</t>
  </si>
  <si>
    <t xml:space="preserve">2026-08|QOQ|BS|BS.1000</t>
  </si>
  <si>
    <t xml:space="preserve">2026-08|QOQ|BS|BS.1200</t>
  </si>
  <si>
    <t xml:space="preserve">2026-08|QOQ|BS|BS.1300</t>
  </si>
  <si>
    <t xml:space="preserve">2026-08|QOQ|BS|BS.1450</t>
  </si>
  <si>
    <t xml:space="preserve">2026-08|QOQ|BS|BS.NCA</t>
  </si>
  <si>
    <t xml:space="preserve">2026-08|QOQ|BS|BS.1600</t>
  </si>
  <si>
    <t xml:space="preserve">2026-08|QOQ|BS|BS.TA</t>
  </si>
  <si>
    <t xml:space="preserve">2026-08|QOQ|BS|BS.CL</t>
  </si>
  <si>
    <t xml:space="preserve">2026-08|QOQ|BS|BS.2000</t>
  </si>
  <si>
    <t xml:space="preserve">2026-08|QOQ|BS|BS.2100</t>
  </si>
  <si>
    <t xml:space="preserve">2026-08|QOQ|BS|BS.2400</t>
  </si>
  <si>
    <t xml:space="preserve">2026-08|QOQ|BS|BS.NCL</t>
  </si>
  <si>
    <t xml:space="preserve">2026-08|QOQ|BS|BS.2500</t>
  </si>
  <si>
    <t xml:space="preserve">2026-08|QOQ|BS|BS.2800</t>
  </si>
  <si>
    <t xml:space="preserve">2026-08|QOQ|BS|BS.TL</t>
  </si>
  <si>
    <t xml:space="preserve">2026-08|QOQ|BS|BS.EQ</t>
  </si>
  <si>
    <t xml:space="preserve">2026-08|QOQ|BS|BS.3100</t>
  </si>
  <si>
    <t xml:space="preserve">2026-08|QOQ|BS|BS.3900</t>
  </si>
  <si>
    <t xml:space="preserve">2026-08|QOQ|BS|BS.TLE</t>
  </si>
  <si>
    <t xml:space="preserve">2026-08|QOQ|CF|CF.NI</t>
  </si>
  <si>
    <t xml:space="preserve">2026-08|QOQ|CF|CF.ADJ</t>
  </si>
  <si>
    <t xml:space="preserve">2026-08|QOQ|CF|CF.DA</t>
  </si>
  <si>
    <t xml:space="preserve">2026-08|QOQ|CF|CF.SBC</t>
  </si>
  <si>
    <t xml:space="preserve">2026-08|QOQ|CF|CF.COMM_AMORT</t>
  </si>
  <si>
    <t xml:space="preserve">2026-08|QOQ|CF|CF.DEF_TAX</t>
  </si>
  <si>
    <t xml:space="preserve">2026-08|QOQ|CF|CF.WC</t>
  </si>
  <si>
    <t xml:space="preserve">2026-08|QOQ|CF|CF.AR</t>
  </si>
  <si>
    <t xml:space="preserve">2026-08|QOQ|CF|CF.PREPAID</t>
  </si>
  <si>
    <t xml:space="preserve">2026-08|QOQ|CF|CF.CAP_COMM</t>
  </si>
  <si>
    <t xml:space="preserve">2026-08|QOQ|CF|CF.AP</t>
  </si>
  <si>
    <t xml:space="preserve">2026-08|QOQ|CF|CF.ACCRUED</t>
  </si>
  <si>
    <t xml:space="preserve">2026-08|QOQ|CF|CF.DEFREV</t>
  </si>
  <si>
    <t xml:space="preserve">2026-08|QOQ|CF|CF.CFO</t>
  </si>
  <si>
    <t xml:space="preserve">2026-08|QOQ|CF|CF.CFI</t>
  </si>
  <si>
    <t xml:space="preserve">2026-08|QOQ|CF|CF.CAPEX</t>
  </si>
  <si>
    <t xml:space="preserve">2026-08|QOQ|CF|CF.CFF</t>
  </si>
  <si>
    <t xml:space="preserve">2026-08|QOQ|CF|CF.LOAN</t>
  </si>
  <si>
    <t xml:space="preserve">2026-08|QOQ|CF|CF.OPTIONS</t>
  </si>
  <si>
    <t xml:space="preserve">2026-08|QOQ|CF|CF.NET</t>
  </si>
  <si>
    <t xml:space="preserve">2026-08|YOY|IS|IS.REV.SUB</t>
  </si>
  <si>
    <t xml:space="preserve">2026-08|YOY|IS|IS.REV.PS</t>
  </si>
  <si>
    <t xml:space="preserve">2026-08|YOY|IS|IS.REV.TOTAL</t>
  </si>
  <si>
    <t xml:space="preserve">2026-08|YOY|IS|IS.COR.SUB</t>
  </si>
  <si>
    <t xml:space="preserve">2026-08|YOY|IS|IS.COR.SUB.6100.ENG</t>
  </si>
  <si>
    <t xml:space="preserve">2026-08|YOY|IS|IS.COR.SUB.6000.ENG</t>
  </si>
  <si>
    <t xml:space="preserve">2026-08|YOY|IS|IS.COR.SUB.6000.CS</t>
  </si>
  <si>
    <t xml:space="preserve">2026-08|YOY|IS|IS.COR.SUB.6000.SUP</t>
  </si>
  <si>
    <t xml:space="preserve">2026-08|YOY|IS|IS.COR.SUB.6200.CORP_IT</t>
  </si>
  <si>
    <t xml:space="preserve">2026-08|YOY|IS|IS.COR.SUB.6700.SHARED_ASSETS</t>
  </si>
  <si>
    <t xml:space="preserve">2026-08|YOY|IS|IS.COR.SUB.6800.COMPANY_POOL</t>
  </si>
  <si>
    <t xml:space="preserve">2026-08|YOY|IS|IS.COR.PS</t>
  </si>
  <si>
    <t xml:space="preserve">2026-08|YOY|IS|IS.COR.TOTAL</t>
  </si>
  <si>
    <t xml:space="preserve">2026-08|YOY|IS|IS.GP</t>
  </si>
  <si>
    <t xml:space="preserve">2026-08|YOY|IS|IS.OPX.RD</t>
  </si>
  <si>
    <t xml:space="preserve">2026-08|YOY|IS|IS.OPX.RD.6000.ENG</t>
  </si>
  <si>
    <t xml:space="preserve">2026-08|YOY|IS|IS.OPX.RD.6100.ENG</t>
  </si>
  <si>
    <t xml:space="preserve">2026-08|YOY|IS|IS.OPX.RD.6200.CORP_IT</t>
  </si>
  <si>
    <t xml:space="preserve">2026-08|YOY|IS|IS.OPX.RD.6700.SHARED_ASSETS</t>
  </si>
  <si>
    <t xml:space="preserve">2026-08|YOY|IS|IS.OPX.RD.6800.COMPANY_POOL</t>
  </si>
  <si>
    <t xml:space="preserve">2026-08|YOY|IS|IS.OPX.SM</t>
  </si>
  <si>
    <t xml:space="preserve">2026-08|YOY|IS|IS.OPX.SM.6000.SALES</t>
  </si>
  <si>
    <t xml:space="preserve">2026-08|YOY|IS|IS.OPX.SM.6000.CS</t>
  </si>
  <si>
    <t xml:space="preserve">2026-08|YOY|IS|IS.OPX.SM.6300.MKTG</t>
  </si>
  <si>
    <t xml:space="preserve">2026-08|YOY|IS|IS.OPX.SM.6410.SALES</t>
  </si>
  <si>
    <t xml:space="preserve">2026-08|YOY|IS|IS.OPX.SM.6100.ENG</t>
  </si>
  <si>
    <t xml:space="preserve">2026-08|YOY|IS|IS.OPX.SM.6200.CORP_IT</t>
  </si>
  <si>
    <t xml:space="preserve">2026-08|YOY|IS|IS.OPX.SM.6700.SHARED_ASSETS</t>
  </si>
  <si>
    <t xml:space="preserve">2026-08|YOY|IS|IS.OPX.SM.6800.COMPANY_POOL</t>
  </si>
  <si>
    <t xml:space="preserve">2026-08|YOY|IS|IS.OPX.GA</t>
  </si>
  <si>
    <t xml:space="preserve">2026-08|YOY|IS|IS.OPX.GA.6050.GA</t>
  </si>
  <si>
    <t xml:space="preserve">2026-08|YOY|IS|IS.OPX.GA.6200.CORP_IT</t>
  </si>
  <si>
    <t xml:space="preserve">2026-08|YOY|IS|IS.OPX.GA.6700.SHARED_ASSETS</t>
  </si>
  <si>
    <t xml:space="preserve">2026-08|YOY|IS|IS.OPX.GA.6800.COMPANY_POOL</t>
  </si>
  <si>
    <t xml:space="preserve">2026-08|YOY|IS|IS.OPX.TOTAL</t>
  </si>
  <si>
    <t xml:space="preserve">2026-08|YOY|IS|IS.OI</t>
  </si>
  <si>
    <t xml:space="preserve">2026-08|YOY|IS|IS.NOP.INT_INC</t>
  </si>
  <si>
    <t xml:space="preserve">2026-08|YOY|IS|IS.NOP.INT_EXP</t>
  </si>
  <si>
    <t xml:space="preserve">2026-08|YOY|IS|IS.PRETAX</t>
  </si>
  <si>
    <t xml:space="preserve">2026-08|YOY|IS|IS.TAX</t>
  </si>
  <si>
    <t xml:space="preserve">2026-08|YOY|IS|IS.NI</t>
  </si>
  <si>
    <t xml:space="preserve">2026-08|YOY|MP|MP.REV.SUB</t>
  </si>
  <si>
    <t xml:space="preserve">2026-08|YOY|MP|MP.REV.PS</t>
  </si>
  <si>
    <t xml:space="preserve">2026-08|YOY|MP|MP.REV</t>
  </si>
  <si>
    <t xml:space="preserve">2026-08|YOY|MP|MP.COR_SUB</t>
  </si>
  <si>
    <t xml:space="preserve">2026-08|YOY|MP|MP.COR_SUB.PROD_COMPUTE</t>
  </si>
  <si>
    <t xml:space="preserve">2026-08|YOY|MP|MP.COR_SUB.SRE_PLATFORM_OPS</t>
  </si>
  <si>
    <t xml:space="preserve">2026-08|YOY|MP|MP.COR_SUB.TECH_SUPPORT</t>
  </si>
  <si>
    <t xml:space="preserve">2026-08|YOY|MP|MP.COR_SUB.CS_TAM_DELIVERY</t>
  </si>
  <si>
    <t xml:space="preserve">2026-08|YOY|MP|MP.COR_SUB.SHARED_IT</t>
  </si>
  <si>
    <t xml:space="preserve">2026-08|YOY|MP|MP.COR_SUB.DA</t>
  </si>
  <si>
    <t xml:space="preserve">2026-08|YOY|MP|MP.COR_SUB.SBC</t>
  </si>
  <si>
    <t xml:space="preserve">2026-08|YOY|MP|MP.COR_PS</t>
  </si>
  <si>
    <t xml:space="preserve">2026-08|YOY|MP|MP.COR_PS.PS_DELIVERY</t>
  </si>
  <si>
    <t xml:space="preserve">2026-08|YOY|MP|MP.COR</t>
  </si>
  <si>
    <t xml:space="preserve">2026-08|YOY|MP|MP.GP</t>
  </si>
  <si>
    <t xml:space="preserve">2026-08|YOY|MP|MP.SM_DIRECT</t>
  </si>
  <si>
    <t xml:space="preserve">2026-08|YOY|MP|MP.SM_DIRECT.DIRECT_SALES</t>
  </si>
  <si>
    <t xml:space="preserve">2026-08|YOY|MP|MP.SM_DIRECT.EXPANSION_SELLING</t>
  </si>
  <si>
    <t xml:space="preserve">2026-08|YOY|MP|MP.SM_DIRECT.DEMAND_GEN</t>
  </si>
  <si>
    <t xml:space="preserve">2026-08|YOY|MP|MP.SM_DIRECT.COMMISSION_AMORTIZATION</t>
  </si>
  <si>
    <t xml:space="preserve">2026-08|YOY|MP|MP.SM_DIRECT.SALES_DEMO_ENV</t>
  </si>
  <si>
    <t xml:space="preserve">2026-08|YOY|MP|MP.CM2</t>
  </si>
  <si>
    <t xml:space="preserve">2026-08|YOY|MP|MP.SM_SHARED</t>
  </si>
  <si>
    <t xml:space="preserve">2026-08|YOY|MP|MP.SM_SHARED.SHARED_IT</t>
  </si>
  <si>
    <t xml:space="preserve">2026-08|YOY|MP|MP.SM_SHARED.DA</t>
  </si>
  <si>
    <t xml:space="preserve">2026-08|YOY|MP|MP.SM_SHARED.SBC</t>
  </si>
  <si>
    <t xml:space="preserve">2026-08|YOY|MP|MP.RD</t>
  </si>
  <si>
    <t xml:space="preserve">2026-08|YOY|MP|MP.RD.PRODUCT_ENGINEERING</t>
  </si>
  <si>
    <t xml:space="preserve">2026-08|YOY|MP|MP.RD.DEV_TEST_INFRA</t>
  </si>
  <si>
    <t xml:space="preserve">2026-08|YOY|MP|MP.RD.SHARED_IT</t>
  </si>
  <si>
    <t xml:space="preserve">2026-08|YOY|MP|MP.RD.DA</t>
  </si>
  <si>
    <t xml:space="preserve">2026-08|YOY|MP|MP.RD.SBC</t>
  </si>
  <si>
    <t xml:space="preserve">2026-08|YOY|MP|MP.GA</t>
  </si>
  <si>
    <t xml:space="preserve">2026-08|YOY|MP|MP.GA.CORPORATE_ADMIN</t>
  </si>
  <si>
    <t xml:space="preserve">2026-08|YOY|MP|MP.GA.DA</t>
  </si>
  <si>
    <t xml:space="preserve">2026-08|YOY|MP|MP.GA.SBC</t>
  </si>
  <si>
    <t xml:space="preserve">2026-08|YOY|MP|MP.OPX</t>
  </si>
  <si>
    <t xml:space="preserve">2026-08|YOY|MP|MP.OI</t>
  </si>
  <si>
    <t xml:space="preserve">2026-08|YOY|MP|MP.NOP.INT_INC</t>
  </si>
  <si>
    <t xml:space="preserve">2026-08|YOY|MP|MP.NOP.INT_EXP</t>
  </si>
  <si>
    <t xml:space="preserve">2026-08|YOY|MP|MP.TAX</t>
  </si>
  <si>
    <t xml:space="preserve">2026-08|YOY|MP|MP.NI</t>
  </si>
  <si>
    <t xml:space="preserve">2026-08|YOY|GL|GL.REV</t>
  </si>
  <si>
    <t xml:space="preserve">2026-08|YOY|GL|GL.4000</t>
  </si>
  <si>
    <t xml:space="preserve">2026-08|YOY|GL|GL.4100</t>
  </si>
  <si>
    <t xml:space="preserve">2026-08|YOY|GL|GL.COMP</t>
  </si>
  <si>
    <t xml:space="preserve">2026-08|YOY|GL|GL.6000.ENG</t>
  </si>
  <si>
    <t xml:space="preserve">2026-08|YOY|GL|GL.6000.CS</t>
  </si>
  <si>
    <t xml:space="preserve">2026-08|YOY|GL|GL.6000.SUP</t>
  </si>
  <si>
    <t xml:space="preserve">2026-08|YOY|GL|GL.6000.PS</t>
  </si>
  <si>
    <t xml:space="preserve">2026-08|YOY|GL|GL.6000.SALES</t>
  </si>
  <si>
    <t xml:space="preserve">2026-08|YOY|GL|GL.TECH</t>
  </si>
  <si>
    <t xml:space="preserve">2026-08|YOY|GL|GL.6100</t>
  </si>
  <si>
    <t xml:space="preserve">2026-08|YOY|GL|GL.6200</t>
  </si>
  <si>
    <t xml:space="preserve">2026-08|YOY|GL|GL.OTHERCASH</t>
  </si>
  <si>
    <t xml:space="preserve">2026-08|YOY|GL|GL.6300</t>
  </si>
  <si>
    <t xml:space="preserve">2026-08|YOY|GL|GL.6050</t>
  </si>
  <si>
    <t xml:space="preserve">2026-08|YOY|GL|GL.NONCASH</t>
  </si>
  <si>
    <t xml:space="preserve">2026-08|YOY|GL|GL.6410</t>
  </si>
  <si>
    <t xml:space="preserve">2026-08|YOY|GL|GL.6700</t>
  </si>
  <si>
    <t xml:space="preserve">2026-08|YOY|GL|GL.6800</t>
  </si>
  <si>
    <t xml:space="preserve">2026-08|YOY|GL|GL.OPC</t>
  </si>
  <si>
    <t xml:space="preserve">2026-08|YOY|GL|GL.OI</t>
  </si>
  <si>
    <t xml:space="preserve">2026-08|YOY|GL|GL.NOP</t>
  </si>
  <si>
    <t xml:space="preserve">2026-08|YOY|GL|GL.7000</t>
  </si>
  <si>
    <t xml:space="preserve">2026-08|YOY|GL|GL.7100</t>
  </si>
  <si>
    <t xml:space="preserve">2026-08|YOY|GL|GL.8000</t>
  </si>
  <si>
    <t xml:space="preserve">2026-08|YOY|GL|GL.NI</t>
  </si>
  <si>
    <t xml:space="preserve">2026-08|YOY|BS|BS.CA</t>
  </si>
  <si>
    <t xml:space="preserve">2026-08|YOY|BS|BS.1000</t>
  </si>
  <si>
    <t xml:space="preserve">2026-08|YOY|BS|BS.1200</t>
  </si>
  <si>
    <t xml:space="preserve">2026-08|YOY|BS|BS.1300</t>
  </si>
  <si>
    <t xml:space="preserve">2026-08|YOY|BS|BS.1450</t>
  </si>
  <si>
    <t xml:space="preserve">2026-08|YOY|BS|BS.NCA</t>
  </si>
  <si>
    <t xml:space="preserve">2026-08|YOY|BS|BS.1600</t>
  </si>
  <si>
    <t xml:space="preserve">2026-08|YOY|BS|BS.TA</t>
  </si>
  <si>
    <t xml:space="preserve">2026-08|YOY|BS|BS.CL</t>
  </si>
  <si>
    <t xml:space="preserve">2026-08|YOY|BS|BS.2000</t>
  </si>
  <si>
    <t xml:space="preserve">2026-08|YOY|BS|BS.2100</t>
  </si>
  <si>
    <t xml:space="preserve">2026-08|YOY|BS|BS.2400</t>
  </si>
  <si>
    <t xml:space="preserve">2026-08|YOY|BS|BS.NCL</t>
  </si>
  <si>
    <t xml:space="preserve">2026-08|YOY|BS|BS.2500</t>
  </si>
  <si>
    <t xml:space="preserve">2026-08|YOY|BS|BS.2800</t>
  </si>
  <si>
    <t xml:space="preserve">2026-08|YOY|BS|BS.TL</t>
  </si>
  <si>
    <t xml:space="preserve">2026-08|YOY|BS|BS.EQ</t>
  </si>
  <si>
    <t xml:space="preserve">2026-08|YOY|BS|BS.3100</t>
  </si>
  <si>
    <t xml:space="preserve">2026-08|YOY|BS|BS.3900</t>
  </si>
  <si>
    <t xml:space="preserve">2026-08|YOY|BS|BS.TLE</t>
  </si>
  <si>
    <t xml:space="preserve">2026-08|YOY|CF|CF.NI</t>
  </si>
  <si>
    <t xml:space="preserve">2026-08|YOY|CF|CF.ADJ</t>
  </si>
  <si>
    <t xml:space="preserve">2026-08|YOY|CF|CF.DA</t>
  </si>
  <si>
    <t xml:space="preserve">2026-08|YOY|CF|CF.SBC</t>
  </si>
  <si>
    <t xml:space="preserve">2026-08|YOY|CF|CF.COMM_AMORT</t>
  </si>
  <si>
    <t xml:space="preserve">2026-08|YOY|CF|CF.DEF_TAX</t>
  </si>
  <si>
    <t xml:space="preserve">2026-08|YOY|CF|CF.WC</t>
  </si>
  <si>
    <t xml:space="preserve">2026-08|YOY|CF|CF.AR</t>
  </si>
  <si>
    <t xml:space="preserve">2026-08|YOY|CF|CF.PREPAID</t>
  </si>
  <si>
    <t xml:space="preserve">2026-08|YOY|CF|CF.CAP_COMM</t>
  </si>
  <si>
    <t xml:space="preserve">2026-08|YOY|CF|CF.AP</t>
  </si>
  <si>
    <t xml:space="preserve">2026-08|YOY|CF|CF.ACCRUED</t>
  </si>
  <si>
    <t xml:space="preserve">2026-08|YOY|CF|CF.DEFREV</t>
  </si>
  <si>
    <t xml:space="preserve">2026-08|YOY|CF|CF.CFO</t>
  </si>
  <si>
    <t xml:space="preserve">2026-08|YOY|CF|CF.CFI</t>
  </si>
  <si>
    <t xml:space="preserve">2026-08|YOY|CF|CF.CAPEX</t>
  </si>
  <si>
    <t xml:space="preserve">2026-08|YOY|CF|CF.CFF</t>
  </si>
  <si>
    <t xml:space="preserve">2026-08|YOY|CF|CF.LOAN</t>
  </si>
  <si>
    <t xml:space="preserve">2026-08|YOY|CF|CF.OPTIONS</t>
  </si>
  <si>
    <t xml:space="preserve">2026-08|YOY|CF|CF.NET</t>
  </si>
  <si>
    <t xml:space="preserve">2026-08|YTD|IS|IS.REV.SUB</t>
  </si>
  <si>
    <t xml:space="preserve">2026-08|YTD|IS|IS.REV.PS</t>
  </si>
  <si>
    <t xml:space="preserve">2026-08|YTD|IS|IS.REV.TOTAL</t>
  </si>
  <si>
    <t xml:space="preserve">2026-08|YTD|IS|IS.COR.SUB</t>
  </si>
  <si>
    <t xml:space="preserve">2026-08|YTD|IS|IS.COR.SUB.6100.ENG</t>
  </si>
  <si>
    <t xml:space="preserve">2026-08|YTD|IS|IS.COR.SUB.6000.ENG</t>
  </si>
  <si>
    <t xml:space="preserve">2026-08|YTD|IS|IS.COR.SUB.6000.CS</t>
  </si>
  <si>
    <t xml:space="preserve">2026-08|YTD|IS|IS.COR.SUB.6000.SUP</t>
  </si>
  <si>
    <t xml:space="preserve">2026-08|YTD|IS|IS.COR.SUB.6200.CORP_IT</t>
  </si>
  <si>
    <t xml:space="preserve">2026-08|YTD|IS|IS.COR.SUB.6700.SHARED_ASSETS</t>
  </si>
  <si>
    <t xml:space="preserve">2026-08|YTD|IS|IS.COR.SUB.6800.COMPANY_POOL</t>
  </si>
  <si>
    <t xml:space="preserve">2026-08|YTD|IS|IS.COR.PS</t>
  </si>
  <si>
    <t xml:space="preserve">2026-08|YTD|IS|IS.COR.TOTAL</t>
  </si>
  <si>
    <t xml:space="preserve">2026-08|YTD|IS|IS.GP</t>
  </si>
  <si>
    <t xml:space="preserve">2026-08|YTD|IS|IS.OPX.RD</t>
  </si>
  <si>
    <t xml:space="preserve">2026-08|YTD|IS|IS.OPX.RD.6000.ENG</t>
  </si>
  <si>
    <t xml:space="preserve">2026-08|YTD|IS|IS.OPX.RD.6100.ENG</t>
  </si>
  <si>
    <t xml:space="preserve">2026-08|YTD|IS|IS.OPX.RD.6200.CORP_IT</t>
  </si>
  <si>
    <t xml:space="preserve">2026-08|YTD|IS|IS.OPX.RD.6700.SHARED_ASSETS</t>
  </si>
  <si>
    <t xml:space="preserve">2026-08|YTD|IS|IS.OPX.RD.6800.COMPANY_POOL</t>
  </si>
  <si>
    <t xml:space="preserve">2026-08|YTD|IS|IS.OPX.SM</t>
  </si>
  <si>
    <t xml:space="preserve">2026-08|YTD|IS|IS.OPX.SM.6000.SALES</t>
  </si>
  <si>
    <t xml:space="preserve">2026-08|YTD|IS|IS.OPX.SM.6000.CS</t>
  </si>
  <si>
    <t xml:space="preserve">2026-08|YTD|IS|IS.OPX.SM.6300.MKTG</t>
  </si>
  <si>
    <t xml:space="preserve">2026-08|YTD|IS|IS.OPX.SM.6410.SALES</t>
  </si>
  <si>
    <t xml:space="preserve">2026-08|YTD|IS|IS.OPX.SM.6100.ENG</t>
  </si>
  <si>
    <t xml:space="preserve">2026-08|YTD|IS|IS.OPX.SM.6200.CORP_IT</t>
  </si>
  <si>
    <t xml:space="preserve">2026-08|YTD|IS|IS.OPX.SM.6700.SHARED_ASSETS</t>
  </si>
  <si>
    <t xml:space="preserve">2026-08|YTD|IS|IS.OPX.SM.6800.COMPANY_POOL</t>
  </si>
  <si>
    <t xml:space="preserve">2026-08|YTD|IS|IS.OPX.GA</t>
  </si>
  <si>
    <t xml:space="preserve">2026-08|YTD|IS|IS.OPX.GA.6050.GA</t>
  </si>
  <si>
    <t xml:space="preserve">2026-08|YTD|IS|IS.OPX.GA.6200.CORP_IT</t>
  </si>
  <si>
    <t xml:space="preserve">2026-08|YTD|IS|IS.OPX.GA.6700.SHARED_ASSETS</t>
  </si>
  <si>
    <t xml:space="preserve">2026-08|YTD|IS|IS.OPX.GA.6800.COMPANY_POOL</t>
  </si>
  <si>
    <t xml:space="preserve">2026-08|YTD|IS|IS.OPX.TOTAL</t>
  </si>
  <si>
    <t xml:space="preserve">2026-08|YTD|IS|IS.OI</t>
  </si>
  <si>
    <t xml:space="preserve">2026-08|YTD|IS|IS.NOP.INT_INC</t>
  </si>
  <si>
    <t xml:space="preserve">2026-08|YTD|IS|IS.NOP.INT_EXP</t>
  </si>
  <si>
    <t xml:space="preserve">2026-08|YTD|IS|IS.PRETAX</t>
  </si>
  <si>
    <t xml:space="preserve">2026-08|YTD|IS|IS.TAX</t>
  </si>
  <si>
    <t xml:space="preserve">2026-08|YTD|IS|IS.NI</t>
  </si>
  <si>
    <t xml:space="preserve">2026-08|YTD|MP|MP.REV.SUB</t>
  </si>
  <si>
    <t xml:space="preserve">2026-08|YTD|MP|MP.REV.PS</t>
  </si>
  <si>
    <t xml:space="preserve">2026-08|YTD|MP|MP.REV</t>
  </si>
  <si>
    <t xml:space="preserve">2026-08|YTD|MP|MP.COR_SUB</t>
  </si>
  <si>
    <t xml:space="preserve">2026-08|YTD|MP|MP.COR_SUB.PROD_COMPUTE</t>
  </si>
  <si>
    <t xml:space="preserve">2026-08|YTD|MP|MP.COR_SUB.SRE_PLATFORM_OPS</t>
  </si>
  <si>
    <t xml:space="preserve">2026-08|YTD|MP|MP.COR_SUB.TECH_SUPPORT</t>
  </si>
  <si>
    <t xml:space="preserve">2026-08|YTD|MP|MP.COR_SUB.CS_TAM_DELIVERY</t>
  </si>
  <si>
    <t xml:space="preserve">2026-08|YTD|MP|MP.COR_SUB.SHARED_IT</t>
  </si>
  <si>
    <t xml:space="preserve">2026-08|YTD|MP|MP.COR_SUB.DA</t>
  </si>
  <si>
    <t xml:space="preserve">2026-08|YTD|MP|MP.COR_SUB.SBC</t>
  </si>
  <si>
    <t xml:space="preserve">2026-08|YTD|MP|MP.COR_PS</t>
  </si>
  <si>
    <t xml:space="preserve">2026-08|YTD|MP|MP.COR_PS.PS_DELIVERY</t>
  </si>
  <si>
    <t xml:space="preserve">2026-08|YTD|MP|MP.COR</t>
  </si>
  <si>
    <t xml:space="preserve">2026-08|YTD|MP|MP.GP</t>
  </si>
  <si>
    <t xml:space="preserve">2026-08|YTD|MP|MP.SM_DIRECT</t>
  </si>
  <si>
    <t xml:space="preserve">2026-08|YTD|MP|MP.SM_DIRECT.DIRECT_SALES</t>
  </si>
  <si>
    <t xml:space="preserve">2026-08|YTD|MP|MP.SM_DIRECT.EXPANSION_SELLING</t>
  </si>
  <si>
    <t xml:space="preserve">2026-08|YTD|MP|MP.SM_DIRECT.DEMAND_GEN</t>
  </si>
  <si>
    <t xml:space="preserve">2026-08|YTD|MP|MP.SM_DIRECT.COMMISSION_AMORTIZATION</t>
  </si>
  <si>
    <t xml:space="preserve">2026-08|YTD|MP|MP.SM_DIRECT.SALES_DEMO_ENV</t>
  </si>
  <si>
    <t xml:space="preserve">2026-08|YTD|MP|MP.CM2</t>
  </si>
  <si>
    <t xml:space="preserve">2026-08|YTD|MP|MP.SM_SHARED</t>
  </si>
  <si>
    <t xml:space="preserve">2026-08|YTD|MP|MP.SM_SHARED.SHARED_IT</t>
  </si>
  <si>
    <t xml:space="preserve">2026-08|YTD|MP|MP.SM_SHARED.DA</t>
  </si>
  <si>
    <t xml:space="preserve">2026-08|YTD|MP|MP.SM_SHARED.SBC</t>
  </si>
  <si>
    <t xml:space="preserve">2026-08|YTD|MP|MP.RD</t>
  </si>
  <si>
    <t xml:space="preserve">2026-08|YTD|MP|MP.RD.PRODUCT_ENGINEERING</t>
  </si>
  <si>
    <t xml:space="preserve">2026-08|YTD|MP|MP.RD.DEV_TEST_INFRA</t>
  </si>
  <si>
    <t xml:space="preserve">2026-08|YTD|MP|MP.RD.SHARED_IT</t>
  </si>
  <si>
    <t xml:space="preserve">2026-08|YTD|MP|MP.RD.DA</t>
  </si>
  <si>
    <t xml:space="preserve">2026-08|YTD|MP|MP.RD.SBC</t>
  </si>
  <si>
    <t xml:space="preserve">2026-08|YTD|MP|MP.GA</t>
  </si>
  <si>
    <t xml:space="preserve">2026-08|YTD|MP|MP.GA.CORPORATE_ADMIN</t>
  </si>
  <si>
    <t xml:space="preserve">2026-08|YTD|MP|MP.GA.DA</t>
  </si>
  <si>
    <t xml:space="preserve">2026-08|YTD|MP|MP.GA.SBC</t>
  </si>
  <si>
    <t xml:space="preserve">2026-08|YTD|MP|MP.OPX</t>
  </si>
  <si>
    <t xml:space="preserve">2026-08|YTD|MP|MP.OI</t>
  </si>
  <si>
    <t xml:space="preserve">2026-08|YTD|MP|MP.NOP.INT_INC</t>
  </si>
  <si>
    <t xml:space="preserve">2026-08|YTD|MP|MP.NOP.INT_EXP</t>
  </si>
  <si>
    <t xml:space="preserve">2026-08|YTD|MP|MP.TAX</t>
  </si>
  <si>
    <t xml:space="preserve">2026-08|YTD|MP|MP.NI</t>
  </si>
  <si>
    <t xml:space="preserve">2026-08|YTD|GL|GL.REV</t>
  </si>
  <si>
    <t xml:space="preserve">2026-08|YTD|GL|GL.4000</t>
  </si>
  <si>
    <t xml:space="preserve">2026-08|YTD|GL|GL.4100</t>
  </si>
  <si>
    <t xml:space="preserve">2026-08|YTD|GL|GL.COMP</t>
  </si>
  <si>
    <t xml:space="preserve">2026-08|YTD|GL|GL.6000.ENG</t>
  </si>
  <si>
    <t xml:space="preserve">2026-08|YTD|GL|GL.6000.CS</t>
  </si>
  <si>
    <t xml:space="preserve">2026-08|YTD|GL|GL.6000.SUP</t>
  </si>
  <si>
    <t xml:space="preserve">2026-08|YTD|GL|GL.6000.PS</t>
  </si>
  <si>
    <t xml:space="preserve">2026-08|YTD|GL|GL.6000.SALES</t>
  </si>
  <si>
    <t xml:space="preserve">2026-08|YTD|GL|GL.TECH</t>
  </si>
  <si>
    <t xml:space="preserve">2026-08|YTD|GL|GL.6100</t>
  </si>
  <si>
    <t xml:space="preserve">2026-08|YTD|GL|GL.6200</t>
  </si>
  <si>
    <t xml:space="preserve">2026-08|YTD|GL|GL.OTHERCASH</t>
  </si>
  <si>
    <t xml:space="preserve">2026-08|YTD|GL|GL.6300</t>
  </si>
  <si>
    <t xml:space="preserve">2026-08|YTD|GL|GL.6050</t>
  </si>
  <si>
    <t xml:space="preserve">2026-08|YTD|GL|GL.NONCASH</t>
  </si>
  <si>
    <t xml:space="preserve">2026-08|YTD|GL|GL.6410</t>
  </si>
  <si>
    <t xml:space="preserve">2026-08|YTD|GL|GL.6700</t>
  </si>
  <si>
    <t xml:space="preserve">2026-08|YTD|GL|GL.6800</t>
  </si>
  <si>
    <t xml:space="preserve">2026-08|YTD|GL|GL.OPC</t>
  </si>
  <si>
    <t xml:space="preserve">2026-08|YTD|GL|GL.OI</t>
  </si>
  <si>
    <t xml:space="preserve">2026-08|YTD|GL|GL.NOP</t>
  </si>
  <si>
    <t xml:space="preserve">2026-08|YTD|GL|GL.7000</t>
  </si>
  <si>
    <t xml:space="preserve">2026-08|YTD|GL|GL.7100</t>
  </si>
  <si>
    <t xml:space="preserve">2026-08|YTD|GL|GL.8000</t>
  </si>
  <si>
    <t xml:space="preserve">2026-08|YTD|GL|GL.NI</t>
  </si>
  <si>
    <t xml:space="preserve">2026-08|YTD|BS|BS.CA</t>
  </si>
  <si>
    <t xml:space="preserve">2026-08|YTD|BS|BS.1000</t>
  </si>
  <si>
    <t xml:space="preserve">2026-08|YTD|BS|BS.1200</t>
  </si>
  <si>
    <t xml:space="preserve">2026-08|YTD|BS|BS.1300</t>
  </si>
  <si>
    <t xml:space="preserve">2026-08|YTD|BS|BS.1450</t>
  </si>
  <si>
    <t xml:space="preserve">2026-08|YTD|BS|BS.NCA</t>
  </si>
  <si>
    <t xml:space="preserve">2026-08|YTD|BS|BS.1600</t>
  </si>
  <si>
    <t xml:space="preserve">2026-08|YTD|BS|BS.TA</t>
  </si>
  <si>
    <t xml:space="preserve">2026-08|YTD|BS|BS.CL</t>
  </si>
  <si>
    <t xml:space="preserve">2026-08|YTD|BS|BS.2000</t>
  </si>
  <si>
    <t xml:space="preserve">2026-08|YTD|BS|BS.2100</t>
  </si>
  <si>
    <t xml:space="preserve">2026-08|YTD|BS|BS.2400</t>
  </si>
  <si>
    <t xml:space="preserve">2026-08|YTD|BS|BS.NCL</t>
  </si>
  <si>
    <t xml:space="preserve">2026-08|YTD|BS|BS.2500</t>
  </si>
  <si>
    <t xml:space="preserve">2026-08|YTD|BS|BS.2800</t>
  </si>
  <si>
    <t xml:space="preserve">2026-08|YTD|BS|BS.TL</t>
  </si>
  <si>
    <t xml:space="preserve">2026-08|YTD|BS|BS.EQ</t>
  </si>
  <si>
    <t xml:space="preserve">2026-08|YTD|BS|BS.3100</t>
  </si>
  <si>
    <t xml:space="preserve">2026-08|YTD|BS|BS.3900</t>
  </si>
  <si>
    <t xml:space="preserve">2026-08|YTD|BS|BS.TLE</t>
  </si>
  <si>
    <t xml:space="preserve">2026-08|YTD|CF|CF.NI</t>
  </si>
  <si>
    <t xml:space="preserve">2026-08|YTD|CF|CF.ADJ</t>
  </si>
  <si>
    <t xml:space="preserve">2026-08|YTD|CF|CF.DA</t>
  </si>
  <si>
    <t xml:space="preserve">2026-08|YTD|CF|CF.SBC</t>
  </si>
  <si>
    <t xml:space="preserve">2026-08|YTD|CF|CF.COMM_AMORT</t>
  </si>
  <si>
    <t xml:space="preserve">2026-08|YTD|CF|CF.DEF_TAX</t>
  </si>
  <si>
    <t xml:space="preserve">2026-08|YTD|CF|CF.WC</t>
  </si>
  <si>
    <t xml:space="preserve">2026-08|YTD|CF|CF.AR</t>
  </si>
  <si>
    <t xml:space="preserve">2026-08|YTD|CF|CF.PREPAID</t>
  </si>
  <si>
    <t xml:space="preserve">2026-08|YTD|CF|CF.CAP_COMM</t>
  </si>
  <si>
    <t xml:space="preserve">2026-08|YTD|CF|CF.AP</t>
  </si>
  <si>
    <t xml:space="preserve">2026-08|YTD|CF|CF.ACCRUED</t>
  </si>
  <si>
    <t xml:space="preserve">2026-08|YTD|CF|CF.DEFREV</t>
  </si>
  <si>
    <t xml:space="preserve">2026-08|YTD|CF|CF.CFO</t>
  </si>
  <si>
    <t xml:space="preserve">2026-08|YTD|CF|CF.CFI</t>
  </si>
  <si>
    <t xml:space="preserve">2026-08|YTD|CF|CF.CAPEX</t>
  </si>
  <si>
    <t xml:space="preserve">2026-08|YTD|CF|CF.CFF</t>
  </si>
  <si>
    <t xml:space="preserve">2026-08|YTD|CF|CF.LOAN</t>
  </si>
  <si>
    <t xml:space="preserve">2026-08|YTD|CF|CF.OPTIONS</t>
  </si>
  <si>
    <t xml:space="preserve">2026-08|YTD|CF|CF.NET</t>
  </si>
  <si>
    <t xml:space="preserve">2026-08|PLAN|B26_V1|MONTH|IS|IS.REV.SUB</t>
  </si>
  <si>
    <t xml:space="preserve">AR</t>
  </si>
  <si>
    <t xml:space="preserve">2026-08|PLAN|B26_V1|MONTH|IS|IS.REV.PS</t>
  </si>
  <si>
    <t xml:space="preserve">2026-08|PLAN|B26_V1|MONTH|IS|IS.REV.TOTAL</t>
  </si>
  <si>
    <t xml:space="preserve">2026-08|PLAN|B26_V1|MONTH|IS|IS.COR.SUB</t>
  </si>
  <si>
    <t xml:space="preserve">2026-08|PLAN|B26_V1|MONTH|IS|IS.COR.SUB.6100.ENG</t>
  </si>
  <si>
    <t xml:space="preserve">2026-08|PLAN|B26_V1|MONTH|IS|IS.COR.SUB.6000.ENG</t>
  </si>
  <si>
    <t xml:space="preserve">2026-08|PLAN|B26_V1|MONTH|IS|IS.COR.SUB.6000.CS</t>
  </si>
  <si>
    <t xml:space="preserve">2026-08|PLAN|B26_V1|MONTH|IS|IS.COR.SUB.6000.SUP</t>
  </si>
  <si>
    <t xml:space="preserve">2026-08|PLAN|B26_V1|MONTH|IS|IS.COR.SUB.6200.CORP_IT</t>
  </si>
  <si>
    <t xml:space="preserve">2026-08|PLAN|B26_V1|MONTH|IS|IS.COR.SUB.6700.SHARED_ASSETS</t>
  </si>
  <si>
    <t xml:space="preserve">2026-08|PLAN|B26_V1|MONTH|IS|IS.COR.SUB.6800.COMPANY_POOL</t>
  </si>
  <si>
    <t xml:space="preserve">2026-08|PLAN|B26_V1|MONTH|IS|IS.COR.PS</t>
  </si>
  <si>
    <t xml:space="preserve">2026-08|PLAN|B26_V1|MONTH|IS|IS.COR.TOTAL</t>
  </si>
  <si>
    <t xml:space="preserve">2026-08|PLAN|B26_V1|MONTH|IS|IS.GP</t>
  </si>
  <si>
    <t xml:space="preserve">2026-08|PLAN|B26_V1|MONTH|IS|IS.OPX.RD</t>
  </si>
  <si>
    <t xml:space="preserve">2026-08|PLAN|B26_V1|MONTH|IS|IS.OPX.RD.6000.ENG</t>
  </si>
  <si>
    <t xml:space="preserve">2026-08|PLAN|B26_V1|MONTH|IS|IS.OPX.RD.6100.ENG</t>
  </si>
  <si>
    <t xml:space="preserve">2026-08|PLAN|B26_V1|MONTH|IS|IS.OPX.RD.6200.CORP_IT</t>
  </si>
  <si>
    <t xml:space="preserve">2026-08|PLAN|B26_V1|MONTH|IS|IS.OPX.RD.6700.SHARED_ASSETS</t>
  </si>
  <si>
    <t xml:space="preserve">2026-08|PLAN|B26_V1|MONTH|IS|IS.OPX.RD.6800.COMPANY_POOL</t>
  </si>
  <si>
    <t xml:space="preserve">2026-08|PLAN|B26_V1|MONTH|IS|IS.OPX.SM</t>
  </si>
  <si>
    <t xml:space="preserve">2026-08|PLAN|B26_V1|MONTH|IS|IS.OPX.SM.6000.SALES</t>
  </si>
  <si>
    <t xml:space="preserve">2026-08|PLAN|B26_V1|MONTH|IS|IS.OPX.SM.6000.CS</t>
  </si>
  <si>
    <t xml:space="preserve">2026-08|PLAN|B26_V1|MONTH|IS|IS.OPX.SM.6300.MKTG</t>
  </si>
  <si>
    <t xml:space="preserve">2026-08|PLAN|B26_V1|MONTH|IS|IS.OPX.SM.6410.SALES</t>
  </si>
  <si>
    <t xml:space="preserve">2026-08|PLAN|B26_V1|MONTH|IS|IS.OPX.SM.6100.ENG</t>
  </si>
  <si>
    <t xml:space="preserve">2026-08|PLAN|B26_V1|MONTH|IS|IS.OPX.SM.6200.CORP_IT</t>
  </si>
  <si>
    <t xml:space="preserve">2026-08|PLAN|B26_V1|MONTH|IS|IS.OPX.SM.6700.SHARED_ASSETS</t>
  </si>
  <si>
    <t xml:space="preserve">2026-08|PLAN|B26_V1|MONTH|IS|IS.OPX.SM.6800.COMPANY_POOL</t>
  </si>
  <si>
    <t xml:space="preserve">2026-08|PLAN|B26_V1|MONTH|IS|IS.OPX.GA</t>
  </si>
  <si>
    <t xml:space="preserve">2026-08|PLAN|B26_V1|MONTH|IS|IS.OPX.GA.6050.GA</t>
  </si>
  <si>
    <t xml:space="preserve">2026-08|PLAN|B26_V1|MONTH|IS|IS.OPX.GA.6200.CORP_IT</t>
  </si>
  <si>
    <t xml:space="preserve">2026-08|PLAN|B26_V1|MONTH|IS|IS.OPX.GA.6700.SHARED_ASSETS</t>
  </si>
  <si>
    <t xml:space="preserve">2026-08|PLAN|B26_V1|MONTH|IS|IS.OPX.GA.6800.COMPANY_POOL</t>
  </si>
  <si>
    <t xml:space="preserve">2026-08|PLAN|B26_V1|MONTH|IS|IS.OPX.TOTAL</t>
  </si>
  <si>
    <t xml:space="preserve">2026-08|PLAN|B26_V1|MONTH|IS|IS.OI</t>
  </si>
  <si>
    <t xml:space="preserve">2026-08|PLAN|B26_V1|MONTH|IS|IS.NOP.INT_INC</t>
  </si>
  <si>
    <t xml:space="preserve">2026-08|PLAN|B26_V1|MONTH|IS|IS.NOP.INT_EXP</t>
  </si>
  <si>
    <t xml:space="preserve">2026-08|PLAN|B26_V1|MONTH|IS|IS.PRETAX</t>
  </si>
  <si>
    <t xml:space="preserve">2026-08|PLAN|B26_V1|MONTH|IS|IS.TAX</t>
  </si>
  <si>
    <t xml:space="preserve">2026-08|PLAN|B26_V1|MONTH|IS|IS.NI</t>
  </si>
  <si>
    <t xml:space="preserve">2026-08|PLAN|B26_V1|MONTH|MP|MP.REV.SUB</t>
  </si>
  <si>
    <t xml:space="preserve">2026-08|PLAN|B26_V1|MONTH|MP|MP.REV.PS</t>
  </si>
  <si>
    <t xml:space="preserve">2026-08|PLAN|B26_V1|MONTH|MP|MP.REV</t>
  </si>
  <si>
    <t xml:space="preserve">2026-08|PLAN|B26_V1|MONTH|MP|MP.COR_SUB</t>
  </si>
  <si>
    <t xml:space="preserve">2026-08|PLAN|B26_V1|MONTH|MP|MP.COR_SUB.PROD_COMPUTE</t>
  </si>
  <si>
    <t xml:space="preserve">2026-08|PLAN|B26_V1|MONTH|MP|MP.COR_SUB.SRE_PLATFORM_OPS</t>
  </si>
  <si>
    <t xml:space="preserve">2026-08|PLAN|B26_V1|MONTH|MP|MP.COR_SUB.TECH_SUPPORT</t>
  </si>
  <si>
    <t xml:space="preserve">2026-08|PLAN|B26_V1|MONTH|MP|MP.COR_SUB.CS_TAM_DELIVERY</t>
  </si>
  <si>
    <t xml:space="preserve">2026-08|PLAN|B26_V1|MONTH|MP|MP.COR_SUB.SHARED_IT</t>
  </si>
  <si>
    <t xml:space="preserve">2026-08|PLAN|B26_V1|MONTH|MP|MP.COR_SUB.DA</t>
  </si>
  <si>
    <t xml:space="preserve">2026-08|PLAN|B26_V1|MONTH|MP|MP.COR_SUB.SBC</t>
  </si>
  <si>
    <t xml:space="preserve">2026-08|PLAN|B26_V1|MONTH|MP|MP.COR_PS</t>
  </si>
  <si>
    <t xml:space="preserve">2026-08|PLAN|B26_V1|MONTH|MP|MP.COR_PS.PS_DELIVERY</t>
  </si>
  <si>
    <t xml:space="preserve">2026-08|PLAN|B26_V1|MONTH|MP|MP.COR</t>
  </si>
  <si>
    <t xml:space="preserve">2026-08|PLAN|B26_V1|MONTH|MP|MP.GP</t>
  </si>
  <si>
    <t xml:space="preserve">2026-08|PLAN|B26_V1|MONTH|MP|MP.SM_DIRECT</t>
  </si>
  <si>
    <t xml:space="preserve">2026-08|PLAN|B26_V1|MONTH|MP|MP.SM_DIRECT.DIRECT_SALES</t>
  </si>
  <si>
    <t xml:space="preserve">2026-08|PLAN|B26_V1|MONTH|MP|MP.SM_DIRECT.EXPANSION_SELLING</t>
  </si>
  <si>
    <t xml:space="preserve">2026-08|PLAN|B26_V1|MONTH|MP|MP.SM_DIRECT.DEMAND_GEN</t>
  </si>
  <si>
    <t xml:space="preserve">2026-08|PLAN|B26_V1|MONTH|MP|MP.SM_DIRECT.COMMISSION_AMORTIZATION</t>
  </si>
  <si>
    <t xml:space="preserve">2026-08|PLAN|B26_V1|MONTH|MP|MP.SM_DIRECT.SALES_DEMO_ENV</t>
  </si>
  <si>
    <t xml:space="preserve">2026-08|PLAN|B26_V1|MONTH|MP|MP.CM2</t>
  </si>
  <si>
    <t xml:space="preserve">2026-08|PLAN|B26_V1|MONTH|MP|MP.SM_SHARED</t>
  </si>
  <si>
    <t xml:space="preserve">2026-08|PLAN|B26_V1|MONTH|MP|MP.SM_SHARED.SHARED_IT</t>
  </si>
  <si>
    <t xml:space="preserve">2026-08|PLAN|B26_V1|MONTH|MP|MP.SM_SHARED.DA</t>
  </si>
  <si>
    <t xml:space="preserve">2026-08|PLAN|B26_V1|MONTH|MP|MP.SM_SHARED.SBC</t>
  </si>
  <si>
    <t xml:space="preserve">2026-08|PLAN|B26_V1|MONTH|MP|MP.RD</t>
  </si>
  <si>
    <t xml:space="preserve">2026-08|PLAN|B26_V1|MONTH|MP|MP.RD.PRODUCT_ENGINEERING</t>
  </si>
  <si>
    <t xml:space="preserve">2026-08|PLAN|B26_V1|MONTH|MP|MP.RD.DEV_TEST_INFRA</t>
  </si>
  <si>
    <t xml:space="preserve">2026-08|PLAN|B26_V1|MONTH|MP|MP.RD.SHARED_IT</t>
  </si>
  <si>
    <t xml:space="preserve">2026-08|PLAN|B26_V1|MONTH|MP|MP.RD.DA</t>
  </si>
  <si>
    <t xml:space="preserve">2026-08|PLAN|B26_V1|MONTH|MP|MP.RD.SBC</t>
  </si>
  <si>
    <t xml:space="preserve">2026-08|PLAN|B26_V1|MONTH|MP|MP.GA</t>
  </si>
  <si>
    <t xml:space="preserve">2026-08|PLAN|B26_V1|MONTH|MP|MP.GA.CORPORATE_ADMIN</t>
  </si>
  <si>
    <t xml:space="preserve">2026-08|PLAN|B26_V1|MONTH|MP|MP.GA.DA</t>
  </si>
  <si>
    <t xml:space="preserve">2026-08|PLAN|B26_V1|MONTH|MP|MP.GA.SBC</t>
  </si>
  <si>
    <t xml:space="preserve">2026-08|PLAN|B26_V1|MONTH|MP|MP.OPX</t>
  </si>
  <si>
    <t xml:space="preserve">2026-08|PLAN|B26_V1|MONTH|MP|MP.OI</t>
  </si>
  <si>
    <t xml:space="preserve">2026-08|PLAN|B26_V1|MONTH|MP|MP.NOP.INT_INC</t>
  </si>
  <si>
    <t xml:space="preserve">2026-08|PLAN|B26_V1|MONTH|MP|MP.NOP.INT_EXP</t>
  </si>
  <si>
    <t xml:space="preserve">2026-08|PLAN|B26_V1|MONTH|MP|MP.TAX</t>
  </si>
  <si>
    <t xml:space="preserve">2026-08|PLAN|B26_V1|MONTH|MP|MP.NI</t>
  </si>
  <si>
    <t xml:space="preserve">2026-08|PLAN|B26_V1|MONTH|GL|GL.REV</t>
  </si>
  <si>
    <t xml:space="preserve">2026-08|PLAN|B26_V1|MONTH|GL|GL.4000</t>
  </si>
  <si>
    <t xml:space="preserve">2026-08|PLAN|B26_V1|MONTH|GL|GL.4100</t>
  </si>
  <si>
    <t xml:space="preserve">2026-08|PLAN|B26_V1|MONTH|GL|GL.COMP</t>
  </si>
  <si>
    <t xml:space="preserve">2026-08|PLAN|B26_V1|MONTH|GL|GL.6000.ENG</t>
  </si>
  <si>
    <t xml:space="preserve">2026-08|PLAN|B26_V1|MONTH|GL|GL.6000.CS</t>
  </si>
  <si>
    <t xml:space="preserve">2026-08|PLAN|B26_V1|MONTH|GL|GL.6000.SUP</t>
  </si>
  <si>
    <t xml:space="preserve">2026-08|PLAN|B26_V1|MONTH|GL|GL.6000.PS</t>
  </si>
  <si>
    <t xml:space="preserve">2026-08|PLAN|B26_V1|MONTH|GL|GL.6000.SALES</t>
  </si>
  <si>
    <t xml:space="preserve">2026-08|PLAN|B26_V1|MONTH|GL|GL.TECH</t>
  </si>
  <si>
    <t xml:space="preserve">2026-08|PLAN|B26_V1|MONTH|GL|GL.6100</t>
  </si>
  <si>
    <t xml:space="preserve">2026-08|PLAN|B26_V1|MONTH|GL|GL.6200</t>
  </si>
  <si>
    <t xml:space="preserve">2026-08|PLAN|B26_V1|MONTH|GL|GL.OTHERCASH</t>
  </si>
  <si>
    <t xml:space="preserve">2026-08|PLAN|B26_V1|MONTH|GL|GL.6300</t>
  </si>
  <si>
    <t xml:space="preserve">2026-08|PLAN|B26_V1|MONTH|GL|GL.6050</t>
  </si>
  <si>
    <t xml:space="preserve">2026-08|PLAN|B26_V1|MONTH|GL|GL.NONCASH</t>
  </si>
  <si>
    <t xml:space="preserve">2026-08|PLAN|B26_V1|MONTH|GL|GL.6410</t>
  </si>
  <si>
    <t xml:space="preserve">2026-08|PLAN|B26_V1|MONTH|GL|GL.6700</t>
  </si>
  <si>
    <t xml:space="preserve">2026-08|PLAN|B26_V1|MONTH|GL|GL.6800</t>
  </si>
  <si>
    <t xml:space="preserve">2026-08|PLAN|B26_V1|MONTH|GL|GL.OPC</t>
  </si>
  <si>
    <t xml:space="preserve">2026-08|PLAN|B26_V1|MONTH|GL|GL.OI</t>
  </si>
  <si>
    <t xml:space="preserve">2026-08|PLAN|B26_V1|MONTH|GL|GL.NOP</t>
  </si>
  <si>
    <t xml:space="preserve">2026-08|PLAN|B26_V1|MONTH|GL|GL.7000</t>
  </si>
  <si>
    <t xml:space="preserve">2026-08|PLAN|B26_V1|MONTH|GL|GL.7100</t>
  </si>
  <si>
    <t xml:space="preserve">2026-08|PLAN|B26_V1|MONTH|GL|GL.8000</t>
  </si>
  <si>
    <t xml:space="preserve">2026-08|PLAN|B26_V1|MONTH|GL|GL.NI</t>
  </si>
  <si>
    <t xml:space="preserve">2026-08|PLAN|B26_V1|YTD|IS|IS.REV.SUB</t>
  </si>
  <si>
    <t xml:space="preserve">2026-08|PLAN|B26_V1|YTD|IS|IS.REV.PS</t>
  </si>
  <si>
    <t xml:space="preserve">2026-08|PLAN|B26_V1|YTD|IS|IS.REV.TOTAL</t>
  </si>
  <si>
    <t xml:space="preserve">2026-08|PLAN|B26_V1|YTD|IS|IS.COR.SUB</t>
  </si>
  <si>
    <t xml:space="preserve">2026-08|PLAN|B26_V1|YTD|IS|IS.COR.SUB.6100.ENG</t>
  </si>
  <si>
    <t xml:space="preserve">2026-08|PLAN|B26_V1|YTD|IS|IS.COR.SUB.6000.ENG</t>
  </si>
  <si>
    <t xml:space="preserve">2026-08|PLAN|B26_V1|YTD|IS|IS.COR.SUB.6000.CS</t>
  </si>
  <si>
    <t xml:space="preserve">2026-08|PLAN|B26_V1|YTD|IS|IS.COR.SUB.6000.SUP</t>
  </si>
  <si>
    <t xml:space="preserve">2026-08|PLAN|B26_V1|YTD|IS|IS.COR.SUB.6200.CORP_IT</t>
  </si>
  <si>
    <t xml:space="preserve">2026-08|PLAN|B26_V1|YTD|IS|IS.COR.SUB.6700.SHARED_ASSETS</t>
  </si>
  <si>
    <t xml:space="preserve">2026-08|PLAN|B26_V1|YTD|IS|IS.COR.SUB.6800.COMPANY_POOL</t>
  </si>
  <si>
    <t xml:space="preserve">2026-08|PLAN|B26_V1|YTD|IS|IS.COR.PS</t>
  </si>
  <si>
    <t xml:space="preserve">2026-08|PLAN|B26_V1|YTD|IS|IS.COR.TOTAL</t>
  </si>
  <si>
    <t xml:space="preserve">2026-08|PLAN|B26_V1|YTD|IS|IS.GP</t>
  </si>
  <si>
    <t xml:space="preserve">2026-08|PLAN|B26_V1|YTD|IS|IS.OPX.RD</t>
  </si>
  <si>
    <t xml:space="preserve">2026-08|PLAN|B26_V1|YTD|IS|IS.OPX.RD.6000.ENG</t>
  </si>
  <si>
    <t xml:space="preserve">2026-08|PLAN|B26_V1|YTD|IS|IS.OPX.RD.6100.ENG</t>
  </si>
  <si>
    <t xml:space="preserve">2026-08|PLAN|B26_V1|YTD|IS|IS.OPX.RD.6200.CORP_IT</t>
  </si>
  <si>
    <t xml:space="preserve">2026-08|PLAN|B26_V1|YTD|IS|IS.OPX.RD.6700.SHARED_ASSETS</t>
  </si>
  <si>
    <t xml:space="preserve">2026-08|PLAN|B26_V1|YTD|IS|IS.OPX.RD.6800.COMPANY_POOL</t>
  </si>
  <si>
    <t xml:space="preserve">2026-08|PLAN|B26_V1|YTD|IS|IS.OPX.SM</t>
  </si>
  <si>
    <t xml:space="preserve">2026-08|PLAN|B26_V1|YTD|IS|IS.OPX.SM.6000.SALES</t>
  </si>
  <si>
    <t xml:space="preserve">2026-08|PLAN|B26_V1|YTD|IS|IS.OPX.SM.6000.CS</t>
  </si>
  <si>
    <t xml:space="preserve">2026-08|PLAN|B26_V1|YTD|IS|IS.OPX.SM.6300.MKTG</t>
  </si>
  <si>
    <t xml:space="preserve">2026-08|PLAN|B26_V1|YTD|IS|IS.OPX.SM.6410.SALES</t>
  </si>
  <si>
    <t xml:space="preserve">2026-08|PLAN|B26_V1|YTD|IS|IS.OPX.SM.6100.ENG</t>
  </si>
  <si>
    <t xml:space="preserve">2026-08|PLAN|B26_V1|YTD|IS|IS.OPX.SM.6200.CORP_IT</t>
  </si>
  <si>
    <t xml:space="preserve">2026-08|PLAN|B26_V1|YTD|IS|IS.OPX.SM.6700.SHARED_ASSETS</t>
  </si>
  <si>
    <t xml:space="preserve">2026-08|PLAN|B26_V1|YTD|IS|IS.OPX.SM.6800.COMPANY_POOL</t>
  </si>
  <si>
    <t xml:space="preserve">2026-08|PLAN|B26_V1|YTD|IS|IS.OPX.GA</t>
  </si>
  <si>
    <t xml:space="preserve">2026-08|PLAN|B26_V1|YTD|IS|IS.OPX.GA.6050.GA</t>
  </si>
  <si>
    <t xml:space="preserve">2026-08|PLAN|B26_V1|YTD|IS|IS.OPX.GA.6200.CORP_IT</t>
  </si>
  <si>
    <t xml:space="preserve">2026-08|PLAN|B26_V1|YTD|IS|IS.OPX.GA.6700.SHARED_ASSETS</t>
  </si>
  <si>
    <t xml:space="preserve">2026-08|PLAN|B26_V1|YTD|IS|IS.OPX.GA.6800.COMPANY_POOL</t>
  </si>
  <si>
    <t xml:space="preserve">2026-08|PLAN|B26_V1|YTD|IS|IS.OPX.TOTAL</t>
  </si>
  <si>
    <t xml:space="preserve">2026-08|PLAN|B26_V1|YTD|IS|IS.OI</t>
  </si>
  <si>
    <t xml:space="preserve">2026-08|PLAN|B26_V1|YTD|IS|IS.NOP.INT_INC</t>
  </si>
  <si>
    <t xml:space="preserve">2026-08|PLAN|B26_V1|YTD|IS|IS.NOP.INT_EXP</t>
  </si>
  <si>
    <t xml:space="preserve">2026-08|PLAN|B26_V1|YTD|IS|IS.PRETAX</t>
  </si>
  <si>
    <t xml:space="preserve">2026-08|PLAN|B26_V1|YTD|IS|IS.TAX</t>
  </si>
  <si>
    <t xml:space="preserve">2026-08|PLAN|B26_V1|YTD|IS|IS.NI</t>
  </si>
  <si>
    <t xml:space="preserve">2026-08|PLAN|B26_V1|YTD|MP|MP.REV.SUB</t>
  </si>
  <si>
    <t xml:space="preserve">2026-08|PLAN|B26_V1|YTD|MP|MP.REV.PS</t>
  </si>
  <si>
    <t xml:space="preserve">2026-08|PLAN|B26_V1|YTD|MP|MP.REV</t>
  </si>
  <si>
    <t xml:space="preserve">2026-08|PLAN|B26_V1|YTD|MP|MP.COR_SUB</t>
  </si>
  <si>
    <t xml:space="preserve">2026-08|PLAN|B26_V1|YTD|MP|MP.COR_SUB.PROD_COMPUTE</t>
  </si>
  <si>
    <t xml:space="preserve">2026-08|PLAN|B26_V1|YTD|MP|MP.COR_SUB.SRE_PLATFORM_OPS</t>
  </si>
  <si>
    <t xml:space="preserve">2026-08|PLAN|B26_V1|YTD|MP|MP.COR_SUB.TECH_SUPPORT</t>
  </si>
  <si>
    <t xml:space="preserve">2026-08|PLAN|B26_V1|YTD|MP|MP.COR_SUB.CS_TAM_DELIVERY</t>
  </si>
  <si>
    <t xml:space="preserve">2026-08|PLAN|B26_V1|YTD|MP|MP.COR_SUB.SHARED_IT</t>
  </si>
  <si>
    <t xml:space="preserve">2026-08|PLAN|B26_V1|YTD|MP|MP.COR_SUB.DA</t>
  </si>
  <si>
    <t xml:space="preserve">2026-08|PLAN|B26_V1|YTD|MP|MP.COR_SUB.SBC</t>
  </si>
  <si>
    <t xml:space="preserve">2026-08|PLAN|B26_V1|YTD|MP|MP.COR_PS</t>
  </si>
  <si>
    <t xml:space="preserve">2026-08|PLAN|B26_V1|YTD|MP|MP.COR_PS.PS_DELIVERY</t>
  </si>
  <si>
    <t xml:space="preserve">2026-08|PLAN|B26_V1|YTD|MP|MP.COR</t>
  </si>
  <si>
    <t xml:space="preserve">2026-08|PLAN|B26_V1|YTD|MP|MP.GP</t>
  </si>
  <si>
    <t xml:space="preserve">2026-08|PLAN|B26_V1|YTD|MP|MP.SM_DIRECT</t>
  </si>
  <si>
    <t xml:space="preserve">2026-08|PLAN|B26_V1|YTD|MP|MP.SM_DIRECT.DIRECT_SALES</t>
  </si>
  <si>
    <t xml:space="preserve">2026-08|PLAN|B26_V1|YTD|MP|MP.SM_DIRECT.EXPANSION_SELLING</t>
  </si>
  <si>
    <t xml:space="preserve">2026-08|PLAN|B26_V1|YTD|MP|MP.SM_DIRECT.DEMAND_GEN</t>
  </si>
  <si>
    <t xml:space="preserve">2026-08|PLAN|B26_V1|YTD|MP|MP.SM_DIRECT.COMMISSION_AMORTIZATION</t>
  </si>
  <si>
    <t xml:space="preserve">2026-08|PLAN|B26_V1|YTD|MP|MP.SM_DIRECT.SALES_DEMO_ENV</t>
  </si>
  <si>
    <t xml:space="preserve">2026-08|PLAN|B26_V1|YTD|MP|MP.CM2</t>
  </si>
  <si>
    <t xml:space="preserve">2026-08|PLAN|B26_V1|YTD|MP|MP.SM_SHARED</t>
  </si>
  <si>
    <t xml:space="preserve">2026-08|PLAN|B26_V1|YTD|MP|MP.SM_SHARED.SHARED_IT</t>
  </si>
  <si>
    <t xml:space="preserve">2026-08|PLAN|B26_V1|YTD|MP|MP.SM_SHARED.DA</t>
  </si>
  <si>
    <t xml:space="preserve">2026-08|PLAN|B26_V1|YTD|MP|MP.SM_SHARED.SBC</t>
  </si>
  <si>
    <t xml:space="preserve">2026-08|PLAN|B26_V1|YTD|MP|MP.RD</t>
  </si>
  <si>
    <t xml:space="preserve">2026-08|PLAN|B26_V1|YTD|MP|MP.RD.PRODUCT_ENGINEERING</t>
  </si>
  <si>
    <t xml:space="preserve">2026-08|PLAN|B26_V1|YTD|MP|MP.RD.DEV_TEST_INFRA</t>
  </si>
  <si>
    <t xml:space="preserve">2026-08|PLAN|B26_V1|YTD|MP|MP.RD.SHARED_IT</t>
  </si>
  <si>
    <t xml:space="preserve">2026-08|PLAN|B26_V1|YTD|MP|MP.RD.DA</t>
  </si>
  <si>
    <t xml:space="preserve">2026-08|PLAN|B26_V1|YTD|MP|MP.RD.SBC</t>
  </si>
  <si>
    <t xml:space="preserve">2026-08|PLAN|B26_V1|YTD|MP|MP.GA</t>
  </si>
  <si>
    <t xml:space="preserve">2026-08|PLAN|B26_V1|YTD|MP|MP.GA.CORPORATE_ADMIN</t>
  </si>
  <si>
    <t xml:space="preserve">2026-08|PLAN|B26_V1|YTD|MP|MP.GA.DA</t>
  </si>
  <si>
    <t xml:space="preserve">2026-08|PLAN|B26_V1|YTD|MP|MP.GA.SBC</t>
  </si>
  <si>
    <t xml:space="preserve">2026-08|PLAN|B26_V1|YTD|MP|MP.OPX</t>
  </si>
  <si>
    <t xml:space="preserve">2026-08|PLAN|B26_V1|YTD|MP|MP.OI</t>
  </si>
  <si>
    <t xml:space="preserve">2026-08|PLAN|B26_V1|YTD|MP|MP.NOP.INT_INC</t>
  </si>
  <si>
    <t xml:space="preserve">2026-08|PLAN|B26_V1|YTD|MP|MP.NOP.INT_EXP</t>
  </si>
  <si>
    <t xml:space="preserve">2026-08|PLAN|B26_V1|YTD|MP|MP.TAX</t>
  </si>
  <si>
    <t xml:space="preserve">2026-08|PLAN|B26_V1|YTD|MP|MP.NI</t>
  </si>
  <si>
    <t xml:space="preserve">2026-08|PLAN|B26_V1|YTD|GL|GL.REV</t>
  </si>
  <si>
    <t xml:space="preserve">2026-08|PLAN|B26_V1|YTD|GL|GL.4000</t>
  </si>
  <si>
    <t xml:space="preserve">2026-08|PLAN|B26_V1|YTD|GL|GL.4100</t>
  </si>
  <si>
    <t xml:space="preserve">2026-08|PLAN|B26_V1|YTD|GL|GL.COMP</t>
  </si>
  <si>
    <t xml:space="preserve">2026-08|PLAN|B26_V1|YTD|GL|GL.6000.ENG</t>
  </si>
  <si>
    <t xml:space="preserve">2026-08|PLAN|B26_V1|YTD|GL|GL.6000.CS</t>
  </si>
  <si>
    <t xml:space="preserve">2026-08|PLAN|B26_V1|YTD|GL|GL.6000.SUP</t>
  </si>
  <si>
    <t xml:space="preserve">2026-08|PLAN|B26_V1|YTD|GL|GL.6000.PS</t>
  </si>
  <si>
    <t xml:space="preserve">2026-08|PLAN|B26_V1|YTD|GL|GL.6000.SALES</t>
  </si>
  <si>
    <t xml:space="preserve">2026-08|PLAN|B26_V1|YTD|GL|GL.TECH</t>
  </si>
  <si>
    <t xml:space="preserve">2026-08|PLAN|B26_V1|YTD|GL|GL.6100</t>
  </si>
  <si>
    <t xml:space="preserve">2026-08|PLAN|B26_V1|YTD|GL|GL.6200</t>
  </si>
  <si>
    <t xml:space="preserve">2026-08|PLAN|B26_V1|YTD|GL|GL.OTHERCASH</t>
  </si>
  <si>
    <t xml:space="preserve">2026-08|PLAN|B26_V1|YTD|GL|GL.6300</t>
  </si>
  <si>
    <t xml:space="preserve">2026-08|PLAN|B26_V1|YTD|GL|GL.6050</t>
  </si>
  <si>
    <t xml:space="preserve">2026-08|PLAN|B26_V1|YTD|GL|GL.NONCASH</t>
  </si>
  <si>
    <t xml:space="preserve">2026-08|PLAN|B26_V1|YTD|GL|GL.6410</t>
  </si>
  <si>
    <t xml:space="preserve">2026-08|PLAN|B26_V1|YTD|GL|GL.6700</t>
  </si>
  <si>
    <t xml:space="preserve">2026-08|PLAN|B26_V1|YTD|GL|GL.6800</t>
  </si>
  <si>
    <t xml:space="preserve">2026-08|PLAN|B26_V1|YTD|GL|GL.OPC</t>
  </si>
  <si>
    <t xml:space="preserve">2026-08|PLAN|B26_V1|YTD|GL|GL.OI</t>
  </si>
  <si>
    <t xml:space="preserve">2026-08|PLAN|B26_V1|YTD|GL|GL.NOP</t>
  </si>
  <si>
    <t xml:space="preserve">2026-08|PLAN|B26_V1|YTD|GL|GL.7000</t>
  </si>
  <si>
    <t xml:space="preserve">2026-08|PLAN|B26_V1|YTD|GL|GL.7100</t>
  </si>
  <si>
    <t xml:space="preserve">2026-08|PLAN|B26_V1|YTD|GL|GL.8000</t>
  </si>
  <si>
    <t xml:space="preserve">2026-08|PLAN|B26_V1|YTD|GL|GL.NI</t>
  </si>
  <si>
    <t xml:space="preserve">2026-08|PLAN|F26_7P5|MONTH|IS|IS.REV.SUB</t>
  </si>
  <si>
    <t xml:space="preserve">2026-08|PLAN|F26_7P5|MONTH|IS|IS.REV.PS</t>
  </si>
  <si>
    <t xml:space="preserve">2026-08|PLAN|F26_7P5|MONTH|IS|IS.REV.TOTAL</t>
  </si>
  <si>
    <t xml:space="preserve">2026-08|PLAN|F26_7P5|MONTH|IS|IS.COR.SUB</t>
  </si>
  <si>
    <t xml:space="preserve">2026-08|PLAN|F26_7P5|MONTH|IS|IS.COR.SUB.6100.ENG</t>
  </si>
  <si>
    <t xml:space="preserve">2026-08|PLAN|F26_7P5|MONTH|IS|IS.COR.SUB.6000.ENG</t>
  </si>
  <si>
    <t xml:space="preserve">2026-08|PLAN|F26_7P5|MONTH|IS|IS.COR.SUB.6000.CS</t>
  </si>
  <si>
    <t xml:space="preserve">2026-08|PLAN|F26_7P5|MONTH|IS|IS.COR.SUB.6000.SUP</t>
  </si>
  <si>
    <t xml:space="preserve">2026-08|PLAN|F26_7P5|MONTH|IS|IS.COR.SUB.6200.CORP_IT</t>
  </si>
  <si>
    <t xml:space="preserve">2026-08|PLAN|F26_7P5|MONTH|IS|IS.COR.SUB.6700.SHARED_ASSETS</t>
  </si>
  <si>
    <t xml:space="preserve">2026-08|PLAN|F26_7P5|MONTH|IS|IS.COR.SUB.6800.COMPANY_POOL</t>
  </si>
  <si>
    <t xml:space="preserve">2026-08|PLAN|F26_7P5|MONTH|IS|IS.COR.PS</t>
  </si>
  <si>
    <t xml:space="preserve">2026-08|PLAN|F26_7P5|MONTH|IS|IS.COR.TOTAL</t>
  </si>
  <si>
    <t xml:space="preserve">2026-08|PLAN|F26_7P5|MONTH|IS|IS.GP</t>
  </si>
  <si>
    <t xml:space="preserve">2026-08|PLAN|F26_7P5|MONTH|IS|IS.OPX.RD</t>
  </si>
  <si>
    <t xml:space="preserve">2026-08|PLAN|F26_7P5|MONTH|IS|IS.OPX.RD.6000.ENG</t>
  </si>
  <si>
    <t xml:space="preserve">2026-08|PLAN|F26_7P5|MONTH|IS|IS.OPX.RD.6100.ENG</t>
  </si>
  <si>
    <t xml:space="preserve">2026-08|PLAN|F26_7P5|MONTH|IS|IS.OPX.RD.6200.CORP_IT</t>
  </si>
  <si>
    <t xml:space="preserve">2026-08|PLAN|F26_7P5|MONTH|IS|IS.OPX.RD.6700.SHARED_ASSETS</t>
  </si>
  <si>
    <t xml:space="preserve">2026-08|PLAN|F26_7P5|MONTH|IS|IS.OPX.RD.6800.COMPANY_POOL</t>
  </si>
  <si>
    <t xml:space="preserve">2026-08|PLAN|F26_7P5|MONTH|IS|IS.OPX.SM</t>
  </si>
  <si>
    <t xml:space="preserve">2026-08|PLAN|F26_7P5|MONTH|IS|IS.OPX.SM.6000.SALES</t>
  </si>
  <si>
    <t xml:space="preserve">2026-08|PLAN|F26_7P5|MONTH|IS|IS.OPX.SM.6000.CS</t>
  </si>
  <si>
    <t xml:space="preserve">2026-08|PLAN|F26_7P5|MONTH|IS|IS.OPX.SM.6300.MKTG</t>
  </si>
  <si>
    <t xml:space="preserve">2026-08|PLAN|F26_7P5|MONTH|IS|IS.OPX.SM.6410.SALES</t>
  </si>
  <si>
    <t xml:space="preserve">2026-08|PLAN|F26_7P5|MONTH|IS|IS.OPX.SM.6100.ENG</t>
  </si>
  <si>
    <t xml:space="preserve">2026-08|PLAN|F26_7P5|MONTH|IS|IS.OPX.SM.6200.CORP_IT</t>
  </si>
  <si>
    <t xml:space="preserve">2026-08|PLAN|F26_7P5|MONTH|IS|IS.OPX.SM.6700.SHARED_ASSETS</t>
  </si>
  <si>
    <t xml:space="preserve">2026-08|PLAN|F26_7P5|MONTH|IS|IS.OPX.SM.6800.COMPANY_POOL</t>
  </si>
  <si>
    <t xml:space="preserve">2026-08|PLAN|F26_7P5|MONTH|IS|IS.OPX.GA</t>
  </si>
  <si>
    <t xml:space="preserve">2026-08|PLAN|F26_7P5|MONTH|IS|IS.OPX.GA.6050.GA</t>
  </si>
  <si>
    <t xml:space="preserve">2026-08|PLAN|F26_7P5|MONTH|IS|IS.OPX.GA.6200.CORP_IT</t>
  </si>
  <si>
    <t xml:space="preserve">2026-08|PLAN|F26_7P5|MONTH|IS|IS.OPX.GA.6700.SHARED_ASSETS</t>
  </si>
  <si>
    <t xml:space="preserve">2026-08|PLAN|F26_7P5|MONTH|IS|IS.OPX.GA.6800.COMPANY_POOL</t>
  </si>
  <si>
    <t xml:space="preserve">2026-08|PLAN|F26_7P5|MONTH|IS|IS.OPX.TOTAL</t>
  </si>
  <si>
    <t xml:space="preserve">2026-08|PLAN|F26_7P5|MONTH|IS|IS.OI</t>
  </si>
  <si>
    <t xml:space="preserve">2026-08|PLAN|F26_7P5|MONTH|IS|IS.NOP.INT_INC</t>
  </si>
  <si>
    <t xml:space="preserve">2026-08|PLAN|F26_7P5|MONTH|IS|IS.NOP.INT_EXP</t>
  </si>
  <si>
    <t xml:space="preserve">2026-08|PLAN|F26_7P5|MONTH|IS|IS.PRETAX</t>
  </si>
  <si>
    <t xml:space="preserve">2026-08|PLAN|F26_7P5|MONTH|IS|IS.TAX</t>
  </si>
  <si>
    <t xml:space="preserve">2026-08|PLAN|F26_7P5|MONTH|IS|IS.NI</t>
  </si>
  <si>
    <t xml:space="preserve">2026-08|PLAN|F26_7P5|MONTH|MP|MP.REV.SUB</t>
  </si>
  <si>
    <t xml:space="preserve">2026-08|PLAN|F26_7P5|MONTH|MP|MP.REV.PS</t>
  </si>
  <si>
    <t xml:space="preserve">2026-08|PLAN|F26_7P5|MONTH|MP|MP.REV</t>
  </si>
  <si>
    <t xml:space="preserve">2026-08|PLAN|F26_7P5|MONTH|MP|MP.COR_SUB</t>
  </si>
  <si>
    <t xml:space="preserve">2026-08|PLAN|F26_7P5|MONTH|MP|MP.COR_SUB.PROD_COMPUTE</t>
  </si>
  <si>
    <t xml:space="preserve">2026-08|PLAN|F26_7P5|MONTH|MP|MP.COR_SUB.SRE_PLATFORM_OPS</t>
  </si>
  <si>
    <t xml:space="preserve">2026-08|PLAN|F26_7P5|MONTH|MP|MP.COR_SUB.TECH_SUPPORT</t>
  </si>
  <si>
    <t xml:space="preserve">2026-08|PLAN|F26_7P5|MONTH|MP|MP.COR_SUB.CS_TAM_DELIVERY</t>
  </si>
  <si>
    <t xml:space="preserve">2026-08|PLAN|F26_7P5|MONTH|MP|MP.COR_SUB.SHARED_IT</t>
  </si>
  <si>
    <t xml:space="preserve">2026-08|PLAN|F26_7P5|MONTH|MP|MP.COR_SUB.DA</t>
  </si>
  <si>
    <t xml:space="preserve">2026-08|PLAN|F26_7P5|MONTH|MP|MP.COR_SUB.SBC</t>
  </si>
  <si>
    <t xml:space="preserve">2026-08|PLAN|F26_7P5|MONTH|MP|MP.COR_PS</t>
  </si>
  <si>
    <t xml:space="preserve">2026-08|PLAN|F26_7P5|MONTH|MP|MP.COR_PS.PS_DELIVERY</t>
  </si>
  <si>
    <t xml:space="preserve">2026-08|PLAN|F26_7P5|MONTH|MP|MP.COR</t>
  </si>
  <si>
    <t xml:space="preserve">2026-08|PLAN|F26_7P5|MONTH|MP|MP.GP</t>
  </si>
  <si>
    <t xml:space="preserve">2026-08|PLAN|F26_7P5|MONTH|MP|MP.SM_DIRECT</t>
  </si>
  <si>
    <t xml:space="preserve">2026-08|PLAN|F26_7P5|MONTH|MP|MP.SM_DIRECT.DIRECT_SALES</t>
  </si>
  <si>
    <t xml:space="preserve">2026-08|PLAN|F26_7P5|MONTH|MP|MP.SM_DIRECT.EXPANSION_SELLING</t>
  </si>
  <si>
    <t xml:space="preserve">2026-08|PLAN|F26_7P5|MONTH|MP|MP.SM_DIRECT.DEMAND_GEN</t>
  </si>
  <si>
    <t xml:space="preserve">2026-08|PLAN|F26_7P5|MONTH|MP|MP.SM_DIRECT.COMMISSION_AMORTIZATION</t>
  </si>
  <si>
    <t xml:space="preserve">2026-08|PLAN|F26_7P5|MONTH|MP|MP.SM_DIRECT.SALES_DEMO_ENV</t>
  </si>
  <si>
    <t xml:space="preserve">2026-08|PLAN|F26_7P5|MONTH|MP|MP.CM2</t>
  </si>
  <si>
    <t xml:space="preserve">2026-08|PLAN|F26_7P5|MONTH|MP|MP.SM_SHARED</t>
  </si>
  <si>
    <t xml:space="preserve">2026-08|PLAN|F26_7P5|MONTH|MP|MP.SM_SHARED.SHARED_IT</t>
  </si>
  <si>
    <t xml:space="preserve">2026-08|PLAN|F26_7P5|MONTH|MP|MP.SM_SHARED.DA</t>
  </si>
  <si>
    <t xml:space="preserve">2026-08|PLAN|F26_7P5|MONTH|MP|MP.SM_SHARED.SBC</t>
  </si>
  <si>
    <t xml:space="preserve">2026-08|PLAN|F26_7P5|MONTH|MP|MP.RD</t>
  </si>
  <si>
    <t xml:space="preserve">2026-08|PLAN|F26_7P5|MONTH|MP|MP.RD.PRODUCT_ENGINEERING</t>
  </si>
  <si>
    <t xml:space="preserve">2026-08|PLAN|F26_7P5|MONTH|MP|MP.RD.DEV_TEST_INFRA</t>
  </si>
  <si>
    <t xml:space="preserve">2026-08|PLAN|F26_7P5|MONTH|MP|MP.RD.SHARED_IT</t>
  </si>
  <si>
    <t xml:space="preserve">2026-08|PLAN|F26_7P5|MONTH|MP|MP.RD.DA</t>
  </si>
  <si>
    <t xml:space="preserve">2026-08|PLAN|F26_7P5|MONTH|MP|MP.RD.SBC</t>
  </si>
  <si>
    <t xml:space="preserve">2026-08|PLAN|F26_7P5|MONTH|MP|MP.GA</t>
  </si>
  <si>
    <t xml:space="preserve">2026-08|PLAN|F26_7P5|MONTH|MP|MP.GA.CORPORATE_ADMIN</t>
  </si>
  <si>
    <t xml:space="preserve">2026-08|PLAN|F26_7P5|MONTH|MP|MP.GA.DA</t>
  </si>
  <si>
    <t xml:space="preserve">2026-08|PLAN|F26_7P5|MONTH|MP|MP.GA.SBC</t>
  </si>
  <si>
    <t xml:space="preserve">2026-08|PLAN|F26_7P5|MONTH|MP|MP.OPX</t>
  </si>
  <si>
    <t xml:space="preserve">2026-08|PLAN|F26_7P5|MONTH|MP|MP.OI</t>
  </si>
  <si>
    <t xml:space="preserve">2026-08|PLAN|F26_7P5|MONTH|MP|MP.NOP.INT_INC</t>
  </si>
  <si>
    <t xml:space="preserve">2026-08|PLAN|F26_7P5|MONTH|MP|MP.NOP.INT_EXP</t>
  </si>
  <si>
    <t xml:space="preserve">2026-08|PLAN|F26_7P5|MONTH|MP|MP.TAX</t>
  </si>
  <si>
    <t xml:space="preserve">2026-08|PLAN|F26_7P5|MONTH|MP|MP.NI</t>
  </si>
  <si>
    <t xml:space="preserve">2026-08|PLAN|F26_7P5|MONTH|GL|GL.REV</t>
  </si>
  <si>
    <t xml:space="preserve">2026-08|PLAN|F26_7P5|MONTH|GL|GL.4000</t>
  </si>
  <si>
    <t xml:space="preserve">2026-08|PLAN|F26_7P5|MONTH|GL|GL.4100</t>
  </si>
  <si>
    <t xml:space="preserve">2026-08|PLAN|F26_7P5|MONTH|GL|GL.COMP</t>
  </si>
  <si>
    <t xml:space="preserve">2026-08|PLAN|F26_7P5|MONTH|GL|GL.6000.ENG</t>
  </si>
  <si>
    <t xml:space="preserve">2026-08|PLAN|F26_7P5|MONTH|GL|GL.6000.CS</t>
  </si>
  <si>
    <t xml:space="preserve">2026-08|PLAN|F26_7P5|MONTH|GL|GL.6000.SUP</t>
  </si>
  <si>
    <t xml:space="preserve">2026-08|PLAN|F26_7P5|MONTH|GL|GL.6000.PS</t>
  </si>
  <si>
    <t xml:space="preserve">2026-08|PLAN|F26_7P5|MONTH|GL|GL.6000.SALES</t>
  </si>
  <si>
    <t xml:space="preserve">2026-08|PLAN|F26_7P5|MONTH|GL|GL.TECH</t>
  </si>
  <si>
    <t xml:space="preserve">2026-08|PLAN|F26_7P5|MONTH|GL|GL.6100</t>
  </si>
  <si>
    <t xml:space="preserve">2026-08|PLAN|F26_7P5|MONTH|GL|GL.6200</t>
  </si>
  <si>
    <t xml:space="preserve">2026-08|PLAN|F26_7P5|MONTH|GL|GL.OTHERCASH</t>
  </si>
  <si>
    <t xml:space="preserve">2026-08|PLAN|F26_7P5|MONTH|GL|GL.6300</t>
  </si>
  <si>
    <t xml:space="preserve">2026-08|PLAN|F26_7P5|MONTH|GL|GL.6050</t>
  </si>
  <si>
    <t xml:space="preserve">2026-08|PLAN|F26_7P5|MONTH|GL|GL.NONCASH</t>
  </si>
  <si>
    <t xml:space="preserve">2026-08|PLAN|F26_7P5|MONTH|GL|GL.6410</t>
  </si>
  <si>
    <t xml:space="preserve">2026-08|PLAN|F26_7P5|MONTH|GL|GL.6700</t>
  </si>
  <si>
    <t xml:space="preserve">2026-08|PLAN|F26_7P5|MONTH|GL|GL.6800</t>
  </si>
  <si>
    <t xml:space="preserve">2026-08|PLAN|F26_7P5|MONTH|GL|GL.OPC</t>
  </si>
  <si>
    <t xml:space="preserve">2026-08|PLAN|F26_7P5|MONTH|GL|GL.OI</t>
  </si>
  <si>
    <t xml:space="preserve">2026-08|PLAN|F26_7P5|MONTH|GL|GL.NOP</t>
  </si>
  <si>
    <t xml:space="preserve">2026-08|PLAN|F26_7P5|MONTH|GL|GL.7000</t>
  </si>
  <si>
    <t xml:space="preserve">2026-08|PLAN|F26_7P5|MONTH|GL|GL.7100</t>
  </si>
  <si>
    <t xml:space="preserve">2026-08|PLAN|F26_7P5|MONTH|GL|GL.8000</t>
  </si>
  <si>
    <t xml:space="preserve">2026-08|PLAN|F26_7P5|MONTH|GL|GL.NI</t>
  </si>
  <si>
    <t xml:space="preserve">Driver #</t>
  </si>
  <si>
    <t xml:space="preserve">Driver or component line</t>
  </si>
  <si>
    <t xml:space="preserve">Amount exact</t>
  </si>
  <si>
    <t xml:space="preserve">Amount shown</t>
  </si>
  <si>
    <t xml:space="preserve">New logos</t>
  </si>
  <si>
    <t xml:space="preserve">Churned customers</t>
  </si>
  <si>
    <t xml:space="preserve">Contraction</t>
  </si>
  <si>
    <t xml:space="preserve">P-107 ENT-12 implementation</t>
  </si>
  <si>
    <t xml:space="preserve">P-106 ENT-07 integration</t>
  </si>
  <si>
    <t xml:space="preserve">Other (5 items)</t>
  </si>
  <si>
    <t xml:space="preserve">prod</t>
  </si>
  <si>
    <t xml:space="preserve">Other (8 items)</t>
  </si>
  <si>
    <t xml:space="preserve">IT seat allocation (driver change)</t>
  </si>
  <si>
    <t xml:space="preserve">Identity &amp; security</t>
  </si>
  <si>
    <t xml:space="preserve">Servers &amp; hardware</t>
  </si>
  <si>
    <t xml:space="preserve">2026 refresh grants</t>
  </si>
  <si>
    <t xml:space="preserve">Other (7 items)</t>
  </si>
  <si>
    <t xml:space="preserve">dev-test</t>
  </si>
  <si>
    <t xml:space="preserve">Partner marketing</t>
  </si>
  <si>
    <t xml:space="preserve">demo</t>
  </si>
  <si>
    <t xml:space="preserve">Other (11 items)</t>
  </si>
  <si>
    <t xml:space="preserve">FY26 H2 cohort</t>
  </si>
  <si>
    <t xml:space="preserve">Outside legal</t>
  </si>
  <si>
    <t xml:space="preserve">Journal without category</t>
  </si>
  <si>
    <t xml:space="preserve">Other (4 items)</t>
  </si>
  <si>
    <t xml:space="preserve">Money market funds</t>
  </si>
  <si>
    <t xml:space="preserve">Current tax</t>
  </si>
  <si>
    <t xml:space="preserve">Deferred tax</t>
  </si>
  <si>
    <t xml:space="preserve">Accounts receivable — Collections</t>
  </si>
  <si>
    <t xml:space="preserve">Cash — Operating cash flow</t>
  </si>
  <si>
    <t xml:space="preserve">Accounts receivable — Subscription billings</t>
  </si>
  <si>
    <t xml:space="preserve">Operating cash flow</t>
  </si>
  <si>
    <t xml:space="preserve">Investing cash flow</t>
  </si>
  <si>
    <t xml:space="preserve">Collections</t>
  </si>
  <si>
    <t xml:space="preserve">Subscription billings</t>
  </si>
  <si>
    <t xml:space="preserve">Services invoices</t>
  </si>
  <si>
    <t xml:space="preserve">Amortization to expense</t>
  </si>
  <si>
    <t xml:space="preserve">Commissions capitalized</t>
  </si>
  <si>
    <t xml:space="preserve">Amortization</t>
  </si>
  <si>
    <t xml:space="preserve">Property, equipment &amp; capitalized software, net — Depreciation &amp; amortization</t>
  </si>
  <si>
    <t xml:space="preserve">Property, equipment &amp; capitalized software, net — Capital expenditures</t>
  </si>
  <si>
    <t xml:space="preserve">Deferred revenue — Revenue recognized</t>
  </si>
  <si>
    <t xml:space="preserve">Deferred revenue — Billings</t>
  </si>
  <si>
    <t xml:space="preserve">Accounts payable — Vendor invoices</t>
  </si>
  <si>
    <t xml:space="preserve">Vendor invoices</t>
  </si>
  <si>
    <t xml:space="preserve">Vendor payments</t>
  </si>
  <si>
    <t xml:space="preserve">Event costs paid</t>
  </si>
  <si>
    <t xml:space="preserve">Payroll accruals</t>
  </si>
  <si>
    <t xml:space="preserve">Income tax accrual</t>
  </si>
  <si>
    <t xml:space="preserve">Revenue recognized</t>
  </si>
  <si>
    <t xml:space="preserve">Billings</t>
  </si>
  <si>
    <t xml:space="preserve">Deferred tax liability — Deferred tax provision</t>
  </si>
  <si>
    <t xml:space="preserve">Deferred tax provision</t>
  </si>
  <si>
    <t xml:space="preserve">Retained earnings (incl. current-year net income) — Net income</t>
  </si>
  <si>
    <t xml:space="preserve">Additional paid-in capital — Stock-based compensation</t>
  </si>
  <si>
    <t xml:space="preserve">Operating costs</t>
  </si>
  <si>
    <t xml:space="preserve">Income taxes</t>
  </si>
  <si>
    <t xml:space="preserve">Depreciation &amp; amortization — Servers &amp; hardware</t>
  </si>
  <si>
    <t xml:space="preserve">Stock-based compensation — 2026 refresh grants</t>
  </si>
  <si>
    <t xml:space="preserve">Amortization of capitalized commissions — FY26 H2 cohort</t>
  </si>
  <si>
    <t xml:space="preserve">Other (12 items)</t>
  </si>
  <si>
    <t xml:space="preserve">Event accruals</t>
  </si>
  <si>
    <t xml:space="preserve">Professional fees paid</t>
  </si>
  <si>
    <t xml:space="preserve">Other (20 items)</t>
  </si>
  <si>
    <t xml:space="preserve">Capital expenditures — Capital expenditures</t>
  </si>
  <si>
    <t xml:space="preserve">Expansion</t>
  </si>
  <si>
    <t xml:space="preserve">Base pay</t>
  </si>
  <si>
    <t xml:space="preserve">Benefits</t>
  </si>
  <si>
    <t xml:space="preserve">Other (15 items)</t>
  </si>
  <si>
    <t xml:space="preserve">staging (prod-adjacent)</t>
  </si>
  <si>
    <t xml:space="preserve">shared observability</t>
  </si>
  <si>
    <t xml:space="preserve">Employer payroll taxes</t>
  </si>
  <si>
    <t xml:space="preserve">Developer tooling</t>
  </si>
  <si>
    <t xml:space="preserve">Capitalized software</t>
  </si>
  <si>
    <t xml:space="preserve">2023 grants</t>
  </si>
  <si>
    <t xml:space="preserve">2025 grants</t>
  </si>
  <si>
    <t xml:space="preserve">CRM seats</t>
  </si>
  <si>
    <t xml:space="preserve">Content &amp; SEO</t>
  </si>
  <si>
    <t xml:space="preserve">FY26 H1 cohort</t>
  </si>
  <si>
    <t xml:space="preserve">FY25 H2 cohort</t>
  </si>
  <si>
    <t xml:space="preserve">FY24 cohort</t>
  </si>
  <si>
    <t xml:space="preserve">G&amp;A team payroll</t>
  </si>
  <si>
    <t xml:space="preserve">Term loan</t>
  </si>
  <si>
    <t xml:space="preserve">Other (10 items)</t>
  </si>
  <si>
    <t xml:space="preserve">Other (6 items)</t>
  </si>
  <si>
    <t xml:space="preserve">Amortization of capitalized commissions — FY26 H1 cohort</t>
  </si>
  <si>
    <t xml:space="preserve">Depreciation &amp; amortization — Capitalized software</t>
  </si>
  <si>
    <t xml:space="preserve">Other (14 items)</t>
  </si>
  <si>
    <t xml:space="preserve">Income tax payments</t>
  </si>
  <si>
    <t xml:space="preserve">Net income — Operating costs</t>
  </si>
  <si>
    <t xml:space="preserve">Net income — Revenue</t>
  </si>
  <si>
    <t xml:space="preserve">Other (28 items)</t>
  </si>
  <si>
    <t xml:space="preserve">Proceeds from option exercises — Option exercises</t>
  </si>
  <si>
    <t xml:space="preserve">Option exercises</t>
  </si>
  <si>
    <t xml:space="preserve">P-103 ENT-11 implementation</t>
  </si>
  <si>
    <t xml:space="preserve">Other (16 items)</t>
  </si>
  <si>
    <t xml:space="preserve">CI runners</t>
  </si>
  <si>
    <t xml:space="preserve">Other (23 items)</t>
  </si>
  <si>
    <t xml:space="preserve">sales sandbox</t>
  </si>
  <si>
    <t xml:space="preserve">Other (9 items)</t>
  </si>
  <si>
    <t xml:space="preserve">Financing cash flow</t>
  </si>
  <si>
    <t xml:space="preserve">Annual prepayments</t>
  </si>
  <si>
    <t xml:space="preserve">Payroll paid (prior-month accrual)</t>
  </si>
  <si>
    <t xml:space="preserve">Term loan — Principal repayments</t>
  </si>
  <si>
    <t xml:space="preserve">Principal repayments</t>
  </si>
  <si>
    <t xml:space="preserve">Additional paid-in capital — Option exercises</t>
  </si>
  <si>
    <t xml:space="preserve">Amortization of capitalized commissions — FY25 H2 cohort</t>
  </si>
  <si>
    <t xml:space="preserve">Other (13 items)</t>
  </si>
  <si>
    <t xml:space="preserve">P-101 ENT-02 data migration</t>
  </si>
  <si>
    <t xml:space="preserve">P-102 ENT-05 integration</t>
  </si>
  <si>
    <t xml:space="preserve">Other (17 items)</t>
  </si>
  <si>
    <t xml:space="preserve">Collaboration suite</t>
  </si>
  <si>
    <t xml:space="preserve">Laptops</t>
  </si>
  <si>
    <t xml:space="preserve">Other (24 items)</t>
  </si>
  <si>
    <t xml:space="preserve">FY25 H1 cohort</t>
  </si>
  <si>
    <t xml:space="preserve">Stock-based compensation — 2025 grants</t>
  </si>
  <si>
    <t xml:space="preserve">Other (31 items)</t>
  </si>
  <si>
    <t xml:space="preserve">Enterprise</t>
  </si>
  <si>
    <t xml:space="preserve">SMB</t>
  </si>
  <si>
    <t xml:space="preserve">Mid-market</t>
  </si>
  <si>
    <t xml:space="preserve">Professional services revenue (plan held at account level)</t>
  </si>
  <si>
    <t xml:space="preserve">Software &amp; IT services (plan held at account level)</t>
  </si>
  <si>
    <t xml:space="preserve">Depreciation &amp; amortization (plan held at account level)</t>
  </si>
  <si>
    <t xml:space="preserve">Stock-based compensation (plan held at account level)</t>
  </si>
  <si>
    <t xml:space="preserve">Amortization of capitalized commissions (plan held at account level)</t>
  </si>
  <si>
    <t xml:space="preserve">Payroll &amp; HR services</t>
  </si>
  <si>
    <t xml:space="preserve">Interest income (plan held at account level)</t>
  </si>
  <si>
    <t xml:space="preserve">Income tax expense (plan held at account level)</t>
  </si>
  <si>
    <t xml:space="preserve">Interest expense (plan held at account level)</t>
  </si>
  <si>
    <t xml:space="preserve">Each line's commentary cites these rows: the top three drivers (or component lines for a statement subtotal) and Other. Exact amounts sum to the line's variance in cents (T22); shown amounts sum to the displayed variance (T26). Line data column S checks both.</t>
  </si>
</sst>
</file>

<file path=xl/styles.xml><?xml version="1.0" encoding="utf-8"?>
<styleSheet xmlns="http://schemas.openxmlformats.org/spreadsheetml/2006/main">
  <numFmts count="8">
    <numFmt numFmtId="164" formatCode="General"/>
    <numFmt numFmtId="165" formatCode="#,##0.0;\(#,##0.0\);\–"/>
    <numFmt numFmtId="166" formatCode="0.0%;\(0.0%\);\–"/>
    <numFmt numFmtId="167" formatCode="\+0.0%;\-0.0%;\–"/>
    <numFmt numFmtId="168" formatCode="0%"/>
    <numFmt numFmtId="169" formatCode="0.00;\(0.00\);\–"/>
    <numFmt numFmtId="170" formatCode="0.0%"/>
    <numFmt numFmtId="171" formatCode="#,##0.00000;\(#,##0.00000\);\–"/>
  </numFmts>
  <fonts count="31">
    <font>
      <sz val="11"/>
      <color theme="1"/>
      <name val="Calibri"/>
      <family val="2"/>
      <charset val="1"/>
    </font>
    <font>
      <sz val="10"/>
      <name val="Arial"/>
      <family val="0"/>
    </font>
    <font>
      <sz val="10"/>
      <name val="Arial"/>
      <family val="0"/>
    </font>
    <font>
      <sz val="10"/>
      <name val="Arial"/>
      <family val="0"/>
    </font>
    <font>
      <b val="true"/>
      <sz val="18"/>
      <color rgb="FF0E5A5F"/>
      <name val="Arial"/>
      <family val="0"/>
      <charset val="1"/>
    </font>
    <font>
      <sz val="11"/>
      <color rgb="FF5F6469"/>
      <name val="Arial"/>
      <family val="0"/>
      <charset val="1"/>
    </font>
    <font>
      <b val="true"/>
      <sz val="10"/>
      <color rgb="FFFFFFFF"/>
      <name val="Arial"/>
      <family val="0"/>
      <charset val="1"/>
    </font>
    <font>
      <b val="true"/>
      <sz val="10"/>
      <color rgb="FF000000"/>
      <name val="Arial"/>
      <family val="0"/>
      <charset val="1"/>
    </font>
    <font>
      <sz val="10"/>
      <color rgb="FF000000"/>
      <name val="Arial"/>
      <family val="0"/>
      <charset val="1"/>
    </font>
    <font>
      <b val="true"/>
      <sz val="10"/>
      <color rgb="FF0E5A5F"/>
      <name val="Arial"/>
      <family val="0"/>
      <charset val="1"/>
    </font>
    <font>
      <u val="single"/>
      <sz val="11"/>
      <color rgb="FF0E5A5F"/>
      <name val="Arial"/>
      <family val="0"/>
      <charset val="1"/>
    </font>
    <font>
      <b val="true"/>
      <sz val="10"/>
      <color rgb="FF0000FF"/>
      <name val="Arial"/>
      <family val="0"/>
      <charset val="1"/>
    </font>
    <font>
      <b val="true"/>
      <sz val="10"/>
      <color rgb="FF008000"/>
      <name val="Arial"/>
      <family val="0"/>
      <charset val="1"/>
    </font>
    <font>
      <b val="true"/>
      <sz val="14"/>
      <color rgb="FF0E5A5F"/>
      <name val="Arial"/>
      <family val="0"/>
      <charset val="1"/>
    </font>
    <font>
      <sz val="9"/>
      <color rgb="FF5F6469"/>
      <name val="Arial"/>
      <family val="0"/>
      <charset val="1"/>
    </font>
    <font>
      <sz val="9"/>
      <color rgb="FFFFFFFF"/>
      <name val="Arial"/>
      <family val="0"/>
      <charset val="1"/>
    </font>
    <font>
      <sz val="10.5"/>
      <color rgb="FF000000"/>
      <name val="Arial"/>
      <family val="0"/>
      <charset val="1"/>
    </font>
    <font>
      <i val="true"/>
      <sz val="8.5"/>
      <color rgb="FF5F6469"/>
      <name val="Arial"/>
      <family val="0"/>
      <charset val="1"/>
    </font>
    <font>
      <sz val="10"/>
      <color rgb="FF008000"/>
      <name val="Arial"/>
      <family val="0"/>
      <charset val="1"/>
    </font>
    <font>
      <sz val="10"/>
      <color rgb="FF0000FF"/>
      <name val="Arial"/>
      <family val="0"/>
      <charset val="1"/>
    </font>
    <font>
      <sz val="10"/>
      <color rgb="FF5F6469"/>
      <name val="Arial"/>
      <family val="0"/>
      <charset val="1"/>
    </font>
    <font>
      <b val="true"/>
      <sz val="9"/>
      <color rgb="FF000000"/>
      <name val="Arial"/>
      <family val="0"/>
      <charset val="1"/>
    </font>
    <font>
      <sz val="9"/>
      <color rgb="FF2B2F33"/>
      <name val="Arial"/>
      <family val="0"/>
      <charset val="1"/>
    </font>
    <font>
      <sz val="9"/>
      <color rgb="FF000000"/>
      <name val="Arial"/>
      <family val="0"/>
      <charset val="1"/>
    </font>
    <font>
      <sz val="10"/>
      <color rgb="FF0E5A5F"/>
      <name val="Arial"/>
      <family val="0"/>
      <charset val="1"/>
    </font>
    <font>
      <sz val="10"/>
      <color rgb="FF2B2F33"/>
      <name val="Arial"/>
      <family val="0"/>
      <charset val="1"/>
    </font>
    <font>
      <i val="true"/>
      <sz val="10"/>
      <color rgb="FF5F6469"/>
      <name val="Arial"/>
      <family val="0"/>
      <charset val="1"/>
    </font>
    <font>
      <sz val="9.5"/>
      <color rgb="FF000000"/>
      <name val="Arial"/>
      <family val="0"/>
      <charset val="1"/>
    </font>
    <font>
      <sz val="9.5"/>
      <color rgb="FF6E4700"/>
      <name val="Arial"/>
      <family val="0"/>
      <charset val="1"/>
    </font>
    <font>
      <b val="true"/>
      <sz val="11"/>
      <color rgb="FF000000"/>
      <name val="Arial"/>
      <family val="0"/>
      <charset val="1"/>
    </font>
    <font>
      <b val="true"/>
      <sz val="11"/>
      <color rgb="FF0E5A5F"/>
      <name val="Arial"/>
      <family val="0"/>
      <charset val="1"/>
    </font>
  </fonts>
  <fills count="7">
    <fill>
      <patternFill patternType="none"/>
    </fill>
    <fill>
      <patternFill patternType="gray125"/>
    </fill>
    <fill>
      <patternFill patternType="solid">
        <fgColor rgb="FF0E5A5F"/>
        <bgColor rgb="FF008080"/>
      </patternFill>
    </fill>
    <fill>
      <patternFill patternType="solid">
        <fgColor rgb="FFE6EFEF"/>
        <bgColor rgb="FFF2F1EC"/>
      </patternFill>
    </fill>
    <fill>
      <patternFill patternType="solid">
        <fgColor rgb="FFF2F1EC"/>
        <bgColor rgb="FFE6EFEF"/>
      </patternFill>
    </fill>
    <fill>
      <patternFill patternType="solid">
        <fgColor rgb="FFFAF9F6"/>
        <bgColor rgb="FFFFFFFF"/>
      </patternFill>
    </fill>
    <fill>
      <patternFill patternType="solid">
        <fgColor rgb="FFFFFF00"/>
        <bgColor rgb="FFFFFF00"/>
      </patternFill>
    </fill>
  </fills>
  <borders count="2">
    <border diagonalUp="false" diagonalDown="false">
      <left/>
      <right/>
      <top/>
      <bottom/>
      <diagonal/>
    </border>
    <border diagonalUp="false" diagonalDown="false">
      <left/>
      <right/>
      <top style="thin">
        <color rgb="FFD9D6CE"/>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right" vertical="top" textRotation="0" wrapText="false" indent="0" shrinkToFit="false"/>
      <protection locked="true" hidden="false"/>
    </xf>
    <xf numFmtId="164" fontId="9" fillId="0" borderId="0" xfId="0" applyFont="true" applyBorder="false" applyAlignment="true" applyProtection="false">
      <alignment horizontal="center" vertical="top" textRotation="0" wrapText="false" indent="0" shrinkToFit="false"/>
      <protection locked="true" hidden="false"/>
    </xf>
    <xf numFmtId="164" fontId="8" fillId="0" borderId="0" xfId="0" applyFont="true" applyBorder="true" applyAlignment="true" applyProtection="false">
      <alignment horizontal="general" vertical="top" textRotation="0" wrapText="fals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4" fontId="12" fillId="0" borderId="0" xfId="0" applyFont="true" applyBorder="false" applyAlignment="true" applyProtection="false">
      <alignment horizontal="general" vertical="top" textRotation="0" wrapText="false" indent="0" shrinkToFit="false"/>
      <protection locked="true" hidden="false"/>
    </xf>
    <xf numFmtId="164" fontId="13" fillId="0" borderId="0" xfId="0" applyFont="true" applyBorder="false" applyAlignment="true" applyProtection="false">
      <alignment horizontal="general" vertical="top" textRotation="0" wrapText="false" indent="0" shrinkToFit="false"/>
      <protection locked="true" hidden="false"/>
    </xf>
    <xf numFmtId="164" fontId="14" fillId="0" borderId="0" xfId="0" applyFont="true" applyBorder="false" applyAlignment="true" applyProtection="false">
      <alignment horizontal="general" vertical="top" textRotation="0" wrapText="false" indent="0" shrinkToFit="false"/>
      <protection locked="true" hidden="false"/>
    </xf>
    <xf numFmtId="164" fontId="15" fillId="2" borderId="0" xfId="0" applyFont="true" applyBorder="false" applyAlignment="true" applyProtection="false">
      <alignment horizontal="general" vertical="center" textRotation="0" wrapText="fals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top" textRotation="0" wrapText="false" indent="0" shrinkToFit="false"/>
      <protection locked="true" hidden="false"/>
    </xf>
    <xf numFmtId="164" fontId="7" fillId="3" borderId="0" xfId="0" applyFont="true" applyBorder="false" applyAlignment="true" applyProtection="false">
      <alignment horizontal="general" vertical="top" textRotation="0" wrapText="false" indent="0" shrinkToFit="false"/>
      <protection locked="true" hidden="false"/>
    </xf>
    <xf numFmtId="164" fontId="7" fillId="3" borderId="0" xfId="0" applyFont="true" applyBorder="false" applyAlignment="true" applyProtection="false">
      <alignment horizontal="right" vertical="top" textRotation="0" wrapText="false" indent="0" shrinkToFit="false"/>
      <protection locked="true" hidden="false"/>
    </xf>
    <xf numFmtId="165" fontId="18" fillId="0" borderId="0" xfId="0" applyFont="true" applyBorder="false" applyAlignment="true" applyProtection="false">
      <alignment horizontal="general" vertical="top" textRotation="0" wrapText="false" indent="0" shrinkToFit="false"/>
      <protection locked="true" hidden="false"/>
    </xf>
    <xf numFmtId="165" fontId="8" fillId="0" borderId="0" xfId="0" applyFont="true" applyBorder="false" applyAlignment="true" applyProtection="false">
      <alignment horizontal="general" vertical="top" textRotation="0" wrapText="false" indent="0" shrinkToFit="false"/>
      <protection locked="true" hidden="false"/>
    </xf>
    <xf numFmtId="166" fontId="8" fillId="0" borderId="0" xfId="0" applyFont="true" applyBorder="false" applyAlignment="true" applyProtection="false">
      <alignment horizontal="right" vertical="top" textRotation="0" wrapText="false" indent="0" shrinkToFit="false"/>
      <protection locked="true" hidden="false"/>
    </xf>
    <xf numFmtId="164" fontId="18" fillId="0" borderId="0" xfId="0" applyFont="true" applyBorder="false" applyAlignment="true" applyProtection="false">
      <alignment horizontal="center"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1" shrinkToFit="false"/>
      <protection locked="true" hidden="false"/>
    </xf>
    <xf numFmtId="166" fontId="8" fillId="0" borderId="0" xfId="0" applyFont="true" applyBorder="false" applyAlignment="true" applyProtection="false">
      <alignment horizontal="general" vertical="top" textRotation="0" wrapText="false" indent="0" shrinkToFit="false"/>
      <protection locked="true" hidden="false"/>
    </xf>
    <xf numFmtId="167" fontId="8" fillId="0" borderId="0" xfId="0" applyFont="true" applyBorder="false" applyAlignment="true" applyProtection="false">
      <alignment horizontal="general" vertical="top" textRotation="0" wrapText="false" indent="0" shrinkToFit="false"/>
      <protection locked="true" hidden="false"/>
    </xf>
    <xf numFmtId="164" fontId="14" fillId="0" borderId="0" xfId="0" applyFont="true" applyBorder="false" applyAlignment="true" applyProtection="false">
      <alignment horizontal="right" vertical="top" textRotation="0" wrapText="false" indent="0" shrinkToFit="false"/>
      <protection locked="true" hidden="false"/>
    </xf>
    <xf numFmtId="165" fontId="12" fillId="0" borderId="0" xfId="0" applyFont="true" applyBorder="false" applyAlignment="true" applyProtection="false">
      <alignment horizontal="general" vertical="top" textRotation="0" wrapText="false" indent="0" shrinkToFit="false"/>
      <protection locked="true" hidden="false"/>
    </xf>
    <xf numFmtId="165" fontId="7" fillId="0" borderId="0" xfId="0" applyFont="true" applyBorder="false" applyAlignment="true" applyProtection="false">
      <alignment horizontal="general" vertical="top" textRotation="0" wrapText="false" indent="0" shrinkToFit="false"/>
      <protection locked="true" hidden="false"/>
    </xf>
    <xf numFmtId="165" fontId="19" fillId="0" borderId="0" xfId="0" applyFont="true" applyBorder="false" applyAlignment="true" applyProtection="false">
      <alignment horizontal="general" vertical="top" textRotation="0" wrapText="false" indent="0" shrinkToFit="false"/>
      <protection locked="true" hidden="false"/>
    </xf>
    <xf numFmtId="164" fontId="14" fillId="3" borderId="0" xfId="0" applyFont="true" applyBorder="false" applyAlignment="true" applyProtection="false">
      <alignment horizontal="general" vertical="top" textRotation="0" wrapText="false" indent="0" shrinkToFit="false"/>
      <protection locked="true" hidden="false"/>
    </xf>
    <xf numFmtId="164" fontId="7" fillId="3" borderId="0" xfId="0" applyFont="true" applyBorder="false" applyAlignment="true" applyProtection="false">
      <alignment horizontal="right"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4" fontId="20"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right" vertical="top" textRotation="0" wrapText="false" indent="0" shrinkToFit="false"/>
      <protection locked="true" hidden="false"/>
    </xf>
    <xf numFmtId="164" fontId="6" fillId="2"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true" applyAlignment="true" applyProtection="false">
      <alignment horizontal="center" vertical="top" textRotation="0" wrapText="false" indent="0" shrinkToFit="false"/>
      <protection locked="true" hidden="false"/>
    </xf>
    <xf numFmtId="164" fontId="8" fillId="3" borderId="0" xfId="0" applyFont="true" applyBorder="false" applyAlignment="true" applyProtection="false">
      <alignment horizontal="general" vertical="top" textRotation="0" wrapText="false" indent="0" shrinkToFit="false"/>
      <protection locked="true" hidden="false"/>
    </xf>
    <xf numFmtId="164" fontId="21" fillId="3" borderId="0" xfId="0" applyFont="true" applyBorder="false" applyAlignment="true" applyProtection="false">
      <alignment horizontal="right" vertical="top" textRotation="0" wrapText="false" indent="0" shrinkToFit="false"/>
      <protection locked="true" hidden="false"/>
    </xf>
    <xf numFmtId="164" fontId="9" fillId="4" borderId="0" xfId="0" applyFont="true" applyBorder="false" applyAlignment="true" applyProtection="false">
      <alignment horizontal="general" vertical="center"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6" fontId="18" fillId="0" borderId="0" xfId="0" applyFont="true" applyBorder="false" applyAlignment="true" applyProtection="false">
      <alignment horizontal="right" vertical="top"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6" fillId="2" borderId="0" xfId="0" applyFont="true" applyBorder="false" applyAlignment="true" applyProtection="false">
      <alignment horizontal="right" vertical="center" textRotation="0" wrapText="true" indent="0" shrinkToFit="false"/>
      <protection locked="true" hidden="false"/>
    </xf>
    <xf numFmtId="164" fontId="8" fillId="0" borderId="0" xfId="0" applyFont="true" applyBorder="false" applyAlignment="true" applyProtection="false">
      <alignment horizontal="center" vertical="top" textRotation="0" wrapText="false" indent="0" shrinkToFit="false"/>
      <protection locked="true" hidden="false"/>
    </xf>
    <xf numFmtId="164" fontId="22" fillId="0" borderId="0" xfId="0" applyFont="true" applyBorder="false" applyAlignment="true" applyProtection="false">
      <alignment horizontal="general" vertical="top" textRotation="0" wrapText="true" indent="0" shrinkToFit="false"/>
      <protection locked="true" hidden="false"/>
    </xf>
    <xf numFmtId="164" fontId="23" fillId="0" borderId="0" xfId="0" applyFont="true" applyBorder="false" applyAlignment="true" applyProtection="false">
      <alignment horizontal="general" vertical="top" textRotation="0" wrapText="false" indent="0" shrinkToFit="false"/>
      <protection locked="true" hidden="false"/>
    </xf>
    <xf numFmtId="164" fontId="24" fillId="0" borderId="0" xfId="0" applyFont="true" applyBorder="fals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6" fontId="8" fillId="0" borderId="1" xfId="0" applyFont="true" applyBorder="true" applyAlignment="true" applyProtection="false">
      <alignment horizontal="right" vertical="top" textRotation="0" wrapText="fals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22" fillId="0" borderId="1" xfId="0" applyFont="true" applyBorder="true" applyAlignment="true" applyProtection="false">
      <alignment horizontal="general" vertical="top" textRotation="0" wrapText="true" indent="0" shrinkToFit="false"/>
      <protection locked="true" hidden="false"/>
    </xf>
    <xf numFmtId="164" fontId="23" fillId="0" borderId="1" xfId="0" applyFont="true" applyBorder="true" applyAlignment="true" applyProtection="false">
      <alignment horizontal="general" vertical="top" textRotation="0" wrapText="false" indent="0" shrinkToFit="false"/>
      <protection locked="true" hidden="false"/>
    </xf>
    <xf numFmtId="164" fontId="24" fillId="0" borderId="1" xfId="0" applyFont="true" applyBorder="true" applyAlignment="true" applyProtection="false">
      <alignment horizontal="center" vertical="top" textRotation="0" wrapText="false" indent="0" shrinkToFit="false"/>
      <protection locked="true" hidden="false"/>
    </xf>
    <xf numFmtId="165" fontId="14" fillId="0" borderId="1" xfId="0" applyFont="true" applyBorder="true" applyAlignment="true" applyProtection="false">
      <alignment horizontal="general" vertical="top" textRotation="0" wrapText="false" indent="0" shrinkToFit="false"/>
      <protection locked="true" hidden="false"/>
    </xf>
    <xf numFmtId="165" fontId="14" fillId="0" borderId="0" xfId="0" applyFont="true" applyBorder="false" applyAlignment="true" applyProtection="false">
      <alignment horizontal="general" vertical="top" textRotation="0" wrapText="false" indent="0" shrinkToFit="false"/>
      <protection locked="true" hidden="false"/>
    </xf>
    <xf numFmtId="164" fontId="25" fillId="0" borderId="0" xfId="0" applyFont="true" applyBorder="false" applyAlignment="true" applyProtection="false">
      <alignment horizontal="general" vertical="top" textRotation="0" wrapText="false" indent="2" shrinkToFit="false"/>
      <protection locked="true" hidden="false"/>
    </xf>
    <xf numFmtId="164" fontId="20" fillId="0" borderId="0" xfId="0" applyFont="true" applyBorder="fals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false" indent="0" shrinkToFit="false"/>
      <protection locked="true" hidden="false"/>
    </xf>
    <xf numFmtId="165" fontId="7" fillId="5" borderId="1" xfId="0" applyFont="true" applyBorder="true" applyAlignment="true" applyProtection="false">
      <alignment horizontal="general" vertical="top" textRotation="0" wrapText="false" indent="0" shrinkToFit="false"/>
      <protection locked="true" hidden="false"/>
    </xf>
    <xf numFmtId="166" fontId="8" fillId="5" borderId="1" xfId="0" applyFont="true" applyBorder="true" applyAlignment="true" applyProtection="false">
      <alignment horizontal="right" vertical="top" textRotation="0" wrapText="false" indent="0" shrinkToFit="false"/>
      <protection locked="true" hidden="false"/>
    </xf>
    <xf numFmtId="164" fontId="8" fillId="5" borderId="1" xfId="0" applyFont="true" applyBorder="true" applyAlignment="true" applyProtection="false">
      <alignment horizontal="center" vertical="top" textRotation="0" wrapText="fals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22" fillId="5" borderId="1" xfId="0" applyFont="true" applyBorder="true" applyAlignment="true" applyProtection="false">
      <alignment horizontal="general" vertical="top" textRotation="0" wrapText="true" indent="0" shrinkToFit="false"/>
      <protection locked="true" hidden="false"/>
    </xf>
    <xf numFmtId="164" fontId="23" fillId="5" borderId="1" xfId="0" applyFont="true" applyBorder="true" applyAlignment="true" applyProtection="false">
      <alignment horizontal="general" vertical="top" textRotation="0" wrapText="false" indent="0" shrinkToFit="false"/>
      <protection locked="true" hidden="false"/>
    </xf>
    <xf numFmtId="164" fontId="24" fillId="5" borderId="1" xfId="0" applyFont="true" applyBorder="true" applyAlignment="true" applyProtection="false">
      <alignment horizontal="center" vertical="top" textRotation="0" wrapText="false" indent="0" shrinkToFit="false"/>
      <protection locked="true" hidden="false"/>
    </xf>
    <xf numFmtId="165" fontId="14" fillId="5" borderId="1" xfId="0" applyFont="true" applyBorder="true" applyAlignment="true" applyProtection="false">
      <alignment horizontal="general" vertical="top" textRotation="0" wrapText="false" indent="0" shrinkToFit="false"/>
      <protection locked="true" hidden="false"/>
    </xf>
    <xf numFmtId="164" fontId="14" fillId="4" borderId="0" xfId="0" applyFont="true" applyBorder="false" applyAlignment="true" applyProtection="false">
      <alignment horizontal="general" vertical="top"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top" textRotation="0" wrapText="false" indent="0" shrinkToFit="false"/>
      <protection locked="true" hidden="false"/>
    </xf>
    <xf numFmtId="164" fontId="14" fillId="3" borderId="0" xfId="0" applyFont="true" applyBorder="false" applyAlignment="true" applyProtection="false">
      <alignment horizontal="right" vertical="top" textRotation="0" wrapText="false" indent="0" shrinkToFit="false"/>
      <protection locked="true" hidden="false"/>
    </xf>
    <xf numFmtId="164" fontId="21" fillId="3" borderId="0" xfId="0" applyFont="true" applyBorder="false" applyAlignment="true" applyProtection="false">
      <alignment horizontal="right" vertical="top" textRotation="0" wrapText="true" indent="0" shrinkToFit="false"/>
      <protection locked="true" hidden="false"/>
    </xf>
    <xf numFmtId="164" fontId="27" fillId="0" borderId="0" xfId="0" applyFont="true" applyBorder="false" applyAlignment="true" applyProtection="false">
      <alignment horizontal="general" vertical="top" textRotation="0" wrapText="true" indent="0" shrinkToFit="false"/>
      <protection locked="true" hidden="false"/>
    </xf>
    <xf numFmtId="164" fontId="27" fillId="0" borderId="0" xfId="0" applyFont="true" applyBorder="false" applyAlignment="true" applyProtection="false">
      <alignment horizontal="general" vertical="top" textRotation="0" wrapText="false" indent="0" shrinkToFit="false"/>
      <protection locked="true" hidden="false"/>
    </xf>
    <xf numFmtId="164" fontId="19" fillId="0" borderId="0" xfId="0" applyFont="true" applyBorder="false" applyAlignment="true" applyProtection="false">
      <alignment horizontal="right" vertical="top" textRotation="0" wrapText="false" indent="0" shrinkToFit="false"/>
      <protection locked="true" hidden="false"/>
    </xf>
    <xf numFmtId="164" fontId="28" fillId="0" borderId="0" xfId="0" applyFont="true" applyBorder="false" applyAlignment="true" applyProtection="false">
      <alignment horizontal="general" vertical="top" textRotation="0" wrapText="false" indent="0" shrinkToFit="false"/>
      <protection locked="true" hidden="false"/>
    </xf>
    <xf numFmtId="165" fontId="20" fillId="0" borderId="0" xfId="0" applyFont="true" applyBorder="false" applyAlignment="true" applyProtection="false">
      <alignment horizontal="general" vertical="top" textRotation="0" wrapText="false" indent="0" shrinkToFit="false"/>
      <protection locked="true" hidden="false"/>
    </xf>
    <xf numFmtId="165" fontId="7" fillId="3" borderId="0" xfId="0" applyFont="true" applyBorder="false" applyAlignment="true" applyProtection="false">
      <alignment horizontal="general" vertical="top" textRotation="0" wrapText="false" indent="0" shrinkToFit="false"/>
      <protection locked="true" hidden="false"/>
    </xf>
    <xf numFmtId="168" fontId="19" fillId="6" borderId="0" xfId="0" applyFont="true" applyBorder="false" applyAlignment="true" applyProtection="false">
      <alignment horizontal="general" vertical="top" textRotation="0" wrapText="false" indent="0" shrinkToFit="false"/>
      <protection locked="true" hidden="false"/>
    </xf>
    <xf numFmtId="169" fontId="8" fillId="0" borderId="0" xfId="0" applyFont="true" applyBorder="false" applyAlignment="true" applyProtection="false">
      <alignment horizontal="general" vertical="top" textRotation="0" wrapText="false" indent="0" shrinkToFit="false"/>
      <protection locked="true" hidden="false"/>
    </xf>
    <xf numFmtId="170" fontId="7" fillId="0" borderId="0" xfId="0" applyFont="true" applyBorder="false" applyAlignment="true" applyProtection="false">
      <alignment horizontal="general" vertical="top" textRotation="0" wrapText="false" indent="0" shrinkToFit="false"/>
      <protection locked="true" hidden="false"/>
    </xf>
    <xf numFmtId="170" fontId="8"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center" vertical="top" textRotation="0" wrapText="true" indent="0" shrinkToFit="false"/>
      <protection locked="true" hidden="false"/>
    </xf>
    <xf numFmtId="164" fontId="20" fillId="0" borderId="0" xfId="0" applyFont="true" applyBorder="false" applyAlignment="true" applyProtection="false">
      <alignment horizontal="center" vertical="top" textRotation="0" wrapText="false" indent="0" shrinkToFit="false"/>
      <protection locked="true" hidden="false"/>
    </xf>
    <xf numFmtId="164" fontId="29" fillId="0" borderId="0" xfId="0" applyFont="true" applyBorder="false" applyAlignment="true" applyProtection="false">
      <alignment horizontal="general" vertical="top" textRotation="0" wrapText="false" indent="0" shrinkToFit="false"/>
      <protection locked="true" hidden="false"/>
    </xf>
    <xf numFmtId="164" fontId="30" fillId="0" borderId="0" xfId="0" applyFont="true" applyBorder="false" applyAlignment="true" applyProtection="false">
      <alignment horizontal="general" vertical="top" textRotation="0" wrapText="false" indent="0" shrinkToFit="false"/>
      <protection locked="true" hidden="false"/>
    </xf>
    <xf numFmtId="171" fontId="19"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0E5A5F"/>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AF9F6"/>
      <rgbColor rgb="FFE6EFEF"/>
      <rgbColor rgb="FF660066"/>
      <rgbColor rgb="FFFF8080"/>
      <rgbColor rgb="FF0066CC"/>
      <rgbColor rgb="FFD9D6CE"/>
      <rgbColor rgb="FF000080"/>
      <rgbColor rgb="FFFF00FF"/>
      <rgbColor rgb="FFFFFF00"/>
      <rgbColor rgb="FF00FFFF"/>
      <rgbColor rgb="FF800080"/>
      <rgbColor rgb="FF800000"/>
      <rgbColor rgb="FF008080"/>
      <rgbColor rgb="FF0000FF"/>
      <rgbColor rgb="FF00CCFF"/>
      <rgbColor rgb="FFF2F1EC"/>
      <rgbColor rgb="FFCCFFCC"/>
      <rgbColor rgb="FFFFFF99"/>
      <rgbColor rgb="FF99CCFF"/>
      <rgbColor rgb="FFFF99CC"/>
      <rgbColor rgb="FFCC99FF"/>
      <rgbColor rgb="FFFFCC99"/>
      <rgbColor rgb="FF3366FF"/>
      <rgbColor rgb="FF33CCCC"/>
      <rgbColor rgb="FF99CC00"/>
      <rgbColor rgb="FFFFCC00"/>
      <rgbColor rgb="FFFF9900"/>
      <rgbColor rgb="FFFF6600"/>
      <rgbColor rgb="FF5F6469"/>
      <rgbColor rgb="FF969696"/>
      <rgbColor rgb="FF0E5A5F"/>
      <rgbColor rgb="FF339966"/>
      <rgbColor rgb="FF003300"/>
      <rgbColor rgb="FF333300"/>
      <rgbColor rgb="FF6E4700"/>
      <rgbColor rgb="FF993366"/>
      <rgbColor rgb="FF333399"/>
      <rgbColor rgb="FF2B2F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SMPL_MDA_Variance_Commentary_Aug2026.xlsx" TargetMode="External"/><Relationship Id="rId2" Type="http://schemas.openxmlformats.org/officeDocument/2006/relationships/hyperlink" Target="SMPL_MDA_Variance_Commentary_Aug2026.xlsx" TargetMode="External"/><Relationship Id="rId3" Type="http://schemas.openxmlformats.org/officeDocument/2006/relationships/hyperlink" Target="SMPL_MDA_Variance_Commentary_Aug2026.xlsx" TargetMode="External"/><Relationship Id="rId4" Type="http://schemas.openxmlformats.org/officeDocument/2006/relationships/hyperlink" Target="SMPL_MDA_Variance_Commentary_Aug2026.xlsx" TargetMode="External"/><Relationship Id="rId5" Type="http://schemas.openxmlformats.org/officeDocument/2006/relationships/hyperlink" Target="SMPL_MDA_Variance_Commentary_Aug2026.xlsx" TargetMode="External"/><Relationship Id="rId6" Type="http://schemas.openxmlformats.org/officeDocument/2006/relationships/hyperlink" Target="SMPL_MDA_Variance_Commentary_Aug2026.xlsx" TargetMode="External"/><Relationship Id="rId7" Type="http://schemas.openxmlformats.org/officeDocument/2006/relationships/hyperlink" Target="SMPL_MDA_Variance_Commentary_Aug2026.xlsx" TargetMode="External"/><Relationship Id="rId8" Type="http://schemas.openxmlformats.org/officeDocument/2006/relationships/hyperlink" Target="SMPL_MDA_Variance_Commentary_Aug2026.xlsx" TargetMode="External"/><Relationship Id="rId9" Type="http://schemas.openxmlformats.org/officeDocument/2006/relationships/hyperlink" Target="SMPL_MDA_Variance_Commentary_Aug2026.xlsx" TargetMode="External"/><Relationship Id="rId10" Type="http://schemas.openxmlformats.org/officeDocument/2006/relationships/hyperlink" Target="SMPL_MDA_Variance_Commentary_Aug2026.xlsx" TargetMode="External"/><Relationship Id="rId11" Type="http://schemas.openxmlformats.org/officeDocument/2006/relationships/hyperlink" Target="SMPL_MDA_Variance_Commentary_Aug2026.xlsx" TargetMode="External"/><Relationship Id="rId12" Type="http://schemas.openxmlformats.org/officeDocument/2006/relationships/hyperlink" Target="SMPL_MDA_Variance_Commentary_Aug2026.xlsx" TargetMode="External"/><Relationship Id="rId13" Type="http://schemas.openxmlformats.org/officeDocument/2006/relationships/hyperlink" Target="SMPL_MDA_Variance_Commentary_Aug2026.xlsx" TargetMode="External"/><Relationship Id="rId14" Type="http://schemas.openxmlformats.org/officeDocument/2006/relationships/hyperlink" Target="SMPL_MDA_Variance_Commentary_Aug2026.xlsx" TargetMode="External"/><Relationship Id="rId15" Type="http://schemas.openxmlformats.org/officeDocument/2006/relationships/hyperlink" Target="SMPL_MDA_Variance_Commentary_Aug2026.xlsx" TargetMode="External"/><Relationship Id="rId16" Type="http://schemas.openxmlformats.org/officeDocument/2006/relationships/hyperlink" Target="SMPL_MDA_Variance_Commentary_Aug2026.xlsx" TargetMode="External"/><Relationship Id="rId17" Type="http://schemas.openxmlformats.org/officeDocument/2006/relationships/hyperlink" Target="SMPL_MDA_Variance_Commentary_Aug2026.xlsx" TargetMode="External"/><Relationship Id="rId18" Type="http://schemas.openxmlformats.org/officeDocument/2006/relationships/hyperlink" Target="SMPL_MDA_Variance_Commentary_Aug2026.xlsx" TargetMode="External"/><Relationship Id="rId19" Type="http://schemas.openxmlformats.org/officeDocument/2006/relationships/hyperlink" Target="SMPL_MDA_Variance_Commentary_Aug2026.xlsx" TargetMode="External"/><Relationship Id="rId20" Type="http://schemas.openxmlformats.org/officeDocument/2006/relationships/hyperlink" Target="SMPL_MDA_Variance_Commentary_Aug2026.xlsx" TargetMode="External"/><Relationship Id="rId21" Type="http://schemas.openxmlformats.org/officeDocument/2006/relationships/hyperlink" Target="SMPL_MDA_Variance_Commentary_Aug2026.xlsx" TargetMode="External"/><Relationship Id="rId22" Type="http://schemas.openxmlformats.org/officeDocument/2006/relationships/hyperlink" Target="SMPL_MDA_Variance_Commentary_Aug2026.xlsx" TargetMode="External"/>
</Relationships>
</file>

<file path=xl/worksheets/_rels/sheet15.xml.rels><?xml version="1.0" encoding="UTF-8"?>
<Relationships xmlns="http://schemas.openxmlformats.org/package/2006/relationships"><Relationship Id="rId1" Type="http://schemas.openxmlformats.org/officeDocument/2006/relationships/drawing" Target="../drawings/drawing1.xml"/>
</Relationships>
</file>

<file path=xl/worksheets/_rels/sheet16.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E5A5F"/>
    <pageSetUpPr fitToPage="false"/>
  </sheetPr>
  <dimension ref="A1:H4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34"/>
    <col collapsed="false" customWidth="true" hidden="false" outlineLevel="0" max="8" min="3" style="0" width="16"/>
  </cols>
  <sheetData>
    <row r="1" customFormat="false" ht="22.05" hidden="false" customHeight="false" outlineLevel="0" collapsed="false">
      <c r="A1" s="1" t="s">
        <v>0</v>
      </c>
    </row>
    <row r="2" customFormat="false" ht="15" hidden="false" customHeight="false" outlineLevel="0" collapsed="false">
      <c r="A2" s="2" t="s">
        <v>1</v>
      </c>
    </row>
    <row r="4" customFormat="false" ht="18" hidden="false" customHeight="true" outlineLevel="0" collapsed="false">
      <c r="A4" s="3" t="s">
        <v>2</v>
      </c>
      <c r="B4" s="4"/>
      <c r="C4" s="4"/>
      <c r="D4" s="4"/>
      <c r="E4" s="4"/>
      <c r="F4" s="4"/>
      <c r="G4" s="4"/>
      <c r="H4" s="4"/>
    </row>
    <row r="5" customFormat="false" ht="15" hidden="false" customHeight="false" outlineLevel="0" collapsed="false">
      <c r="A5" s="5" t="s">
        <v>3</v>
      </c>
      <c r="B5" s="6" t="s">
        <v>4</v>
      </c>
    </row>
    <row r="6" customFormat="false" ht="15" hidden="false" customHeight="true" outlineLevel="0" collapsed="false">
      <c r="A6" s="5" t="s">
        <v>5</v>
      </c>
      <c r="B6" s="7" t="s">
        <v>6</v>
      </c>
      <c r="C6" s="7"/>
      <c r="D6" s="7"/>
      <c r="E6" s="7"/>
      <c r="F6" s="7"/>
      <c r="G6" s="7"/>
      <c r="H6" s="7"/>
    </row>
    <row r="7" customFormat="false" ht="15" hidden="false" customHeight="false" outlineLevel="0" collapsed="false">
      <c r="A7" s="5" t="s">
        <v>7</v>
      </c>
      <c r="B7" s="6" t="s">
        <v>8</v>
      </c>
    </row>
    <row r="8" customFormat="false" ht="15" hidden="false" customHeight="false" outlineLevel="0" collapsed="false">
      <c r="A8" s="5" t="s">
        <v>9</v>
      </c>
      <c r="B8" s="6" t="s">
        <v>10</v>
      </c>
    </row>
    <row r="9" customFormat="false" ht="15" hidden="false" customHeight="true" outlineLevel="0" collapsed="false">
      <c r="A9" s="5" t="s">
        <v>11</v>
      </c>
      <c r="B9" s="7" t="s">
        <v>12</v>
      </c>
      <c r="C9" s="7"/>
      <c r="D9" s="7"/>
      <c r="E9" s="7"/>
      <c r="F9" s="7"/>
      <c r="G9" s="7"/>
      <c r="H9" s="7"/>
    </row>
    <row r="10" customFormat="false" ht="15" hidden="false" customHeight="false" outlineLevel="0" collapsed="false">
      <c r="A10" s="5" t="s">
        <v>13</v>
      </c>
      <c r="B10" s="8" t="str">
        <f aca="false">'Tie-outs'!B28</f>
        <v>✓ All pass</v>
      </c>
    </row>
    <row r="11" customFormat="false" ht="15" hidden="false" customHeight="true" outlineLevel="0" collapsed="false">
      <c r="A11" s="5" t="s">
        <v>14</v>
      </c>
      <c r="B11" s="7" t="s">
        <v>15</v>
      </c>
      <c r="C11" s="7"/>
      <c r="D11" s="7"/>
      <c r="E11" s="7"/>
      <c r="F11" s="7"/>
      <c r="G11" s="7"/>
      <c r="H11" s="7"/>
    </row>
    <row r="12" customFormat="false" ht="15" hidden="false" customHeight="true" outlineLevel="0" collapsed="false">
      <c r="A12" s="5" t="s">
        <v>16</v>
      </c>
      <c r="B12" s="7" t="s">
        <v>17</v>
      </c>
      <c r="C12" s="7"/>
      <c r="D12" s="7"/>
      <c r="E12" s="7"/>
      <c r="F12" s="7"/>
      <c r="G12" s="7"/>
      <c r="H12" s="7"/>
    </row>
    <row r="14" customFormat="false" ht="18" hidden="false" customHeight="true" outlineLevel="0" collapsed="false">
      <c r="A14" s="3" t="s">
        <v>18</v>
      </c>
      <c r="B14" s="4"/>
      <c r="C14" s="4"/>
      <c r="D14" s="4"/>
      <c r="E14" s="4"/>
      <c r="F14" s="4"/>
      <c r="G14" s="4"/>
      <c r="H14" s="4"/>
    </row>
    <row r="15" customFormat="false" ht="15" hidden="false" customHeight="false" outlineLevel="0" collapsed="false">
      <c r="A15" s="9" t="s">
        <v>19</v>
      </c>
      <c r="B15" s="9" t="s">
        <v>20</v>
      </c>
      <c r="C15" s="9" t="s">
        <v>5</v>
      </c>
      <c r="D15" s="9" t="s">
        <v>21</v>
      </c>
      <c r="E15" s="9" t="s">
        <v>22</v>
      </c>
      <c r="F15" s="9" t="s">
        <v>23</v>
      </c>
      <c r="G15" s="9" t="s">
        <v>24</v>
      </c>
      <c r="H15" s="9" t="s">
        <v>13</v>
      </c>
    </row>
    <row r="16" customFormat="false" ht="15" hidden="false" customHeight="false" outlineLevel="0" collapsed="false">
      <c r="A16" s="10" t="s">
        <v>25</v>
      </c>
      <c r="B16" s="6" t="s">
        <v>26</v>
      </c>
      <c r="C16" s="8" t="s">
        <v>22</v>
      </c>
      <c r="D16" s="11" t="s">
        <v>27</v>
      </c>
      <c r="E16" s="11" t="s">
        <v>28</v>
      </c>
      <c r="F16" s="12" t="n">
        <v>87</v>
      </c>
      <c r="G16" s="12" t="n">
        <v>87</v>
      </c>
      <c r="H16" s="13" t="str">
        <f aca="false">IF(COUNTIF('Tie-outs'!B6:B40,"✗")=0,"✓","✗")</f>
        <v>✓</v>
      </c>
    </row>
    <row r="17" customFormat="false" ht="23.85" hidden="false" customHeight="false" outlineLevel="0" collapsed="false">
      <c r="A17" s="10" t="s">
        <v>29</v>
      </c>
      <c r="B17" s="6" t="s">
        <v>30</v>
      </c>
      <c r="C17" s="8" t="s">
        <v>22</v>
      </c>
      <c r="D17" s="11" t="s">
        <v>27</v>
      </c>
      <c r="E17" s="11" t="s">
        <v>28</v>
      </c>
      <c r="F17" s="12" t="n">
        <v>97</v>
      </c>
      <c r="G17" s="12" t="n">
        <v>97</v>
      </c>
      <c r="H17" s="13" t="str">
        <f aca="false">IF(COUNTIF('Tie-outs'!C6:C40,"✗")=0,"✓","✗")</f>
        <v>✓</v>
      </c>
    </row>
    <row r="18" customFormat="false" ht="15" hidden="false" customHeight="false" outlineLevel="0" collapsed="false">
      <c r="A18" s="10" t="s">
        <v>31</v>
      </c>
      <c r="B18" s="6" t="s">
        <v>32</v>
      </c>
      <c r="C18" s="8" t="s">
        <v>22</v>
      </c>
      <c r="D18" s="11" t="s">
        <v>27</v>
      </c>
      <c r="E18" s="11" t="s">
        <v>28</v>
      </c>
      <c r="F18" s="12" t="n">
        <v>134</v>
      </c>
      <c r="G18" s="12" t="n">
        <v>134</v>
      </c>
      <c r="H18" s="13" t="str">
        <f aca="false">IF(COUNTIF('Tie-outs'!D6:D40,"✗")=0,"✓","✗")</f>
        <v>✓</v>
      </c>
    </row>
    <row r="19" customFormat="false" ht="15" hidden="false" customHeight="false" outlineLevel="0" collapsed="false">
      <c r="A19" s="10" t="s">
        <v>33</v>
      </c>
      <c r="B19" s="6" t="s">
        <v>34</v>
      </c>
      <c r="C19" s="8" t="s">
        <v>22</v>
      </c>
      <c r="D19" s="11" t="s">
        <v>27</v>
      </c>
      <c r="E19" s="11" t="s">
        <v>28</v>
      </c>
      <c r="F19" s="12" t="n">
        <v>148</v>
      </c>
      <c r="G19" s="12" t="n">
        <v>148</v>
      </c>
      <c r="H19" s="13" t="str">
        <f aca="false">IF(COUNTIF('Tie-outs'!E6:E40,"✗")=0,"✓","✗")</f>
        <v>✓</v>
      </c>
    </row>
    <row r="20" customFormat="false" ht="15" hidden="false" customHeight="false" outlineLevel="0" collapsed="false">
      <c r="A20" s="10" t="s">
        <v>35</v>
      </c>
      <c r="B20" s="6" t="s">
        <v>36</v>
      </c>
      <c r="C20" s="8" t="s">
        <v>22</v>
      </c>
      <c r="D20" s="11" t="s">
        <v>27</v>
      </c>
      <c r="E20" s="11" t="s">
        <v>28</v>
      </c>
      <c r="F20" s="12" t="n">
        <v>57</v>
      </c>
      <c r="G20" s="12" t="n">
        <v>57</v>
      </c>
      <c r="H20" s="13" t="str">
        <f aca="false">IF(COUNTIF('Tie-outs'!F6:F40,"✗")=0,"✓","✗")</f>
        <v>✓</v>
      </c>
    </row>
    <row r="21" customFormat="false" ht="15" hidden="false" customHeight="false" outlineLevel="0" collapsed="false">
      <c r="A21" s="10" t="s">
        <v>37</v>
      </c>
      <c r="B21" s="6" t="s">
        <v>38</v>
      </c>
      <c r="C21" s="8" t="s">
        <v>22</v>
      </c>
      <c r="D21" s="11" t="s">
        <v>27</v>
      </c>
      <c r="E21" s="11" t="s">
        <v>28</v>
      </c>
      <c r="F21" s="12" t="n">
        <v>76</v>
      </c>
      <c r="G21" s="12" t="n">
        <v>76</v>
      </c>
      <c r="H21" s="13" t="str">
        <f aca="false">IF(COUNTIF('Tie-outs'!G6:G40,"✗")=0,"✓","✗")</f>
        <v>✓</v>
      </c>
    </row>
    <row r="22" customFormat="false" ht="15" hidden="false" customHeight="false" outlineLevel="0" collapsed="false">
      <c r="A22" s="10" t="s">
        <v>39</v>
      </c>
      <c r="B22" s="6" t="s">
        <v>40</v>
      </c>
      <c r="C22" s="8" t="s">
        <v>22</v>
      </c>
      <c r="D22" s="11" t="s">
        <v>27</v>
      </c>
      <c r="E22" s="11" t="s">
        <v>28</v>
      </c>
      <c r="F22" s="12" t="n">
        <v>40</v>
      </c>
      <c r="G22" s="12" t="n">
        <v>40</v>
      </c>
      <c r="H22" s="13" t="str">
        <f aca="false">IF(COUNTIF('Tie-outs'!H6:H40,"✗")=0,"✓","✗")</f>
        <v>✓</v>
      </c>
    </row>
    <row r="24" customFormat="false" ht="18" hidden="false" customHeight="true" outlineLevel="0" collapsed="false">
      <c r="A24" s="3" t="s">
        <v>41</v>
      </c>
      <c r="B24" s="4"/>
      <c r="C24" s="4"/>
      <c r="D24" s="4"/>
      <c r="E24" s="4"/>
      <c r="F24" s="4"/>
      <c r="G24" s="4"/>
      <c r="H24" s="4"/>
    </row>
    <row r="25" customFormat="false" ht="15" hidden="false" customHeight="false" outlineLevel="0" collapsed="false">
      <c r="A25" s="10" t="s">
        <v>42</v>
      </c>
      <c r="B25" s="14" t="s">
        <v>43</v>
      </c>
      <c r="C25" s="14"/>
      <c r="D25" s="14"/>
      <c r="E25" s="14"/>
      <c r="F25" s="14"/>
      <c r="G25" s="14"/>
      <c r="H25" s="14"/>
    </row>
    <row r="26" customFormat="false" ht="15" hidden="false" customHeight="false" outlineLevel="0" collapsed="false">
      <c r="A26" s="10" t="s">
        <v>44</v>
      </c>
      <c r="B26" s="14" t="s">
        <v>45</v>
      </c>
      <c r="C26" s="14"/>
      <c r="D26" s="14"/>
      <c r="E26" s="14"/>
      <c r="F26" s="14"/>
      <c r="G26" s="14"/>
      <c r="H26" s="14"/>
    </row>
    <row r="27" customFormat="false" ht="15" hidden="false" customHeight="false" outlineLevel="0" collapsed="false">
      <c r="A27" s="10" t="s">
        <v>46</v>
      </c>
      <c r="B27" s="14" t="s">
        <v>47</v>
      </c>
      <c r="C27" s="14"/>
      <c r="D27" s="14"/>
      <c r="E27" s="14"/>
      <c r="F27" s="14"/>
      <c r="G27" s="14"/>
      <c r="H27" s="14"/>
    </row>
    <row r="28" customFormat="false" ht="15" hidden="false" customHeight="false" outlineLevel="0" collapsed="false">
      <c r="A28" s="10" t="s">
        <v>25</v>
      </c>
      <c r="B28" s="14" t="s">
        <v>48</v>
      </c>
      <c r="C28" s="14"/>
      <c r="D28" s="14"/>
      <c r="E28" s="14"/>
      <c r="F28" s="14"/>
      <c r="G28" s="14"/>
      <c r="H28" s="14"/>
    </row>
    <row r="29" customFormat="false" ht="15" hidden="false" customHeight="false" outlineLevel="0" collapsed="false">
      <c r="A29" s="10" t="s">
        <v>29</v>
      </c>
      <c r="B29" s="14" t="s">
        <v>49</v>
      </c>
      <c r="C29" s="14"/>
      <c r="D29" s="14"/>
      <c r="E29" s="14"/>
      <c r="F29" s="14"/>
      <c r="G29" s="14"/>
      <c r="H29" s="14"/>
    </row>
    <row r="30" customFormat="false" ht="15" hidden="false" customHeight="false" outlineLevel="0" collapsed="false">
      <c r="A30" s="10" t="s">
        <v>31</v>
      </c>
      <c r="B30" s="14" t="s">
        <v>50</v>
      </c>
      <c r="C30" s="14"/>
      <c r="D30" s="14"/>
      <c r="E30" s="14"/>
      <c r="F30" s="14"/>
      <c r="G30" s="14"/>
      <c r="H30" s="14"/>
    </row>
    <row r="31" customFormat="false" ht="15" hidden="false" customHeight="false" outlineLevel="0" collapsed="false">
      <c r="A31" s="10" t="s">
        <v>33</v>
      </c>
      <c r="B31" s="14" t="s">
        <v>51</v>
      </c>
      <c r="C31" s="14"/>
      <c r="D31" s="14"/>
      <c r="E31" s="14"/>
      <c r="F31" s="14"/>
      <c r="G31" s="14"/>
      <c r="H31" s="14"/>
    </row>
    <row r="32" customFormat="false" ht="15" hidden="false" customHeight="false" outlineLevel="0" collapsed="false">
      <c r="A32" s="10" t="s">
        <v>35</v>
      </c>
      <c r="B32" s="14" t="s">
        <v>52</v>
      </c>
      <c r="C32" s="14"/>
      <c r="D32" s="14"/>
      <c r="E32" s="14"/>
      <c r="F32" s="14"/>
      <c r="G32" s="14"/>
      <c r="H32" s="14"/>
    </row>
    <row r="33" customFormat="false" ht="15" hidden="false" customHeight="false" outlineLevel="0" collapsed="false">
      <c r="A33" s="10" t="s">
        <v>37</v>
      </c>
      <c r="B33" s="14" t="s">
        <v>53</v>
      </c>
      <c r="C33" s="14"/>
      <c r="D33" s="14"/>
      <c r="E33" s="14"/>
      <c r="F33" s="14"/>
      <c r="G33" s="14"/>
      <c r="H33" s="14"/>
    </row>
    <row r="34" customFormat="false" ht="15" hidden="false" customHeight="false" outlineLevel="0" collapsed="false">
      <c r="A34" s="10" t="s">
        <v>39</v>
      </c>
      <c r="B34" s="14" t="s">
        <v>54</v>
      </c>
      <c r="C34" s="14"/>
      <c r="D34" s="14"/>
      <c r="E34" s="14"/>
      <c r="F34" s="14"/>
      <c r="G34" s="14"/>
      <c r="H34" s="14"/>
    </row>
    <row r="35" customFormat="false" ht="15" hidden="false" customHeight="false" outlineLevel="0" collapsed="false">
      <c r="A35" s="10" t="s">
        <v>55</v>
      </c>
      <c r="B35" s="14" t="s">
        <v>56</v>
      </c>
      <c r="C35" s="14"/>
      <c r="D35" s="14"/>
      <c r="E35" s="14"/>
      <c r="F35" s="14"/>
      <c r="G35" s="14"/>
      <c r="H35" s="14"/>
    </row>
    <row r="36" customFormat="false" ht="15" hidden="false" customHeight="false" outlineLevel="0" collapsed="false">
      <c r="A36" s="10" t="s">
        <v>57</v>
      </c>
      <c r="B36" s="14" t="s">
        <v>58</v>
      </c>
      <c r="C36" s="14"/>
      <c r="D36" s="14"/>
      <c r="E36" s="14"/>
      <c r="F36" s="14"/>
      <c r="G36" s="14"/>
      <c r="H36" s="14"/>
    </row>
    <row r="37" customFormat="false" ht="15" hidden="false" customHeight="false" outlineLevel="0" collapsed="false">
      <c r="A37" s="10" t="s">
        <v>13</v>
      </c>
      <c r="B37" s="14" t="s">
        <v>59</v>
      </c>
      <c r="C37" s="14"/>
      <c r="D37" s="14"/>
      <c r="E37" s="14"/>
      <c r="F37" s="14"/>
      <c r="G37" s="14"/>
      <c r="H37" s="14"/>
    </row>
    <row r="38" customFormat="false" ht="15" hidden="false" customHeight="false" outlineLevel="0" collapsed="false">
      <c r="A38" s="10" t="s">
        <v>60</v>
      </c>
      <c r="B38" s="14" t="s">
        <v>61</v>
      </c>
      <c r="C38" s="14"/>
      <c r="D38" s="14"/>
      <c r="E38" s="14"/>
      <c r="F38" s="14"/>
      <c r="G38" s="14"/>
      <c r="H38" s="14"/>
    </row>
    <row r="39" customFormat="false" ht="15" hidden="false" customHeight="false" outlineLevel="0" collapsed="false">
      <c r="A39" s="10" t="s">
        <v>62</v>
      </c>
      <c r="B39" s="14" t="s">
        <v>63</v>
      </c>
      <c r="C39" s="14"/>
      <c r="D39" s="14"/>
      <c r="E39" s="14"/>
      <c r="F39" s="14"/>
      <c r="G39" s="14"/>
      <c r="H39" s="14"/>
    </row>
    <row r="41" customFormat="false" ht="18" hidden="false" customHeight="true" outlineLevel="0" collapsed="false">
      <c r="A41" s="3" t="s">
        <v>64</v>
      </c>
      <c r="B41" s="4"/>
      <c r="C41" s="4"/>
      <c r="D41" s="4"/>
      <c r="E41" s="4"/>
      <c r="F41" s="4"/>
      <c r="G41" s="4"/>
      <c r="H41" s="4"/>
    </row>
    <row r="42" customFormat="false" ht="15" hidden="false" customHeight="true" outlineLevel="0" collapsed="false">
      <c r="A42" s="15" t="s">
        <v>65</v>
      </c>
      <c r="B42" s="7" t="s">
        <v>66</v>
      </c>
      <c r="C42" s="7"/>
      <c r="D42" s="7"/>
      <c r="E42" s="7"/>
      <c r="F42" s="7"/>
      <c r="G42" s="7"/>
      <c r="H42" s="7"/>
    </row>
    <row r="43" customFormat="false" ht="15" hidden="false" customHeight="true" outlineLevel="0" collapsed="false">
      <c r="A43" s="5" t="s">
        <v>67</v>
      </c>
      <c r="B43" s="7" t="s">
        <v>68</v>
      </c>
      <c r="C43" s="7"/>
      <c r="D43" s="7"/>
      <c r="E43" s="7"/>
      <c r="F43" s="7"/>
      <c r="G43" s="7"/>
      <c r="H43" s="7"/>
    </row>
    <row r="44" customFormat="false" ht="15" hidden="false" customHeight="true" outlineLevel="0" collapsed="false">
      <c r="A44" s="16" t="s">
        <v>69</v>
      </c>
      <c r="B44" s="7" t="s">
        <v>70</v>
      </c>
      <c r="C44" s="7"/>
      <c r="D44" s="7"/>
      <c r="E44" s="7"/>
      <c r="F44" s="7"/>
      <c r="G44" s="7"/>
      <c r="H44" s="7"/>
    </row>
    <row r="45" customFormat="false" ht="15" hidden="false" customHeight="true" outlineLevel="0" collapsed="false">
      <c r="A45" s="5" t="s">
        <v>71</v>
      </c>
      <c r="B45" s="7" t="s">
        <v>72</v>
      </c>
      <c r="C45" s="7"/>
      <c r="D45" s="7"/>
      <c r="E45" s="7"/>
      <c r="F45" s="7"/>
      <c r="G45" s="7"/>
      <c r="H45" s="7"/>
    </row>
    <row r="46" customFormat="false" ht="15" hidden="false" customHeight="true" outlineLevel="0" collapsed="false">
      <c r="A46" s="5" t="s">
        <v>73</v>
      </c>
      <c r="B46" s="7" t="s">
        <v>74</v>
      </c>
      <c r="C46" s="7"/>
      <c r="D46" s="7"/>
      <c r="E46" s="7"/>
      <c r="F46" s="7"/>
      <c r="G46" s="7"/>
      <c r="H46" s="7"/>
    </row>
    <row r="47" customFormat="false" ht="27.75" hidden="false" customHeight="true" outlineLevel="0" collapsed="false">
      <c r="A47" s="5" t="s">
        <v>75</v>
      </c>
      <c r="B47" s="7" t="s">
        <v>76</v>
      </c>
      <c r="C47" s="7"/>
      <c r="D47" s="7"/>
      <c r="E47" s="7"/>
      <c r="F47" s="7"/>
      <c r="G47" s="7"/>
      <c r="H47" s="7"/>
    </row>
    <row r="48" customFormat="false" ht="27.75" hidden="false" customHeight="true" outlineLevel="0" collapsed="false">
      <c r="A48" s="5" t="s">
        <v>77</v>
      </c>
      <c r="B48" s="7" t="s">
        <v>78</v>
      </c>
      <c r="C48" s="7"/>
      <c r="D48" s="7"/>
      <c r="E48" s="7"/>
      <c r="F48" s="7"/>
      <c r="G48" s="7"/>
      <c r="H48" s="7"/>
    </row>
  </sheetData>
  <mergeCells count="26">
    <mergeCell ref="B6:H6"/>
    <mergeCell ref="B9:H9"/>
    <mergeCell ref="B11:H11"/>
    <mergeCell ref="B12:H12"/>
    <mergeCell ref="B25:H25"/>
    <mergeCell ref="B26:H26"/>
    <mergeCell ref="B27:H27"/>
    <mergeCell ref="B28:H28"/>
    <mergeCell ref="B29:H29"/>
    <mergeCell ref="B30:H30"/>
    <mergeCell ref="B31:H31"/>
    <mergeCell ref="B32:H32"/>
    <mergeCell ref="B33:H33"/>
    <mergeCell ref="B34:H34"/>
    <mergeCell ref="B35:H35"/>
    <mergeCell ref="B36:H36"/>
    <mergeCell ref="B37:H37"/>
    <mergeCell ref="B38:H38"/>
    <mergeCell ref="B39:H39"/>
    <mergeCell ref="B42:H42"/>
    <mergeCell ref="B43:H43"/>
    <mergeCell ref="B44:H44"/>
    <mergeCell ref="B45:H45"/>
    <mergeCell ref="B46:H46"/>
    <mergeCell ref="B47:H47"/>
    <mergeCell ref="B48:H48"/>
  </mergeCells>
  <hyperlinks>
    <hyperlink ref="A16" r:id="rId1" location="'MoM'!A1" display="MoM"/>
    <hyperlink ref="A17" r:id="rId2" location="'QoQ'!A1" display="QoQ"/>
    <hyperlink ref="A18" r:id="rId3" location="'YoY'!A1" display="YoY"/>
    <hyperlink ref="A19" r:id="rId4" location="'YTD'!A1" display="YTD"/>
    <hyperlink ref="A20" r:id="rId5" location="'Budget%20M'!A1" display="Budget M"/>
    <hyperlink ref="A21" r:id="rId6" location="'Budget%20YTD'!A1" display="Budget YTD"/>
    <hyperlink ref="A22" r:id="rId7" location="'Forecast%20M'!A1" display="Forecast M"/>
    <hyperlink ref="A25" r:id="rId8" location="'Executive%20summary'!A1" display="Executive summary"/>
    <hyperlink ref="A26" r:id="rId9" location="'NI%20walk'!A1" display="NI walk"/>
    <hyperlink ref="A27" r:id="rId10" location="'Comparison%20matrix'!A1" display="Comparison matrix"/>
    <hyperlink ref="A28" r:id="rId11" location="'MoM'!A1" display="MoM"/>
    <hyperlink ref="A29" r:id="rId12" location="'QoQ'!A1" display="QoQ"/>
    <hyperlink ref="A30" r:id="rId13" location="'YoY'!A1" display="YoY"/>
    <hyperlink ref="A31" r:id="rId14" location="'YTD'!A1" display="YTD"/>
    <hyperlink ref="A32" r:id="rId15" location="'Budget%20M'!A1" display="Budget M"/>
    <hyperlink ref="A33" r:id="rId16" location="'Budget%20YTD'!A1" display="Budget YTD"/>
    <hyperlink ref="A34" r:id="rId17" location="'Forecast%20M'!A1" display="Forecast M"/>
    <hyperlink ref="A35" r:id="rId18" location="'Labor%20bridge'!A1" display="Labor bridge"/>
    <hyperlink ref="A36" r:id="rId19" location="'Watch%20list'!A1" display="Watch list"/>
    <hyperlink ref="A37" r:id="rId20" location="'Tie-outs'!A1" display="Tie-outs"/>
    <hyperlink ref="A38" r:id="rId21" location="'Line%20data'!A1" display="Line data"/>
    <hyperlink ref="A39" r:id="rId22" location="'Commentary%20drivers'!A1" display="Commentary driver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E5A5F"/>
    <pageSetUpPr fitToPage="true"/>
  </sheetPr>
  <dimension ref="A1:H1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4" min="2" style="0" width="14"/>
    <col collapsed="false" customWidth="true" hidden="false" outlineLevel="0" max="5" min="5" style="0" width="10"/>
    <col collapsed="false" customWidth="true" hidden="false" outlineLevel="0" max="6" min="6" style="0" width="8"/>
    <col collapsed="false" customWidth="true" hidden="false" outlineLevel="0" max="7" min="7" style="0" width="14"/>
    <col collapsed="false" customWidth="true" hidden="false" outlineLevel="0" max="8" min="8" style="0" width="30"/>
  </cols>
  <sheetData>
    <row r="1" customFormat="false" ht="17.35" hidden="false" customHeight="false" outlineLevel="0" collapsed="false">
      <c r="A1" s="17" t="s">
        <v>79</v>
      </c>
    </row>
    <row r="2" customFormat="false" ht="15" hidden="false" customHeight="false" outlineLevel="0" collapsed="false">
      <c r="A2" s="18" t="s">
        <v>80</v>
      </c>
    </row>
    <row r="3" customFormat="false" ht="15" hidden="false" customHeight="false" outlineLevel="0" collapsed="false">
      <c r="A3" s="18" t="s">
        <v>81</v>
      </c>
    </row>
    <row r="5" customFormat="false" ht="18" hidden="false" customHeight="true" outlineLevel="0" collapsed="false">
      <c r="A5" s="3" t="s">
        <v>82</v>
      </c>
      <c r="B5" s="4"/>
      <c r="C5" s="4"/>
      <c r="D5" s="4"/>
      <c r="E5" s="4"/>
      <c r="F5" s="19" t="s">
        <v>6</v>
      </c>
      <c r="G5" s="4"/>
      <c r="H5" s="4"/>
    </row>
    <row r="6" customFormat="false" ht="61.5" hidden="false" customHeight="true" outlineLevel="0" collapsed="false">
      <c r="A6" s="20" t="s">
        <v>83</v>
      </c>
      <c r="B6" s="20"/>
      <c r="C6" s="20"/>
      <c r="D6" s="20"/>
      <c r="E6" s="20"/>
      <c r="F6" s="20"/>
      <c r="G6" s="20"/>
      <c r="H6" s="20"/>
    </row>
    <row r="7" customFormat="false" ht="15" hidden="false" customHeight="false" outlineLevel="0" collapsed="false">
      <c r="A7" s="21" t="s">
        <v>84</v>
      </c>
    </row>
    <row r="9" customFormat="false" ht="15" hidden="false" customHeight="false" outlineLevel="0" collapsed="false">
      <c r="A9" s="22" t="s">
        <v>85</v>
      </c>
      <c r="B9" s="23" t="s">
        <v>86</v>
      </c>
      <c r="C9" s="23" t="s">
        <v>87</v>
      </c>
      <c r="D9" s="23" t="s">
        <v>88</v>
      </c>
      <c r="E9" s="23" t="s">
        <v>89</v>
      </c>
      <c r="F9" s="23" t="s">
        <v>90</v>
      </c>
    </row>
    <row r="10" customFormat="false" ht="15" hidden="false" customHeight="false" outlineLevel="0" collapsed="false">
      <c r="A10" s="11" t="s">
        <v>91</v>
      </c>
      <c r="B10" s="24" t="n">
        <f aca="false">MoM!B10</f>
        <v>2000</v>
      </c>
      <c r="C10" s="24" t="n">
        <f aca="false">MoM!C10</f>
        <v>1991.527</v>
      </c>
      <c r="D10" s="25" t="n">
        <f aca="false">B10-C10</f>
        <v>8.47299999999996</v>
      </c>
      <c r="E10" s="26" t="n">
        <f aca="false">IF(C10=0,"n/m",D10/ABS(C10))</f>
        <v>0.00425452429216373</v>
      </c>
      <c r="F10" s="27" t="str">
        <f aca="false">MoM!F10</f>
        <v>F</v>
      </c>
    </row>
    <row r="11" customFormat="false" ht="15" hidden="false" customHeight="false" outlineLevel="0" collapsed="false">
      <c r="A11" s="11" t="s">
        <v>92</v>
      </c>
      <c r="B11" s="24" t="n">
        <f aca="false">MoM!B21</f>
        <v>1340</v>
      </c>
      <c r="C11" s="24" t="n">
        <f aca="false">MoM!C21</f>
        <v>1358.02782</v>
      </c>
      <c r="D11" s="25" t="n">
        <f aca="false">B11-C11</f>
        <v>-18.0278200000002</v>
      </c>
      <c r="E11" s="26" t="n">
        <f aca="false">IF(C11=0,"n/m",D11/ABS(C11))</f>
        <v>-0.0132750005077217</v>
      </c>
      <c r="F11" s="27" t="str">
        <f aca="false">MoM!F21</f>
        <v>U</v>
      </c>
    </row>
    <row r="12" customFormat="false" ht="15" hidden="false" customHeight="false" outlineLevel="0" collapsed="false">
      <c r="A12" s="28" t="s">
        <v>93</v>
      </c>
      <c r="B12" s="29" t="n">
        <f aca="false">IF(B10=0,0,B11/B10)</f>
        <v>0.67</v>
      </c>
      <c r="C12" s="29" t="n">
        <f aca="false">IF(C10=0,0,C11/C10)</f>
        <v>0.681902791174812</v>
      </c>
      <c r="D12" s="30" t="n">
        <f aca="false">B12-C12</f>
        <v>-0.0119027911748122</v>
      </c>
      <c r="E12" s="31" t="s">
        <v>94</v>
      </c>
    </row>
    <row r="13" customFormat="false" ht="15" hidden="false" customHeight="false" outlineLevel="0" collapsed="false">
      <c r="A13" s="11" t="s">
        <v>95</v>
      </c>
      <c r="B13" s="24" t="n">
        <f aca="false">MoM!B42</f>
        <v>1120</v>
      </c>
      <c r="C13" s="24" t="n">
        <f aca="false">MoM!C42</f>
        <v>1104.82682</v>
      </c>
      <c r="D13" s="25" t="n">
        <f aca="false">B13-C13</f>
        <v>15.17318</v>
      </c>
      <c r="E13" s="26" t="n">
        <f aca="false">IF(C13=0,"n/m",D13/ABS(C13))</f>
        <v>0.0137335369899873</v>
      </c>
      <c r="F13" s="27" t="str">
        <f aca="false">MoM!F42</f>
        <v>U</v>
      </c>
    </row>
    <row r="14" customFormat="false" ht="15" hidden="false" customHeight="false" outlineLevel="0" collapsed="false">
      <c r="A14" s="11" t="s">
        <v>96</v>
      </c>
      <c r="B14" s="24" t="n">
        <f aca="false">MoM!B43</f>
        <v>220</v>
      </c>
      <c r="C14" s="24" t="n">
        <f aca="false">MoM!C43</f>
        <v>253.201</v>
      </c>
      <c r="D14" s="25" t="n">
        <f aca="false">B14-C14</f>
        <v>-33.2010000000003</v>
      </c>
      <c r="E14" s="26" t="n">
        <f aca="false">IF(C14=0,"n/m",D14/ABS(C14))</f>
        <v>-0.13112507454552</v>
      </c>
      <c r="F14" s="27" t="str">
        <f aca="false">MoM!F43</f>
        <v>U</v>
      </c>
    </row>
    <row r="15" customFormat="false" ht="15" hidden="false" customHeight="false" outlineLevel="0" collapsed="false">
      <c r="A15" s="5" t="s">
        <v>97</v>
      </c>
      <c r="B15" s="32" t="n">
        <f aca="false">MoM!B48</f>
        <v>160</v>
      </c>
      <c r="C15" s="24" t="n">
        <f aca="false">MoM!C48</f>
        <v>199.201</v>
      </c>
      <c r="D15" s="33" t="n">
        <f aca="false">B15-C15</f>
        <v>-39.2010000000003</v>
      </c>
      <c r="E15" s="26" t="n">
        <f aca="false">IF(C15=0,"n/m",D15/ABS(C15))</f>
        <v>-0.196791180767166</v>
      </c>
      <c r="F15" s="27" t="str">
        <f aca="false">MoM!F48</f>
        <v>U</v>
      </c>
    </row>
    <row r="16" customFormat="false" ht="15" hidden="false" customHeight="false" outlineLevel="0" collapsed="false">
      <c r="A16" s="11" t="s">
        <v>98</v>
      </c>
      <c r="B16" s="24" t="n">
        <f aca="false">MoM!B72</f>
        <v>900</v>
      </c>
      <c r="C16" s="24" t="n">
        <f aca="false">MoM!C72</f>
        <v>901.94092</v>
      </c>
      <c r="D16" s="25" t="n">
        <f aca="false">B16-C16</f>
        <v>-1.94092000000001</v>
      </c>
      <c r="E16" s="26" t="n">
        <f aca="false">IF(C16=0,"n/m",D16/ABS(C16))</f>
        <v>-0.00215193695835422</v>
      </c>
      <c r="F16" s="27" t="str">
        <f aca="false">MoM!F72</f>
        <v>U</v>
      </c>
    </row>
    <row r="18" customFormat="false" ht="15" hidden="false" customHeight="false" outlineLevel="0" collapsed="false">
      <c r="A18" s="22" t="s">
        <v>99</v>
      </c>
      <c r="B18" s="23" t="s">
        <v>100</v>
      </c>
    </row>
    <row r="19" customFormat="false" ht="15" hidden="false" customHeight="false" outlineLevel="0" collapsed="false">
      <c r="A19" s="28" t="s">
        <v>101</v>
      </c>
      <c r="B19" s="34" t="n">
        <v>-26.5</v>
      </c>
    </row>
    <row r="20" customFormat="false" ht="15" hidden="false" customHeight="false" outlineLevel="0" collapsed="false">
      <c r="A20" s="28" t="s">
        <v>95</v>
      </c>
      <c r="B20" s="34" t="n">
        <v>-15.2</v>
      </c>
    </row>
    <row r="21" customFormat="false" ht="15" hidden="false" customHeight="false" outlineLevel="0" collapsed="false">
      <c r="A21" s="28" t="s">
        <v>91</v>
      </c>
      <c r="B21" s="34" t="n">
        <v>8.5</v>
      </c>
    </row>
    <row r="22" customFormat="false" ht="15" hidden="false" customHeight="false" outlineLevel="0" collapsed="false">
      <c r="A22" s="28" t="s">
        <v>102</v>
      </c>
      <c r="B22" s="34" t="n">
        <v>-6</v>
      </c>
    </row>
    <row r="23" customFormat="false" ht="15" hidden="false" customHeight="false" outlineLevel="0" collapsed="false">
      <c r="A23" s="5" t="s">
        <v>103</v>
      </c>
      <c r="B23" s="33" t="n">
        <f aca="false">SUM(B19:B22)</f>
        <v>-39.2</v>
      </c>
      <c r="C23" s="31" t="s">
        <v>104</v>
      </c>
      <c r="D23" s="25" t="n">
        <f aca="false">ROUND(D15,1)</f>
        <v>-39.2</v>
      </c>
      <c r="E23" s="13" t="str">
        <f aca="false">IF(ROUND(B23-D23,1)=0,"✓","✗")</f>
        <v>✓</v>
      </c>
    </row>
    <row r="26" customFormat="false" ht="18" hidden="false" customHeight="true" outlineLevel="0" collapsed="false">
      <c r="A26" s="3" t="s">
        <v>105</v>
      </c>
      <c r="B26" s="4"/>
      <c r="C26" s="4"/>
      <c r="D26" s="4"/>
      <c r="E26" s="4"/>
      <c r="F26" s="19" t="s">
        <v>6</v>
      </c>
      <c r="G26" s="4"/>
      <c r="H26" s="4"/>
    </row>
    <row r="27" customFormat="false" ht="61.5" hidden="false" customHeight="true" outlineLevel="0" collapsed="false">
      <c r="A27" s="20" t="s">
        <v>106</v>
      </c>
      <c r="B27" s="20"/>
      <c r="C27" s="20"/>
      <c r="D27" s="20"/>
      <c r="E27" s="20"/>
      <c r="F27" s="20"/>
      <c r="G27" s="20"/>
      <c r="H27" s="20"/>
    </row>
    <row r="28" customFormat="false" ht="15" hidden="false" customHeight="false" outlineLevel="0" collapsed="false">
      <c r="A28" s="21" t="s">
        <v>84</v>
      </c>
    </row>
    <row r="30" customFormat="false" ht="15" hidden="false" customHeight="false" outlineLevel="0" collapsed="false">
      <c r="A30" s="22" t="s">
        <v>85</v>
      </c>
      <c r="B30" s="23" t="s">
        <v>107</v>
      </c>
      <c r="C30" s="23" t="s">
        <v>108</v>
      </c>
      <c r="D30" s="23" t="s">
        <v>88</v>
      </c>
      <c r="E30" s="23" t="s">
        <v>89</v>
      </c>
      <c r="F30" s="23" t="s">
        <v>90</v>
      </c>
    </row>
    <row r="31" customFormat="false" ht="15" hidden="false" customHeight="false" outlineLevel="0" collapsed="false">
      <c r="A31" s="11" t="s">
        <v>91</v>
      </c>
      <c r="B31" s="24" t="n">
        <f aca="false">QoQ!B10</f>
        <v>3991.527</v>
      </c>
      <c r="C31" s="24" t="n">
        <f aca="false">QoQ!C10</f>
        <v>3724.337</v>
      </c>
      <c r="D31" s="25" t="n">
        <f aca="false">B31-C31</f>
        <v>267.19</v>
      </c>
      <c r="E31" s="26" t="n">
        <f aca="false">IF(C31=0,"n/m",D31/ABS(C31))</f>
        <v>0.0717416281072309</v>
      </c>
      <c r="F31" s="27" t="str">
        <f aca="false">QoQ!F10</f>
        <v>F</v>
      </c>
    </row>
    <row r="32" customFormat="false" ht="15" hidden="false" customHeight="false" outlineLevel="0" collapsed="false">
      <c r="A32" s="11" t="s">
        <v>92</v>
      </c>
      <c r="B32" s="24" t="n">
        <f aca="false">QoQ!B21</f>
        <v>2698.02782</v>
      </c>
      <c r="C32" s="24" t="n">
        <f aca="false">QoQ!C21</f>
        <v>2486.49827</v>
      </c>
      <c r="D32" s="25" t="n">
        <f aca="false">B32-C32</f>
        <v>211.52955</v>
      </c>
      <c r="E32" s="26" t="n">
        <f aca="false">IF(C32=0,"n/m",D32/ABS(C32))</f>
        <v>0.0850712636932582</v>
      </c>
      <c r="F32" s="27" t="str">
        <f aca="false">QoQ!F21</f>
        <v>F</v>
      </c>
    </row>
    <row r="33" customFormat="false" ht="15" hidden="false" customHeight="false" outlineLevel="0" collapsed="false">
      <c r="A33" s="28" t="s">
        <v>93</v>
      </c>
      <c r="B33" s="29" t="n">
        <f aca="false">IF(B31=0,0,B32/B31)</f>
        <v>0.675938762283207</v>
      </c>
      <c r="C33" s="29" t="n">
        <f aca="false">IF(C31=0,0,C32/C31)</f>
        <v>0.66763514418808</v>
      </c>
      <c r="D33" s="30" t="n">
        <f aca="false">B33-C33</f>
        <v>0.00830361809512681</v>
      </c>
      <c r="E33" s="31" t="s">
        <v>94</v>
      </c>
    </row>
    <row r="34" customFormat="false" ht="15" hidden="false" customHeight="false" outlineLevel="0" collapsed="false">
      <c r="A34" s="11" t="s">
        <v>95</v>
      </c>
      <c r="B34" s="24" t="n">
        <f aca="false">QoQ!B42</f>
        <v>2224.82682</v>
      </c>
      <c r="C34" s="24" t="n">
        <f aca="false">QoQ!C42</f>
        <v>1977.29327</v>
      </c>
      <c r="D34" s="25" t="n">
        <f aca="false">B34-C34</f>
        <v>247.53355</v>
      </c>
      <c r="E34" s="26" t="n">
        <f aca="false">IF(C34=0,"n/m",D34/ABS(C34))</f>
        <v>0.125188080976981</v>
      </c>
      <c r="F34" s="27" t="str">
        <f aca="false">QoQ!F42</f>
        <v>U</v>
      </c>
    </row>
    <row r="35" customFormat="false" ht="15" hidden="false" customHeight="false" outlineLevel="0" collapsed="false">
      <c r="A35" s="11" t="s">
        <v>96</v>
      </c>
      <c r="B35" s="24" t="n">
        <f aca="false">QoQ!B43</f>
        <v>473.201</v>
      </c>
      <c r="C35" s="24" t="n">
        <f aca="false">QoQ!C43</f>
        <v>509.205</v>
      </c>
      <c r="D35" s="25" t="n">
        <f aca="false">B35-C35</f>
        <v>-36.0039999999999</v>
      </c>
      <c r="E35" s="26" t="n">
        <f aca="false">IF(C35=0,"n/m",D35/ABS(C35))</f>
        <v>-0.0707062970709241</v>
      </c>
      <c r="F35" s="27" t="str">
        <f aca="false">QoQ!F43</f>
        <v>U</v>
      </c>
    </row>
    <row r="36" customFormat="false" ht="15" hidden="false" customHeight="false" outlineLevel="0" collapsed="false">
      <c r="A36" s="5" t="s">
        <v>97</v>
      </c>
      <c r="B36" s="32" t="n">
        <f aca="false">QoQ!B48</f>
        <v>359.201</v>
      </c>
      <c r="C36" s="24" t="n">
        <f aca="false">QoQ!C48</f>
        <v>407.705</v>
      </c>
      <c r="D36" s="33" t="n">
        <f aca="false">B36-C36</f>
        <v>-48.5039999999999</v>
      </c>
      <c r="E36" s="26" t="n">
        <f aca="false">IF(C36=0,"n/m",D36/ABS(C36))</f>
        <v>-0.11896837173937</v>
      </c>
      <c r="F36" s="27" t="str">
        <f aca="false">QoQ!F48</f>
        <v>U</v>
      </c>
    </row>
    <row r="37" customFormat="false" ht="15" hidden="false" customHeight="false" outlineLevel="0" collapsed="false">
      <c r="A37" s="11" t="s">
        <v>98</v>
      </c>
      <c r="B37" s="24" t="n">
        <f aca="false">QoQ!B72</f>
        <v>1801.94092</v>
      </c>
      <c r="C37" s="24" t="n">
        <f aca="false">QoQ!C72</f>
        <v>1739.62867</v>
      </c>
      <c r="D37" s="25" t="n">
        <f aca="false">B37-C37</f>
        <v>62.3122499999997</v>
      </c>
      <c r="E37" s="26" t="n">
        <f aca="false">IF(C37=0,"n/m",D37/ABS(C37))</f>
        <v>0.0358192820540258</v>
      </c>
      <c r="F37" s="27" t="str">
        <f aca="false">QoQ!F72</f>
        <v>F</v>
      </c>
    </row>
    <row r="39" customFormat="false" ht="15" hidden="false" customHeight="false" outlineLevel="0" collapsed="false">
      <c r="A39" s="22" t="s">
        <v>99</v>
      </c>
      <c r="B39" s="23" t="s">
        <v>100</v>
      </c>
    </row>
    <row r="40" customFormat="false" ht="15" hidden="false" customHeight="false" outlineLevel="0" collapsed="false">
      <c r="A40" s="28" t="s">
        <v>91</v>
      </c>
      <c r="B40" s="34" t="n">
        <v>267.2</v>
      </c>
    </row>
    <row r="41" customFormat="false" ht="15" hidden="false" customHeight="false" outlineLevel="0" collapsed="false">
      <c r="A41" s="28" t="s">
        <v>95</v>
      </c>
      <c r="B41" s="34" t="n">
        <v>-247.5</v>
      </c>
    </row>
    <row r="42" customFormat="false" ht="15" hidden="false" customHeight="false" outlineLevel="0" collapsed="false">
      <c r="A42" s="28" t="s">
        <v>101</v>
      </c>
      <c r="B42" s="34" t="n">
        <v>-55.7</v>
      </c>
    </row>
    <row r="43" customFormat="false" ht="15" hidden="false" customHeight="false" outlineLevel="0" collapsed="false">
      <c r="A43" s="28" t="s">
        <v>109</v>
      </c>
      <c r="B43" s="34" t="n">
        <v>-12.5</v>
      </c>
    </row>
    <row r="44" customFormat="false" ht="15" hidden="false" customHeight="false" outlineLevel="0" collapsed="false">
      <c r="A44" s="5" t="s">
        <v>103</v>
      </c>
      <c r="B44" s="33" t="n">
        <f aca="false">SUM(B40:B43)</f>
        <v>-48.5</v>
      </c>
      <c r="C44" s="31" t="s">
        <v>104</v>
      </c>
      <c r="D44" s="25" t="n">
        <f aca="false">ROUND(D36,1)</f>
        <v>-48.5</v>
      </c>
      <c r="E44" s="13" t="str">
        <f aca="false">IF(ROUND(B44-D44,1)=0,"✓","✗")</f>
        <v>✓</v>
      </c>
    </row>
    <row r="47" customFormat="false" ht="18" hidden="false" customHeight="true" outlineLevel="0" collapsed="false">
      <c r="A47" s="3" t="s">
        <v>110</v>
      </c>
      <c r="B47" s="4"/>
      <c r="C47" s="4"/>
      <c r="D47" s="4"/>
      <c r="E47" s="4"/>
      <c r="F47" s="19" t="s">
        <v>6</v>
      </c>
      <c r="G47" s="4"/>
      <c r="H47" s="4"/>
    </row>
    <row r="48" customFormat="false" ht="48" hidden="false" customHeight="true" outlineLevel="0" collapsed="false">
      <c r="A48" s="20" t="s">
        <v>111</v>
      </c>
      <c r="B48" s="20"/>
      <c r="C48" s="20"/>
      <c r="D48" s="20"/>
      <c r="E48" s="20"/>
      <c r="F48" s="20"/>
      <c r="G48" s="20"/>
      <c r="H48" s="20"/>
    </row>
    <row r="49" customFormat="false" ht="15" hidden="false" customHeight="false" outlineLevel="0" collapsed="false">
      <c r="A49" s="21" t="s">
        <v>84</v>
      </c>
    </row>
    <row r="51" customFormat="false" ht="15" hidden="false" customHeight="false" outlineLevel="0" collapsed="false">
      <c r="A51" s="22" t="s">
        <v>85</v>
      </c>
      <c r="B51" s="23" t="s">
        <v>86</v>
      </c>
      <c r="C51" s="23" t="s">
        <v>112</v>
      </c>
      <c r="D51" s="23" t="s">
        <v>88</v>
      </c>
      <c r="E51" s="23" t="s">
        <v>89</v>
      </c>
      <c r="F51" s="23" t="s">
        <v>90</v>
      </c>
    </row>
    <row r="52" customFormat="false" ht="15" hidden="false" customHeight="false" outlineLevel="0" collapsed="false">
      <c r="A52" s="11" t="s">
        <v>91</v>
      </c>
      <c r="B52" s="24" t="n">
        <f aca="false">YoY!B10</f>
        <v>2000</v>
      </c>
      <c r="C52" s="24" t="n">
        <f aca="false">YoY!C10</f>
        <v>1623.619</v>
      </c>
      <c r="D52" s="25" t="n">
        <f aca="false">B52-C52</f>
        <v>376.381</v>
      </c>
      <c r="E52" s="26" t="n">
        <f aca="false">IF(C52=0,"n/m",D52/ABS(C52))</f>
        <v>0.231816084931256</v>
      </c>
      <c r="F52" s="27" t="str">
        <f aca="false">YoY!F10</f>
        <v>F</v>
      </c>
    </row>
    <row r="53" customFormat="false" ht="15" hidden="false" customHeight="false" outlineLevel="0" collapsed="false">
      <c r="A53" s="11" t="s">
        <v>92</v>
      </c>
      <c r="B53" s="24" t="n">
        <f aca="false">YoY!B21</f>
        <v>1340</v>
      </c>
      <c r="C53" s="24" t="n">
        <f aca="false">YoY!C21</f>
        <v>1108.55682</v>
      </c>
      <c r="D53" s="25" t="n">
        <f aca="false">B53-C53</f>
        <v>231.44318</v>
      </c>
      <c r="E53" s="26" t="n">
        <f aca="false">IF(C53=0,"n/m",D53/ABS(C53))</f>
        <v>0.208778815685785</v>
      </c>
      <c r="F53" s="27" t="str">
        <f aca="false">YoY!F21</f>
        <v>F</v>
      </c>
    </row>
    <row r="54" customFormat="false" ht="15" hidden="false" customHeight="false" outlineLevel="0" collapsed="false">
      <c r="A54" s="28" t="s">
        <v>93</v>
      </c>
      <c r="B54" s="29" t="n">
        <f aca="false">IF(B52=0,0,B53/B52)</f>
        <v>0.67</v>
      </c>
      <c r="C54" s="29" t="n">
        <f aca="false">IF(C52=0,0,C53/C52)</f>
        <v>0.682769060968121</v>
      </c>
      <c r="D54" s="30" t="n">
        <f aca="false">B54-C54</f>
        <v>-0.012769060968121</v>
      </c>
      <c r="E54" s="31" t="s">
        <v>94</v>
      </c>
    </row>
    <row r="55" customFormat="false" ht="15" hidden="false" customHeight="false" outlineLevel="0" collapsed="false">
      <c r="A55" s="11" t="s">
        <v>95</v>
      </c>
      <c r="B55" s="24" t="n">
        <f aca="false">YoY!B42</f>
        <v>1120</v>
      </c>
      <c r="C55" s="24" t="n">
        <f aca="false">YoY!C42</f>
        <v>819.57182</v>
      </c>
      <c r="D55" s="25" t="n">
        <f aca="false">B55-C55</f>
        <v>300.42818</v>
      </c>
      <c r="E55" s="26" t="n">
        <f aca="false">IF(C55=0,"n/m",D55/ABS(C55))</f>
        <v>0.366567239952199</v>
      </c>
      <c r="F55" s="27" t="str">
        <f aca="false">YoY!F42</f>
        <v>U</v>
      </c>
    </row>
    <row r="56" customFormat="false" ht="15" hidden="false" customHeight="false" outlineLevel="0" collapsed="false">
      <c r="A56" s="11" t="s">
        <v>96</v>
      </c>
      <c r="B56" s="24" t="n">
        <f aca="false">YoY!B43</f>
        <v>220</v>
      </c>
      <c r="C56" s="24" t="n">
        <f aca="false">YoY!C43</f>
        <v>288.985</v>
      </c>
      <c r="D56" s="25" t="n">
        <f aca="false">B56-C56</f>
        <v>-68.9849999999999</v>
      </c>
      <c r="E56" s="26" t="n">
        <f aca="false">IF(C56=0,"n/m",D56/ABS(C56))</f>
        <v>-0.238714812187484</v>
      </c>
      <c r="F56" s="27" t="str">
        <f aca="false">YoY!F43</f>
        <v>U</v>
      </c>
    </row>
    <row r="57" customFormat="false" ht="15" hidden="false" customHeight="false" outlineLevel="0" collapsed="false">
      <c r="A57" s="5" t="s">
        <v>97</v>
      </c>
      <c r="B57" s="32" t="n">
        <f aca="false">YoY!B48</f>
        <v>160</v>
      </c>
      <c r="C57" s="24" t="n">
        <f aca="false">YoY!C48</f>
        <v>245.985</v>
      </c>
      <c r="D57" s="33" t="n">
        <f aca="false">B57-C57</f>
        <v>-85.9849999999999</v>
      </c>
      <c r="E57" s="26" t="n">
        <f aca="false">IF(C57=0,"n/m",D57/ABS(C57))</f>
        <v>-0.349553834583409</v>
      </c>
      <c r="F57" s="27" t="str">
        <f aca="false">YoY!F48</f>
        <v>U</v>
      </c>
    </row>
    <row r="58" customFormat="false" ht="15" hidden="false" customHeight="false" outlineLevel="0" collapsed="false">
      <c r="A58" s="11" t="s">
        <v>98</v>
      </c>
      <c r="B58" s="24" t="n">
        <f aca="false">YoY!B72</f>
        <v>900</v>
      </c>
      <c r="C58" s="24" t="n">
        <f aca="false">YoY!C72</f>
        <v>807.62992</v>
      </c>
      <c r="D58" s="25" t="n">
        <f aca="false">B58-C58</f>
        <v>92.3700799999999</v>
      </c>
      <c r="E58" s="26" t="n">
        <f aca="false">IF(C58=0,"n/m",D58/ABS(C58))</f>
        <v>0.114371790485424</v>
      </c>
      <c r="F58" s="27" t="str">
        <f aca="false">YoY!F72</f>
        <v>F</v>
      </c>
    </row>
    <row r="60" customFormat="false" ht="15" hidden="false" customHeight="false" outlineLevel="0" collapsed="false">
      <c r="A60" s="22" t="s">
        <v>99</v>
      </c>
      <c r="B60" s="23" t="s">
        <v>100</v>
      </c>
    </row>
    <row r="61" customFormat="false" ht="15" hidden="false" customHeight="false" outlineLevel="0" collapsed="false">
      <c r="A61" s="28" t="s">
        <v>91</v>
      </c>
      <c r="B61" s="34" t="n">
        <v>376.4</v>
      </c>
    </row>
    <row r="62" customFormat="false" ht="15" hidden="false" customHeight="false" outlineLevel="0" collapsed="false">
      <c r="A62" s="28" t="s">
        <v>95</v>
      </c>
      <c r="B62" s="34" t="n">
        <v>-300.4</v>
      </c>
    </row>
    <row r="63" customFormat="false" ht="15" hidden="false" customHeight="false" outlineLevel="0" collapsed="false">
      <c r="A63" s="28" t="s">
        <v>101</v>
      </c>
      <c r="B63" s="34" t="n">
        <v>-145</v>
      </c>
    </row>
    <row r="64" customFormat="false" ht="15" hidden="false" customHeight="false" outlineLevel="0" collapsed="false">
      <c r="A64" s="28" t="s">
        <v>109</v>
      </c>
      <c r="B64" s="34" t="n">
        <v>-17</v>
      </c>
    </row>
    <row r="65" customFormat="false" ht="15" hidden="false" customHeight="false" outlineLevel="0" collapsed="false">
      <c r="A65" s="5" t="s">
        <v>103</v>
      </c>
      <c r="B65" s="33" t="n">
        <f aca="false">SUM(B61:B64)</f>
        <v>-86</v>
      </c>
      <c r="C65" s="31" t="s">
        <v>104</v>
      </c>
      <c r="D65" s="25" t="n">
        <f aca="false">ROUND(D57,1)</f>
        <v>-86</v>
      </c>
      <c r="E65" s="13" t="str">
        <f aca="false">IF(ROUND(B65-D65,1)=0,"✓","✗")</f>
        <v>✓</v>
      </c>
    </row>
    <row r="68" customFormat="false" ht="18" hidden="false" customHeight="true" outlineLevel="0" collapsed="false">
      <c r="A68" s="3" t="s">
        <v>113</v>
      </c>
      <c r="B68" s="4"/>
      <c r="C68" s="4"/>
      <c r="D68" s="4"/>
      <c r="E68" s="4"/>
      <c r="F68" s="19" t="s">
        <v>6</v>
      </c>
      <c r="G68" s="4"/>
      <c r="H68" s="4"/>
    </row>
    <row r="69" customFormat="false" ht="48" hidden="false" customHeight="true" outlineLevel="0" collapsed="false">
      <c r="A69" s="20" t="s">
        <v>114</v>
      </c>
      <c r="B69" s="20"/>
      <c r="C69" s="20"/>
      <c r="D69" s="20"/>
      <c r="E69" s="20"/>
      <c r="F69" s="20"/>
      <c r="G69" s="20"/>
      <c r="H69" s="20"/>
    </row>
    <row r="70" customFormat="false" ht="15" hidden="false" customHeight="false" outlineLevel="0" collapsed="false">
      <c r="A70" s="21" t="s">
        <v>84</v>
      </c>
    </row>
    <row r="72" customFormat="false" ht="15" hidden="false" customHeight="false" outlineLevel="0" collapsed="false">
      <c r="A72" s="22" t="s">
        <v>85</v>
      </c>
      <c r="B72" s="23" t="s">
        <v>115</v>
      </c>
      <c r="C72" s="23" t="s">
        <v>116</v>
      </c>
      <c r="D72" s="23" t="s">
        <v>88</v>
      </c>
      <c r="E72" s="23" t="s">
        <v>89</v>
      </c>
      <c r="F72" s="23" t="s">
        <v>90</v>
      </c>
    </row>
    <row r="73" customFormat="false" ht="15" hidden="false" customHeight="false" outlineLevel="0" collapsed="false">
      <c r="A73" s="11" t="s">
        <v>91</v>
      </c>
      <c r="B73" s="24" t="n">
        <f aca="false">YTD!B10</f>
        <v>15149.355</v>
      </c>
      <c r="C73" s="24" t="n">
        <f aca="false">YTD!C10</f>
        <v>12013.688</v>
      </c>
      <c r="D73" s="25" t="n">
        <f aca="false">B73-C73</f>
        <v>3135.667</v>
      </c>
      <c r="E73" s="26" t="n">
        <f aca="false">IF(C73=0,"n/m",D73/ABS(C73))</f>
        <v>0.261007860367274</v>
      </c>
      <c r="F73" s="27" t="str">
        <f aca="false">YTD!F10</f>
        <v>F</v>
      </c>
    </row>
    <row r="74" customFormat="false" ht="15" hidden="false" customHeight="false" outlineLevel="0" collapsed="false">
      <c r="A74" s="11" t="s">
        <v>92</v>
      </c>
      <c r="B74" s="24" t="n">
        <f aca="false">YTD!B21</f>
        <v>10205.15701</v>
      </c>
      <c r="C74" s="24" t="n">
        <f aca="false">YTD!C21</f>
        <v>8168.98571</v>
      </c>
      <c r="D74" s="25" t="n">
        <f aca="false">B74-C74</f>
        <v>2036.1713</v>
      </c>
      <c r="E74" s="26" t="n">
        <f aca="false">IF(C74=0,"n/m",D74/ABS(C74))</f>
        <v>0.24925631801601</v>
      </c>
      <c r="F74" s="27" t="str">
        <f aca="false">YTD!F21</f>
        <v>F</v>
      </c>
    </row>
    <row r="75" customFormat="false" ht="15" hidden="false" customHeight="false" outlineLevel="0" collapsed="false">
      <c r="A75" s="28" t="s">
        <v>93</v>
      </c>
      <c r="B75" s="29" t="n">
        <f aca="false">IF(B73=0,0,B74/B73)</f>
        <v>0.673636403001976</v>
      </c>
      <c r="C75" s="29" t="n">
        <f aca="false">IF(C73=0,0,C74/C73)</f>
        <v>0.679973186418692</v>
      </c>
      <c r="D75" s="30" t="n">
        <f aca="false">B75-C75</f>
        <v>-0.00633678341671584</v>
      </c>
      <c r="E75" s="31" t="s">
        <v>94</v>
      </c>
    </row>
    <row r="76" customFormat="false" ht="15" hidden="false" customHeight="false" outlineLevel="0" collapsed="false">
      <c r="A76" s="11" t="s">
        <v>95</v>
      </c>
      <c r="B76" s="24" t="n">
        <f aca="false">YTD!B42</f>
        <v>8096.23201</v>
      </c>
      <c r="C76" s="24" t="n">
        <f aca="false">YTD!C42</f>
        <v>6191.29271</v>
      </c>
      <c r="D76" s="25" t="n">
        <f aca="false">B76-C76</f>
        <v>1904.9393</v>
      </c>
      <c r="E76" s="26" t="n">
        <f aca="false">IF(C76=0,"n/m",D76/ABS(C76))</f>
        <v>0.307680381016907</v>
      </c>
      <c r="F76" s="27" t="str">
        <f aca="false">YTD!F42</f>
        <v>U</v>
      </c>
    </row>
    <row r="77" customFormat="false" ht="15" hidden="false" customHeight="false" outlineLevel="0" collapsed="false">
      <c r="A77" s="11" t="s">
        <v>96</v>
      </c>
      <c r="B77" s="24" t="n">
        <f aca="false">YTD!B43</f>
        <v>2108.925</v>
      </c>
      <c r="C77" s="24" t="n">
        <f aca="false">YTD!C43</f>
        <v>1977.693</v>
      </c>
      <c r="D77" s="25" t="n">
        <f aca="false">B77-C77</f>
        <v>131.231999999999</v>
      </c>
      <c r="E77" s="26" t="n">
        <f aca="false">IF(C77=0,"n/m",D77/ABS(C77))</f>
        <v>0.0663561027924956</v>
      </c>
      <c r="F77" s="27" t="str">
        <f aca="false">YTD!F43</f>
        <v>F</v>
      </c>
    </row>
    <row r="78" customFormat="false" ht="15" hidden="false" customHeight="false" outlineLevel="0" collapsed="false">
      <c r="A78" s="5" t="s">
        <v>97</v>
      </c>
      <c r="B78" s="32" t="n">
        <f aca="false">YTD!B48</f>
        <v>1695.425</v>
      </c>
      <c r="C78" s="24" t="n">
        <f aca="false">YTD!C48</f>
        <v>1645.693</v>
      </c>
      <c r="D78" s="33" t="n">
        <f aca="false">B78-C78</f>
        <v>49.7319999999991</v>
      </c>
      <c r="E78" s="26" t="n">
        <f aca="false">IF(C78=0,"n/m",D78/ABS(C78))</f>
        <v>0.0302194880819199</v>
      </c>
      <c r="F78" s="27" t="str">
        <f aca="false">YTD!F48</f>
        <v>F</v>
      </c>
    </row>
    <row r="79" customFormat="false" ht="15" hidden="false" customHeight="false" outlineLevel="0" collapsed="false">
      <c r="A79" s="11" t="s">
        <v>98</v>
      </c>
      <c r="B79" s="24" t="n">
        <f aca="false">YTD!B72</f>
        <v>7089.61601</v>
      </c>
      <c r="C79" s="24" t="n">
        <f aca="false">YTD!C72</f>
        <v>5924.47239</v>
      </c>
      <c r="D79" s="25" t="n">
        <f aca="false">B79-C79</f>
        <v>1165.14362</v>
      </c>
      <c r="E79" s="26" t="n">
        <f aca="false">IF(C79=0,"n/m",D79/ABS(C79))</f>
        <v>0.196666224990205</v>
      </c>
      <c r="F79" s="27" t="str">
        <f aca="false">YTD!F72</f>
        <v>F</v>
      </c>
    </row>
    <row r="81" customFormat="false" ht="15" hidden="false" customHeight="false" outlineLevel="0" collapsed="false">
      <c r="A81" s="22" t="s">
        <v>99</v>
      </c>
      <c r="B81" s="23" t="s">
        <v>100</v>
      </c>
    </row>
    <row r="82" customFormat="false" ht="15" hidden="false" customHeight="false" outlineLevel="0" collapsed="false">
      <c r="A82" s="28" t="s">
        <v>91</v>
      </c>
      <c r="B82" s="34" t="n">
        <v>3135.7</v>
      </c>
    </row>
    <row r="83" customFormat="false" ht="15" hidden="false" customHeight="false" outlineLevel="0" collapsed="false">
      <c r="A83" s="28" t="s">
        <v>95</v>
      </c>
      <c r="B83" s="34" t="n">
        <v>-1905</v>
      </c>
    </row>
    <row r="84" customFormat="false" ht="15" hidden="false" customHeight="false" outlineLevel="0" collapsed="false">
      <c r="A84" s="28" t="s">
        <v>101</v>
      </c>
      <c r="B84" s="34" t="n">
        <v>-1099.5</v>
      </c>
    </row>
    <row r="85" customFormat="false" ht="15" hidden="false" customHeight="false" outlineLevel="0" collapsed="false">
      <c r="A85" s="28" t="s">
        <v>109</v>
      </c>
      <c r="B85" s="34" t="n">
        <v>-81.5</v>
      </c>
    </row>
    <row r="86" customFormat="false" ht="15" hidden="false" customHeight="false" outlineLevel="0" collapsed="false">
      <c r="A86" s="5" t="s">
        <v>103</v>
      </c>
      <c r="B86" s="33" t="n">
        <f aca="false">SUM(B82:B85)</f>
        <v>49.6999999999998</v>
      </c>
      <c r="C86" s="31" t="s">
        <v>104</v>
      </c>
      <c r="D86" s="25" t="n">
        <f aca="false">ROUND(D78,1)</f>
        <v>49.7</v>
      </c>
      <c r="E86" s="13" t="str">
        <f aca="false">IF(ROUND(B86-D86,1)=0,"✓","✗")</f>
        <v>✓</v>
      </c>
    </row>
    <row r="89" customFormat="false" ht="18" hidden="false" customHeight="true" outlineLevel="0" collapsed="false">
      <c r="A89" s="3" t="s">
        <v>117</v>
      </c>
      <c r="B89" s="4"/>
      <c r="C89" s="4"/>
      <c r="D89" s="4"/>
      <c r="E89" s="4"/>
      <c r="F89" s="19" t="s">
        <v>6</v>
      </c>
      <c r="G89" s="4"/>
      <c r="H89" s="4"/>
    </row>
    <row r="90" customFormat="false" ht="48" hidden="false" customHeight="true" outlineLevel="0" collapsed="false">
      <c r="A90" s="20" t="s">
        <v>118</v>
      </c>
      <c r="B90" s="20"/>
      <c r="C90" s="20"/>
      <c r="D90" s="20"/>
      <c r="E90" s="20"/>
      <c r="F90" s="20"/>
      <c r="G90" s="20"/>
      <c r="H90" s="20"/>
    </row>
    <row r="91" customFormat="false" ht="15" hidden="false" customHeight="false" outlineLevel="0" collapsed="false">
      <c r="A91" s="21" t="s">
        <v>84</v>
      </c>
    </row>
    <row r="93" customFormat="false" ht="15" hidden="false" customHeight="false" outlineLevel="0" collapsed="false">
      <c r="A93" s="22" t="s">
        <v>85</v>
      </c>
      <c r="B93" s="23" t="s">
        <v>86</v>
      </c>
      <c r="C93" s="23" t="s">
        <v>119</v>
      </c>
      <c r="D93" s="23" t="s">
        <v>88</v>
      </c>
      <c r="E93" s="23" t="s">
        <v>89</v>
      </c>
      <c r="F93" s="23" t="s">
        <v>90</v>
      </c>
    </row>
    <row r="94" customFormat="false" ht="15" hidden="false" customHeight="false" outlineLevel="0" collapsed="false">
      <c r="A94" s="11" t="s">
        <v>91</v>
      </c>
      <c r="B94" s="24" t="n">
        <f aca="false">'Budget M'!B10</f>
        <v>2000</v>
      </c>
      <c r="C94" s="24" t="n">
        <f aca="false">'Budget M'!C10</f>
        <v>2030</v>
      </c>
      <c r="D94" s="25" t="n">
        <f aca="false">B94-C94</f>
        <v>-30</v>
      </c>
      <c r="E94" s="26" t="n">
        <f aca="false">IF(C94=0,"n/m",D94/ABS(C94))</f>
        <v>-0.0147783251231527</v>
      </c>
      <c r="F94" s="27" t="str">
        <f aca="false">'Budget M'!F10</f>
        <v>U</v>
      </c>
    </row>
    <row r="95" customFormat="false" ht="15" hidden="false" customHeight="false" outlineLevel="0" collapsed="false">
      <c r="A95" s="11" t="s">
        <v>92</v>
      </c>
      <c r="B95" s="24" t="n">
        <f aca="false">'Budget M'!B21</f>
        <v>1340</v>
      </c>
      <c r="C95" s="24" t="n">
        <f aca="false">'Budget M'!C21</f>
        <v>1362.22623</v>
      </c>
      <c r="D95" s="25" t="n">
        <f aca="false">B95-C95</f>
        <v>-22.22623</v>
      </c>
      <c r="E95" s="26" t="n">
        <f aca="false">IF(C95=0,"n/m",D95/ABS(C95))</f>
        <v>-0.0163161077877644</v>
      </c>
      <c r="F95" s="27" t="str">
        <f aca="false">'Budget M'!F21</f>
        <v>U</v>
      </c>
    </row>
    <row r="96" customFormat="false" ht="15" hidden="false" customHeight="false" outlineLevel="0" collapsed="false">
      <c r="A96" s="28" t="s">
        <v>93</v>
      </c>
      <c r="B96" s="29" t="n">
        <f aca="false">IF(B94=0,0,B95/B94)</f>
        <v>0.67</v>
      </c>
      <c r="C96" s="29" t="n">
        <f aca="false">IF(C94=0,0,C95/C94)</f>
        <v>0.671047403940887</v>
      </c>
      <c r="D96" s="30" t="n">
        <f aca="false">B96-C96</f>
        <v>-0.00104740394088665</v>
      </c>
      <c r="E96" s="31" t="s">
        <v>94</v>
      </c>
    </row>
    <row r="97" customFormat="false" ht="15" hidden="false" customHeight="false" outlineLevel="0" collapsed="false">
      <c r="A97" s="11" t="s">
        <v>95</v>
      </c>
      <c r="B97" s="24" t="n">
        <f aca="false">'Budget M'!B42</f>
        <v>1120</v>
      </c>
      <c r="C97" s="24" t="n">
        <f aca="false">'Budget M'!C42</f>
        <v>1187.14723</v>
      </c>
      <c r="D97" s="25" t="n">
        <f aca="false">B97-C97</f>
        <v>-67.14723</v>
      </c>
      <c r="E97" s="26" t="n">
        <f aca="false">IF(C97=0,"n/m",D97/ABS(C97))</f>
        <v>-0.0565618385850928</v>
      </c>
      <c r="F97" s="27" t="str">
        <f aca="false">'Budget M'!F42</f>
        <v>F</v>
      </c>
    </row>
    <row r="98" customFormat="false" ht="15" hidden="false" customHeight="false" outlineLevel="0" collapsed="false">
      <c r="A98" s="11" t="s">
        <v>96</v>
      </c>
      <c r="B98" s="24" t="n">
        <f aca="false">'Budget M'!B43</f>
        <v>220</v>
      </c>
      <c r="C98" s="24" t="n">
        <f aca="false">'Budget M'!C43</f>
        <v>175.079</v>
      </c>
      <c r="D98" s="25" t="n">
        <f aca="false">B98-C98</f>
        <v>44.9210000000001</v>
      </c>
      <c r="E98" s="26" t="n">
        <f aca="false">IF(C98=0,"n/m",D98/ABS(C98))</f>
        <v>0.256575603013497</v>
      </c>
      <c r="F98" s="27" t="str">
        <f aca="false">'Budget M'!F43</f>
        <v>F</v>
      </c>
    </row>
    <row r="99" customFormat="false" ht="15" hidden="false" customHeight="false" outlineLevel="0" collapsed="false">
      <c r="A99" s="5" t="s">
        <v>97</v>
      </c>
      <c r="B99" s="32" t="n">
        <f aca="false">'Budget M'!B48</f>
        <v>160</v>
      </c>
      <c r="C99" s="24" t="n">
        <f aca="false">'Budget M'!C48</f>
        <v>108.079</v>
      </c>
      <c r="D99" s="33" t="n">
        <f aca="false">B99-C99</f>
        <v>51.9210000000001</v>
      </c>
      <c r="E99" s="26" t="n">
        <f aca="false">IF(C99=0,"n/m",D99/ABS(C99))</f>
        <v>0.48039859732233</v>
      </c>
      <c r="F99" s="27" t="str">
        <f aca="false">'Budget M'!F48</f>
        <v>F</v>
      </c>
    </row>
    <row r="100" customFormat="false" ht="15" hidden="false" customHeight="false" outlineLevel="0" collapsed="false">
      <c r="A100" s="11" t="s">
        <v>98</v>
      </c>
      <c r="B100" s="24" t="n">
        <f aca="false">'Budget M'!B72</f>
        <v>900</v>
      </c>
      <c r="C100" s="24" t="n">
        <f aca="false">'Budget M'!C72</f>
        <v>890.17233</v>
      </c>
      <c r="D100" s="25" t="n">
        <f aca="false">B100-C100</f>
        <v>9.82767000000013</v>
      </c>
      <c r="E100" s="26" t="n">
        <f aca="false">IF(C100=0,"n/m",D100/ABS(C100))</f>
        <v>0.0110401881397506</v>
      </c>
      <c r="F100" s="27" t="str">
        <f aca="false">'Budget M'!F72</f>
        <v>F</v>
      </c>
    </row>
    <row r="102" customFormat="false" ht="15" hidden="false" customHeight="false" outlineLevel="0" collapsed="false">
      <c r="A102" s="22" t="s">
        <v>99</v>
      </c>
      <c r="B102" s="23" t="s">
        <v>100</v>
      </c>
    </row>
    <row r="103" customFormat="false" ht="15" hidden="false" customHeight="false" outlineLevel="0" collapsed="false">
      <c r="A103" s="28" t="s">
        <v>95</v>
      </c>
      <c r="B103" s="34" t="n">
        <v>67.1</v>
      </c>
    </row>
    <row r="104" customFormat="false" ht="15" hidden="false" customHeight="false" outlineLevel="0" collapsed="false">
      <c r="A104" s="28" t="s">
        <v>91</v>
      </c>
      <c r="B104" s="34" t="n">
        <v>-30</v>
      </c>
    </row>
    <row r="105" customFormat="false" ht="15" hidden="false" customHeight="false" outlineLevel="0" collapsed="false">
      <c r="A105" s="28" t="s">
        <v>101</v>
      </c>
      <c r="B105" s="34" t="n">
        <v>7.8</v>
      </c>
    </row>
    <row r="106" customFormat="false" ht="15" hidden="false" customHeight="false" outlineLevel="0" collapsed="false">
      <c r="A106" s="28" t="s">
        <v>102</v>
      </c>
      <c r="B106" s="34" t="n">
        <v>7</v>
      </c>
    </row>
    <row r="107" customFormat="false" ht="15" hidden="false" customHeight="false" outlineLevel="0" collapsed="false">
      <c r="A107" s="5" t="s">
        <v>103</v>
      </c>
      <c r="B107" s="33" t="n">
        <f aca="false">SUM(B103:B106)</f>
        <v>51.9</v>
      </c>
      <c r="C107" s="31" t="s">
        <v>104</v>
      </c>
      <c r="D107" s="25" t="n">
        <f aca="false">ROUND(D99,1)</f>
        <v>51.9</v>
      </c>
      <c r="E107" s="13" t="str">
        <f aca="false">IF(ROUND(B107-D107,1)=0,"✓","✗")</f>
        <v>✓</v>
      </c>
    </row>
    <row r="110" customFormat="false" ht="18" hidden="false" customHeight="true" outlineLevel="0" collapsed="false">
      <c r="A110" s="3" t="s">
        <v>120</v>
      </c>
      <c r="B110" s="4"/>
      <c r="C110" s="4"/>
      <c r="D110" s="4"/>
      <c r="E110" s="4"/>
      <c r="F110" s="19" t="s">
        <v>6</v>
      </c>
      <c r="G110" s="4"/>
      <c r="H110" s="4"/>
    </row>
    <row r="111" customFormat="false" ht="48" hidden="false" customHeight="true" outlineLevel="0" collapsed="false">
      <c r="A111" s="20" t="s">
        <v>121</v>
      </c>
      <c r="B111" s="20"/>
      <c r="C111" s="20"/>
      <c r="D111" s="20"/>
      <c r="E111" s="20"/>
      <c r="F111" s="20"/>
      <c r="G111" s="20"/>
      <c r="H111" s="20"/>
    </row>
    <row r="112" customFormat="false" ht="15" hidden="false" customHeight="false" outlineLevel="0" collapsed="false">
      <c r="A112" s="21" t="s">
        <v>84</v>
      </c>
    </row>
    <row r="114" customFormat="false" ht="15" hidden="false" customHeight="false" outlineLevel="0" collapsed="false">
      <c r="A114" s="22" t="s">
        <v>85</v>
      </c>
      <c r="B114" s="23" t="s">
        <v>115</v>
      </c>
      <c r="C114" s="23" t="s">
        <v>122</v>
      </c>
      <c r="D114" s="23" t="s">
        <v>88</v>
      </c>
      <c r="E114" s="23" t="s">
        <v>89</v>
      </c>
      <c r="F114" s="23" t="s">
        <v>90</v>
      </c>
    </row>
    <row r="115" customFormat="false" ht="15" hidden="false" customHeight="false" outlineLevel="0" collapsed="false">
      <c r="A115" s="11" t="s">
        <v>91</v>
      </c>
      <c r="B115" s="24" t="n">
        <f aca="false">'Budget YTD'!B10</f>
        <v>15149.355</v>
      </c>
      <c r="C115" s="24" t="n">
        <f aca="false">'Budget YTD'!C10</f>
        <v>15615.958</v>
      </c>
      <c r="D115" s="25" t="n">
        <f aca="false">B115-C115</f>
        <v>-466.603000000001</v>
      </c>
      <c r="E115" s="26" t="n">
        <f aca="false">IF(C115=0,"n/m",D115/ABS(C115))</f>
        <v>-0.0298798831298087</v>
      </c>
      <c r="F115" s="27" t="str">
        <f aca="false">'Budget YTD'!F10</f>
        <v>U</v>
      </c>
    </row>
    <row r="116" customFormat="false" ht="15" hidden="false" customHeight="false" outlineLevel="0" collapsed="false">
      <c r="A116" s="11" t="s">
        <v>92</v>
      </c>
      <c r="B116" s="24" t="n">
        <f aca="false">'Budget YTD'!B21</f>
        <v>10205.15701</v>
      </c>
      <c r="C116" s="24" t="n">
        <f aca="false">'Budget YTD'!C21</f>
        <v>10581.75681</v>
      </c>
      <c r="D116" s="25" t="n">
        <f aca="false">B116-C116</f>
        <v>-376.599800000002</v>
      </c>
      <c r="E116" s="26" t="n">
        <f aca="false">IF(C116=0,"n/m",D116/ABS(C116))</f>
        <v>-0.0355895345888224</v>
      </c>
      <c r="F116" s="27" t="str">
        <f aca="false">'Budget YTD'!F21</f>
        <v>U</v>
      </c>
    </row>
    <row r="117" customFormat="false" ht="15" hidden="false" customHeight="false" outlineLevel="0" collapsed="false">
      <c r="A117" s="28" t="s">
        <v>93</v>
      </c>
      <c r="B117" s="29" t="n">
        <f aca="false">IF(B115=0,0,B116/B115)</f>
        <v>0.673636403001976</v>
      </c>
      <c r="C117" s="29" t="n">
        <f aca="false">IF(C115=0,0,C116/C115)</f>
        <v>0.677624569046613</v>
      </c>
      <c r="D117" s="30" t="n">
        <f aca="false">B117-C117</f>
        <v>-0.00398816604463659</v>
      </c>
      <c r="E117" s="31" t="s">
        <v>94</v>
      </c>
    </row>
    <row r="118" customFormat="false" ht="15" hidden="false" customHeight="false" outlineLevel="0" collapsed="false">
      <c r="A118" s="11" t="s">
        <v>95</v>
      </c>
      <c r="B118" s="24" t="n">
        <f aca="false">'Budget YTD'!B42</f>
        <v>8096.23201</v>
      </c>
      <c r="C118" s="24" t="n">
        <f aca="false">'Budget YTD'!C42</f>
        <v>8568.78781</v>
      </c>
      <c r="D118" s="25" t="n">
        <f aca="false">B118-C118</f>
        <v>-472.5558</v>
      </c>
      <c r="E118" s="26" t="n">
        <f aca="false">IF(C118=0,"n/m",D118/ABS(C118))</f>
        <v>-0.0551485006372214</v>
      </c>
      <c r="F118" s="27" t="str">
        <f aca="false">'Budget YTD'!F42</f>
        <v>F</v>
      </c>
    </row>
    <row r="119" customFormat="false" ht="15" hidden="false" customHeight="false" outlineLevel="0" collapsed="false">
      <c r="A119" s="11" t="s">
        <v>96</v>
      </c>
      <c r="B119" s="24" t="n">
        <f aca="false">'Budget YTD'!B43</f>
        <v>2108.925</v>
      </c>
      <c r="C119" s="24" t="n">
        <f aca="false">'Budget YTD'!C43</f>
        <v>2012.969</v>
      </c>
      <c r="D119" s="25" t="n">
        <f aca="false">B119-C119</f>
        <v>95.9559999999983</v>
      </c>
      <c r="E119" s="26" t="n">
        <f aca="false">IF(C119=0,"n/m",D119/ABS(C119))</f>
        <v>0.047668891075818</v>
      </c>
      <c r="F119" s="27" t="str">
        <f aca="false">'Budget YTD'!F43</f>
        <v>F</v>
      </c>
    </row>
    <row r="120" customFormat="false" ht="15" hidden="false" customHeight="false" outlineLevel="0" collapsed="false">
      <c r="A120" s="5" t="s">
        <v>97</v>
      </c>
      <c r="B120" s="32" t="n">
        <f aca="false">'Budget YTD'!B48</f>
        <v>1695.425</v>
      </c>
      <c r="C120" s="24" t="n">
        <f aca="false">'Budget YTD'!C48</f>
        <v>1540.969</v>
      </c>
      <c r="D120" s="33" t="n">
        <f aca="false">B120-C120</f>
        <v>154.455999999998</v>
      </c>
      <c r="E120" s="26" t="n">
        <f aca="false">IF(C120=0,"n/m",D120/ABS(C120))</f>
        <v>0.100233035187598</v>
      </c>
      <c r="F120" s="27" t="str">
        <f aca="false">'Budget YTD'!F48</f>
        <v>F</v>
      </c>
    </row>
    <row r="121" customFormat="false" ht="15" hidden="false" customHeight="false" outlineLevel="0" collapsed="false">
      <c r="A121" s="11" t="s">
        <v>98</v>
      </c>
      <c r="B121" s="24" t="n">
        <f aca="false">'Budget YTD'!B72</f>
        <v>7089.61601</v>
      </c>
      <c r="C121" s="24" t="n">
        <f aca="false">'Budget YTD'!C72</f>
        <v>7279.69491</v>
      </c>
      <c r="D121" s="25" t="n">
        <f aca="false">B121-C121</f>
        <v>-190.0789</v>
      </c>
      <c r="E121" s="26" t="n">
        <f aca="false">IF(C121=0,"n/m",D121/ABS(C121))</f>
        <v>-0.0261108332629287</v>
      </c>
      <c r="F121" s="27" t="str">
        <f aca="false">'Budget YTD'!F72</f>
        <v>U</v>
      </c>
    </row>
    <row r="123" customFormat="false" ht="15" hidden="false" customHeight="false" outlineLevel="0" collapsed="false">
      <c r="A123" s="22" t="s">
        <v>99</v>
      </c>
      <c r="B123" s="23" t="s">
        <v>100</v>
      </c>
    </row>
    <row r="124" customFormat="false" ht="15" hidden="false" customHeight="false" outlineLevel="0" collapsed="false">
      <c r="A124" s="28" t="s">
        <v>95</v>
      </c>
      <c r="B124" s="34" t="n">
        <v>472.6</v>
      </c>
    </row>
    <row r="125" customFormat="false" ht="15" hidden="false" customHeight="false" outlineLevel="0" collapsed="false">
      <c r="A125" s="28" t="s">
        <v>91</v>
      </c>
      <c r="B125" s="34" t="n">
        <v>-466.6</v>
      </c>
    </row>
    <row r="126" customFormat="false" ht="15" hidden="false" customHeight="false" outlineLevel="0" collapsed="false">
      <c r="A126" s="28" t="s">
        <v>101</v>
      </c>
      <c r="B126" s="34" t="n">
        <v>90</v>
      </c>
    </row>
    <row r="127" customFormat="false" ht="15" hidden="false" customHeight="false" outlineLevel="0" collapsed="false">
      <c r="A127" s="28" t="s">
        <v>109</v>
      </c>
      <c r="B127" s="34" t="n">
        <v>58.5</v>
      </c>
    </row>
    <row r="128" customFormat="false" ht="15" hidden="false" customHeight="false" outlineLevel="0" collapsed="false">
      <c r="A128" s="5" t="s">
        <v>103</v>
      </c>
      <c r="B128" s="33" t="n">
        <f aca="false">SUM(B124:B127)</f>
        <v>154.5</v>
      </c>
      <c r="C128" s="31" t="s">
        <v>104</v>
      </c>
      <c r="D128" s="25" t="n">
        <f aca="false">ROUND(D120,1)</f>
        <v>154.5</v>
      </c>
      <c r="E128" s="13" t="str">
        <f aca="false">IF(ROUND(B128-D128,1)=0,"✓","✗")</f>
        <v>✓</v>
      </c>
    </row>
    <row r="131" customFormat="false" ht="18" hidden="false" customHeight="true" outlineLevel="0" collapsed="false">
      <c r="A131" s="3" t="s">
        <v>123</v>
      </c>
      <c r="B131" s="4"/>
      <c r="C131" s="4"/>
      <c r="D131" s="4"/>
      <c r="E131" s="4"/>
      <c r="F131" s="19" t="s">
        <v>6</v>
      </c>
      <c r="G131" s="4"/>
      <c r="H131" s="4"/>
    </row>
    <row r="132" customFormat="false" ht="48" hidden="false" customHeight="true" outlineLevel="0" collapsed="false">
      <c r="A132" s="20" t="s">
        <v>124</v>
      </c>
      <c r="B132" s="20"/>
      <c r="C132" s="20"/>
      <c r="D132" s="20"/>
      <c r="E132" s="20"/>
      <c r="F132" s="20"/>
      <c r="G132" s="20"/>
      <c r="H132" s="20"/>
    </row>
    <row r="133" customFormat="false" ht="15" hidden="false" customHeight="false" outlineLevel="0" collapsed="false">
      <c r="A133" s="21" t="s">
        <v>84</v>
      </c>
    </row>
    <row r="135" customFormat="false" ht="15" hidden="false" customHeight="false" outlineLevel="0" collapsed="false">
      <c r="A135" s="22" t="s">
        <v>85</v>
      </c>
      <c r="B135" s="23" t="s">
        <v>86</v>
      </c>
      <c r="C135" s="23" t="s">
        <v>125</v>
      </c>
      <c r="D135" s="23" t="s">
        <v>88</v>
      </c>
      <c r="E135" s="23" t="s">
        <v>89</v>
      </c>
      <c r="F135" s="23" t="s">
        <v>90</v>
      </c>
    </row>
    <row r="136" customFormat="false" ht="15" hidden="false" customHeight="false" outlineLevel="0" collapsed="false">
      <c r="A136" s="11" t="s">
        <v>91</v>
      </c>
      <c r="B136" s="24" t="n">
        <f aca="false">'Forecast M'!B10</f>
        <v>2000</v>
      </c>
      <c r="C136" s="24" t="n">
        <f aca="false">'Forecast M'!C10</f>
        <v>1999.762</v>
      </c>
      <c r="D136" s="25" t="n">
        <f aca="false">B136-C136</f>
        <v>0.238000000000056</v>
      </c>
      <c r="E136" s="26" t="n">
        <f aca="false">IF(C136=0,"n/m",D136/ABS(C136))</f>
        <v>0.000119014162685388</v>
      </c>
      <c r="F136" s="27" t="str">
        <f aca="false">'Forecast M'!F10</f>
        <v>F</v>
      </c>
    </row>
    <row r="137" customFormat="false" ht="15" hidden="false" customHeight="false" outlineLevel="0" collapsed="false">
      <c r="A137" s="11" t="s">
        <v>92</v>
      </c>
      <c r="B137" s="24" t="n">
        <f aca="false">'Forecast M'!B21</f>
        <v>1340</v>
      </c>
      <c r="C137" s="24" t="n">
        <f aca="false">'Forecast M'!C21</f>
        <v>1346.96685</v>
      </c>
      <c r="D137" s="25" t="n">
        <f aca="false">B137-C137</f>
        <v>-6.96685000000002</v>
      </c>
      <c r="E137" s="26" t="n">
        <f aca="false">IF(C137=0,"n/m",D137/ABS(C137))</f>
        <v>-0.0051722505271752</v>
      </c>
      <c r="F137" s="27" t="str">
        <f aca="false">'Forecast M'!F21</f>
        <v>U</v>
      </c>
    </row>
    <row r="138" customFormat="false" ht="15" hidden="false" customHeight="false" outlineLevel="0" collapsed="false">
      <c r="A138" s="28" t="s">
        <v>93</v>
      </c>
      <c r="B138" s="29" t="n">
        <f aca="false">IF(B136=0,0,B137/B136)</f>
        <v>0.67</v>
      </c>
      <c r="C138" s="29" t="n">
        <f aca="false">IF(C136=0,0,C137/C136)</f>
        <v>0.673563579065909</v>
      </c>
      <c r="D138" s="30" t="n">
        <f aca="false">B138-C138</f>
        <v>-0.00356357906590887</v>
      </c>
      <c r="E138" s="31" t="s">
        <v>94</v>
      </c>
    </row>
    <row r="139" customFormat="false" ht="15" hidden="false" customHeight="false" outlineLevel="0" collapsed="false">
      <c r="A139" s="11" t="s">
        <v>95</v>
      </c>
      <c r="B139" s="24" t="n">
        <f aca="false">'Forecast M'!B42</f>
        <v>1120</v>
      </c>
      <c r="C139" s="24" t="n">
        <f aca="false">'Forecast M'!C42</f>
        <v>1117.74285</v>
      </c>
      <c r="D139" s="25" t="n">
        <f aca="false">B139-C139</f>
        <v>2.25714999999991</v>
      </c>
      <c r="E139" s="26" t="n">
        <f aca="false">IF(C139=0,"n/m",D139/ABS(C139))</f>
        <v>0.00201938218616197</v>
      </c>
      <c r="F139" s="27" t="str">
        <f aca="false">'Forecast M'!F42</f>
        <v>U</v>
      </c>
    </row>
    <row r="140" customFormat="false" ht="15" hidden="false" customHeight="false" outlineLevel="0" collapsed="false">
      <c r="A140" s="11" t="s">
        <v>96</v>
      </c>
      <c r="B140" s="24" t="n">
        <f aca="false">'Forecast M'!B43</f>
        <v>220</v>
      </c>
      <c r="C140" s="24" t="n">
        <f aca="false">'Forecast M'!C43</f>
        <v>229.224</v>
      </c>
      <c r="D140" s="25" t="n">
        <f aca="false">B140-C140</f>
        <v>-9.22399999999993</v>
      </c>
      <c r="E140" s="26" t="n">
        <f aca="false">IF(C140=0,"n/m",D140/ABS(C140))</f>
        <v>-0.0402401144731788</v>
      </c>
      <c r="F140" s="27" t="str">
        <f aca="false">'Forecast M'!F43</f>
        <v>U</v>
      </c>
    </row>
    <row r="141" customFormat="false" ht="15" hidden="false" customHeight="false" outlineLevel="0" collapsed="false">
      <c r="A141" s="5" t="s">
        <v>97</v>
      </c>
      <c r="B141" s="32" t="n">
        <f aca="false">'Forecast M'!B48</f>
        <v>160</v>
      </c>
      <c r="C141" s="24" t="n">
        <f aca="false">'Forecast M'!C48</f>
        <v>171.224</v>
      </c>
      <c r="D141" s="33" t="n">
        <f aca="false">B141-C141</f>
        <v>-11.2239999999999</v>
      </c>
      <c r="E141" s="26" t="n">
        <f aca="false">IF(C141=0,"n/m",D141/ABS(C141))</f>
        <v>-0.0655515581927764</v>
      </c>
      <c r="F141" s="27" t="str">
        <f aca="false">'Forecast M'!F48</f>
        <v>U</v>
      </c>
    </row>
    <row r="142" customFormat="false" ht="15" hidden="false" customHeight="false" outlineLevel="0" collapsed="false">
      <c r="A142" s="11" t="s">
        <v>98</v>
      </c>
      <c r="B142" s="24" t="n">
        <f aca="false">'Forecast M'!B72</f>
        <v>900</v>
      </c>
      <c r="C142" s="24" t="n">
        <f aca="false">'Forecast M'!C72</f>
        <v>900.77775</v>
      </c>
      <c r="D142" s="25" t="n">
        <f aca="false">B142-C142</f>
        <v>-0.777749999999742</v>
      </c>
      <c r="E142" s="26" t="n">
        <f aca="false">IF(C142=0,"n/m",D142/ABS(C142))</f>
        <v>-0.000863420527427262</v>
      </c>
      <c r="F142" s="27" t="str">
        <f aca="false">'Forecast M'!F72</f>
        <v>U</v>
      </c>
    </row>
    <row r="144" customFormat="false" ht="15" hidden="false" customHeight="false" outlineLevel="0" collapsed="false">
      <c r="A144" s="22" t="s">
        <v>99</v>
      </c>
      <c r="B144" s="23" t="s">
        <v>100</v>
      </c>
    </row>
    <row r="145" customFormat="false" ht="15" hidden="false" customHeight="false" outlineLevel="0" collapsed="false">
      <c r="A145" s="28" t="s">
        <v>101</v>
      </c>
      <c r="B145" s="34" t="n">
        <v>-7.2</v>
      </c>
    </row>
    <row r="146" customFormat="false" ht="15" hidden="false" customHeight="false" outlineLevel="0" collapsed="false">
      <c r="A146" s="28" t="s">
        <v>95</v>
      </c>
      <c r="B146" s="34" t="n">
        <v>-2.2</v>
      </c>
    </row>
    <row r="147" customFormat="false" ht="15" hidden="false" customHeight="false" outlineLevel="0" collapsed="false">
      <c r="A147" s="28" t="s">
        <v>126</v>
      </c>
      <c r="B147" s="34" t="n">
        <v>-2</v>
      </c>
    </row>
    <row r="148" customFormat="false" ht="15" hidden="false" customHeight="false" outlineLevel="0" collapsed="false">
      <c r="A148" s="28" t="s">
        <v>127</v>
      </c>
      <c r="B148" s="34" t="n">
        <v>0.2</v>
      </c>
    </row>
    <row r="149" customFormat="false" ht="15" hidden="false" customHeight="false" outlineLevel="0" collapsed="false">
      <c r="A149" s="5" t="s">
        <v>103</v>
      </c>
      <c r="B149" s="33" t="n">
        <f aca="false">SUM(B145:B148)</f>
        <v>-11.2</v>
      </c>
      <c r="C149" s="31" t="s">
        <v>104</v>
      </c>
      <c r="D149" s="25" t="n">
        <f aca="false">ROUND(D141,1)</f>
        <v>-11.2</v>
      </c>
      <c r="E149" s="13" t="str">
        <f aca="false">IF(ROUND(B149-D149,1)=0,"✓","✗")</f>
        <v>✓</v>
      </c>
    </row>
  </sheetData>
  <mergeCells count="7">
    <mergeCell ref="A6:H6"/>
    <mergeCell ref="A27:H27"/>
    <mergeCell ref="A48:H48"/>
    <mergeCell ref="A69:H69"/>
    <mergeCell ref="A90:H90"/>
    <mergeCell ref="A111:H111"/>
    <mergeCell ref="A132:H13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8" min="2" style="0" width="14"/>
  </cols>
  <sheetData>
    <row r="1" customFormat="false" ht="17.35" hidden="false" customHeight="false" outlineLevel="0" collapsed="false">
      <c r="A1" s="17" t="s">
        <v>128</v>
      </c>
    </row>
    <row r="2" customFormat="false" ht="15" hidden="false" customHeight="false" outlineLevel="0" collapsed="false">
      <c r="A2" s="18" t="s">
        <v>80</v>
      </c>
    </row>
    <row r="3" customFormat="false" ht="15" hidden="false" customHeight="false" outlineLevel="0" collapsed="false">
      <c r="A3" s="18" t="s">
        <v>129</v>
      </c>
    </row>
    <row r="5" customFormat="false" ht="18" hidden="false" customHeight="true" outlineLevel="0" collapsed="false">
      <c r="A5" s="3" t="s">
        <v>130</v>
      </c>
      <c r="B5" s="4"/>
      <c r="C5" s="4"/>
      <c r="D5" s="4"/>
      <c r="E5" s="4"/>
      <c r="F5" s="4"/>
      <c r="G5" s="4"/>
      <c r="H5" s="4"/>
    </row>
    <row r="6" customFormat="false" ht="27.75" hidden="false" customHeight="true" outlineLevel="0" collapsed="false">
      <c r="A6" s="35" t="s">
        <v>131</v>
      </c>
      <c r="B6" s="36" t="s">
        <v>25</v>
      </c>
      <c r="C6" s="36" t="s">
        <v>29</v>
      </c>
      <c r="D6" s="36" t="s">
        <v>31</v>
      </c>
      <c r="E6" s="36" t="s">
        <v>33</v>
      </c>
      <c r="F6" s="36" t="s">
        <v>132</v>
      </c>
      <c r="G6" s="36" t="s">
        <v>133</v>
      </c>
      <c r="H6" s="36" t="s">
        <v>134</v>
      </c>
    </row>
    <row r="7" customFormat="false" ht="15" hidden="false" customHeight="false" outlineLevel="0" collapsed="false">
      <c r="A7" s="5" t="s">
        <v>135</v>
      </c>
      <c r="B7" s="32" t="n">
        <f aca="false">MoM!C48</f>
        <v>199.201</v>
      </c>
      <c r="C7" s="32" t="n">
        <f aca="false">QoQ!C48</f>
        <v>407.705</v>
      </c>
      <c r="D7" s="32" t="n">
        <f aca="false">YoY!C48</f>
        <v>245.985</v>
      </c>
      <c r="E7" s="32" t="n">
        <f aca="false">YTD!C48</f>
        <v>1645.693</v>
      </c>
      <c r="F7" s="32" t="n">
        <f aca="false">'Budget M'!C48</f>
        <v>108.079</v>
      </c>
      <c r="G7" s="32" t="n">
        <f aca="false">'Budget YTD'!C48</f>
        <v>1540.969</v>
      </c>
      <c r="H7" s="32" t="n">
        <f aca="false">'Forecast M'!C48</f>
        <v>171.224</v>
      </c>
    </row>
    <row r="8" customFormat="false" ht="15" hidden="false" customHeight="false" outlineLevel="0" collapsed="false">
      <c r="A8" s="28" t="s">
        <v>136</v>
      </c>
      <c r="B8" s="24" t="n">
        <f aca="false">MoM!D10</f>
        <v>8.47299999999996</v>
      </c>
      <c r="C8" s="24" t="n">
        <f aca="false">QoQ!D10</f>
        <v>267.19</v>
      </c>
      <c r="D8" s="24" t="n">
        <f aca="false">YoY!D10</f>
        <v>376.381</v>
      </c>
      <c r="E8" s="24" t="n">
        <f aca="false">YTD!D10</f>
        <v>3135.667</v>
      </c>
      <c r="F8" s="24" t="n">
        <f aca="false">'Budget M'!D10</f>
        <v>-30</v>
      </c>
      <c r="G8" s="24" t="n">
        <f aca="false">'Budget YTD'!D10</f>
        <v>-466.603000000001</v>
      </c>
      <c r="H8" s="24" t="n">
        <f aca="false">'Forecast M'!D10</f>
        <v>0.238000000000056</v>
      </c>
    </row>
    <row r="9" customFormat="false" ht="15" hidden="false" customHeight="false" outlineLevel="0" collapsed="false">
      <c r="A9" s="28" t="s">
        <v>137</v>
      </c>
      <c r="B9" s="24" t="n">
        <f aca="false">-MoM!D20</f>
        <v>-26.5008200000001</v>
      </c>
      <c r="C9" s="24" t="n">
        <f aca="false">-QoQ!D20</f>
        <v>-55.6604500000001</v>
      </c>
      <c r="D9" s="24" t="n">
        <f aca="false">-YoY!D20</f>
        <v>-144.93782</v>
      </c>
      <c r="E9" s="24" t="n">
        <f aca="false">-YTD!D20</f>
        <v>-1099.4957</v>
      </c>
      <c r="F9" s="24" t="n">
        <f aca="false">-'Budget M'!D20</f>
        <v>7.77377000000001</v>
      </c>
      <c r="G9" s="24" t="n">
        <f aca="false">-'Budget YTD'!D20</f>
        <v>90.0032000000001</v>
      </c>
      <c r="H9" s="24" t="n">
        <f aca="false">-'Forecast M'!D20</f>
        <v>-7.20485000000008</v>
      </c>
    </row>
    <row r="10" customFormat="false" ht="15" hidden="false" customHeight="false" outlineLevel="0" collapsed="false">
      <c r="A10" s="28" t="s">
        <v>138</v>
      </c>
      <c r="B10" s="24" t="n">
        <f aca="false">-MoM!D42</f>
        <v>-15.17318</v>
      </c>
      <c r="C10" s="24" t="n">
        <f aca="false">-QoQ!D42</f>
        <v>-247.53355</v>
      </c>
      <c r="D10" s="24" t="n">
        <f aca="false">-YoY!D42</f>
        <v>-300.42818</v>
      </c>
      <c r="E10" s="24" t="n">
        <f aca="false">-YTD!D42</f>
        <v>-1904.9393</v>
      </c>
      <c r="F10" s="24" t="n">
        <f aca="false">-'Budget M'!D42</f>
        <v>67.14723</v>
      </c>
      <c r="G10" s="24" t="n">
        <f aca="false">-'Budget YTD'!D42</f>
        <v>472.5558</v>
      </c>
      <c r="H10" s="24" t="n">
        <f aca="false">-'Forecast M'!D42</f>
        <v>-2.25714999999991</v>
      </c>
    </row>
    <row r="11" customFormat="false" ht="15" hidden="false" customHeight="false" outlineLevel="0" collapsed="false">
      <c r="A11" s="28" t="s">
        <v>139</v>
      </c>
      <c r="B11" s="24" t="n">
        <f aca="false">MoM!D44</f>
        <v>-1</v>
      </c>
      <c r="C11" s="24" t="n">
        <f aca="false">QoQ!D44</f>
        <v>-1.5</v>
      </c>
      <c r="D11" s="24" t="n">
        <f aca="false">YoY!D44</f>
        <v>-3</v>
      </c>
      <c r="E11" s="24" t="n">
        <f aca="false">YTD!D44</f>
        <v>-18.5</v>
      </c>
      <c r="F11" s="24" t="n">
        <f aca="false">'Budget M'!D44</f>
        <v>2</v>
      </c>
      <c r="G11" s="24" t="n">
        <f aca="false">'Budget YTD'!D44</f>
        <v>17.5</v>
      </c>
      <c r="H11" s="24" t="n">
        <f aca="false">'Forecast M'!D44</f>
        <v>0</v>
      </c>
    </row>
    <row r="12" customFormat="false" ht="15" hidden="false" customHeight="false" outlineLevel="0" collapsed="false">
      <c r="A12" s="28" t="s">
        <v>140</v>
      </c>
      <c r="B12" s="24" t="n">
        <f aca="false">-MoM!D45</f>
        <v>-0</v>
      </c>
      <c r="C12" s="24" t="n">
        <f aca="false">-QoQ!D45</f>
        <v>0.5</v>
      </c>
      <c r="D12" s="24" t="n">
        <f aca="false">-YoY!D45</f>
        <v>2</v>
      </c>
      <c r="E12" s="24" t="n">
        <f aca="false">-YTD!D45</f>
        <v>17.5</v>
      </c>
      <c r="F12" s="24" t="n">
        <f aca="false">-'Budget M'!D45</f>
        <v>-0</v>
      </c>
      <c r="G12" s="24" t="n">
        <f aca="false">-'Budget YTD'!D45</f>
        <v>1.5</v>
      </c>
      <c r="H12" s="24" t="n">
        <f aca="false">-'Forecast M'!D45</f>
        <v>-0</v>
      </c>
    </row>
    <row r="13" customFormat="false" ht="15" hidden="false" customHeight="false" outlineLevel="0" collapsed="false">
      <c r="A13" s="28" t="s">
        <v>141</v>
      </c>
      <c r="B13" s="24" t="n">
        <f aca="false">-MoM!D47</f>
        <v>-5</v>
      </c>
      <c r="C13" s="24" t="n">
        <f aca="false">-QoQ!D47</f>
        <v>-11.5</v>
      </c>
      <c r="D13" s="24" t="n">
        <f aca="false">-YoY!D47</f>
        <v>-16</v>
      </c>
      <c r="E13" s="24" t="n">
        <f aca="false">-YTD!D47</f>
        <v>-80.5</v>
      </c>
      <c r="F13" s="24" t="n">
        <f aca="false">-'Budget M'!D47</f>
        <v>5</v>
      </c>
      <c r="G13" s="24" t="n">
        <f aca="false">-'Budget YTD'!D47</f>
        <v>39.5</v>
      </c>
      <c r="H13" s="24" t="n">
        <f aca="false">-'Forecast M'!D47</f>
        <v>-2</v>
      </c>
    </row>
    <row r="14" customFormat="false" ht="15" hidden="false" customHeight="false" outlineLevel="0" collapsed="false">
      <c r="A14" s="5" t="s">
        <v>142</v>
      </c>
      <c r="B14" s="37" t="n">
        <f aca="false">B7+SUM(B8:B13)</f>
        <v>160</v>
      </c>
      <c r="C14" s="37" t="n">
        <f aca="false">C7+SUM(C8:C13)</f>
        <v>359.201</v>
      </c>
      <c r="D14" s="37" t="n">
        <f aca="false">D7+SUM(D8:D13)</f>
        <v>160</v>
      </c>
      <c r="E14" s="37" t="n">
        <f aca="false">E7+SUM(E8:E13)</f>
        <v>1695.425</v>
      </c>
      <c r="F14" s="37" t="n">
        <f aca="false">F7+SUM(F8:F13)</f>
        <v>160</v>
      </c>
      <c r="G14" s="37" t="n">
        <f aca="false">G7+SUM(G8:G13)</f>
        <v>1695.425</v>
      </c>
      <c r="H14" s="37" t="n">
        <f aca="false">H7+SUM(H8:H13)</f>
        <v>160</v>
      </c>
    </row>
    <row r="15" customFormat="false" ht="15" hidden="false" customHeight="false" outlineLevel="0" collapsed="false">
      <c r="A15" s="38" t="s">
        <v>143</v>
      </c>
      <c r="B15" s="24" t="n">
        <f aca="false">MoM!B48</f>
        <v>160</v>
      </c>
      <c r="C15" s="24" t="n">
        <f aca="false">QoQ!B48</f>
        <v>359.201</v>
      </c>
      <c r="D15" s="24" t="n">
        <f aca="false">YoY!B48</f>
        <v>160</v>
      </c>
      <c r="E15" s="24" t="n">
        <f aca="false">YTD!B48</f>
        <v>1695.425</v>
      </c>
      <c r="F15" s="24" t="n">
        <f aca="false">'Budget M'!B48</f>
        <v>160</v>
      </c>
      <c r="G15" s="24" t="n">
        <f aca="false">'Budget YTD'!B48</f>
        <v>1695.425</v>
      </c>
      <c r="H15" s="24" t="n">
        <f aca="false">'Forecast M'!B48</f>
        <v>160</v>
      </c>
    </row>
    <row r="16" customFormat="false" ht="15" hidden="false" customHeight="false" outlineLevel="0" collapsed="false">
      <c r="A16" s="38" t="s">
        <v>144</v>
      </c>
      <c r="B16" s="39" t="str">
        <f aca="false">IF(ROUND(B14-B15,4)=0,"✓","✗")</f>
        <v>✓</v>
      </c>
      <c r="C16" s="39" t="str">
        <f aca="false">IF(ROUND(C14-C15,4)=0,"✓","✗")</f>
        <v>✓</v>
      </c>
      <c r="D16" s="39" t="str">
        <f aca="false">IF(ROUND(D14-D15,4)=0,"✓","✗")</f>
        <v>✓</v>
      </c>
      <c r="E16" s="39" t="str">
        <f aca="false">IF(ROUND(E14-E15,4)=0,"✓","✗")</f>
        <v>✓</v>
      </c>
      <c r="F16" s="39" t="str">
        <f aca="false">IF(ROUND(F14-F15,4)=0,"✓","✗")</f>
        <v>✓</v>
      </c>
      <c r="G16" s="39" t="str">
        <f aca="false">IF(ROUND(G14-G15,4)=0,"✓","✗")</f>
        <v>✓</v>
      </c>
      <c r="H16" s="39" t="str">
        <f aca="false">IF(ROUND(H14-H15,4)=0,"✓","✗")</f>
        <v>✓</v>
      </c>
    </row>
    <row r="18" customFormat="false" ht="18" hidden="false" customHeight="true" outlineLevel="0" collapsed="false">
      <c r="A18" s="3" t="s">
        <v>145</v>
      </c>
      <c r="B18" s="4"/>
      <c r="C18" s="4"/>
      <c r="D18" s="4"/>
      <c r="E18" s="4"/>
      <c r="F18" s="4"/>
      <c r="G18" s="4"/>
      <c r="H18" s="4"/>
    </row>
    <row r="19" customFormat="false" ht="27.75" hidden="false" customHeight="true" outlineLevel="0" collapsed="false">
      <c r="A19" s="35" t="s">
        <v>131</v>
      </c>
      <c r="B19" s="36" t="s">
        <v>25</v>
      </c>
      <c r="C19" s="36" t="s">
        <v>29</v>
      </c>
      <c r="D19" s="36" t="s">
        <v>31</v>
      </c>
      <c r="E19" s="36" t="s">
        <v>33</v>
      </c>
      <c r="F19" s="36" t="s">
        <v>132</v>
      </c>
      <c r="G19" s="36" t="s">
        <v>133</v>
      </c>
      <c r="H19" s="36" t="s">
        <v>134</v>
      </c>
    </row>
    <row r="20" customFormat="false" ht="15" hidden="false" customHeight="false" outlineLevel="0" collapsed="false">
      <c r="A20" s="5" t="s">
        <v>135</v>
      </c>
      <c r="B20" s="32" t="n">
        <f aca="false">MoM!C92</f>
        <v>199.201</v>
      </c>
      <c r="C20" s="32" t="n">
        <f aca="false">QoQ!C92</f>
        <v>407.705</v>
      </c>
      <c r="D20" s="32" t="n">
        <f aca="false">YoY!C92</f>
        <v>245.985</v>
      </c>
      <c r="E20" s="32" t="n">
        <f aca="false">YTD!C92</f>
        <v>1645.693</v>
      </c>
      <c r="F20" s="32" t="n">
        <f aca="false">'Budget M'!C92</f>
        <v>108.079</v>
      </c>
      <c r="G20" s="32" t="n">
        <f aca="false">'Budget YTD'!C92</f>
        <v>1540.969</v>
      </c>
      <c r="H20" s="32" t="n">
        <f aca="false">'Forecast M'!C92</f>
        <v>171.224</v>
      </c>
    </row>
    <row r="21" customFormat="false" ht="15" hidden="false" customHeight="false" outlineLevel="0" collapsed="false">
      <c r="A21" s="28" t="s">
        <v>136</v>
      </c>
      <c r="B21" s="24" t="n">
        <f aca="false">MoM!D53</f>
        <v>8.47299999999996</v>
      </c>
      <c r="C21" s="24" t="n">
        <f aca="false">QoQ!D53</f>
        <v>267.19</v>
      </c>
      <c r="D21" s="24" t="n">
        <f aca="false">YoY!D53</f>
        <v>376.381</v>
      </c>
      <c r="E21" s="24" t="n">
        <f aca="false">YTD!D53</f>
        <v>3135.667</v>
      </c>
      <c r="F21" s="24" t="n">
        <f aca="false">'Budget M'!D53</f>
        <v>-30</v>
      </c>
      <c r="G21" s="24" t="n">
        <f aca="false">'Budget YTD'!D53</f>
        <v>-466.603000000001</v>
      </c>
      <c r="H21" s="24" t="n">
        <f aca="false">'Forecast M'!D53</f>
        <v>0.238000000000056</v>
      </c>
    </row>
    <row r="22" customFormat="false" ht="15" hidden="false" customHeight="false" outlineLevel="0" collapsed="false">
      <c r="A22" s="28" t="s">
        <v>146</v>
      </c>
      <c r="B22" s="24" t="n">
        <f aca="false">-MoM!D64</f>
        <v>-26.70082</v>
      </c>
      <c r="C22" s="24" t="n">
        <f aca="false">-QoQ!D64</f>
        <v>-56.22045</v>
      </c>
      <c r="D22" s="24" t="n">
        <f aca="false">-YoY!D64</f>
        <v>-145.98782</v>
      </c>
      <c r="E22" s="24" t="n">
        <f aca="false">-YTD!D64</f>
        <v>-1105.47968</v>
      </c>
      <c r="F22" s="24" t="n">
        <f aca="false">-'Budget M'!D64</f>
        <v>7.87377000000004</v>
      </c>
      <c r="G22" s="24" t="n">
        <f aca="false">-'Budget YTD'!D64</f>
        <v>92.4032000000007</v>
      </c>
      <c r="H22" s="24" t="n">
        <f aca="false">-'Forecast M'!D64</f>
        <v>-7.20484999999997</v>
      </c>
    </row>
    <row r="23" customFormat="false" ht="15" hidden="false" customHeight="false" outlineLevel="0" collapsed="false">
      <c r="A23" s="28" t="s">
        <v>147</v>
      </c>
      <c r="B23" s="24" t="n">
        <f aca="false">-MoM!D66</f>
        <v>16.2869</v>
      </c>
      <c r="C23" s="24" t="n">
        <f aca="false">-QoQ!D66</f>
        <v>-148.6573</v>
      </c>
      <c r="D23" s="24" t="n">
        <f aca="false">-YoY!D66</f>
        <v>-138.0231</v>
      </c>
      <c r="E23" s="24" t="n">
        <f aca="false">-YTD!D66</f>
        <v>-865.0437</v>
      </c>
      <c r="F23" s="24" t="n">
        <f aca="false">-'Budget M'!D66</f>
        <v>31.9539</v>
      </c>
      <c r="G23" s="24" t="n">
        <f aca="false">-'Budget YTD'!D66</f>
        <v>184.1209</v>
      </c>
      <c r="H23" s="24" t="n">
        <f aca="false">-'Forecast M'!D66</f>
        <v>6.1891</v>
      </c>
    </row>
    <row r="24" customFormat="false" ht="15" hidden="false" customHeight="false" outlineLevel="0" collapsed="false">
      <c r="A24" s="28" t="s">
        <v>148</v>
      </c>
      <c r="B24" s="24" t="n">
        <f aca="false">-MoM!D87</f>
        <v>-31.26008</v>
      </c>
      <c r="C24" s="24" t="n">
        <f aca="false">-QoQ!D87</f>
        <v>-98.3162500000001</v>
      </c>
      <c r="D24" s="24" t="n">
        <f aca="false">-YoY!D87</f>
        <v>-161.35508</v>
      </c>
      <c r="E24" s="24" t="n">
        <f aca="false">-YTD!D87</f>
        <v>-1033.91162</v>
      </c>
      <c r="F24" s="24" t="n">
        <f aca="false">-'Budget M'!D87</f>
        <v>35.0933299999999</v>
      </c>
      <c r="G24" s="24" t="n">
        <f aca="false">-'Budget YTD'!D87</f>
        <v>286.034900000001</v>
      </c>
      <c r="H24" s="24" t="n">
        <f aca="false">-'Forecast M'!D87</f>
        <v>-8.44624999999996</v>
      </c>
    </row>
    <row r="25" customFormat="false" ht="15" hidden="false" customHeight="false" outlineLevel="0" collapsed="false">
      <c r="A25" s="28" t="s">
        <v>139</v>
      </c>
      <c r="B25" s="24" t="n">
        <f aca="false">MoM!D89</f>
        <v>-1</v>
      </c>
      <c r="C25" s="24" t="n">
        <f aca="false">QoQ!D89</f>
        <v>-1.5</v>
      </c>
      <c r="D25" s="24" t="n">
        <f aca="false">YoY!D89</f>
        <v>-3</v>
      </c>
      <c r="E25" s="24" t="n">
        <f aca="false">YTD!D89</f>
        <v>-18.5</v>
      </c>
      <c r="F25" s="24" t="n">
        <f aca="false">'Budget M'!D89</f>
        <v>2</v>
      </c>
      <c r="G25" s="24" t="n">
        <f aca="false">'Budget YTD'!D89</f>
        <v>17.5</v>
      </c>
      <c r="H25" s="24" t="n">
        <f aca="false">'Forecast M'!D89</f>
        <v>0</v>
      </c>
    </row>
    <row r="26" customFormat="false" ht="15" hidden="false" customHeight="false" outlineLevel="0" collapsed="false">
      <c r="A26" s="28" t="s">
        <v>140</v>
      </c>
      <c r="B26" s="24" t="n">
        <f aca="false">-MoM!D90</f>
        <v>-0</v>
      </c>
      <c r="C26" s="24" t="n">
        <f aca="false">-QoQ!D90</f>
        <v>0.5</v>
      </c>
      <c r="D26" s="24" t="n">
        <f aca="false">-YoY!D90</f>
        <v>2</v>
      </c>
      <c r="E26" s="24" t="n">
        <f aca="false">-YTD!D90</f>
        <v>17.5</v>
      </c>
      <c r="F26" s="24" t="n">
        <f aca="false">-'Budget M'!D90</f>
        <v>-0</v>
      </c>
      <c r="G26" s="24" t="n">
        <f aca="false">-'Budget YTD'!D90</f>
        <v>1.5</v>
      </c>
      <c r="H26" s="24" t="n">
        <f aca="false">-'Forecast M'!D90</f>
        <v>-0</v>
      </c>
    </row>
    <row r="27" customFormat="false" ht="15" hidden="false" customHeight="false" outlineLevel="0" collapsed="false">
      <c r="A27" s="28" t="s">
        <v>141</v>
      </c>
      <c r="B27" s="24" t="n">
        <f aca="false">-MoM!D91</f>
        <v>-5</v>
      </c>
      <c r="C27" s="24" t="n">
        <f aca="false">-QoQ!D91</f>
        <v>-11.5</v>
      </c>
      <c r="D27" s="24" t="n">
        <f aca="false">-YoY!D91</f>
        <v>-16</v>
      </c>
      <c r="E27" s="24" t="n">
        <f aca="false">-YTD!D91</f>
        <v>-80.5</v>
      </c>
      <c r="F27" s="24" t="n">
        <f aca="false">-'Budget M'!D91</f>
        <v>5</v>
      </c>
      <c r="G27" s="24" t="n">
        <f aca="false">-'Budget YTD'!D91</f>
        <v>39.5</v>
      </c>
      <c r="H27" s="24" t="n">
        <f aca="false">-'Forecast M'!D91</f>
        <v>-2</v>
      </c>
    </row>
    <row r="28" customFormat="false" ht="15" hidden="false" customHeight="false" outlineLevel="0" collapsed="false">
      <c r="A28" s="5" t="s">
        <v>142</v>
      </c>
      <c r="B28" s="37" t="n">
        <f aca="false">B20+SUM(B21:B27)</f>
        <v>160</v>
      </c>
      <c r="C28" s="37" t="n">
        <f aca="false">C20+SUM(C21:C27)</f>
        <v>359.201</v>
      </c>
      <c r="D28" s="37" t="n">
        <f aca="false">D20+SUM(D21:D27)</f>
        <v>160</v>
      </c>
      <c r="E28" s="37" t="n">
        <f aca="false">E20+SUM(E21:E27)</f>
        <v>1695.425</v>
      </c>
      <c r="F28" s="37" t="n">
        <f aca="false">F20+SUM(F21:F27)</f>
        <v>160</v>
      </c>
      <c r="G28" s="37" t="n">
        <f aca="false">G20+SUM(G21:G27)</f>
        <v>1695.425</v>
      </c>
      <c r="H28" s="37" t="n">
        <f aca="false">H20+SUM(H21:H27)</f>
        <v>160</v>
      </c>
    </row>
    <row r="29" customFormat="false" ht="15" hidden="false" customHeight="false" outlineLevel="0" collapsed="false">
      <c r="A29" s="38" t="s">
        <v>143</v>
      </c>
      <c r="B29" s="24" t="n">
        <f aca="false">MoM!B92</f>
        <v>160</v>
      </c>
      <c r="C29" s="24" t="n">
        <f aca="false">QoQ!B92</f>
        <v>359.201</v>
      </c>
      <c r="D29" s="24" t="n">
        <f aca="false">YoY!B92</f>
        <v>160</v>
      </c>
      <c r="E29" s="24" t="n">
        <f aca="false">YTD!B92</f>
        <v>1695.425</v>
      </c>
      <c r="F29" s="24" t="n">
        <f aca="false">'Budget M'!B92</f>
        <v>160</v>
      </c>
      <c r="G29" s="24" t="n">
        <f aca="false">'Budget YTD'!B92</f>
        <v>1695.425</v>
      </c>
      <c r="H29" s="24" t="n">
        <f aca="false">'Forecast M'!B92</f>
        <v>160</v>
      </c>
    </row>
    <row r="30" customFormat="false" ht="15" hidden="false" customHeight="false" outlineLevel="0" collapsed="false">
      <c r="A30" s="38" t="s">
        <v>144</v>
      </c>
      <c r="B30" s="39" t="str">
        <f aca="false">IF(ROUND(B28-B29,4)=0,"✓","✗")</f>
        <v>✓</v>
      </c>
      <c r="C30" s="39" t="str">
        <f aca="false">IF(ROUND(C28-C29,4)=0,"✓","✗")</f>
        <v>✓</v>
      </c>
      <c r="D30" s="39" t="str">
        <f aca="false">IF(ROUND(D28-D29,4)=0,"✓","✗")</f>
        <v>✓</v>
      </c>
      <c r="E30" s="39" t="str">
        <f aca="false">IF(ROUND(E28-E29,4)=0,"✓","✗")</f>
        <v>✓</v>
      </c>
      <c r="F30" s="39" t="str">
        <f aca="false">IF(ROUND(F28-F29,4)=0,"✓","✗")</f>
        <v>✓</v>
      </c>
      <c r="G30" s="39" t="str">
        <f aca="false">IF(ROUND(G28-G29,4)=0,"✓","✗")</f>
        <v>✓</v>
      </c>
      <c r="H30" s="39" t="str">
        <f aca="false">IF(ROUND(H28-H29,4)=0,"✓","✗")</f>
        <v>✓</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1"/>
    <col collapsed="false" customWidth="true" hidden="false" outlineLevel="0" max="3" min="3" style="0" width="8"/>
    <col collapsed="false" customWidth="true" hidden="false" outlineLevel="0" max="4" min="4" style="0" width="11"/>
    <col collapsed="false" customWidth="true" hidden="false" outlineLevel="0" max="5" min="5" style="0" width="8"/>
    <col collapsed="false" customWidth="true" hidden="false" outlineLevel="0" max="6" min="6" style="0" width="11"/>
    <col collapsed="false" customWidth="true" hidden="false" outlineLevel="0" max="7" min="7" style="0" width="8"/>
    <col collapsed="false" customWidth="true" hidden="false" outlineLevel="0" max="8" min="8" style="0" width="11"/>
    <col collapsed="false" customWidth="true" hidden="false" outlineLevel="0" max="9" min="9" style="0" width="8"/>
    <col collapsed="false" customWidth="true" hidden="false" outlineLevel="0" max="10" min="10" style="0" width="11"/>
    <col collapsed="false" customWidth="true" hidden="false" outlineLevel="0" max="11" min="11" style="0" width="8"/>
    <col collapsed="false" customWidth="true" hidden="false" outlineLevel="0" max="12" min="12" style="0" width="11"/>
    <col collapsed="false" customWidth="true" hidden="false" outlineLevel="0" max="13" min="13" style="0" width="8"/>
    <col collapsed="false" customWidth="true" hidden="false" outlineLevel="0" max="14" min="14" style="0" width="11"/>
    <col collapsed="false" customWidth="true" hidden="false" outlineLevel="0" max="15" min="15" style="0" width="8"/>
  </cols>
  <sheetData>
    <row r="1" customFormat="false" ht="17.35" hidden="false" customHeight="false" outlineLevel="0" collapsed="false">
      <c r="A1" s="17" t="s">
        <v>149</v>
      </c>
    </row>
    <row r="2" customFormat="false" ht="15" hidden="false" customHeight="false" outlineLevel="0" collapsed="false">
      <c r="A2" s="18" t="s">
        <v>80</v>
      </c>
    </row>
    <row r="3" customFormat="false" ht="15" hidden="false" customHeight="false" outlineLevel="0" collapsed="false">
      <c r="A3" s="18" t="s">
        <v>150</v>
      </c>
    </row>
    <row r="5" customFormat="false" ht="15" hidden="false" customHeight="false" outlineLevel="0" collapsed="false">
      <c r="A5" s="40" t="s">
        <v>151</v>
      </c>
      <c r="B5" s="41" t="s">
        <v>25</v>
      </c>
      <c r="C5" s="41"/>
      <c r="D5" s="41" t="s">
        <v>29</v>
      </c>
      <c r="E5" s="41"/>
      <c r="F5" s="41" t="s">
        <v>31</v>
      </c>
      <c r="G5" s="41"/>
      <c r="H5" s="41" t="s">
        <v>33</v>
      </c>
      <c r="I5" s="41"/>
      <c r="J5" s="41" t="s">
        <v>132</v>
      </c>
      <c r="K5" s="41"/>
      <c r="L5" s="41" t="s">
        <v>133</v>
      </c>
      <c r="M5" s="41"/>
      <c r="N5" s="41" t="s">
        <v>134</v>
      </c>
      <c r="O5" s="41"/>
    </row>
    <row r="6" customFormat="false" ht="15" hidden="false" customHeight="false" outlineLevel="0" collapsed="false">
      <c r="A6" s="42"/>
      <c r="B6" s="43" t="s">
        <v>88</v>
      </c>
      <c r="C6" s="43" t="s">
        <v>89</v>
      </c>
      <c r="D6" s="43" t="s">
        <v>88</v>
      </c>
      <c r="E6" s="43" t="s">
        <v>89</v>
      </c>
      <c r="F6" s="43" t="s">
        <v>88</v>
      </c>
      <c r="G6" s="43" t="s">
        <v>89</v>
      </c>
      <c r="H6" s="43" t="s">
        <v>88</v>
      </c>
      <c r="I6" s="43" t="s">
        <v>89</v>
      </c>
      <c r="J6" s="43" t="s">
        <v>88</v>
      </c>
      <c r="K6" s="43" t="s">
        <v>89</v>
      </c>
      <c r="L6" s="43" t="s">
        <v>88</v>
      </c>
      <c r="M6" s="43" t="s">
        <v>89</v>
      </c>
      <c r="N6" s="43" t="s">
        <v>88</v>
      </c>
      <c r="O6" s="43" t="s">
        <v>89</v>
      </c>
    </row>
    <row r="7" customFormat="false" ht="18" hidden="false" customHeight="true" outlineLevel="0" collapsed="false">
      <c r="A7" s="44" t="s">
        <v>152</v>
      </c>
      <c r="B7" s="45"/>
      <c r="C7" s="45"/>
      <c r="D7" s="45"/>
      <c r="E7" s="45"/>
      <c r="F7" s="45"/>
      <c r="G7" s="45"/>
      <c r="H7" s="45"/>
      <c r="I7" s="45"/>
      <c r="J7" s="45"/>
      <c r="K7" s="45"/>
      <c r="L7" s="45"/>
      <c r="M7" s="45"/>
      <c r="N7" s="45"/>
      <c r="O7" s="45"/>
    </row>
    <row r="8" customFormat="false" ht="15" hidden="false" customHeight="false" outlineLevel="0" collapsed="false">
      <c r="A8" s="11" t="s">
        <v>153</v>
      </c>
      <c r="B8" s="24" t="n">
        <f aca="false">MoM!D8</f>
        <v>23.473</v>
      </c>
      <c r="C8" s="46" t="n">
        <f aca="false">MoM!E8</f>
        <v>0.0132128585718089</v>
      </c>
      <c r="D8" s="24" t="n">
        <f aca="false">QoQ!D8</f>
        <v>132.19</v>
      </c>
      <c r="E8" s="46" t="n">
        <f aca="false">QoQ!E8</f>
        <v>0.0383789391107781</v>
      </c>
      <c r="F8" s="24" t="n">
        <f aca="false">YoY!D8</f>
        <v>306.381</v>
      </c>
      <c r="G8" s="46" t="n">
        <f aca="false">YoY!E8</f>
        <v>0.205126608592955</v>
      </c>
      <c r="H8" s="24" t="n">
        <f aca="false">YTD!D8</f>
        <v>2695.667</v>
      </c>
      <c r="I8" s="46" t="n">
        <f aca="false">YTD!E8</f>
        <v>0.242335725345767</v>
      </c>
      <c r="J8" s="24" t="n">
        <f aca="false">'Budget M'!D8</f>
        <v>-50</v>
      </c>
      <c r="K8" s="46" t="n">
        <f aca="false">'Budget M'!E8</f>
        <v>-0.027027027027027</v>
      </c>
      <c r="L8" s="24" t="n">
        <f aca="false">'Budget YTD'!D8</f>
        <v>-436.603000000001</v>
      </c>
      <c r="M8" s="46" t="n">
        <f aca="false">'Budget YTD'!E8</f>
        <v>-0.030626002124866</v>
      </c>
      <c r="N8" s="24" t="n">
        <f aca="false">'Forecast M'!D8</f>
        <v>5.23800000000006</v>
      </c>
      <c r="O8" s="46" t="n">
        <f aca="false">'Forecast M'!E8</f>
        <v>0.00291849281408903</v>
      </c>
    </row>
    <row r="9" customFormat="false" ht="15" hidden="false" customHeight="false" outlineLevel="0" collapsed="false">
      <c r="A9" s="11" t="s">
        <v>154</v>
      </c>
      <c r="B9" s="24" t="n">
        <f aca="false">MoM!D9</f>
        <v>-15</v>
      </c>
      <c r="C9" s="46" t="n">
        <f aca="false">MoM!E9</f>
        <v>-0.0697674418604651</v>
      </c>
      <c r="D9" s="24" t="n">
        <f aca="false">QoQ!D9</f>
        <v>135</v>
      </c>
      <c r="E9" s="46" t="n">
        <f aca="false">QoQ!E9</f>
        <v>0.482142857142857</v>
      </c>
      <c r="F9" s="24" t="n">
        <f aca="false">YoY!D9</f>
        <v>70</v>
      </c>
      <c r="G9" s="46" t="n">
        <f aca="false">YoY!E9</f>
        <v>0.538461538461538</v>
      </c>
      <c r="H9" s="24" t="n">
        <f aca="false">YTD!D9</f>
        <v>440</v>
      </c>
      <c r="I9" s="46" t="n">
        <f aca="false">YTD!E9</f>
        <v>0.49438202247191</v>
      </c>
      <c r="J9" s="24" t="n">
        <f aca="false">'Budget M'!D9</f>
        <v>20</v>
      </c>
      <c r="K9" s="46" t="n">
        <f aca="false">'Budget M'!E9</f>
        <v>0.111111111111111</v>
      </c>
      <c r="L9" s="24" t="n">
        <f aca="false">'Budget YTD'!D9</f>
        <v>-30</v>
      </c>
      <c r="M9" s="46" t="n">
        <f aca="false">'Budget YTD'!E9</f>
        <v>-0.0220588235294118</v>
      </c>
      <c r="N9" s="24" t="n">
        <f aca="false">'Forecast M'!D9</f>
        <v>-5</v>
      </c>
      <c r="O9" s="46" t="n">
        <f aca="false">'Forecast M'!E9</f>
        <v>-0.024390243902439</v>
      </c>
    </row>
    <row r="10" customFormat="false" ht="15" hidden="false" customHeight="false" outlineLevel="0" collapsed="false">
      <c r="A10" s="5" t="s">
        <v>91</v>
      </c>
      <c r="B10" s="32" t="n">
        <f aca="false">MoM!D10</f>
        <v>8.47299999999996</v>
      </c>
      <c r="C10" s="46" t="n">
        <f aca="false">MoM!E10</f>
        <v>0.00425452429216373</v>
      </c>
      <c r="D10" s="32" t="n">
        <f aca="false">QoQ!D10</f>
        <v>267.19</v>
      </c>
      <c r="E10" s="46" t="n">
        <f aca="false">QoQ!E10</f>
        <v>0.0717416281072309</v>
      </c>
      <c r="F10" s="32" t="n">
        <f aca="false">YoY!D10</f>
        <v>376.381</v>
      </c>
      <c r="G10" s="46" t="n">
        <f aca="false">YoY!E10</f>
        <v>0.231816084931256</v>
      </c>
      <c r="H10" s="32" t="n">
        <f aca="false">YTD!D10</f>
        <v>3135.667</v>
      </c>
      <c r="I10" s="46" t="n">
        <f aca="false">YTD!E10</f>
        <v>0.261007860367274</v>
      </c>
      <c r="J10" s="32" t="n">
        <f aca="false">'Budget M'!D10</f>
        <v>-30</v>
      </c>
      <c r="K10" s="46" t="n">
        <f aca="false">'Budget M'!E10</f>
        <v>-0.0147783251231527</v>
      </c>
      <c r="L10" s="32" t="n">
        <f aca="false">'Budget YTD'!D10</f>
        <v>-466.603000000001</v>
      </c>
      <c r="M10" s="46" t="n">
        <f aca="false">'Budget YTD'!E10</f>
        <v>-0.0298798831298087</v>
      </c>
      <c r="N10" s="32" t="n">
        <f aca="false">'Forecast M'!D10</f>
        <v>0.238000000000056</v>
      </c>
      <c r="O10" s="46" t="n">
        <f aca="false">'Forecast M'!E10</f>
        <v>0.000119014162685388</v>
      </c>
    </row>
    <row r="11" customFormat="false" ht="15" hidden="false" customHeight="false" outlineLevel="0" collapsed="false">
      <c r="A11" s="11" t="s">
        <v>155</v>
      </c>
      <c r="B11" s="24" t="n">
        <f aca="false">MoM!D11</f>
        <v>25.6128200000001</v>
      </c>
      <c r="C11" s="46" t="n">
        <f aca="false">MoM!E11</f>
        <v>0.0497928816966241</v>
      </c>
      <c r="D11" s="24" t="n">
        <f aca="false">QoQ!D11</f>
        <v>55.73645</v>
      </c>
      <c r="E11" s="46" t="n">
        <f aca="false">QoQ!E11</f>
        <v>0.05581175512684</v>
      </c>
      <c r="F11" s="24" t="n">
        <f aca="false">YoY!D11</f>
        <v>128.53282</v>
      </c>
      <c r="G11" s="46" t="n">
        <f aca="false">YoY!E11</f>
        <v>0.312376846192204</v>
      </c>
      <c r="H11" s="24" t="n">
        <f aca="false">YTD!D11</f>
        <v>888.079699999999</v>
      </c>
      <c r="I11" s="46" t="n">
        <f aca="false">YTD!E11</f>
        <v>0.28679647247066</v>
      </c>
      <c r="J11" s="24" t="n">
        <f aca="false">'Budget M'!D11</f>
        <v>-8.36176999999998</v>
      </c>
      <c r="K11" s="46" t="n">
        <f aca="false">'Budget M'!E11</f>
        <v>-0.0152486377742927</v>
      </c>
      <c r="L11" s="24" t="n">
        <f aca="false">'Budget YTD'!D11</f>
        <v>-90.5912000000008</v>
      </c>
      <c r="M11" s="46" t="n">
        <f aca="false">'Budget YTD'!E11</f>
        <v>-0.0222297626990894</v>
      </c>
      <c r="N11" s="24" t="n">
        <f aca="false">'Forecast M'!D11</f>
        <v>6.61685000000011</v>
      </c>
      <c r="O11" s="46" t="n">
        <f aca="false">'Forecast M'!E11</f>
        <v>0.0124054350048368</v>
      </c>
    </row>
    <row r="12" customFormat="false" ht="15" hidden="false" customHeight="false" outlineLevel="0" collapsed="false">
      <c r="A12" s="11" t="s">
        <v>156</v>
      </c>
      <c r="B12" s="24" t="n">
        <f aca="false">MoM!D19</f>
        <v>0.888000000000005</v>
      </c>
      <c r="C12" s="46" t="n">
        <f aca="false">MoM!E19</f>
        <v>0.00745516824501314</v>
      </c>
      <c r="D12" s="24" t="n">
        <f aca="false">QoQ!D19</f>
        <v>-0.0759999999999934</v>
      </c>
      <c r="E12" s="46" t="n">
        <f aca="false">QoQ!E19</f>
        <v>-0.000317741692727032</v>
      </c>
      <c r="F12" s="24" t="n">
        <f aca="false">YoY!D19</f>
        <v>16.405</v>
      </c>
      <c r="G12" s="46" t="n">
        <f aca="false">YoY!E19</f>
        <v>0.158357063564844</v>
      </c>
      <c r="H12" s="24" t="n">
        <f aca="false">YTD!D19</f>
        <v>211.416</v>
      </c>
      <c r="I12" s="46" t="n">
        <f aca="false">YTD!E19</f>
        <v>0.282584287684855</v>
      </c>
      <c r="J12" s="24" t="n">
        <f aca="false">'Budget M'!D19</f>
        <v>0.587999999999994</v>
      </c>
      <c r="K12" s="46" t="n">
        <f aca="false">'Budget M'!E19</f>
        <v>0.00492412822831871</v>
      </c>
      <c r="L12" s="24" t="n">
        <f aca="false">'Budget YTD'!D19</f>
        <v>0.587999999999965</v>
      </c>
      <c r="M12" s="46" t="n">
        <f aca="false">'Budget YTD'!E19</f>
        <v>0.000613151473440495</v>
      </c>
      <c r="N12" s="24" t="n">
        <f aca="false">'Forecast M'!D19</f>
        <v>0.587999999999994</v>
      </c>
      <c r="O12" s="46" t="n">
        <f aca="false">'Forecast M'!E19</f>
        <v>0.00492412822831871</v>
      </c>
    </row>
    <row r="13" customFormat="false" ht="15" hidden="false" customHeight="false" outlineLevel="0" collapsed="false">
      <c r="A13" s="5" t="s">
        <v>101</v>
      </c>
      <c r="B13" s="32" t="n">
        <f aca="false">MoM!D20</f>
        <v>26.5008200000001</v>
      </c>
      <c r="C13" s="46" t="n">
        <f aca="false">MoM!E20</f>
        <v>0.0418324456236867</v>
      </c>
      <c r="D13" s="32" t="n">
        <f aca="false">QoQ!D20</f>
        <v>55.6604500000001</v>
      </c>
      <c r="E13" s="46" t="n">
        <f aca="false">QoQ!E20</f>
        <v>0.0449658333117434</v>
      </c>
      <c r="F13" s="32" t="n">
        <f aca="false">YoY!D20</f>
        <v>144.93782</v>
      </c>
      <c r="G13" s="46" t="n">
        <f aca="false">YoY!E20</f>
        <v>0.281398684718028</v>
      </c>
      <c r="H13" s="32" t="n">
        <f aca="false">YTD!D20</f>
        <v>1099.4957</v>
      </c>
      <c r="I13" s="46" t="n">
        <f aca="false">YTD!E20</f>
        <v>0.285976810963951</v>
      </c>
      <c r="J13" s="32" t="n">
        <f aca="false">'Budget M'!D20</f>
        <v>-7.77377000000001</v>
      </c>
      <c r="K13" s="46" t="n">
        <f aca="false">'Budget M'!E20</f>
        <v>-0.0116413227791203</v>
      </c>
      <c r="L13" s="32" t="n">
        <f aca="false">'Budget YTD'!D20</f>
        <v>-90.0032000000001</v>
      </c>
      <c r="M13" s="46" t="n">
        <f aca="false">'Budget YTD'!E20</f>
        <v>-0.0178783478456887</v>
      </c>
      <c r="N13" s="32" t="n">
        <f aca="false">'Forecast M'!D20</f>
        <v>7.20485000000008</v>
      </c>
      <c r="O13" s="46" t="n">
        <f aca="false">'Forecast M'!E20</f>
        <v>0.0110369232982201</v>
      </c>
    </row>
    <row r="14" customFormat="false" ht="15" hidden="false" customHeight="false" outlineLevel="0" collapsed="false">
      <c r="A14" s="5" t="s">
        <v>92</v>
      </c>
      <c r="B14" s="32" t="n">
        <f aca="false">MoM!D21</f>
        <v>-18.0278200000002</v>
      </c>
      <c r="C14" s="46" t="n">
        <f aca="false">MoM!E21</f>
        <v>-0.0132750005077217</v>
      </c>
      <c r="D14" s="32" t="n">
        <f aca="false">QoQ!D21</f>
        <v>211.52955</v>
      </c>
      <c r="E14" s="46" t="n">
        <f aca="false">QoQ!E21</f>
        <v>0.0850712636932582</v>
      </c>
      <c r="F14" s="32" t="n">
        <f aca="false">YoY!D21</f>
        <v>231.44318</v>
      </c>
      <c r="G14" s="46" t="n">
        <f aca="false">YoY!E21</f>
        <v>0.208778815685785</v>
      </c>
      <c r="H14" s="32" t="n">
        <f aca="false">YTD!D21</f>
        <v>2036.1713</v>
      </c>
      <c r="I14" s="46" t="n">
        <f aca="false">YTD!E21</f>
        <v>0.24925631801601</v>
      </c>
      <c r="J14" s="32" t="n">
        <f aca="false">'Budget M'!D21</f>
        <v>-22.22623</v>
      </c>
      <c r="K14" s="46" t="n">
        <f aca="false">'Budget M'!E21</f>
        <v>-0.0163161077877644</v>
      </c>
      <c r="L14" s="32" t="n">
        <f aca="false">'Budget YTD'!D21</f>
        <v>-376.599800000002</v>
      </c>
      <c r="M14" s="46" t="n">
        <f aca="false">'Budget YTD'!E21</f>
        <v>-0.0355895345888224</v>
      </c>
      <c r="N14" s="32" t="n">
        <f aca="false">'Forecast M'!D21</f>
        <v>-6.96685000000002</v>
      </c>
      <c r="O14" s="46" t="n">
        <f aca="false">'Forecast M'!E21</f>
        <v>-0.0051722505271752</v>
      </c>
    </row>
    <row r="15" customFormat="false" ht="15" hidden="false" customHeight="false" outlineLevel="0" collapsed="false">
      <c r="A15" s="11" t="s">
        <v>157</v>
      </c>
      <c r="B15" s="24" t="n">
        <f aca="false">MoM!D22</f>
        <v>21.56342</v>
      </c>
      <c r="C15" s="46" t="n">
        <f aca="false">MoM!E22</f>
        <v>0.0549475280821171</v>
      </c>
      <c r="D15" s="24" t="n">
        <f aca="false">QoQ!D22</f>
        <v>44.9502699999999</v>
      </c>
      <c r="E15" s="46" t="n">
        <f aca="false">QoQ!E22</f>
        <v>0.0590296495284333</v>
      </c>
      <c r="F15" s="24" t="n">
        <f aca="false">YoY!D22</f>
        <v>99.97342</v>
      </c>
      <c r="G15" s="46" t="n">
        <f aca="false">YoY!E22</f>
        <v>0.318359738847584</v>
      </c>
      <c r="H15" s="24" t="n">
        <f aca="false">YTD!D22</f>
        <v>692.32815</v>
      </c>
      <c r="I15" s="46" t="n">
        <f aca="false">YTD!E22</f>
        <v>0.292219876660622</v>
      </c>
      <c r="J15" s="24" t="n">
        <f aca="false">'Budget M'!D22</f>
        <v>-36.65167</v>
      </c>
      <c r="K15" s="46" t="n">
        <f aca="false">'Budget M'!E22</f>
        <v>-0.0813303765189642</v>
      </c>
      <c r="L15" s="24" t="n">
        <f aca="false">'Budget YTD'!D22</f>
        <v>-201.961580000001</v>
      </c>
      <c r="M15" s="46" t="n">
        <f aca="false">'Budget YTD'!E22</f>
        <v>-0.0618851048893304</v>
      </c>
      <c r="N15" s="24" t="n">
        <f aca="false">'Forecast M'!D22</f>
        <v>-8.95375000000001</v>
      </c>
      <c r="O15" s="46" t="n">
        <f aca="false">'Forecast M'!E22</f>
        <v>-0.021169572323215</v>
      </c>
    </row>
    <row r="16" customFormat="false" ht="15" hidden="false" customHeight="false" outlineLevel="0" collapsed="false">
      <c r="A16" s="11" t="s">
        <v>158</v>
      </c>
      <c r="B16" s="24" t="n">
        <f aca="false">MoM!D28</f>
        <v>-15.77357</v>
      </c>
      <c r="C16" s="46" t="n">
        <f aca="false">MoM!E28</f>
        <v>-0.0311870191239926</v>
      </c>
      <c r="D16" s="24" t="n">
        <f aca="false">QoQ!D28</f>
        <v>152.6933</v>
      </c>
      <c r="E16" s="46" t="n">
        <f aca="false">QoQ!E28</f>
        <v>0.181113596692282</v>
      </c>
      <c r="F16" s="24" t="n">
        <f aca="false">YoY!D28</f>
        <v>147.54643</v>
      </c>
      <c r="G16" s="46" t="n">
        <f aca="false">YoY!E28</f>
        <v>0.430850903379398</v>
      </c>
      <c r="H16" s="24" t="n">
        <f aca="false">YTD!D28</f>
        <v>946.50831</v>
      </c>
      <c r="I16" s="46" t="n">
        <f aca="false">YTD!E28</f>
        <v>0.371122576534978</v>
      </c>
      <c r="J16" s="24" t="n">
        <f aca="false">'Budget M'!D28</f>
        <v>-34.13723</v>
      </c>
      <c r="K16" s="46" t="n">
        <f aca="false">'Budget M'!E28</f>
        <v>-0.065130328559183</v>
      </c>
      <c r="L16" s="24" t="n">
        <f aca="false">'Budget YTD'!D28</f>
        <v>-198.82755</v>
      </c>
      <c r="M16" s="46" t="n">
        <f aca="false">'Budget YTD'!E28</f>
        <v>-0.0537992838954601</v>
      </c>
      <c r="N16" s="24" t="n">
        <f aca="false">'Forecast M'!D28</f>
        <v>-7.78910000000002</v>
      </c>
      <c r="O16" s="46" t="n">
        <f aca="false">'Forecast M'!E28</f>
        <v>-0.0156473896274547</v>
      </c>
    </row>
    <row r="17" customFormat="false" ht="15" hidden="false" customHeight="false" outlineLevel="0" collapsed="false">
      <c r="A17" s="11" t="s">
        <v>159</v>
      </c>
      <c r="B17" s="24" t="n">
        <f aca="false">MoM!D37</f>
        <v>9.38333</v>
      </c>
      <c r="C17" s="46" t="n">
        <f aca="false">MoM!E37</f>
        <v>0.0454141962504768</v>
      </c>
      <c r="D17" s="24" t="n">
        <f aca="false">QoQ!D37</f>
        <v>49.88998</v>
      </c>
      <c r="E17" s="46" t="n">
        <f aca="false">QoQ!E37</f>
        <v>0.133851375118857</v>
      </c>
      <c r="F17" s="24" t="n">
        <f aca="false">YoY!D37</f>
        <v>52.90833</v>
      </c>
      <c r="G17" s="46" t="n">
        <f aca="false">YoY!E37</f>
        <v>0.324408536622379</v>
      </c>
      <c r="H17" s="24" t="n">
        <f aca="false">YTD!D37</f>
        <v>266.10284</v>
      </c>
      <c r="I17" s="46" t="n">
        <f aca="false">YTD!E37</f>
        <v>0.209250156332418</v>
      </c>
      <c r="J17" s="24" t="n">
        <f aca="false">'Budget M'!D37</f>
        <v>3.64167000000001</v>
      </c>
      <c r="K17" s="46" t="n">
        <f aca="false">'Budget M'!E37</f>
        <v>0.0171487033261187</v>
      </c>
      <c r="L17" s="24" t="n">
        <f aca="false">'Budget YTD'!D37</f>
        <v>-71.7666700000002</v>
      </c>
      <c r="M17" s="46" t="n">
        <f aca="false">'Budget YTD'!E37</f>
        <v>-0.0445875718550537</v>
      </c>
      <c r="N17" s="24" t="n">
        <f aca="false">'Forecast M'!D37</f>
        <v>19</v>
      </c>
      <c r="O17" s="46" t="n">
        <f aca="false">'Forecast M'!E37</f>
        <v>0.0964467005076142</v>
      </c>
    </row>
    <row r="18" customFormat="false" ht="15" hidden="false" customHeight="false" outlineLevel="0" collapsed="false">
      <c r="A18" s="5" t="s">
        <v>95</v>
      </c>
      <c r="B18" s="32" t="n">
        <f aca="false">MoM!D42</f>
        <v>15.17318</v>
      </c>
      <c r="C18" s="46" t="n">
        <f aca="false">MoM!E42</f>
        <v>0.0137335369899873</v>
      </c>
      <c r="D18" s="32" t="n">
        <f aca="false">QoQ!D42</f>
        <v>247.53355</v>
      </c>
      <c r="E18" s="46" t="n">
        <f aca="false">QoQ!E42</f>
        <v>0.125188080976981</v>
      </c>
      <c r="F18" s="32" t="n">
        <f aca="false">YoY!D42</f>
        <v>300.42818</v>
      </c>
      <c r="G18" s="46" t="n">
        <f aca="false">YoY!E42</f>
        <v>0.366567239952199</v>
      </c>
      <c r="H18" s="32" t="n">
        <f aca="false">YTD!D42</f>
        <v>1904.9393</v>
      </c>
      <c r="I18" s="46" t="n">
        <f aca="false">YTD!E42</f>
        <v>0.307680381016907</v>
      </c>
      <c r="J18" s="32" t="n">
        <f aca="false">'Budget M'!D42</f>
        <v>-67.14723</v>
      </c>
      <c r="K18" s="46" t="n">
        <f aca="false">'Budget M'!E42</f>
        <v>-0.0565618385850928</v>
      </c>
      <c r="L18" s="32" t="n">
        <f aca="false">'Budget YTD'!D42</f>
        <v>-472.5558</v>
      </c>
      <c r="M18" s="46" t="n">
        <f aca="false">'Budget YTD'!E42</f>
        <v>-0.0551485006372214</v>
      </c>
      <c r="N18" s="32" t="n">
        <f aca="false">'Forecast M'!D42</f>
        <v>2.25714999999991</v>
      </c>
      <c r="O18" s="46" t="n">
        <f aca="false">'Forecast M'!E42</f>
        <v>0.00201938218616197</v>
      </c>
    </row>
    <row r="19" customFormat="false" ht="15" hidden="false" customHeight="false" outlineLevel="0" collapsed="false">
      <c r="A19" s="5" t="s">
        <v>96</v>
      </c>
      <c r="B19" s="32" t="n">
        <f aca="false">MoM!D43</f>
        <v>-33.2010000000003</v>
      </c>
      <c r="C19" s="46" t="n">
        <f aca="false">MoM!E43</f>
        <v>-0.13112507454552</v>
      </c>
      <c r="D19" s="32" t="n">
        <f aca="false">QoQ!D43</f>
        <v>-36.0039999999999</v>
      </c>
      <c r="E19" s="46" t="n">
        <f aca="false">QoQ!E43</f>
        <v>-0.0707062970709241</v>
      </c>
      <c r="F19" s="32" t="n">
        <f aca="false">YoY!D43</f>
        <v>-68.9849999999999</v>
      </c>
      <c r="G19" s="46" t="n">
        <f aca="false">YoY!E43</f>
        <v>-0.238714812187484</v>
      </c>
      <c r="H19" s="32" t="n">
        <f aca="false">YTD!D43</f>
        <v>131.231999999999</v>
      </c>
      <c r="I19" s="46" t="n">
        <f aca="false">YTD!E43</f>
        <v>0.0663561027924956</v>
      </c>
      <c r="J19" s="32" t="n">
        <f aca="false">'Budget M'!D43</f>
        <v>44.9210000000001</v>
      </c>
      <c r="K19" s="46" t="n">
        <f aca="false">'Budget M'!E43</f>
        <v>0.256575603013497</v>
      </c>
      <c r="L19" s="32" t="n">
        <f aca="false">'Budget YTD'!D43</f>
        <v>95.9559999999983</v>
      </c>
      <c r="M19" s="46" t="n">
        <f aca="false">'Budget YTD'!E43</f>
        <v>0.047668891075818</v>
      </c>
      <c r="N19" s="32" t="n">
        <f aca="false">'Forecast M'!D43</f>
        <v>-9.22399999999993</v>
      </c>
      <c r="O19" s="46" t="n">
        <f aca="false">'Forecast M'!E43</f>
        <v>-0.0402401144731788</v>
      </c>
    </row>
    <row r="20" customFormat="false" ht="15" hidden="false" customHeight="false" outlineLevel="0" collapsed="false">
      <c r="A20" s="11" t="s">
        <v>160</v>
      </c>
      <c r="B20" s="24" t="n">
        <f aca="false">MoM!D44</f>
        <v>-1</v>
      </c>
      <c r="C20" s="46" t="n">
        <f aca="false">MoM!E44</f>
        <v>-0.0909090909090909</v>
      </c>
      <c r="D20" s="24" t="n">
        <f aca="false">QoQ!D44</f>
        <v>-1.5</v>
      </c>
      <c r="E20" s="46" t="n">
        <f aca="false">QoQ!E44</f>
        <v>-0.0666666666666667</v>
      </c>
      <c r="F20" s="24" t="n">
        <f aca="false">YoY!D44</f>
        <v>-3</v>
      </c>
      <c r="G20" s="46" t="n">
        <f aca="false">YoY!E44</f>
        <v>-0.230769230769231</v>
      </c>
      <c r="H20" s="24" t="n">
        <f aca="false">YTD!D44</f>
        <v>-18.5</v>
      </c>
      <c r="I20" s="46" t="n">
        <f aca="false">YTD!E44</f>
        <v>-0.171296296296296</v>
      </c>
      <c r="J20" s="24" t="n">
        <f aca="false">'Budget M'!D44</f>
        <v>2</v>
      </c>
      <c r="K20" s="46" t="n">
        <f aca="false">'Budget M'!E44</f>
        <v>0.25</v>
      </c>
      <c r="L20" s="24" t="n">
        <f aca="false">'Budget YTD'!D44</f>
        <v>17.5</v>
      </c>
      <c r="M20" s="46" t="n">
        <f aca="false">'Budget YTD'!E44</f>
        <v>0.243055555555556</v>
      </c>
      <c r="N20" s="24" t="n">
        <f aca="false">'Forecast M'!D44</f>
        <v>0</v>
      </c>
      <c r="O20" s="46" t="n">
        <f aca="false">'Forecast M'!E44</f>
        <v>0</v>
      </c>
    </row>
    <row r="21" customFormat="false" ht="15" hidden="false" customHeight="false" outlineLevel="0" collapsed="false">
      <c r="A21" s="11" t="s">
        <v>161</v>
      </c>
      <c r="B21" s="24" t="n">
        <f aca="false">MoM!D45</f>
        <v>0</v>
      </c>
      <c r="C21" s="46" t="n">
        <f aca="false">MoM!E45</f>
        <v>0</v>
      </c>
      <c r="D21" s="24" t="n">
        <f aca="false">QoQ!D45</f>
        <v>-0.5</v>
      </c>
      <c r="E21" s="46" t="n">
        <f aca="false">QoQ!E45</f>
        <v>-0.00826446280991736</v>
      </c>
      <c r="F21" s="24" t="n">
        <f aca="false">YoY!D45</f>
        <v>-2</v>
      </c>
      <c r="G21" s="46" t="n">
        <f aca="false">YoY!E45</f>
        <v>-0.0625</v>
      </c>
      <c r="H21" s="24" t="n">
        <f aca="false">YTD!D45</f>
        <v>-17.5</v>
      </c>
      <c r="I21" s="46" t="n">
        <f aca="false">YTD!E45</f>
        <v>-0.0673076923076923</v>
      </c>
      <c r="J21" s="24" t="n">
        <f aca="false">'Budget M'!D45</f>
        <v>0</v>
      </c>
      <c r="K21" s="46" t="n">
        <f aca="false">'Budget M'!E45</f>
        <v>0</v>
      </c>
      <c r="L21" s="24" t="n">
        <f aca="false">'Budget YTD'!D45</f>
        <v>-1.5</v>
      </c>
      <c r="M21" s="46" t="n">
        <f aca="false">'Budget YTD'!E45</f>
        <v>-0.00614754098360656</v>
      </c>
      <c r="N21" s="24" t="n">
        <f aca="false">'Forecast M'!D45</f>
        <v>0</v>
      </c>
      <c r="O21" s="46" t="n">
        <f aca="false">'Forecast M'!E45</f>
        <v>0</v>
      </c>
    </row>
    <row r="22" customFormat="false" ht="15" hidden="false" customHeight="false" outlineLevel="0" collapsed="false">
      <c r="A22" s="5" t="s">
        <v>162</v>
      </c>
      <c r="B22" s="32" t="n">
        <f aca="false">MoM!D46</f>
        <v>-34.2010000000003</v>
      </c>
      <c r="C22" s="46" t="n">
        <f aca="false">MoM!E46</f>
        <v>-0.146032681329286</v>
      </c>
      <c r="D22" s="32" t="n">
        <f aca="false">QoQ!D46</f>
        <v>-37.0039999999999</v>
      </c>
      <c r="E22" s="46" t="n">
        <f aca="false">QoQ!E46</f>
        <v>-0.0785305758640081</v>
      </c>
      <c r="F22" s="32" t="n">
        <f aca="false">YoY!D46</f>
        <v>-69.9849999999999</v>
      </c>
      <c r="G22" s="46" t="n">
        <f aca="false">YoY!E46</f>
        <v>-0.259218104709521</v>
      </c>
      <c r="H22" s="32" t="n">
        <f aca="false">YTD!D46</f>
        <v>130.231999999999</v>
      </c>
      <c r="I22" s="46" t="n">
        <f aca="false">YTD!E46</f>
        <v>0.0713329130363095</v>
      </c>
      <c r="J22" s="32" t="n">
        <f aca="false">'Budget M'!D46</f>
        <v>46.9210000000001</v>
      </c>
      <c r="K22" s="46" t="n">
        <f aca="false">'Budget M'!E46</f>
        <v>0.306514936732015</v>
      </c>
      <c r="L22" s="32" t="n">
        <f aca="false">'Budget YTD'!D46</f>
        <v>114.955999999998</v>
      </c>
      <c r="M22" s="46" t="n">
        <f aca="false">'Budget YTD'!E46</f>
        <v>0.0624432024656571</v>
      </c>
      <c r="N22" s="32" t="n">
        <f aca="false">'Forecast M'!D46</f>
        <v>-9.22399999999993</v>
      </c>
      <c r="O22" s="46" t="n">
        <f aca="false">'Forecast M'!E46</f>
        <v>-0.0440867204527202</v>
      </c>
    </row>
    <row r="23" customFormat="false" ht="15" hidden="false" customHeight="false" outlineLevel="0" collapsed="false">
      <c r="A23" s="11" t="s">
        <v>126</v>
      </c>
      <c r="B23" s="24" t="n">
        <f aca="false">MoM!D47</f>
        <v>5</v>
      </c>
      <c r="C23" s="46" t="n">
        <f aca="false">MoM!E47</f>
        <v>0.142857142857143</v>
      </c>
      <c r="D23" s="24" t="n">
        <f aca="false">QoQ!D47</f>
        <v>11.5</v>
      </c>
      <c r="E23" s="46" t="n">
        <f aca="false">QoQ!E47</f>
        <v>0.181102362204724</v>
      </c>
      <c r="F23" s="24" t="n">
        <f aca="false">YoY!D47</f>
        <v>16</v>
      </c>
      <c r="G23" s="46" t="n">
        <f aca="false">YoY!E47</f>
        <v>0.666666666666667</v>
      </c>
      <c r="H23" s="24" t="n">
        <f aca="false">YTD!D47</f>
        <v>80.5</v>
      </c>
      <c r="I23" s="46" t="n">
        <f aca="false">YTD!E47</f>
        <v>0.447222222222222</v>
      </c>
      <c r="J23" s="24" t="n">
        <f aca="false">'Budget M'!D47</f>
        <v>-5</v>
      </c>
      <c r="K23" s="46" t="n">
        <f aca="false">'Budget M'!E47</f>
        <v>-0.111111111111111</v>
      </c>
      <c r="L23" s="24" t="n">
        <f aca="false">'Budget YTD'!D47</f>
        <v>-39.5</v>
      </c>
      <c r="M23" s="46" t="n">
        <f aca="false">'Budget YTD'!E47</f>
        <v>-0.131666666666667</v>
      </c>
      <c r="N23" s="24" t="n">
        <f aca="false">'Forecast M'!D47</f>
        <v>2</v>
      </c>
      <c r="O23" s="46" t="n">
        <f aca="false">'Forecast M'!E47</f>
        <v>0.0526315789473684</v>
      </c>
    </row>
    <row r="24" customFormat="false" ht="15" hidden="false" customHeight="false" outlineLevel="0" collapsed="false">
      <c r="A24" s="5" t="s">
        <v>97</v>
      </c>
      <c r="B24" s="32" t="n">
        <f aca="false">MoM!D48</f>
        <v>-39.2010000000003</v>
      </c>
      <c r="C24" s="46" t="n">
        <f aca="false">MoM!E48</f>
        <v>-0.196791180767166</v>
      </c>
      <c r="D24" s="32" t="n">
        <f aca="false">QoQ!D48</f>
        <v>-48.5039999999999</v>
      </c>
      <c r="E24" s="46" t="n">
        <f aca="false">QoQ!E48</f>
        <v>-0.11896837173937</v>
      </c>
      <c r="F24" s="32" t="n">
        <f aca="false">YoY!D48</f>
        <v>-85.9849999999999</v>
      </c>
      <c r="G24" s="46" t="n">
        <f aca="false">YoY!E48</f>
        <v>-0.349553834583409</v>
      </c>
      <c r="H24" s="32" t="n">
        <f aca="false">YTD!D48</f>
        <v>49.7319999999991</v>
      </c>
      <c r="I24" s="46" t="n">
        <f aca="false">YTD!E48</f>
        <v>0.0302194880819199</v>
      </c>
      <c r="J24" s="32" t="n">
        <f aca="false">'Budget M'!D48</f>
        <v>51.9210000000001</v>
      </c>
      <c r="K24" s="46" t="n">
        <f aca="false">'Budget M'!E48</f>
        <v>0.48039859732233</v>
      </c>
      <c r="L24" s="32" t="n">
        <f aca="false">'Budget YTD'!D48</f>
        <v>154.455999999998</v>
      </c>
      <c r="M24" s="46" t="n">
        <f aca="false">'Budget YTD'!E48</f>
        <v>0.100233035187598</v>
      </c>
      <c r="N24" s="32" t="n">
        <f aca="false">'Forecast M'!D48</f>
        <v>-11.2239999999999</v>
      </c>
      <c r="O24" s="46" t="n">
        <f aca="false">'Forecast M'!E48</f>
        <v>-0.0655515581927764</v>
      </c>
    </row>
    <row r="26" customFormat="false" ht="18" hidden="false" customHeight="true" outlineLevel="0" collapsed="false">
      <c r="A26" s="44" t="s">
        <v>163</v>
      </c>
      <c r="B26" s="45"/>
      <c r="C26" s="45"/>
      <c r="D26" s="45"/>
      <c r="E26" s="45"/>
      <c r="F26" s="45"/>
      <c r="G26" s="45"/>
      <c r="H26" s="45"/>
      <c r="I26" s="45"/>
      <c r="J26" s="45"/>
      <c r="K26" s="45"/>
      <c r="L26" s="45"/>
      <c r="M26" s="45"/>
      <c r="N26" s="45"/>
      <c r="O26" s="45"/>
    </row>
    <row r="27" customFormat="false" ht="15" hidden="false" customHeight="false" outlineLevel="0" collapsed="false">
      <c r="A27" s="11" t="s">
        <v>153</v>
      </c>
      <c r="B27" s="24" t="n">
        <f aca="false">MoM!D51</f>
        <v>23.473</v>
      </c>
      <c r="C27" s="46" t="n">
        <f aca="false">MoM!E51</f>
        <v>0.0132128585718089</v>
      </c>
      <c r="D27" s="24" t="n">
        <f aca="false">QoQ!D51</f>
        <v>132.19</v>
      </c>
      <c r="E27" s="46" t="n">
        <f aca="false">QoQ!E51</f>
        <v>0.0383789391107781</v>
      </c>
      <c r="F27" s="24" t="n">
        <f aca="false">YoY!D51</f>
        <v>306.381</v>
      </c>
      <c r="G27" s="46" t="n">
        <f aca="false">YoY!E51</f>
        <v>0.205126608592955</v>
      </c>
      <c r="H27" s="24" t="n">
        <f aca="false">YTD!D51</f>
        <v>2695.667</v>
      </c>
      <c r="I27" s="46" t="n">
        <f aca="false">YTD!E51</f>
        <v>0.242335725345767</v>
      </c>
      <c r="J27" s="24" t="n">
        <f aca="false">'Budget M'!D51</f>
        <v>-50</v>
      </c>
      <c r="K27" s="46" t="n">
        <f aca="false">'Budget M'!E51</f>
        <v>-0.027027027027027</v>
      </c>
      <c r="L27" s="24" t="n">
        <f aca="false">'Budget YTD'!D51</f>
        <v>-436.603000000001</v>
      </c>
      <c r="M27" s="46" t="n">
        <f aca="false">'Budget YTD'!E51</f>
        <v>-0.030626002124866</v>
      </c>
      <c r="N27" s="24" t="n">
        <f aca="false">'Forecast M'!D51</f>
        <v>5.23800000000006</v>
      </c>
      <c r="O27" s="46" t="n">
        <f aca="false">'Forecast M'!E51</f>
        <v>0.00291849281408903</v>
      </c>
    </row>
    <row r="28" customFormat="false" ht="15" hidden="false" customHeight="false" outlineLevel="0" collapsed="false">
      <c r="A28" s="11" t="s">
        <v>154</v>
      </c>
      <c r="B28" s="24" t="n">
        <f aca="false">MoM!D52</f>
        <v>-15</v>
      </c>
      <c r="C28" s="46" t="n">
        <f aca="false">MoM!E52</f>
        <v>-0.0697674418604651</v>
      </c>
      <c r="D28" s="24" t="n">
        <f aca="false">QoQ!D52</f>
        <v>135</v>
      </c>
      <c r="E28" s="46" t="n">
        <f aca="false">QoQ!E52</f>
        <v>0.482142857142857</v>
      </c>
      <c r="F28" s="24" t="n">
        <f aca="false">YoY!D52</f>
        <v>70</v>
      </c>
      <c r="G28" s="46" t="n">
        <f aca="false">YoY!E52</f>
        <v>0.538461538461538</v>
      </c>
      <c r="H28" s="24" t="n">
        <f aca="false">YTD!D52</f>
        <v>440</v>
      </c>
      <c r="I28" s="46" t="n">
        <f aca="false">YTD!E52</f>
        <v>0.49438202247191</v>
      </c>
      <c r="J28" s="24" t="n">
        <f aca="false">'Budget M'!D52</f>
        <v>20</v>
      </c>
      <c r="K28" s="46" t="n">
        <f aca="false">'Budget M'!E52</f>
        <v>0.111111111111111</v>
      </c>
      <c r="L28" s="24" t="n">
        <f aca="false">'Budget YTD'!D52</f>
        <v>-30</v>
      </c>
      <c r="M28" s="46" t="n">
        <f aca="false">'Budget YTD'!E52</f>
        <v>-0.0220588235294118</v>
      </c>
      <c r="N28" s="24" t="n">
        <f aca="false">'Forecast M'!D52</f>
        <v>-5</v>
      </c>
      <c r="O28" s="46" t="n">
        <f aca="false">'Forecast M'!E52</f>
        <v>-0.024390243902439</v>
      </c>
    </row>
    <row r="29" customFormat="false" ht="15" hidden="false" customHeight="false" outlineLevel="0" collapsed="false">
      <c r="A29" s="5" t="s">
        <v>91</v>
      </c>
      <c r="B29" s="32" t="n">
        <f aca="false">MoM!D53</f>
        <v>8.47299999999996</v>
      </c>
      <c r="C29" s="46" t="n">
        <f aca="false">MoM!E53</f>
        <v>0.00425452429216373</v>
      </c>
      <c r="D29" s="32" t="n">
        <f aca="false">QoQ!D53</f>
        <v>267.19</v>
      </c>
      <c r="E29" s="46" t="n">
        <f aca="false">QoQ!E53</f>
        <v>0.0717416281072309</v>
      </c>
      <c r="F29" s="32" t="n">
        <f aca="false">YoY!D53</f>
        <v>376.381</v>
      </c>
      <c r="G29" s="46" t="n">
        <f aca="false">YoY!E53</f>
        <v>0.231816084931256</v>
      </c>
      <c r="H29" s="32" t="n">
        <f aca="false">YTD!D53</f>
        <v>3135.667</v>
      </c>
      <c r="I29" s="46" t="n">
        <f aca="false">YTD!E53</f>
        <v>0.261007860367274</v>
      </c>
      <c r="J29" s="32" t="n">
        <f aca="false">'Budget M'!D53</f>
        <v>-30</v>
      </c>
      <c r="K29" s="46" t="n">
        <f aca="false">'Budget M'!E53</f>
        <v>-0.0147783251231527</v>
      </c>
      <c r="L29" s="32" t="n">
        <f aca="false">'Budget YTD'!D53</f>
        <v>-466.603000000001</v>
      </c>
      <c r="M29" s="46" t="n">
        <f aca="false">'Budget YTD'!E53</f>
        <v>-0.0298798831298087</v>
      </c>
      <c r="N29" s="32" t="n">
        <f aca="false">'Forecast M'!D53</f>
        <v>0.238000000000056</v>
      </c>
      <c r="O29" s="46" t="n">
        <f aca="false">'Forecast M'!E53</f>
        <v>0.000119014162685388</v>
      </c>
    </row>
    <row r="30" customFormat="false" ht="15" hidden="false" customHeight="false" outlineLevel="0" collapsed="false">
      <c r="A30" s="11" t="s">
        <v>164</v>
      </c>
      <c r="B30" s="24" t="n">
        <f aca="false">MoM!D54</f>
        <v>25.81282</v>
      </c>
      <c r="C30" s="46" t="n">
        <f aca="false">MoM!E54</f>
        <v>0.0498136985943959</v>
      </c>
      <c r="D30" s="24" t="n">
        <f aca="false">QoQ!D54</f>
        <v>56.2964499999999</v>
      </c>
      <c r="E30" s="46" t="n">
        <f aca="false">QoQ!E54</f>
        <v>0.0559667648990064</v>
      </c>
      <c r="F30" s="24" t="n">
        <f aca="false">YoY!D54</f>
        <v>129.58282</v>
      </c>
      <c r="G30" s="46" t="n">
        <f aca="false">YoY!E54</f>
        <v>0.312686891986476</v>
      </c>
      <c r="H30" s="24" t="n">
        <f aca="false">YTD!D54</f>
        <v>894.06368</v>
      </c>
      <c r="I30" s="46" t="n">
        <f aca="false">YTD!E54</f>
        <v>0.286580336845807</v>
      </c>
      <c r="J30" s="24" t="n">
        <f aca="false">'Budget M'!D54</f>
        <v>-8.46177</v>
      </c>
      <c r="K30" s="46" t="n">
        <f aca="false">'Budget M'!E54</f>
        <v>-0.0153164806317729</v>
      </c>
      <c r="L30" s="24" t="n">
        <f aca="false">'Budget YTD'!D54</f>
        <v>-92.9912000000008</v>
      </c>
      <c r="M30" s="46" t="n">
        <f aca="false">'Budget YTD'!E54</f>
        <v>-0.0226431090368463</v>
      </c>
      <c r="N30" s="24" t="n">
        <f aca="false">'Forecast M'!D54</f>
        <v>6.61685</v>
      </c>
      <c r="O30" s="46" t="n">
        <f aca="false">'Forecast M'!E54</f>
        <v>0.012313095414324</v>
      </c>
    </row>
    <row r="31" customFormat="false" ht="15" hidden="false" customHeight="false" outlineLevel="0" collapsed="false">
      <c r="A31" s="11" t="s">
        <v>165</v>
      </c>
      <c r="B31" s="24" t="n">
        <f aca="false">MoM!D62</f>
        <v>0.888000000000005</v>
      </c>
      <c r="C31" s="46" t="n">
        <f aca="false">MoM!E62</f>
        <v>0.00745516824501314</v>
      </c>
      <c r="D31" s="24" t="n">
        <f aca="false">QoQ!D62</f>
        <v>-0.0759999999999934</v>
      </c>
      <c r="E31" s="46" t="n">
        <f aca="false">QoQ!E62</f>
        <v>-0.000317741692727032</v>
      </c>
      <c r="F31" s="24" t="n">
        <f aca="false">YoY!D62</f>
        <v>16.405</v>
      </c>
      <c r="G31" s="46" t="n">
        <f aca="false">YoY!E62</f>
        <v>0.158357063564844</v>
      </c>
      <c r="H31" s="24" t="n">
        <f aca="false">YTD!D62</f>
        <v>211.416</v>
      </c>
      <c r="I31" s="46" t="n">
        <f aca="false">YTD!E62</f>
        <v>0.282584287684855</v>
      </c>
      <c r="J31" s="24" t="n">
        <f aca="false">'Budget M'!D62</f>
        <v>0.587999999999994</v>
      </c>
      <c r="K31" s="46" t="n">
        <f aca="false">'Budget M'!E62</f>
        <v>0.00492412822831871</v>
      </c>
      <c r="L31" s="24" t="n">
        <f aca="false">'Budget YTD'!D62</f>
        <v>0.587999999999965</v>
      </c>
      <c r="M31" s="46" t="n">
        <f aca="false">'Budget YTD'!E62</f>
        <v>0.000613151473440495</v>
      </c>
      <c r="N31" s="24" t="n">
        <f aca="false">'Forecast M'!D62</f>
        <v>0.587999999999994</v>
      </c>
      <c r="O31" s="46" t="n">
        <f aca="false">'Forecast M'!E62</f>
        <v>0.00492412822831871</v>
      </c>
    </row>
    <row r="32" customFormat="false" ht="15" hidden="false" customHeight="false" outlineLevel="0" collapsed="false">
      <c r="A32" s="5" t="s">
        <v>166</v>
      </c>
      <c r="B32" s="32" t="n">
        <f aca="false">MoM!D64</f>
        <v>26.70082</v>
      </c>
      <c r="C32" s="46" t="n">
        <f aca="false">MoM!E64</f>
        <v>0.0418968372123122</v>
      </c>
      <c r="D32" s="32" t="n">
        <f aca="false">QoQ!D64</f>
        <v>56.22045</v>
      </c>
      <c r="E32" s="46" t="n">
        <f aca="false">QoQ!E64</f>
        <v>0.0451541325422851</v>
      </c>
      <c r="F32" s="32" t="n">
        <f aca="false">YoY!D64</f>
        <v>145.98782</v>
      </c>
      <c r="G32" s="46" t="n">
        <f aca="false">YoY!E64</f>
        <v>0.281823141687518</v>
      </c>
      <c r="H32" s="32" t="n">
        <f aca="false">YTD!D64</f>
        <v>1105.47968</v>
      </c>
      <c r="I32" s="46" t="n">
        <f aca="false">YTD!E64</f>
        <v>0.285807401139245</v>
      </c>
      <c r="J32" s="32" t="n">
        <f aca="false">'Budget M'!D64</f>
        <v>-7.87377000000004</v>
      </c>
      <c r="K32" s="46" t="n">
        <f aca="false">'Budget M'!E64</f>
        <v>-0.0117191209890513</v>
      </c>
      <c r="L32" s="32" t="n">
        <f aca="false">'Budget YTD'!D64</f>
        <v>-92.4032000000007</v>
      </c>
      <c r="M32" s="46" t="n">
        <f aca="false">'Budget YTD'!E64</f>
        <v>-0.0182405895009079</v>
      </c>
      <c r="N32" s="32" t="n">
        <f aca="false">'Forecast M'!D64</f>
        <v>7.20484999999997</v>
      </c>
      <c r="O32" s="46" t="n">
        <f aca="false">'Forecast M'!E64</f>
        <v>0.0109697064602258</v>
      </c>
    </row>
    <row r="33" customFormat="false" ht="15" hidden="false" customHeight="false" outlineLevel="0" collapsed="false">
      <c r="A33" s="5" t="s">
        <v>167</v>
      </c>
      <c r="B33" s="32" t="n">
        <f aca="false">MoM!D65</f>
        <v>-18.2278200000001</v>
      </c>
      <c r="C33" s="46" t="n">
        <f aca="false">MoM!E65</f>
        <v>-0.0134599361575662</v>
      </c>
      <c r="D33" s="32" t="n">
        <f aca="false">QoQ!D65</f>
        <v>210.96955</v>
      </c>
      <c r="E33" s="46" t="n">
        <f aca="false">QoQ!E65</f>
        <v>0.0850938171923491</v>
      </c>
      <c r="F33" s="32" t="n">
        <f aca="false">YoY!D65</f>
        <v>230.39318</v>
      </c>
      <c r="G33" s="46" t="n">
        <f aca="false">YoY!E65</f>
        <v>0.208386178370354</v>
      </c>
      <c r="H33" s="32" t="n">
        <f aca="false">YTD!D65</f>
        <v>2030.18732</v>
      </c>
      <c r="I33" s="46" t="n">
        <f aca="false">YTD!E65</f>
        <v>0.249232104179464</v>
      </c>
      <c r="J33" s="32" t="n">
        <f aca="false">'Budget M'!D65</f>
        <v>-22.1262299999999</v>
      </c>
      <c r="K33" s="46" t="n">
        <f aca="false">'Budget M'!E65</f>
        <v>-0.0162917330593047</v>
      </c>
      <c r="L33" s="32" t="n">
        <f aca="false">'Budget YTD'!D65</f>
        <v>-374.1998</v>
      </c>
      <c r="M33" s="46" t="n">
        <f aca="false">'Budget YTD'!E65</f>
        <v>-0.0354686481669461</v>
      </c>
      <c r="N33" s="32" t="n">
        <f aca="false">'Forecast M'!D65</f>
        <v>-6.9668499999998</v>
      </c>
      <c r="O33" s="46" t="n">
        <f aca="false">'Forecast M'!E65</f>
        <v>-0.0051876559722973</v>
      </c>
    </row>
    <row r="34" customFormat="false" ht="15" hidden="false" customHeight="false" outlineLevel="0" collapsed="false">
      <c r="A34" s="11" t="s">
        <v>168</v>
      </c>
      <c r="B34" s="24" t="n">
        <f aca="false">MoM!D66</f>
        <v>-16.2869</v>
      </c>
      <c r="C34" s="46" t="n">
        <f aca="false">MoM!E66</f>
        <v>-0.0360101077435584</v>
      </c>
      <c r="D34" s="24" t="n">
        <f aca="false">QoQ!D66</f>
        <v>148.6573</v>
      </c>
      <c r="E34" s="46" t="n">
        <f aca="false">QoQ!E66</f>
        <v>0.200988846309017</v>
      </c>
      <c r="F34" s="24" t="n">
        <f aca="false">YoY!D66</f>
        <v>138.0231</v>
      </c>
      <c r="G34" s="46" t="n">
        <f aca="false">YoY!E66</f>
        <v>0.463200670924491</v>
      </c>
      <c r="H34" s="24" t="n">
        <f aca="false">YTD!D66</f>
        <v>865.0437</v>
      </c>
      <c r="I34" s="46" t="n">
        <f aca="false">YTD!E66</f>
        <v>0.389431752336799</v>
      </c>
      <c r="J34" s="24" t="n">
        <f aca="false">'Budget M'!D66</f>
        <v>-31.9539</v>
      </c>
      <c r="K34" s="46" t="n">
        <f aca="false">'Budget M'!E66</f>
        <v>-0.0682842903969814</v>
      </c>
      <c r="L34" s="24" t="n">
        <f aca="false">'Budget YTD'!D66</f>
        <v>-184.1209</v>
      </c>
      <c r="M34" s="46" t="n">
        <f aca="false">'Budget YTD'!E66</f>
        <v>-0.0562981333003758</v>
      </c>
      <c r="N34" s="24" t="n">
        <f aca="false">'Forecast M'!D66</f>
        <v>-6.1891</v>
      </c>
      <c r="O34" s="46" t="n">
        <f aca="false">'Forecast M'!E66</f>
        <v>-0.0139965005921675</v>
      </c>
    </row>
    <row r="35" customFormat="false" ht="15" hidden="false" customHeight="false" outlineLevel="0" collapsed="false">
      <c r="A35" s="5" t="s">
        <v>169</v>
      </c>
      <c r="B35" s="32" t="n">
        <f aca="false">MoM!D72</f>
        <v>-1.94092000000001</v>
      </c>
      <c r="C35" s="46" t="n">
        <f aca="false">MoM!E72</f>
        <v>-0.00215193695835422</v>
      </c>
      <c r="D35" s="32" t="n">
        <f aca="false">QoQ!D72</f>
        <v>62.3122499999997</v>
      </c>
      <c r="E35" s="46" t="n">
        <f aca="false">QoQ!E72</f>
        <v>0.0358192820540258</v>
      </c>
      <c r="F35" s="32" t="n">
        <f aca="false">YoY!D72</f>
        <v>92.3700799999999</v>
      </c>
      <c r="G35" s="46" t="n">
        <f aca="false">YoY!E72</f>
        <v>0.114371790485424</v>
      </c>
      <c r="H35" s="32" t="n">
        <f aca="false">YTD!D72</f>
        <v>1165.14362</v>
      </c>
      <c r="I35" s="46" t="n">
        <f aca="false">YTD!E72</f>
        <v>0.196666224990205</v>
      </c>
      <c r="J35" s="32" t="n">
        <f aca="false">'Budget M'!D72</f>
        <v>9.82767000000013</v>
      </c>
      <c r="K35" s="46" t="n">
        <f aca="false">'Budget M'!E72</f>
        <v>0.0110401881397506</v>
      </c>
      <c r="L35" s="32" t="n">
        <f aca="false">'Budget YTD'!D72</f>
        <v>-190.0789</v>
      </c>
      <c r="M35" s="46" t="n">
        <f aca="false">'Budget YTD'!E72</f>
        <v>-0.0261108332629287</v>
      </c>
      <c r="N35" s="32" t="n">
        <f aca="false">'Forecast M'!D72</f>
        <v>-0.777749999999742</v>
      </c>
      <c r="O35" s="46" t="n">
        <f aca="false">'Forecast M'!E72</f>
        <v>-0.000863420527427262</v>
      </c>
    </row>
    <row r="36" customFormat="false" ht="15" hidden="false" customHeight="false" outlineLevel="0" collapsed="false">
      <c r="A36" s="11" t="s">
        <v>170</v>
      </c>
      <c r="B36" s="24" t="n">
        <f aca="false">MoM!D73</f>
        <v>0.813330000000001</v>
      </c>
      <c r="C36" s="46" t="n">
        <f aca="false">MoM!E73</f>
        <v>0.0137417766534255</v>
      </c>
      <c r="D36" s="24" t="n">
        <f aca="false">QoQ!D73</f>
        <v>4.87603</v>
      </c>
      <c r="E36" s="46" t="n">
        <f aca="false">QoQ!E73</f>
        <v>0.0426559592352908</v>
      </c>
      <c r="F36" s="24" t="n">
        <f aca="false">YoY!D73</f>
        <v>11.09833</v>
      </c>
      <c r="G36" s="46" t="n">
        <f aca="false">YoY!E73</f>
        <v>0.226951962990221</v>
      </c>
      <c r="H36" s="24" t="n">
        <f aca="false">YTD!D73</f>
        <v>90.44073</v>
      </c>
      <c r="I36" s="46" t="n">
        <f aca="false">YTD!E73</f>
        <v>0.248518695989731</v>
      </c>
      <c r="J36" s="24" t="n">
        <f aca="false">'Budget M'!D73</f>
        <v>-2.33333</v>
      </c>
      <c r="K36" s="46" t="n">
        <f aca="false">'Budget M'!E73</f>
        <v>-0.0374331036060484</v>
      </c>
      <c r="L36" s="24" t="n">
        <f aca="false">'Budget YTD'!D73</f>
        <v>-18.3066499999999</v>
      </c>
      <c r="M36" s="46" t="n">
        <f aca="false">'Budget YTD'!E73</f>
        <v>-0.038730573412162</v>
      </c>
      <c r="N36" s="24" t="n">
        <f aca="false">'Forecast M'!D73</f>
        <v>-1.6</v>
      </c>
      <c r="O36" s="46" t="n">
        <f aca="false">'Forecast M'!E73</f>
        <v>-0.025974025974026</v>
      </c>
    </row>
    <row r="37" customFormat="false" ht="15" hidden="false" customHeight="false" outlineLevel="0" collapsed="false">
      <c r="A37" s="11" t="s">
        <v>157</v>
      </c>
      <c r="B37" s="24" t="n">
        <f aca="false">MoM!D77</f>
        <v>21.86342</v>
      </c>
      <c r="C37" s="46" t="n">
        <f aca="false">MoM!E77</f>
        <v>0.0549143713446276</v>
      </c>
      <c r="D37" s="24" t="n">
        <f aca="false">QoQ!D77</f>
        <v>45.79024</v>
      </c>
      <c r="E37" s="46" t="n">
        <f aca="false">QoQ!E77</f>
        <v>0.0592871845550534</v>
      </c>
      <c r="F37" s="24" t="n">
        <f aca="false">YoY!D77</f>
        <v>101.54842</v>
      </c>
      <c r="G37" s="46" t="n">
        <f aca="false">YoY!E77</f>
        <v>0.318881821845569</v>
      </c>
      <c r="H37" s="24" t="n">
        <f aca="false">YTD!D77</f>
        <v>701.30419</v>
      </c>
      <c r="I37" s="46" t="n">
        <f aca="false">YTD!E77</f>
        <v>0.291720618158495</v>
      </c>
      <c r="J37" s="24" t="n">
        <f aca="false">'Budget M'!D77</f>
        <v>-36.80167</v>
      </c>
      <c r="K37" s="46" t="n">
        <f aca="false">'Budget M'!E77</f>
        <v>-0.0805637816516739</v>
      </c>
      <c r="L37" s="24" t="n">
        <f aca="false">'Budget YTD'!D77</f>
        <v>-205.561580000001</v>
      </c>
      <c r="M37" s="46" t="n">
        <f aca="false">'Budget YTD'!E77</f>
        <v>-0.0620864538526152</v>
      </c>
      <c r="N37" s="24" t="n">
        <f aca="false">'Forecast M'!D77</f>
        <v>-8.95375000000001</v>
      </c>
      <c r="O37" s="46" t="n">
        <f aca="false">'Forecast M'!E77</f>
        <v>-0.0208734624653591</v>
      </c>
    </row>
    <row r="38" customFormat="false" ht="15" hidden="false" customHeight="false" outlineLevel="0" collapsed="false">
      <c r="A38" s="11" t="s">
        <v>159</v>
      </c>
      <c r="B38" s="24" t="n">
        <f aca="false">MoM!D83</f>
        <v>8.58332999999999</v>
      </c>
      <c r="C38" s="46" t="n">
        <f aca="false">MoM!E83</f>
        <v>0.0448410788882702</v>
      </c>
      <c r="D38" s="24" t="n">
        <f aca="false">QoQ!D83</f>
        <v>47.64998</v>
      </c>
      <c r="E38" s="46" t="n">
        <f aca="false">QoQ!E83</f>
        <v>0.13861139367517</v>
      </c>
      <c r="F38" s="24" t="n">
        <f aca="false">YoY!D83</f>
        <v>48.70833</v>
      </c>
      <c r="G38" s="46" t="n">
        <f aca="false">YoY!E83</f>
        <v>0.321949846941342</v>
      </c>
      <c r="H38" s="24" t="n">
        <f aca="false">YTD!D83</f>
        <v>242.1667</v>
      </c>
      <c r="I38" s="46" t="n">
        <f aca="false">YTD!E83</f>
        <v>0.205429121936532</v>
      </c>
      <c r="J38" s="24" t="n">
        <f aca="false">'Budget M'!D83</f>
        <v>4.04167000000001</v>
      </c>
      <c r="K38" s="46" t="n">
        <f aca="false">'Budget M'!E83</f>
        <v>0.0206251502551589</v>
      </c>
      <c r="L38" s="24" t="n">
        <f aca="false">'Budget YTD'!D83</f>
        <v>-62.1666700000001</v>
      </c>
      <c r="M38" s="46" t="n">
        <f aca="false">'Budget YTD'!E83</f>
        <v>-0.0419148237607388</v>
      </c>
      <c r="N38" s="24" t="n">
        <f aca="false">'Forecast M'!D83</f>
        <v>19</v>
      </c>
      <c r="O38" s="46" t="n">
        <f aca="false">'Forecast M'!E83</f>
        <v>0.104972375690608</v>
      </c>
    </row>
    <row r="39" customFormat="false" ht="15" hidden="false" customHeight="false" outlineLevel="0" collapsed="false">
      <c r="A39" s="5" t="s">
        <v>171</v>
      </c>
      <c r="B39" s="32" t="n">
        <f aca="false">MoM!D87</f>
        <v>31.26008</v>
      </c>
      <c r="C39" s="46" t="n">
        <f aca="false">MoM!E87</f>
        <v>0.0481858431033503</v>
      </c>
      <c r="D39" s="32" t="n">
        <f aca="false">QoQ!D87</f>
        <v>98.3162500000001</v>
      </c>
      <c r="E39" s="46" t="n">
        <f aca="false">QoQ!E87</f>
        <v>0.0799043877301223</v>
      </c>
      <c r="F39" s="32" t="n">
        <f aca="false">YoY!D87</f>
        <v>161.35508</v>
      </c>
      <c r="G39" s="46" t="n">
        <f aca="false">YoY!E87</f>
        <v>0.311108956779139</v>
      </c>
      <c r="H39" s="32" t="n">
        <f aca="false">YTD!D87</f>
        <v>1033.91162</v>
      </c>
      <c r="I39" s="46" t="n">
        <f aca="false">YTD!E87</f>
        <v>0.261963367554729</v>
      </c>
      <c r="J39" s="32" t="n">
        <f aca="false">'Budget M'!D87</f>
        <v>-35.0933299999999</v>
      </c>
      <c r="K39" s="46" t="n">
        <f aca="false">'Budget M'!E87</f>
        <v>-0.0490751745649759</v>
      </c>
      <c r="L39" s="32" t="n">
        <f aca="false">'Budget YTD'!D87</f>
        <v>-286.034900000001</v>
      </c>
      <c r="M39" s="46" t="n">
        <f aca="false">'Budget YTD'!E87</f>
        <v>-0.0543098131339819</v>
      </c>
      <c r="N39" s="32" t="n">
        <f aca="false">'Forecast M'!D87</f>
        <v>8.44624999999996</v>
      </c>
      <c r="O39" s="46" t="n">
        <f aca="false">'Forecast M'!E87</f>
        <v>0.0125771764359889</v>
      </c>
    </row>
    <row r="40" customFormat="false" ht="15" hidden="false" customHeight="false" outlineLevel="0" collapsed="false">
      <c r="A40" s="5" t="s">
        <v>96</v>
      </c>
      <c r="B40" s="32" t="n">
        <f aca="false">MoM!D88</f>
        <v>-33.201</v>
      </c>
      <c r="C40" s="46" t="n">
        <f aca="false">MoM!E88</f>
        <v>-0.131125074545519</v>
      </c>
      <c r="D40" s="32" t="n">
        <f aca="false">QoQ!D88</f>
        <v>-36.0040000000004</v>
      </c>
      <c r="E40" s="46" t="n">
        <f aca="false">QoQ!E88</f>
        <v>-0.070706297070925</v>
      </c>
      <c r="F40" s="32" t="n">
        <f aca="false">YoY!D88</f>
        <v>-68.9850000000001</v>
      </c>
      <c r="G40" s="46" t="n">
        <f aca="false">YoY!E88</f>
        <v>-0.238714812187484</v>
      </c>
      <c r="H40" s="32" t="n">
        <f aca="false">YTD!D88</f>
        <v>131.232</v>
      </c>
      <c r="I40" s="46" t="n">
        <f aca="false">YTD!E88</f>
        <v>0.0663561027924961</v>
      </c>
      <c r="J40" s="32" t="n">
        <f aca="false">'Budget M'!D88</f>
        <v>44.9210000000001</v>
      </c>
      <c r="K40" s="46" t="n">
        <f aca="false">'Budget M'!E88</f>
        <v>0.256575603013497</v>
      </c>
      <c r="L40" s="32" t="n">
        <f aca="false">'Budget YTD'!D88</f>
        <v>95.9560000000001</v>
      </c>
      <c r="M40" s="46" t="n">
        <f aca="false">'Budget YTD'!E88</f>
        <v>0.0476688910758189</v>
      </c>
      <c r="N40" s="32" t="n">
        <f aca="false">'Forecast M'!D88</f>
        <v>-9.22399999999971</v>
      </c>
      <c r="O40" s="46" t="n">
        <f aca="false">'Forecast M'!E88</f>
        <v>-0.0402401144731778</v>
      </c>
    </row>
    <row r="41" customFormat="false" ht="15" hidden="false" customHeight="false" outlineLevel="0" collapsed="false">
      <c r="A41" s="11" t="s">
        <v>160</v>
      </c>
      <c r="B41" s="24" t="n">
        <f aca="false">MoM!D89</f>
        <v>-1</v>
      </c>
      <c r="C41" s="46" t="n">
        <f aca="false">MoM!E89</f>
        <v>-0.0909090909090909</v>
      </c>
      <c r="D41" s="24" t="n">
        <f aca="false">QoQ!D89</f>
        <v>-1.5</v>
      </c>
      <c r="E41" s="46" t="n">
        <f aca="false">QoQ!E89</f>
        <v>-0.0666666666666667</v>
      </c>
      <c r="F41" s="24" t="n">
        <f aca="false">YoY!D89</f>
        <v>-3</v>
      </c>
      <c r="G41" s="46" t="n">
        <f aca="false">YoY!E89</f>
        <v>-0.230769230769231</v>
      </c>
      <c r="H41" s="24" t="n">
        <f aca="false">YTD!D89</f>
        <v>-18.5</v>
      </c>
      <c r="I41" s="46" t="n">
        <f aca="false">YTD!E89</f>
        <v>-0.171296296296296</v>
      </c>
      <c r="J41" s="24" t="n">
        <f aca="false">'Budget M'!D89</f>
        <v>2</v>
      </c>
      <c r="K41" s="46" t="n">
        <f aca="false">'Budget M'!E89</f>
        <v>0.25</v>
      </c>
      <c r="L41" s="24" t="n">
        <f aca="false">'Budget YTD'!D89</f>
        <v>17.5</v>
      </c>
      <c r="M41" s="46" t="n">
        <f aca="false">'Budget YTD'!E89</f>
        <v>0.243055555555556</v>
      </c>
      <c r="N41" s="24" t="n">
        <f aca="false">'Forecast M'!D89</f>
        <v>0</v>
      </c>
      <c r="O41" s="46" t="n">
        <f aca="false">'Forecast M'!E89</f>
        <v>0</v>
      </c>
    </row>
    <row r="42" customFormat="false" ht="15" hidden="false" customHeight="false" outlineLevel="0" collapsed="false">
      <c r="A42" s="11" t="s">
        <v>161</v>
      </c>
      <c r="B42" s="24" t="n">
        <f aca="false">MoM!D90</f>
        <v>0</v>
      </c>
      <c r="C42" s="46" t="n">
        <f aca="false">MoM!E90</f>
        <v>0</v>
      </c>
      <c r="D42" s="24" t="n">
        <f aca="false">QoQ!D90</f>
        <v>-0.5</v>
      </c>
      <c r="E42" s="46" t="n">
        <f aca="false">QoQ!E90</f>
        <v>-0.00826446280991736</v>
      </c>
      <c r="F42" s="24" t="n">
        <f aca="false">YoY!D90</f>
        <v>-2</v>
      </c>
      <c r="G42" s="46" t="n">
        <f aca="false">YoY!E90</f>
        <v>-0.0625</v>
      </c>
      <c r="H42" s="24" t="n">
        <f aca="false">YTD!D90</f>
        <v>-17.5</v>
      </c>
      <c r="I42" s="46" t="n">
        <f aca="false">YTD!E90</f>
        <v>-0.0673076923076923</v>
      </c>
      <c r="J42" s="24" t="n">
        <f aca="false">'Budget M'!D90</f>
        <v>0</v>
      </c>
      <c r="K42" s="46" t="n">
        <f aca="false">'Budget M'!E90</f>
        <v>0</v>
      </c>
      <c r="L42" s="24" t="n">
        <f aca="false">'Budget YTD'!D90</f>
        <v>-1.5</v>
      </c>
      <c r="M42" s="46" t="n">
        <f aca="false">'Budget YTD'!E90</f>
        <v>-0.00614754098360656</v>
      </c>
      <c r="N42" s="24" t="n">
        <f aca="false">'Forecast M'!D90</f>
        <v>0</v>
      </c>
      <c r="O42" s="46" t="n">
        <f aca="false">'Forecast M'!E90</f>
        <v>0</v>
      </c>
    </row>
    <row r="43" customFormat="false" ht="15" hidden="false" customHeight="false" outlineLevel="0" collapsed="false">
      <c r="A43" s="11" t="s">
        <v>126</v>
      </c>
      <c r="B43" s="24" t="n">
        <f aca="false">MoM!D91</f>
        <v>5</v>
      </c>
      <c r="C43" s="46" t="n">
        <f aca="false">MoM!E91</f>
        <v>0.142857142857143</v>
      </c>
      <c r="D43" s="24" t="n">
        <f aca="false">QoQ!D91</f>
        <v>11.5</v>
      </c>
      <c r="E43" s="46" t="n">
        <f aca="false">QoQ!E91</f>
        <v>0.181102362204724</v>
      </c>
      <c r="F43" s="24" t="n">
        <f aca="false">YoY!D91</f>
        <v>16</v>
      </c>
      <c r="G43" s="46" t="n">
        <f aca="false">YoY!E91</f>
        <v>0.666666666666667</v>
      </c>
      <c r="H43" s="24" t="n">
        <f aca="false">YTD!D91</f>
        <v>80.5</v>
      </c>
      <c r="I43" s="46" t="n">
        <f aca="false">YTD!E91</f>
        <v>0.447222222222222</v>
      </c>
      <c r="J43" s="24" t="n">
        <f aca="false">'Budget M'!D91</f>
        <v>-5</v>
      </c>
      <c r="K43" s="46" t="n">
        <f aca="false">'Budget M'!E91</f>
        <v>-0.111111111111111</v>
      </c>
      <c r="L43" s="24" t="n">
        <f aca="false">'Budget YTD'!D91</f>
        <v>-39.5</v>
      </c>
      <c r="M43" s="46" t="n">
        <f aca="false">'Budget YTD'!E91</f>
        <v>-0.131666666666667</v>
      </c>
      <c r="N43" s="24" t="n">
        <f aca="false">'Forecast M'!D91</f>
        <v>2</v>
      </c>
      <c r="O43" s="46" t="n">
        <f aca="false">'Forecast M'!E91</f>
        <v>0.0526315789473684</v>
      </c>
    </row>
    <row r="44" customFormat="false" ht="15" hidden="false" customHeight="false" outlineLevel="0" collapsed="false">
      <c r="A44" s="5" t="s">
        <v>97</v>
      </c>
      <c r="B44" s="32" t="n">
        <f aca="false">MoM!D92</f>
        <v>-39.201</v>
      </c>
      <c r="C44" s="46" t="n">
        <f aca="false">MoM!E92</f>
        <v>-0.196791180767165</v>
      </c>
      <c r="D44" s="32" t="n">
        <f aca="false">QoQ!D92</f>
        <v>-48.5040000000004</v>
      </c>
      <c r="E44" s="46" t="n">
        <f aca="false">QoQ!E92</f>
        <v>-0.118968371739371</v>
      </c>
      <c r="F44" s="32" t="n">
        <f aca="false">YoY!D92</f>
        <v>-85.9850000000001</v>
      </c>
      <c r="G44" s="46" t="n">
        <f aca="false">YoY!E92</f>
        <v>-0.34955383458341</v>
      </c>
      <c r="H44" s="32" t="n">
        <f aca="false">YTD!D92</f>
        <v>49.732</v>
      </c>
      <c r="I44" s="46" t="n">
        <f aca="false">YTD!E92</f>
        <v>0.0302194880819205</v>
      </c>
      <c r="J44" s="32" t="n">
        <f aca="false">'Budget M'!D92</f>
        <v>51.9210000000001</v>
      </c>
      <c r="K44" s="46" t="n">
        <f aca="false">'Budget M'!E92</f>
        <v>0.48039859732233</v>
      </c>
      <c r="L44" s="32" t="n">
        <f aca="false">'Budget YTD'!D92</f>
        <v>154.456</v>
      </c>
      <c r="M44" s="46" t="n">
        <f aca="false">'Budget YTD'!E92</f>
        <v>0.1002330351876</v>
      </c>
      <c r="N44" s="32" t="n">
        <f aca="false">'Forecast M'!D92</f>
        <v>-11.2239999999997</v>
      </c>
      <c r="O44" s="46" t="n">
        <f aca="false">'Forecast M'!E92</f>
        <v>-0.0655515581927751</v>
      </c>
    </row>
  </sheetData>
  <mergeCells count="7">
    <mergeCell ref="B5:C5"/>
    <mergeCell ref="D5:E5"/>
    <mergeCell ref="F5:G5"/>
    <mergeCell ref="H5:I5"/>
    <mergeCell ref="J5:K5"/>
    <mergeCell ref="L5:M5"/>
    <mergeCell ref="N5:O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1" outlineLevelCol="0"/>
  <cols>
    <col collapsed="false" customWidth="true" hidden="false" outlineLevel="0" max="1" min="1" style="0" width="46"/>
    <col collapsed="false" customWidth="true" hidden="false" outlineLevel="0" max="4" min="2" style="0" width="12"/>
    <col collapsed="false" customWidth="true" hidden="false" outlineLevel="0" max="5" min="5" style="0" width="8"/>
    <col collapsed="false" customWidth="true" hidden="false" outlineLevel="0" max="6" min="6" style="0" width="5"/>
    <col collapsed="false" customWidth="true" hidden="false" outlineLevel="0" max="7" min="7" style="0" width="82"/>
    <col collapsed="false" customWidth="true" hidden="false" outlineLevel="0" max="8" min="8" style="0" width="56"/>
    <col collapsed="false" customWidth="true" hidden="false" outlineLevel="0" max="9" min="9" style="0" width="15"/>
    <col collapsed="false" customWidth="true" hidden="false" outlineLevel="0" max="10" min="10" style="0" width="6"/>
    <col collapsed="false" customWidth="true" hidden="false" outlineLevel="0" max="12" min="11" style="0" width="12"/>
  </cols>
  <sheetData>
    <row r="1" customFormat="false" ht="17.35" hidden="false" customHeight="false" outlineLevel="0" collapsed="false">
      <c r="A1" s="17" t="s">
        <v>82</v>
      </c>
    </row>
    <row r="2" customFormat="false" ht="15" hidden="false" customHeight="false" outlineLevel="0" collapsed="false">
      <c r="A2" s="18" t="s">
        <v>80</v>
      </c>
    </row>
    <row r="3" customFormat="false" ht="15" hidden="false" customHeight="false" outlineLevel="0" collapsed="false">
      <c r="A3" s="18" t="s">
        <v>172</v>
      </c>
    </row>
    <row r="5" customFormat="false" ht="30" hidden="false" customHeight="true" outlineLevel="0" collapsed="false">
      <c r="A5" s="47" t="s">
        <v>173</v>
      </c>
      <c r="B5" s="48" t="s">
        <v>86</v>
      </c>
      <c r="C5" s="48" t="s">
        <v>87</v>
      </c>
      <c r="D5" s="48" t="s">
        <v>88</v>
      </c>
      <c r="E5" s="48" t="s">
        <v>89</v>
      </c>
      <c r="F5" s="48" t="s">
        <v>90</v>
      </c>
      <c r="G5" s="47" t="s">
        <v>174</v>
      </c>
      <c r="H5" s="47" t="s">
        <v>175</v>
      </c>
      <c r="I5" s="47" t="s">
        <v>24</v>
      </c>
      <c r="J5" s="48" t="s">
        <v>176</v>
      </c>
      <c r="K5" s="48" t="s">
        <v>177</v>
      </c>
      <c r="L5" s="48" t="s">
        <v>178</v>
      </c>
    </row>
    <row r="7" customFormat="false" ht="18" hidden="false" customHeight="true" outlineLevel="0" collapsed="false">
      <c r="A7" s="44" t="s">
        <v>152</v>
      </c>
      <c r="B7" s="45"/>
      <c r="C7" s="45"/>
      <c r="D7" s="45"/>
      <c r="E7" s="45"/>
      <c r="F7" s="45"/>
      <c r="G7" s="45"/>
      <c r="H7" s="45"/>
      <c r="I7" s="45"/>
      <c r="J7" s="45"/>
      <c r="K7" s="45"/>
      <c r="L7" s="45"/>
    </row>
    <row r="8" customFormat="false" ht="48" hidden="false" customHeight="true" outlineLevel="0" collapsed="false">
      <c r="A8" s="11" t="s">
        <v>153</v>
      </c>
      <c r="B8" s="34" t="n">
        <v>1800</v>
      </c>
      <c r="C8" s="34" t="n">
        <v>1776.527</v>
      </c>
      <c r="D8" s="25" t="n">
        <f aca="false">B8-C8</f>
        <v>23.473</v>
      </c>
      <c r="E8" s="26" t="n">
        <f aca="false">IF(C8=0,"n/m",D8/ABS(C8))</f>
        <v>0.0132128585718089</v>
      </c>
      <c r="F8" s="49" t="str">
        <f aca="false">IF(ROUND(D8,5)=0,"",IF(D8&gt;0,"F","U"))</f>
        <v>F</v>
      </c>
      <c r="G8" s="6" t="s">
        <v>179</v>
      </c>
      <c r="H8" s="50" t="s">
        <v>180</v>
      </c>
      <c r="I8" s="51" t="s">
        <v>181</v>
      </c>
      <c r="J8" s="52" t="s">
        <v>182</v>
      </c>
    </row>
    <row r="9" customFormat="false" ht="40.5" hidden="false" customHeight="true" outlineLevel="0" collapsed="false">
      <c r="A9" s="11" t="s">
        <v>154</v>
      </c>
      <c r="B9" s="34" t="n">
        <v>200</v>
      </c>
      <c r="C9" s="34" t="n">
        <v>215</v>
      </c>
      <c r="D9" s="25" t="n">
        <f aca="false">B9-C9</f>
        <v>-15</v>
      </c>
      <c r="E9" s="26" t="n">
        <f aca="false">IF(C9=0,"n/m",D9/ABS(C9))</f>
        <v>-0.0697674418604651</v>
      </c>
      <c r="F9" s="49" t="str">
        <f aca="false">IF(ROUND(D9,5)=0,"",IF(D9&gt;0,"F","U"))</f>
        <v>U</v>
      </c>
      <c r="G9" s="6" t="s">
        <v>183</v>
      </c>
      <c r="H9" s="50" t="s">
        <v>184</v>
      </c>
      <c r="I9" s="51" t="s">
        <v>181</v>
      </c>
      <c r="J9" s="52" t="s">
        <v>182</v>
      </c>
    </row>
    <row r="10" customFormat="false" ht="40.5" hidden="false" customHeight="true" outlineLevel="0" collapsed="false">
      <c r="A10" s="53" t="s">
        <v>91</v>
      </c>
      <c r="B10" s="37" t="n">
        <f aca="false">B8+B9</f>
        <v>2000</v>
      </c>
      <c r="C10" s="37" t="n">
        <f aca="false">C8+C9</f>
        <v>1991.527</v>
      </c>
      <c r="D10" s="37" t="n">
        <f aca="false">B10-C10</f>
        <v>8.47299999999996</v>
      </c>
      <c r="E10" s="54" t="n">
        <f aca="false">IF(C10=0,"n/m",D10/ABS(C10))</f>
        <v>0.00425452429216373</v>
      </c>
      <c r="F10" s="55" t="str">
        <f aca="false">IF(ROUND(D10,5)=0,"",IF(D10&gt;0,"F","U"))</f>
        <v>F</v>
      </c>
      <c r="G10" s="56" t="s">
        <v>185</v>
      </c>
      <c r="H10" s="57" t="s">
        <v>186</v>
      </c>
      <c r="I10" s="58" t="s">
        <v>181</v>
      </c>
      <c r="J10" s="59" t="str">
        <f aca="false">IF(AND(ROUND(B10-K10,4)=0,ROUND(C10-L10,4)=0,TRUE()),"✓","✗")</f>
        <v>✓</v>
      </c>
      <c r="K10" s="60" t="n">
        <v>2000</v>
      </c>
      <c r="L10" s="60" t="n">
        <v>1991.527</v>
      </c>
    </row>
    <row r="11" customFormat="false" ht="60" hidden="false" customHeight="true" outlineLevel="0" collapsed="false">
      <c r="A11" s="11" t="s">
        <v>155</v>
      </c>
      <c r="B11" s="25" t="n">
        <f aca="false">B12+B13+B14+B15+B16+B17+B18</f>
        <v>540</v>
      </c>
      <c r="C11" s="25" t="n">
        <f aca="false">C12+C13+C14+C15+C16+C17+C18</f>
        <v>514.38718</v>
      </c>
      <c r="D11" s="25" t="n">
        <f aca="false">B11-C11</f>
        <v>25.6128200000001</v>
      </c>
      <c r="E11" s="26" t="n">
        <f aca="false">IF(C11=0,"n/m",D11/ABS(C11))</f>
        <v>0.0497928816966241</v>
      </c>
      <c r="F11" s="49" t="str">
        <f aca="false">IF(ROUND(D11,5)=0,"",IF(D11&lt;0,"F","U"))</f>
        <v>U</v>
      </c>
      <c r="G11" s="6" t="s">
        <v>187</v>
      </c>
      <c r="H11" s="50" t="s">
        <v>188</v>
      </c>
      <c r="I11" s="51" t="s">
        <v>181</v>
      </c>
      <c r="J11" s="52" t="str">
        <f aca="false">IF(AND(ROUND(B11-K11,4)=0,ROUND(C11-L11,4)=0,TRUE()),"✓","✗")</f>
        <v>✓</v>
      </c>
      <c r="K11" s="61" t="n">
        <v>540</v>
      </c>
      <c r="L11" s="61" t="n">
        <v>514.38718</v>
      </c>
    </row>
    <row r="12" customFormat="false" ht="15" hidden="false" customHeight="true" outlineLevel="1" collapsed="false">
      <c r="A12" s="62" t="s">
        <v>189</v>
      </c>
      <c r="B12" s="34" t="n">
        <v>140</v>
      </c>
      <c r="C12" s="34" t="n">
        <v>136</v>
      </c>
      <c r="D12" s="25" t="n">
        <f aca="false">B12-C12</f>
        <v>4</v>
      </c>
      <c r="E12" s="26" t="n">
        <f aca="false">IF(C12=0,"n/m",D12/ABS(C12))</f>
        <v>0.0294117647058824</v>
      </c>
      <c r="F12" s="49" t="str">
        <f aca="false">IF(ROUND(D12,5)=0,"",IF(D12&lt;0,"F","U"))</f>
        <v>U</v>
      </c>
      <c r="G12" s="63" t="s">
        <v>190</v>
      </c>
      <c r="I12" s="18" t="s">
        <v>191</v>
      </c>
      <c r="J12" s="52" t="s">
        <v>182</v>
      </c>
    </row>
    <row r="13" customFormat="false" ht="36.75" hidden="false" customHeight="true" outlineLevel="1" collapsed="false">
      <c r="A13" s="62" t="s">
        <v>192</v>
      </c>
      <c r="B13" s="34" t="n">
        <v>100</v>
      </c>
      <c r="C13" s="34" t="n">
        <v>93.01775</v>
      </c>
      <c r="D13" s="25" t="n">
        <f aca="false">B13-C13</f>
        <v>6.98224999999999</v>
      </c>
      <c r="E13" s="26" t="n">
        <f aca="false">IF(C13=0,"n/m",D13/ABS(C13))</f>
        <v>0.07506363032862</v>
      </c>
      <c r="F13" s="49" t="str">
        <f aca="false">IF(ROUND(D13,5)=0,"",IF(D13&lt;0,"F","U"))</f>
        <v>U</v>
      </c>
      <c r="G13" s="63" t="s">
        <v>193</v>
      </c>
      <c r="H13" s="50" t="s">
        <v>194</v>
      </c>
      <c r="I13" s="18" t="s">
        <v>191</v>
      </c>
      <c r="J13" s="52" t="s">
        <v>182</v>
      </c>
    </row>
    <row r="14" customFormat="false" ht="27.75" hidden="false" customHeight="true" outlineLevel="1" collapsed="false">
      <c r="A14" s="62" t="s">
        <v>195</v>
      </c>
      <c r="B14" s="34" t="n">
        <v>84</v>
      </c>
      <c r="C14" s="34" t="n">
        <v>88.5871</v>
      </c>
      <c r="D14" s="25" t="n">
        <f aca="false">B14-C14</f>
        <v>-4.58710000000001</v>
      </c>
      <c r="E14" s="26" t="n">
        <f aca="false">IF(C14=0,"n/m",D14/ABS(C14))</f>
        <v>-0.0517806768705602</v>
      </c>
      <c r="F14" s="49" t="str">
        <f aca="false">IF(ROUND(D14,5)=0,"",IF(D14&lt;0,"F","U"))</f>
        <v>F</v>
      </c>
      <c r="G14" s="63" t="s">
        <v>196</v>
      </c>
      <c r="H14" s="50" t="s">
        <v>197</v>
      </c>
      <c r="I14" s="18" t="s">
        <v>191</v>
      </c>
      <c r="J14" s="52" t="s">
        <v>182</v>
      </c>
    </row>
    <row r="15" customFormat="false" ht="36.75" hidden="false" customHeight="true" outlineLevel="1" collapsed="false">
      <c r="A15" s="62" t="s">
        <v>198</v>
      </c>
      <c r="B15" s="34" t="n">
        <v>160</v>
      </c>
      <c r="C15" s="34" t="n">
        <v>144.269</v>
      </c>
      <c r="D15" s="25" t="n">
        <f aca="false">B15-C15</f>
        <v>15.731</v>
      </c>
      <c r="E15" s="26" t="n">
        <f aca="false">IF(C15=0,"n/m",D15/ABS(C15))</f>
        <v>0.109039363965925</v>
      </c>
      <c r="F15" s="49" t="str">
        <f aca="false">IF(ROUND(D15,5)=0,"",IF(D15&lt;0,"F","U"))</f>
        <v>U</v>
      </c>
      <c r="G15" s="6" t="s">
        <v>199</v>
      </c>
      <c r="H15" s="50" t="s">
        <v>200</v>
      </c>
      <c r="I15" s="51" t="s">
        <v>181</v>
      </c>
      <c r="J15" s="52" t="s">
        <v>182</v>
      </c>
    </row>
    <row r="16" customFormat="false" ht="40.5" hidden="false" customHeight="true" outlineLevel="1" collapsed="false">
      <c r="A16" s="62" t="s">
        <v>201</v>
      </c>
      <c r="B16" s="34" t="n">
        <v>16</v>
      </c>
      <c r="C16" s="34" t="n">
        <v>13.68</v>
      </c>
      <c r="D16" s="25" t="n">
        <f aca="false">B16-C16</f>
        <v>2.32</v>
      </c>
      <c r="E16" s="26" t="n">
        <f aca="false">IF(C16=0,"n/m",D16/ABS(C16))</f>
        <v>0.169590643274854</v>
      </c>
      <c r="F16" s="49" t="str">
        <f aca="false">IF(ROUND(D16,5)=0,"",IF(D16&lt;0,"F","U"))</f>
        <v>U</v>
      </c>
      <c r="G16" s="63" t="s">
        <v>202</v>
      </c>
      <c r="H16" s="50" t="s">
        <v>203</v>
      </c>
      <c r="I16" s="18" t="s">
        <v>191</v>
      </c>
      <c r="J16" s="52" t="s">
        <v>182</v>
      </c>
    </row>
    <row r="17" customFormat="false" ht="27.75" hidden="false" customHeight="true" outlineLevel="1" collapsed="false">
      <c r="A17" s="62" t="s">
        <v>204</v>
      </c>
      <c r="B17" s="34" t="n">
        <v>20</v>
      </c>
      <c r="C17" s="34" t="n">
        <v>19.33333</v>
      </c>
      <c r="D17" s="25" t="n">
        <f aca="false">B17-C17</f>
        <v>0.66667</v>
      </c>
      <c r="E17" s="26" t="n">
        <f aca="false">IF(C17=0,"n/m",D17/ABS(C17))</f>
        <v>0.0344829369798167</v>
      </c>
      <c r="F17" s="49" t="str">
        <f aca="false">IF(ROUND(D17,5)=0,"",IF(D17&lt;0,"F","U"))</f>
        <v>U</v>
      </c>
      <c r="G17" s="63" t="s">
        <v>205</v>
      </c>
      <c r="H17" s="50" t="s">
        <v>206</v>
      </c>
      <c r="I17" s="18" t="s">
        <v>191</v>
      </c>
      <c r="J17" s="52" t="s">
        <v>182</v>
      </c>
    </row>
    <row r="18" customFormat="false" ht="15" hidden="false" customHeight="true" outlineLevel="1" collapsed="false">
      <c r="A18" s="62" t="s">
        <v>207</v>
      </c>
      <c r="B18" s="34" t="n">
        <v>20</v>
      </c>
      <c r="C18" s="34" t="n">
        <v>19.5</v>
      </c>
      <c r="D18" s="25" t="n">
        <f aca="false">B18-C18</f>
        <v>0.5</v>
      </c>
      <c r="E18" s="26" t="n">
        <f aca="false">IF(C18=0,"n/m",D18/ABS(C18))</f>
        <v>0.0256410256410256</v>
      </c>
      <c r="F18" s="49" t="str">
        <f aca="false">IF(ROUND(D18,5)=0,"",IF(D18&lt;0,"F","U"))</f>
        <v>U</v>
      </c>
      <c r="G18" s="63" t="s">
        <v>208</v>
      </c>
      <c r="I18" s="18" t="s">
        <v>191</v>
      </c>
      <c r="J18" s="52" t="s">
        <v>182</v>
      </c>
    </row>
    <row r="19" customFormat="false" ht="27.75" hidden="false" customHeight="true" outlineLevel="0" collapsed="false">
      <c r="A19" s="11" t="s">
        <v>156</v>
      </c>
      <c r="B19" s="34" t="n">
        <v>120</v>
      </c>
      <c r="C19" s="34" t="n">
        <v>119.112</v>
      </c>
      <c r="D19" s="25" t="n">
        <f aca="false">B19-C19</f>
        <v>0.888000000000005</v>
      </c>
      <c r="E19" s="26" t="n">
        <f aca="false">IF(C19=0,"n/m",D19/ABS(C19))</f>
        <v>0.00745516824501314</v>
      </c>
      <c r="F19" s="49" t="str">
        <f aca="false">IF(ROUND(D19,5)=0,"",IF(D19&lt;0,"F","U"))</f>
        <v>U</v>
      </c>
      <c r="G19" s="63" t="s">
        <v>209</v>
      </c>
      <c r="H19" s="50" t="s">
        <v>210</v>
      </c>
      <c r="I19" s="18" t="s">
        <v>191</v>
      </c>
      <c r="J19" s="52" t="s">
        <v>182</v>
      </c>
    </row>
    <row r="20" customFormat="false" ht="60" hidden="false" customHeight="true" outlineLevel="0" collapsed="false">
      <c r="A20" s="53" t="s">
        <v>101</v>
      </c>
      <c r="B20" s="37" t="n">
        <f aca="false">B11+B19</f>
        <v>660</v>
      </c>
      <c r="C20" s="37" t="n">
        <f aca="false">C11+C19</f>
        <v>633.49918</v>
      </c>
      <c r="D20" s="37" t="n">
        <f aca="false">B20-C20</f>
        <v>26.5008200000001</v>
      </c>
      <c r="E20" s="54" t="n">
        <f aca="false">IF(C20=0,"n/m",D20/ABS(C20))</f>
        <v>0.0418324456236867</v>
      </c>
      <c r="F20" s="55" t="str">
        <f aca="false">IF(ROUND(D20,5)=0,"",IF(D20&lt;0,"F","U"))</f>
        <v>U</v>
      </c>
      <c r="G20" s="56" t="s">
        <v>211</v>
      </c>
      <c r="H20" s="57" t="s">
        <v>212</v>
      </c>
      <c r="I20" s="58" t="s">
        <v>181</v>
      </c>
      <c r="J20" s="59" t="str">
        <f aca="false">IF(AND(ROUND(B20-K20,4)=0,ROUND(C20-L20,4)=0,TRUE()),"✓","✗")</f>
        <v>✓</v>
      </c>
      <c r="K20" s="60" t="n">
        <v>660</v>
      </c>
      <c r="L20" s="60" t="n">
        <v>633.49918</v>
      </c>
    </row>
    <row r="21" customFormat="false" ht="60" hidden="false" customHeight="true" outlineLevel="0" collapsed="false">
      <c r="A21" s="64" t="s">
        <v>92</v>
      </c>
      <c r="B21" s="65" t="n">
        <f aca="false">B10-B20</f>
        <v>1340</v>
      </c>
      <c r="C21" s="65" t="n">
        <f aca="false">C10-C20</f>
        <v>1358.02782</v>
      </c>
      <c r="D21" s="65" t="n">
        <f aca="false">B21-C21</f>
        <v>-18.0278200000002</v>
      </c>
      <c r="E21" s="66" t="n">
        <f aca="false">IF(C21=0,"n/m",D21/ABS(C21))</f>
        <v>-0.0132750005077217</v>
      </c>
      <c r="F21" s="67" t="str">
        <f aca="false">IF(ROUND(D21,5)=0,"",IF(D21&gt;0,"F","U"))</f>
        <v>U</v>
      </c>
      <c r="G21" s="68" t="s">
        <v>213</v>
      </c>
      <c r="H21" s="69" t="s">
        <v>214</v>
      </c>
      <c r="I21" s="70" t="s">
        <v>181</v>
      </c>
      <c r="J21" s="71" t="str">
        <f aca="false">IF(AND(ROUND(B21-K21,4)=0,ROUND(C21-L21,4)=0,TRUE()),"✓","✗")</f>
        <v>✓</v>
      </c>
      <c r="K21" s="72" t="n">
        <v>1340</v>
      </c>
      <c r="L21" s="72" t="n">
        <v>1358.02782</v>
      </c>
    </row>
    <row r="22" customFormat="false" ht="48" hidden="false" customHeight="true" outlineLevel="0" collapsed="false">
      <c r="A22" s="11" t="s">
        <v>157</v>
      </c>
      <c r="B22" s="25" t="n">
        <f aca="false">B23+B24+B25+B26+B27</f>
        <v>414</v>
      </c>
      <c r="C22" s="25" t="n">
        <f aca="false">C23+C24+C25+C26+C27</f>
        <v>392.43658</v>
      </c>
      <c r="D22" s="25" t="n">
        <f aca="false">B22-C22</f>
        <v>21.56342</v>
      </c>
      <c r="E22" s="26" t="n">
        <f aca="false">IF(C22=0,"n/m",D22/ABS(C22))</f>
        <v>0.0549475280821171</v>
      </c>
      <c r="F22" s="49" t="str">
        <f aca="false">IF(ROUND(D22,5)=0,"",IF(D22&lt;0,"F","U"))</f>
        <v>U</v>
      </c>
      <c r="G22" s="6" t="s">
        <v>215</v>
      </c>
      <c r="H22" s="50" t="s">
        <v>216</v>
      </c>
      <c r="I22" s="51" t="s">
        <v>181</v>
      </c>
      <c r="J22" s="52" t="str">
        <f aca="false">IF(AND(ROUND(B22-K22,4)=0,ROUND(C22-L22,4)=0,TRUE()),"✓","✗")</f>
        <v>✓</v>
      </c>
      <c r="K22" s="61" t="n">
        <v>414</v>
      </c>
      <c r="L22" s="61" t="n">
        <v>392.43658</v>
      </c>
    </row>
    <row r="23" customFormat="false" ht="36.75" hidden="false" customHeight="true" outlineLevel="1" collapsed="false">
      <c r="A23" s="62" t="s">
        <v>192</v>
      </c>
      <c r="B23" s="34" t="n">
        <v>300</v>
      </c>
      <c r="C23" s="34" t="n">
        <v>279.05325</v>
      </c>
      <c r="D23" s="25" t="n">
        <f aca="false">B23-C23</f>
        <v>20.94675</v>
      </c>
      <c r="E23" s="26" t="n">
        <f aca="false">IF(C23=0,"n/m",D23/ABS(C23))</f>
        <v>0.0750636303286201</v>
      </c>
      <c r="F23" s="49" t="str">
        <f aca="false">IF(ROUND(D23,5)=0,"",IF(D23&lt;0,"F","U"))</f>
        <v>U</v>
      </c>
      <c r="G23" s="6" t="s">
        <v>217</v>
      </c>
      <c r="H23" s="50" t="s">
        <v>218</v>
      </c>
      <c r="I23" s="51" t="s">
        <v>181</v>
      </c>
      <c r="J23" s="52" t="s">
        <v>182</v>
      </c>
    </row>
    <row r="24" customFormat="false" ht="15" hidden="false" customHeight="true" outlineLevel="1" collapsed="false">
      <c r="A24" s="62" t="s">
        <v>189</v>
      </c>
      <c r="B24" s="34" t="n">
        <v>40</v>
      </c>
      <c r="C24" s="34" t="n">
        <v>42</v>
      </c>
      <c r="D24" s="25" t="n">
        <f aca="false">B24-C24</f>
        <v>-2</v>
      </c>
      <c r="E24" s="26" t="n">
        <f aca="false">IF(C24=0,"n/m",D24/ABS(C24))</f>
        <v>-0.0476190476190476</v>
      </c>
      <c r="F24" s="49" t="str">
        <f aca="false">IF(ROUND(D24,5)=0,"",IF(D24&lt;0,"F","U"))</f>
        <v>F</v>
      </c>
      <c r="G24" s="63" t="s">
        <v>219</v>
      </c>
      <c r="I24" s="18" t="s">
        <v>191</v>
      </c>
      <c r="J24" s="52" t="s">
        <v>182</v>
      </c>
    </row>
    <row r="25" customFormat="false" ht="36.75" hidden="false" customHeight="true" outlineLevel="1" collapsed="false">
      <c r="A25" s="62" t="s">
        <v>201</v>
      </c>
      <c r="B25" s="34" t="n">
        <v>24</v>
      </c>
      <c r="C25" s="34" t="n">
        <v>22.8</v>
      </c>
      <c r="D25" s="25" t="n">
        <f aca="false">B25-C25</f>
        <v>1.2</v>
      </c>
      <c r="E25" s="26" t="n">
        <f aca="false">IF(C25=0,"n/m",D25/ABS(C25))</f>
        <v>0.0526315789473684</v>
      </c>
      <c r="F25" s="49" t="str">
        <f aca="false">IF(ROUND(D25,5)=0,"",IF(D25&lt;0,"F","U"))</f>
        <v>U</v>
      </c>
      <c r="G25" s="63" t="s">
        <v>220</v>
      </c>
      <c r="H25" s="50" t="s">
        <v>221</v>
      </c>
      <c r="I25" s="18" t="s">
        <v>191</v>
      </c>
      <c r="J25" s="52" t="s">
        <v>182</v>
      </c>
    </row>
    <row r="26" customFormat="false" ht="27.75" hidden="false" customHeight="true" outlineLevel="1" collapsed="false">
      <c r="A26" s="62" t="s">
        <v>204</v>
      </c>
      <c r="B26" s="34" t="n">
        <v>20</v>
      </c>
      <c r="C26" s="34" t="n">
        <v>19.33333</v>
      </c>
      <c r="D26" s="25" t="n">
        <f aca="false">B26-C26</f>
        <v>0.66667</v>
      </c>
      <c r="E26" s="26" t="n">
        <f aca="false">IF(C26=0,"n/m",D26/ABS(C26))</f>
        <v>0.0344829369798167</v>
      </c>
      <c r="F26" s="49" t="str">
        <f aca="false">IF(ROUND(D26,5)=0,"",IF(D26&lt;0,"F","U"))</f>
        <v>U</v>
      </c>
      <c r="G26" s="63" t="s">
        <v>205</v>
      </c>
      <c r="H26" s="50" t="s">
        <v>206</v>
      </c>
      <c r="I26" s="18" t="s">
        <v>191</v>
      </c>
      <c r="J26" s="52" t="s">
        <v>182</v>
      </c>
    </row>
    <row r="27" customFormat="false" ht="15" hidden="false" customHeight="true" outlineLevel="1" collapsed="false">
      <c r="A27" s="62" t="s">
        <v>207</v>
      </c>
      <c r="B27" s="34" t="n">
        <v>30</v>
      </c>
      <c r="C27" s="34" t="n">
        <v>29.25</v>
      </c>
      <c r="D27" s="25" t="n">
        <f aca="false">B27-C27</f>
        <v>0.75</v>
      </c>
      <c r="E27" s="26" t="n">
        <f aca="false">IF(C27=0,"n/m",D27/ABS(C27))</f>
        <v>0.0256410256410256</v>
      </c>
      <c r="F27" s="49" t="str">
        <f aca="false">IF(ROUND(D27,5)=0,"",IF(D27&lt;0,"F","U"))</f>
        <v>U</v>
      </c>
      <c r="G27" s="63" t="s">
        <v>222</v>
      </c>
      <c r="I27" s="18" t="s">
        <v>191</v>
      </c>
      <c r="J27" s="52" t="s">
        <v>182</v>
      </c>
    </row>
    <row r="28" customFormat="false" ht="48" hidden="false" customHeight="true" outlineLevel="0" collapsed="false">
      <c r="A28" s="11" t="s">
        <v>158</v>
      </c>
      <c r="B28" s="25" t="n">
        <f aca="false">B29+B30+B31+B32+B33+B34+B35+B36</f>
        <v>490</v>
      </c>
      <c r="C28" s="25" t="n">
        <f aca="false">C29+C30+C31+C32+C33+C34+C35+C36</f>
        <v>505.77357</v>
      </c>
      <c r="D28" s="25" t="n">
        <f aca="false">B28-C28</f>
        <v>-15.77357</v>
      </c>
      <c r="E28" s="26" t="n">
        <f aca="false">IF(C28=0,"n/m",D28/ABS(C28))</f>
        <v>-0.0311870191239926</v>
      </c>
      <c r="F28" s="49" t="str">
        <f aca="false">IF(ROUND(D28,5)=0,"",IF(D28&lt;0,"F","U"))</f>
        <v>F</v>
      </c>
      <c r="G28" s="6" t="s">
        <v>223</v>
      </c>
      <c r="H28" s="50" t="s">
        <v>224</v>
      </c>
      <c r="I28" s="51" t="s">
        <v>181</v>
      </c>
      <c r="J28" s="52" t="str">
        <f aca="false">IF(AND(ROUND(B28-K28,4)=0,ROUND(C28-L28,4)=0,TRUE()),"✓","✗")</f>
        <v>✓</v>
      </c>
      <c r="K28" s="61" t="n">
        <v>490</v>
      </c>
      <c r="L28" s="61" t="n">
        <v>505.77357</v>
      </c>
    </row>
    <row r="29" customFormat="false" ht="36.75" hidden="false" customHeight="true" outlineLevel="1" collapsed="false">
      <c r="A29" s="62" t="s">
        <v>225</v>
      </c>
      <c r="B29" s="34" t="n">
        <v>240</v>
      </c>
      <c r="C29" s="34" t="n">
        <v>225.321</v>
      </c>
      <c r="D29" s="25" t="n">
        <f aca="false">B29-C29</f>
        <v>14.679</v>
      </c>
      <c r="E29" s="26" t="n">
        <f aca="false">IF(C29=0,"n/m",D29/ABS(C29))</f>
        <v>0.0651470568655385</v>
      </c>
      <c r="F29" s="49" t="str">
        <f aca="false">IF(ROUND(D29,5)=0,"",IF(D29&lt;0,"F","U"))</f>
        <v>U</v>
      </c>
      <c r="G29" s="6" t="s">
        <v>226</v>
      </c>
      <c r="H29" s="50" t="s">
        <v>227</v>
      </c>
      <c r="I29" s="51" t="s">
        <v>181</v>
      </c>
      <c r="J29" s="52" t="s">
        <v>182</v>
      </c>
    </row>
    <row r="30" customFormat="false" ht="27.75" hidden="false" customHeight="true" outlineLevel="1" collapsed="false">
      <c r="A30" s="62" t="s">
        <v>195</v>
      </c>
      <c r="B30" s="34" t="n">
        <v>36</v>
      </c>
      <c r="C30" s="34" t="n">
        <v>37.9659</v>
      </c>
      <c r="D30" s="25" t="n">
        <f aca="false">B30-C30</f>
        <v>-1.9659</v>
      </c>
      <c r="E30" s="26" t="n">
        <f aca="false">IF(C30=0,"n/m",D30/ABS(C30))</f>
        <v>-0.0517806768705601</v>
      </c>
      <c r="F30" s="49" t="str">
        <f aca="false">IF(ROUND(D30,5)=0,"",IF(D30&lt;0,"F","U"))</f>
        <v>F</v>
      </c>
      <c r="G30" s="63" t="s">
        <v>228</v>
      </c>
      <c r="H30" s="50" t="s">
        <v>229</v>
      </c>
      <c r="I30" s="18" t="s">
        <v>191</v>
      </c>
      <c r="J30" s="52" t="s">
        <v>182</v>
      </c>
    </row>
    <row r="31" customFormat="false" ht="48" hidden="false" customHeight="true" outlineLevel="1" collapsed="false">
      <c r="A31" s="62" t="s">
        <v>230</v>
      </c>
      <c r="B31" s="34" t="n">
        <v>100</v>
      </c>
      <c r="C31" s="34" t="n">
        <v>140</v>
      </c>
      <c r="D31" s="25" t="n">
        <f aca="false">B31-C31</f>
        <v>-40</v>
      </c>
      <c r="E31" s="26" t="n">
        <f aca="false">IF(C31=0,"n/m",D31/ABS(C31))</f>
        <v>-0.285714285714286</v>
      </c>
      <c r="F31" s="49" t="str">
        <f aca="false">IF(ROUND(D31,5)=0,"",IF(D31&lt;0,"F","U"))</f>
        <v>F</v>
      </c>
      <c r="G31" s="6" t="s">
        <v>231</v>
      </c>
      <c r="H31" s="50" t="s">
        <v>232</v>
      </c>
      <c r="I31" s="51" t="s">
        <v>181</v>
      </c>
      <c r="J31" s="52" t="s">
        <v>182</v>
      </c>
    </row>
    <row r="32" customFormat="false" ht="27.75" hidden="false" customHeight="true" outlineLevel="1" collapsed="false">
      <c r="A32" s="62" t="s">
        <v>233</v>
      </c>
      <c r="B32" s="34" t="n">
        <v>40</v>
      </c>
      <c r="C32" s="34" t="n">
        <v>39</v>
      </c>
      <c r="D32" s="25" t="n">
        <f aca="false">B32-C32</f>
        <v>1</v>
      </c>
      <c r="E32" s="26" t="n">
        <f aca="false">IF(C32=0,"n/m",D32/ABS(C32))</f>
        <v>0.0256410256410256</v>
      </c>
      <c r="F32" s="49" t="str">
        <f aca="false">IF(ROUND(D32,5)=0,"",IF(D32&lt;0,"F","U"))</f>
        <v>U</v>
      </c>
      <c r="G32" s="63" t="s">
        <v>234</v>
      </c>
      <c r="I32" s="18" t="s">
        <v>191</v>
      </c>
      <c r="J32" s="52" t="s">
        <v>182</v>
      </c>
    </row>
    <row r="33" customFormat="false" ht="27.75" hidden="false" customHeight="true" outlineLevel="1" collapsed="false">
      <c r="A33" s="62" t="s">
        <v>189</v>
      </c>
      <c r="B33" s="34" t="n">
        <v>20</v>
      </c>
      <c r="C33" s="34" t="n">
        <v>10</v>
      </c>
      <c r="D33" s="25" t="n">
        <f aca="false">B33-C33</f>
        <v>10</v>
      </c>
      <c r="E33" s="26" t="n">
        <f aca="false">IF(C33=0,"n/m",D33/ABS(C33))</f>
        <v>1</v>
      </c>
      <c r="F33" s="49" t="str">
        <f aca="false">IF(ROUND(D33,5)=0,"",IF(D33&lt;0,"F","U"))</f>
        <v>U</v>
      </c>
      <c r="G33" s="6" t="s">
        <v>235</v>
      </c>
      <c r="H33" s="50" t="s">
        <v>236</v>
      </c>
      <c r="I33" s="51" t="s">
        <v>181</v>
      </c>
      <c r="J33" s="52" t="s">
        <v>182</v>
      </c>
    </row>
    <row r="34" customFormat="false" ht="40.5" hidden="false" customHeight="true" outlineLevel="1" collapsed="false">
      <c r="A34" s="62" t="s">
        <v>201</v>
      </c>
      <c r="B34" s="34" t="n">
        <v>24</v>
      </c>
      <c r="C34" s="34" t="n">
        <v>24.32</v>
      </c>
      <c r="D34" s="25" t="n">
        <f aca="false">B34-C34</f>
        <v>-0.32</v>
      </c>
      <c r="E34" s="26" t="n">
        <f aca="false">IF(C34=0,"n/m",D34/ABS(C34))</f>
        <v>-0.0131578947368421</v>
      </c>
      <c r="F34" s="49" t="str">
        <f aca="false">IF(ROUND(D34,5)=0,"",IF(D34&lt;0,"F","U"))</f>
        <v>F</v>
      </c>
      <c r="G34" s="63" t="s">
        <v>237</v>
      </c>
      <c r="H34" s="50" t="s">
        <v>221</v>
      </c>
      <c r="I34" s="18" t="s">
        <v>191</v>
      </c>
      <c r="J34" s="52" t="s">
        <v>182</v>
      </c>
    </row>
    <row r="35" customFormat="false" ht="27.75" hidden="false" customHeight="true" outlineLevel="1" collapsed="false">
      <c r="A35" s="62" t="s">
        <v>204</v>
      </c>
      <c r="B35" s="34" t="n">
        <v>10</v>
      </c>
      <c r="C35" s="34" t="n">
        <v>9.66667</v>
      </c>
      <c r="D35" s="25" t="n">
        <f aca="false">B35-C35</f>
        <v>0.33333</v>
      </c>
      <c r="E35" s="26" t="n">
        <f aca="false">IF(C35=0,"n/m",D35/ABS(C35))</f>
        <v>0.03448240190262</v>
      </c>
      <c r="F35" s="49" t="str">
        <f aca="false">IF(ROUND(D35,5)=0,"",IF(D35&lt;0,"F","U"))</f>
        <v>U</v>
      </c>
      <c r="G35" s="63" t="s">
        <v>238</v>
      </c>
      <c r="H35" s="50" t="s">
        <v>239</v>
      </c>
      <c r="I35" s="18" t="s">
        <v>191</v>
      </c>
      <c r="J35" s="52" t="s">
        <v>182</v>
      </c>
    </row>
    <row r="36" customFormat="false" ht="15" hidden="false" customHeight="true" outlineLevel="1" collapsed="false">
      <c r="A36" s="62" t="s">
        <v>207</v>
      </c>
      <c r="B36" s="34" t="n">
        <v>20</v>
      </c>
      <c r="C36" s="34" t="n">
        <v>19.5</v>
      </c>
      <c r="D36" s="25" t="n">
        <f aca="false">B36-C36</f>
        <v>0.5</v>
      </c>
      <c r="E36" s="26" t="n">
        <f aca="false">IF(C36=0,"n/m",D36/ABS(C36))</f>
        <v>0.0256410256410256</v>
      </c>
      <c r="F36" s="49" t="str">
        <f aca="false">IF(ROUND(D36,5)=0,"",IF(D36&lt;0,"F","U"))</f>
        <v>U</v>
      </c>
      <c r="G36" s="63" t="s">
        <v>208</v>
      </c>
      <c r="I36" s="18" t="s">
        <v>191</v>
      </c>
      <c r="J36" s="52" t="s">
        <v>182</v>
      </c>
    </row>
    <row r="37" customFormat="false" ht="40.5" hidden="false" customHeight="true" outlineLevel="0" collapsed="false">
      <c r="A37" s="11" t="s">
        <v>159</v>
      </c>
      <c r="B37" s="25" t="n">
        <f aca="false">B38+B39+B40+B41</f>
        <v>216</v>
      </c>
      <c r="C37" s="25" t="n">
        <f aca="false">C38+C39+C40+C41</f>
        <v>206.61667</v>
      </c>
      <c r="D37" s="25" t="n">
        <f aca="false">B37-C37</f>
        <v>9.38333</v>
      </c>
      <c r="E37" s="26" t="n">
        <f aca="false">IF(C37=0,"n/m",D37/ABS(C37))</f>
        <v>0.0454141962504768</v>
      </c>
      <c r="F37" s="49" t="str">
        <f aca="false">IF(ROUND(D37,5)=0,"",IF(D37&lt;0,"F","U"))</f>
        <v>U</v>
      </c>
      <c r="G37" s="6" t="s">
        <v>240</v>
      </c>
      <c r="H37" s="50" t="s">
        <v>241</v>
      </c>
      <c r="I37" s="51" t="s">
        <v>181</v>
      </c>
      <c r="J37" s="52" t="str">
        <f aca="false">IF(AND(ROUND(B37-K37,4)=0,ROUND(C37-L37,4)=0,TRUE()),"✓","✗")</f>
        <v>✓</v>
      </c>
      <c r="K37" s="61" t="n">
        <v>216</v>
      </c>
      <c r="L37" s="61" t="n">
        <v>206.61667</v>
      </c>
    </row>
    <row r="38" customFormat="false" ht="53.25" hidden="false" customHeight="true" outlineLevel="1" collapsed="false">
      <c r="A38" s="62" t="s">
        <v>242</v>
      </c>
      <c r="B38" s="34" t="n">
        <v>180</v>
      </c>
      <c r="C38" s="34" t="n">
        <v>172</v>
      </c>
      <c r="D38" s="25" t="n">
        <f aca="false">B38-C38</f>
        <v>8</v>
      </c>
      <c r="E38" s="26" t="n">
        <f aca="false">IF(C38=0,"n/m",D38/ABS(C38))</f>
        <v>0.0465116279069767</v>
      </c>
      <c r="F38" s="49" t="str">
        <f aca="false">IF(ROUND(D38,5)=0,"",IF(D38&lt;0,"F","U"))</f>
        <v>U</v>
      </c>
      <c r="G38" s="63" t="s">
        <v>243</v>
      </c>
      <c r="H38" s="50" t="s">
        <v>244</v>
      </c>
      <c r="I38" s="18" t="s">
        <v>191</v>
      </c>
      <c r="J38" s="52" t="s">
        <v>182</v>
      </c>
    </row>
    <row r="39" customFormat="false" ht="36.75" hidden="false" customHeight="true" outlineLevel="1" collapsed="false">
      <c r="A39" s="62" t="s">
        <v>201</v>
      </c>
      <c r="B39" s="34" t="n">
        <v>16</v>
      </c>
      <c r="C39" s="34" t="n">
        <v>15.2</v>
      </c>
      <c r="D39" s="25" t="n">
        <f aca="false">B39-C39</f>
        <v>0.800000000000001</v>
      </c>
      <c r="E39" s="26" t="n">
        <f aca="false">IF(C39=0,"n/m",D39/ABS(C39))</f>
        <v>0.0526315789473685</v>
      </c>
      <c r="F39" s="49" t="str">
        <f aca="false">IF(ROUND(D39,5)=0,"",IF(D39&lt;0,"F","U"))</f>
        <v>U</v>
      </c>
      <c r="G39" s="63" t="s">
        <v>245</v>
      </c>
      <c r="H39" s="50" t="s">
        <v>203</v>
      </c>
      <c r="I39" s="18" t="s">
        <v>191</v>
      </c>
      <c r="J39" s="52" t="s">
        <v>182</v>
      </c>
    </row>
    <row r="40" customFormat="false" ht="27.75" hidden="false" customHeight="true" outlineLevel="1" collapsed="false">
      <c r="A40" s="62" t="s">
        <v>204</v>
      </c>
      <c r="B40" s="34" t="n">
        <v>10</v>
      </c>
      <c r="C40" s="34" t="n">
        <v>9.66667</v>
      </c>
      <c r="D40" s="25" t="n">
        <f aca="false">B40-C40</f>
        <v>0.33333</v>
      </c>
      <c r="E40" s="26" t="n">
        <f aca="false">IF(C40=0,"n/m",D40/ABS(C40))</f>
        <v>0.03448240190262</v>
      </c>
      <c r="F40" s="49" t="str">
        <f aca="false">IF(ROUND(D40,5)=0,"",IF(D40&lt;0,"F","U"))</f>
        <v>U</v>
      </c>
      <c r="G40" s="63" t="s">
        <v>238</v>
      </c>
      <c r="H40" s="50" t="s">
        <v>239</v>
      </c>
      <c r="I40" s="18" t="s">
        <v>191</v>
      </c>
      <c r="J40" s="52" t="s">
        <v>182</v>
      </c>
    </row>
    <row r="41" customFormat="false" ht="15" hidden="false" customHeight="true" outlineLevel="1" collapsed="false">
      <c r="A41" s="62" t="s">
        <v>207</v>
      </c>
      <c r="B41" s="34" t="n">
        <v>10</v>
      </c>
      <c r="C41" s="34" t="n">
        <v>9.75</v>
      </c>
      <c r="D41" s="25" t="n">
        <f aca="false">B41-C41</f>
        <v>0.25</v>
      </c>
      <c r="E41" s="26" t="n">
        <f aca="false">IF(C41=0,"n/m",D41/ABS(C41))</f>
        <v>0.0256410256410256</v>
      </c>
      <c r="F41" s="49" t="str">
        <f aca="false">IF(ROUND(D41,5)=0,"",IF(D41&lt;0,"F","U"))</f>
        <v>U</v>
      </c>
      <c r="G41" s="63" t="s">
        <v>246</v>
      </c>
      <c r="I41" s="18" t="s">
        <v>191</v>
      </c>
      <c r="J41" s="52" t="s">
        <v>182</v>
      </c>
    </row>
    <row r="42" customFormat="false" ht="60" hidden="false" customHeight="true" outlineLevel="0" collapsed="false">
      <c r="A42" s="53" t="s">
        <v>95</v>
      </c>
      <c r="B42" s="37" t="n">
        <f aca="false">B22+B28+B37</f>
        <v>1120</v>
      </c>
      <c r="C42" s="37" t="n">
        <f aca="false">C22+C28+C37</f>
        <v>1104.82682</v>
      </c>
      <c r="D42" s="37" t="n">
        <f aca="false">B42-C42</f>
        <v>15.17318</v>
      </c>
      <c r="E42" s="54" t="n">
        <f aca="false">IF(C42=0,"n/m",D42/ABS(C42))</f>
        <v>0.0137335369899873</v>
      </c>
      <c r="F42" s="55" t="str">
        <f aca="false">IF(ROUND(D42,5)=0,"",IF(D42&lt;0,"F","U"))</f>
        <v>U</v>
      </c>
      <c r="G42" s="56" t="s">
        <v>247</v>
      </c>
      <c r="H42" s="57" t="s">
        <v>248</v>
      </c>
      <c r="I42" s="58" t="s">
        <v>181</v>
      </c>
      <c r="J42" s="59" t="str">
        <f aca="false">IF(AND(ROUND(B42-K42,4)=0,ROUND(C42-L42,4)=0,TRUE()),"✓","✗")</f>
        <v>✓</v>
      </c>
      <c r="K42" s="60" t="n">
        <v>1120</v>
      </c>
      <c r="L42" s="60" t="n">
        <v>1104.82682</v>
      </c>
    </row>
    <row r="43" customFormat="false" ht="60" hidden="false" customHeight="true" outlineLevel="0" collapsed="false">
      <c r="A43" s="64" t="s">
        <v>96</v>
      </c>
      <c r="B43" s="65" t="n">
        <f aca="false">B21-B42</f>
        <v>220</v>
      </c>
      <c r="C43" s="65" t="n">
        <f aca="false">C21-C42</f>
        <v>253.201</v>
      </c>
      <c r="D43" s="65" t="n">
        <f aca="false">B43-C43</f>
        <v>-33.2010000000003</v>
      </c>
      <c r="E43" s="66" t="n">
        <f aca="false">IF(C43=0,"n/m",D43/ABS(C43))</f>
        <v>-0.13112507454552</v>
      </c>
      <c r="F43" s="67" t="str">
        <f aca="false">IF(ROUND(D43,5)=0,"",IF(D43&gt;0,"F","U"))</f>
        <v>U</v>
      </c>
      <c r="G43" s="68" t="s">
        <v>249</v>
      </c>
      <c r="H43" s="69" t="s">
        <v>250</v>
      </c>
      <c r="I43" s="70" t="s">
        <v>181</v>
      </c>
      <c r="J43" s="71" t="str">
        <f aca="false">IF(AND(ROUND(B43-K43,4)=0,ROUND(C43-L43,4)=0,TRUE()),"✓","✗")</f>
        <v>✓</v>
      </c>
      <c r="K43" s="72" t="n">
        <v>220</v>
      </c>
      <c r="L43" s="72" t="n">
        <v>253.201</v>
      </c>
    </row>
    <row r="44" customFormat="false" ht="15" hidden="false" customHeight="true" outlineLevel="0" collapsed="false">
      <c r="A44" s="11" t="s">
        <v>160</v>
      </c>
      <c r="B44" s="34" t="n">
        <v>10</v>
      </c>
      <c r="C44" s="34" t="n">
        <v>11</v>
      </c>
      <c r="D44" s="25" t="n">
        <f aca="false">B44-C44</f>
        <v>-1</v>
      </c>
      <c r="E44" s="26" t="n">
        <f aca="false">IF(C44=0,"n/m",D44/ABS(C44))</f>
        <v>-0.0909090909090909</v>
      </c>
      <c r="F44" s="49" t="str">
        <f aca="false">IF(ROUND(D44,5)=0,"",IF(D44&gt;0,"F","U"))</f>
        <v>U</v>
      </c>
      <c r="G44" s="63" t="s">
        <v>251</v>
      </c>
      <c r="I44" s="18" t="s">
        <v>191</v>
      </c>
      <c r="J44" s="52" t="s">
        <v>182</v>
      </c>
    </row>
    <row r="45" customFormat="false" ht="15" hidden="false" customHeight="true" outlineLevel="0" collapsed="false">
      <c r="A45" s="11" t="s">
        <v>161</v>
      </c>
      <c r="B45" s="34" t="n">
        <v>30</v>
      </c>
      <c r="C45" s="34" t="n">
        <v>30</v>
      </c>
      <c r="D45" s="25" t="n">
        <f aca="false">B45-C45</f>
        <v>0</v>
      </c>
      <c r="E45" s="26" t="n">
        <f aca="false">IF(C45=0,"n/m",D45/ABS(C45))</f>
        <v>0</v>
      </c>
      <c r="F45" s="49" t="str">
        <f aca="false">IF(ROUND(D45,5)=0,"",IF(D45&lt;0,"F","U"))</f>
        <v/>
      </c>
      <c r="G45" s="63" t="s">
        <v>252</v>
      </c>
      <c r="I45" s="18" t="s">
        <v>191</v>
      </c>
      <c r="J45" s="52" t="s">
        <v>182</v>
      </c>
    </row>
    <row r="46" customFormat="false" ht="60" hidden="false" customHeight="true" outlineLevel="0" collapsed="false">
      <c r="A46" s="64" t="s">
        <v>162</v>
      </c>
      <c r="B46" s="65" t="n">
        <f aca="false">B43+B44-B45</f>
        <v>200</v>
      </c>
      <c r="C46" s="65" t="n">
        <f aca="false">C43+C44-C45</f>
        <v>234.201</v>
      </c>
      <c r="D46" s="65" t="n">
        <f aca="false">B46-C46</f>
        <v>-34.2010000000003</v>
      </c>
      <c r="E46" s="66" t="n">
        <f aca="false">IF(C46=0,"n/m",D46/ABS(C46))</f>
        <v>-0.146032681329286</v>
      </c>
      <c r="F46" s="67" t="str">
        <f aca="false">IF(ROUND(D46,5)=0,"",IF(D46&gt;0,"F","U"))</f>
        <v>U</v>
      </c>
      <c r="G46" s="68" t="s">
        <v>253</v>
      </c>
      <c r="H46" s="69" t="s">
        <v>250</v>
      </c>
      <c r="I46" s="70" t="s">
        <v>181</v>
      </c>
      <c r="J46" s="71" t="str">
        <f aca="false">IF(AND(ROUND(B46-K46,4)=0,ROUND(C46-L46,4)=0,TRUE()),"✓","✗")</f>
        <v>✓</v>
      </c>
      <c r="K46" s="72" t="n">
        <v>200</v>
      </c>
      <c r="L46" s="72" t="n">
        <v>234.201</v>
      </c>
    </row>
    <row r="47" customFormat="false" ht="15" hidden="false" customHeight="true" outlineLevel="0" collapsed="false">
      <c r="A47" s="11" t="s">
        <v>126</v>
      </c>
      <c r="B47" s="34" t="n">
        <v>40</v>
      </c>
      <c r="C47" s="34" t="n">
        <v>35</v>
      </c>
      <c r="D47" s="25" t="n">
        <f aca="false">B47-C47</f>
        <v>5</v>
      </c>
      <c r="E47" s="26" t="n">
        <f aca="false">IF(C47=0,"n/m",D47/ABS(C47))</f>
        <v>0.142857142857143</v>
      </c>
      <c r="F47" s="49" t="str">
        <f aca="false">IF(ROUND(D47,5)=0,"",IF(D47&lt;0,"F","U"))</f>
        <v>U</v>
      </c>
      <c r="G47" s="6" t="s">
        <v>254</v>
      </c>
      <c r="I47" s="51" t="s">
        <v>181</v>
      </c>
      <c r="J47" s="52" t="s">
        <v>182</v>
      </c>
    </row>
    <row r="48" customFormat="false" ht="60" hidden="false" customHeight="true" outlineLevel="0" collapsed="false">
      <c r="A48" s="64" t="s">
        <v>97</v>
      </c>
      <c r="B48" s="65" t="n">
        <f aca="false">B46-B47</f>
        <v>160</v>
      </c>
      <c r="C48" s="65" t="n">
        <f aca="false">C46-C47</f>
        <v>199.201</v>
      </c>
      <c r="D48" s="65" t="n">
        <f aca="false">B48-C48</f>
        <v>-39.2010000000003</v>
      </c>
      <c r="E48" s="66" t="n">
        <f aca="false">IF(C48=0,"n/m",D48/ABS(C48))</f>
        <v>-0.196791180767166</v>
      </c>
      <c r="F48" s="67" t="str">
        <f aca="false">IF(ROUND(D48,5)=0,"",IF(D48&gt;0,"F","U"))</f>
        <v>U</v>
      </c>
      <c r="G48" s="68" t="s">
        <v>255</v>
      </c>
      <c r="H48" s="69" t="s">
        <v>250</v>
      </c>
      <c r="I48" s="70" t="s">
        <v>181</v>
      </c>
      <c r="J48" s="71" t="str">
        <f aca="false">IF(AND(ROUND(B48-K48,4)=0,ROUND(C48-L48,4)=0,TRUE()),"✓","✗")</f>
        <v>✓</v>
      </c>
      <c r="K48" s="72" t="n">
        <v>160</v>
      </c>
      <c r="L48" s="72" t="n">
        <v>199.201</v>
      </c>
    </row>
    <row r="50" customFormat="false" ht="18" hidden="false" customHeight="true" outlineLevel="0" collapsed="false">
      <c r="A50" s="44" t="s">
        <v>163</v>
      </c>
      <c r="B50" s="45"/>
      <c r="C50" s="45"/>
      <c r="D50" s="45"/>
      <c r="E50" s="45"/>
      <c r="F50" s="45"/>
      <c r="G50" s="45"/>
      <c r="H50" s="45"/>
      <c r="I50" s="45"/>
      <c r="J50" s="45"/>
      <c r="K50" s="45"/>
      <c r="L50" s="45"/>
    </row>
    <row r="51" customFormat="false" ht="48" hidden="false" customHeight="true" outlineLevel="0" collapsed="false">
      <c r="A51" s="11" t="s">
        <v>153</v>
      </c>
      <c r="B51" s="34" t="n">
        <v>1800</v>
      </c>
      <c r="C51" s="34" t="n">
        <v>1776.527</v>
      </c>
      <c r="D51" s="25" t="n">
        <f aca="false">B51-C51</f>
        <v>23.473</v>
      </c>
      <c r="E51" s="26" t="n">
        <f aca="false">IF(C51=0,"n/m",D51/ABS(C51))</f>
        <v>0.0132128585718089</v>
      </c>
      <c r="F51" s="49" t="str">
        <f aca="false">IF(ROUND(D51,5)=0,"",IF(D51&gt;0,"F","U"))</f>
        <v>F</v>
      </c>
      <c r="G51" s="6" t="s">
        <v>179</v>
      </c>
      <c r="H51" s="50" t="s">
        <v>180</v>
      </c>
      <c r="I51" s="51" t="s">
        <v>181</v>
      </c>
      <c r="J51" s="52" t="s">
        <v>182</v>
      </c>
    </row>
    <row r="52" customFormat="false" ht="40.5" hidden="false" customHeight="true" outlineLevel="0" collapsed="false">
      <c r="A52" s="11" t="s">
        <v>154</v>
      </c>
      <c r="B52" s="34" t="n">
        <v>200</v>
      </c>
      <c r="C52" s="34" t="n">
        <v>215</v>
      </c>
      <c r="D52" s="25" t="n">
        <f aca="false">B52-C52</f>
        <v>-15</v>
      </c>
      <c r="E52" s="26" t="n">
        <f aca="false">IF(C52=0,"n/m",D52/ABS(C52))</f>
        <v>-0.0697674418604651</v>
      </c>
      <c r="F52" s="49" t="str">
        <f aca="false">IF(ROUND(D52,5)=0,"",IF(D52&gt;0,"F","U"))</f>
        <v>U</v>
      </c>
      <c r="G52" s="6" t="s">
        <v>183</v>
      </c>
      <c r="H52" s="50" t="s">
        <v>184</v>
      </c>
      <c r="I52" s="51" t="s">
        <v>181</v>
      </c>
      <c r="J52" s="52" t="s">
        <v>182</v>
      </c>
    </row>
    <row r="53" customFormat="false" ht="40.5" hidden="false" customHeight="true" outlineLevel="0" collapsed="false">
      <c r="A53" s="53" t="s">
        <v>91</v>
      </c>
      <c r="B53" s="37" t="n">
        <f aca="false">B51+B52</f>
        <v>2000</v>
      </c>
      <c r="C53" s="37" t="n">
        <f aca="false">C51+C52</f>
        <v>1991.527</v>
      </c>
      <c r="D53" s="37" t="n">
        <f aca="false">B53-C53</f>
        <v>8.47299999999996</v>
      </c>
      <c r="E53" s="54" t="n">
        <f aca="false">IF(C53=0,"n/m",D53/ABS(C53))</f>
        <v>0.00425452429216373</v>
      </c>
      <c r="F53" s="55" t="str">
        <f aca="false">IF(ROUND(D53,5)=0,"",IF(D53&gt;0,"F","U"))</f>
        <v>F</v>
      </c>
      <c r="G53" s="56" t="s">
        <v>185</v>
      </c>
      <c r="H53" s="57" t="s">
        <v>186</v>
      </c>
      <c r="I53" s="58" t="s">
        <v>181</v>
      </c>
      <c r="J53" s="59" t="str">
        <f aca="false">IF(AND(ROUND(B53-K53,4)=0,ROUND(C53-L53,4)=0,TRUE()),"✓","✗")</f>
        <v>✓</v>
      </c>
      <c r="K53" s="60" t="n">
        <v>2000</v>
      </c>
      <c r="L53" s="60" t="n">
        <v>1991.527</v>
      </c>
    </row>
    <row r="54" customFormat="false" ht="60" hidden="false" customHeight="true" outlineLevel="0" collapsed="false">
      <c r="A54" s="11" t="s">
        <v>164</v>
      </c>
      <c r="B54" s="25" t="n">
        <f aca="false">B55+B56+B57+B58+B59+B60+B61</f>
        <v>544</v>
      </c>
      <c r="C54" s="25" t="n">
        <f aca="false">C55+C56+C57+C58+C59+C60+C61</f>
        <v>518.18718</v>
      </c>
      <c r="D54" s="25" t="n">
        <f aca="false">B54-C54</f>
        <v>25.81282</v>
      </c>
      <c r="E54" s="26" t="n">
        <f aca="false">IF(C54=0,"n/m",D54/ABS(C54))</f>
        <v>0.0498136985943959</v>
      </c>
      <c r="F54" s="49" t="str">
        <f aca="false">IF(ROUND(D54,5)=0,"",IF(D54&lt;0,"F","U"))</f>
        <v>U</v>
      </c>
      <c r="G54" s="6" t="s">
        <v>256</v>
      </c>
      <c r="H54" s="50" t="s">
        <v>188</v>
      </c>
      <c r="I54" s="51" t="s">
        <v>181</v>
      </c>
      <c r="J54" s="52" t="str">
        <f aca="false">IF(AND(ROUND(B54-K54,4)=0,ROUND(C54-L54,4)=0,TRUE()),"✓","✗")</f>
        <v>✓</v>
      </c>
      <c r="K54" s="61" t="n">
        <v>544</v>
      </c>
      <c r="L54" s="61" t="n">
        <v>518.18718</v>
      </c>
    </row>
    <row r="55" customFormat="false" ht="15" hidden="false" customHeight="true" outlineLevel="1" collapsed="false">
      <c r="A55" s="62" t="s">
        <v>257</v>
      </c>
      <c r="B55" s="34" t="n">
        <v>140</v>
      </c>
      <c r="C55" s="34" t="n">
        <v>136</v>
      </c>
      <c r="D55" s="25" t="n">
        <f aca="false">B55-C55</f>
        <v>4</v>
      </c>
      <c r="E55" s="26" t="n">
        <f aca="false">IF(C55=0,"n/m",D55/ABS(C55))</f>
        <v>0.0294117647058824</v>
      </c>
      <c r="F55" s="49" t="str">
        <f aca="false">IF(ROUND(D55,5)=0,"",IF(D55&lt;0,"F","U"))</f>
        <v>U</v>
      </c>
      <c r="G55" s="63" t="s">
        <v>258</v>
      </c>
      <c r="I55" s="18" t="s">
        <v>191</v>
      </c>
      <c r="J55" s="52" t="s">
        <v>182</v>
      </c>
    </row>
    <row r="56" customFormat="false" ht="36.75" hidden="false" customHeight="true" outlineLevel="1" collapsed="false">
      <c r="A56" s="62" t="s">
        <v>259</v>
      </c>
      <c r="B56" s="34" t="n">
        <v>100</v>
      </c>
      <c r="C56" s="34" t="n">
        <v>93.01775</v>
      </c>
      <c r="D56" s="25" t="n">
        <f aca="false">B56-C56</f>
        <v>6.98224999999999</v>
      </c>
      <c r="E56" s="26" t="n">
        <f aca="false">IF(C56=0,"n/m",D56/ABS(C56))</f>
        <v>0.07506363032862</v>
      </c>
      <c r="F56" s="49" t="str">
        <f aca="false">IF(ROUND(D56,5)=0,"",IF(D56&lt;0,"F","U"))</f>
        <v>U</v>
      </c>
      <c r="G56" s="63" t="s">
        <v>260</v>
      </c>
      <c r="H56" s="50" t="s">
        <v>194</v>
      </c>
      <c r="I56" s="18" t="s">
        <v>191</v>
      </c>
      <c r="J56" s="52" t="s">
        <v>182</v>
      </c>
    </row>
    <row r="57" customFormat="false" ht="36.75" hidden="false" customHeight="true" outlineLevel="1" collapsed="false">
      <c r="A57" s="62" t="s">
        <v>261</v>
      </c>
      <c r="B57" s="34" t="n">
        <v>160</v>
      </c>
      <c r="C57" s="34" t="n">
        <v>144.269</v>
      </c>
      <c r="D57" s="25" t="n">
        <f aca="false">B57-C57</f>
        <v>15.731</v>
      </c>
      <c r="E57" s="26" t="n">
        <f aca="false">IF(C57=0,"n/m",D57/ABS(C57))</f>
        <v>0.109039363965925</v>
      </c>
      <c r="F57" s="49" t="str">
        <f aca="false">IF(ROUND(D57,5)=0,"",IF(D57&lt;0,"F","U"))</f>
        <v>U</v>
      </c>
      <c r="G57" s="6" t="s">
        <v>262</v>
      </c>
      <c r="H57" s="50" t="s">
        <v>200</v>
      </c>
      <c r="I57" s="51" t="s">
        <v>181</v>
      </c>
      <c r="J57" s="52" t="s">
        <v>182</v>
      </c>
    </row>
    <row r="58" customFormat="false" ht="27.75" hidden="false" customHeight="true" outlineLevel="1" collapsed="false">
      <c r="A58" s="62" t="s">
        <v>263</v>
      </c>
      <c r="B58" s="34" t="n">
        <v>84</v>
      </c>
      <c r="C58" s="34" t="n">
        <v>88.5871</v>
      </c>
      <c r="D58" s="25" t="n">
        <f aca="false">B58-C58</f>
        <v>-4.58710000000001</v>
      </c>
      <c r="E58" s="26" t="n">
        <f aca="false">IF(C58=0,"n/m",D58/ABS(C58))</f>
        <v>-0.0517806768705602</v>
      </c>
      <c r="F58" s="49" t="str">
        <f aca="false">IF(ROUND(D58,5)=0,"",IF(D58&lt;0,"F","U"))</f>
        <v>F</v>
      </c>
      <c r="G58" s="63" t="s">
        <v>264</v>
      </c>
      <c r="H58" s="50" t="s">
        <v>197</v>
      </c>
      <c r="I58" s="18" t="s">
        <v>191</v>
      </c>
      <c r="J58" s="52" t="s">
        <v>182</v>
      </c>
    </row>
    <row r="59" customFormat="false" ht="40.5" hidden="false" customHeight="true" outlineLevel="1" collapsed="false">
      <c r="A59" s="62" t="s">
        <v>265</v>
      </c>
      <c r="B59" s="34" t="n">
        <v>20</v>
      </c>
      <c r="C59" s="34" t="n">
        <v>17.48</v>
      </c>
      <c r="D59" s="25" t="n">
        <f aca="false">B59-C59</f>
        <v>2.52</v>
      </c>
      <c r="E59" s="26" t="n">
        <f aca="false">IF(C59=0,"n/m",D59/ABS(C59))</f>
        <v>0.1441647597254</v>
      </c>
      <c r="F59" s="49" t="str">
        <f aca="false">IF(ROUND(D59,5)=0,"",IF(D59&lt;0,"F","U"))</f>
        <v>U</v>
      </c>
      <c r="G59" s="6" t="s">
        <v>266</v>
      </c>
      <c r="H59" s="50" t="s">
        <v>221</v>
      </c>
      <c r="I59" s="51" t="s">
        <v>181</v>
      </c>
      <c r="J59" s="52" t="s">
        <v>182</v>
      </c>
    </row>
    <row r="60" customFormat="false" ht="27.75" hidden="false" customHeight="true" outlineLevel="1" collapsed="false">
      <c r="A60" s="62" t="s">
        <v>267</v>
      </c>
      <c r="B60" s="34" t="n">
        <v>20</v>
      </c>
      <c r="C60" s="34" t="n">
        <v>19.33333</v>
      </c>
      <c r="D60" s="25" t="n">
        <f aca="false">B60-C60</f>
        <v>0.66667</v>
      </c>
      <c r="E60" s="26" t="n">
        <f aca="false">IF(C60=0,"n/m",D60/ABS(C60))</f>
        <v>0.0344829369798167</v>
      </c>
      <c r="F60" s="49" t="str">
        <f aca="false">IF(ROUND(D60,5)=0,"",IF(D60&lt;0,"F","U"))</f>
        <v>U</v>
      </c>
      <c r="G60" s="63" t="s">
        <v>268</v>
      </c>
      <c r="H60" s="50" t="s">
        <v>206</v>
      </c>
      <c r="I60" s="18" t="s">
        <v>191</v>
      </c>
      <c r="J60" s="52" t="s">
        <v>182</v>
      </c>
    </row>
    <row r="61" customFormat="false" ht="15" hidden="false" customHeight="true" outlineLevel="1" collapsed="false">
      <c r="A61" s="62" t="s">
        <v>269</v>
      </c>
      <c r="B61" s="34" t="n">
        <v>20</v>
      </c>
      <c r="C61" s="34" t="n">
        <v>19.5</v>
      </c>
      <c r="D61" s="25" t="n">
        <f aca="false">B61-C61</f>
        <v>0.5</v>
      </c>
      <c r="E61" s="26" t="n">
        <f aca="false">IF(C61=0,"n/m",D61/ABS(C61))</f>
        <v>0.0256410256410256</v>
      </c>
      <c r="F61" s="49" t="str">
        <f aca="false">IF(ROUND(D61,5)=0,"",IF(D61&lt;0,"F","U"))</f>
        <v>U</v>
      </c>
      <c r="G61" s="63" t="s">
        <v>270</v>
      </c>
      <c r="I61" s="18" t="s">
        <v>191</v>
      </c>
      <c r="J61" s="52" t="s">
        <v>182</v>
      </c>
    </row>
    <row r="62" customFormat="false" ht="25.5" hidden="false" customHeight="true" outlineLevel="0" collapsed="false">
      <c r="A62" s="11" t="s">
        <v>165</v>
      </c>
      <c r="B62" s="25" t="n">
        <f aca="false">B63</f>
        <v>120</v>
      </c>
      <c r="C62" s="25" t="n">
        <f aca="false">C63</f>
        <v>119.112</v>
      </c>
      <c r="D62" s="25" t="n">
        <f aca="false">B62-C62</f>
        <v>0.888000000000005</v>
      </c>
      <c r="E62" s="26" t="n">
        <f aca="false">IF(C62=0,"n/m",D62/ABS(C62))</f>
        <v>0.00745516824501314</v>
      </c>
      <c r="F62" s="49" t="str">
        <f aca="false">IF(ROUND(D62,5)=0,"",IF(D62&lt;0,"F","U"))</f>
        <v>U</v>
      </c>
      <c r="G62" s="6" t="s">
        <v>271</v>
      </c>
      <c r="H62" s="50" t="s">
        <v>210</v>
      </c>
      <c r="I62" s="51" t="s">
        <v>181</v>
      </c>
      <c r="J62" s="52" t="str">
        <f aca="false">IF(AND(ROUND(B62-K62,4)=0,ROUND(C62-L62,4)=0,TRUE()),"✓","✗")</f>
        <v>✓</v>
      </c>
      <c r="K62" s="61" t="n">
        <v>120</v>
      </c>
      <c r="L62" s="61" t="n">
        <v>119.112</v>
      </c>
    </row>
    <row r="63" customFormat="false" ht="25.5" hidden="false" customHeight="true" outlineLevel="1" collapsed="false">
      <c r="A63" s="62" t="s">
        <v>272</v>
      </c>
      <c r="B63" s="34" t="n">
        <v>120</v>
      </c>
      <c r="C63" s="34" t="n">
        <v>119.112</v>
      </c>
      <c r="D63" s="25" t="n">
        <f aca="false">B63-C63</f>
        <v>0.888000000000005</v>
      </c>
      <c r="E63" s="26" t="n">
        <f aca="false">IF(C63=0,"n/m",D63/ABS(C63))</f>
        <v>0.00745516824501314</v>
      </c>
      <c r="F63" s="49" t="str">
        <f aca="false">IF(ROUND(D63,5)=0,"",IF(D63&lt;0,"F","U"))</f>
        <v>U</v>
      </c>
      <c r="G63" s="63" t="s">
        <v>273</v>
      </c>
      <c r="H63" s="50" t="s">
        <v>210</v>
      </c>
      <c r="I63" s="18" t="s">
        <v>191</v>
      </c>
      <c r="J63" s="52" t="s">
        <v>182</v>
      </c>
    </row>
    <row r="64" customFormat="false" ht="60" hidden="false" customHeight="true" outlineLevel="0" collapsed="false">
      <c r="A64" s="53" t="s">
        <v>166</v>
      </c>
      <c r="B64" s="37" t="n">
        <f aca="false">B54+B62</f>
        <v>664</v>
      </c>
      <c r="C64" s="37" t="n">
        <f aca="false">C54+C62</f>
        <v>637.29918</v>
      </c>
      <c r="D64" s="37" t="n">
        <f aca="false">B64-C64</f>
        <v>26.70082</v>
      </c>
      <c r="E64" s="54" t="n">
        <f aca="false">IF(C64=0,"n/m",D64/ABS(C64))</f>
        <v>0.0418968372123122</v>
      </c>
      <c r="F64" s="55" t="str">
        <f aca="false">IF(ROUND(D64,5)=0,"",IF(D64&lt;0,"F","U"))</f>
        <v>U</v>
      </c>
      <c r="G64" s="56" t="s">
        <v>274</v>
      </c>
      <c r="H64" s="57" t="s">
        <v>212</v>
      </c>
      <c r="I64" s="58" t="s">
        <v>181</v>
      </c>
      <c r="J64" s="59" t="str">
        <f aca="false">IF(AND(ROUND(B64-K64,4)=0,ROUND(C64-L64,4)=0,TRUE()),"✓","✗")</f>
        <v>✓</v>
      </c>
      <c r="K64" s="60" t="n">
        <v>664</v>
      </c>
      <c r="L64" s="60" t="n">
        <v>637.29918</v>
      </c>
    </row>
    <row r="65" customFormat="false" ht="60" hidden="false" customHeight="true" outlineLevel="0" collapsed="false">
      <c r="A65" s="64" t="s">
        <v>167</v>
      </c>
      <c r="B65" s="65" t="n">
        <f aca="false">B53-B64</f>
        <v>1336</v>
      </c>
      <c r="C65" s="65" t="n">
        <f aca="false">C53-C64</f>
        <v>1354.22782</v>
      </c>
      <c r="D65" s="65" t="n">
        <f aca="false">B65-C65</f>
        <v>-18.2278200000001</v>
      </c>
      <c r="E65" s="66" t="n">
        <f aca="false">IF(C65=0,"n/m",D65/ABS(C65))</f>
        <v>-0.0134599361575662</v>
      </c>
      <c r="F65" s="67" t="str">
        <f aca="false">IF(ROUND(D65,5)=0,"",IF(D65&gt;0,"F","U"))</f>
        <v>U</v>
      </c>
      <c r="G65" s="68" t="s">
        <v>275</v>
      </c>
      <c r="H65" s="69" t="s">
        <v>214</v>
      </c>
      <c r="I65" s="70" t="s">
        <v>181</v>
      </c>
      <c r="J65" s="71" t="str">
        <f aca="false">IF(AND(ROUND(B65-K65,4)=0,ROUND(C65-L65,4)=0,TRUE()),"✓","✗")</f>
        <v>✓</v>
      </c>
      <c r="K65" s="72" t="n">
        <v>1336</v>
      </c>
      <c r="L65" s="72" t="n">
        <v>1354.22782</v>
      </c>
    </row>
    <row r="66" customFormat="false" ht="48" hidden="false" customHeight="true" outlineLevel="0" collapsed="false">
      <c r="A66" s="11" t="s">
        <v>168</v>
      </c>
      <c r="B66" s="25" t="n">
        <f aca="false">B67+B68+B69+B70+B71</f>
        <v>436</v>
      </c>
      <c r="C66" s="25" t="n">
        <f aca="false">C67+C68+C69+C70+C71</f>
        <v>452.2869</v>
      </c>
      <c r="D66" s="25" t="n">
        <f aca="false">B66-C66</f>
        <v>-16.2869</v>
      </c>
      <c r="E66" s="26" t="n">
        <f aca="false">IF(C66=0,"n/m",D66/ABS(C66))</f>
        <v>-0.0360101077435584</v>
      </c>
      <c r="F66" s="49" t="str">
        <f aca="false">IF(ROUND(D66,5)=0,"",IF(D66&lt;0,"F","U"))</f>
        <v>F</v>
      </c>
      <c r="G66" s="6" t="s">
        <v>276</v>
      </c>
      <c r="H66" s="50" t="s">
        <v>277</v>
      </c>
      <c r="I66" s="51" t="s">
        <v>181</v>
      </c>
      <c r="J66" s="52" t="str">
        <f aca="false">IF(AND(ROUND(B66-K66,4)=0,ROUND(C66-L66,4)=0,TRUE()),"✓","✗")</f>
        <v>✓</v>
      </c>
      <c r="K66" s="61" t="n">
        <v>436</v>
      </c>
      <c r="L66" s="61" t="n">
        <v>452.2869</v>
      </c>
    </row>
    <row r="67" customFormat="false" ht="36.75" hidden="false" customHeight="true" outlineLevel="1" collapsed="false">
      <c r="A67" s="62" t="s">
        <v>278</v>
      </c>
      <c r="B67" s="34" t="n">
        <v>240</v>
      </c>
      <c r="C67" s="34" t="n">
        <v>225.321</v>
      </c>
      <c r="D67" s="25" t="n">
        <f aca="false">B67-C67</f>
        <v>14.679</v>
      </c>
      <c r="E67" s="26" t="n">
        <f aca="false">IF(C67=0,"n/m",D67/ABS(C67))</f>
        <v>0.0651470568655385</v>
      </c>
      <c r="F67" s="49" t="str">
        <f aca="false">IF(ROUND(D67,5)=0,"",IF(D67&lt;0,"F","U"))</f>
        <v>U</v>
      </c>
      <c r="G67" s="6" t="s">
        <v>279</v>
      </c>
      <c r="H67" s="50" t="s">
        <v>227</v>
      </c>
      <c r="I67" s="51" t="s">
        <v>181</v>
      </c>
      <c r="J67" s="52" t="s">
        <v>182</v>
      </c>
    </row>
    <row r="68" customFormat="false" ht="27.75" hidden="false" customHeight="true" outlineLevel="1" collapsed="false">
      <c r="A68" s="62" t="s">
        <v>280</v>
      </c>
      <c r="B68" s="34" t="n">
        <v>36</v>
      </c>
      <c r="C68" s="34" t="n">
        <v>37.9659</v>
      </c>
      <c r="D68" s="25" t="n">
        <f aca="false">B68-C68</f>
        <v>-1.9659</v>
      </c>
      <c r="E68" s="26" t="n">
        <f aca="false">IF(C68=0,"n/m",D68/ABS(C68))</f>
        <v>-0.0517806768705601</v>
      </c>
      <c r="F68" s="49" t="str">
        <f aca="false">IF(ROUND(D68,5)=0,"",IF(D68&lt;0,"F","U"))</f>
        <v>F</v>
      </c>
      <c r="G68" s="63" t="s">
        <v>281</v>
      </c>
      <c r="H68" s="50" t="s">
        <v>229</v>
      </c>
      <c r="I68" s="18" t="s">
        <v>191</v>
      </c>
      <c r="J68" s="52" t="s">
        <v>182</v>
      </c>
    </row>
    <row r="69" customFormat="false" ht="48" hidden="false" customHeight="true" outlineLevel="1" collapsed="false">
      <c r="A69" s="62" t="s">
        <v>282</v>
      </c>
      <c r="B69" s="34" t="n">
        <v>100</v>
      </c>
      <c r="C69" s="34" t="n">
        <v>140</v>
      </c>
      <c r="D69" s="25" t="n">
        <f aca="false">B69-C69</f>
        <v>-40</v>
      </c>
      <c r="E69" s="26" t="n">
        <f aca="false">IF(C69=0,"n/m",D69/ABS(C69))</f>
        <v>-0.285714285714286</v>
      </c>
      <c r="F69" s="49" t="str">
        <f aca="false">IF(ROUND(D69,5)=0,"",IF(D69&lt;0,"F","U"))</f>
        <v>F</v>
      </c>
      <c r="G69" s="6" t="s">
        <v>283</v>
      </c>
      <c r="H69" s="50" t="s">
        <v>232</v>
      </c>
      <c r="I69" s="51" t="s">
        <v>181</v>
      </c>
      <c r="J69" s="52" t="s">
        <v>182</v>
      </c>
    </row>
    <row r="70" customFormat="false" ht="15" hidden="false" customHeight="true" outlineLevel="1" collapsed="false">
      <c r="A70" s="62" t="s">
        <v>284</v>
      </c>
      <c r="B70" s="34" t="n">
        <v>40</v>
      </c>
      <c r="C70" s="34" t="n">
        <v>39</v>
      </c>
      <c r="D70" s="25" t="n">
        <f aca="false">B70-C70</f>
        <v>1</v>
      </c>
      <c r="E70" s="26" t="n">
        <f aca="false">IF(C70=0,"n/m",D70/ABS(C70))</f>
        <v>0.0256410256410256</v>
      </c>
      <c r="F70" s="49" t="str">
        <f aca="false">IF(ROUND(D70,5)=0,"",IF(D70&lt;0,"F","U"))</f>
        <v>U</v>
      </c>
      <c r="G70" s="63" t="s">
        <v>285</v>
      </c>
      <c r="I70" s="18" t="s">
        <v>191</v>
      </c>
      <c r="J70" s="52" t="s">
        <v>182</v>
      </c>
    </row>
    <row r="71" customFormat="false" ht="27.75" hidden="false" customHeight="true" outlineLevel="1" collapsed="false">
      <c r="A71" s="62" t="s">
        <v>286</v>
      </c>
      <c r="B71" s="34" t="n">
        <v>20</v>
      </c>
      <c r="C71" s="34" t="n">
        <v>10</v>
      </c>
      <c r="D71" s="25" t="n">
        <f aca="false">B71-C71</f>
        <v>10</v>
      </c>
      <c r="E71" s="26" t="n">
        <f aca="false">IF(C71=0,"n/m",D71/ABS(C71))</f>
        <v>1</v>
      </c>
      <c r="F71" s="49" t="str">
        <f aca="false">IF(ROUND(D71,5)=0,"",IF(D71&lt;0,"F","U"))</f>
        <v>U</v>
      </c>
      <c r="G71" s="6" t="s">
        <v>287</v>
      </c>
      <c r="H71" s="50" t="s">
        <v>236</v>
      </c>
      <c r="I71" s="51" t="s">
        <v>181</v>
      </c>
      <c r="J71" s="52" t="s">
        <v>182</v>
      </c>
    </row>
    <row r="72" customFormat="false" ht="60" hidden="false" customHeight="true" outlineLevel="0" collapsed="false">
      <c r="A72" s="64" t="s">
        <v>169</v>
      </c>
      <c r="B72" s="65" t="n">
        <f aca="false">B65-B66</f>
        <v>900</v>
      </c>
      <c r="C72" s="65" t="n">
        <f aca="false">C65-C66</f>
        <v>901.94092</v>
      </c>
      <c r="D72" s="65" t="n">
        <f aca="false">B72-C72</f>
        <v>-1.94092000000001</v>
      </c>
      <c r="E72" s="66" t="n">
        <f aca="false">IF(C72=0,"n/m",D72/ABS(C72))</f>
        <v>-0.00215193695835422</v>
      </c>
      <c r="F72" s="67" t="str">
        <f aca="false">IF(ROUND(D72,5)=0,"",IF(D72&gt;0,"F","U"))</f>
        <v>U</v>
      </c>
      <c r="G72" s="68" t="s">
        <v>288</v>
      </c>
      <c r="H72" s="69" t="s">
        <v>289</v>
      </c>
      <c r="I72" s="70" t="s">
        <v>181</v>
      </c>
      <c r="J72" s="71" t="str">
        <f aca="false">IF(AND(ROUND(B72-K72,4)=0,ROUND(C72-L72,4)=0,TRUE()),"✓","✗")</f>
        <v>✓</v>
      </c>
      <c r="K72" s="72" t="n">
        <v>900</v>
      </c>
      <c r="L72" s="72" t="n">
        <v>901.94092</v>
      </c>
    </row>
    <row r="73" customFormat="false" ht="40.5" hidden="false" customHeight="true" outlineLevel="0" collapsed="false">
      <c r="A73" s="11" t="s">
        <v>170</v>
      </c>
      <c r="B73" s="25" t="n">
        <f aca="false">B74+B75+B76</f>
        <v>60</v>
      </c>
      <c r="C73" s="25" t="n">
        <f aca="false">C74+C75+C76</f>
        <v>59.18667</v>
      </c>
      <c r="D73" s="25" t="n">
        <f aca="false">B73-C73</f>
        <v>0.813330000000001</v>
      </c>
      <c r="E73" s="26" t="n">
        <f aca="false">IF(C73=0,"n/m",D73/ABS(C73))</f>
        <v>0.0137417766534255</v>
      </c>
      <c r="F73" s="49" t="str">
        <f aca="false">IF(ROUND(D73,5)=0,"",IF(D73&lt;0,"F","U"))</f>
        <v>U</v>
      </c>
      <c r="G73" s="6" t="s">
        <v>290</v>
      </c>
      <c r="H73" s="50" t="s">
        <v>291</v>
      </c>
      <c r="I73" s="51" t="s">
        <v>181</v>
      </c>
      <c r="J73" s="52" t="str">
        <f aca="false">IF(AND(ROUND(B73-K73,4)=0,ROUND(C73-L73,4)=0,TRUE()),"✓","✗")</f>
        <v>✓</v>
      </c>
      <c r="K73" s="61" t="n">
        <v>60</v>
      </c>
      <c r="L73" s="61" t="n">
        <v>59.18667</v>
      </c>
    </row>
    <row r="74" customFormat="false" ht="40.5" hidden="false" customHeight="true" outlineLevel="1" collapsed="false">
      <c r="A74" s="62" t="s">
        <v>265</v>
      </c>
      <c r="B74" s="34" t="n">
        <v>30</v>
      </c>
      <c r="C74" s="34" t="n">
        <v>30.02</v>
      </c>
      <c r="D74" s="25" t="n">
        <f aca="false">B74-C74</f>
        <v>-0.0199999999999996</v>
      </c>
      <c r="E74" s="26" t="n">
        <f aca="false">IF(C74=0,"n/m",D74/ABS(C74))</f>
        <v>-0.000666222518321105</v>
      </c>
      <c r="F74" s="49" t="str">
        <f aca="false">IF(ROUND(D74,5)=0,"",IF(D74&lt;0,"F","U"))</f>
        <v>F</v>
      </c>
      <c r="G74" s="63" t="s">
        <v>292</v>
      </c>
      <c r="H74" s="50" t="s">
        <v>293</v>
      </c>
      <c r="I74" s="18" t="s">
        <v>191</v>
      </c>
      <c r="J74" s="52" t="s">
        <v>182</v>
      </c>
    </row>
    <row r="75" customFormat="false" ht="27.75" hidden="false" customHeight="true" outlineLevel="1" collapsed="false">
      <c r="A75" s="62" t="s">
        <v>267</v>
      </c>
      <c r="B75" s="34" t="n">
        <v>10</v>
      </c>
      <c r="C75" s="34" t="n">
        <v>9.66667</v>
      </c>
      <c r="D75" s="25" t="n">
        <f aca="false">B75-C75</f>
        <v>0.33333</v>
      </c>
      <c r="E75" s="26" t="n">
        <f aca="false">IF(C75=0,"n/m",D75/ABS(C75))</f>
        <v>0.03448240190262</v>
      </c>
      <c r="F75" s="49" t="str">
        <f aca="false">IF(ROUND(D75,5)=0,"",IF(D75&lt;0,"F","U"))</f>
        <v>U</v>
      </c>
      <c r="G75" s="63" t="s">
        <v>294</v>
      </c>
      <c r="H75" s="50" t="s">
        <v>239</v>
      </c>
      <c r="I75" s="18" t="s">
        <v>191</v>
      </c>
      <c r="J75" s="52" t="s">
        <v>182</v>
      </c>
    </row>
    <row r="76" customFormat="false" ht="15" hidden="false" customHeight="true" outlineLevel="1" collapsed="false">
      <c r="A76" s="62" t="s">
        <v>269</v>
      </c>
      <c r="B76" s="34" t="n">
        <v>20</v>
      </c>
      <c r="C76" s="34" t="n">
        <v>19.5</v>
      </c>
      <c r="D76" s="25" t="n">
        <f aca="false">B76-C76</f>
        <v>0.5</v>
      </c>
      <c r="E76" s="26" t="n">
        <f aca="false">IF(C76=0,"n/m",D76/ABS(C76))</f>
        <v>0.0256410256410256</v>
      </c>
      <c r="F76" s="49" t="str">
        <f aca="false">IF(ROUND(D76,5)=0,"",IF(D76&lt;0,"F","U"))</f>
        <v>U</v>
      </c>
      <c r="G76" s="63" t="s">
        <v>270</v>
      </c>
      <c r="I76" s="18" t="s">
        <v>191</v>
      </c>
      <c r="J76" s="52" t="s">
        <v>182</v>
      </c>
    </row>
    <row r="77" customFormat="false" ht="48" hidden="false" customHeight="true" outlineLevel="0" collapsed="false">
      <c r="A77" s="11" t="s">
        <v>157</v>
      </c>
      <c r="B77" s="25" t="n">
        <f aca="false">B78+B79+B80+B81+B82</f>
        <v>420</v>
      </c>
      <c r="C77" s="25" t="n">
        <f aca="false">C78+C79+C80+C81+C82</f>
        <v>398.13658</v>
      </c>
      <c r="D77" s="25" t="n">
        <f aca="false">B77-C77</f>
        <v>21.86342</v>
      </c>
      <c r="E77" s="26" t="n">
        <f aca="false">IF(C77=0,"n/m",D77/ABS(C77))</f>
        <v>0.0549143713446276</v>
      </c>
      <c r="F77" s="49" t="str">
        <f aca="false">IF(ROUND(D77,5)=0,"",IF(D77&lt;0,"F","U"))</f>
        <v>U</v>
      </c>
      <c r="G77" s="6" t="s">
        <v>295</v>
      </c>
      <c r="H77" s="50" t="s">
        <v>216</v>
      </c>
      <c r="I77" s="51" t="s">
        <v>181</v>
      </c>
      <c r="J77" s="52" t="str">
        <f aca="false">IF(AND(ROUND(B77-K77,4)=0,ROUND(C77-L77,4)=0,TRUE()),"✓","✗")</f>
        <v>✓</v>
      </c>
      <c r="K77" s="61" t="n">
        <v>420</v>
      </c>
      <c r="L77" s="61" t="n">
        <v>398.13658</v>
      </c>
    </row>
    <row r="78" customFormat="false" ht="36.75" hidden="false" customHeight="true" outlineLevel="1" collapsed="false">
      <c r="A78" s="62" t="s">
        <v>296</v>
      </c>
      <c r="B78" s="34" t="n">
        <v>300</v>
      </c>
      <c r="C78" s="34" t="n">
        <v>279.05325</v>
      </c>
      <c r="D78" s="25" t="n">
        <f aca="false">B78-C78</f>
        <v>20.94675</v>
      </c>
      <c r="E78" s="26" t="n">
        <f aca="false">IF(C78=0,"n/m",D78/ABS(C78))</f>
        <v>0.0750636303286201</v>
      </c>
      <c r="F78" s="49" t="str">
        <f aca="false">IF(ROUND(D78,5)=0,"",IF(D78&lt;0,"F","U"))</f>
        <v>U</v>
      </c>
      <c r="G78" s="6" t="s">
        <v>297</v>
      </c>
      <c r="H78" s="50" t="s">
        <v>218</v>
      </c>
      <c r="I78" s="51" t="s">
        <v>181</v>
      </c>
      <c r="J78" s="52" t="s">
        <v>182</v>
      </c>
    </row>
    <row r="79" customFormat="false" ht="15" hidden="false" customHeight="true" outlineLevel="1" collapsed="false">
      <c r="A79" s="62" t="s">
        <v>298</v>
      </c>
      <c r="B79" s="34" t="n">
        <v>40</v>
      </c>
      <c r="C79" s="34" t="n">
        <v>42</v>
      </c>
      <c r="D79" s="25" t="n">
        <f aca="false">B79-C79</f>
        <v>-2</v>
      </c>
      <c r="E79" s="26" t="n">
        <f aca="false">IF(C79=0,"n/m",D79/ABS(C79))</f>
        <v>-0.0476190476190476</v>
      </c>
      <c r="F79" s="49" t="str">
        <f aca="false">IF(ROUND(D79,5)=0,"",IF(D79&lt;0,"F","U"))</f>
        <v>F</v>
      </c>
      <c r="G79" s="63" t="s">
        <v>299</v>
      </c>
      <c r="I79" s="18" t="s">
        <v>191</v>
      </c>
      <c r="J79" s="52" t="s">
        <v>182</v>
      </c>
    </row>
    <row r="80" customFormat="false" ht="36.75" hidden="false" customHeight="true" outlineLevel="1" collapsed="false">
      <c r="A80" s="62" t="s">
        <v>265</v>
      </c>
      <c r="B80" s="34" t="n">
        <v>30</v>
      </c>
      <c r="C80" s="34" t="n">
        <v>28.5</v>
      </c>
      <c r="D80" s="25" t="n">
        <f aca="false">B80-C80</f>
        <v>1.5</v>
      </c>
      <c r="E80" s="26" t="n">
        <f aca="false">IF(C80=0,"n/m",D80/ABS(C80))</f>
        <v>0.0526315789473684</v>
      </c>
      <c r="F80" s="49" t="str">
        <f aca="false">IF(ROUND(D80,5)=0,"",IF(D80&lt;0,"F","U"))</f>
        <v>U</v>
      </c>
      <c r="G80" s="63" t="s">
        <v>300</v>
      </c>
      <c r="H80" s="50" t="s">
        <v>293</v>
      </c>
      <c r="I80" s="18" t="s">
        <v>191</v>
      </c>
      <c r="J80" s="52" t="s">
        <v>182</v>
      </c>
    </row>
    <row r="81" customFormat="false" ht="27.75" hidden="false" customHeight="true" outlineLevel="1" collapsed="false">
      <c r="A81" s="62" t="s">
        <v>267</v>
      </c>
      <c r="B81" s="34" t="n">
        <v>20</v>
      </c>
      <c r="C81" s="34" t="n">
        <v>19.33333</v>
      </c>
      <c r="D81" s="25" t="n">
        <f aca="false">B81-C81</f>
        <v>0.66667</v>
      </c>
      <c r="E81" s="26" t="n">
        <f aca="false">IF(C81=0,"n/m",D81/ABS(C81))</f>
        <v>0.0344829369798167</v>
      </c>
      <c r="F81" s="49" t="str">
        <f aca="false">IF(ROUND(D81,5)=0,"",IF(D81&lt;0,"F","U"))</f>
        <v>U</v>
      </c>
      <c r="G81" s="63" t="s">
        <v>268</v>
      </c>
      <c r="H81" s="50" t="s">
        <v>206</v>
      </c>
      <c r="I81" s="18" t="s">
        <v>191</v>
      </c>
      <c r="J81" s="52" t="s">
        <v>182</v>
      </c>
    </row>
    <row r="82" customFormat="false" ht="15" hidden="false" customHeight="true" outlineLevel="1" collapsed="false">
      <c r="A82" s="62" t="s">
        <v>269</v>
      </c>
      <c r="B82" s="34" t="n">
        <v>30</v>
      </c>
      <c r="C82" s="34" t="n">
        <v>29.25</v>
      </c>
      <c r="D82" s="25" t="n">
        <f aca="false">B82-C82</f>
        <v>0.75</v>
      </c>
      <c r="E82" s="26" t="n">
        <f aca="false">IF(C82=0,"n/m",D82/ABS(C82))</f>
        <v>0.0256410256410256</v>
      </c>
      <c r="F82" s="49" t="str">
        <f aca="false">IF(ROUND(D82,5)=0,"",IF(D82&lt;0,"F","U"))</f>
        <v>U</v>
      </c>
      <c r="G82" s="63" t="s">
        <v>301</v>
      </c>
      <c r="I82" s="18" t="s">
        <v>191</v>
      </c>
      <c r="J82" s="52" t="s">
        <v>182</v>
      </c>
    </row>
    <row r="83" customFormat="false" ht="40.5" hidden="false" customHeight="true" outlineLevel="0" collapsed="false">
      <c r="A83" s="11" t="s">
        <v>159</v>
      </c>
      <c r="B83" s="25" t="n">
        <f aca="false">B84+B85+B86</f>
        <v>200</v>
      </c>
      <c r="C83" s="25" t="n">
        <f aca="false">C84+C85+C86</f>
        <v>191.41667</v>
      </c>
      <c r="D83" s="25" t="n">
        <f aca="false">B83-C83</f>
        <v>8.58332999999999</v>
      </c>
      <c r="E83" s="26" t="n">
        <f aca="false">IF(C83=0,"n/m",D83/ABS(C83))</f>
        <v>0.0448410788882702</v>
      </c>
      <c r="F83" s="49" t="str">
        <f aca="false">IF(ROUND(D83,5)=0,"",IF(D83&lt;0,"F","U"))</f>
        <v>U</v>
      </c>
      <c r="G83" s="6" t="s">
        <v>302</v>
      </c>
      <c r="H83" s="50" t="s">
        <v>303</v>
      </c>
      <c r="I83" s="51" t="s">
        <v>181</v>
      </c>
      <c r="J83" s="52" t="str">
        <f aca="false">IF(AND(ROUND(B83-K83,4)=0,ROUND(C83-L83,4)=0,TRUE()),"✓","✗")</f>
        <v>✓</v>
      </c>
      <c r="K83" s="61" t="n">
        <v>200</v>
      </c>
      <c r="L83" s="61" t="n">
        <v>191.41667</v>
      </c>
    </row>
    <row r="84" customFormat="false" ht="53.25" hidden="false" customHeight="true" outlineLevel="1" collapsed="false">
      <c r="A84" s="62" t="s">
        <v>304</v>
      </c>
      <c r="B84" s="34" t="n">
        <v>180</v>
      </c>
      <c r="C84" s="34" t="n">
        <v>172</v>
      </c>
      <c r="D84" s="25" t="n">
        <f aca="false">B84-C84</f>
        <v>8</v>
      </c>
      <c r="E84" s="26" t="n">
        <f aca="false">IF(C84=0,"n/m",D84/ABS(C84))</f>
        <v>0.0465116279069767</v>
      </c>
      <c r="F84" s="49" t="str">
        <f aca="false">IF(ROUND(D84,5)=0,"",IF(D84&lt;0,"F","U"))</f>
        <v>U</v>
      </c>
      <c r="G84" s="63" t="s">
        <v>305</v>
      </c>
      <c r="H84" s="50" t="s">
        <v>244</v>
      </c>
      <c r="I84" s="18" t="s">
        <v>191</v>
      </c>
      <c r="J84" s="52" t="s">
        <v>182</v>
      </c>
    </row>
    <row r="85" customFormat="false" ht="27.75" hidden="false" customHeight="true" outlineLevel="1" collapsed="false">
      <c r="A85" s="62" t="s">
        <v>267</v>
      </c>
      <c r="B85" s="34" t="n">
        <v>10</v>
      </c>
      <c r="C85" s="34" t="n">
        <v>9.66667</v>
      </c>
      <c r="D85" s="25" t="n">
        <f aca="false">B85-C85</f>
        <v>0.33333</v>
      </c>
      <c r="E85" s="26" t="n">
        <f aca="false">IF(C85=0,"n/m",D85/ABS(C85))</f>
        <v>0.03448240190262</v>
      </c>
      <c r="F85" s="49" t="str">
        <f aca="false">IF(ROUND(D85,5)=0,"",IF(D85&lt;0,"F","U"))</f>
        <v>U</v>
      </c>
      <c r="G85" s="63" t="s">
        <v>294</v>
      </c>
      <c r="H85" s="50" t="s">
        <v>239</v>
      </c>
      <c r="I85" s="18" t="s">
        <v>191</v>
      </c>
      <c r="J85" s="52" t="s">
        <v>182</v>
      </c>
    </row>
    <row r="86" customFormat="false" ht="15" hidden="false" customHeight="true" outlineLevel="1" collapsed="false">
      <c r="A86" s="62" t="s">
        <v>269</v>
      </c>
      <c r="B86" s="34" t="n">
        <v>10</v>
      </c>
      <c r="C86" s="34" t="n">
        <v>9.75</v>
      </c>
      <c r="D86" s="25" t="n">
        <f aca="false">B86-C86</f>
        <v>0.25</v>
      </c>
      <c r="E86" s="26" t="n">
        <f aca="false">IF(C86=0,"n/m",D86/ABS(C86))</f>
        <v>0.0256410256410256</v>
      </c>
      <c r="F86" s="49" t="str">
        <f aca="false">IF(ROUND(D86,5)=0,"",IF(D86&lt;0,"F","U"))</f>
        <v>U</v>
      </c>
      <c r="G86" s="63" t="s">
        <v>306</v>
      </c>
      <c r="I86" s="18" t="s">
        <v>191</v>
      </c>
      <c r="J86" s="52" t="s">
        <v>182</v>
      </c>
    </row>
    <row r="87" customFormat="false" ht="48" hidden="false" customHeight="true" outlineLevel="0" collapsed="false">
      <c r="A87" s="53" t="s">
        <v>171</v>
      </c>
      <c r="B87" s="37" t="n">
        <f aca="false">B73+B77+B83</f>
        <v>680</v>
      </c>
      <c r="C87" s="37" t="n">
        <f aca="false">C73+C77+C83</f>
        <v>648.73992</v>
      </c>
      <c r="D87" s="37" t="n">
        <f aca="false">B87-C87</f>
        <v>31.26008</v>
      </c>
      <c r="E87" s="54" t="n">
        <f aca="false">IF(C87=0,"n/m",D87/ABS(C87))</f>
        <v>0.0481858431033503</v>
      </c>
      <c r="F87" s="55" t="str">
        <f aca="false">IF(ROUND(D87,5)=0,"",IF(D87&lt;0,"F","U"))</f>
        <v>U</v>
      </c>
      <c r="G87" s="56" t="s">
        <v>307</v>
      </c>
      <c r="H87" s="57" t="s">
        <v>308</v>
      </c>
      <c r="I87" s="58" t="s">
        <v>181</v>
      </c>
      <c r="J87" s="59" t="str">
        <f aca="false">IF(AND(ROUND(B87-K87,4)=0,ROUND(C87-L87,4)=0,TRUE()),"✓","✗")</f>
        <v>✓</v>
      </c>
      <c r="K87" s="60" t="n">
        <v>680</v>
      </c>
      <c r="L87" s="60" t="n">
        <v>648.73992</v>
      </c>
    </row>
    <row r="88" customFormat="false" ht="60" hidden="false" customHeight="true" outlineLevel="0" collapsed="false">
      <c r="A88" s="64" t="s">
        <v>96</v>
      </c>
      <c r="B88" s="65" t="n">
        <f aca="false">B72-B87</f>
        <v>220</v>
      </c>
      <c r="C88" s="65" t="n">
        <f aca="false">C72-C87</f>
        <v>253.201</v>
      </c>
      <c r="D88" s="65" t="n">
        <f aca="false">B88-C88</f>
        <v>-33.201</v>
      </c>
      <c r="E88" s="66" t="n">
        <f aca="false">IF(C88=0,"n/m",D88/ABS(C88))</f>
        <v>-0.131125074545519</v>
      </c>
      <c r="F88" s="67" t="str">
        <f aca="false">IF(ROUND(D88,5)=0,"",IF(D88&gt;0,"F","U"))</f>
        <v>U</v>
      </c>
      <c r="G88" s="68" t="s">
        <v>309</v>
      </c>
      <c r="H88" s="69" t="s">
        <v>250</v>
      </c>
      <c r="I88" s="70" t="s">
        <v>181</v>
      </c>
      <c r="J88" s="71" t="str">
        <f aca="false">IF(AND(ROUND(B88-K88,4)=0,ROUND(C88-L88,4)=0,TRUE()),"✓","✗")</f>
        <v>✓</v>
      </c>
      <c r="K88" s="72" t="n">
        <v>220</v>
      </c>
      <c r="L88" s="72" t="n">
        <v>253.201</v>
      </c>
    </row>
    <row r="89" customFormat="false" ht="15" hidden="false" customHeight="true" outlineLevel="0" collapsed="false">
      <c r="A89" s="11" t="s">
        <v>160</v>
      </c>
      <c r="B89" s="34" t="n">
        <v>10</v>
      </c>
      <c r="C89" s="34" t="n">
        <v>11</v>
      </c>
      <c r="D89" s="25" t="n">
        <f aca="false">B89-C89</f>
        <v>-1</v>
      </c>
      <c r="E89" s="26" t="n">
        <f aca="false">IF(C89=0,"n/m",D89/ABS(C89))</f>
        <v>-0.0909090909090909</v>
      </c>
      <c r="F89" s="49" t="str">
        <f aca="false">IF(ROUND(D89,5)=0,"",IF(D89&gt;0,"F","U"))</f>
        <v>U</v>
      </c>
      <c r="G89" s="63" t="s">
        <v>251</v>
      </c>
      <c r="I89" s="18" t="s">
        <v>191</v>
      </c>
      <c r="J89" s="52" t="s">
        <v>182</v>
      </c>
    </row>
    <row r="90" customFormat="false" ht="15" hidden="false" customHeight="true" outlineLevel="0" collapsed="false">
      <c r="A90" s="11" t="s">
        <v>161</v>
      </c>
      <c r="B90" s="34" t="n">
        <v>30</v>
      </c>
      <c r="C90" s="34" t="n">
        <v>30</v>
      </c>
      <c r="D90" s="25" t="n">
        <f aca="false">B90-C90</f>
        <v>0</v>
      </c>
      <c r="E90" s="26" t="n">
        <f aca="false">IF(C90=0,"n/m",D90/ABS(C90))</f>
        <v>0</v>
      </c>
      <c r="F90" s="49" t="str">
        <f aca="false">IF(ROUND(D90,5)=0,"",IF(D90&lt;0,"F","U"))</f>
        <v/>
      </c>
      <c r="G90" s="63" t="s">
        <v>252</v>
      </c>
      <c r="I90" s="18" t="s">
        <v>191</v>
      </c>
      <c r="J90" s="52" t="s">
        <v>182</v>
      </c>
    </row>
    <row r="91" customFormat="false" ht="15" hidden="false" customHeight="true" outlineLevel="0" collapsed="false">
      <c r="A91" s="11" t="s">
        <v>126</v>
      </c>
      <c r="B91" s="34" t="n">
        <v>40</v>
      </c>
      <c r="C91" s="34" t="n">
        <v>35</v>
      </c>
      <c r="D91" s="25" t="n">
        <f aca="false">B91-C91</f>
        <v>5</v>
      </c>
      <c r="E91" s="26" t="n">
        <f aca="false">IF(C91=0,"n/m",D91/ABS(C91))</f>
        <v>0.142857142857143</v>
      </c>
      <c r="F91" s="49" t="str">
        <f aca="false">IF(ROUND(D91,5)=0,"",IF(D91&lt;0,"F","U"))</f>
        <v>U</v>
      </c>
      <c r="G91" s="6" t="s">
        <v>254</v>
      </c>
      <c r="I91" s="51" t="s">
        <v>181</v>
      </c>
      <c r="J91" s="52" t="s">
        <v>182</v>
      </c>
    </row>
    <row r="92" customFormat="false" ht="60" hidden="false" customHeight="true" outlineLevel="0" collapsed="false">
      <c r="A92" s="64" t="s">
        <v>97</v>
      </c>
      <c r="B92" s="65" t="n">
        <f aca="false">B88+B89-B90-B91</f>
        <v>160</v>
      </c>
      <c r="C92" s="65" t="n">
        <f aca="false">C88+C89-C90-C91</f>
        <v>199.201</v>
      </c>
      <c r="D92" s="65" t="n">
        <f aca="false">B92-C92</f>
        <v>-39.201</v>
      </c>
      <c r="E92" s="66" t="n">
        <f aca="false">IF(C92=0,"n/m",D92/ABS(C92))</f>
        <v>-0.196791180767165</v>
      </c>
      <c r="F92" s="67" t="str">
        <f aca="false">IF(ROUND(D92,5)=0,"",IF(D92&gt;0,"F","U"))</f>
        <v>U</v>
      </c>
      <c r="G92" s="68" t="s">
        <v>310</v>
      </c>
      <c r="H92" s="69" t="s">
        <v>250</v>
      </c>
      <c r="I92" s="70" t="s">
        <v>181</v>
      </c>
      <c r="J92" s="71" t="str">
        <f aca="false">IF(AND(ROUND(B92-K92,4)=0,ROUND(C92-L92,4)=0,TRUE()),"✓","✗")</f>
        <v>✓</v>
      </c>
      <c r="K92" s="72" t="n">
        <v>160</v>
      </c>
      <c r="L92" s="72" t="n">
        <v>199.201</v>
      </c>
    </row>
    <row r="94" customFormat="false" ht="18" hidden="false" customHeight="true" outlineLevel="0" collapsed="false">
      <c r="A94" s="44" t="s">
        <v>311</v>
      </c>
      <c r="B94" s="45"/>
      <c r="C94" s="45"/>
      <c r="D94" s="45"/>
      <c r="E94" s="45"/>
      <c r="F94" s="45"/>
      <c r="G94" s="45"/>
      <c r="H94" s="45"/>
      <c r="I94" s="45"/>
      <c r="J94" s="45"/>
      <c r="K94" s="45"/>
      <c r="L94" s="45"/>
    </row>
    <row r="95" customFormat="false" ht="27.75" hidden="false" customHeight="true" outlineLevel="0" collapsed="false">
      <c r="A95" s="11" t="s">
        <v>312</v>
      </c>
      <c r="B95" s="25" t="n">
        <f aca="false">B96+B97</f>
        <v>2000</v>
      </c>
      <c r="C95" s="25" t="n">
        <f aca="false">C96+C97</f>
        <v>1991.527</v>
      </c>
      <c r="D95" s="25" t="n">
        <f aca="false">B95-C95</f>
        <v>8.47299999999996</v>
      </c>
      <c r="E95" s="26" t="n">
        <f aca="false">IF(C95=0,"n/m",D95/ABS(C95))</f>
        <v>0.00425452429216373</v>
      </c>
      <c r="F95" s="49" t="str">
        <f aca="false">IF(ROUND(D95,5)=0,"",IF(D95&gt;0,"F","U"))</f>
        <v>F</v>
      </c>
      <c r="G95" s="6" t="s">
        <v>313</v>
      </c>
      <c r="H95" s="50" t="s">
        <v>186</v>
      </c>
      <c r="I95" s="51" t="s">
        <v>181</v>
      </c>
      <c r="J95" s="52" t="str">
        <f aca="false">IF(AND(ROUND(B95-K95,4)=0,ROUND(C95-L95,4)=0,TRUE()),"✓","✗")</f>
        <v>✓</v>
      </c>
      <c r="K95" s="61" t="n">
        <v>2000</v>
      </c>
      <c r="L95" s="61" t="n">
        <v>1991.527</v>
      </c>
    </row>
    <row r="96" customFormat="false" ht="48" hidden="false" customHeight="true" outlineLevel="1" collapsed="false">
      <c r="A96" s="62" t="s">
        <v>314</v>
      </c>
      <c r="B96" s="34" t="n">
        <v>1800</v>
      </c>
      <c r="C96" s="34" t="n">
        <v>1776.527</v>
      </c>
      <c r="D96" s="25" t="n">
        <f aca="false">B96-C96</f>
        <v>23.473</v>
      </c>
      <c r="E96" s="26" t="n">
        <f aca="false">IF(C96=0,"n/m",D96/ABS(C96))</f>
        <v>0.0132128585718089</v>
      </c>
      <c r="F96" s="49" t="str">
        <f aca="false">IF(ROUND(D96,5)=0,"",IF(D96&gt;0,"F","U"))</f>
        <v>F</v>
      </c>
      <c r="G96" s="6" t="s">
        <v>179</v>
      </c>
      <c r="H96" s="50" t="s">
        <v>180</v>
      </c>
      <c r="I96" s="51" t="s">
        <v>181</v>
      </c>
      <c r="J96" s="52" t="s">
        <v>182</v>
      </c>
    </row>
    <row r="97" customFormat="false" ht="40.5" hidden="false" customHeight="true" outlineLevel="1" collapsed="false">
      <c r="A97" s="62" t="s">
        <v>315</v>
      </c>
      <c r="B97" s="34" t="n">
        <v>200</v>
      </c>
      <c r="C97" s="34" t="n">
        <v>215</v>
      </c>
      <c r="D97" s="25" t="n">
        <f aca="false">B97-C97</f>
        <v>-15</v>
      </c>
      <c r="E97" s="26" t="n">
        <f aca="false">IF(C97=0,"n/m",D97/ABS(C97))</f>
        <v>-0.0697674418604651</v>
      </c>
      <c r="F97" s="49" t="str">
        <f aca="false">IF(ROUND(D97,5)=0,"",IF(D97&gt;0,"F","U"))</f>
        <v>U</v>
      </c>
      <c r="G97" s="6" t="s">
        <v>183</v>
      </c>
      <c r="H97" s="50" t="s">
        <v>184</v>
      </c>
      <c r="I97" s="51" t="s">
        <v>181</v>
      </c>
      <c r="J97" s="52" t="s">
        <v>182</v>
      </c>
    </row>
    <row r="98" customFormat="false" ht="48" hidden="false" customHeight="true" outlineLevel="0" collapsed="false">
      <c r="A98" s="11" t="s">
        <v>316</v>
      </c>
      <c r="B98" s="25" t="n">
        <f aca="false">B99+B100+B101+B102+B103</f>
        <v>1040</v>
      </c>
      <c r="C98" s="25" t="n">
        <f aca="false">C99+C100+C101+C102+C103</f>
        <v>987.326</v>
      </c>
      <c r="D98" s="25" t="n">
        <f aca="false">B98-C98</f>
        <v>52.674</v>
      </c>
      <c r="E98" s="26" t="n">
        <f aca="false">IF(C98=0,"n/m",D98/ABS(C98))</f>
        <v>0.0533501599269137</v>
      </c>
      <c r="F98" s="49" t="str">
        <f aca="false">IF(ROUND(D98,5)=0,"",IF(D98&lt;0,"F","U"))</f>
        <v>U</v>
      </c>
      <c r="G98" s="6" t="s">
        <v>317</v>
      </c>
      <c r="H98" s="50" t="s">
        <v>318</v>
      </c>
      <c r="I98" s="51" t="s">
        <v>181</v>
      </c>
      <c r="J98" s="52" t="str">
        <f aca="false">IF(AND(ROUND(B98-K98,4)=0,ROUND(C98-L98,4)=0,TRUE()),"✓","✗")</f>
        <v>✓</v>
      </c>
      <c r="K98" s="61" t="n">
        <v>1040</v>
      </c>
      <c r="L98" s="61" t="n">
        <v>987.326</v>
      </c>
    </row>
    <row r="99" customFormat="false" ht="36.75" hidden="false" customHeight="true" outlineLevel="1" collapsed="false">
      <c r="A99" s="62" t="s">
        <v>192</v>
      </c>
      <c r="B99" s="34" t="n">
        <v>400</v>
      </c>
      <c r="C99" s="34" t="n">
        <v>372.071</v>
      </c>
      <c r="D99" s="25" t="n">
        <f aca="false">B99-C99</f>
        <v>27.929</v>
      </c>
      <c r="E99" s="26" t="n">
        <f aca="false">IF(C99=0,"n/m",D99/ABS(C99))</f>
        <v>0.07506363032862</v>
      </c>
      <c r="F99" s="49" t="str">
        <f aca="false">IF(ROUND(D99,5)=0,"",IF(D99&lt;0,"F","U"))</f>
        <v>U</v>
      </c>
      <c r="G99" s="6" t="s">
        <v>319</v>
      </c>
      <c r="H99" s="50" t="s">
        <v>320</v>
      </c>
      <c r="I99" s="51" t="s">
        <v>181</v>
      </c>
      <c r="J99" s="52" t="s">
        <v>182</v>
      </c>
    </row>
    <row r="100" customFormat="false" ht="27.75" hidden="false" customHeight="true" outlineLevel="1" collapsed="false">
      <c r="A100" s="62" t="s">
        <v>195</v>
      </c>
      <c r="B100" s="34" t="n">
        <v>120</v>
      </c>
      <c r="C100" s="34" t="n">
        <v>126.553</v>
      </c>
      <c r="D100" s="25" t="n">
        <f aca="false">B100-C100</f>
        <v>-6.553</v>
      </c>
      <c r="E100" s="26" t="n">
        <f aca="false">IF(C100=0,"n/m",D100/ABS(C100))</f>
        <v>-0.0517806768705601</v>
      </c>
      <c r="F100" s="49" t="str">
        <f aca="false">IF(ROUND(D100,5)=0,"",IF(D100&lt;0,"F","U"))</f>
        <v>F</v>
      </c>
      <c r="G100" s="63" t="s">
        <v>321</v>
      </c>
      <c r="H100" s="50" t="s">
        <v>322</v>
      </c>
      <c r="I100" s="18" t="s">
        <v>191</v>
      </c>
      <c r="J100" s="52" t="s">
        <v>182</v>
      </c>
    </row>
    <row r="101" customFormat="false" ht="36.75" hidden="false" customHeight="true" outlineLevel="1" collapsed="false">
      <c r="A101" s="62" t="s">
        <v>198</v>
      </c>
      <c r="B101" s="34" t="n">
        <v>160</v>
      </c>
      <c r="C101" s="34" t="n">
        <v>144.269</v>
      </c>
      <c r="D101" s="25" t="n">
        <f aca="false">B101-C101</f>
        <v>15.731</v>
      </c>
      <c r="E101" s="26" t="n">
        <f aca="false">IF(C101=0,"n/m",D101/ABS(C101))</f>
        <v>0.109039363965925</v>
      </c>
      <c r="F101" s="49" t="str">
        <f aca="false">IF(ROUND(D101,5)=0,"",IF(D101&lt;0,"F","U"))</f>
        <v>U</v>
      </c>
      <c r="G101" s="6" t="s">
        <v>199</v>
      </c>
      <c r="H101" s="50" t="s">
        <v>200</v>
      </c>
      <c r="I101" s="51" t="s">
        <v>181</v>
      </c>
      <c r="J101" s="52" t="s">
        <v>182</v>
      </c>
    </row>
    <row r="102" customFormat="false" ht="27.75" hidden="false" customHeight="true" outlineLevel="1" collapsed="false">
      <c r="A102" s="62" t="s">
        <v>323</v>
      </c>
      <c r="B102" s="34" t="n">
        <v>120</v>
      </c>
      <c r="C102" s="34" t="n">
        <v>119.112</v>
      </c>
      <c r="D102" s="25" t="n">
        <f aca="false">B102-C102</f>
        <v>0.888000000000005</v>
      </c>
      <c r="E102" s="26" t="n">
        <f aca="false">IF(C102=0,"n/m",D102/ABS(C102))</f>
        <v>0.00745516824501314</v>
      </c>
      <c r="F102" s="49" t="str">
        <f aca="false">IF(ROUND(D102,5)=0,"",IF(D102&lt;0,"F","U"))</f>
        <v>U</v>
      </c>
      <c r="G102" s="63" t="s">
        <v>324</v>
      </c>
      <c r="H102" s="50" t="s">
        <v>210</v>
      </c>
      <c r="I102" s="18" t="s">
        <v>191</v>
      </c>
      <c r="J102" s="52" t="s">
        <v>182</v>
      </c>
    </row>
    <row r="103" customFormat="false" ht="36.75" hidden="false" customHeight="true" outlineLevel="1" collapsed="false">
      <c r="A103" s="62" t="s">
        <v>225</v>
      </c>
      <c r="B103" s="34" t="n">
        <v>240</v>
      </c>
      <c r="C103" s="34" t="n">
        <v>225.321</v>
      </c>
      <c r="D103" s="25" t="n">
        <f aca="false">B103-C103</f>
        <v>14.679</v>
      </c>
      <c r="E103" s="26" t="n">
        <f aca="false">IF(C103=0,"n/m",D103/ABS(C103))</f>
        <v>0.0651470568655385</v>
      </c>
      <c r="F103" s="49" t="str">
        <f aca="false">IF(ROUND(D103,5)=0,"",IF(D103&lt;0,"F","U"))</f>
        <v>U</v>
      </c>
      <c r="G103" s="6" t="s">
        <v>226</v>
      </c>
      <c r="H103" s="50" t="s">
        <v>227</v>
      </c>
      <c r="I103" s="51" t="s">
        <v>181</v>
      </c>
      <c r="J103" s="52" t="s">
        <v>182</v>
      </c>
    </row>
    <row r="104" customFormat="false" ht="27.75" hidden="false" customHeight="true" outlineLevel="0" collapsed="false">
      <c r="A104" s="11" t="s">
        <v>325</v>
      </c>
      <c r="B104" s="25" t="n">
        <f aca="false">B105+B106</f>
        <v>280</v>
      </c>
      <c r="C104" s="25" t="n">
        <f aca="false">C105+C106</f>
        <v>264</v>
      </c>
      <c r="D104" s="25" t="n">
        <f aca="false">B104-C104</f>
        <v>16</v>
      </c>
      <c r="E104" s="26" t="n">
        <f aca="false">IF(C104=0,"n/m",D104/ABS(C104))</f>
        <v>0.0606060606060606</v>
      </c>
      <c r="F104" s="49" t="str">
        <f aca="false">IF(ROUND(D104,5)=0,"",IF(D104&lt;0,"F","U"))</f>
        <v>U</v>
      </c>
      <c r="G104" s="6" t="s">
        <v>326</v>
      </c>
      <c r="H104" s="50" t="s">
        <v>327</v>
      </c>
      <c r="I104" s="51" t="s">
        <v>181</v>
      </c>
      <c r="J104" s="52" t="str">
        <f aca="false">IF(AND(ROUND(B104-K104,4)=0,ROUND(C104-L104,4)=0,TRUE()),"✓","✗")</f>
        <v>✓</v>
      </c>
      <c r="K104" s="61" t="n">
        <v>280</v>
      </c>
      <c r="L104" s="61" t="n">
        <v>264</v>
      </c>
    </row>
    <row r="105" customFormat="false" ht="27.75" hidden="false" customHeight="true" outlineLevel="1" collapsed="false">
      <c r="A105" s="62" t="s">
        <v>189</v>
      </c>
      <c r="B105" s="34" t="n">
        <v>200</v>
      </c>
      <c r="C105" s="34" t="n">
        <v>188</v>
      </c>
      <c r="D105" s="25" t="n">
        <f aca="false">B105-C105</f>
        <v>12</v>
      </c>
      <c r="E105" s="26" t="n">
        <f aca="false">IF(C105=0,"n/m",D105/ABS(C105))</f>
        <v>0.0638297872340426</v>
      </c>
      <c r="F105" s="49" t="str">
        <f aca="false">IF(ROUND(D105,5)=0,"",IF(D105&lt;0,"F","U"))</f>
        <v>U</v>
      </c>
      <c r="G105" s="6" t="s">
        <v>328</v>
      </c>
      <c r="H105" s="50" t="s">
        <v>236</v>
      </c>
      <c r="I105" s="51" t="s">
        <v>181</v>
      </c>
      <c r="J105" s="52" t="s">
        <v>182</v>
      </c>
    </row>
    <row r="106" customFormat="false" ht="36.75" hidden="false" customHeight="true" outlineLevel="1" collapsed="false">
      <c r="A106" s="62" t="s">
        <v>201</v>
      </c>
      <c r="B106" s="34" t="n">
        <v>80</v>
      </c>
      <c r="C106" s="34" t="n">
        <v>76</v>
      </c>
      <c r="D106" s="25" t="n">
        <f aca="false">B106-C106</f>
        <v>4</v>
      </c>
      <c r="E106" s="26" t="n">
        <f aca="false">IF(C106=0,"n/m",D106/ABS(C106))</f>
        <v>0.0526315789473684</v>
      </c>
      <c r="F106" s="49" t="str">
        <f aca="false">IF(ROUND(D106,5)=0,"",IF(D106&lt;0,"F","U"))</f>
        <v>U</v>
      </c>
      <c r="G106" s="63" t="s">
        <v>329</v>
      </c>
      <c r="H106" s="50" t="s">
        <v>330</v>
      </c>
      <c r="I106" s="18" t="s">
        <v>191</v>
      </c>
      <c r="J106" s="52" t="s">
        <v>182</v>
      </c>
    </row>
    <row r="107" customFormat="false" ht="40.5" hidden="false" customHeight="true" outlineLevel="0" collapsed="false">
      <c r="A107" s="11" t="s">
        <v>331</v>
      </c>
      <c r="B107" s="25" t="n">
        <f aca="false">B108+B109</f>
        <v>280</v>
      </c>
      <c r="C107" s="25" t="n">
        <f aca="false">C108+C109</f>
        <v>312</v>
      </c>
      <c r="D107" s="25" t="n">
        <f aca="false">B107-C107</f>
        <v>-32</v>
      </c>
      <c r="E107" s="26" t="n">
        <f aca="false">IF(C107=0,"n/m",D107/ABS(C107))</f>
        <v>-0.102564102564103</v>
      </c>
      <c r="F107" s="49" t="str">
        <f aca="false">IF(ROUND(D107,5)=0,"",IF(D107&lt;0,"F","U"))</f>
        <v>F</v>
      </c>
      <c r="G107" s="6" t="s">
        <v>332</v>
      </c>
      <c r="H107" s="50" t="s">
        <v>333</v>
      </c>
      <c r="I107" s="51" t="s">
        <v>181</v>
      </c>
      <c r="J107" s="52" t="str">
        <f aca="false">IF(AND(ROUND(B107-K107,4)=0,ROUND(C107-L107,4)=0,TRUE()),"✓","✗")</f>
        <v>✓</v>
      </c>
      <c r="K107" s="61" t="n">
        <v>280</v>
      </c>
      <c r="L107" s="61" t="n">
        <v>312</v>
      </c>
    </row>
    <row r="108" customFormat="false" ht="48" hidden="false" customHeight="true" outlineLevel="1" collapsed="false">
      <c r="A108" s="62" t="s">
        <v>230</v>
      </c>
      <c r="B108" s="34" t="n">
        <v>100</v>
      </c>
      <c r="C108" s="34" t="n">
        <v>140</v>
      </c>
      <c r="D108" s="25" t="n">
        <f aca="false">B108-C108</f>
        <v>-40</v>
      </c>
      <c r="E108" s="26" t="n">
        <f aca="false">IF(C108=0,"n/m",D108/ABS(C108))</f>
        <v>-0.285714285714286</v>
      </c>
      <c r="F108" s="49" t="str">
        <f aca="false">IF(ROUND(D108,5)=0,"",IF(D108&lt;0,"F","U"))</f>
        <v>F</v>
      </c>
      <c r="G108" s="6" t="s">
        <v>231</v>
      </c>
      <c r="H108" s="50" t="s">
        <v>232</v>
      </c>
      <c r="I108" s="51" t="s">
        <v>181</v>
      </c>
      <c r="J108" s="52" t="s">
        <v>182</v>
      </c>
    </row>
    <row r="109" customFormat="false" ht="53.25" hidden="false" customHeight="true" outlineLevel="1" collapsed="false">
      <c r="A109" s="62" t="s">
        <v>242</v>
      </c>
      <c r="B109" s="34" t="n">
        <v>180</v>
      </c>
      <c r="C109" s="34" t="n">
        <v>172</v>
      </c>
      <c r="D109" s="25" t="n">
        <f aca="false">B109-C109</f>
        <v>8</v>
      </c>
      <c r="E109" s="26" t="n">
        <f aca="false">IF(C109=0,"n/m",D109/ABS(C109))</f>
        <v>0.0465116279069767</v>
      </c>
      <c r="F109" s="49" t="str">
        <f aca="false">IF(ROUND(D109,5)=0,"",IF(D109&lt;0,"F","U"))</f>
        <v>U</v>
      </c>
      <c r="G109" s="6" t="s">
        <v>243</v>
      </c>
      <c r="H109" s="50" t="s">
        <v>244</v>
      </c>
      <c r="I109" s="51" t="s">
        <v>181</v>
      </c>
      <c r="J109" s="52" t="s">
        <v>182</v>
      </c>
    </row>
    <row r="110" customFormat="false" ht="40.5" hidden="false" customHeight="true" outlineLevel="0" collapsed="false">
      <c r="A110" s="11" t="s">
        <v>334</v>
      </c>
      <c r="B110" s="25" t="n">
        <f aca="false">B111+B112+B113</f>
        <v>180</v>
      </c>
      <c r="C110" s="25" t="n">
        <f aca="false">C111+C112+C113</f>
        <v>175</v>
      </c>
      <c r="D110" s="25" t="n">
        <f aca="false">B110-C110</f>
        <v>5</v>
      </c>
      <c r="E110" s="26" t="n">
        <f aca="false">IF(C110=0,"n/m",D110/ABS(C110))</f>
        <v>0.0285714285714286</v>
      </c>
      <c r="F110" s="49" t="str">
        <f aca="false">IF(ROUND(D110,5)=0,"",IF(D110&lt;0,"F","U"))</f>
        <v>U</v>
      </c>
      <c r="G110" s="6" t="s">
        <v>335</v>
      </c>
      <c r="H110" s="50" t="s">
        <v>336</v>
      </c>
      <c r="I110" s="51" t="s">
        <v>181</v>
      </c>
      <c r="J110" s="52" t="str">
        <f aca="false">IF(AND(ROUND(B110-K110,4)=0,ROUND(C110-L110,4)=0,TRUE()),"✓","✗")</f>
        <v>✓</v>
      </c>
      <c r="K110" s="61" t="n">
        <v>180</v>
      </c>
      <c r="L110" s="61" t="n">
        <v>175</v>
      </c>
    </row>
    <row r="111" customFormat="false" ht="27.75" hidden="false" customHeight="true" outlineLevel="1" collapsed="false">
      <c r="A111" s="62" t="s">
        <v>233</v>
      </c>
      <c r="B111" s="34" t="n">
        <v>40</v>
      </c>
      <c r="C111" s="34" t="n">
        <v>39</v>
      </c>
      <c r="D111" s="25" t="n">
        <f aca="false">B111-C111</f>
        <v>1</v>
      </c>
      <c r="E111" s="26" t="n">
        <f aca="false">IF(C111=0,"n/m",D111/ABS(C111))</f>
        <v>0.0256410256410256</v>
      </c>
      <c r="F111" s="49" t="str">
        <f aca="false">IF(ROUND(D111,5)=0,"",IF(D111&lt;0,"F","U"))</f>
        <v>U</v>
      </c>
      <c r="G111" s="63" t="s">
        <v>234</v>
      </c>
      <c r="I111" s="18" t="s">
        <v>191</v>
      </c>
      <c r="J111" s="52" t="s">
        <v>182</v>
      </c>
    </row>
    <row r="112" customFormat="false" ht="27.75" hidden="false" customHeight="true" outlineLevel="1" collapsed="false">
      <c r="A112" s="62" t="s">
        <v>204</v>
      </c>
      <c r="B112" s="34" t="n">
        <v>60</v>
      </c>
      <c r="C112" s="34" t="n">
        <v>58</v>
      </c>
      <c r="D112" s="25" t="n">
        <f aca="false">B112-C112</f>
        <v>2</v>
      </c>
      <c r="E112" s="26" t="n">
        <f aca="false">IF(C112=0,"n/m",D112/ABS(C112))</f>
        <v>0.0344827586206897</v>
      </c>
      <c r="F112" s="49" t="str">
        <f aca="false">IF(ROUND(D112,5)=0,"",IF(D112&lt;0,"F","U"))</f>
        <v>U</v>
      </c>
      <c r="G112" s="63" t="s">
        <v>337</v>
      </c>
      <c r="H112" s="50" t="s">
        <v>336</v>
      </c>
      <c r="I112" s="18" t="s">
        <v>191</v>
      </c>
      <c r="J112" s="52" t="s">
        <v>182</v>
      </c>
    </row>
    <row r="113" customFormat="false" ht="15" hidden="false" customHeight="true" outlineLevel="1" collapsed="false">
      <c r="A113" s="62" t="s">
        <v>207</v>
      </c>
      <c r="B113" s="34" t="n">
        <v>80</v>
      </c>
      <c r="C113" s="34" t="n">
        <v>78</v>
      </c>
      <c r="D113" s="25" t="n">
        <f aca="false">B113-C113</f>
        <v>2</v>
      </c>
      <c r="E113" s="26" t="n">
        <f aca="false">IF(C113=0,"n/m",D113/ABS(C113))</f>
        <v>0.0256410256410256</v>
      </c>
      <c r="F113" s="49" t="str">
        <f aca="false">IF(ROUND(D113,5)=0,"",IF(D113&lt;0,"F","U"))</f>
        <v>U</v>
      </c>
      <c r="G113" s="63" t="s">
        <v>338</v>
      </c>
      <c r="I113" s="18" t="s">
        <v>191</v>
      </c>
      <c r="J113" s="52" t="s">
        <v>182</v>
      </c>
    </row>
    <row r="114" customFormat="false" ht="60" hidden="false" customHeight="true" outlineLevel="0" collapsed="false">
      <c r="A114" s="53" t="s">
        <v>339</v>
      </c>
      <c r="B114" s="37" t="n">
        <f aca="false">B98+B104+B107+B110</f>
        <v>1780</v>
      </c>
      <c r="C114" s="37" t="n">
        <f aca="false">C98+C104+C107+C110</f>
        <v>1738.326</v>
      </c>
      <c r="D114" s="37" t="n">
        <f aca="false">B114-C114</f>
        <v>41.674</v>
      </c>
      <c r="E114" s="54" t="n">
        <f aca="false">IF(C114=0,"n/m",D114/ABS(C114))</f>
        <v>0.0239736390067225</v>
      </c>
      <c r="F114" s="55" t="str">
        <f aca="false">IF(ROUND(D114,5)=0,"",IF(D114&lt;0,"F","U"))</f>
        <v>U</v>
      </c>
      <c r="G114" s="56" t="s">
        <v>340</v>
      </c>
      <c r="H114" s="57" t="s">
        <v>341</v>
      </c>
      <c r="I114" s="58" t="s">
        <v>181</v>
      </c>
      <c r="J114" s="59" t="str">
        <f aca="false">IF(AND(ROUND(B114-K114,4)=0,ROUND(C114-L114,4)=0,TRUE()),"✓","✗")</f>
        <v>✓</v>
      </c>
      <c r="K114" s="60" t="n">
        <v>1780</v>
      </c>
      <c r="L114" s="60" t="n">
        <v>1738.326</v>
      </c>
    </row>
    <row r="115" customFormat="false" ht="60" hidden="false" customHeight="true" outlineLevel="0" collapsed="false">
      <c r="A115" s="64" t="s">
        <v>96</v>
      </c>
      <c r="B115" s="65" t="n">
        <f aca="false">B95-B114</f>
        <v>220</v>
      </c>
      <c r="C115" s="65" t="n">
        <f aca="false">C95-C114</f>
        <v>253.201</v>
      </c>
      <c r="D115" s="65" t="n">
        <f aca="false">B115-C115</f>
        <v>-33.201</v>
      </c>
      <c r="E115" s="66" t="n">
        <f aca="false">IF(C115=0,"n/m",D115/ABS(C115))</f>
        <v>-0.131125074545519</v>
      </c>
      <c r="F115" s="67" t="str">
        <f aca="false">IF(ROUND(D115,5)=0,"",IF(D115&gt;0,"F","U"))</f>
        <v>U</v>
      </c>
      <c r="G115" s="68" t="s">
        <v>342</v>
      </c>
      <c r="H115" s="69" t="s">
        <v>250</v>
      </c>
      <c r="I115" s="70" t="s">
        <v>181</v>
      </c>
      <c r="J115" s="71" t="str">
        <f aca="false">IF(AND(ROUND(B115-K115,4)=0,ROUND(C115-L115,4)=0,TRUE()),"✓","✗")</f>
        <v>✓</v>
      </c>
      <c r="K115" s="72" t="n">
        <v>220</v>
      </c>
      <c r="L115" s="72" t="n">
        <v>253.201</v>
      </c>
    </row>
    <row r="116" customFormat="false" ht="15" hidden="false" customHeight="true" outlineLevel="0" collapsed="false">
      <c r="A116" s="11" t="s">
        <v>343</v>
      </c>
      <c r="B116" s="25" t="n">
        <f aca="false">B117-B118</f>
        <v>-20</v>
      </c>
      <c r="C116" s="25" t="n">
        <f aca="false">C117-C118</f>
        <v>-19</v>
      </c>
      <c r="D116" s="25" t="n">
        <f aca="false">B116-C116</f>
        <v>-1</v>
      </c>
      <c r="E116" s="26" t="n">
        <f aca="false">IF(C116=0,"n/m",D116/ABS(C116))</f>
        <v>-0.0526315789473684</v>
      </c>
      <c r="F116" s="49" t="str">
        <f aca="false">IF(ROUND(D116,5)=0,"",IF(D116&gt;0,"F","U"))</f>
        <v>U</v>
      </c>
      <c r="G116" s="6" t="s">
        <v>344</v>
      </c>
      <c r="I116" s="51" t="s">
        <v>181</v>
      </c>
      <c r="J116" s="52" t="str">
        <f aca="false">IF(AND(ROUND(B116-K116,4)=0,ROUND(C116-L116,4)=0,TRUE()),"✓","✗")</f>
        <v>✓</v>
      </c>
      <c r="K116" s="61" t="n">
        <v>-20</v>
      </c>
      <c r="L116" s="61" t="n">
        <v>-19</v>
      </c>
    </row>
    <row r="117" customFormat="false" ht="15" hidden="false" customHeight="true" outlineLevel="1" collapsed="false">
      <c r="A117" s="62" t="s">
        <v>345</v>
      </c>
      <c r="B117" s="34" t="n">
        <v>10</v>
      </c>
      <c r="C117" s="34" t="n">
        <v>11</v>
      </c>
      <c r="D117" s="25" t="n">
        <f aca="false">B117-C117</f>
        <v>-1</v>
      </c>
      <c r="E117" s="26" t="n">
        <f aca="false">IF(C117=0,"n/m",D117/ABS(C117))</f>
        <v>-0.0909090909090909</v>
      </c>
      <c r="F117" s="49" t="str">
        <f aca="false">IF(ROUND(D117,5)=0,"",IF(D117&gt;0,"F","U"))</f>
        <v>U</v>
      </c>
      <c r="G117" s="63" t="s">
        <v>251</v>
      </c>
      <c r="I117" s="18" t="s">
        <v>191</v>
      </c>
      <c r="J117" s="52" t="s">
        <v>182</v>
      </c>
    </row>
    <row r="118" customFormat="false" ht="15" hidden="false" customHeight="true" outlineLevel="1" collapsed="false">
      <c r="A118" s="62" t="s">
        <v>346</v>
      </c>
      <c r="B118" s="34" t="n">
        <v>30</v>
      </c>
      <c r="C118" s="34" t="n">
        <v>30</v>
      </c>
      <c r="D118" s="25" t="n">
        <f aca="false">B118-C118</f>
        <v>0</v>
      </c>
      <c r="E118" s="26" t="n">
        <f aca="false">IF(C118=0,"n/m",D118/ABS(C118))</f>
        <v>0</v>
      </c>
      <c r="F118" s="49" t="str">
        <f aca="false">IF(ROUND(D118,5)=0,"",IF(D118&lt;0,"F","U"))</f>
        <v/>
      </c>
      <c r="G118" s="63" t="s">
        <v>252</v>
      </c>
      <c r="I118" s="18" t="s">
        <v>191</v>
      </c>
      <c r="J118" s="52" t="s">
        <v>182</v>
      </c>
    </row>
    <row r="119" customFormat="false" ht="15" hidden="false" customHeight="true" outlineLevel="0" collapsed="false">
      <c r="A119" s="11" t="s">
        <v>347</v>
      </c>
      <c r="B119" s="34" t="n">
        <v>40</v>
      </c>
      <c r="C119" s="34" t="n">
        <v>35</v>
      </c>
      <c r="D119" s="25" t="n">
        <f aca="false">B119-C119</f>
        <v>5</v>
      </c>
      <c r="E119" s="26" t="n">
        <f aca="false">IF(C119=0,"n/m",D119/ABS(C119))</f>
        <v>0.142857142857143</v>
      </c>
      <c r="F119" s="49" t="str">
        <f aca="false">IF(ROUND(D119,5)=0,"",IF(D119&lt;0,"F","U"))</f>
        <v>U</v>
      </c>
      <c r="G119" s="6" t="s">
        <v>254</v>
      </c>
      <c r="I119" s="51" t="s">
        <v>181</v>
      </c>
      <c r="J119" s="52" t="s">
        <v>182</v>
      </c>
    </row>
    <row r="120" customFormat="false" ht="60" hidden="false" customHeight="true" outlineLevel="0" collapsed="false">
      <c r="A120" s="64" t="s">
        <v>97</v>
      </c>
      <c r="B120" s="65" t="n">
        <f aca="false">B115+B116-B119</f>
        <v>160</v>
      </c>
      <c r="C120" s="65" t="n">
        <f aca="false">C115+C116-C119</f>
        <v>199.201</v>
      </c>
      <c r="D120" s="65" t="n">
        <f aca="false">B120-C120</f>
        <v>-39.201</v>
      </c>
      <c r="E120" s="66" t="n">
        <f aca="false">IF(C120=0,"n/m",D120/ABS(C120))</f>
        <v>-0.196791180767165</v>
      </c>
      <c r="F120" s="67" t="str">
        <f aca="false">IF(ROUND(D120,5)=0,"",IF(D120&gt;0,"F","U"))</f>
        <v>U</v>
      </c>
      <c r="G120" s="68" t="s">
        <v>348</v>
      </c>
      <c r="H120" s="69" t="s">
        <v>250</v>
      </c>
      <c r="I120" s="70" t="s">
        <v>181</v>
      </c>
      <c r="J120" s="71" t="str">
        <f aca="false">IF(AND(ROUND(B120-K120,4)=0,ROUND(C120-L120,4)=0,TRUE()),"✓","✗")</f>
        <v>✓</v>
      </c>
      <c r="K120" s="72" t="n">
        <v>160</v>
      </c>
      <c r="L120" s="72" t="n">
        <v>199.201</v>
      </c>
    </row>
    <row r="122" customFormat="false" ht="18" hidden="false" customHeight="true" outlineLevel="0" collapsed="false">
      <c r="A122" s="44" t="s">
        <v>349</v>
      </c>
      <c r="B122" s="45"/>
      <c r="C122" s="45"/>
      <c r="D122" s="45"/>
      <c r="E122" s="45"/>
      <c r="F122" s="45"/>
      <c r="G122" s="73" t="s">
        <v>350</v>
      </c>
      <c r="H122" s="45"/>
      <c r="I122" s="45"/>
      <c r="J122" s="45"/>
      <c r="K122" s="45"/>
      <c r="L122" s="45"/>
    </row>
    <row r="123" customFormat="false" ht="40.5" hidden="false" customHeight="true" outlineLevel="0" collapsed="false">
      <c r="A123" s="11" t="s">
        <v>351</v>
      </c>
      <c r="B123" s="25" t="n">
        <f aca="false">B124+B125+B126+B127</f>
        <v>18786.54644</v>
      </c>
      <c r="C123" s="25" t="n">
        <f aca="false">C124+C125+C126+C127</f>
        <v>19520.33228</v>
      </c>
      <c r="D123" s="25" t="n">
        <f aca="false">B123-C123</f>
        <v>-733.785840000001</v>
      </c>
      <c r="E123" s="26" t="n">
        <f aca="false">IF(C123=0,"n/m",D123/ABS(C123))</f>
        <v>-0.0375908478131706</v>
      </c>
      <c r="G123" s="6" t="s">
        <v>352</v>
      </c>
      <c r="I123" s="51" t="s">
        <v>181</v>
      </c>
      <c r="J123" s="52" t="str">
        <f aca="false">IF(AND(ROUND(B123-K123,4)=0,ROUND(C123-L123,4)=0,TRUE()),"✓","✗")</f>
        <v>✓</v>
      </c>
      <c r="K123" s="61" t="n">
        <v>18786.54644</v>
      </c>
      <c r="L123" s="61" t="n">
        <v>19520.33228</v>
      </c>
    </row>
    <row r="124" customFormat="false" ht="27.75" hidden="false" customHeight="true" outlineLevel="1" collapsed="false">
      <c r="A124" s="62" t="s">
        <v>353</v>
      </c>
      <c r="B124" s="34" t="n">
        <v>14474.18299</v>
      </c>
      <c r="C124" s="34" t="n">
        <v>13488.57023</v>
      </c>
      <c r="D124" s="25" t="n">
        <f aca="false">B124-C124</f>
        <v>985.61276</v>
      </c>
      <c r="E124" s="26" t="n">
        <f aca="false">IF(C124=0,"n/m",D124/ABS(C124))</f>
        <v>0.0730702174651464</v>
      </c>
      <c r="G124" s="6" t="s">
        <v>354</v>
      </c>
      <c r="I124" s="51" t="s">
        <v>181</v>
      </c>
      <c r="J124" s="52" t="s">
        <v>182</v>
      </c>
    </row>
    <row r="125" customFormat="false" ht="27.75" hidden="false" customHeight="true" outlineLevel="1" collapsed="false">
      <c r="A125" s="62" t="s">
        <v>355</v>
      </c>
      <c r="B125" s="34" t="n">
        <v>2872.86345</v>
      </c>
      <c r="C125" s="34" t="n">
        <v>4561.26205</v>
      </c>
      <c r="D125" s="25" t="n">
        <f aca="false">B125-C125</f>
        <v>-1688.3986</v>
      </c>
      <c r="E125" s="26" t="n">
        <f aca="false">IF(C125=0,"n/m",D125/ABS(C125))</f>
        <v>-0.370160403303292</v>
      </c>
      <c r="G125" s="6" t="s">
        <v>356</v>
      </c>
      <c r="I125" s="51" t="s">
        <v>181</v>
      </c>
      <c r="J125" s="52" t="s">
        <v>182</v>
      </c>
    </row>
    <row r="126" customFormat="false" ht="15" hidden="false" customHeight="true" outlineLevel="1" collapsed="false">
      <c r="A126" s="62" t="s">
        <v>357</v>
      </c>
      <c r="B126" s="34" t="n">
        <v>184</v>
      </c>
      <c r="C126" s="34" t="n">
        <v>230</v>
      </c>
      <c r="D126" s="25" t="n">
        <f aca="false">B126-C126</f>
        <v>-46</v>
      </c>
      <c r="E126" s="26" t="n">
        <f aca="false">IF(C126=0,"n/m",D126/ABS(C126))</f>
        <v>-0.2</v>
      </c>
      <c r="G126" s="6" t="s">
        <v>358</v>
      </c>
      <c r="I126" s="51" t="s">
        <v>181</v>
      </c>
      <c r="J126" s="52" t="s">
        <v>182</v>
      </c>
    </row>
    <row r="127" customFormat="false" ht="27.75" hidden="false" customHeight="true" outlineLevel="1" collapsed="false">
      <c r="A127" s="62" t="s">
        <v>359</v>
      </c>
      <c r="B127" s="34" t="n">
        <v>1255.5</v>
      </c>
      <c r="C127" s="34" t="n">
        <v>1240.5</v>
      </c>
      <c r="D127" s="25" t="n">
        <f aca="false">B127-C127</f>
        <v>15</v>
      </c>
      <c r="E127" s="26" t="n">
        <f aca="false">IF(C127=0,"n/m",D127/ABS(C127))</f>
        <v>0.0120918984280532</v>
      </c>
      <c r="G127" s="63" t="s">
        <v>360</v>
      </c>
      <c r="I127" s="18" t="s">
        <v>191</v>
      </c>
      <c r="J127" s="52" t="s">
        <v>182</v>
      </c>
    </row>
    <row r="128" customFormat="false" ht="40.5" hidden="false" customHeight="true" outlineLevel="0" collapsed="false">
      <c r="A128" s="11" t="s">
        <v>361</v>
      </c>
      <c r="B128" s="25" t="n">
        <f aca="false">B129</f>
        <v>1236</v>
      </c>
      <c r="C128" s="25" t="n">
        <f aca="false">C129</f>
        <v>1263</v>
      </c>
      <c r="D128" s="25" t="n">
        <f aca="false">B128-C128</f>
        <v>-27</v>
      </c>
      <c r="E128" s="26" t="n">
        <f aca="false">IF(C128=0,"n/m",D128/ABS(C128))</f>
        <v>-0.0213776722090261</v>
      </c>
      <c r="G128" s="6" t="s">
        <v>362</v>
      </c>
      <c r="I128" s="51" t="s">
        <v>181</v>
      </c>
      <c r="J128" s="52" t="str">
        <f aca="false">IF(AND(ROUND(B128-K128,4)=0,ROUND(C128-L128,4)=0,TRUE()),"✓","✗")</f>
        <v>✓</v>
      </c>
      <c r="K128" s="61" t="n">
        <v>1236</v>
      </c>
      <c r="L128" s="61" t="n">
        <v>1263</v>
      </c>
    </row>
    <row r="129" customFormat="false" ht="27.75" hidden="false" customHeight="true" outlineLevel="1" collapsed="false">
      <c r="A129" s="62" t="s">
        <v>363</v>
      </c>
      <c r="B129" s="34" t="n">
        <v>1236</v>
      </c>
      <c r="C129" s="34" t="n">
        <v>1263</v>
      </c>
      <c r="D129" s="25" t="n">
        <f aca="false">B129-C129</f>
        <v>-27</v>
      </c>
      <c r="E129" s="26" t="n">
        <f aca="false">IF(C129=0,"n/m",D129/ABS(C129))</f>
        <v>-0.0213776722090261</v>
      </c>
      <c r="G129" s="6" t="s">
        <v>364</v>
      </c>
      <c r="I129" s="51" t="s">
        <v>181</v>
      </c>
      <c r="J129" s="52" t="s">
        <v>182</v>
      </c>
    </row>
    <row r="130" customFormat="false" ht="27.75" hidden="false" customHeight="true" outlineLevel="0" collapsed="false">
      <c r="A130" s="64" t="s">
        <v>365</v>
      </c>
      <c r="B130" s="65" t="n">
        <f aca="false">B123+B128</f>
        <v>20022.54644</v>
      </c>
      <c r="C130" s="65" t="n">
        <f aca="false">C123+C128</f>
        <v>20783.33228</v>
      </c>
      <c r="D130" s="65" t="n">
        <f aca="false">B130-C130</f>
        <v>-760.785840000001</v>
      </c>
      <c r="E130" s="66" t="n">
        <f aca="false">IF(C130=0,"n/m",D130/ABS(C130))</f>
        <v>-0.036605575552103</v>
      </c>
      <c r="F130" s="74"/>
      <c r="G130" s="68" t="s">
        <v>366</v>
      </c>
      <c r="H130" s="74"/>
      <c r="I130" s="70" t="s">
        <v>181</v>
      </c>
      <c r="J130" s="71" t="str">
        <f aca="false">IF(AND(ROUND(B130-K130,4)=0,ROUND(C130-L130,4)=0,TRUE()),"✓","✗")</f>
        <v>✓</v>
      </c>
      <c r="K130" s="72" t="n">
        <v>20022.54644</v>
      </c>
      <c r="L130" s="72" t="n">
        <v>20783.33228</v>
      </c>
    </row>
    <row r="131" customFormat="false" ht="40.5" hidden="false" customHeight="true" outlineLevel="0" collapsed="false">
      <c r="A131" s="11" t="s">
        <v>367</v>
      </c>
      <c r="B131" s="25" t="n">
        <f aca="false">B132+B133+B134</f>
        <v>1620.78044</v>
      </c>
      <c r="C131" s="25" t="n">
        <f aca="false">C132+C133+C134</f>
        <v>2627.56628</v>
      </c>
      <c r="D131" s="25" t="n">
        <f aca="false">B131-C131</f>
        <v>-1006.78584</v>
      </c>
      <c r="E131" s="26" t="n">
        <f aca="false">IF(C131=0,"n/m",D131/ABS(C131))</f>
        <v>-0.383162871156955</v>
      </c>
      <c r="G131" s="6" t="s">
        <v>368</v>
      </c>
      <c r="I131" s="51" t="s">
        <v>181</v>
      </c>
      <c r="J131" s="52" t="str">
        <f aca="false">IF(AND(ROUND(B131-K131,4)=0,ROUND(C131-L131,4)=0,TRUE()),"✓","✗")</f>
        <v>✓</v>
      </c>
      <c r="K131" s="61" t="n">
        <v>1620.78044</v>
      </c>
      <c r="L131" s="61" t="n">
        <v>2627.56628</v>
      </c>
    </row>
    <row r="132" customFormat="false" ht="27.75" hidden="false" customHeight="true" outlineLevel="1" collapsed="false">
      <c r="A132" s="62" t="s">
        <v>369</v>
      </c>
      <c r="B132" s="34" t="n">
        <v>349</v>
      </c>
      <c r="C132" s="34" t="n">
        <v>307</v>
      </c>
      <c r="D132" s="25" t="n">
        <f aca="false">B132-C132</f>
        <v>42</v>
      </c>
      <c r="E132" s="26" t="n">
        <f aca="false">IF(C132=0,"n/m",D132/ABS(C132))</f>
        <v>0.136807817589577</v>
      </c>
      <c r="G132" s="6" t="s">
        <v>370</v>
      </c>
      <c r="I132" s="51" t="s">
        <v>181</v>
      </c>
      <c r="J132" s="52" t="s">
        <v>182</v>
      </c>
    </row>
    <row r="133" customFormat="false" ht="27.75" hidden="false" customHeight="true" outlineLevel="1" collapsed="false">
      <c r="A133" s="62" t="s">
        <v>371</v>
      </c>
      <c r="B133" s="34" t="n">
        <v>152.49244</v>
      </c>
      <c r="C133" s="34" t="n">
        <v>167.23428</v>
      </c>
      <c r="D133" s="25" t="n">
        <f aca="false">B133-C133</f>
        <v>-14.74184</v>
      </c>
      <c r="E133" s="26" t="n">
        <f aca="false">IF(C133=0,"n/m",D133/ABS(C133))</f>
        <v>-0.0881508264932287</v>
      </c>
      <c r="G133" s="63" t="s">
        <v>372</v>
      </c>
      <c r="I133" s="18" t="s">
        <v>191</v>
      </c>
      <c r="J133" s="52" t="s">
        <v>182</v>
      </c>
    </row>
    <row r="134" customFormat="false" ht="27.75" hidden="false" customHeight="true" outlineLevel="1" collapsed="false">
      <c r="A134" s="62" t="s">
        <v>373</v>
      </c>
      <c r="B134" s="34" t="n">
        <v>1119.288</v>
      </c>
      <c r="C134" s="34" t="n">
        <v>2153.332</v>
      </c>
      <c r="D134" s="25" t="n">
        <f aca="false">B134-C134</f>
        <v>-1034.044</v>
      </c>
      <c r="E134" s="26" t="n">
        <f aca="false">IF(C134=0,"n/m",D134/ABS(C134))</f>
        <v>-0.480206489291944</v>
      </c>
      <c r="G134" s="6" t="s">
        <v>374</v>
      </c>
      <c r="I134" s="51" t="s">
        <v>181</v>
      </c>
      <c r="J134" s="52" t="s">
        <v>182</v>
      </c>
    </row>
    <row r="135" customFormat="false" ht="27.75" hidden="false" customHeight="true" outlineLevel="0" collapsed="false">
      <c r="A135" s="11" t="s">
        <v>375</v>
      </c>
      <c r="B135" s="25" t="n">
        <f aca="false">B136+B137</f>
        <v>4582.5</v>
      </c>
      <c r="C135" s="25" t="n">
        <f aca="false">C136+C137</f>
        <v>4576.5</v>
      </c>
      <c r="D135" s="25" t="n">
        <f aca="false">B135-C135</f>
        <v>6</v>
      </c>
      <c r="E135" s="26" t="n">
        <f aca="false">IF(C135=0,"n/m",D135/ABS(C135))</f>
        <v>0.00131104555883317</v>
      </c>
      <c r="G135" s="6" t="s">
        <v>376</v>
      </c>
      <c r="I135" s="51" t="s">
        <v>181</v>
      </c>
      <c r="J135" s="52" t="str">
        <f aca="false">IF(AND(ROUND(B135-K135,4)=0,ROUND(C135-L135,4)=0,TRUE()),"✓","✗")</f>
        <v>✓</v>
      </c>
      <c r="K135" s="61" t="n">
        <v>4582.5</v>
      </c>
      <c r="L135" s="61" t="n">
        <v>4576.5</v>
      </c>
    </row>
    <row r="136" customFormat="false" ht="15" hidden="false" customHeight="true" outlineLevel="1" collapsed="false">
      <c r="A136" s="62" t="s">
        <v>377</v>
      </c>
      <c r="B136" s="34" t="n">
        <v>382.5</v>
      </c>
      <c r="C136" s="34" t="n">
        <v>376.5</v>
      </c>
      <c r="D136" s="25" t="n">
        <f aca="false">B136-C136</f>
        <v>6</v>
      </c>
      <c r="E136" s="26" t="n">
        <f aca="false">IF(C136=0,"n/m",D136/ABS(C136))</f>
        <v>0.0159362549800797</v>
      </c>
      <c r="G136" s="63" t="s">
        <v>378</v>
      </c>
      <c r="I136" s="18" t="s">
        <v>191</v>
      </c>
      <c r="J136" s="52" t="s">
        <v>182</v>
      </c>
    </row>
    <row r="137" customFormat="false" ht="15" hidden="false" customHeight="true" outlineLevel="1" collapsed="false">
      <c r="A137" s="62" t="s">
        <v>379</v>
      </c>
      <c r="B137" s="34" t="n">
        <v>4200</v>
      </c>
      <c r="C137" s="34" t="n">
        <v>4200</v>
      </c>
      <c r="D137" s="25" t="n">
        <f aca="false">B137-C137</f>
        <v>0</v>
      </c>
      <c r="E137" s="26" t="n">
        <f aca="false">IF(C137=0,"n/m",D137/ABS(C137))</f>
        <v>0</v>
      </c>
      <c r="G137" s="63" t="s">
        <v>380</v>
      </c>
      <c r="I137" s="18" t="s">
        <v>191</v>
      </c>
      <c r="J137" s="52" t="s">
        <v>182</v>
      </c>
    </row>
    <row r="138" customFormat="false" ht="27.75" hidden="false" customHeight="true" outlineLevel="0" collapsed="false">
      <c r="A138" s="53" t="s">
        <v>381</v>
      </c>
      <c r="B138" s="37" t="n">
        <f aca="false">B131+B135</f>
        <v>6203.28044</v>
      </c>
      <c r="C138" s="37" t="n">
        <f aca="false">C131+C135</f>
        <v>7204.06628</v>
      </c>
      <c r="D138" s="37" t="n">
        <f aca="false">B138-C138</f>
        <v>-1000.78584</v>
      </c>
      <c r="E138" s="54" t="n">
        <f aca="false">IF(C138=0,"n/m",D138/ABS(C138))</f>
        <v>-0.138919576958695</v>
      </c>
      <c r="F138" s="75"/>
      <c r="G138" s="56" t="s">
        <v>382</v>
      </c>
      <c r="H138" s="75"/>
      <c r="I138" s="58" t="s">
        <v>181</v>
      </c>
      <c r="J138" s="59" t="str">
        <f aca="false">IF(AND(ROUND(B138-K138,4)=0,ROUND(C138-L138,4)=0,TRUE()),"✓","✗")</f>
        <v>✓</v>
      </c>
      <c r="K138" s="60" t="n">
        <v>6203.28044</v>
      </c>
      <c r="L138" s="60" t="n">
        <v>7204.06628</v>
      </c>
    </row>
    <row r="139" customFormat="false" ht="27.75" hidden="false" customHeight="true" outlineLevel="0" collapsed="false">
      <c r="A139" s="11" t="s">
        <v>383</v>
      </c>
      <c r="B139" s="25" t="n">
        <f aca="false">B140+B141</f>
        <v>13819.266</v>
      </c>
      <c r="C139" s="25" t="n">
        <f aca="false">C140+C141</f>
        <v>13579.266</v>
      </c>
      <c r="D139" s="25" t="n">
        <f aca="false">B139-C139</f>
        <v>240</v>
      </c>
      <c r="E139" s="26" t="n">
        <f aca="false">IF(C139=0,"n/m",D139/ABS(C139))</f>
        <v>0.017674003882095</v>
      </c>
      <c r="G139" s="6" t="s">
        <v>384</v>
      </c>
      <c r="I139" s="51" t="s">
        <v>181</v>
      </c>
      <c r="J139" s="52" t="str">
        <f aca="false">IF(AND(ROUND(B139-K139,4)=0,ROUND(C139-L139,4)=0,TRUE()),"✓","✗")</f>
        <v>✓</v>
      </c>
      <c r="K139" s="61" t="n">
        <v>13819.266</v>
      </c>
      <c r="L139" s="61" t="n">
        <v>13579.266</v>
      </c>
    </row>
    <row r="140" customFormat="false" ht="15" hidden="false" customHeight="true" outlineLevel="1" collapsed="false">
      <c r="A140" s="62" t="s">
        <v>385</v>
      </c>
      <c r="B140" s="34" t="n">
        <v>13346</v>
      </c>
      <c r="C140" s="34" t="n">
        <v>13266</v>
      </c>
      <c r="D140" s="25" t="n">
        <f aca="false">B140-C140</f>
        <v>80</v>
      </c>
      <c r="E140" s="26" t="n">
        <f aca="false">IF(C140=0,"n/m",D140/ABS(C140))</f>
        <v>0.00603045379164782</v>
      </c>
      <c r="G140" s="6" t="s">
        <v>386</v>
      </c>
      <c r="I140" s="51" t="s">
        <v>181</v>
      </c>
      <c r="J140" s="52" t="s">
        <v>182</v>
      </c>
    </row>
    <row r="141" customFormat="false" ht="27.75" hidden="false" customHeight="true" outlineLevel="1" collapsed="false">
      <c r="A141" s="62" t="s">
        <v>387</v>
      </c>
      <c r="B141" s="34" t="n">
        <v>473.266</v>
      </c>
      <c r="C141" s="34" t="n">
        <v>313.266</v>
      </c>
      <c r="D141" s="25" t="n">
        <f aca="false">B141-C141</f>
        <v>160</v>
      </c>
      <c r="E141" s="26" t="n">
        <f aca="false">IF(C141=0,"n/m",D141/ABS(C141))</f>
        <v>0.51074805436913</v>
      </c>
      <c r="G141" s="6" t="s">
        <v>388</v>
      </c>
      <c r="I141" s="51" t="s">
        <v>181</v>
      </c>
      <c r="J141" s="52" t="s">
        <v>182</v>
      </c>
    </row>
    <row r="142" customFormat="false" ht="27.75" hidden="false" customHeight="true" outlineLevel="0" collapsed="false">
      <c r="A142" s="64" t="s">
        <v>389</v>
      </c>
      <c r="B142" s="65" t="n">
        <f aca="false">B138+B139</f>
        <v>20022.54644</v>
      </c>
      <c r="C142" s="65" t="n">
        <f aca="false">C138+C139</f>
        <v>20783.33228</v>
      </c>
      <c r="D142" s="65" t="n">
        <f aca="false">B142-C142</f>
        <v>-760.785840000001</v>
      </c>
      <c r="E142" s="66" t="n">
        <f aca="false">IF(C142=0,"n/m",D142/ABS(C142))</f>
        <v>-0.036605575552103</v>
      </c>
      <c r="F142" s="74"/>
      <c r="G142" s="68" t="s">
        <v>390</v>
      </c>
      <c r="H142" s="74"/>
      <c r="I142" s="70" t="s">
        <v>181</v>
      </c>
      <c r="J142" s="71" t="str">
        <f aca="false">IF(AND(ROUND(B142-K142,4)=0,ROUND(C142-L142,4)=0,TRUE()),"✓","✗")</f>
        <v>✓</v>
      </c>
      <c r="K142" s="72" t="n">
        <v>20022.54644</v>
      </c>
      <c r="L142" s="72" t="n">
        <v>20783.33228</v>
      </c>
    </row>
    <row r="144" customFormat="false" ht="18" hidden="false" customHeight="true" outlineLevel="0" collapsed="false">
      <c r="A144" s="44" t="s">
        <v>391</v>
      </c>
      <c r="B144" s="45"/>
      <c r="C144" s="45"/>
      <c r="D144" s="45"/>
      <c r="E144" s="45"/>
      <c r="F144" s="45"/>
      <c r="G144" s="45"/>
      <c r="H144" s="45"/>
      <c r="I144" s="45"/>
      <c r="J144" s="45"/>
      <c r="K144" s="45"/>
      <c r="L144" s="45"/>
    </row>
    <row r="145" customFormat="false" ht="27.75" hidden="false" customHeight="true" outlineLevel="0" collapsed="false">
      <c r="A145" s="11" t="s">
        <v>97</v>
      </c>
      <c r="B145" s="34" t="n">
        <v>160</v>
      </c>
      <c r="C145" s="34" t="n">
        <v>199.201</v>
      </c>
      <c r="D145" s="25" t="n">
        <f aca="false">B145-C145</f>
        <v>-39.201</v>
      </c>
      <c r="E145" s="26" t="n">
        <f aca="false">IF(C145=0,"n/m",D145/ABS(C145))</f>
        <v>-0.196791180767165</v>
      </c>
      <c r="F145" s="49" t="str">
        <f aca="false">IF(ROUND(D145,5)=0,"",IF(D145&gt;0,"F","U"))</f>
        <v>U</v>
      </c>
      <c r="G145" s="6" t="s">
        <v>392</v>
      </c>
      <c r="I145" s="51" t="s">
        <v>181</v>
      </c>
      <c r="J145" s="52" t="s">
        <v>182</v>
      </c>
    </row>
    <row r="146" customFormat="false" ht="40.5" hidden="false" customHeight="true" outlineLevel="0" collapsed="false">
      <c r="A146" s="11" t="s">
        <v>393</v>
      </c>
      <c r="B146" s="25" t="n">
        <f aca="false">B147+B148+B149+B150</f>
        <v>186</v>
      </c>
      <c r="C146" s="25" t="n">
        <f aca="false">C147+C148+C149+C150</f>
        <v>180</v>
      </c>
      <c r="D146" s="25" t="n">
        <f aca="false">B146-C146</f>
        <v>6</v>
      </c>
      <c r="E146" s="26" t="n">
        <f aca="false">IF(C146=0,"n/m",D146/ABS(C146))</f>
        <v>0.0333333333333333</v>
      </c>
      <c r="F146" s="49" t="str">
        <f aca="false">IF(ROUND(D146,5)=0,"",IF(D146&gt;0,"F","U"))</f>
        <v>F</v>
      </c>
      <c r="G146" s="6" t="s">
        <v>394</v>
      </c>
      <c r="I146" s="51" t="s">
        <v>181</v>
      </c>
      <c r="J146" s="52" t="str">
        <f aca="false">IF(AND(ROUND(B146-K146,4)=0,ROUND(C146-L146,4)=0,TRUE()),"✓","✗")</f>
        <v>✓</v>
      </c>
      <c r="K146" s="61" t="n">
        <v>186</v>
      </c>
      <c r="L146" s="61" t="n">
        <v>180</v>
      </c>
    </row>
    <row r="147" customFormat="false" ht="15" hidden="false" customHeight="true" outlineLevel="1" collapsed="false">
      <c r="A147" s="62" t="s">
        <v>395</v>
      </c>
      <c r="B147" s="34" t="n">
        <v>60</v>
      </c>
      <c r="C147" s="34" t="n">
        <v>58</v>
      </c>
      <c r="D147" s="25" t="n">
        <f aca="false">B147-C147</f>
        <v>2</v>
      </c>
      <c r="E147" s="26" t="n">
        <f aca="false">IF(C147=0,"n/m",D147/ABS(C147))</f>
        <v>0.0344827586206897</v>
      </c>
      <c r="F147" s="49" t="str">
        <f aca="false">IF(ROUND(D147,5)=0,"",IF(D147&gt;0,"F","U"))</f>
        <v>F</v>
      </c>
      <c r="G147" s="63" t="s">
        <v>396</v>
      </c>
      <c r="I147" s="18" t="s">
        <v>191</v>
      </c>
      <c r="J147" s="52" t="s">
        <v>182</v>
      </c>
    </row>
    <row r="148" customFormat="false" ht="15" hidden="false" customHeight="true" outlineLevel="1" collapsed="false">
      <c r="A148" s="62" t="s">
        <v>397</v>
      </c>
      <c r="B148" s="34" t="n">
        <v>80</v>
      </c>
      <c r="C148" s="34" t="n">
        <v>78</v>
      </c>
      <c r="D148" s="25" t="n">
        <f aca="false">B148-C148</f>
        <v>2</v>
      </c>
      <c r="E148" s="26" t="n">
        <f aca="false">IF(C148=0,"n/m",D148/ABS(C148))</f>
        <v>0.0256410256410256</v>
      </c>
      <c r="F148" s="49" t="str">
        <f aca="false">IF(ROUND(D148,5)=0,"",IF(D148&gt;0,"F","U"))</f>
        <v>F</v>
      </c>
      <c r="G148" s="63" t="s">
        <v>398</v>
      </c>
      <c r="I148" s="18" t="s">
        <v>191</v>
      </c>
      <c r="J148" s="52" t="s">
        <v>182</v>
      </c>
    </row>
    <row r="149" customFormat="false" ht="15" hidden="false" customHeight="true" outlineLevel="1" collapsed="false">
      <c r="A149" s="62" t="s">
        <v>399</v>
      </c>
      <c r="B149" s="34" t="n">
        <v>40</v>
      </c>
      <c r="C149" s="34" t="n">
        <v>39</v>
      </c>
      <c r="D149" s="25" t="n">
        <f aca="false">B149-C149</f>
        <v>1</v>
      </c>
      <c r="E149" s="26" t="n">
        <f aca="false">IF(C149=0,"n/m",D149/ABS(C149))</f>
        <v>0.0256410256410256</v>
      </c>
      <c r="F149" s="49" t="str">
        <f aca="false">IF(ROUND(D149,5)=0,"",IF(D149&gt;0,"F","U"))</f>
        <v>F</v>
      </c>
      <c r="G149" s="63" t="s">
        <v>400</v>
      </c>
      <c r="I149" s="18" t="s">
        <v>191</v>
      </c>
      <c r="J149" s="52" t="s">
        <v>182</v>
      </c>
    </row>
    <row r="150" customFormat="false" ht="15" hidden="false" customHeight="true" outlineLevel="1" collapsed="false">
      <c r="A150" s="62" t="s">
        <v>401</v>
      </c>
      <c r="B150" s="34" t="n">
        <v>6</v>
      </c>
      <c r="C150" s="34" t="n">
        <v>5</v>
      </c>
      <c r="D150" s="25" t="n">
        <f aca="false">B150-C150</f>
        <v>1</v>
      </c>
      <c r="E150" s="26" t="n">
        <f aca="false">IF(C150=0,"n/m",D150/ABS(C150))</f>
        <v>0.2</v>
      </c>
      <c r="F150" s="49" t="str">
        <f aca="false">IF(ROUND(D150,5)=0,"",IF(D150&gt;0,"F","U"))</f>
        <v>F</v>
      </c>
      <c r="G150" s="63" t="s">
        <v>402</v>
      </c>
      <c r="I150" s="18" t="s">
        <v>191</v>
      </c>
      <c r="J150" s="52" t="s">
        <v>182</v>
      </c>
    </row>
    <row r="151" customFormat="false" ht="40.5" hidden="false" customHeight="true" outlineLevel="0" collapsed="false">
      <c r="A151" s="11" t="s">
        <v>403</v>
      </c>
      <c r="B151" s="25" t="n">
        <f aca="false">B152+B153+B154+B155+B156+B157</f>
        <v>672.61276</v>
      </c>
      <c r="C151" s="25" t="n">
        <f aca="false">C152+C153+C154+C155+C156+C157</f>
        <v>-889.490350000001</v>
      </c>
      <c r="D151" s="25" t="n">
        <f aca="false">B151-C151</f>
        <v>1562.10311</v>
      </c>
      <c r="E151" s="26" t="n">
        <f aca="false">IF(C151=0,"n/m",D151/ABS(C151))</f>
        <v>1.75617769209076</v>
      </c>
      <c r="F151" s="49" t="str">
        <f aca="false">IF(ROUND(D151,5)=0,"",IF(D151&gt;0,"F","U"))</f>
        <v>F</v>
      </c>
      <c r="G151" s="6" t="s">
        <v>404</v>
      </c>
      <c r="I151" s="51" t="s">
        <v>181</v>
      </c>
      <c r="J151" s="52" t="str">
        <f aca="false">IF(AND(ROUND(B151-K151,4)=0,ROUND(C151-L151,4)=0,TRUE()),"✓","✗")</f>
        <v>✓</v>
      </c>
      <c r="K151" s="61" t="n">
        <v>672.61276</v>
      </c>
      <c r="L151" s="61" t="n">
        <v>-889.49035</v>
      </c>
    </row>
    <row r="152" customFormat="false" ht="27.75" hidden="false" customHeight="true" outlineLevel="1" collapsed="false">
      <c r="A152" s="62" t="s">
        <v>405</v>
      </c>
      <c r="B152" s="34" t="n">
        <v>1688.3986</v>
      </c>
      <c r="C152" s="34" t="n">
        <v>-3160.43175</v>
      </c>
      <c r="D152" s="25" t="n">
        <f aca="false">B152-C152</f>
        <v>4848.83035</v>
      </c>
      <c r="E152" s="26" t="n">
        <f aca="false">IF(C152=0,"n/m",D152/ABS(C152))</f>
        <v>1.53423036267118</v>
      </c>
      <c r="F152" s="49" t="str">
        <f aca="false">IF(ROUND(D152,5)=0,"",IF(D152&gt;0,"F","U"))</f>
        <v>F</v>
      </c>
      <c r="G152" s="6" t="s">
        <v>406</v>
      </c>
      <c r="I152" s="51" t="s">
        <v>181</v>
      </c>
      <c r="J152" s="52" t="s">
        <v>182</v>
      </c>
    </row>
    <row r="153" customFormat="false" ht="15" hidden="false" customHeight="true" outlineLevel="1" collapsed="false">
      <c r="A153" s="62" t="s">
        <v>407</v>
      </c>
      <c r="B153" s="34" t="n">
        <v>46</v>
      </c>
      <c r="C153" s="34" t="n">
        <v>46</v>
      </c>
      <c r="D153" s="25" t="n">
        <f aca="false">B153-C153</f>
        <v>0</v>
      </c>
      <c r="E153" s="26" t="n">
        <f aca="false">IF(C153=0,"n/m",D153/ABS(C153))</f>
        <v>0</v>
      </c>
      <c r="F153" s="49" t="str">
        <f aca="false">IF(ROUND(D153,5)=0,"",IF(D153&gt;0,"F","U"))</f>
        <v/>
      </c>
      <c r="G153" s="63" t="s">
        <v>408</v>
      </c>
      <c r="I153" s="18" t="s">
        <v>191</v>
      </c>
      <c r="J153" s="52" t="s">
        <v>182</v>
      </c>
    </row>
    <row r="154" customFormat="false" ht="15" hidden="false" customHeight="true" outlineLevel="1" collapsed="false">
      <c r="A154" s="62" t="s">
        <v>409</v>
      </c>
      <c r="B154" s="34" t="n">
        <v>-55</v>
      </c>
      <c r="C154" s="34" t="n">
        <v>-40</v>
      </c>
      <c r="D154" s="25" t="n">
        <f aca="false">B154-C154</f>
        <v>-15</v>
      </c>
      <c r="E154" s="26" t="n">
        <f aca="false">IF(C154=0,"n/m",D154/ABS(C154))</f>
        <v>-0.375</v>
      </c>
      <c r="F154" s="49" t="str">
        <f aca="false">IF(ROUND(D154,5)=0,"",IF(D154&gt;0,"F","U"))</f>
        <v>U</v>
      </c>
      <c r="G154" s="6" t="s">
        <v>410</v>
      </c>
      <c r="I154" s="51" t="s">
        <v>181</v>
      </c>
      <c r="J154" s="52" t="s">
        <v>182</v>
      </c>
    </row>
    <row r="155" customFormat="false" ht="27.75" hidden="false" customHeight="true" outlineLevel="1" collapsed="false">
      <c r="A155" s="62" t="s">
        <v>411</v>
      </c>
      <c r="B155" s="34" t="n">
        <v>42</v>
      </c>
      <c r="C155" s="34" t="n">
        <v>3</v>
      </c>
      <c r="D155" s="25" t="n">
        <f aca="false">B155-C155</f>
        <v>39</v>
      </c>
      <c r="E155" s="26" t="n">
        <f aca="false">IF(C155=0,"n/m",D155/ABS(C155))</f>
        <v>13</v>
      </c>
      <c r="F155" s="49" t="str">
        <f aca="false">IF(ROUND(D155,5)=0,"",IF(D155&gt;0,"F","U"))</f>
        <v>F</v>
      </c>
      <c r="G155" s="6" t="s">
        <v>412</v>
      </c>
      <c r="I155" s="51" t="s">
        <v>181</v>
      </c>
      <c r="J155" s="52" t="s">
        <v>182</v>
      </c>
    </row>
    <row r="156" customFormat="false" ht="27.75" hidden="false" customHeight="true" outlineLevel="1" collapsed="false">
      <c r="A156" s="62" t="s">
        <v>413</v>
      </c>
      <c r="B156" s="34" t="n">
        <v>-14.74184</v>
      </c>
      <c r="C156" s="34" t="n">
        <v>108.6094</v>
      </c>
      <c r="D156" s="25" t="n">
        <f aca="false">B156-C156</f>
        <v>-123.35124</v>
      </c>
      <c r="E156" s="26" t="n">
        <f aca="false">IF(C156=0,"n/m",D156/ABS(C156))</f>
        <v>-1.13573263456018</v>
      </c>
      <c r="F156" s="49" t="str">
        <f aca="false">IF(ROUND(D156,5)=0,"",IF(D156&gt;0,"F","U"))</f>
        <v>U</v>
      </c>
      <c r="G156" s="6" t="s">
        <v>414</v>
      </c>
      <c r="I156" s="51" t="s">
        <v>181</v>
      </c>
      <c r="J156" s="52" t="s">
        <v>182</v>
      </c>
    </row>
    <row r="157" customFormat="false" ht="27.75" hidden="false" customHeight="true" outlineLevel="1" collapsed="false">
      <c r="A157" s="62" t="s">
        <v>415</v>
      </c>
      <c r="B157" s="34" t="n">
        <v>-1034.044</v>
      </c>
      <c r="C157" s="34" t="n">
        <v>2153.332</v>
      </c>
      <c r="D157" s="25" t="n">
        <f aca="false">B157-C157</f>
        <v>-3187.376</v>
      </c>
      <c r="E157" s="26" t="n">
        <f aca="false">IF(C157=0,"n/m",D157/ABS(C157))</f>
        <v>-1.48020648929194</v>
      </c>
      <c r="F157" s="49" t="str">
        <f aca="false">IF(ROUND(D157,5)=0,"",IF(D157&gt;0,"F","U"))</f>
        <v>U</v>
      </c>
      <c r="G157" s="6" t="s">
        <v>416</v>
      </c>
      <c r="I157" s="51" t="s">
        <v>181</v>
      </c>
      <c r="J157" s="52" t="s">
        <v>182</v>
      </c>
    </row>
    <row r="158" customFormat="false" ht="40.5" hidden="false" customHeight="true" outlineLevel="0" collapsed="false">
      <c r="A158" s="64" t="s">
        <v>417</v>
      </c>
      <c r="B158" s="65" t="n">
        <f aca="false">B145+B146+B151</f>
        <v>1018.61276</v>
      </c>
      <c r="C158" s="65" t="n">
        <f aca="false">C145+C146+C151</f>
        <v>-510.28935</v>
      </c>
      <c r="D158" s="65" t="n">
        <f aca="false">B158-C158</f>
        <v>1528.90211</v>
      </c>
      <c r="E158" s="66" t="n">
        <f aca="false">IF(C158=0,"n/m",D158/ABS(C158))</f>
        <v>2.99614740146938</v>
      </c>
      <c r="F158" s="67" t="str">
        <f aca="false">IF(ROUND(D158,5)=0,"",IF(D158&gt;0,"F","U"))</f>
        <v>F</v>
      </c>
      <c r="G158" s="68" t="s">
        <v>418</v>
      </c>
      <c r="H158" s="74"/>
      <c r="I158" s="70" t="s">
        <v>181</v>
      </c>
      <c r="J158" s="71" t="str">
        <f aca="false">IF(AND(ROUND(B158-K158,4)=0,ROUND(C158-L158,4)=0,TRUE()),"✓","✗")</f>
        <v>✓</v>
      </c>
      <c r="K158" s="72" t="n">
        <v>1018.61276</v>
      </c>
      <c r="L158" s="72" t="n">
        <v>-510.28935</v>
      </c>
    </row>
    <row r="159" customFormat="false" ht="27.75" hidden="false" customHeight="true" outlineLevel="0" collapsed="false">
      <c r="A159" s="11" t="s">
        <v>419</v>
      </c>
      <c r="B159" s="25" t="n">
        <f aca="false">B160</f>
        <v>-33</v>
      </c>
      <c r="C159" s="25" t="n">
        <f aca="false">C160</f>
        <v>-173</v>
      </c>
      <c r="D159" s="25" t="n">
        <f aca="false">B159-C159</f>
        <v>140</v>
      </c>
      <c r="E159" s="26" t="n">
        <f aca="false">IF(C159=0,"n/m",D159/ABS(C159))</f>
        <v>0.809248554913295</v>
      </c>
      <c r="F159" s="49" t="str">
        <f aca="false">IF(ROUND(D159,5)=0,"",IF(D159&gt;0,"F","U"))</f>
        <v>F</v>
      </c>
      <c r="G159" s="6" t="s">
        <v>420</v>
      </c>
      <c r="I159" s="51" t="s">
        <v>181</v>
      </c>
      <c r="J159" s="52" t="str">
        <f aca="false">IF(AND(ROUND(B159-K159,4)=0,ROUND(C159-L159,4)=0,TRUE()),"✓","✗")</f>
        <v>✓</v>
      </c>
      <c r="K159" s="61" t="n">
        <v>-33</v>
      </c>
      <c r="L159" s="61" t="n">
        <v>-173</v>
      </c>
    </row>
    <row r="160" customFormat="false" ht="15" hidden="false" customHeight="true" outlineLevel="1" collapsed="false">
      <c r="A160" s="62" t="s">
        <v>421</v>
      </c>
      <c r="B160" s="34" t="n">
        <v>-33</v>
      </c>
      <c r="C160" s="34" t="n">
        <v>-173</v>
      </c>
      <c r="D160" s="25" t="n">
        <f aca="false">B160-C160</f>
        <v>140</v>
      </c>
      <c r="E160" s="26" t="n">
        <f aca="false">IF(C160=0,"n/m",D160/ABS(C160))</f>
        <v>0.809248554913295</v>
      </c>
      <c r="F160" s="49" t="str">
        <f aca="false">IF(ROUND(D160,5)=0,"",IF(D160&gt;0,"F","U"))</f>
        <v>F</v>
      </c>
      <c r="G160" s="6" t="s">
        <v>422</v>
      </c>
      <c r="I160" s="51" t="s">
        <v>181</v>
      </c>
      <c r="J160" s="52" t="s">
        <v>182</v>
      </c>
    </row>
    <row r="161" customFormat="false" ht="15" hidden="false" customHeight="true" outlineLevel="0" collapsed="false">
      <c r="A161" s="11" t="s">
        <v>423</v>
      </c>
      <c r="B161" s="25" t="n">
        <f aca="false">B162+B163</f>
        <v>0</v>
      </c>
      <c r="C161" s="25" t="n">
        <f aca="false">C162+C163</f>
        <v>0</v>
      </c>
      <c r="D161" s="25" t="n">
        <f aca="false">B161-C161</f>
        <v>0</v>
      </c>
      <c r="E161" s="26" t="str">
        <f aca="false">IF(C161=0,"n/m",D161/ABS(C161))</f>
        <v>n/m</v>
      </c>
      <c r="F161" s="49" t="str">
        <f aca="false">IF(ROUND(D161,5)=0,"",IF(D161&gt;0,"F","U"))</f>
        <v/>
      </c>
      <c r="G161" s="63" t="s">
        <v>424</v>
      </c>
      <c r="I161" s="18" t="s">
        <v>191</v>
      </c>
      <c r="J161" s="52" t="str">
        <f aca="false">IF(AND(ROUND(B161-K161,4)=0,ROUND(C161-L161,4)=0,TRUE()),"✓","✗")</f>
        <v>✓</v>
      </c>
      <c r="K161" s="61" t="n">
        <v>0</v>
      </c>
      <c r="L161" s="61" t="n">
        <v>0</v>
      </c>
    </row>
    <row r="162" customFormat="false" ht="15" hidden="false" customHeight="true" outlineLevel="1" collapsed="false">
      <c r="A162" s="62" t="s">
        <v>425</v>
      </c>
      <c r="B162" s="34" t="n">
        <v>0</v>
      </c>
      <c r="C162" s="34" t="n">
        <v>0</v>
      </c>
      <c r="D162" s="25" t="n">
        <f aca="false">B162-C162</f>
        <v>0</v>
      </c>
      <c r="E162" s="26" t="str">
        <f aca="false">IF(C162=0,"n/m",D162/ABS(C162))</f>
        <v>n/m</v>
      </c>
      <c r="F162" s="49" t="str">
        <f aca="false">IF(ROUND(D162,5)=0,"",IF(D162&gt;0,"F","U"))</f>
        <v/>
      </c>
      <c r="G162" s="63" t="s">
        <v>426</v>
      </c>
      <c r="I162" s="18" t="s">
        <v>191</v>
      </c>
      <c r="J162" s="52" t="s">
        <v>182</v>
      </c>
    </row>
    <row r="163" customFormat="false" ht="15" hidden="false" customHeight="true" outlineLevel="1" collapsed="false">
      <c r="A163" s="62" t="s">
        <v>427</v>
      </c>
      <c r="B163" s="34" t="n">
        <v>0</v>
      </c>
      <c r="C163" s="34" t="n">
        <v>0</v>
      </c>
      <c r="D163" s="25" t="n">
        <f aca="false">B163-C163</f>
        <v>0</v>
      </c>
      <c r="E163" s="26" t="str">
        <f aca="false">IF(C163=0,"n/m",D163/ABS(C163))</f>
        <v>n/m</v>
      </c>
      <c r="F163" s="49" t="str">
        <f aca="false">IF(ROUND(D163,5)=0,"",IF(D163&gt;0,"F","U"))</f>
        <v/>
      </c>
      <c r="G163" s="63" t="s">
        <v>428</v>
      </c>
      <c r="I163" s="18" t="s">
        <v>191</v>
      </c>
      <c r="J163" s="52" t="s">
        <v>182</v>
      </c>
    </row>
    <row r="164" customFormat="false" ht="27.75" hidden="false" customHeight="true" outlineLevel="0" collapsed="false">
      <c r="A164" s="64" t="s">
        <v>429</v>
      </c>
      <c r="B164" s="65" t="n">
        <f aca="false">B158+B159+B161</f>
        <v>985.61276</v>
      </c>
      <c r="C164" s="65" t="n">
        <f aca="false">C158+C159+C161</f>
        <v>-683.289350000001</v>
      </c>
      <c r="D164" s="65" t="n">
        <f aca="false">B164-C164</f>
        <v>1668.90211</v>
      </c>
      <c r="E164" s="66" t="n">
        <f aca="false">IF(C164=0,"n/m",D164/ABS(C164))</f>
        <v>2.44245298130287</v>
      </c>
      <c r="F164" s="67" t="str">
        <f aca="false">IF(ROUND(D164,5)=0,"",IF(D164&gt;0,"F","U"))</f>
        <v>F</v>
      </c>
      <c r="G164" s="68" t="s">
        <v>430</v>
      </c>
      <c r="H164" s="74"/>
      <c r="I164" s="70" t="s">
        <v>181</v>
      </c>
      <c r="J164" s="71" t="str">
        <f aca="false">IF(AND(ROUND(B164-K164,4)=0,ROUND(C164-L164,4)=0,TRUE()),"✓","✗")</f>
        <v>✓</v>
      </c>
      <c r="K164" s="72" t="n">
        <v>985.61276</v>
      </c>
      <c r="L164" s="72" t="n">
        <v>-683.28935</v>
      </c>
    </row>
    <row r="166" customFormat="false" ht="15" hidden="false" customHeight="false" outlineLevel="0" collapsed="false">
      <c r="A166" s="18" t="s">
        <v>431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1" outlineLevelCol="0"/>
  <cols>
    <col collapsed="false" customWidth="true" hidden="false" outlineLevel="0" max="1" min="1" style="0" width="46"/>
    <col collapsed="false" customWidth="true" hidden="false" outlineLevel="0" max="4" min="2" style="0" width="12"/>
    <col collapsed="false" customWidth="true" hidden="false" outlineLevel="0" max="5" min="5" style="0" width="8"/>
    <col collapsed="false" customWidth="true" hidden="false" outlineLevel="0" max="6" min="6" style="0" width="5"/>
    <col collapsed="false" customWidth="true" hidden="false" outlineLevel="0" max="7" min="7" style="0" width="82"/>
    <col collapsed="false" customWidth="true" hidden="false" outlineLevel="0" max="8" min="8" style="0" width="56"/>
    <col collapsed="false" customWidth="true" hidden="false" outlineLevel="0" max="9" min="9" style="0" width="15"/>
    <col collapsed="false" customWidth="true" hidden="false" outlineLevel="0" max="10" min="10" style="0" width="6"/>
    <col collapsed="false" customWidth="true" hidden="false" outlineLevel="0" max="12" min="11" style="0" width="12"/>
  </cols>
  <sheetData>
    <row r="1" customFormat="false" ht="17.35" hidden="false" customHeight="false" outlineLevel="0" collapsed="false">
      <c r="A1" s="17" t="s">
        <v>105</v>
      </c>
    </row>
    <row r="2" customFormat="false" ht="15" hidden="false" customHeight="false" outlineLevel="0" collapsed="false">
      <c r="A2" s="18" t="s">
        <v>80</v>
      </c>
    </row>
    <row r="3" customFormat="false" ht="15" hidden="false" customHeight="false" outlineLevel="0" collapsed="false">
      <c r="A3" s="18" t="s">
        <v>432</v>
      </c>
    </row>
    <row r="5" customFormat="false" ht="30" hidden="false" customHeight="true" outlineLevel="0" collapsed="false">
      <c r="A5" s="47" t="s">
        <v>173</v>
      </c>
      <c r="B5" s="48" t="s">
        <v>107</v>
      </c>
      <c r="C5" s="48" t="s">
        <v>108</v>
      </c>
      <c r="D5" s="48" t="s">
        <v>88</v>
      </c>
      <c r="E5" s="48" t="s">
        <v>89</v>
      </c>
      <c r="F5" s="48" t="s">
        <v>90</v>
      </c>
      <c r="G5" s="47" t="s">
        <v>174</v>
      </c>
      <c r="H5" s="47" t="s">
        <v>175</v>
      </c>
      <c r="I5" s="47" t="s">
        <v>24</v>
      </c>
      <c r="J5" s="48" t="s">
        <v>176</v>
      </c>
      <c r="K5" s="48" t="s">
        <v>177</v>
      </c>
      <c r="L5" s="48" t="s">
        <v>178</v>
      </c>
    </row>
    <row r="7" customFormat="false" ht="18" hidden="false" customHeight="true" outlineLevel="0" collapsed="false">
      <c r="A7" s="44" t="s">
        <v>152</v>
      </c>
      <c r="B7" s="45"/>
      <c r="C7" s="45"/>
      <c r="D7" s="45"/>
      <c r="E7" s="45"/>
      <c r="F7" s="45"/>
      <c r="G7" s="45"/>
      <c r="H7" s="45"/>
      <c r="I7" s="45"/>
      <c r="J7" s="45"/>
      <c r="K7" s="45"/>
      <c r="L7" s="45"/>
    </row>
    <row r="8" customFormat="false" ht="48" hidden="false" customHeight="true" outlineLevel="0" collapsed="false">
      <c r="A8" s="11" t="s">
        <v>153</v>
      </c>
      <c r="B8" s="34" t="n">
        <v>3576.527</v>
      </c>
      <c r="C8" s="34" t="n">
        <v>3444.337</v>
      </c>
      <c r="D8" s="25" t="n">
        <f aca="false">B8-C8</f>
        <v>132.19</v>
      </c>
      <c r="E8" s="26" t="n">
        <f aca="false">IF(C8=0,"n/m",D8/ABS(C8))</f>
        <v>0.0383789391107781</v>
      </c>
      <c r="F8" s="49" t="str">
        <f aca="false">IF(ROUND(D8,5)=0,"",IF(D8&gt;0,"F","U"))</f>
        <v>F</v>
      </c>
      <c r="G8" s="6" t="s">
        <v>433</v>
      </c>
      <c r="H8" s="50" t="s">
        <v>180</v>
      </c>
      <c r="I8" s="51" t="s">
        <v>434</v>
      </c>
      <c r="J8" s="52" t="s">
        <v>182</v>
      </c>
    </row>
    <row r="9" customFormat="false" ht="40.5" hidden="false" customHeight="true" outlineLevel="0" collapsed="false">
      <c r="A9" s="11" t="s">
        <v>154</v>
      </c>
      <c r="B9" s="34" t="n">
        <v>415</v>
      </c>
      <c r="C9" s="34" t="n">
        <v>280</v>
      </c>
      <c r="D9" s="25" t="n">
        <f aca="false">B9-C9</f>
        <v>135</v>
      </c>
      <c r="E9" s="26" t="n">
        <f aca="false">IF(C9=0,"n/m",D9/ABS(C9))</f>
        <v>0.482142857142857</v>
      </c>
      <c r="F9" s="49" t="str">
        <f aca="false">IF(ROUND(D9,5)=0,"",IF(D9&gt;0,"F","U"))</f>
        <v>F</v>
      </c>
      <c r="G9" s="6" t="s">
        <v>435</v>
      </c>
      <c r="H9" s="50" t="s">
        <v>184</v>
      </c>
      <c r="I9" s="51" t="s">
        <v>434</v>
      </c>
      <c r="J9" s="52" t="s">
        <v>182</v>
      </c>
    </row>
    <row r="10" customFormat="false" ht="40.5" hidden="false" customHeight="true" outlineLevel="0" collapsed="false">
      <c r="A10" s="53" t="s">
        <v>91</v>
      </c>
      <c r="B10" s="37" t="n">
        <f aca="false">B8+B9</f>
        <v>3991.527</v>
      </c>
      <c r="C10" s="37" t="n">
        <f aca="false">C8+C9</f>
        <v>3724.337</v>
      </c>
      <c r="D10" s="37" t="n">
        <f aca="false">B10-C10</f>
        <v>267.19</v>
      </c>
      <c r="E10" s="54" t="n">
        <f aca="false">IF(C10=0,"n/m",D10/ABS(C10))</f>
        <v>0.0717416281072309</v>
      </c>
      <c r="F10" s="55" t="str">
        <f aca="false">IF(ROUND(D10,5)=0,"",IF(D10&gt;0,"F","U"))</f>
        <v>F</v>
      </c>
      <c r="G10" s="56" t="s">
        <v>436</v>
      </c>
      <c r="H10" s="57" t="s">
        <v>186</v>
      </c>
      <c r="I10" s="58" t="s">
        <v>434</v>
      </c>
      <c r="J10" s="59" t="str">
        <f aca="false">IF(AND(ROUND(B10-K10,4)=0,ROUND(C10-L10,4)=0,TRUE()),"✓","✗")</f>
        <v>✓</v>
      </c>
      <c r="K10" s="60" t="n">
        <v>3991.527</v>
      </c>
      <c r="L10" s="60" t="n">
        <v>3724.337</v>
      </c>
    </row>
    <row r="11" customFormat="false" ht="60" hidden="false" customHeight="true" outlineLevel="0" collapsed="false">
      <c r="A11" s="11" t="s">
        <v>155</v>
      </c>
      <c r="B11" s="25" t="n">
        <f aca="false">B12+B13+B14+B15+B16+B17+B18</f>
        <v>1054.38718</v>
      </c>
      <c r="C11" s="25" t="n">
        <f aca="false">C12+C13+C14+C15+C16+C17+C18</f>
        <v>998.65073</v>
      </c>
      <c r="D11" s="25" t="n">
        <f aca="false">B11-C11</f>
        <v>55.73645</v>
      </c>
      <c r="E11" s="26" t="n">
        <f aca="false">IF(C11=0,"n/m",D11/ABS(C11))</f>
        <v>0.05581175512684</v>
      </c>
      <c r="F11" s="49" t="str">
        <f aca="false">IF(ROUND(D11,5)=0,"",IF(D11&lt;0,"F","U"))</f>
        <v>U</v>
      </c>
      <c r="G11" s="6" t="s">
        <v>437</v>
      </c>
      <c r="H11" s="50" t="s">
        <v>188</v>
      </c>
      <c r="I11" s="51" t="s">
        <v>434</v>
      </c>
      <c r="J11" s="52" t="str">
        <f aca="false">IF(AND(ROUND(B11-K11,4)=0,ROUND(C11-L11,4)=0,TRUE()),"✓","✗")</f>
        <v>✓</v>
      </c>
      <c r="K11" s="61" t="n">
        <v>1054.38718</v>
      </c>
      <c r="L11" s="61" t="n">
        <v>998.65073</v>
      </c>
    </row>
    <row r="12" customFormat="false" ht="27.75" hidden="false" customHeight="true" outlineLevel="1" collapsed="false">
      <c r="A12" s="62" t="s">
        <v>189</v>
      </c>
      <c r="B12" s="34" t="n">
        <v>276</v>
      </c>
      <c r="C12" s="34" t="n">
        <v>249.1</v>
      </c>
      <c r="D12" s="25" t="n">
        <f aca="false">B12-C12</f>
        <v>26.9</v>
      </c>
      <c r="E12" s="26" t="n">
        <f aca="false">IF(C12=0,"n/m",D12/ABS(C12))</f>
        <v>0.107988759534324</v>
      </c>
      <c r="F12" s="49" t="str">
        <f aca="false">IF(ROUND(D12,5)=0,"",IF(D12&lt;0,"F","U"))</f>
        <v>U</v>
      </c>
      <c r="G12" s="6" t="s">
        <v>438</v>
      </c>
      <c r="I12" s="51" t="s">
        <v>434</v>
      </c>
      <c r="J12" s="52" t="s">
        <v>182</v>
      </c>
    </row>
    <row r="13" customFormat="false" ht="36.75" hidden="false" customHeight="true" outlineLevel="1" collapsed="false">
      <c r="A13" s="62" t="s">
        <v>192</v>
      </c>
      <c r="B13" s="34" t="n">
        <v>193.01775</v>
      </c>
      <c r="C13" s="34" t="n">
        <v>183.071</v>
      </c>
      <c r="D13" s="25" t="n">
        <f aca="false">B13-C13</f>
        <v>9.94675000000001</v>
      </c>
      <c r="E13" s="26" t="n">
        <f aca="false">IF(C13=0,"n/m",D13/ABS(C13))</f>
        <v>0.0543327452190681</v>
      </c>
      <c r="F13" s="49" t="str">
        <f aca="false">IF(ROUND(D13,5)=0,"",IF(D13&lt;0,"F","U"))</f>
        <v>U</v>
      </c>
      <c r="G13" s="63" t="s">
        <v>439</v>
      </c>
      <c r="H13" s="50" t="s">
        <v>194</v>
      </c>
      <c r="I13" s="18" t="s">
        <v>191</v>
      </c>
      <c r="J13" s="52" t="s">
        <v>182</v>
      </c>
    </row>
    <row r="14" customFormat="false" ht="40.5" hidden="false" customHeight="true" outlineLevel="1" collapsed="false">
      <c r="A14" s="62" t="s">
        <v>195</v>
      </c>
      <c r="B14" s="34" t="n">
        <v>172.5871</v>
      </c>
      <c r="C14" s="34" t="n">
        <v>177.8784</v>
      </c>
      <c r="D14" s="25" t="n">
        <f aca="false">B14-C14</f>
        <v>-5.29130000000001</v>
      </c>
      <c r="E14" s="26" t="n">
        <f aca="false">IF(C14=0,"n/m",D14/ABS(C14))</f>
        <v>-0.0297467258531671</v>
      </c>
      <c r="F14" s="49" t="str">
        <f aca="false">IF(ROUND(D14,5)=0,"",IF(D14&lt;0,"F","U"))</f>
        <v>F</v>
      </c>
      <c r="G14" s="63" t="s">
        <v>440</v>
      </c>
      <c r="H14" s="50" t="s">
        <v>197</v>
      </c>
      <c r="I14" s="18" t="s">
        <v>191</v>
      </c>
      <c r="J14" s="52" t="s">
        <v>182</v>
      </c>
    </row>
    <row r="15" customFormat="false" ht="36.75" hidden="false" customHeight="true" outlineLevel="1" collapsed="false">
      <c r="A15" s="62" t="s">
        <v>198</v>
      </c>
      <c r="B15" s="34" t="n">
        <v>304.269</v>
      </c>
      <c r="C15" s="34" t="n">
        <v>289.652</v>
      </c>
      <c r="D15" s="25" t="n">
        <f aca="false">B15-C15</f>
        <v>14.617</v>
      </c>
      <c r="E15" s="26" t="n">
        <f aca="false">IF(C15=0,"n/m",D15/ABS(C15))</f>
        <v>0.0504640050819605</v>
      </c>
      <c r="F15" s="49" t="str">
        <f aca="false">IF(ROUND(D15,5)=0,"",IF(D15&lt;0,"F","U"))</f>
        <v>U</v>
      </c>
      <c r="G15" s="6" t="s">
        <v>441</v>
      </c>
      <c r="H15" s="50" t="s">
        <v>200</v>
      </c>
      <c r="I15" s="51" t="s">
        <v>434</v>
      </c>
      <c r="J15" s="52" t="s">
        <v>182</v>
      </c>
    </row>
    <row r="16" customFormat="false" ht="40.5" hidden="false" customHeight="true" outlineLevel="1" collapsed="false">
      <c r="A16" s="62" t="s">
        <v>201</v>
      </c>
      <c r="B16" s="34" t="n">
        <v>29.68</v>
      </c>
      <c r="C16" s="34" t="n">
        <v>24.616</v>
      </c>
      <c r="D16" s="25" t="n">
        <f aca="false">B16-C16</f>
        <v>5.064</v>
      </c>
      <c r="E16" s="26" t="n">
        <f aca="false">IF(C16=0,"n/m",D16/ABS(C16))</f>
        <v>0.205719857003575</v>
      </c>
      <c r="F16" s="49" t="str">
        <f aca="false">IF(ROUND(D16,5)=0,"",IF(D16&lt;0,"F","U"))</f>
        <v>U</v>
      </c>
      <c r="G16" s="6" t="s">
        <v>442</v>
      </c>
      <c r="H16" s="50" t="s">
        <v>203</v>
      </c>
      <c r="I16" s="51" t="s">
        <v>434</v>
      </c>
      <c r="J16" s="52" t="s">
        <v>182</v>
      </c>
    </row>
    <row r="17" customFormat="false" ht="40.5" hidden="false" customHeight="true" outlineLevel="1" collapsed="false">
      <c r="A17" s="62" t="s">
        <v>204</v>
      </c>
      <c r="B17" s="34" t="n">
        <v>39.33333</v>
      </c>
      <c r="C17" s="34" t="n">
        <v>37.33333</v>
      </c>
      <c r="D17" s="25" t="n">
        <f aca="false">B17-C17</f>
        <v>2</v>
      </c>
      <c r="E17" s="26" t="n">
        <f aca="false">IF(C17=0,"n/m",D17/ABS(C17))</f>
        <v>0.0535714333545923</v>
      </c>
      <c r="F17" s="49" t="str">
        <f aca="false">IF(ROUND(D17,5)=0,"",IF(D17&lt;0,"F","U"))</f>
        <v>U</v>
      </c>
      <c r="G17" s="63" t="s">
        <v>443</v>
      </c>
      <c r="H17" s="50" t="s">
        <v>206</v>
      </c>
      <c r="I17" s="18" t="s">
        <v>191</v>
      </c>
      <c r="J17" s="52" t="s">
        <v>182</v>
      </c>
    </row>
    <row r="18" customFormat="false" ht="27.75" hidden="false" customHeight="true" outlineLevel="1" collapsed="false">
      <c r="A18" s="62" t="s">
        <v>207</v>
      </c>
      <c r="B18" s="34" t="n">
        <v>39.5</v>
      </c>
      <c r="C18" s="34" t="n">
        <v>37</v>
      </c>
      <c r="D18" s="25" t="n">
        <f aca="false">B18-C18</f>
        <v>2.5</v>
      </c>
      <c r="E18" s="26" t="n">
        <f aca="false">IF(C18=0,"n/m",D18/ABS(C18))</f>
        <v>0.0675675675675676</v>
      </c>
      <c r="F18" s="49" t="str">
        <f aca="false">IF(ROUND(D18,5)=0,"",IF(D18&lt;0,"F","U"))</f>
        <v>U</v>
      </c>
      <c r="G18" s="63" t="s">
        <v>444</v>
      </c>
      <c r="I18" s="18" t="s">
        <v>191</v>
      </c>
      <c r="J18" s="52" t="s">
        <v>182</v>
      </c>
    </row>
    <row r="19" customFormat="false" ht="27.75" hidden="false" customHeight="true" outlineLevel="0" collapsed="false">
      <c r="A19" s="11" t="s">
        <v>156</v>
      </c>
      <c r="B19" s="34" t="n">
        <v>239.112</v>
      </c>
      <c r="C19" s="34" t="n">
        <v>239.188</v>
      </c>
      <c r="D19" s="25" t="n">
        <f aca="false">B19-C19</f>
        <v>-0.0759999999999934</v>
      </c>
      <c r="E19" s="26" t="n">
        <f aca="false">IF(C19=0,"n/m",D19/ABS(C19))</f>
        <v>-0.000317741692727032</v>
      </c>
      <c r="F19" s="49" t="str">
        <f aca="false">IF(ROUND(D19,5)=0,"",IF(D19&lt;0,"F","U"))</f>
        <v>F</v>
      </c>
      <c r="G19" s="63" t="s">
        <v>445</v>
      </c>
      <c r="H19" s="50" t="s">
        <v>210</v>
      </c>
      <c r="I19" s="18" t="s">
        <v>191</v>
      </c>
      <c r="J19" s="52" t="s">
        <v>182</v>
      </c>
    </row>
    <row r="20" customFormat="false" ht="60" hidden="false" customHeight="true" outlineLevel="0" collapsed="false">
      <c r="A20" s="53" t="s">
        <v>101</v>
      </c>
      <c r="B20" s="37" t="n">
        <f aca="false">B11+B19</f>
        <v>1293.49918</v>
      </c>
      <c r="C20" s="37" t="n">
        <f aca="false">C11+C19</f>
        <v>1237.83873</v>
      </c>
      <c r="D20" s="37" t="n">
        <f aca="false">B20-C20</f>
        <v>55.6604500000001</v>
      </c>
      <c r="E20" s="54" t="n">
        <f aca="false">IF(C20=0,"n/m",D20/ABS(C20))</f>
        <v>0.0449658333117434</v>
      </c>
      <c r="F20" s="55" t="str">
        <f aca="false">IF(ROUND(D20,5)=0,"",IF(D20&lt;0,"F","U"))</f>
        <v>U</v>
      </c>
      <c r="G20" s="56" t="s">
        <v>446</v>
      </c>
      <c r="H20" s="57" t="s">
        <v>212</v>
      </c>
      <c r="I20" s="58" t="s">
        <v>434</v>
      </c>
      <c r="J20" s="59" t="str">
        <f aca="false">IF(AND(ROUND(B20-K20,4)=0,ROUND(C20-L20,4)=0,TRUE()),"✓","✗")</f>
        <v>✓</v>
      </c>
      <c r="K20" s="60" t="n">
        <v>1293.49918</v>
      </c>
      <c r="L20" s="60" t="n">
        <v>1237.83873</v>
      </c>
    </row>
    <row r="21" customFormat="false" ht="60" hidden="false" customHeight="true" outlineLevel="0" collapsed="false">
      <c r="A21" s="64" t="s">
        <v>92</v>
      </c>
      <c r="B21" s="65" t="n">
        <f aca="false">B10-B20</f>
        <v>2698.02782</v>
      </c>
      <c r="C21" s="65" t="n">
        <f aca="false">C10-C20</f>
        <v>2486.49827</v>
      </c>
      <c r="D21" s="65" t="n">
        <f aca="false">B21-C21</f>
        <v>211.52955</v>
      </c>
      <c r="E21" s="66" t="n">
        <f aca="false">IF(C21=0,"n/m",D21/ABS(C21))</f>
        <v>0.0850712636932582</v>
      </c>
      <c r="F21" s="67" t="str">
        <f aca="false">IF(ROUND(D21,5)=0,"",IF(D21&gt;0,"F","U"))</f>
        <v>F</v>
      </c>
      <c r="G21" s="68" t="s">
        <v>447</v>
      </c>
      <c r="H21" s="69" t="s">
        <v>214</v>
      </c>
      <c r="I21" s="70" t="s">
        <v>434</v>
      </c>
      <c r="J21" s="71" t="str">
        <f aca="false">IF(AND(ROUND(B21-K21,4)=0,ROUND(C21-L21,4)=0,TRUE()),"✓","✗")</f>
        <v>✓</v>
      </c>
      <c r="K21" s="72" t="n">
        <v>2698.02782</v>
      </c>
      <c r="L21" s="72" t="n">
        <v>2486.49827</v>
      </c>
    </row>
    <row r="22" customFormat="false" ht="48" hidden="false" customHeight="true" outlineLevel="0" collapsed="false">
      <c r="A22" s="11" t="s">
        <v>157</v>
      </c>
      <c r="B22" s="25" t="n">
        <f aca="false">B23+B24+B25+B26+B27</f>
        <v>806.43658</v>
      </c>
      <c r="C22" s="25" t="n">
        <f aca="false">C23+C24+C25+C26+C27</f>
        <v>761.48631</v>
      </c>
      <c r="D22" s="25" t="n">
        <f aca="false">B22-C22</f>
        <v>44.9502699999999</v>
      </c>
      <c r="E22" s="26" t="n">
        <f aca="false">IF(C22=0,"n/m",D22/ABS(C22))</f>
        <v>0.0590296495284333</v>
      </c>
      <c r="F22" s="49" t="str">
        <f aca="false">IF(ROUND(D22,5)=0,"",IF(D22&lt;0,"F","U"))</f>
        <v>U</v>
      </c>
      <c r="G22" s="6" t="s">
        <v>448</v>
      </c>
      <c r="H22" s="50" t="s">
        <v>216</v>
      </c>
      <c r="I22" s="51" t="s">
        <v>434</v>
      </c>
      <c r="J22" s="52" t="str">
        <f aca="false">IF(AND(ROUND(B22-K22,4)=0,ROUND(C22-L22,4)=0,TRUE()),"✓","✗")</f>
        <v>✓</v>
      </c>
      <c r="K22" s="61" t="n">
        <v>806.43658</v>
      </c>
      <c r="L22" s="61" t="n">
        <v>761.48631</v>
      </c>
    </row>
    <row r="23" customFormat="false" ht="36.75" hidden="false" customHeight="true" outlineLevel="1" collapsed="false">
      <c r="A23" s="62" t="s">
        <v>192</v>
      </c>
      <c r="B23" s="34" t="n">
        <v>579.05325</v>
      </c>
      <c r="C23" s="34" t="n">
        <v>549.213</v>
      </c>
      <c r="D23" s="25" t="n">
        <f aca="false">B23-C23</f>
        <v>29.8402500000001</v>
      </c>
      <c r="E23" s="26" t="n">
        <f aca="false">IF(C23=0,"n/m",D23/ABS(C23))</f>
        <v>0.0543327452190682</v>
      </c>
      <c r="F23" s="49" t="str">
        <f aca="false">IF(ROUND(D23,5)=0,"",IF(D23&lt;0,"F","U"))</f>
        <v>U</v>
      </c>
      <c r="G23" s="6" t="s">
        <v>449</v>
      </c>
      <c r="H23" s="50" t="s">
        <v>218</v>
      </c>
      <c r="I23" s="51" t="s">
        <v>434</v>
      </c>
      <c r="J23" s="52" t="s">
        <v>182</v>
      </c>
    </row>
    <row r="24" customFormat="false" ht="27.75" hidden="false" customHeight="true" outlineLevel="1" collapsed="false">
      <c r="A24" s="62" t="s">
        <v>189</v>
      </c>
      <c r="B24" s="34" t="n">
        <v>82</v>
      </c>
      <c r="C24" s="34" t="n">
        <v>76</v>
      </c>
      <c r="D24" s="25" t="n">
        <f aca="false">B24-C24</f>
        <v>6</v>
      </c>
      <c r="E24" s="26" t="n">
        <f aca="false">IF(C24=0,"n/m",D24/ABS(C24))</f>
        <v>0.0789473684210526</v>
      </c>
      <c r="F24" s="49" t="str">
        <f aca="false">IF(ROUND(D24,5)=0,"",IF(D24&lt;0,"F","U"))</f>
        <v>U</v>
      </c>
      <c r="G24" s="63" t="s">
        <v>450</v>
      </c>
      <c r="I24" s="18" t="s">
        <v>191</v>
      </c>
      <c r="J24" s="52" t="s">
        <v>182</v>
      </c>
    </row>
    <row r="25" customFormat="false" ht="40.5" hidden="false" customHeight="true" outlineLevel="1" collapsed="false">
      <c r="A25" s="62" t="s">
        <v>201</v>
      </c>
      <c r="B25" s="34" t="n">
        <v>46.8</v>
      </c>
      <c r="C25" s="34" t="n">
        <v>43.44</v>
      </c>
      <c r="D25" s="25" t="n">
        <f aca="false">B25-C25</f>
        <v>3.36</v>
      </c>
      <c r="E25" s="26" t="n">
        <f aca="false">IF(C25=0,"n/m",D25/ABS(C25))</f>
        <v>0.0773480662983425</v>
      </c>
      <c r="F25" s="49" t="str">
        <f aca="false">IF(ROUND(D25,5)=0,"",IF(D25&lt;0,"F","U"))</f>
        <v>U</v>
      </c>
      <c r="G25" s="63" t="s">
        <v>451</v>
      </c>
      <c r="H25" s="50" t="s">
        <v>221</v>
      </c>
      <c r="I25" s="18" t="s">
        <v>191</v>
      </c>
      <c r="J25" s="52" t="s">
        <v>182</v>
      </c>
    </row>
    <row r="26" customFormat="false" ht="40.5" hidden="false" customHeight="true" outlineLevel="1" collapsed="false">
      <c r="A26" s="62" t="s">
        <v>204</v>
      </c>
      <c r="B26" s="34" t="n">
        <v>39.33333</v>
      </c>
      <c r="C26" s="34" t="n">
        <v>37.33333</v>
      </c>
      <c r="D26" s="25" t="n">
        <f aca="false">B26-C26</f>
        <v>2</v>
      </c>
      <c r="E26" s="26" t="n">
        <f aca="false">IF(C26=0,"n/m",D26/ABS(C26))</f>
        <v>0.0535714333545923</v>
      </c>
      <c r="F26" s="49" t="str">
        <f aca="false">IF(ROUND(D26,5)=0,"",IF(D26&lt;0,"F","U"))</f>
        <v>U</v>
      </c>
      <c r="G26" s="63" t="s">
        <v>443</v>
      </c>
      <c r="H26" s="50" t="s">
        <v>206</v>
      </c>
      <c r="I26" s="18" t="s">
        <v>191</v>
      </c>
      <c r="J26" s="52" t="s">
        <v>182</v>
      </c>
    </row>
    <row r="27" customFormat="false" ht="27.75" hidden="false" customHeight="true" outlineLevel="1" collapsed="false">
      <c r="A27" s="62" t="s">
        <v>207</v>
      </c>
      <c r="B27" s="34" t="n">
        <v>59.25</v>
      </c>
      <c r="C27" s="34" t="n">
        <v>55.49998</v>
      </c>
      <c r="D27" s="25" t="n">
        <f aca="false">B27-C27</f>
        <v>3.75002</v>
      </c>
      <c r="E27" s="26" t="n">
        <f aca="false">IF(C27=0,"n/m",D27/ABS(C27))</f>
        <v>0.0675679522767396</v>
      </c>
      <c r="F27" s="49" t="str">
        <f aca="false">IF(ROUND(D27,5)=0,"",IF(D27&lt;0,"F","U"))</f>
        <v>U</v>
      </c>
      <c r="G27" s="63" t="s">
        <v>452</v>
      </c>
      <c r="I27" s="18" t="s">
        <v>191</v>
      </c>
      <c r="J27" s="52" t="s">
        <v>182</v>
      </c>
    </row>
    <row r="28" customFormat="false" ht="48" hidden="false" customHeight="true" outlineLevel="0" collapsed="false">
      <c r="A28" s="11" t="s">
        <v>158</v>
      </c>
      <c r="B28" s="25" t="n">
        <f aca="false">B29+B30+B31+B32+B33+B34+B35+B36</f>
        <v>995.77357</v>
      </c>
      <c r="C28" s="25" t="n">
        <f aca="false">C29+C30+C31+C32+C33+C34+C35+C36</f>
        <v>843.08027</v>
      </c>
      <c r="D28" s="25" t="n">
        <f aca="false">B28-C28</f>
        <v>152.6933</v>
      </c>
      <c r="E28" s="26" t="n">
        <f aca="false">IF(C28=0,"n/m",D28/ABS(C28))</f>
        <v>0.181113596692282</v>
      </c>
      <c r="F28" s="49" t="str">
        <f aca="false">IF(ROUND(D28,5)=0,"",IF(D28&lt;0,"F","U"))</f>
        <v>U</v>
      </c>
      <c r="G28" s="6" t="s">
        <v>453</v>
      </c>
      <c r="H28" s="50" t="s">
        <v>224</v>
      </c>
      <c r="I28" s="51" t="s">
        <v>434</v>
      </c>
      <c r="J28" s="52" t="str">
        <f aca="false">IF(AND(ROUND(B28-K28,4)=0,ROUND(C28-L28,4)=0,TRUE()),"✓","✗")</f>
        <v>✓</v>
      </c>
      <c r="K28" s="61" t="n">
        <v>995.77357</v>
      </c>
      <c r="L28" s="61" t="n">
        <v>843.08027</v>
      </c>
    </row>
    <row r="29" customFormat="false" ht="36.75" hidden="false" customHeight="true" outlineLevel="1" collapsed="false">
      <c r="A29" s="62" t="s">
        <v>225</v>
      </c>
      <c r="B29" s="34" t="n">
        <v>465.321</v>
      </c>
      <c r="C29" s="34" t="n">
        <v>418.346</v>
      </c>
      <c r="D29" s="25" t="n">
        <f aca="false">B29-C29</f>
        <v>46.975</v>
      </c>
      <c r="E29" s="26" t="n">
        <f aca="false">IF(C29=0,"n/m",D29/ABS(C29))</f>
        <v>0.112287436715064</v>
      </c>
      <c r="F29" s="49" t="str">
        <f aca="false">IF(ROUND(D29,5)=0,"",IF(D29&lt;0,"F","U"))</f>
        <v>U</v>
      </c>
      <c r="G29" s="6" t="s">
        <v>454</v>
      </c>
      <c r="H29" s="50" t="s">
        <v>227</v>
      </c>
      <c r="I29" s="51" t="s">
        <v>434</v>
      </c>
      <c r="J29" s="52" t="s">
        <v>182</v>
      </c>
    </row>
    <row r="30" customFormat="false" ht="40.5" hidden="false" customHeight="true" outlineLevel="1" collapsed="false">
      <c r="A30" s="62" t="s">
        <v>195</v>
      </c>
      <c r="B30" s="34" t="n">
        <v>73.9659</v>
      </c>
      <c r="C30" s="34" t="n">
        <v>76.2336</v>
      </c>
      <c r="D30" s="25" t="n">
        <f aca="false">B30-C30</f>
        <v>-2.26769999999999</v>
      </c>
      <c r="E30" s="26" t="n">
        <f aca="false">IF(C30=0,"n/m",D30/ABS(C30))</f>
        <v>-0.029746725853167</v>
      </c>
      <c r="F30" s="49" t="str">
        <f aca="false">IF(ROUND(D30,5)=0,"",IF(D30&lt;0,"F","U"))</f>
        <v>F</v>
      </c>
      <c r="G30" s="63" t="s">
        <v>455</v>
      </c>
      <c r="H30" s="50" t="s">
        <v>229</v>
      </c>
      <c r="I30" s="18" t="s">
        <v>191</v>
      </c>
      <c r="J30" s="52" t="s">
        <v>182</v>
      </c>
    </row>
    <row r="31" customFormat="false" ht="48" hidden="false" customHeight="true" outlineLevel="1" collapsed="false">
      <c r="A31" s="62" t="s">
        <v>230</v>
      </c>
      <c r="B31" s="34" t="n">
        <v>240</v>
      </c>
      <c r="C31" s="34" t="n">
        <v>154.55</v>
      </c>
      <c r="D31" s="25" t="n">
        <f aca="false">B31-C31</f>
        <v>85.45</v>
      </c>
      <c r="E31" s="26" t="n">
        <f aca="false">IF(C31=0,"n/m",D31/ABS(C31))</f>
        <v>0.552895503073439</v>
      </c>
      <c r="F31" s="49" t="str">
        <f aca="false">IF(ROUND(D31,5)=0,"",IF(D31&lt;0,"F","U"))</f>
        <v>U</v>
      </c>
      <c r="G31" s="6" t="s">
        <v>456</v>
      </c>
      <c r="H31" s="50" t="s">
        <v>232</v>
      </c>
      <c r="I31" s="51" t="s">
        <v>434</v>
      </c>
      <c r="J31" s="52" t="s">
        <v>182</v>
      </c>
    </row>
    <row r="32" customFormat="false" ht="40.5" hidden="false" customHeight="true" outlineLevel="1" collapsed="false">
      <c r="A32" s="62" t="s">
        <v>233</v>
      </c>
      <c r="B32" s="34" t="n">
        <v>79</v>
      </c>
      <c r="C32" s="34" t="n">
        <v>72.5</v>
      </c>
      <c r="D32" s="25" t="n">
        <f aca="false">B32-C32</f>
        <v>6.5</v>
      </c>
      <c r="E32" s="26" t="n">
        <f aca="false">IF(C32=0,"n/m",D32/ABS(C32))</f>
        <v>0.0896551724137931</v>
      </c>
      <c r="F32" s="49" t="str">
        <f aca="false">IF(ROUND(D32,5)=0,"",IF(D32&lt;0,"F","U"))</f>
        <v>U</v>
      </c>
      <c r="G32" s="63" t="s">
        <v>457</v>
      </c>
      <c r="I32" s="18" t="s">
        <v>191</v>
      </c>
      <c r="J32" s="52" t="s">
        <v>182</v>
      </c>
    </row>
    <row r="33" customFormat="false" ht="27.75" hidden="false" customHeight="true" outlineLevel="1" collapsed="false">
      <c r="A33" s="62" t="s">
        <v>189</v>
      </c>
      <c r="B33" s="34" t="n">
        <v>30</v>
      </c>
      <c r="C33" s="34" t="n">
        <v>18</v>
      </c>
      <c r="D33" s="25" t="n">
        <f aca="false">B33-C33</f>
        <v>12</v>
      </c>
      <c r="E33" s="26" t="n">
        <f aca="false">IF(C33=0,"n/m",D33/ABS(C33))</f>
        <v>0.666666666666667</v>
      </c>
      <c r="F33" s="49" t="str">
        <f aca="false">IF(ROUND(D33,5)=0,"",IF(D33&lt;0,"F","U"))</f>
        <v>U</v>
      </c>
      <c r="G33" s="6" t="s">
        <v>458</v>
      </c>
      <c r="H33" s="50" t="s">
        <v>236</v>
      </c>
      <c r="I33" s="51" t="s">
        <v>434</v>
      </c>
      <c r="J33" s="52" t="s">
        <v>182</v>
      </c>
    </row>
    <row r="34" customFormat="false" ht="53.25" hidden="false" customHeight="true" outlineLevel="1" collapsed="false">
      <c r="A34" s="62" t="s">
        <v>201</v>
      </c>
      <c r="B34" s="34" t="n">
        <v>48.32</v>
      </c>
      <c r="C34" s="34" t="n">
        <v>47.784</v>
      </c>
      <c r="D34" s="25" t="n">
        <f aca="false">B34-C34</f>
        <v>0.536000000000001</v>
      </c>
      <c r="E34" s="26" t="n">
        <f aca="false">IF(C34=0,"n/m",D34/ABS(C34))</f>
        <v>0.0112171438138289</v>
      </c>
      <c r="F34" s="49" t="str">
        <f aca="false">IF(ROUND(D34,5)=0,"",IF(D34&lt;0,"F","U"))</f>
        <v>U</v>
      </c>
      <c r="G34" s="63" t="s">
        <v>459</v>
      </c>
      <c r="H34" s="50" t="s">
        <v>221</v>
      </c>
      <c r="I34" s="18" t="s">
        <v>191</v>
      </c>
      <c r="J34" s="52" t="s">
        <v>182</v>
      </c>
    </row>
    <row r="35" customFormat="false" ht="40.5" hidden="false" customHeight="true" outlineLevel="1" collapsed="false">
      <c r="A35" s="62" t="s">
        <v>204</v>
      </c>
      <c r="B35" s="34" t="n">
        <v>19.66667</v>
      </c>
      <c r="C35" s="34" t="n">
        <v>18.66667</v>
      </c>
      <c r="D35" s="25" t="n">
        <f aca="false">B35-C35</f>
        <v>1</v>
      </c>
      <c r="E35" s="26" t="n">
        <f aca="false">IF(C35=0,"n/m",D35/ABS(C35))</f>
        <v>0.0535714190051038</v>
      </c>
      <c r="F35" s="49" t="str">
        <f aca="false">IF(ROUND(D35,5)=0,"",IF(D35&lt;0,"F","U"))</f>
        <v>U</v>
      </c>
      <c r="G35" s="63" t="s">
        <v>460</v>
      </c>
      <c r="H35" s="50" t="s">
        <v>239</v>
      </c>
      <c r="I35" s="18" t="s">
        <v>191</v>
      </c>
      <c r="J35" s="52" t="s">
        <v>182</v>
      </c>
    </row>
    <row r="36" customFormat="false" ht="27.75" hidden="false" customHeight="true" outlineLevel="1" collapsed="false">
      <c r="A36" s="62" t="s">
        <v>207</v>
      </c>
      <c r="B36" s="34" t="n">
        <v>39.5</v>
      </c>
      <c r="C36" s="34" t="n">
        <v>37</v>
      </c>
      <c r="D36" s="25" t="n">
        <f aca="false">B36-C36</f>
        <v>2.5</v>
      </c>
      <c r="E36" s="26" t="n">
        <f aca="false">IF(C36=0,"n/m",D36/ABS(C36))</f>
        <v>0.0675675675675676</v>
      </c>
      <c r="F36" s="49" t="str">
        <f aca="false">IF(ROUND(D36,5)=0,"",IF(D36&lt;0,"F","U"))</f>
        <v>U</v>
      </c>
      <c r="G36" s="63" t="s">
        <v>444</v>
      </c>
      <c r="I36" s="18" t="s">
        <v>191</v>
      </c>
      <c r="J36" s="52" t="s">
        <v>182</v>
      </c>
    </row>
    <row r="37" customFormat="false" ht="40.5" hidden="false" customHeight="true" outlineLevel="0" collapsed="false">
      <c r="A37" s="11" t="s">
        <v>159</v>
      </c>
      <c r="B37" s="25" t="n">
        <f aca="false">B38+B39+B40+B41</f>
        <v>422.61667</v>
      </c>
      <c r="C37" s="25" t="n">
        <f aca="false">C38+C39+C40+C41</f>
        <v>372.72669</v>
      </c>
      <c r="D37" s="25" t="n">
        <f aca="false">B37-C37</f>
        <v>49.88998</v>
      </c>
      <c r="E37" s="26" t="n">
        <f aca="false">IF(C37=0,"n/m",D37/ABS(C37))</f>
        <v>0.133851375118857</v>
      </c>
      <c r="F37" s="49" t="str">
        <f aca="false">IF(ROUND(D37,5)=0,"",IF(D37&lt;0,"F","U"))</f>
        <v>U</v>
      </c>
      <c r="G37" s="6" t="s">
        <v>461</v>
      </c>
      <c r="H37" s="50" t="s">
        <v>241</v>
      </c>
      <c r="I37" s="51" t="s">
        <v>434</v>
      </c>
      <c r="J37" s="52" t="str">
        <f aca="false">IF(AND(ROUND(B37-K37,4)=0,ROUND(C37-L37,4)=0,TRUE()),"✓","✗")</f>
        <v>✓</v>
      </c>
      <c r="K37" s="61" t="n">
        <v>422.61667</v>
      </c>
      <c r="L37" s="61" t="n">
        <v>372.72669</v>
      </c>
    </row>
    <row r="38" customFormat="false" ht="53.25" hidden="false" customHeight="true" outlineLevel="1" collapsed="false">
      <c r="A38" s="62" t="s">
        <v>242</v>
      </c>
      <c r="B38" s="34" t="n">
        <v>352</v>
      </c>
      <c r="C38" s="34" t="n">
        <v>306.6</v>
      </c>
      <c r="D38" s="25" t="n">
        <f aca="false">B38-C38</f>
        <v>45.4</v>
      </c>
      <c r="E38" s="26" t="n">
        <f aca="false">IF(C38=0,"n/m",D38/ABS(C38))</f>
        <v>0.148075668623614</v>
      </c>
      <c r="F38" s="49" t="str">
        <f aca="false">IF(ROUND(D38,5)=0,"",IF(D38&lt;0,"F","U"))</f>
        <v>U</v>
      </c>
      <c r="G38" s="6" t="s">
        <v>462</v>
      </c>
      <c r="H38" s="50" t="s">
        <v>244</v>
      </c>
      <c r="I38" s="51" t="s">
        <v>434</v>
      </c>
      <c r="J38" s="52" t="s">
        <v>182</v>
      </c>
    </row>
    <row r="39" customFormat="false" ht="40.5" hidden="false" customHeight="true" outlineLevel="1" collapsed="false">
      <c r="A39" s="62" t="s">
        <v>201</v>
      </c>
      <c r="B39" s="34" t="n">
        <v>31.2</v>
      </c>
      <c r="C39" s="34" t="n">
        <v>28.96</v>
      </c>
      <c r="D39" s="25" t="n">
        <f aca="false">B39-C39</f>
        <v>2.24</v>
      </c>
      <c r="E39" s="26" t="n">
        <f aca="false">IF(C39=0,"n/m",D39/ABS(C39))</f>
        <v>0.0773480662983425</v>
      </c>
      <c r="F39" s="49" t="str">
        <f aca="false">IF(ROUND(D39,5)=0,"",IF(D39&lt;0,"F","U"))</f>
        <v>U</v>
      </c>
      <c r="G39" s="63" t="s">
        <v>463</v>
      </c>
      <c r="H39" s="50" t="s">
        <v>203</v>
      </c>
      <c r="I39" s="18" t="s">
        <v>191</v>
      </c>
      <c r="J39" s="52" t="s">
        <v>182</v>
      </c>
    </row>
    <row r="40" customFormat="false" ht="40.5" hidden="false" customHeight="true" outlineLevel="1" collapsed="false">
      <c r="A40" s="62" t="s">
        <v>204</v>
      </c>
      <c r="B40" s="34" t="n">
        <v>19.66667</v>
      </c>
      <c r="C40" s="34" t="n">
        <v>18.66667</v>
      </c>
      <c r="D40" s="25" t="n">
        <f aca="false">B40-C40</f>
        <v>1</v>
      </c>
      <c r="E40" s="26" t="n">
        <f aca="false">IF(C40=0,"n/m",D40/ABS(C40))</f>
        <v>0.0535714190051038</v>
      </c>
      <c r="F40" s="49" t="str">
        <f aca="false">IF(ROUND(D40,5)=0,"",IF(D40&lt;0,"F","U"))</f>
        <v>U</v>
      </c>
      <c r="G40" s="63" t="s">
        <v>460</v>
      </c>
      <c r="H40" s="50" t="s">
        <v>239</v>
      </c>
      <c r="I40" s="18" t="s">
        <v>191</v>
      </c>
      <c r="J40" s="52" t="s">
        <v>182</v>
      </c>
    </row>
    <row r="41" customFormat="false" ht="27.75" hidden="false" customHeight="true" outlineLevel="1" collapsed="false">
      <c r="A41" s="62" t="s">
        <v>207</v>
      </c>
      <c r="B41" s="34" t="n">
        <v>19.75</v>
      </c>
      <c r="C41" s="34" t="n">
        <v>18.50002</v>
      </c>
      <c r="D41" s="25" t="n">
        <f aca="false">B41-C41</f>
        <v>1.24998</v>
      </c>
      <c r="E41" s="26" t="n">
        <f aca="false">IF(C41=0,"n/m",D41/ABS(C41))</f>
        <v>0.0675664134417152</v>
      </c>
      <c r="F41" s="49" t="str">
        <f aca="false">IF(ROUND(D41,5)=0,"",IF(D41&lt;0,"F","U"))</f>
        <v>U</v>
      </c>
      <c r="G41" s="63" t="s">
        <v>464</v>
      </c>
      <c r="I41" s="18" t="s">
        <v>191</v>
      </c>
      <c r="J41" s="52" t="s">
        <v>182</v>
      </c>
    </row>
    <row r="42" customFormat="false" ht="60" hidden="false" customHeight="true" outlineLevel="0" collapsed="false">
      <c r="A42" s="53" t="s">
        <v>95</v>
      </c>
      <c r="B42" s="37" t="n">
        <f aca="false">B22+B28+B37</f>
        <v>2224.82682</v>
      </c>
      <c r="C42" s="37" t="n">
        <f aca="false">C22+C28+C37</f>
        <v>1977.29327</v>
      </c>
      <c r="D42" s="37" t="n">
        <f aca="false">B42-C42</f>
        <v>247.53355</v>
      </c>
      <c r="E42" s="54" t="n">
        <f aca="false">IF(C42=0,"n/m",D42/ABS(C42))</f>
        <v>0.125188080976981</v>
      </c>
      <c r="F42" s="55" t="str">
        <f aca="false">IF(ROUND(D42,5)=0,"",IF(D42&lt;0,"F","U"))</f>
        <v>U</v>
      </c>
      <c r="G42" s="56" t="s">
        <v>465</v>
      </c>
      <c r="H42" s="57" t="s">
        <v>248</v>
      </c>
      <c r="I42" s="58" t="s">
        <v>434</v>
      </c>
      <c r="J42" s="59" t="str">
        <f aca="false">IF(AND(ROUND(B42-K42,4)=0,ROUND(C42-L42,4)=0,TRUE()),"✓","✗")</f>
        <v>✓</v>
      </c>
      <c r="K42" s="60" t="n">
        <v>2224.82682</v>
      </c>
      <c r="L42" s="60" t="n">
        <v>1977.29327</v>
      </c>
    </row>
    <row r="43" customFormat="false" ht="60" hidden="false" customHeight="true" outlineLevel="0" collapsed="false">
      <c r="A43" s="64" t="s">
        <v>96</v>
      </c>
      <c r="B43" s="65" t="n">
        <f aca="false">B21-B42</f>
        <v>473.201</v>
      </c>
      <c r="C43" s="65" t="n">
        <f aca="false">C21-C42</f>
        <v>509.205</v>
      </c>
      <c r="D43" s="65" t="n">
        <f aca="false">B43-C43</f>
        <v>-36.0039999999999</v>
      </c>
      <c r="E43" s="66" t="n">
        <f aca="false">IF(C43=0,"n/m",D43/ABS(C43))</f>
        <v>-0.0707062970709241</v>
      </c>
      <c r="F43" s="67" t="str">
        <f aca="false">IF(ROUND(D43,5)=0,"",IF(D43&gt;0,"F","U"))</f>
        <v>U</v>
      </c>
      <c r="G43" s="68" t="s">
        <v>466</v>
      </c>
      <c r="H43" s="69" t="s">
        <v>250</v>
      </c>
      <c r="I43" s="70" t="s">
        <v>434</v>
      </c>
      <c r="J43" s="71" t="str">
        <f aca="false">IF(AND(ROUND(B43-K43,4)=0,ROUND(C43-L43,4)=0,TRUE()),"✓","✗")</f>
        <v>✓</v>
      </c>
      <c r="K43" s="72" t="n">
        <v>473.201</v>
      </c>
      <c r="L43" s="72" t="n">
        <v>509.205</v>
      </c>
    </row>
    <row r="44" customFormat="false" ht="27.75" hidden="false" customHeight="true" outlineLevel="0" collapsed="false">
      <c r="A44" s="11" t="s">
        <v>160</v>
      </c>
      <c r="B44" s="34" t="n">
        <v>21</v>
      </c>
      <c r="C44" s="34" t="n">
        <v>22.5</v>
      </c>
      <c r="D44" s="25" t="n">
        <f aca="false">B44-C44</f>
        <v>-1.5</v>
      </c>
      <c r="E44" s="26" t="n">
        <f aca="false">IF(C44=0,"n/m",D44/ABS(C44))</f>
        <v>-0.0666666666666667</v>
      </c>
      <c r="F44" s="49" t="str">
        <f aca="false">IF(ROUND(D44,5)=0,"",IF(D44&gt;0,"F","U"))</f>
        <v>U</v>
      </c>
      <c r="G44" s="63" t="s">
        <v>467</v>
      </c>
      <c r="I44" s="18" t="s">
        <v>191</v>
      </c>
      <c r="J44" s="52" t="s">
        <v>182</v>
      </c>
    </row>
    <row r="45" customFormat="false" ht="15" hidden="false" customHeight="true" outlineLevel="0" collapsed="false">
      <c r="A45" s="11" t="s">
        <v>161</v>
      </c>
      <c r="B45" s="34" t="n">
        <v>60</v>
      </c>
      <c r="C45" s="34" t="n">
        <v>60.5</v>
      </c>
      <c r="D45" s="25" t="n">
        <f aca="false">B45-C45</f>
        <v>-0.5</v>
      </c>
      <c r="E45" s="26" t="n">
        <f aca="false">IF(C45=0,"n/m",D45/ABS(C45))</f>
        <v>-0.00826446280991736</v>
      </c>
      <c r="F45" s="49" t="str">
        <f aca="false">IF(ROUND(D45,5)=0,"",IF(D45&lt;0,"F","U"))</f>
        <v>F</v>
      </c>
      <c r="G45" s="63" t="s">
        <v>468</v>
      </c>
      <c r="I45" s="18" t="s">
        <v>191</v>
      </c>
      <c r="J45" s="52" t="s">
        <v>182</v>
      </c>
    </row>
    <row r="46" customFormat="false" ht="60" hidden="false" customHeight="true" outlineLevel="0" collapsed="false">
      <c r="A46" s="64" t="s">
        <v>162</v>
      </c>
      <c r="B46" s="65" t="n">
        <f aca="false">B43+B44-B45</f>
        <v>434.201</v>
      </c>
      <c r="C46" s="65" t="n">
        <f aca="false">C43+C44-C45</f>
        <v>471.205</v>
      </c>
      <c r="D46" s="65" t="n">
        <f aca="false">B46-C46</f>
        <v>-37.0039999999999</v>
      </c>
      <c r="E46" s="66" t="n">
        <f aca="false">IF(C46=0,"n/m",D46/ABS(C46))</f>
        <v>-0.0785305758640081</v>
      </c>
      <c r="F46" s="67" t="str">
        <f aca="false">IF(ROUND(D46,5)=0,"",IF(D46&gt;0,"F","U"))</f>
        <v>U</v>
      </c>
      <c r="G46" s="68" t="s">
        <v>469</v>
      </c>
      <c r="H46" s="69" t="s">
        <v>250</v>
      </c>
      <c r="I46" s="70" t="s">
        <v>434</v>
      </c>
      <c r="J46" s="71" t="str">
        <f aca="false">IF(AND(ROUND(B46-K46,4)=0,ROUND(C46-L46,4)=0,TRUE()),"✓","✗")</f>
        <v>✓</v>
      </c>
      <c r="K46" s="72" t="n">
        <v>434.201</v>
      </c>
      <c r="L46" s="72" t="n">
        <v>471.205</v>
      </c>
    </row>
    <row r="47" customFormat="false" ht="27.75" hidden="false" customHeight="true" outlineLevel="0" collapsed="false">
      <c r="A47" s="11" t="s">
        <v>126</v>
      </c>
      <c r="B47" s="34" t="n">
        <v>75</v>
      </c>
      <c r="C47" s="34" t="n">
        <v>63.5</v>
      </c>
      <c r="D47" s="25" t="n">
        <f aca="false">B47-C47</f>
        <v>11.5</v>
      </c>
      <c r="E47" s="26" t="n">
        <f aca="false">IF(C47=0,"n/m",D47/ABS(C47))</f>
        <v>0.181102362204724</v>
      </c>
      <c r="F47" s="49" t="str">
        <f aca="false">IF(ROUND(D47,5)=0,"",IF(D47&lt;0,"F","U"))</f>
        <v>U</v>
      </c>
      <c r="G47" s="6" t="s">
        <v>470</v>
      </c>
      <c r="I47" s="51" t="s">
        <v>434</v>
      </c>
      <c r="J47" s="52" t="s">
        <v>182</v>
      </c>
    </row>
    <row r="48" customFormat="false" ht="60" hidden="false" customHeight="true" outlineLevel="0" collapsed="false">
      <c r="A48" s="64" t="s">
        <v>97</v>
      </c>
      <c r="B48" s="65" t="n">
        <f aca="false">B46-B47</f>
        <v>359.201</v>
      </c>
      <c r="C48" s="65" t="n">
        <f aca="false">C46-C47</f>
        <v>407.705</v>
      </c>
      <c r="D48" s="65" t="n">
        <f aca="false">B48-C48</f>
        <v>-48.5039999999999</v>
      </c>
      <c r="E48" s="66" t="n">
        <f aca="false">IF(C48=0,"n/m",D48/ABS(C48))</f>
        <v>-0.11896837173937</v>
      </c>
      <c r="F48" s="67" t="str">
        <f aca="false">IF(ROUND(D48,5)=0,"",IF(D48&gt;0,"F","U"))</f>
        <v>U</v>
      </c>
      <c r="G48" s="68" t="s">
        <v>471</v>
      </c>
      <c r="H48" s="69" t="s">
        <v>250</v>
      </c>
      <c r="I48" s="70" t="s">
        <v>434</v>
      </c>
      <c r="J48" s="71" t="str">
        <f aca="false">IF(AND(ROUND(B48-K48,4)=0,ROUND(C48-L48,4)=0,TRUE()),"✓","✗")</f>
        <v>✓</v>
      </c>
      <c r="K48" s="72" t="n">
        <v>359.201</v>
      </c>
      <c r="L48" s="72" t="n">
        <v>407.705</v>
      </c>
    </row>
    <row r="50" customFormat="false" ht="18" hidden="false" customHeight="true" outlineLevel="0" collapsed="false">
      <c r="A50" s="44" t="s">
        <v>163</v>
      </c>
      <c r="B50" s="45"/>
      <c r="C50" s="45"/>
      <c r="D50" s="45"/>
      <c r="E50" s="45"/>
      <c r="F50" s="45"/>
      <c r="G50" s="45"/>
      <c r="H50" s="45"/>
      <c r="I50" s="45"/>
      <c r="J50" s="45"/>
      <c r="K50" s="45"/>
      <c r="L50" s="45"/>
    </row>
    <row r="51" customFormat="false" ht="48" hidden="false" customHeight="true" outlineLevel="0" collapsed="false">
      <c r="A51" s="11" t="s">
        <v>153</v>
      </c>
      <c r="B51" s="34" t="n">
        <v>3576.527</v>
      </c>
      <c r="C51" s="34" t="n">
        <v>3444.337</v>
      </c>
      <c r="D51" s="25" t="n">
        <f aca="false">B51-C51</f>
        <v>132.19</v>
      </c>
      <c r="E51" s="26" t="n">
        <f aca="false">IF(C51=0,"n/m",D51/ABS(C51))</f>
        <v>0.0383789391107781</v>
      </c>
      <c r="F51" s="49" t="str">
        <f aca="false">IF(ROUND(D51,5)=0,"",IF(D51&gt;0,"F","U"))</f>
        <v>F</v>
      </c>
      <c r="G51" s="6" t="s">
        <v>433</v>
      </c>
      <c r="H51" s="50" t="s">
        <v>180</v>
      </c>
      <c r="I51" s="51" t="s">
        <v>434</v>
      </c>
      <c r="J51" s="52" t="s">
        <v>182</v>
      </c>
    </row>
    <row r="52" customFormat="false" ht="40.5" hidden="false" customHeight="true" outlineLevel="0" collapsed="false">
      <c r="A52" s="11" t="s">
        <v>154</v>
      </c>
      <c r="B52" s="34" t="n">
        <v>415</v>
      </c>
      <c r="C52" s="34" t="n">
        <v>280</v>
      </c>
      <c r="D52" s="25" t="n">
        <f aca="false">B52-C52</f>
        <v>135</v>
      </c>
      <c r="E52" s="26" t="n">
        <f aca="false">IF(C52=0,"n/m",D52/ABS(C52))</f>
        <v>0.482142857142857</v>
      </c>
      <c r="F52" s="49" t="str">
        <f aca="false">IF(ROUND(D52,5)=0,"",IF(D52&gt;0,"F","U"))</f>
        <v>F</v>
      </c>
      <c r="G52" s="6" t="s">
        <v>435</v>
      </c>
      <c r="H52" s="50" t="s">
        <v>184</v>
      </c>
      <c r="I52" s="51" t="s">
        <v>434</v>
      </c>
      <c r="J52" s="52" t="s">
        <v>182</v>
      </c>
    </row>
    <row r="53" customFormat="false" ht="40.5" hidden="false" customHeight="true" outlineLevel="0" collapsed="false">
      <c r="A53" s="53" t="s">
        <v>91</v>
      </c>
      <c r="B53" s="37" t="n">
        <f aca="false">B51+B52</f>
        <v>3991.527</v>
      </c>
      <c r="C53" s="37" t="n">
        <f aca="false">C51+C52</f>
        <v>3724.337</v>
      </c>
      <c r="D53" s="37" t="n">
        <f aca="false">B53-C53</f>
        <v>267.19</v>
      </c>
      <c r="E53" s="54" t="n">
        <f aca="false">IF(C53=0,"n/m",D53/ABS(C53))</f>
        <v>0.0717416281072309</v>
      </c>
      <c r="F53" s="55" t="str">
        <f aca="false">IF(ROUND(D53,5)=0,"",IF(D53&gt;0,"F","U"))</f>
        <v>F</v>
      </c>
      <c r="G53" s="56" t="s">
        <v>436</v>
      </c>
      <c r="H53" s="57" t="s">
        <v>186</v>
      </c>
      <c r="I53" s="58" t="s">
        <v>434</v>
      </c>
      <c r="J53" s="59" t="str">
        <f aca="false">IF(AND(ROUND(B53-K53,4)=0,ROUND(C53-L53,4)=0,TRUE()),"✓","✗")</f>
        <v>✓</v>
      </c>
      <c r="K53" s="60" t="n">
        <v>3991.527</v>
      </c>
      <c r="L53" s="60" t="n">
        <v>3724.337</v>
      </c>
    </row>
    <row r="54" customFormat="false" ht="60" hidden="false" customHeight="true" outlineLevel="0" collapsed="false">
      <c r="A54" s="11" t="s">
        <v>164</v>
      </c>
      <c r="B54" s="25" t="n">
        <f aca="false">B55+B56+B57+B58+B59+B60+B61</f>
        <v>1062.18718</v>
      </c>
      <c r="C54" s="25" t="n">
        <f aca="false">C55+C56+C57+C58+C59+C60+C61</f>
        <v>1005.89073</v>
      </c>
      <c r="D54" s="25" t="n">
        <f aca="false">B54-C54</f>
        <v>56.2964499999999</v>
      </c>
      <c r="E54" s="26" t="n">
        <f aca="false">IF(C54=0,"n/m",D54/ABS(C54))</f>
        <v>0.0559667648990064</v>
      </c>
      <c r="F54" s="49" t="str">
        <f aca="false">IF(ROUND(D54,5)=0,"",IF(D54&lt;0,"F","U"))</f>
        <v>U</v>
      </c>
      <c r="G54" s="6" t="s">
        <v>472</v>
      </c>
      <c r="H54" s="50" t="s">
        <v>188</v>
      </c>
      <c r="I54" s="51" t="s">
        <v>434</v>
      </c>
      <c r="J54" s="52" t="str">
        <f aca="false">IF(AND(ROUND(B54-K54,4)=0,ROUND(C54-L54,4)=0,TRUE()),"✓","✗")</f>
        <v>✓</v>
      </c>
      <c r="K54" s="61" t="n">
        <v>1062.18718</v>
      </c>
      <c r="L54" s="61" t="n">
        <v>1005.89073</v>
      </c>
    </row>
    <row r="55" customFormat="false" ht="27.75" hidden="false" customHeight="true" outlineLevel="1" collapsed="false">
      <c r="A55" s="62" t="s">
        <v>257</v>
      </c>
      <c r="B55" s="34" t="n">
        <v>276</v>
      </c>
      <c r="C55" s="34" t="n">
        <v>249.1</v>
      </c>
      <c r="D55" s="25" t="n">
        <f aca="false">B55-C55</f>
        <v>26.9</v>
      </c>
      <c r="E55" s="26" t="n">
        <f aca="false">IF(C55=0,"n/m",D55/ABS(C55))</f>
        <v>0.107988759534324</v>
      </c>
      <c r="F55" s="49" t="str">
        <f aca="false">IF(ROUND(D55,5)=0,"",IF(D55&lt;0,"F","U"))</f>
        <v>U</v>
      </c>
      <c r="G55" s="6" t="s">
        <v>473</v>
      </c>
      <c r="I55" s="51" t="s">
        <v>434</v>
      </c>
      <c r="J55" s="52" t="s">
        <v>182</v>
      </c>
    </row>
    <row r="56" customFormat="false" ht="36.75" hidden="false" customHeight="true" outlineLevel="1" collapsed="false">
      <c r="A56" s="62" t="s">
        <v>259</v>
      </c>
      <c r="B56" s="34" t="n">
        <v>193.01775</v>
      </c>
      <c r="C56" s="34" t="n">
        <v>183.071</v>
      </c>
      <c r="D56" s="25" t="n">
        <f aca="false">B56-C56</f>
        <v>9.94675000000001</v>
      </c>
      <c r="E56" s="26" t="n">
        <f aca="false">IF(C56=0,"n/m",D56/ABS(C56))</f>
        <v>0.0543327452190681</v>
      </c>
      <c r="F56" s="49" t="str">
        <f aca="false">IF(ROUND(D56,5)=0,"",IF(D56&lt;0,"F","U"))</f>
        <v>U</v>
      </c>
      <c r="G56" s="63" t="s">
        <v>474</v>
      </c>
      <c r="H56" s="50" t="s">
        <v>194</v>
      </c>
      <c r="I56" s="18" t="s">
        <v>191</v>
      </c>
      <c r="J56" s="52" t="s">
        <v>182</v>
      </c>
    </row>
    <row r="57" customFormat="false" ht="36.75" hidden="false" customHeight="true" outlineLevel="1" collapsed="false">
      <c r="A57" s="62" t="s">
        <v>261</v>
      </c>
      <c r="B57" s="34" t="n">
        <v>304.269</v>
      </c>
      <c r="C57" s="34" t="n">
        <v>289.652</v>
      </c>
      <c r="D57" s="25" t="n">
        <f aca="false">B57-C57</f>
        <v>14.617</v>
      </c>
      <c r="E57" s="26" t="n">
        <f aca="false">IF(C57=0,"n/m",D57/ABS(C57))</f>
        <v>0.0504640050819605</v>
      </c>
      <c r="F57" s="49" t="str">
        <f aca="false">IF(ROUND(D57,5)=0,"",IF(D57&lt;0,"F","U"))</f>
        <v>U</v>
      </c>
      <c r="G57" s="6" t="s">
        <v>475</v>
      </c>
      <c r="H57" s="50" t="s">
        <v>200</v>
      </c>
      <c r="I57" s="51" t="s">
        <v>434</v>
      </c>
      <c r="J57" s="52" t="s">
        <v>182</v>
      </c>
    </row>
    <row r="58" customFormat="false" ht="40.5" hidden="false" customHeight="true" outlineLevel="1" collapsed="false">
      <c r="A58" s="62" t="s">
        <v>263</v>
      </c>
      <c r="B58" s="34" t="n">
        <v>172.5871</v>
      </c>
      <c r="C58" s="34" t="n">
        <v>177.8784</v>
      </c>
      <c r="D58" s="25" t="n">
        <f aca="false">B58-C58</f>
        <v>-5.29130000000001</v>
      </c>
      <c r="E58" s="26" t="n">
        <f aca="false">IF(C58=0,"n/m",D58/ABS(C58))</f>
        <v>-0.0297467258531671</v>
      </c>
      <c r="F58" s="49" t="str">
        <f aca="false">IF(ROUND(D58,5)=0,"",IF(D58&lt;0,"F","U"))</f>
        <v>F</v>
      </c>
      <c r="G58" s="63" t="s">
        <v>476</v>
      </c>
      <c r="H58" s="50" t="s">
        <v>197</v>
      </c>
      <c r="I58" s="18" t="s">
        <v>191</v>
      </c>
      <c r="J58" s="52" t="s">
        <v>182</v>
      </c>
    </row>
    <row r="59" customFormat="false" ht="40.5" hidden="false" customHeight="true" outlineLevel="1" collapsed="false">
      <c r="A59" s="62" t="s">
        <v>265</v>
      </c>
      <c r="B59" s="34" t="n">
        <v>37.48</v>
      </c>
      <c r="C59" s="34" t="n">
        <v>31.856</v>
      </c>
      <c r="D59" s="25" t="n">
        <f aca="false">B59-C59</f>
        <v>5.624</v>
      </c>
      <c r="E59" s="26" t="n">
        <f aca="false">IF(C59=0,"n/m",D59/ABS(C59))</f>
        <v>0.176544450025113</v>
      </c>
      <c r="F59" s="49" t="str">
        <f aca="false">IF(ROUND(D59,5)=0,"",IF(D59&lt;0,"F","U"))</f>
        <v>U</v>
      </c>
      <c r="G59" s="6" t="s">
        <v>477</v>
      </c>
      <c r="H59" s="50" t="s">
        <v>221</v>
      </c>
      <c r="I59" s="51" t="s">
        <v>434</v>
      </c>
      <c r="J59" s="52" t="s">
        <v>182</v>
      </c>
    </row>
    <row r="60" customFormat="false" ht="40.5" hidden="false" customHeight="true" outlineLevel="1" collapsed="false">
      <c r="A60" s="62" t="s">
        <v>267</v>
      </c>
      <c r="B60" s="34" t="n">
        <v>39.33333</v>
      </c>
      <c r="C60" s="34" t="n">
        <v>37.33333</v>
      </c>
      <c r="D60" s="25" t="n">
        <f aca="false">B60-C60</f>
        <v>2</v>
      </c>
      <c r="E60" s="26" t="n">
        <f aca="false">IF(C60=0,"n/m",D60/ABS(C60))</f>
        <v>0.0535714333545923</v>
      </c>
      <c r="F60" s="49" t="str">
        <f aca="false">IF(ROUND(D60,5)=0,"",IF(D60&lt;0,"F","U"))</f>
        <v>U</v>
      </c>
      <c r="G60" s="63" t="s">
        <v>478</v>
      </c>
      <c r="H60" s="50" t="s">
        <v>206</v>
      </c>
      <c r="I60" s="18" t="s">
        <v>191</v>
      </c>
      <c r="J60" s="52" t="s">
        <v>182</v>
      </c>
    </row>
    <row r="61" customFormat="false" ht="27.75" hidden="false" customHeight="true" outlineLevel="1" collapsed="false">
      <c r="A61" s="62" t="s">
        <v>269</v>
      </c>
      <c r="B61" s="34" t="n">
        <v>39.5</v>
      </c>
      <c r="C61" s="34" t="n">
        <v>37</v>
      </c>
      <c r="D61" s="25" t="n">
        <f aca="false">B61-C61</f>
        <v>2.5</v>
      </c>
      <c r="E61" s="26" t="n">
        <f aca="false">IF(C61=0,"n/m",D61/ABS(C61))</f>
        <v>0.0675675675675676</v>
      </c>
      <c r="F61" s="49" t="str">
        <f aca="false">IF(ROUND(D61,5)=0,"",IF(D61&lt;0,"F","U"))</f>
        <v>U</v>
      </c>
      <c r="G61" s="63" t="s">
        <v>479</v>
      </c>
      <c r="I61" s="18" t="s">
        <v>191</v>
      </c>
      <c r="J61" s="52" t="s">
        <v>182</v>
      </c>
    </row>
    <row r="62" customFormat="false" ht="27.75" hidden="false" customHeight="true" outlineLevel="0" collapsed="false">
      <c r="A62" s="11" t="s">
        <v>165</v>
      </c>
      <c r="B62" s="25" t="n">
        <f aca="false">B63</f>
        <v>239.112</v>
      </c>
      <c r="C62" s="25" t="n">
        <f aca="false">C63</f>
        <v>239.188</v>
      </c>
      <c r="D62" s="25" t="n">
        <f aca="false">B62-C62</f>
        <v>-0.0759999999999934</v>
      </c>
      <c r="E62" s="26" t="n">
        <f aca="false">IF(C62=0,"n/m",D62/ABS(C62))</f>
        <v>-0.000317741692727032</v>
      </c>
      <c r="F62" s="49" t="str">
        <f aca="false">IF(ROUND(D62,5)=0,"",IF(D62&lt;0,"F","U"))</f>
        <v>F</v>
      </c>
      <c r="G62" s="6" t="s">
        <v>480</v>
      </c>
      <c r="H62" s="50" t="s">
        <v>210</v>
      </c>
      <c r="I62" s="51" t="s">
        <v>434</v>
      </c>
      <c r="J62" s="52" t="str">
        <f aca="false">IF(AND(ROUND(B62-K62,4)=0,ROUND(C62-L62,4)=0,TRUE()),"✓","✗")</f>
        <v>✓</v>
      </c>
      <c r="K62" s="61" t="n">
        <v>239.112</v>
      </c>
      <c r="L62" s="61" t="n">
        <v>239.188</v>
      </c>
    </row>
    <row r="63" customFormat="false" ht="27.75" hidden="false" customHeight="true" outlineLevel="1" collapsed="false">
      <c r="A63" s="62" t="s">
        <v>272</v>
      </c>
      <c r="B63" s="34" t="n">
        <v>239.112</v>
      </c>
      <c r="C63" s="34" t="n">
        <v>239.188</v>
      </c>
      <c r="D63" s="25" t="n">
        <f aca="false">B63-C63</f>
        <v>-0.0759999999999934</v>
      </c>
      <c r="E63" s="26" t="n">
        <f aca="false">IF(C63=0,"n/m",D63/ABS(C63))</f>
        <v>-0.000317741692727032</v>
      </c>
      <c r="F63" s="49" t="str">
        <f aca="false">IF(ROUND(D63,5)=0,"",IF(D63&lt;0,"F","U"))</f>
        <v>F</v>
      </c>
      <c r="G63" s="63" t="s">
        <v>481</v>
      </c>
      <c r="H63" s="50" t="s">
        <v>210</v>
      </c>
      <c r="I63" s="18" t="s">
        <v>191</v>
      </c>
      <c r="J63" s="52" t="s">
        <v>182</v>
      </c>
    </row>
    <row r="64" customFormat="false" ht="60" hidden="false" customHeight="true" outlineLevel="0" collapsed="false">
      <c r="A64" s="53" t="s">
        <v>166</v>
      </c>
      <c r="B64" s="37" t="n">
        <f aca="false">B54+B62</f>
        <v>1301.29918</v>
      </c>
      <c r="C64" s="37" t="n">
        <f aca="false">C54+C62</f>
        <v>1245.07873</v>
      </c>
      <c r="D64" s="37" t="n">
        <f aca="false">B64-C64</f>
        <v>56.22045</v>
      </c>
      <c r="E64" s="54" t="n">
        <f aca="false">IF(C64=0,"n/m",D64/ABS(C64))</f>
        <v>0.0451541325422851</v>
      </c>
      <c r="F64" s="55" t="str">
        <f aca="false">IF(ROUND(D64,5)=0,"",IF(D64&lt;0,"F","U"))</f>
        <v>U</v>
      </c>
      <c r="G64" s="56" t="s">
        <v>482</v>
      </c>
      <c r="H64" s="57" t="s">
        <v>212</v>
      </c>
      <c r="I64" s="58" t="s">
        <v>434</v>
      </c>
      <c r="J64" s="59" t="str">
        <f aca="false">IF(AND(ROUND(B64-K64,4)=0,ROUND(C64-L64,4)=0,TRUE()),"✓","✗")</f>
        <v>✓</v>
      </c>
      <c r="K64" s="60" t="n">
        <v>1301.29918</v>
      </c>
      <c r="L64" s="60" t="n">
        <v>1245.07873</v>
      </c>
    </row>
    <row r="65" customFormat="false" ht="60" hidden="false" customHeight="true" outlineLevel="0" collapsed="false">
      <c r="A65" s="64" t="s">
        <v>167</v>
      </c>
      <c r="B65" s="65" t="n">
        <f aca="false">B53-B64</f>
        <v>2690.22782</v>
      </c>
      <c r="C65" s="65" t="n">
        <f aca="false">C53-C64</f>
        <v>2479.25827</v>
      </c>
      <c r="D65" s="65" t="n">
        <f aca="false">B65-C65</f>
        <v>210.96955</v>
      </c>
      <c r="E65" s="66" t="n">
        <f aca="false">IF(C65=0,"n/m",D65/ABS(C65))</f>
        <v>0.0850938171923491</v>
      </c>
      <c r="F65" s="67" t="str">
        <f aca="false">IF(ROUND(D65,5)=0,"",IF(D65&gt;0,"F","U"))</f>
        <v>F</v>
      </c>
      <c r="G65" s="68" t="s">
        <v>483</v>
      </c>
      <c r="H65" s="69" t="s">
        <v>214</v>
      </c>
      <c r="I65" s="70" t="s">
        <v>434</v>
      </c>
      <c r="J65" s="71" t="str">
        <f aca="false">IF(AND(ROUND(B65-K65,4)=0,ROUND(C65-L65,4)=0,TRUE()),"✓","✗")</f>
        <v>✓</v>
      </c>
      <c r="K65" s="72" t="n">
        <v>2690.22782</v>
      </c>
      <c r="L65" s="72" t="n">
        <v>2479.25827</v>
      </c>
    </row>
    <row r="66" customFormat="false" ht="48" hidden="false" customHeight="true" outlineLevel="0" collapsed="false">
      <c r="A66" s="11" t="s">
        <v>168</v>
      </c>
      <c r="B66" s="25" t="n">
        <f aca="false">B67+B68+B69+B70+B71</f>
        <v>888.2869</v>
      </c>
      <c r="C66" s="25" t="n">
        <f aca="false">C67+C68+C69+C70+C71</f>
        <v>739.6296</v>
      </c>
      <c r="D66" s="25" t="n">
        <f aca="false">B66-C66</f>
        <v>148.6573</v>
      </c>
      <c r="E66" s="26" t="n">
        <f aca="false">IF(C66=0,"n/m",D66/ABS(C66))</f>
        <v>0.200988846309017</v>
      </c>
      <c r="F66" s="49" t="str">
        <f aca="false">IF(ROUND(D66,5)=0,"",IF(D66&lt;0,"F","U"))</f>
        <v>U</v>
      </c>
      <c r="G66" s="6" t="s">
        <v>484</v>
      </c>
      <c r="H66" s="50" t="s">
        <v>277</v>
      </c>
      <c r="I66" s="51" t="s">
        <v>434</v>
      </c>
      <c r="J66" s="52" t="str">
        <f aca="false">IF(AND(ROUND(B66-K66,4)=0,ROUND(C66-L66,4)=0,TRUE()),"✓","✗")</f>
        <v>✓</v>
      </c>
      <c r="K66" s="61" t="n">
        <v>888.2869</v>
      </c>
      <c r="L66" s="61" t="n">
        <v>739.6296</v>
      </c>
    </row>
    <row r="67" customFormat="false" ht="36.75" hidden="false" customHeight="true" outlineLevel="1" collapsed="false">
      <c r="A67" s="62" t="s">
        <v>278</v>
      </c>
      <c r="B67" s="34" t="n">
        <v>465.321</v>
      </c>
      <c r="C67" s="34" t="n">
        <v>418.346</v>
      </c>
      <c r="D67" s="25" t="n">
        <f aca="false">B67-C67</f>
        <v>46.975</v>
      </c>
      <c r="E67" s="26" t="n">
        <f aca="false">IF(C67=0,"n/m",D67/ABS(C67))</f>
        <v>0.112287436715064</v>
      </c>
      <c r="F67" s="49" t="str">
        <f aca="false">IF(ROUND(D67,5)=0,"",IF(D67&lt;0,"F","U"))</f>
        <v>U</v>
      </c>
      <c r="G67" s="6" t="s">
        <v>485</v>
      </c>
      <c r="H67" s="50" t="s">
        <v>227</v>
      </c>
      <c r="I67" s="51" t="s">
        <v>434</v>
      </c>
      <c r="J67" s="52" t="s">
        <v>182</v>
      </c>
    </row>
    <row r="68" customFormat="false" ht="40.5" hidden="false" customHeight="true" outlineLevel="1" collapsed="false">
      <c r="A68" s="62" t="s">
        <v>280</v>
      </c>
      <c r="B68" s="34" t="n">
        <v>73.9659</v>
      </c>
      <c r="C68" s="34" t="n">
        <v>76.2336</v>
      </c>
      <c r="D68" s="25" t="n">
        <f aca="false">B68-C68</f>
        <v>-2.26769999999999</v>
      </c>
      <c r="E68" s="26" t="n">
        <f aca="false">IF(C68=0,"n/m",D68/ABS(C68))</f>
        <v>-0.029746725853167</v>
      </c>
      <c r="F68" s="49" t="str">
        <f aca="false">IF(ROUND(D68,5)=0,"",IF(D68&lt;0,"F","U"))</f>
        <v>F</v>
      </c>
      <c r="G68" s="63" t="s">
        <v>486</v>
      </c>
      <c r="H68" s="50" t="s">
        <v>229</v>
      </c>
      <c r="I68" s="18" t="s">
        <v>191</v>
      </c>
      <c r="J68" s="52" t="s">
        <v>182</v>
      </c>
    </row>
    <row r="69" customFormat="false" ht="48" hidden="false" customHeight="true" outlineLevel="1" collapsed="false">
      <c r="A69" s="62" t="s">
        <v>282</v>
      </c>
      <c r="B69" s="34" t="n">
        <v>240</v>
      </c>
      <c r="C69" s="34" t="n">
        <v>154.55</v>
      </c>
      <c r="D69" s="25" t="n">
        <f aca="false">B69-C69</f>
        <v>85.45</v>
      </c>
      <c r="E69" s="26" t="n">
        <f aca="false">IF(C69=0,"n/m",D69/ABS(C69))</f>
        <v>0.552895503073439</v>
      </c>
      <c r="F69" s="49" t="str">
        <f aca="false">IF(ROUND(D69,5)=0,"",IF(D69&lt;0,"F","U"))</f>
        <v>U</v>
      </c>
      <c r="G69" s="6" t="s">
        <v>487</v>
      </c>
      <c r="H69" s="50" t="s">
        <v>232</v>
      </c>
      <c r="I69" s="51" t="s">
        <v>434</v>
      </c>
      <c r="J69" s="52" t="s">
        <v>182</v>
      </c>
    </row>
    <row r="70" customFormat="false" ht="27.75" hidden="false" customHeight="true" outlineLevel="1" collapsed="false">
      <c r="A70" s="62" t="s">
        <v>284</v>
      </c>
      <c r="B70" s="34" t="n">
        <v>79</v>
      </c>
      <c r="C70" s="34" t="n">
        <v>72.5</v>
      </c>
      <c r="D70" s="25" t="n">
        <f aca="false">B70-C70</f>
        <v>6.5</v>
      </c>
      <c r="E70" s="26" t="n">
        <f aca="false">IF(C70=0,"n/m",D70/ABS(C70))</f>
        <v>0.0896551724137931</v>
      </c>
      <c r="F70" s="49" t="str">
        <f aca="false">IF(ROUND(D70,5)=0,"",IF(D70&lt;0,"F","U"))</f>
        <v>U</v>
      </c>
      <c r="G70" s="63" t="s">
        <v>488</v>
      </c>
      <c r="I70" s="18" t="s">
        <v>191</v>
      </c>
      <c r="J70" s="52" t="s">
        <v>182</v>
      </c>
    </row>
    <row r="71" customFormat="false" ht="27.75" hidden="false" customHeight="true" outlineLevel="1" collapsed="false">
      <c r="A71" s="62" t="s">
        <v>286</v>
      </c>
      <c r="B71" s="34" t="n">
        <v>30</v>
      </c>
      <c r="C71" s="34" t="n">
        <v>18</v>
      </c>
      <c r="D71" s="25" t="n">
        <f aca="false">B71-C71</f>
        <v>12</v>
      </c>
      <c r="E71" s="26" t="n">
        <f aca="false">IF(C71=0,"n/m",D71/ABS(C71))</f>
        <v>0.666666666666667</v>
      </c>
      <c r="F71" s="49" t="str">
        <f aca="false">IF(ROUND(D71,5)=0,"",IF(D71&lt;0,"F","U"))</f>
        <v>U</v>
      </c>
      <c r="G71" s="6" t="s">
        <v>489</v>
      </c>
      <c r="H71" s="50" t="s">
        <v>236</v>
      </c>
      <c r="I71" s="51" t="s">
        <v>434</v>
      </c>
      <c r="J71" s="52" t="s">
        <v>182</v>
      </c>
    </row>
    <row r="72" customFormat="false" ht="60" hidden="false" customHeight="true" outlineLevel="0" collapsed="false">
      <c r="A72" s="64" t="s">
        <v>169</v>
      </c>
      <c r="B72" s="65" t="n">
        <f aca="false">B65-B66</f>
        <v>1801.94092</v>
      </c>
      <c r="C72" s="65" t="n">
        <f aca="false">C65-C66</f>
        <v>1739.62867</v>
      </c>
      <c r="D72" s="65" t="n">
        <f aca="false">B72-C72</f>
        <v>62.3122499999997</v>
      </c>
      <c r="E72" s="66" t="n">
        <f aca="false">IF(C72=0,"n/m",D72/ABS(C72))</f>
        <v>0.0358192820540258</v>
      </c>
      <c r="F72" s="67" t="str">
        <f aca="false">IF(ROUND(D72,5)=0,"",IF(D72&gt;0,"F","U"))</f>
        <v>F</v>
      </c>
      <c r="G72" s="68" t="s">
        <v>490</v>
      </c>
      <c r="H72" s="69" t="s">
        <v>289</v>
      </c>
      <c r="I72" s="70" t="s">
        <v>434</v>
      </c>
      <c r="J72" s="71" t="str">
        <f aca="false">IF(AND(ROUND(B72-K72,4)=0,ROUND(C72-L72,4)=0,TRUE()),"✓","✗")</f>
        <v>✓</v>
      </c>
      <c r="K72" s="72" t="n">
        <v>1801.94092</v>
      </c>
      <c r="L72" s="72" t="n">
        <v>1739.62867</v>
      </c>
    </row>
    <row r="73" customFormat="false" ht="40.5" hidden="false" customHeight="true" outlineLevel="0" collapsed="false">
      <c r="A73" s="11" t="s">
        <v>170</v>
      </c>
      <c r="B73" s="25" t="n">
        <f aca="false">B74+B75+B76</f>
        <v>119.18667</v>
      </c>
      <c r="C73" s="25" t="n">
        <f aca="false">C74+C75+C76</f>
        <v>114.31064</v>
      </c>
      <c r="D73" s="25" t="n">
        <f aca="false">B73-C73</f>
        <v>4.87603</v>
      </c>
      <c r="E73" s="26" t="n">
        <f aca="false">IF(C73=0,"n/m",D73/ABS(C73))</f>
        <v>0.0426559592352908</v>
      </c>
      <c r="F73" s="49" t="str">
        <f aca="false">IF(ROUND(D73,5)=0,"",IF(D73&lt;0,"F","U"))</f>
        <v>U</v>
      </c>
      <c r="G73" s="6" t="s">
        <v>491</v>
      </c>
      <c r="H73" s="50" t="s">
        <v>291</v>
      </c>
      <c r="I73" s="51" t="s">
        <v>434</v>
      </c>
      <c r="J73" s="52" t="str">
        <f aca="false">IF(AND(ROUND(B73-K73,4)=0,ROUND(C73-L73,4)=0,TRUE()),"✓","✗")</f>
        <v>✓</v>
      </c>
      <c r="K73" s="61" t="n">
        <v>119.18667</v>
      </c>
      <c r="L73" s="61" t="n">
        <v>114.31064</v>
      </c>
    </row>
    <row r="74" customFormat="false" ht="40.5" hidden="false" customHeight="true" outlineLevel="1" collapsed="false">
      <c r="A74" s="62" t="s">
        <v>265</v>
      </c>
      <c r="B74" s="34" t="n">
        <v>60.02</v>
      </c>
      <c r="C74" s="34" t="n">
        <v>58.64397</v>
      </c>
      <c r="D74" s="25" t="n">
        <f aca="false">B74-C74</f>
        <v>1.37603</v>
      </c>
      <c r="E74" s="26" t="n">
        <f aca="false">IF(C74=0,"n/m",D74/ABS(C74))</f>
        <v>0.0234641345052185</v>
      </c>
      <c r="F74" s="49" t="str">
        <f aca="false">IF(ROUND(D74,5)=0,"",IF(D74&lt;0,"F","U"))</f>
        <v>U</v>
      </c>
      <c r="G74" s="63" t="s">
        <v>492</v>
      </c>
      <c r="H74" s="50" t="s">
        <v>293</v>
      </c>
      <c r="I74" s="18" t="s">
        <v>191</v>
      </c>
      <c r="J74" s="52" t="s">
        <v>182</v>
      </c>
    </row>
    <row r="75" customFormat="false" ht="40.5" hidden="false" customHeight="true" outlineLevel="1" collapsed="false">
      <c r="A75" s="62" t="s">
        <v>267</v>
      </c>
      <c r="B75" s="34" t="n">
        <v>19.66667</v>
      </c>
      <c r="C75" s="34" t="n">
        <v>18.66667</v>
      </c>
      <c r="D75" s="25" t="n">
        <f aca="false">B75-C75</f>
        <v>1</v>
      </c>
      <c r="E75" s="26" t="n">
        <f aca="false">IF(C75=0,"n/m",D75/ABS(C75))</f>
        <v>0.0535714190051038</v>
      </c>
      <c r="F75" s="49" t="str">
        <f aca="false">IF(ROUND(D75,5)=0,"",IF(D75&lt;0,"F","U"))</f>
        <v>U</v>
      </c>
      <c r="G75" s="63" t="s">
        <v>493</v>
      </c>
      <c r="H75" s="50" t="s">
        <v>239</v>
      </c>
      <c r="I75" s="18" t="s">
        <v>191</v>
      </c>
      <c r="J75" s="52" t="s">
        <v>182</v>
      </c>
    </row>
    <row r="76" customFormat="false" ht="27.75" hidden="false" customHeight="true" outlineLevel="1" collapsed="false">
      <c r="A76" s="62" t="s">
        <v>269</v>
      </c>
      <c r="B76" s="34" t="n">
        <v>39.5</v>
      </c>
      <c r="C76" s="34" t="n">
        <v>37</v>
      </c>
      <c r="D76" s="25" t="n">
        <f aca="false">B76-C76</f>
        <v>2.5</v>
      </c>
      <c r="E76" s="26" t="n">
        <f aca="false">IF(C76=0,"n/m",D76/ABS(C76))</f>
        <v>0.0675675675675676</v>
      </c>
      <c r="F76" s="49" t="str">
        <f aca="false">IF(ROUND(D76,5)=0,"",IF(D76&lt;0,"F","U"))</f>
        <v>U</v>
      </c>
      <c r="G76" s="63" t="s">
        <v>479</v>
      </c>
      <c r="I76" s="18" t="s">
        <v>191</v>
      </c>
      <c r="J76" s="52" t="s">
        <v>182</v>
      </c>
    </row>
    <row r="77" customFormat="false" ht="48" hidden="false" customHeight="true" outlineLevel="0" collapsed="false">
      <c r="A77" s="11" t="s">
        <v>157</v>
      </c>
      <c r="B77" s="25" t="n">
        <f aca="false">B78+B79+B80+B81+B82</f>
        <v>818.13658</v>
      </c>
      <c r="C77" s="25" t="n">
        <f aca="false">C78+C79+C80+C81+C82</f>
        <v>772.34634</v>
      </c>
      <c r="D77" s="25" t="n">
        <f aca="false">B77-C77</f>
        <v>45.79024</v>
      </c>
      <c r="E77" s="26" t="n">
        <f aca="false">IF(C77=0,"n/m",D77/ABS(C77))</f>
        <v>0.0592871845550534</v>
      </c>
      <c r="F77" s="49" t="str">
        <f aca="false">IF(ROUND(D77,5)=0,"",IF(D77&lt;0,"F","U"))</f>
        <v>U</v>
      </c>
      <c r="G77" s="6" t="s">
        <v>494</v>
      </c>
      <c r="H77" s="50" t="s">
        <v>216</v>
      </c>
      <c r="I77" s="51" t="s">
        <v>434</v>
      </c>
      <c r="J77" s="52" t="str">
        <f aca="false">IF(AND(ROUND(B77-K77,4)=0,ROUND(C77-L77,4)=0,TRUE()),"✓","✗")</f>
        <v>✓</v>
      </c>
      <c r="K77" s="61" t="n">
        <v>818.13658</v>
      </c>
      <c r="L77" s="61" t="n">
        <v>772.34634</v>
      </c>
    </row>
    <row r="78" customFormat="false" ht="36.75" hidden="false" customHeight="true" outlineLevel="1" collapsed="false">
      <c r="A78" s="62" t="s">
        <v>296</v>
      </c>
      <c r="B78" s="34" t="n">
        <v>579.05325</v>
      </c>
      <c r="C78" s="34" t="n">
        <v>549.213</v>
      </c>
      <c r="D78" s="25" t="n">
        <f aca="false">B78-C78</f>
        <v>29.8402500000001</v>
      </c>
      <c r="E78" s="26" t="n">
        <f aca="false">IF(C78=0,"n/m",D78/ABS(C78))</f>
        <v>0.0543327452190682</v>
      </c>
      <c r="F78" s="49" t="str">
        <f aca="false">IF(ROUND(D78,5)=0,"",IF(D78&lt;0,"F","U"))</f>
        <v>U</v>
      </c>
      <c r="G78" s="6" t="s">
        <v>495</v>
      </c>
      <c r="H78" s="50" t="s">
        <v>218</v>
      </c>
      <c r="I78" s="51" t="s">
        <v>434</v>
      </c>
      <c r="J78" s="52" t="s">
        <v>182</v>
      </c>
    </row>
    <row r="79" customFormat="false" ht="27.75" hidden="false" customHeight="true" outlineLevel="1" collapsed="false">
      <c r="A79" s="62" t="s">
        <v>298</v>
      </c>
      <c r="B79" s="34" t="n">
        <v>82</v>
      </c>
      <c r="C79" s="34" t="n">
        <v>76</v>
      </c>
      <c r="D79" s="25" t="n">
        <f aca="false">B79-C79</f>
        <v>6</v>
      </c>
      <c r="E79" s="26" t="n">
        <f aca="false">IF(C79=0,"n/m",D79/ABS(C79))</f>
        <v>0.0789473684210526</v>
      </c>
      <c r="F79" s="49" t="str">
        <f aca="false">IF(ROUND(D79,5)=0,"",IF(D79&lt;0,"F","U"))</f>
        <v>U</v>
      </c>
      <c r="G79" s="63" t="s">
        <v>496</v>
      </c>
      <c r="I79" s="18" t="s">
        <v>191</v>
      </c>
      <c r="J79" s="52" t="s">
        <v>182</v>
      </c>
    </row>
    <row r="80" customFormat="false" ht="40.5" hidden="false" customHeight="true" outlineLevel="1" collapsed="false">
      <c r="A80" s="62" t="s">
        <v>265</v>
      </c>
      <c r="B80" s="34" t="n">
        <v>58.5</v>
      </c>
      <c r="C80" s="34" t="n">
        <v>54.30003</v>
      </c>
      <c r="D80" s="25" t="n">
        <f aca="false">B80-C80</f>
        <v>4.19997</v>
      </c>
      <c r="E80" s="26" t="n">
        <f aca="false">IF(C80=0,"n/m",D80/ABS(C80))</f>
        <v>0.0773474710787453</v>
      </c>
      <c r="F80" s="49" t="str">
        <f aca="false">IF(ROUND(D80,5)=0,"",IF(D80&lt;0,"F","U"))</f>
        <v>U</v>
      </c>
      <c r="G80" s="63" t="s">
        <v>497</v>
      </c>
      <c r="H80" s="50" t="s">
        <v>293</v>
      </c>
      <c r="I80" s="18" t="s">
        <v>191</v>
      </c>
      <c r="J80" s="52" t="s">
        <v>182</v>
      </c>
    </row>
    <row r="81" customFormat="false" ht="40.5" hidden="false" customHeight="true" outlineLevel="1" collapsed="false">
      <c r="A81" s="62" t="s">
        <v>267</v>
      </c>
      <c r="B81" s="34" t="n">
        <v>39.33333</v>
      </c>
      <c r="C81" s="34" t="n">
        <v>37.33333</v>
      </c>
      <c r="D81" s="25" t="n">
        <f aca="false">B81-C81</f>
        <v>2</v>
      </c>
      <c r="E81" s="26" t="n">
        <f aca="false">IF(C81=0,"n/m",D81/ABS(C81))</f>
        <v>0.0535714333545923</v>
      </c>
      <c r="F81" s="49" t="str">
        <f aca="false">IF(ROUND(D81,5)=0,"",IF(D81&lt;0,"F","U"))</f>
        <v>U</v>
      </c>
      <c r="G81" s="63" t="s">
        <v>478</v>
      </c>
      <c r="H81" s="50" t="s">
        <v>206</v>
      </c>
      <c r="I81" s="18" t="s">
        <v>191</v>
      </c>
      <c r="J81" s="52" t="s">
        <v>182</v>
      </c>
    </row>
    <row r="82" customFormat="false" ht="27.75" hidden="false" customHeight="true" outlineLevel="1" collapsed="false">
      <c r="A82" s="62" t="s">
        <v>269</v>
      </c>
      <c r="B82" s="34" t="n">
        <v>59.25</v>
      </c>
      <c r="C82" s="34" t="n">
        <v>55.49998</v>
      </c>
      <c r="D82" s="25" t="n">
        <f aca="false">B82-C82</f>
        <v>3.75002</v>
      </c>
      <c r="E82" s="26" t="n">
        <f aca="false">IF(C82=0,"n/m",D82/ABS(C82))</f>
        <v>0.0675679522767396</v>
      </c>
      <c r="F82" s="49" t="str">
        <f aca="false">IF(ROUND(D82,5)=0,"",IF(D82&lt;0,"F","U"))</f>
        <v>U</v>
      </c>
      <c r="G82" s="63" t="s">
        <v>498</v>
      </c>
      <c r="I82" s="18" t="s">
        <v>191</v>
      </c>
      <c r="J82" s="52" t="s">
        <v>182</v>
      </c>
    </row>
    <row r="83" customFormat="false" ht="40.5" hidden="false" customHeight="true" outlineLevel="0" collapsed="false">
      <c r="A83" s="11" t="s">
        <v>159</v>
      </c>
      <c r="B83" s="25" t="n">
        <f aca="false">B84+B85+B86</f>
        <v>391.41667</v>
      </c>
      <c r="C83" s="25" t="n">
        <f aca="false">C84+C85+C86</f>
        <v>343.76669</v>
      </c>
      <c r="D83" s="25" t="n">
        <f aca="false">B83-C83</f>
        <v>47.64998</v>
      </c>
      <c r="E83" s="26" t="n">
        <f aca="false">IF(C83=0,"n/m",D83/ABS(C83))</f>
        <v>0.13861139367517</v>
      </c>
      <c r="F83" s="49" t="str">
        <f aca="false">IF(ROUND(D83,5)=0,"",IF(D83&lt;0,"F","U"))</f>
        <v>U</v>
      </c>
      <c r="G83" s="6" t="s">
        <v>499</v>
      </c>
      <c r="H83" s="50" t="s">
        <v>303</v>
      </c>
      <c r="I83" s="51" t="s">
        <v>434</v>
      </c>
      <c r="J83" s="52" t="str">
        <f aca="false">IF(AND(ROUND(B83-K83,4)=0,ROUND(C83-L83,4)=0,TRUE()),"✓","✗")</f>
        <v>✓</v>
      </c>
      <c r="K83" s="61" t="n">
        <v>391.41667</v>
      </c>
      <c r="L83" s="61" t="n">
        <v>343.76669</v>
      </c>
    </row>
    <row r="84" customFormat="false" ht="53.25" hidden="false" customHeight="true" outlineLevel="1" collapsed="false">
      <c r="A84" s="62" t="s">
        <v>304</v>
      </c>
      <c r="B84" s="34" t="n">
        <v>352</v>
      </c>
      <c r="C84" s="34" t="n">
        <v>306.6</v>
      </c>
      <c r="D84" s="25" t="n">
        <f aca="false">B84-C84</f>
        <v>45.4</v>
      </c>
      <c r="E84" s="26" t="n">
        <f aca="false">IF(C84=0,"n/m",D84/ABS(C84))</f>
        <v>0.148075668623614</v>
      </c>
      <c r="F84" s="49" t="str">
        <f aca="false">IF(ROUND(D84,5)=0,"",IF(D84&lt;0,"F","U"))</f>
        <v>U</v>
      </c>
      <c r="G84" s="6" t="s">
        <v>500</v>
      </c>
      <c r="H84" s="50" t="s">
        <v>244</v>
      </c>
      <c r="I84" s="51" t="s">
        <v>434</v>
      </c>
      <c r="J84" s="52" t="s">
        <v>182</v>
      </c>
    </row>
    <row r="85" customFormat="false" ht="40.5" hidden="false" customHeight="true" outlineLevel="1" collapsed="false">
      <c r="A85" s="62" t="s">
        <v>267</v>
      </c>
      <c r="B85" s="34" t="n">
        <v>19.66667</v>
      </c>
      <c r="C85" s="34" t="n">
        <v>18.66667</v>
      </c>
      <c r="D85" s="25" t="n">
        <f aca="false">B85-C85</f>
        <v>1</v>
      </c>
      <c r="E85" s="26" t="n">
        <f aca="false">IF(C85=0,"n/m",D85/ABS(C85))</f>
        <v>0.0535714190051038</v>
      </c>
      <c r="F85" s="49" t="str">
        <f aca="false">IF(ROUND(D85,5)=0,"",IF(D85&lt;0,"F","U"))</f>
        <v>U</v>
      </c>
      <c r="G85" s="63" t="s">
        <v>493</v>
      </c>
      <c r="H85" s="50" t="s">
        <v>239</v>
      </c>
      <c r="I85" s="18" t="s">
        <v>191</v>
      </c>
      <c r="J85" s="52" t="s">
        <v>182</v>
      </c>
    </row>
    <row r="86" customFormat="false" ht="27.75" hidden="false" customHeight="true" outlineLevel="1" collapsed="false">
      <c r="A86" s="62" t="s">
        <v>269</v>
      </c>
      <c r="B86" s="34" t="n">
        <v>19.75</v>
      </c>
      <c r="C86" s="34" t="n">
        <v>18.50002</v>
      </c>
      <c r="D86" s="25" t="n">
        <f aca="false">B86-C86</f>
        <v>1.24998</v>
      </c>
      <c r="E86" s="26" t="n">
        <f aca="false">IF(C86=0,"n/m",D86/ABS(C86))</f>
        <v>0.0675664134417152</v>
      </c>
      <c r="F86" s="49" t="str">
        <f aca="false">IF(ROUND(D86,5)=0,"",IF(D86&lt;0,"F","U"))</f>
        <v>U</v>
      </c>
      <c r="G86" s="63" t="s">
        <v>501</v>
      </c>
      <c r="I86" s="18" t="s">
        <v>191</v>
      </c>
      <c r="J86" s="52" t="s">
        <v>182</v>
      </c>
    </row>
    <row r="87" customFormat="false" ht="48" hidden="false" customHeight="true" outlineLevel="0" collapsed="false">
      <c r="A87" s="53" t="s">
        <v>171</v>
      </c>
      <c r="B87" s="37" t="n">
        <f aca="false">B73+B77+B83</f>
        <v>1328.73992</v>
      </c>
      <c r="C87" s="37" t="n">
        <f aca="false">C73+C77+C83</f>
        <v>1230.42367</v>
      </c>
      <c r="D87" s="37" t="n">
        <f aca="false">B87-C87</f>
        <v>98.3162500000001</v>
      </c>
      <c r="E87" s="54" t="n">
        <f aca="false">IF(C87=0,"n/m",D87/ABS(C87))</f>
        <v>0.0799043877301223</v>
      </c>
      <c r="F87" s="55" t="str">
        <f aca="false">IF(ROUND(D87,5)=0,"",IF(D87&lt;0,"F","U"))</f>
        <v>U</v>
      </c>
      <c r="G87" s="56" t="s">
        <v>502</v>
      </c>
      <c r="H87" s="57" t="s">
        <v>308</v>
      </c>
      <c r="I87" s="58" t="s">
        <v>434</v>
      </c>
      <c r="J87" s="59" t="str">
        <f aca="false">IF(AND(ROUND(B87-K87,4)=0,ROUND(C87-L87,4)=0,TRUE()),"✓","✗")</f>
        <v>✓</v>
      </c>
      <c r="K87" s="60" t="n">
        <v>1328.73992</v>
      </c>
      <c r="L87" s="60" t="n">
        <v>1230.42367</v>
      </c>
    </row>
    <row r="88" customFormat="false" ht="60" hidden="false" customHeight="true" outlineLevel="0" collapsed="false">
      <c r="A88" s="64" t="s">
        <v>96</v>
      </c>
      <c r="B88" s="65" t="n">
        <f aca="false">B72-B87</f>
        <v>473.201</v>
      </c>
      <c r="C88" s="65" t="n">
        <f aca="false">C72-C87</f>
        <v>509.205</v>
      </c>
      <c r="D88" s="65" t="n">
        <f aca="false">B88-C88</f>
        <v>-36.0040000000004</v>
      </c>
      <c r="E88" s="66" t="n">
        <f aca="false">IF(C88=0,"n/m",D88/ABS(C88))</f>
        <v>-0.070706297070925</v>
      </c>
      <c r="F88" s="67" t="str">
        <f aca="false">IF(ROUND(D88,5)=0,"",IF(D88&gt;0,"F","U"))</f>
        <v>U</v>
      </c>
      <c r="G88" s="68" t="s">
        <v>503</v>
      </c>
      <c r="H88" s="69" t="s">
        <v>250</v>
      </c>
      <c r="I88" s="70" t="s">
        <v>434</v>
      </c>
      <c r="J88" s="71" t="str">
        <f aca="false">IF(AND(ROUND(B88-K88,4)=0,ROUND(C88-L88,4)=0,TRUE()),"✓","✗")</f>
        <v>✓</v>
      </c>
      <c r="K88" s="72" t="n">
        <v>473.201</v>
      </c>
      <c r="L88" s="72" t="n">
        <v>509.205</v>
      </c>
    </row>
    <row r="89" customFormat="false" ht="27.75" hidden="false" customHeight="true" outlineLevel="0" collapsed="false">
      <c r="A89" s="11" t="s">
        <v>160</v>
      </c>
      <c r="B89" s="34" t="n">
        <v>21</v>
      </c>
      <c r="C89" s="34" t="n">
        <v>22.5</v>
      </c>
      <c r="D89" s="25" t="n">
        <f aca="false">B89-C89</f>
        <v>-1.5</v>
      </c>
      <c r="E89" s="26" t="n">
        <f aca="false">IF(C89=0,"n/m",D89/ABS(C89))</f>
        <v>-0.0666666666666667</v>
      </c>
      <c r="F89" s="49" t="str">
        <f aca="false">IF(ROUND(D89,5)=0,"",IF(D89&gt;0,"F","U"))</f>
        <v>U</v>
      </c>
      <c r="G89" s="63" t="s">
        <v>467</v>
      </c>
      <c r="I89" s="18" t="s">
        <v>191</v>
      </c>
      <c r="J89" s="52" t="s">
        <v>182</v>
      </c>
    </row>
    <row r="90" customFormat="false" ht="15" hidden="false" customHeight="true" outlineLevel="0" collapsed="false">
      <c r="A90" s="11" t="s">
        <v>161</v>
      </c>
      <c r="B90" s="34" t="n">
        <v>60</v>
      </c>
      <c r="C90" s="34" t="n">
        <v>60.5</v>
      </c>
      <c r="D90" s="25" t="n">
        <f aca="false">B90-C90</f>
        <v>-0.5</v>
      </c>
      <c r="E90" s="26" t="n">
        <f aca="false">IF(C90=0,"n/m",D90/ABS(C90))</f>
        <v>-0.00826446280991736</v>
      </c>
      <c r="F90" s="49" t="str">
        <f aca="false">IF(ROUND(D90,5)=0,"",IF(D90&lt;0,"F","U"))</f>
        <v>F</v>
      </c>
      <c r="G90" s="63" t="s">
        <v>468</v>
      </c>
      <c r="I90" s="18" t="s">
        <v>191</v>
      </c>
      <c r="J90" s="52" t="s">
        <v>182</v>
      </c>
    </row>
    <row r="91" customFormat="false" ht="27.75" hidden="false" customHeight="true" outlineLevel="0" collapsed="false">
      <c r="A91" s="11" t="s">
        <v>126</v>
      </c>
      <c r="B91" s="34" t="n">
        <v>75</v>
      </c>
      <c r="C91" s="34" t="n">
        <v>63.5</v>
      </c>
      <c r="D91" s="25" t="n">
        <f aca="false">B91-C91</f>
        <v>11.5</v>
      </c>
      <c r="E91" s="26" t="n">
        <f aca="false">IF(C91=0,"n/m",D91/ABS(C91))</f>
        <v>0.181102362204724</v>
      </c>
      <c r="F91" s="49" t="str">
        <f aca="false">IF(ROUND(D91,5)=0,"",IF(D91&lt;0,"F","U"))</f>
        <v>U</v>
      </c>
      <c r="G91" s="6" t="s">
        <v>470</v>
      </c>
      <c r="I91" s="51" t="s">
        <v>434</v>
      </c>
      <c r="J91" s="52" t="s">
        <v>182</v>
      </c>
    </row>
    <row r="92" customFormat="false" ht="60" hidden="false" customHeight="true" outlineLevel="0" collapsed="false">
      <c r="A92" s="64" t="s">
        <v>97</v>
      </c>
      <c r="B92" s="65" t="n">
        <f aca="false">B88+B89-B90-B91</f>
        <v>359.201</v>
      </c>
      <c r="C92" s="65" t="n">
        <f aca="false">C88+C89-C90-C91</f>
        <v>407.705</v>
      </c>
      <c r="D92" s="65" t="n">
        <f aca="false">B92-C92</f>
        <v>-48.5040000000004</v>
      </c>
      <c r="E92" s="66" t="n">
        <f aca="false">IF(C92=0,"n/m",D92/ABS(C92))</f>
        <v>-0.118968371739371</v>
      </c>
      <c r="F92" s="67" t="str">
        <f aca="false">IF(ROUND(D92,5)=0,"",IF(D92&gt;0,"F","U"))</f>
        <v>U</v>
      </c>
      <c r="G92" s="68" t="s">
        <v>504</v>
      </c>
      <c r="H92" s="69" t="s">
        <v>250</v>
      </c>
      <c r="I92" s="70" t="s">
        <v>434</v>
      </c>
      <c r="J92" s="71" t="str">
        <f aca="false">IF(AND(ROUND(B92-K92,4)=0,ROUND(C92-L92,4)=0,TRUE()),"✓","✗")</f>
        <v>✓</v>
      </c>
      <c r="K92" s="72" t="n">
        <v>359.201</v>
      </c>
      <c r="L92" s="72" t="n">
        <v>407.705</v>
      </c>
    </row>
    <row r="94" customFormat="false" ht="18" hidden="false" customHeight="true" outlineLevel="0" collapsed="false">
      <c r="A94" s="44" t="s">
        <v>311</v>
      </c>
      <c r="B94" s="45"/>
      <c r="C94" s="45"/>
      <c r="D94" s="45"/>
      <c r="E94" s="45"/>
      <c r="F94" s="45"/>
      <c r="G94" s="45"/>
      <c r="H94" s="45"/>
      <c r="I94" s="45"/>
      <c r="J94" s="45"/>
      <c r="K94" s="45"/>
      <c r="L94" s="45"/>
    </row>
    <row r="95" customFormat="false" ht="40.5" hidden="false" customHeight="true" outlineLevel="0" collapsed="false">
      <c r="A95" s="11" t="s">
        <v>312</v>
      </c>
      <c r="B95" s="25" t="n">
        <f aca="false">B96+B97</f>
        <v>3991.527</v>
      </c>
      <c r="C95" s="25" t="n">
        <f aca="false">C96+C97</f>
        <v>3724.337</v>
      </c>
      <c r="D95" s="25" t="n">
        <f aca="false">B95-C95</f>
        <v>267.19</v>
      </c>
      <c r="E95" s="26" t="n">
        <f aca="false">IF(C95=0,"n/m",D95/ABS(C95))</f>
        <v>0.0717416281072309</v>
      </c>
      <c r="F95" s="49" t="str">
        <f aca="false">IF(ROUND(D95,5)=0,"",IF(D95&gt;0,"F","U"))</f>
        <v>F</v>
      </c>
      <c r="G95" s="6" t="s">
        <v>505</v>
      </c>
      <c r="H95" s="50" t="s">
        <v>186</v>
      </c>
      <c r="I95" s="51" t="s">
        <v>434</v>
      </c>
      <c r="J95" s="52" t="str">
        <f aca="false">IF(AND(ROUND(B95-K95,4)=0,ROUND(C95-L95,4)=0,TRUE()),"✓","✗")</f>
        <v>✓</v>
      </c>
      <c r="K95" s="61" t="n">
        <v>3991.527</v>
      </c>
      <c r="L95" s="61" t="n">
        <v>3724.337</v>
      </c>
    </row>
    <row r="96" customFormat="false" ht="48" hidden="false" customHeight="true" outlineLevel="1" collapsed="false">
      <c r="A96" s="62" t="s">
        <v>314</v>
      </c>
      <c r="B96" s="34" t="n">
        <v>3576.527</v>
      </c>
      <c r="C96" s="34" t="n">
        <v>3444.337</v>
      </c>
      <c r="D96" s="25" t="n">
        <f aca="false">B96-C96</f>
        <v>132.19</v>
      </c>
      <c r="E96" s="26" t="n">
        <f aca="false">IF(C96=0,"n/m",D96/ABS(C96))</f>
        <v>0.0383789391107781</v>
      </c>
      <c r="F96" s="49" t="str">
        <f aca="false">IF(ROUND(D96,5)=0,"",IF(D96&gt;0,"F","U"))</f>
        <v>F</v>
      </c>
      <c r="G96" s="6" t="s">
        <v>433</v>
      </c>
      <c r="H96" s="50" t="s">
        <v>180</v>
      </c>
      <c r="I96" s="51" t="s">
        <v>434</v>
      </c>
      <c r="J96" s="52" t="s">
        <v>182</v>
      </c>
    </row>
    <row r="97" customFormat="false" ht="40.5" hidden="false" customHeight="true" outlineLevel="1" collapsed="false">
      <c r="A97" s="62" t="s">
        <v>315</v>
      </c>
      <c r="B97" s="34" t="n">
        <v>415</v>
      </c>
      <c r="C97" s="34" t="n">
        <v>280</v>
      </c>
      <c r="D97" s="25" t="n">
        <f aca="false">B97-C97</f>
        <v>135</v>
      </c>
      <c r="E97" s="26" t="n">
        <f aca="false">IF(C97=0,"n/m",D97/ABS(C97))</f>
        <v>0.482142857142857</v>
      </c>
      <c r="F97" s="49" t="str">
        <f aca="false">IF(ROUND(D97,5)=0,"",IF(D97&gt;0,"F","U"))</f>
        <v>F</v>
      </c>
      <c r="G97" s="6" t="s">
        <v>435</v>
      </c>
      <c r="H97" s="50" t="s">
        <v>184</v>
      </c>
      <c r="I97" s="51" t="s">
        <v>434</v>
      </c>
      <c r="J97" s="52" t="s">
        <v>182</v>
      </c>
    </row>
    <row r="98" customFormat="false" ht="48" hidden="false" customHeight="true" outlineLevel="0" collapsed="false">
      <c r="A98" s="11" t="s">
        <v>316</v>
      </c>
      <c r="B98" s="25" t="n">
        <f aca="false">B99+B100+B101+B102+B103</f>
        <v>2027.326</v>
      </c>
      <c r="C98" s="25" t="n">
        <f aca="false">C99+C100+C101+C102+C103</f>
        <v>1933.582</v>
      </c>
      <c r="D98" s="25" t="n">
        <f aca="false">B98-C98</f>
        <v>93.7440000000001</v>
      </c>
      <c r="E98" s="26" t="n">
        <f aca="false">IF(C98=0,"n/m",D98/ABS(C98))</f>
        <v>0.0484820400686395</v>
      </c>
      <c r="F98" s="49" t="str">
        <f aca="false">IF(ROUND(D98,5)=0,"",IF(D98&lt;0,"F","U"))</f>
        <v>U</v>
      </c>
      <c r="G98" s="6" t="s">
        <v>506</v>
      </c>
      <c r="H98" s="50" t="s">
        <v>318</v>
      </c>
      <c r="I98" s="51" t="s">
        <v>434</v>
      </c>
      <c r="J98" s="52" t="str">
        <f aca="false">IF(AND(ROUND(B98-K98,4)=0,ROUND(C98-L98,4)=0,TRUE()),"✓","✗")</f>
        <v>✓</v>
      </c>
      <c r="K98" s="61" t="n">
        <v>2027.326</v>
      </c>
      <c r="L98" s="61" t="n">
        <v>1933.582</v>
      </c>
    </row>
    <row r="99" customFormat="false" ht="36.75" hidden="false" customHeight="true" outlineLevel="1" collapsed="false">
      <c r="A99" s="62" t="s">
        <v>192</v>
      </c>
      <c r="B99" s="34" t="n">
        <v>772.071</v>
      </c>
      <c r="C99" s="34" t="n">
        <v>732.284</v>
      </c>
      <c r="D99" s="25" t="n">
        <f aca="false">B99-C99</f>
        <v>39.787</v>
      </c>
      <c r="E99" s="26" t="n">
        <f aca="false">IF(C99=0,"n/m",D99/ABS(C99))</f>
        <v>0.0543327452190681</v>
      </c>
      <c r="F99" s="49" t="str">
        <f aca="false">IF(ROUND(D99,5)=0,"",IF(D99&lt;0,"F","U"))</f>
        <v>U</v>
      </c>
      <c r="G99" s="6" t="s">
        <v>507</v>
      </c>
      <c r="H99" s="50" t="s">
        <v>320</v>
      </c>
      <c r="I99" s="51" t="s">
        <v>434</v>
      </c>
      <c r="J99" s="52" t="s">
        <v>182</v>
      </c>
    </row>
    <row r="100" customFormat="false" ht="40.5" hidden="false" customHeight="true" outlineLevel="1" collapsed="false">
      <c r="A100" s="62" t="s">
        <v>195</v>
      </c>
      <c r="B100" s="34" t="n">
        <v>246.553</v>
      </c>
      <c r="C100" s="34" t="n">
        <v>254.112</v>
      </c>
      <c r="D100" s="25" t="n">
        <f aca="false">B100-C100</f>
        <v>-7.559</v>
      </c>
      <c r="E100" s="26" t="n">
        <f aca="false">IF(C100=0,"n/m",D100/ABS(C100))</f>
        <v>-0.0297467258531671</v>
      </c>
      <c r="F100" s="49" t="str">
        <f aca="false">IF(ROUND(D100,5)=0,"",IF(D100&lt;0,"F","U"))</f>
        <v>F</v>
      </c>
      <c r="G100" s="63" t="s">
        <v>508</v>
      </c>
      <c r="H100" s="50" t="s">
        <v>322</v>
      </c>
      <c r="I100" s="18" t="s">
        <v>191</v>
      </c>
      <c r="J100" s="52" t="s">
        <v>182</v>
      </c>
    </row>
    <row r="101" customFormat="false" ht="36.75" hidden="false" customHeight="true" outlineLevel="1" collapsed="false">
      <c r="A101" s="62" t="s">
        <v>198</v>
      </c>
      <c r="B101" s="34" t="n">
        <v>304.269</v>
      </c>
      <c r="C101" s="34" t="n">
        <v>289.652</v>
      </c>
      <c r="D101" s="25" t="n">
        <f aca="false">B101-C101</f>
        <v>14.617</v>
      </c>
      <c r="E101" s="26" t="n">
        <f aca="false">IF(C101=0,"n/m",D101/ABS(C101))</f>
        <v>0.0504640050819605</v>
      </c>
      <c r="F101" s="49" t="str">
        <f aca="false">IF(ROUND(D101,5)=0,"",IF(D101&lt;0,"F","U"))</f>
        <v>U</v>
      </c>
      <c r="G101" s="6" t="s">
        <v>441</v>
      </c>
      <c r="H101" s="50" t="s">
        <v>200</v>
      </c>
      <c r="I101" s="51" t="s">
        <v>434</v>
      </c>
      <c r="J101" s="52" t="s">
        <v>182</v>
      </c>
    </row>
    <row r="102" customFormat="false" ht="27.75" hidden="false" customHeight="true" outlineLevel="1" collapsed="false">
      <c r="A102" s="62" t="s">
        <v>323</v>
      </c>
      <c r="B102" s="34" t="n">
        <v>239.112</v>
      </c>
      <c r="C102" s="34" t="n">
        <v>239.188</v>
      </c>
      <c r="D102" s="25" t="n">
        <f aca="false">B102-C102</f>
        <v>-0.0759999999999934</v>
      </c>
      <c r="E102" s="26" t="n">
        <f aca="false">IF(C102=0,"n/m",D102/ABS(C102))</f>
        <v>-0.000317741692727032</v>
      </c>
      <c r="F102" s="49" t="str">
        <f aca="false">IF(ROUND(D102,5)=0,"",IF(D102&lt;0,"F","U"))</f>
        <v>F</v>
      </c>
      <c r="G102" s="63" t="s">
        <v>509</v>
      </c>
      <c r="H102" s="50" t="s">
        <v>210</v>
      </c>
      <c r="I102" s="18" t="s">
        <v>191</v>
      </c>
      <c r="J102" s="52" t="s">
        <v>182</v>
      </c>
    </row>
    <row r="103" customFormat="false" ht="36.75" hidden="false" customHeight="true" outlineLevel="1" collapsed="false">
      <c r="A103" s="62" t="s">
        <v>225</v>
      </c>
      <c r="B103" s="34" t="n">
        <v>465.321</v>
      </c>
      <c r="C103" s="34" t="n">
        <v>418.346</v>
      </c>
      <c r="D103" s="25" t="n">
        <f aca="false">B103-C103</f>
        <v>46.975</v>
      </c>
      <c r="E103" s="26" t="n">
        <f aca="false">IF(C103=0,"n/m",D103/ABS(C103))</f>
        <v>0.112287436715064</v>
      </c>
      <c r="F103" s="49" t="str">
        <f aca="false">IF(ROUND(D103,5)=0,"",IF(D103&lt;0,"F","U"))</f>
        <v>U</v>
      </c>
      <c r="G103" s="6" t="s">
        <v>454</v>
      </c>
      <c r="H103" s="50" t="s">
        <v>227</v>
      </c>
      <c r="I103" s="51" t="s">
        <v>434</v>
      </c>
      <c r="J103" s="52" t="s">
        <v>182</v>
      </c>
    </row>
    <row r="104" customFormat="false" ht="40.5" hidden="false" customHeight="true" outlineLevel="0" collapsed="false">
      <c r="A104" s="11" t="s">
        <v>325</v>
      </c>
      <c r="B104" s="25" t="n">
        <f aca="false">B105+B106</f>
        <v>544</v>
      </c>
      <c r="C104" s="25" t="n">
        <f aca="false">C105+C106</f>
        <v>487.9</v>
      </c>
      <c r="D104" s="25" t="n">
        <f aca="false">B104-C104</f>
        <v>56.1</v>
      </c>
      <c r="E104" s="26" t="n">
        <f aca="false">IF(C104=0,"n/m",D104/ABS(C104))</f>
        <v>0.114982578397212</v>
      </c>
      <c r="F104" s="49" t="str">
        <f aca="false">IF(ROUND(D104,5)=0,"",IF(D104&lt;0,"F","U"))</f>
        <v>U</v>
      </c>
      <c r="G104" s="6" t="s">
        <v>510</v>
      </c>
      <c r="H104" s="50" t="s">
        <v>327</v>
      </c>
      <c r="I104" s="51" t="s">
        <v>434</v>
      </c>
      <c r="J104" s="52" t="str">
        <f aca="false">IF(AND(ROUND(B104-K104,4)=0,ROUND(C104-L104,4)=0,TRUE()),"✓","✗")</f>
        <v>✓</v>
      </c>
      <c r="K104" s="61" t="n">
        <v>544</v>
      </c>
      <c r="L104" s="61" t="n">
        <v>487.9</v>
      </c>
    </row>
    <row r="105" customFormat="false" ht="40.5" hidden="false" customHeight="true" outlineLevel="1" collapsed="false">
      <c r="A105" s="62" t="s">
        <v>189</v>
      </c>
      <c r="B105" s="34" t="n">
        <v>388</v>
      </c>
      <c r="C105" s="34" t="n">
        <v>343.1</v>
      </c>
      <c r="D105" s="25" t="n">
        <f aca="false">B105-C105</f>
        <v>44.9</v>
      </c>
      <c r="E105" s="26" t="n">
        <f aca="false">IF(C105=0,"n/m",D105/ABS(C105))</f>
        <v>0.130865636840571</v>
      </c>
      <c r="F105" s="49" t="str">
        <f aca="false">IF(ROUND(D105,5)=0,"",IF(D105&lt;0,"F","U"))</f>
        <v>U</v>
      </c>
      <c r="G105" s="6" t="s">
        <v>511</v>
      </c>
      <c r="H105" s="50" t="s">
        <v>236</v>
      </c>
      <c r="I105" s="51" t="s">
        <v>434</v>
      </c>
      <c r="J105" s="52" t="s">
        <v>182</v>
      </c>
    </row>
    <row r="106" customFormat="false" ht="40.5" hidden="false" customHeight="true" outlineLevel="1" collapsed="false">
      <c r="A106" s="62" t="s">
        <v>201</v>
      </c>
      <c r="B106" s="34" t="n">
        <v>156</v>
      </c>
      <c r="C106" s="34" t="n">
        <v>144.8</v>
      </c>
      <c r="D106" s="25" t="n">
        <f aca="false">B106-C106</f>
        <v>11.2</v>
      </c>
      <c r="E106" s="26" t="n">
        <f aca="false">IF(C106=0,"n/m",D106/ABS(C106))</f>
        <v>0.0773480662983425</v>
      </c>
      <c r="F106" s="49" t="str">
        <f aca="false">IF(ROUND(D106,5)=0,"",IF(D106&lt;0,"F","U"))</f>
        <v>U</v>
      </c>
      <c r="G106" s="6" t="s">
        <v>512</v>
      </c>
      <c r="H106" s="50" t="s">
        <v>330</v>
      </c>
      <c r="I106" s="51" t="s">
        <v>434</v>
      </c>
      <c r="J106" s="52" t="s">
        <v>182</v>
      </c>
    </row>
    <row r="107" customFormat="false" ht="40.5" hidden="false" customHeight="true" outlineLevel="0" collapsed="false">
      <c r="A107" s="11" t="s">
        <v>331</v>
      </c>
      <c r="B107" s="25" t="n">
        <f aca="false">B108+B109</f>
        <v>592</v>
      </c>
      <c r="C107" s="25" t="n">
        <f aca="false">C108+C109</f>
        <v>461.15</v>
      </c>
      <c r="D107" s="25" t="n">
        <f aca="false">B107-C107</f>
        <v>130.85</v>
      </c>
      <c r="E107" s="26" t="n">
        <f aca="false">IF(C107=0,"n/m",D107/ABS(C107))</f>
        <v>0.283747153854494</v>
      </c>
      <c r="F107" s="49" t="str">
        <f aca="false">IF(ROUND(D107,5)=0,"",IF(D107&lt;0,"F","U"))</f>
        <v>U</v>
      </c>
      <c r="G107" s="6" t="s">
        <v>513</v>
      </c>
      <c r="H107" s="50" t="s">
        <v>333</v>
      </c>
      <c r="I107" s="51" t="s">
        <v>434</v>
      </c>
      <c r="J107" s="52" t="str">
        <f aca="false">IF(AND(ROUND(B107-K107,4)=0,ROUND(C107-L107,4)=0,TRUE()),"✓","✗")</f>
        <v>✓</v>
      </c>
      <c r="K107" s="61" t="n">
        <v>592</v>
      </c>
      <c r="L107" s="61" t="n">
        <v>461.15</v>
      </c>
    </row>
    <row r="108" customFormat="false" ht="48" hidden="false" customHeight="true" outlineLevel="1" collapsed="false">
      <c r="A108" s="62" t="s">
        <v>230</v>
      </c>
      <c r="B108" s="34" t="n">
        <v>240</v>
      </c>
      <c r="C108" s="34" t="n">
        <v>154.55</v>
      </c>
      <c r="D108" s="25" t="n">
        <f aca="false">B108-C108</f>
        <v>85.45</v>
      </c>
      <c r="E108" s="26" t="n">
        <f aca="false">IF(C108=0,"n/m",D108/ABS(C108))</f>
        <v>0.552895503073439</v>
      </c>
      <c r="F108" s="49" t="str">
        <f aca="false">IF(ROUND(D108,5)=0,"",IF(D108&lt;0,"F","U"))</f>
        <v>U</v>
      </c>
      <c r="G108" s="6" t="s">
        <v>456</v>
      </c>
      <c r="H108" s="50" t="s">
        <v>232</v>
      </c>
      <c r="I108" s="51" t="s">
        <v>434</v>
      </c>
      <c r="J108" s="52" t="s">
        <v>182</v>
      </c>
    </row>
    <row r="109" customFormat="false" ht="53.25" hidden="false" customHeight="true" outlineLevel="1" collapsed="false">
      <c r="A109" s="62" t="s">
        <v>242</v>
      </c>
      <c r="B109" s="34" t="n">
        <v>352</v>
      </c>
      <c r="C109" s="34" t="n">
        <v>306.6</v>
      </c>
      <c r="D109" s="25" t="n">
        <f aca="false">B109-C109</f>
        <v>45.4</v>
      </c>
      <c r="E109" s="26" t="n">
        <f aca="false">IF(C109=0,"n/m",D109/ABS(C109))</f>
        <v>0.148075668623614</v>
      </c>
      <c r="F109" s="49" t="str">
        <f aca="false">IF(ROUND(D109,5)=0,"",IF(D109&lt;0,"F","U"))</f>
        <v>U</v>
      </c>
      <c r="G109" s="6" t="s">
        <v>462</v>
      </c>
      <c r="H109" s="50" t="s">
        <v>244</v>
      </c>
      <c r="I109" s="51" t="s">
        <v>434</v>
      </c>
      <c r="J109" s="52" t="s">
        <v>182</v>
      </c>
    </row>
    <row r="110" customFormat="false" ht="40.5" hidden="false" customHeight="true" outlineLevel="0" collapsed="false">
      <c r="A110" s="11" t="s">
        <v>334</v>
      </c>
      <c r="B110" s="25" t="n">
        <f aca="false">B111+B112+B113</f>
        <v>355</v>
      </c>
      <c r="C110" s="25" t="n">
        <f aca="false">C111+C112+C113</f>
        <v>332.5</v>
      </c>
      <c r="D110" s="25" t="n">
        <f aca="false">B110-C110</f>
        <v>22.5</v>
      </c>
      <c r="E110" s="26" t="n">
        <f aca="false">IF(C110=0,"n/m",D110/ABS(C110))</f>
        <v>0.0676691729323308</v>
      </c>
      <c r="F110" s="49" t="str">
        <f aca="false">IF(ROUND(D110,5)=0,"",IF(D110&lt;0,"F","U"))</f>
        <v>U</v>
      </c>
      <c r="G110" s="6" t="s">
        <v>514</v>
      </c>
      <c r="H110" s="50" t="s">
        <v>336</v>
      </c>
      <c r="I110" s="51" t="s">
        <v>434</v>
      </c>
      <c r="J110" s="52" t="str">
        <f aca="false">IF(AND(ROUND(B110-K110,4)=0,ROUND(C110-L110,4)=0,TRUE()),"✓","✗")</f>
        <v>✓</v>
      </c>
      <c r="K110" s="61" t="n">
        <v>355</v>
      </c>
      <c r="L110" s="61" t="n">
        <v>332.5</v>
      </c>
    </row>
    <row r="111" customFormat="false" ht="40.5" hidden="false" customHeight="true" outlineLevel="1" collapsed="false">
      <c r="A111" s="62" t="s">
        <v>233</v>
      </c>
      <c r="B111" s="34" t="n">
        <v>79</v>
      </c>
      <c r="C111" s="34" t="n">
        <v>72.5</v>
      </c>
      <c r="D111" s="25" t="n">
        <f aca="false">B111-C111</f>
        <v>6.5</v>
      </c>
      <c r="E111" s="26" t="n">
        <f aca="false">IF(C111=0,"n/m",D111/ABS(C111))</f>
        <v>0.0896551724137931</v>
      </c>
      <c r="F111" s="49" t="str">
        <f aca="false">IF(ROUND(D111,5)=0,"",IF(D111&lt;0,"F","U"))</f>
        <v>U</v>
      </c>
      <c r="G111" s="63" t="s">
        <v>457</v>
      </c>
      <c r="I111" s="18" t="s">
        <v>191</v>
      </c>
      <c r="J111" s="52" t="s">
        <v>182</v>
      </c>
    </row>
    <row r="112" customFormat="false" ht="40.5" hidden="false" customHeight="true" outlineLevel="1" collapsed="false">
      <c r="A112" s="62" t="s">
        <v>204</v>
      </c>
      <c r="B112" s="34" t="n">
        <v>118</v>
      </c>
      <c r="C112" s="34" t="n">
        <v>112</v>
      </c>
      <c r="D112" s="25" t="n">
        <f aca="false">B112-C112</f>
        <v>6</v>
      </c>
      <c r="E112" s="26" t="n">
        <f aca="false">IF(C112=0,"n/m",D112/ABS(C112))</f>
        <v>0.0535714285714286</v>
      </c>
      <c r="F112" s="49" t="str">
        <f aca="false">IF(ROUND(D112,5)=0,"",IF(D112&lt;0,"F","U"))</f>
        <v>U</v>
      </c>
      <c r="G112" s="63" t="s">
        <v>515</v>
      </c>
      <c r="H112" s="50" t="s">
        <v>336</v>
      </c>
      <c r="I112" s="18" t="s">
        <v>191</v>
      </c>
      <c r="J112" s="52" t="s">
        <v>182</v>
      </c>
    </row>
    <row r="113" customFormat="false" ht="27.75" hidden="false" customHeight="true" outlineLevel="1" collapsed="false">
      <c r="A113" s="62" t="s">
        <v>207</v>
      </c>
      <c r="B113" s="34" t="n">
        <v>158</v>
      </c>
      <c r="C113" s="34" t="n">
        <v>148</v>
      </c>
      <c r="D113" s="25" t="n">
        <f aca="false">B113-C113</f>
        <v>10</v>
      </c>
      <c r="E113" s="26" t="n">
        <f aca="false">IF(C113=0,"n/m",D113/ABS(C113))</f>
        <v>0.0675675675675676</v>
      </c>
      <c r="F113" s="49" t="str">
        <f aca="false">IF(ROUND(D113,5)=0,"",IF(D113&lt;0,"F","U"))</f>
        <v>U</v>
      </c>
      <c r="G113" s="6" t="s">
        <v>516</v>
      </c>
      <c r="I113" s="51" t="s">
        <v>434</v>
      </c>
      <c r="J113" s="52" t="s">
        <v>182</v>
      </c>
    </row>
    <row r="114" customFormat="false" ht="60" hidden="false" customHeight="true" outlineLevel="0" collapsed="false">
      <c r="A114" s="53" t="s">
        <v>339</v>
      </c>
      <c r="B114" s="37" t="n">
        <f aca="false">B98+B104+B107+B110</f>
        <v>3518.326</v>
      </c>
      <c r="C114" s="37" t="n">
        <f aca="false">C98+C104+C107+C110</f>
        <v>3215.132</v>
      </c>
      <c r="D114" s="37" t="n">
        <f aca="false">B114-C114</f>
        <v>303.194</v>
      </c>
      <c r="E114" s="54" t="n">
        <f aca="false">IF(C114=0,"n/m",D114/ABS(C114))</f>
        <v>0.0943021935024752</v>
      </c>
      <c r="F114" s="55" t="str">
        <f aca="false">IF(ROUND(D114,5)=0,"",IF(D114&lt;0,"F","U"))</f>
        <v>U</v>
      </c>
      <c r="G114" s="56" t="s">
        <v>517</v>
      </c>
      <c r="H114" s="57" t="s">
        <v>341</v>
      </c>
      <c r="I114" s="58" t="s">
        <v>434</v>
      </c>
      <c r="J114" s="59" t="str">
        <f aca="false">IF(AND(ROUND(B114-K114,4)=0,ROUND(C114-L114,4)=0,TRUE()),"✓","✗")</f>
        <v>✓</v>
      </c>
      <c r="K114" s="60" t="n">
        <v>3518.326</v>
      </c>
      <c r="L114" s="60" t="n">
        <v>3215.132</v>
      </c>
    </row>
    <row r="115" customFormat="false" ht="60" hidden="false" customHeight="true" outlineLevel="0" collapsed="false">
      <c r="A115" s="64" t="s">
        <v>96</v>
      </c>
      <c r="B115" s="65" t="n">
        <f aca="false">B95-B114</f>
        <v>473.201</v>
      </c>
      <c r="C115" s="65" t="n">
        <f aca="false">C95-C114</f>
        <v>509.205</v>
      </c>
      <c r="D115" s="65" t="n">
        <f aca="false">B115-C115</f>
        <v>-36.0039999999999</v>
      </c>
      <c r="E115" s="66" t="n">
        <f aca="false">IF(C115=0,"n/m",D115/ABS(C115))</f>
        <v>-0.0707062970709241</v>
      </c>
      <c r="F115" s="67" t="str">
        <f aca="false">IF(ROUND(D115,5)=0,"",IF(D115&gt;0,"F","U"))</f>
        <v>U</v>
      </c>
      <c r="G115" s="68" t="s">
        <v>518</v>
      </c>
      <c r="H115" s="69" t="s">
        <v>250</v>
      </c>
      <c r="I115" s="70" t="s">
        <v>434</v>
      </c>
      <c r="J115" s="71" t="str">
        <f aca="false">IF(AND(ROUND(B115-K115,4)=0,ROUND(C115-L115,4)=0,TRUE()),"✓","✗")</f>
        <v>✓</v>
      </c>
      <c r="K115" s="72" t="n">
        <v>473.201</v>
      </c>
      <c r="L115" s="72" t="n">
        <v>509.205</v>
      </c>
    </row>
    <row r="116" customFormat="false" ht="27.75" hidden="false" customHeight="true" outlineLevel="0" collapsed="false">
      <c r="A116" s="11" t="s">
        <v>343</v>
      </c>
      <c r="B116" s="25" t="n">
        <f aca="false">B117-B118</f>
        <v>-39</v>
      </c>
      <c r="C116" s="25" t="n">
        <f aca="false">C117-C118</f>
        <v>-38</v>
      </c>
      <c r="D116" s="25" t="n">
        <f aca="false">B116-C116</f>
        <v>-1</v>
      </c>
      <c r="E116" s="26" t="n">
        <f aca="false">IF(C116=0,"n/m",D116/ABS(C116))</f>
        <v>-0.0263157894736842</v>
      </c>
      <c r="F116" s="49" t="str">
        <f aca="false">IF(ROUND(D116,5)=0,"",IF(D116&gt;0,"F","U"))</f>
        <v>U</v>
      </c>
      <c r="G116" s="6" t="s">
        <v>519</v>
      </c>
      <c r="I116" s="51" t="s">
        <v>434</v>
      </c>
      <c r="J116" s="52" t="str">
        <f aca="false">IF(AND(ROUND(B116-K116,4)=0,ROUND(C116-L116,4)=0,TRUE()),"✓","✗")</f>
        <v>✓</v>
      </c>
      <c r="K116" s="61" t="n">
        <v>-39</v>
      </c>
      <c r="L116" s="61" t="n">
        <v>-38</v>
      </c>
    </row>
    <row r="117" customFormat="false" ht="27.75" hidden="false" customHeight="true" outlineLevel="1" collapsed="false">
      <c r="A117" s="62" t="s">
        <v>345</v>
      </c>
      <c r="B117" s="34" t="n">
        <v>21</v>
      </c>
      <c r="C117" s="34" t="n">
        <v>22.5</v>
      </c>
      <c r="D117" s="25" t="n">
        <f aca="false">B117-C117</f>
        <v>-1.5</v>
      </c>
      <c r="E117" s="26" t="n">
        <f aca="false">IF(C117=0,"n/m",D117/ABS(C117))</f>
        <v>-0.0666666666666667</v>
      </c>
      <c r="F117" s="49" t="str">
        <f aca="false">IF(ROUND(D117,5)=0,"",IF(D117&gt;0,"F","U"))</f>
        <v>U</v>
      </c>
      <c r="G117" s="63" t="s">
        <v>467</v>
      </c>
      <c r="I117" s="18" t="s">
        <v>191</v>
      </c>
      <c r="J117" s="52" t="s">
        <v>182</v>
      </c>
    </row>
    <row r="118" customFormat="false" ht="15" hidden="false" customHeight="true" outlineLevel="1" collapsed="false">
      <c r="A118" s="62" t="s">
        <v>346</v>
      </c>
      <c r="B118" s="34" t="n">
        <v>60</v>
      </c>
      <c r="C118" s="34" t="n">
        <v>60.5</v>
      </c>
      <c r="D118" s="25" t="n">
        <f aca="false">B118-C118</f>
        <v>-0.5</v>
      </c>
      <c r="E118" s="26" t="n">
        <f aca="false">IF(C118=0,"n/m",D118/ABS(C118))</f>
        <v>-0.00826446280991736</v>
      </c>
      <c r="F118" s="49" t="str">
        <f aca="false">IF(ROUND(D118,5)=0,"",IF(D118&lt;0,"F","U"))</f>
        <v>F</v>
      </c>
      <c r="G118" s="63" t="s">
        <v>468</v>
      </c>
      <c r="I118" s="18" t="s">
        <v>191</v>
      </c>
      <c r="J118" s="52" t="s">
        <v>182</v>
      </c>
    </row>
    <row r="119" customFormat="false" ht="27.75" hidden="false" customHeight="true" outlineLevel="0" collapsed="false">
      <c r="A119" s="11" t="s">
        <v>347</v>
      </c>
      <c r="B119" s="34" t="n">
        <v>75</v>
      </c>
      <c r="C119" s="34" t="n">
        <v>63.5</v>
      </c>
      <c r="D119" s="25" t="n">
        <f aca="false">B119-C119</f>
        <v>11.5</v>
      </c>
      <c r="E119" s="26" t="n">
        <f aca="false">IF(C119=0,"n/m",D119/ABS(C119))</f>
        <v>0.181102362204724</v>
      </c>
      <c r="F119" s="49" t="str">
        <f aca="false">IF(ROUND(D119,5)=0,"",IF(D119&lt;0,"F","U"))</f>
        <v>U</v>
      </c>
      <c r="G119" s="6" t="s">
        <v>470</v>
      </c>
      <c r="I119" s="51" t="s">
        <v>434</v>
      </c>
      <c r="J119" s="52" t="s">
        <v>182</v>
      </c>
    </row>
    <row r="120" customFormat="false" ht="60" hidden="false" customHeight="true" outlineLevel="0" collapsed="false">
      <c r="A120" s="64" t="s">
        <v>97</v>
      </c>
      <c r="B120" s="65" t="n">
        <f aca="false">B115+B116-B119</f>
        <v>359.201</v>
      </c>
      <c r="C120" s="65" t="n">
        <f aca="false">C115+C116-C119</f>
        <v>407.705</v>
      </c>
      <c r="D120" s="65" t="n">
        <f aca="false">B120-C120</f>
        <v>-48.5039999999999</v>
      </c>
      <c r="E120" s="66" t="n">
        <f aca="false">IF(C120=0,"n/m",D120/ABS(C120))</f>
        <v>-0.11896837173937</v>
      </c>
      <c r="F120" s="67" t="str">
        <f aca="false">IF(ROUND(D120,5)=0,"",IF(D120&gt;0,"F","U"))</f>
        <v>U</v>
      </c>
      <c r="G120" s="68" t="s">
        <v>520</v>
      </c>
      <c r="H120" s="69" t="s">
        <v>250</v>
      </c>
      <c r="I120" s="70" t="s">
        <v>434</v>
      </c>
      <c r="J120" s="71" t="str">
        <f aca="false">IF(AND(ROUND(B120-K120,4)=0,ROUND(C120-L120,4)=0,TRUE()),"✓","✗")</f>
        <v>✓</v>
      </c>
      <c r="K120" s="72" t="n">
        <v>359.201</v>
      </c>
      <c r="L120" s="72" t="n">
        <v>407.705</v>
      </c>
    </row>
    <row r="122" customFormat="false" ht="18" hidden="false" customHeight="true" outlineLevel="0" collapsed="false">
      <c r="A122" s="44" t="s">
        <v>349</v>
      </c>
      <c r="B122" s="45"/>
      <c r="C122" s="45"/>
      <c r="D122" s="45"/>
      <c r="E122" s="45"/>
      <c r="F122" s="45"/>
      <c r="G122" s="73" t="s">
        <v>521</v>
      </c>
      <c r="H122" s="45"/>
      <c r="I122" s="45"/>
      <c r="J122" s="45"/>
      <c r="K122" s="45"/>
      <c r="L122" s="45"/>
    </row>
    <row r="123" customFormat="false" ht="40.5" hidden="false" customHeight="true" outlineLevel="0" collapsed="false">
      <c r="A123" s="11" t="s">
        <v>351</v>
      </c>
      <c r="B123" s="25" t="n">
        <f aca="false">B124+B125+B126+B127</f>
        <v>18786.54644</v>
      </c>
      <c r="C123" s="25" t="n">
        <f aca="false">C124+C125+C126+C127</f>
        <v>17088.18988</v>
      </c>
      <c r="D123" s="25" t="n">
        <f aca="false">B123-C123</f>
        <v>1698.35656</v>
      </c>
      <c r="E123" s="26" t="n">
        <f aca="false">IF(C123=0,"n/m",D123/ABS(C123))</f>
        <v>0.0993877392471952</v>
      </c>
      <c r="G123" s="6" t="s">
        <v>522</v>
      </c>
      <c r="I123" s="51" t="s">
        <v>434</v>
      </c>
      <c r="J123" s="52" t="str">
        <f aca="false">IF(AND(ROUND(B123-K123,4)=0,ROUND(C123-L123,4)=0,TRUE()),"✓","✗")</f>
        <v>✓</v>
      </c>
      <c r="K123" s="61" t="n">
        <v>18786.54644</v>
      </c>
      <c r="L123" s="61" t="n">
        <v>17088.18988</v>
      </c>
    </row>
    <row r="124" customFormat="false" ht="27.75" hidden="false" customHeight="true" outlineLevel="1" collapsed="false">
      <c r="A124" s="62" t="s">
        <v>353</v>
      </c>
      <c r="B124" s="34" t="n">
        <v>14474.18299</v>
      </c>
      <c r="C124" s="34" t="n">
        <v>14171.85958</v>
      </c>
      <c r="D124" s="25" t="n">
        <f aca="false">B124-C124</f>
        <v>302.323409999999</v>
      </c>
      <c r="E124" s="26" t="n">
        <f aca="false">IF(C124=0,"n/m",D124/ABS(C124))</f>
        <v>0.0213326563316117</v>
      </c>
      <c r="G124" s="6" t="s">
        <v>523</v>
      </c>
      <c r="I124" s="51" t="s">
        <v>434</v>
      </c>
      <c r="J124" s="52" t="s">
        <v>182</v>
      </c>
    </row>
    <row r="125" customFormat="false" ht="27.75" hidden="false" customHeight="true" outlineLevel="1" collapsed="false">
      <c r="A125" s="62" t="s">
        <v>355</v>
      </c>
      <c r="B125" s="34" t="n">
        <v>2872.86345</v>
      </c>
      <c r="C125" s="34" t="n">
        <v>1400.8303</v>
      </c>
      <c r="D125" s="25" t="n">
        <f aca="false">B125-C125</f>
        <v>1472.03315</v>
      </c>
      <c r="E125" s="26" t="n">
        <f aca="false">IF(C125=0,"n/m",D125/ABS(C125))</f>
        <v>1.05082903332402</v>
      </c>
      <c r="G125" s="6" t="s">
        <v>524</v>
      </c>
      <c r="I125" s="51" t="s">
        <v>434</v>
      </c>
      <c r="J125" s="52" t="s">
        <v>182</v>
      </c>
    </row>
    <row r="126" customFormat="false" ht="27.75" hidden="false" customHeight="true" outlineLevel="1" collapsed="false">
      <c r="A126" s="62" t="s">
        <v>357</v>
      </c>
      <c r="B126" s="34" t="n">
        <v>184</v>
      </c>
      <c r="C126" s="34" t="n">
        <v>276</v>
      </c>
      <c r="D126" s="25" t="n">
        <f aca="false">B126-C126</f>
        <v>-92</v>
      </c>
      <c r="E126" s="26" t="n">
        <f aca="false">IF(C126=0,"n/m",D126/ABS(C126))</f>
        <v>-0.333333333333333</v>
      </c>
      <c r="G126" s="6" t="s">
        <v>525</v>
      </c>
      <c r="I126" s="51" t="s">
        <v>434</v>
      </c>
      <c r="J126" s="52" t="s">
        <v>182</v>
      </c>
    </row>
    <row r="127" customFormat="false" ht="27.75" hidden="false" customHeight="true" outlineLevel="1" collapsed="false">
      <c r="A127" s="62" t="s">
        <v>359</v>
      </c>
      <c r="B127" s="34" t="n">
        <v>1255.5</v>
      </c>
      <c r="C127" s="34" t="n">
        <v>1239.5</v>
      </c>
      <c r="D127" s="25" t="n">
        <f aca="false">B127-C127</f>
        <v>16</v>
      </c>
      <c r="E127" s="26" t="n">
        <f aca="false">IF(C127=0,"n/m",D127/ABS(C127))</f>
        <v>0.0129084308188786</v>
      </c>
      <c r="G127" s="63" t="s">
        <v>526</v>
      </c>
      <c r="I127" s="18" t="s">
        <v>191</v>
      </c>
      <c r="J127" s="52" t="s">
        <v>182</v>
      </c>
    </row>
    <row r="128" customFormat="false" ht="40.5" hidden="false" customHeight="true" outlineLevel="0" collapsed="false">
      <c r="A128" s="11" t="s">
        <v>361</v>
      </c>
      <c r="B128" s="25" t="n">
        <f aca="false">B129</f>
        <v>1236</v>
      </c>
      <c r="C128" s="25" t="n">
        <f aca="false">C129</f>
        <v>1148</v>
      </c>
      <c r="D128" s="25" t="n">
        <f aca="false">B128-C128</f>
        <v>88</v>
      </c>
      <c r="E128" s="26" t="n">
        <f aca="false">IF(C128=0,"n/m",D128/ABS(C128))</f>
        <v>0.0766550522648084</v>
      </c>
      <c r="G128" s="6" t="s">
        <v>527</v>
      </c>
      <c r="I128" s="51" t="s">
        <v>434</v>
      </c>
      <c r="J128" s="52" t="str">
        <f aca="false">IF(AND(ROUND(B128-K128,4)=0,ROUND(C128-L128,4)=0,TRUE()),"✓","✗")</f>
        <v>✓</v>
      </c>
      <c r="K128" s="61" t="n">
        <v>1236</v>
      </c>
      <c r="L128" s="61" t="n">
        <v>1148</v>
      </c>
    </row>
    <row r="129" customFormat="false" ht="27.75" hidden="false" customHeight="true" outlineLevel="1" collapsed="false">
      <c r="A129" s="62" t="s">
        <v>363</v>
      </c>
      <c r="B129" s="34" t="n">
        <v>1236</v>
      </c>
      <c r="C129" s="34" t="n">
        <v>1148</v>
      </c>
      <c r="D129" s="25" t="n">
        <f aca="false">B129-C129</f>
        <v>88</v>
      </c>
      <c r="E129" s="26" t="n">
        <f aca="false">IF(C129=0,"n/m",D129/ABS(C129))</f>
        <v>0.0766550522648084</v>
      </c>
      <c r="G129" s="6" t="s">
        <v>528</v>
      </c>
      <c r="I129" s="51" t="s">
        <v>434</v>
      </c>
      <c r="J129" s="52" t="s">
        <v>182</v>
      </c>
    </row>
    <row r="130" customFormat="false" ht="27.75" hidden="false" customHeight="true" outlineLevel="0" collapsed="false">
      <c r="A130" s="64" t="s">
        <v>365</v>
      </c>
      <c r="B130" s="65" t="n">
        <f aca="false">B123+B128</f>
        <v>20022.54644</v>
      </c>
      <c r="C130" s="65" t="n">
        <f aca="false">C123+C128</f>
        <v>18236.18988</v>
      </c>
      <c r="D130" s="65" t="n">
        <f aca="false">B130-C130</f>
        <v>1786.35656</v>
      </c>
      <c r="E130" s="66" t="n">
        <f aca="false">IF(C130=0,"n/m",D130/ABS(C130))</f>
        <v>0.0979566769020723</v>
      </c>
      <c r="F130" s="74"/>
      <c r="G130" s="68" t="s">
        <v>529</v>
      </c>
      <c r="H130" s="74"/>
      <c r="I130" s="70" t="s">
        <v>434</v>
      </c>
      <c r="J130" s="71" t="str">
        <f aca="false">IF(AND(ROUND(B130-K130,4)=0,ROUND(C130-L130,4)=0,TRUE()),"✓","✗")</f>
        <v>✓</v>
      </c>
      <c r="K130" s="72" t="n">
        <v>20022.54644</v>
      </c>
      <c r="L130" s="72" t="n">
        <v>18236.18988</v>
      </c>
    </row>
    <row r="131" customFormat="false" ht="40.5" hidden="false" customHeight="true" outlineLevel="0" collapsed="false">
      <c r="A131" s="11" t="s">
        <v>367</v>
      </c>
      <c r="B131" s="25" t="n">
        <f aca="false">B132+B133+B134</f>
        <v>1620.78044</v>
      </c>
      <c r="C131" s="25" t="n">
        <f aca="false">C132+C133+C134</f>
        <v>362.62488</v>
      </c>
      <c r="D131" s="25" t="n">
        <f aca="false">B131-C131</f>
        <v>1258.15556</v>
      </c>
      <c r="E131" s="26" t="n">
        <f aca="false">IF(C131=0,"n/m",D131/ABS(C131))</f>
        <v>3.46957870072236</v>
      </c>
      <c r="G131" s="6" t="s">
        <v>530</v>
      </c>
      <c r="I131" s="51" t="s">
        <v>434</v>
      </c>
      <c r="J131" s="52" t="str">
        <f aca="false">IF(AND(ROUND(B131-K131,4)=0,ROUND(C131-L131,4)=0,TRUE()),"✓","✗")</f>
        <v>✓</v>
      </c>
      <c r="K131" s="61" t="n">
        <v>1620.78044</v>
      </c>
      <c r="L131" s="61" t="n">
        <v>362.62488</v>
      </c>
    </row>
    <row r="132" customFormat="false" ht="27.75" hidden="false" customHeight="true" outlineLevel="1" collapsed="false">
      <c r="A132" s="62" t="s">
        <v>369</v>
      </c>
      <c r="B132" s="34" t="n">
        <v>349</v>
      </c>
      <c r="C132" s="34" t="n">
        <v>304</v>
      </c>
      <c r="D132" s="25" t="n">
        <f aca="false">B132-C132</f>
        <v>45</v>
      </c>
      <c r="E132" s="26" t="n">
        <f aca="false">IF(C132=0,"n/m",D132/ABS(C132))</f>
        <v>0.148026315789474</v>
      </c>
      <c r="G132" s="6" t="s">
        <v>531</v>
      </c>
      <c r="I132" s="51" t="s">
        <v>434</v>
      </c>
      <c r="J132" s="52" t="s">
        <v>182</v>
      </c>
    </row>
    <row r="133" customFormat="false" ht="40.5" hidden="false" customHeight="true" outlineLevel="1" collapsed="false">
      <c r="A133" s="62" t="s">
        <v>371</v>
      </c>
      <c r="B133" s="34" t="n">
        <v>152.49244</v>
      </c>
      <c r="C133" s="34" t="n">
        <v>58.62488</v>
      </c>
      <c r="D133" s="25" t="n">
        <f aca="false">B133-C133</f>
        <v>93.86756</v>
      </c>
      <c r="E133" s="26" t="n">
        <f aca="false">IF(C133=0,"n/m",D133/ABS(C133))</f>
        <v>1.60115568680055</v>
      </c>
      <c r="G133" s="6" t="s">
        <v>532</v>
      </c>
      <c r="I133" s="51" t="s">
        <v>434</v>
      </c>
      <c r="J133" s="52" t="s">
        <v>182</v>
      </c>
    </row>
    <row r="134" customFormat="false" ht="27.75" hidden="false" customHeight="true" outlineLevel="1" collapsed="false">
      <c r="A134" s="62" t="s">
        <v>373</v>
      </c>
      <c r="B134" s="34" t="n">
        <v>1119.288</v>
      </c>
      <c r="C134" s="34" t="n">
        <v>0</v>
      </c>
      <c r="D134" s="25" t="n">
        <f aca="false">B134-C134</f>
        <v>1119.288</v>
      </c>
      <c r="E134" s="26" t="str">
        <f aca="false">IF(C134=0,"n/m",D134/ABS(C134))</f>
        <v>n/m</v>
      </c>
      <c r="G134" s="6" t="s">
        <v>533</v>
      </c>
      <c r="I134" s="51" t="s">
        <v>434</v>
      </c>
      <c r="J134" s="52" t="s">
        <v>182</v>
      </c>
    </row>
    <row r="135" customFormat="false" ht="27.75" hidden="false" customHeight="true" outlineLevel="0" collapsed="false">
      <c r="A135" s="11" t="s">
        <v>375</v>
      </c>
      <c r="B135" s="25" t="n">
        <f aca="false">B136+B137</f>
        <v>4582.5</v>
      </c>
      <c r="C135" s="25" t="n">
        <f aca="false">C136+C137</f>
        <v>4571.5</v>
      </c>
      <c r="D135" s="25" t="n">
        <f aca="false">B135-C135</f>
        <v>11</v>
      </c>
      <c r="E135" s="26" t="n">
        <f aca="false">IF(C135=0,"n/m",D135/ABS(C135))</f>
        <v>0.0024062124029312</v>
      </c>
      <c r="G135" s="6" t="s">
        <v>534</v>
      </c>
      <c r="I135" s="51" t="s">
        <v>434</v>
      </c>
      <c r="J135" s="52" t="str">
        <f aca="false">IF(AND(ROUND(B135-K135,4)=0,ROUND(C135-L135,4)=0,TRUE()),"✓","✗")</f>
        <v>✓</v>
      </c>
      <c r="K135" s="61" t="n">
        <v>4582.5</v>
      </c>
      <c r="L135" s="61" t="n">
        <v>4571.5</v>
      </c>
    </row>
    <row r="136" customFormat="false" ht="27.75" hidden="false" customHeight="true" outlineLevel="1" collapsed="false">
      <c r="A136" s="62" t="s">
        <v>377</v>
      </c>
      <c r="B136" s="34" t="n">
        <v>382.5</v>
      </c>
      <c r="C136" s="34" t="n">
        <v>371.5</v>
      </c>
      <c r="D136" s="25" t="n">
        <f aca="false">B136-C136</f>
        <v>11</v>
      </c>
      <c r="E136" s="26" t="n">
        <f aca="false">IF(C136=0,"n/m",D136/ABS(C136))</f>
        <v>0.0296096904441454</v>
      </c>
      <c r="G136" s="63" t="s">
        <v>535</v>
      </c>
      <c r="I136" s="18" t="s">
        <v>191</v>
      </c>
      <c r="J136" s="52" t="s">
        <v>182</v>
      </c>
    </row>
    <row r="137" customFormat="false" ht="15" hidden="false" customHeight="true" outlineLevel="1" collapsed="false">
      <c r="A137" s="62" t="s">
        <v>379</v>
      </c>
      <c r="B137" s="34" t="n">
        <v>4200</v>
      </c>
      <c r="C137" s="34" t="n">
        <v>4200</v>
      </c>
      <c r="D137" s="25" t="n">
        <f aca="false">B137-C137</f>
        <v>0</v>
      </c>
      <c r="E137" s="26" t="n">
        <f aca="false">IF(C137=0,"n/m",D137/ABS(C137))</f>
        <v>0</v>
      </c>
      <c r="G137" s="63" t="s">
        <v>536</v>
      </c>
      <c r="I137" s="18" t="s">
        <v>191</v>
      </c>
      <c r="J137" s="52" t="s">
        <v>182</v>
      </c>
    </row>
    <row r="138" customFormat="false" ht="27.75" hidden="false" customHeight="true" outlineLevel="0" collapsed="false">
      <c r="A138" s="53" t="s">
        <v>381</v>
      </c>
      <c r="B138" s="37" t="n">
        <f aca="false">B131+B135</f>
        <v>6203.28044</v>
      </c>
      <c r="C138" s="37" t="n">
        <f aca="false">C131+C135</f>
        <v>4934.12488</v>
      </c>
      <c r="D138" s="37" t="n">
        <f aca="false">B138-C138</f>
        <v>1269.15556</v>
      </c>
      <c r="E138" s="54" t="n">
        <f aca="false">IF(C138=0,"n/m",D138/ABS(C138))</f>
        <v>0.257219991562111</v>
      </c>
      <c r="F138" s="75"/>
      <c r="G138" s="56" t="s">
        <v>537</v>
      </c>
      <c r="H138" s="75"/>
      <c r="I138" s="58" t="s">
        <v>434</v>
      </c>
      <c r="J138" s="59" t="str">
        <f aca="false">IF(AND(ROUND(B138-K138,4)=0,ROUND(C138-L138,4)=0,TRUE()),"✓","✗")</f>
        <v>✓</v>
      </c>
      <c r="K138" s="60" t="n">
        <v>6203.28044</v>
      </c>
      <c r="L138" s="60" t="n">
        <v>4934.12488</v>
      </c>
    </row>
    <row r="139" customFormat="false" ht="40.5" hidden="false" customHeight="true" outlineLevel="0" collapsed="false">
      <c r="A139" s="11" t="s">
        <v>383</v>
      </c>
      <c r="B139" s="25" t="n">
        <f aca="false">B140+B141</f>
        <v>13819.266</v>
      </c>
      <c r="C139" s="25" t="n">
        <f aca="false">C140+C141</f>
        <v>13302.065</v>
      </c>
      <c r="D139" s="25" t="n">
        <f aca="false">B139-C139</f>
        <v>517.200999999999</v>
      </c>
      <c r="E139" s="26" t="n">
        <f aca="false">IF(C139=0,"n/m",D139/ABS(C139))</f>
        <v>0.0388812564064301</v>
      </c>
      <c r="G139" s="6" t="s">
        <v>538</v>
      </c>
      <c r="I139" s="51" t="s">
        <v>434</v>
      </c>
      <c r="J139" s="52" t="str">
        <f aca="false">IF(AND(ROUND(B139-K139,4)=0,ROUND(C139-L139,4)=0,TRUE()),"✓","✗")</f>
        <v>✓</v>
      </c>
      <c r="K139" s="61" t="n">
        <v>13819.266</v>
      </c>
      <c r="L139" s="61" t="n">
        <v>13302.065</v>
      </c>
    </row>
    <row r="140" customFormat="false" ht="27.75" hidden="false" customHeight="true" outlineLevel="1" collapsed="false">
      <c r="A140" s="62" t="s">
        <v>385</v>
      </c>
      <c r="B140" s="34" t="n">
        <v>13346</v>
      </c>
      <c r="C140" s="34" t="n">
        <v>13188</v>
      </c>
      <c r="D140" s="25" t="n">
        <f aca="false">B140-C140</f>
        <v>158</v>
      </c>
      <c r="E140" s="26" t="n">
        <f aca="false">IF(C140=0,"n/m",D140/ABS(C140))</f>
        <v>0.0119805884137094</v>
      </c>
      <c r="G140" s="6" t="s">
        <v>539</v>
      </c>
      <c r="I140" s="51" t="s">
        <v>434</v>
      </c>
      <c r="J140" s="52" t="s">
        <v>182</v>
      </c>
    </row>
    <row r="141" customFormat="false" ht="27.75" hidden="false" customHeight="true" outlineLevel="1" collapsed="false">
      <c r="A141" s="62" t="s">
        <v>387</v>
      </c>
      <c r="B141" s="34" t="n">
        <v>473.266</v>
      </c>
      <c r="C141" s="34" t="n">
        <v>114.065</v>
      </c>
      <c r="D141" s="25" t="n">
        <f aca="false">B141-C141</f>
        <v>359.201</v>
      </c>
      <c r="E141" s="26" t="n">
        <f aca="false">IF(C141=0,"n/m",D141/ABS(C141))</f>
        <v>3.14909043089467</v>
      </c>
      <c r="G141" s="6" t="s">
        <v>540</v>
      </c>
      <c r="I141" s="51" t="s">
        <v>434</v>
      </c>
      <c r="J141" s="52" t="s">
        <v>182</v>
      </c>
    </row>
    <row r="142" customFormat="false" ht="27.75" hidden="false" customHeight="true" outlineLevel="0" collapsed="false">
      <c r="A142" s="64" t="s">
        <v>389</v>
      </c>
      <c r="B142" s="65" t="n">
        <f aca="false">B138+B139</f>
        <v>20022.54644</v>
      </c>
      <c r="C142" s="65" t="n">
        <f aca="false">C138+C139</f>
        <v>18236.18988</v>
      </c>
      <c r="D142" s="65" t="n">
        <f aca="false">B142-C142</f>
        <v>1786.35656</v>
      </c>
      <c r="E142" s="66" t="n">
        <f aca="false">IF(C142=0,"n/m",D142/ABS(C142))</f>
        <v>0.0979566769020721</v>
      </c>
      <c r="F142" s="74"/>
      <c r="G142" s="68" t="s">
        <v>541</v>
      </c>
      <c r="H142" s="74"/>
      <c r="I142" s="70" t="s">
        <v>434</v>
      </c>
      <c r="J142" s="71" t="str">
        <f aca="false">IF(AND(ROUND(B142-K142,4)=0,ROUND(C142-L142,4)=0,TRUE()),"✓","✗")</f>
        <v>✓</v>
      </c>
      <c r="K142" s="72" t="n">
        <v>20022.54644</v>
      </c>
      <c r="L142" s="72" t="n">
        <v>18236.18988</v>
      </c>
    </row>
    <row r="144" customFormat="false" ht="18" hidden="false" customHeight="true" outlineLevel="0" collapsed="false">
      <c r="A144" s="44" t="s">
        <v>391</v>
      </c>
      <c r="B144" s="45"/>
      <c r="C144" s="45"/>
      <c r="D144" s="45"/>
      <c r="E144" s="45"/>
      <c r="F144" s="45"/>
      <c r="G144" s="45"/>
      <c r="H144" s="45"/>
      <c r="I144" s="45"/>
      <c r="J144" s="45"/>
      <c r="K144" s="45"/>
      <c r="L144" s="45"/>
    </row>
    <row r="145" customFormat="false" ht="27.75" hidden="false" customHeight="true" outlineLevel="0" collapsed="false">
      <c r="A145" s="11" t="s">
        <v>97</v>
      </c>
      <c r="B145" s="34" t="n">
        <v>359.201</v>
      </c>
      <c r="C145" s="34" t="n">
        <v>407.705</v>
      </c>
      <c r="D145" s="25" t="n">
        <f aca="false">B145-C145</f>
        <v>-48.504</v>
      </c>
      <c r="E145" s="26" t="n">
        <f aca="false">IF(C145=0,"n/m",D145/ABS(C145))</f>
        <v>-0.11896837173937</v>
      </c>
      <c r="F145" s="49" t="str">
        <f aca="false">IF(ROUND(D145,5)=0,"",IF(D145&gt;0,"F","U"))</f>
        <v>U</v>
      </c>
      <c r="G145" s="6" t="s">
        <v>542</v>
      </c>
      <c r="I145" s="51" t="s">
        <v>434</v>
      </c>
      <c r="J145" s="52" t="s">
        <v>182</v>
      </c>
    </row>
    <row r="146" customFormat="false" ht="40.5" hidden="false" customHeight="true" outlineLevel="0" collapsed="false">
      <c r="A146" s="11" t="s">
        <v>393</v>
      </c>
      <c r="B146" s="25" t="n">
        <f aca="false">B147+B148+B149+B150</f>
        <v>366</v>
      </c>
      <c r="C146" s="25" t="n">
        <f aca="false">C147+C148+C149+C150</f>
        <v>342</v>
      </c>
      <c r="D146" s="25" t="n">
        <f aca="false">B146-C146</f>
        <v>24</v>
      </c>
      <c r="E146" s="26" t="n">
        <f aca="false">IF(C146=0,"n/m",D146/ABS(C146))</f>
        <v>0.0701754385964912</v>
      </c>
      <c r="F146" s="49" t="str">
        <f aca="false">IF(ROUND(D146,5)=0,"",IF(D146&gt;0,"F","U"))</f>
        <v>F</v>
      </c>
      <c r="G146" s="6" t="s">
        <v>543</v>
      </c>
      <c r="I146" s="51" t="s">
        <v>434</v>
      </c>
      <c r="J146" s="52" t="str">
        <f aca="false">IF(AND(ROUND(B146-K146,4)=0,ROUND(C146-L146,4)=0,TRUE()),"✓","✗")</f>
        <v>✓</v>
      </c>
      <c r="K146" s="61" t="n">
        <v>366</v>
      </c>
      <c r="L146" s="61" t="n">
        <v>342</v>
      </c>
    </row>
    <row r="147" customFormat="false" ht="27.75" hidden="false" customHeight="true" outlineLevel="1" collapsed="false">
      <c r="A147" s="62" t="s">
        <v>395</v>
      </c>
      <c r="B147" s="34" t="n">
        <v>118</v>
      </c>
      <c r="C147" s="34" t="n">
        <v>112</v>
      </c>
      <c r="D147" s="25" t="n">
        <f aca="false">B147-C147</f>
        <v>6</v>
      </c>
      <c r="E147" s="26" t="n">
        <f aca="false">IF(C147=0,"n/m",D147/ABS(C147))</f>
        <v>0.0535714285714286</v>
      </c>
      <c r="F147" s="49" t="str">
        <f aca="false">IF(ROUND(D147,5)=0,"",IF(D147&gt;0,"F","U"))</f>
        <v>F</v>
      </c>
      <c r="G147" s="63" t="s">
        <v>544</v>
      </c>
      <c r="I147" s="18" t="s">
        <v>191</v>
      </c>
      <c r="J147" s="52" t="s">
        <v>182</v>
      </c>
    </row>
    <row r="148" customFormat="false" ht="27.75" hidden="false" customHeight="true" outlineLevel="1" collapsed="false">
      <c r="A148" s="62" t="s">
        <v>397</v>
      </c>
      <c r="B148" s="34" t="n">
        <v>158</v>
      </c>
      <c r="C148" s="34" t="n">
        <v>148</v>
      </c>
      <c r="D148" s="25" t="n">
        <f aca="false">B148-C148</f>
        <v>10</v>
      </c>
      <c r="E148" s="26" t="n">
        <f aca="false">IF(C148=0,"n/m",D148/ABS(C148))</f>
        <v>0.0675675675675676</v>
      </c>
      <c r="F148" s="49" t="str">
        <f aca="false">IF(ROUND(D148,5)=0,"",IF(D148&gt;0,"F","U"))</f>
        <v>F</v>
      </c>
      <c r="G148" s="63" t="s">
        <v>545</v>
      </c>
      <c r="I148" s="18" t="s">
        <v>191</v>
      </c>
      <c r="J148" s="52" t="s">
        <v>182</v>
      </c>
    </row>
    <row r="149" customFormat="false" ht="40.5" hidden="false" customHeight="true" outlineLevel="1" collapsed="false">
      <c r="A149" s="62" t="s">
        <v>399</v>
      </c>
      <c r="B149" s="34" t="n">
        <v>79</v>
      </c>
      <c r="C149" s="34" t="n">
        <v>72.5</v>
      </c>
      <c r="D149" s="25" t="n">
        <f aca="false">B149-C149</f>
        <v>6.5</v>
      </c>
      <c r="E149" s="26" t="n">
        <f aca="false">IF(C149=0,"n/m",D149/ABS(C149))</f>
        <v>0.0896551724137931</v>
      </c>
      <c r="F149" s="49" t="str">
        <f aca="false">IF(ROUND(D149,5)=0,"",IF(D149&gt;0,"F","U"))</f>
        <v>F</v>
      </c>
      <c r="G149" s="63" t="s">
        <v>546</v>
      </c>
      <c r="I149" s="18" t="s">
        <v>191</v>
      </c>
      <c r="J149" s="52" t="s">
        <v>182</v>
      </c>
    </row>
    <row r="150" customFormat="false" ht="27.75" hidden="false" customHeight="true" outlineLevel="1" collapsed="false">
      <c r="A150" s="62" t="s">
        <v>401</v>
      </c>
      <c r="B150" s="34" t="n">
        <v>11</v>
      </c>
      <c r="C150" s="34" t="n">
        <v>9.5</v>
      </c>
      <c r="D150" s="25" t="n">
        <f aca="false">B150-C150</f>
        <v>1.5</v>
      </c>
      <c r="E150" s="26" t="n">
        <f aca="false">IF(C150=0,"n/m",D150/ABS(C150))</f>
        <v>0.157894736842105</v>
      </c>
      <c r="F150" s="49" t="str">
        <f aca="false">IF(ROUND(D150,5)=0,"",IF(D150&gt;0,"F","U"))</f>
        <v>F</v>
      </c>
      <c r="G150" s="63" t="s">
        <v>547</v>
      </c>
      <c r="I150" s="18" t="s">
        <v>191</v>
      </c>
      <c r="J150" s="52" t="s">
        <v>182</v>
      </c>
    </row>
    <row r="151" customFormat="false" ht="40.5" hidden="false" customHeight="true" outlineLevel="0" collapsed="false">
      <c r="A151" s="11" t="s">
        <v>403</v>
      </c>
      <c r="B151" s="25" t="n">
        <f aca="false">B152+B153+B154+B155+B156+B157</f>
        <v>-216.87759</v>
      </c>
      <c r="C151" s="25" t="n">
        <f aca="false">C152+C153+C154+C155+C156+C157</f>
        <v>-266.87655</v>
      </c>
      <c r="D151" s="25" t="n">
        <f aca="false">B151-C151</f>
        <v>49.9989599999999</v>
      </c>
      <c r="E151" s="26" t="n">
        <f aca="false">IF(C151=0,"n/m",D151/ABS(C151))</f>
        <v>0.187348644907167</v>
      </c>
      <c r="F151" s="49" t="str">
        <f aca="false">IF(ROUND(D151,5)=0,"",IF(D151&gt;0,"F","U"))</f>
        <v>F</v>
      </c>
      <c r="G151" s="6" t="s">
        <v>548</v>
      </c>
      <c r="I151" s="51" t="s">
        <v>434</v>
      </c>
      <c r="J151" s="52" t="str">
        <f aca="false">IF(AND(ROUND(B151-K151,4)=0,ROUND(C151-L151,4)=0,TRUE()),"✓","✗")</f>
        <v>✓</v>
      </c>
      <c r="K151" s="61" t="n">
        <v>-216.87759</v>
      </c>
      <c r="L151" s="61" t="n">
        <v>-266.87655</v>
      </c>
    </row>
    <row r="152" customFormat="false" ht="27.75" hidden="false" customHeight="true" outlineLevel="1" collapsed="false">
      <c r="A152" s="62" t="s">
        <v>405</v>
      </c>
      <c r="B152" s="34" t="n">
        <v>-1472.03315</v>
      </c>
      <c r="C152" s="34" t="n">
        <v>-1278.81195</v>
      </c>
      <c r="D152" s="25" t="n">
        <f aca="false">B152-C152</f>
        <v>-193.2212</v>
      </c>
      <c r="E152" s="26" t="n">
        <f aca="false">IF(C152=0,"n/m",D152/ABS(C152))</f>
        <v>-0.151094302801909</v>
      </c>
      <c r="F152" s="49" t="str">
        <f aca="false">IF(ROUND(D152,5)=0,"",IF(D152&gt;0,"F","U"))</f>
        <v>U</v>
      </c>
      <c r="G152" s="6" t="s">
        <v>549</v>
      </c>
      <c r="I152" s="51" t="s">
        <v>434</v>
      </c>
      <c r="J152" s="52" t="s">
        <v>182</v>
      </c>
    </row>
    <row r="153" customFormat="false" ht="27.75" hidden="false" customHeight="true" outlineLevel="1" collapsed="false">
      <c r="A153" s="62" t="s">
        <v>407</v>
      </c>
      <c r="B153" s="34" t="n">
        <v>92</v>
      </c>
      <c r="C153" s="34" t="n">
        <v>88.8</v>
      </c>
      <c r="D153" s="25" t="n">
        <f aca="false">B153-C153</f>
        <v>3.2</v>
      </c>
      <c r="E153" s="26" t="n">
        <f aca="false">IF(C153=0,"n/m",D153/ABS(C153))</f>
        <v>0.0360360360360361</v>
      </c>
      <c r="F153" s="49" t="str">
        <f aca="false">IF(ROUND(D153,5)=0,"",IF(D153&gt;0,"F","U"))</f>
        <v>F</v>
      </c>
      <c r="G153" s="63" t="s">
        <v>550</v>
      </c>
      <c r="I153" s="18" t="s">
        <v>191</v>
      </c>
      <c r="J153" s="52" t="s">
        <v>182</v>
      </c>
    </row>
    <row r="154" customFormat="false" ht="27.75" hidden="false" customHeight="true" outlineLevel="1" collapsed="false">
      <c r="A154" s="62" t="s">
        <v>409</v>
      </c>
      <c r="B154" s="34" t="n">
        <v>-95</v>
      </c>
      <c r="C154" s="34" t="n">
        <v>-80</v>
      </c>
      <c r="D154" s="25" t="n">
        <f aca="false">B154-C154</f>
        <v>-15</v>
      </c>
      <c r="E154" s="26" t="n">
        <f aca="false">IF(C154=0,"n/m",D154/ABS(C154))</f>
        <v>-0.1875</v>
      </c>
      <c r="F154" s="49" t="str">
        <f aca="false">IF(ROUND(D154,5)=0,"",IF(D154&gt;0,"F","U"))</f>
        <v>U</v>
      </c>
      <c r="G154" s="6" t="s">
        <v>551</v>
      </c>
      <c r="I154" s="51" t="s">
        <v>434</v>
      </c>
      <c r="J154" s="52" t="s">
        <v>182</v>
      </c>
    </row>
    <row r="155" customFormat="false" ht="27.75" hidden="false" customHeight="true" outlineLevel="1" collapsed="false">
      <c r="A155" s="62" t="s">
        <v>411</v>
      </c>
      <c r="B155" s="34" t="n">
        <v>45</v>
      </c>
      <c r="C155" s="34" t="n">
        <v>13.933</v>
      </c>
      <c r="D155" s="25" t="n">
        <f aca="false">B155-C155</f>
        <v>31.067</v>
      </c>
      <c r="E155" s="26" t="n">
        <f aca="false">IF(C155=0,"n/m",D155/ABS(C155))</f>
        <v>2.22974233833345</v>
      </c>
      <c r="F155" s="49" t="str">
        <f aca="false">IF(ROUND(D155,5)=0,"",IF(D155&gt;0,"F","U"))</f>
        <v>F</v>
      </c>
      <c r="G155" s="6" t="s">
        <v>552</v>
      </c>
      <c r="I155" s="51" t="s">
        <v>434</v>
      </c>
      <c r="J155" s="52" t="s">
        <v>182</v>
      </c>
    </row>
    <row r="156" customFormat="false" ht="40.5" hidden="false" customHeight="true" outlineLevel="1" collapsed="false">
      <c r="A156" s="62" t="s">
        <v>413</v>
      </c>
      <c r="B156" s="34" t="n">
        <v>93.86756</v>
      </c>
      <c r="C156" s="34" t="n">
        <v>-68.3146</v>
      </c>
      <c r="D156" s="25" t="n">
        <f aca="false">B156-C156</f>
        <v>162.18216</v>
      </c>
      <c r="E156" s="26" t="n">
        <f aca="false">IF(C156=0,"n/m",D156/ABS(C156))</f>
        <v>2.37404830007056</v>
      </c>
      <c r="F156" s="49" t="str">
        <f aca="false">IF(ROUND(D156,5)=0,"",IF(D156&gt;0,"F","U"))</f>
        <v>F</v>
      </c>
      <c r="G156" s="6" t="s">
        <v>553</v>
      </c>
      <c r="I156" s="51" t="s">
        <v>434</v>
      </c>
      <c r="J156" s="52" t="s">
        <v>182</v>
      </c>
    </row>
    <row r="157" customFormat="false" ht="27.75" hidden="false" customHeight="true" outlineLevel="1" collapsed="false">
      <c r="A157" s="62" t="s">
        <v>415</v>
      </c>
      <c r="B157" s="34" t="n">
        <v>1119.288</v>
      </c>
      <c r="C157" s="34" t="n">
        <v>1057.517</v>
      </c>
      <c r="D157" s="25" t="n">
        <f aca="false">B157-C157</f>
        <v>61.771</v>
      </c>
      <c r="E157" s="26" t="n">
        <f aca="false">IF(C157=0,"n/m",D157/ABS(C157))</f>
        <v>0.0584113541437159</v>
      </c>
      <c r="F157" s="49" t="str">
        <f aca="false">IF(ROUND(D157,5)=0,"",IF(D157&gt;0,"F","U"))</f>
        <v>F</v>
      </c>
      <c r="G157" s="6" t="s">
        <v>554</v>
      </c>
      <c r="I157" s="51" t="s">
        <v>434</v>
      </c>
      <c r="J157" s="52" t="s">
        <v>182</v>
      </c>
    </row>
    <row r="158" customFormat="false" ht="40.5" hidden="false" customHeight="true" outlineLevel="0" collapsed="false">
      <c r="A158" s="64" t="s">
        <v>417</v>
      </c>
      <c r="B158" s="65" t="n">
        <f aca="false">B145+B146+B151</f>
        <v>508.32341</v>
      </c>
      <c r="C158" s="65" t="n">
        <f aca="false">C145+C146+C151</f>
        <v>482.82845</v>
      </c>
      <c r="D158" s="65" t="n">
        <f aca="false">B158-C158</f>
        <v>25.49496</v>
      </c>
      <c r="E158" s="66" t="n">
        <f aca="false">IF(C158=0,"n/m",D158/ABS(C158))</f>
        <v>0.0528033507553252</v>
      </c>
      <c r="F158" s="67" t="str">
        <f aca="false">IF(ROUND(D158,5)=0,"",IF(D158&gt;0,"F","U"))</f>
        <v>F</v>
      </c>
      <c r="G158" s="68" t="s">
        <v>555</v>
      </c>
      <c r="H158" s="74"/>
      <c r="I158" s="70" t="s">
        <v>434</v>
      </c>
      <c r="J158" s="71" t="str">
        <f aca="false">IF(AND(ROUND(B158-K158,4)=0,ROUND(C158-L158,4)=0,TRUE()),"✓","✗")</f>
        <v>✓</v>
      </c>
      <c r="K158" s="72" t="n">
        <v>508.32341</v>
      </c>
      <c r="L158" s="72" t="n">
        <v>482.82845</v>
      </c>
    </row>
    <row r="159" customFormat="false" ht="27.75" hidden="false" customHeight="true" outlineLevel="0" collapsed="false">
      <c r="A159" s="11" t="s">
        <v>419</v>
      </c>
      <c r="B159" s="25" t="n">
        <f aca="false">B160</f>
        <v>-206</v>
      </c>
      <c r="C159" s="25" t="n">
        <f aca="false">C160</f>
        <v>-66</v>
      </c>
      <c r="D159" s="25" t="n">
        <f aca="false">B159-C159</f>
        <v>-140</v>
      </c>
      <c r="E159" s="26" t="n">
        <f aca="false">IF(C159=0,"n/m",D159/ABS(C159))</f>
        <v>-2.12121212121212</v>
      </c>
      <c r="F159" s="49" t="str">
        <f aca="false">IF(ROUND(D159,5)=0,"",IF(D159&gt;0,"F","U"))</f>
        <v>U</v>
      </c>
      <c r="G159" s="6" t="s">
        <v>556</v>
      </c>
      <c r="I159" s="51" t="s">
        <v>434</v>
      </c>
      <c r="J159" s="52" t="str">
        <f aca="false">IF(AND(ROUND(B159-K159,4)=0,ROUND(C159-L159,4)=0,TRUE()),"✓","✗")</f>
        <v>✓</v>
      </c>
      <c r="K159" s="61" t="n">
        <v>-206</v>
      </c>
      <c r="L159" s="61" t="n">
        <v>-66</v>
      </c>
    </row>
    <row r="160" customFormat="false" ht="27.75" hidden="false" customHeight="true" outlineLevel="1" collapsed="false">
      <c r="A160" s="62" t="s">
        <v>421</v>
      </c>
      <c r="B160" s="34" t="n">
        <v>-206</v>
      </c>
      <c r="C160" s="34" t="n">
        <v>-66</v>
      </c>
      <c r="D160" s="25" t="n">
        <f aca="false">B160-C160</f>
        <v>-140</v>
      </c>
      <c r="E160" s="26" t="n">
        <f aca="false">IF(C160=0,"n/m",D160/ABS(C160))</f>
        <v>-2.12121212121212</v>
      </c>
      <c r="F160" s="49" t="str">
        <f aca="false">IF(ROUND(D160,5)=0,"",IF(D160&gt;0,"F","U"))</f>
        <v>U</v>
      </c>
      <c r="G160" s="6" t="s">
        <v>557</v>
      </c>
      <c r="I160" s="51" t="s">
        <v>434</v>
      </c>
      <c r="J160" s="52" t="s">
        <v>182</v>
      </c>
    </row>
    <row r="161" customFormat="false" ht="27.75" hidden="false" customHeight="true" outlineLevel="0" collapsed="false">
      <c r="A161" s="11" t="s">
        <v>423</v>
      </c>
      <c r="B161" s="25" t="n">
        <f aca="false">B162+B163</f>
        <v>0</v>
      </c>
      <c r="C161" s="25" t="n">
        <f aca="false">C162+C163</f>
        <v>12</v>
      </c>
      <c r="D161" s="25" t="n">
        <f aca="false">B161-C161</f>
        <v>-12</v>
      </c>
      <c r="E161" s="26" t="n">
        <f aca="false">IF(C161=0,"n/m",D161/ABS(C161))</f>
        <v>-1</v>
      </c>
      <c r="F161" s="49" t="str">
        <f aca="false">IF(ROUND(D161,5)=0,"",IF(D161&gt;0,"F","U"))</f>
        <v>U</v>
      </c>
      <c r="G161" s="6" t="s">
        <v>558</v>
      </c>
      <c r="I161" s="51" t="s">
        <v>434</v>
      </c>
      <c r="J161" s="52" t="str">
        <f aca="false">IF(AND(ROUND(B161-K161,4)=0,ROUND(C161-L161,4)=0,TRUE()),"✓","✗")</f>
        <v>✓</v>
      </c>
      <c r="K161" s="61" t="n">
        <v>0</v>
      </c>
      <c r="L161" s="61" t="n">
        <v>12</v>
      </c>
    </row>
    <row r="162" customFormat="false" ht="15" hidden="false" customHeight="true" outlineLevel="1" collapsed="false">
      <c r="A162" s="62" t="s">
        <v>425</v>
      </c>
      <c r="B162" s="34" t="n">
        <v>0</v>
      </c>
      <c r="C162" s="34" t="n">
        <v>0</v>
      </c>
      <c r="D162" s="25" t="n">
        <f aca="false">B162-C162</f>
        <v>0</v>
      </c>
      <c r="E162" s="26" t="str">
        <f aca="false">IF(C162=0,"n/m",D162/ABS(C162))</f>
        <v>n/m</v>
      </c>
      <c r="F162" s="49" t="str">
        <f aca="false">IF(ROUND(D162,5)=0,"",IF(D162&gt;0,"F","U"))</f>
        <v/>
      </c>
      <c r="G162" s="63" t="s">
        <v>559</v>
      </c>
      <c r="I162" s="18" t="s">
        <v>191</v>
      </c>
      <c r="J162" s="52" t="s">
        <v>182</v>
      </c>
    </row>
    <row r="163" customFormat="false" ht="27.75" hidden="false" customHeight="true" outlineLevel="1" collapsed="false">
      <c r="A163" s="62" t="s">
        <v>427</v>
      </c>
      <c r="B163" s="34" t="n">
        <v>0</v>
      </c>
      <c r="C163" s="34" t="n">
        <v>12</v>
      </c>
      <c r="D163" s="25" t="n">
        <f aca="false">B163-C163</f>
        <v>-12</v>
      </c>
      <c r="E163" s="26" t="n">
        <f aca="false">IF(C163=0,"n/m",D163/ABS(C163))</f>
        <v>-1</v>
      </c>
      <c r="F163" s="49" t="str">
        <f aca="false">IF(ROUND(D163,5)=0,"",IF(D163&gt;0,"F","U"))</f>
        <v>U</v>
      </c>
      <c r="G163" s="6" t="s">
        <v>560</v>
      </c>
      <c r="I163" s="51" t="s">
        <v>434</v>
      </c>
      <c r="J163" s="52" t="s">
        <v>182</v>
      </c>
    </row>
    <row r="164" customFormat="false" ht="40.5" hidden="false" customHeight="true" outlineLevel="0" collapsed="false">
      <c r="A164" s="64" t="s">
        <v>429</v>
      </c>
      <c r="B164" s="65" t="n">
        <f aca="false">B158+B159+B161</f>
        <v>302.32341</v>
      </c>
      <c r="C164" s="65" t="n">
        <f aca="false">C158+C159+C161</f>
        <v>428.82845</v>
      </c>
      <c r="D164" s="65" t="n">
        <f aca="false">B164-C164</f>
        <v>-126.50504</v>
      </c>
      <c r="E164" s="66" t="n">
        <f aca="false">IF(C164=0,"n/m",D164/ABS(C164))</f>
        <v>-0.295001509344821</v>
      </c>
      <c r="F164" s="67" t="str">
        <f aca="false">IF(ROUND(D164,5)=0,"",IF(D164&gt;0,"F","U"))</f>
        <v>U</v>
      </c>
      <c r="G164" s="68" t="s">
        <v>561</v>
      </c>
      <c r="H164" s="74"/>
      <c r="I164" s="70" t="s">
        <v>434</v>
      </c>
      <c r="J164" s="71" t="str">
        <f aca="false">IF(AND(ROUND(B164-K164,4)=0,ROUND(C164-L164,4)=0,TRUE()),"✓","✗")</f>
        <v>✓</v>
      </c>
      <c r="K164" s="72" t="n">
        <v>302.32341</v>
      </c>
      <c r="L164" s="72" t="n">
        <v>428.82845</v>
      </c>
    </row>
    <row r="166" customFormat="false" ht="15" hidden="false" customHeight="false" outlineLevel="0" collapsed="false">
      <c r="A166" s="18" t="s">
        <v>431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1" outlineLevelCol="0"/>
  <cols>
    <col collapsed="false" customWidth="true" hidden="false" outlineLevel="0" max="1" min="1" style="0" width="46"/>
    <col collapsed="false" customWidth="true" hidden="false" outlineLevel="0" max="4" min="2" style="0" width="12"/>
    <col collapsed="false" customWidth="true" hidden="false" outlineLevel="0" max="5" min="5" style="0" width="8"/>
    <col collapsed="false" customWidth="true" hidden="false" outlineLevel="0" max="6" min="6" style="0" width="5"/>
    <col collapsed="false" customWidth="true" hidden="false" outlineLevel="0" max="7" min="7" style="0" width="82"/>
    <col collapsed="false" customWidth="true" hidden="false" outlineLevel="0" max="8" min="8" style="0" width="56"/>
    <col collapsed="false" customWidth="true" hidden="false" outlineLevel="0" max="9" min="9" style="0" width="15"/>
    <col collapsed="false" customWidth="true" hidden="false" outlineLevel="0" max="10" min="10" style="0" width="6"/>
    <col collapsed="false" customWidth="true" hidden="false" outlineLevel="0" max="12" min="11" style="0" width="12"/>
  </cols>
  <sheetData>
    <row r="1" customFormat="false" ht="17.35" hidden="false" customHeight="false" outlineLevel="0" collapsed="false">
      <c r="A1" s="17" t="s">
        <v>110</v>
      </c>
    </row>
    <row r="2" customFormat="false" ht="15" hidden="false" customHeight="false" outlineLevel="0" collapsed="false">
      <c r="A2" s="18" t="s">
        <v>80</v>
      </c>
    </row>
    <row r="3" customFormat="false" ht="15" hidden="false" customHeight="false" outlineLevel="0" collapsed="false">
      <c r="A3" s="18" t="s">
        <v>562</v>
      </c>
    </row>
    <row r="5" customFormat="false" ht="30" hidden="false" customHeight="true" outlineLevel="0" collapsed="false">
      <c r="A5" s="47" t="s">
        <v>173</v>
      </c>
      <c r="B5" s="48" t="s">
        <v>86</v>
      </c>
      <c r="C5" s="48" t="s">
        <v>112</v>
      </c>
      <c r="D5" s="48" t="s">
        <v>88</v>
      </c>
      <c r="E5" s="48" t="s">
        <v>89</v>
      </c>
      <c r="F5" s="48" t="s">
        <v>90</v>
      </c>
      <c r="G5" s="47" t="s">
        <v>174</v>
      </c>
      <c r="H5" s="47" t="s">
        <v>175</v>
      </c>
      <c r="I5" s="47" t="s">
        <v>24</v>
      </c>
      <c r="J5" s="48" t="s">
        <v>176</v>
      </c>
      <c r="K5" s="48" t="s">
        <v>177</v>
      </c>
      <c r="L5" s="48" t="s">
        <v>178</v>
      </c>
    </row>
    <row r="7" customFormat="false" ht="18" hidden="false" customHeight="true" outlineLevel="0" collapsed="false">
      <c r="A7" s="44" t="s">
        <v>152</v>
      </c>
      <c r="B7" s="45"/>
      <c r="C7" s="45"/>
      <c r="D7" s="45"/>
      <c r="E7" s="45"/>
      <c r="F7" s="45"/>
      <c r="G7" s="45"/>
      <c r="H7" s="45"/>
      <c r="I7" s="45"/>
      <c r="J7" s="45"/>
      <c r="K7" s="45"/>
      <c r="L7" s="45"/>
    </row>
    <row r="8" customFormat="false" ht="48" hidden="false" customHeight="true" outlineLevel="0" collapsed="false">
      <c r="A8" s="11" t="s">
        <v>153</v>
      </c>
      <c r="B8" s="34" t="n">
        <v>1800</v>
      </c>
      <c r="C8" s="34" t="n">
        <v>1493.619</v>
      </c>
      <c r="D8" s="25" t="n">
        <f aca="false">B8-C8</f>
        <v>306.381</v>
      </c>
      <c r="E8" s="26" t="n">
        <f aca="false">IF(C8=0,"n/m",D8/ABS(C8))</f>
        <v>0.205126608592955</v>
      </c>
      <c r="F8" s="49" t="str">
        <f aca="false">IF(ROUND(D8,5)=0,"",IF(D8&gt;0,"F","U"))</f>
        <v>F</v>
      </c>
      <c r="G8" s="6" t="s">
        <v>563</v>
      </c>
      <c r="H8" s="50" t="s">
        <v>180</v>
      </c>
      <c r="I8" s="51" t="s">
        <v>434</v>
      </c>
      <c r="J8" s="52" t="s">
        <v>182</v>
      </c>
    </row>
    <row r="9" customFormat="false" ht="40.5" hidden="false" customHeight="true" outlineLevel="0" collapsed="false">
      <c r="A9" s="11" t="s">
        <v>154</v>
      </c>
      <c r="B9" s="34" t="n">
        <v>200</v>
      </c>
      <c r="C9" s="34" t="n">
        <v>130</v>
      </c>
      <c r="D9" s="25" t="n">
        <f aca="false">B9-C9</f>
        <v>70</v>
      </c>
      <c r="E9" s="26" t="n">
        <f aca="false">IF(C9=0,"n/m",D9/ABS(C9))</f>
        <v>0.538461538461538</v>
      </c>
      <c r="F9" s="49" t="str">
        <f aca="false">IF(ROUND(D9,5)=0,"",IF(D9&gt;0,"F","U"))</f>
        <v>F</v>
      </c>
      <c r="G9" s="6" t="s">
        <v>564</v>
      </c>
      <c r="H9" s="50" t="s">
        <v>184</v>
      </c>
      <c r="I9" s="51" t="s">
        <v>434</v>
      </c>
      <c r="J9" s="52" t="s">
        <v>182</v>
      </c>
    </row>
    <row r="10" customFormat="false" ht="40.5" hidden="false" customHeight="true" outlineLevel="0" collapsed="false">
      <c r="A10" s="53" t="s">
        <v>91</v>
      </c>
      <c r="B10" s="37" t="n">
        <f aca="false">B8+B9</f>
        <v>2000</v>
      </c>
      <c r="C10" s="37" t="n">
        <f aca="false">C8+C9</f>
        <v>1623.619</v>
      </c>
      <c r="D10" s="37" t="n">
        <f aca="false">B10-C10</f>
        <v>376.381</v>
      </c>
      <c r="E10" s="54" t="n">
        <f aca="false">IF(C10=0,"n/m",D10/ABS(C10))</f>
        <v>0.231816084931256</v>
      </c>
      <c r="F10" s="55" t="str">
        <f aca="false">IF(ROUND(D10,5)=0,"",IF(D10&gt;0,"F","U"))</f>
        <v>F</v>
      </c>
      <c r="G10" s="56" t="s">
        <v>565</v>
      </c>
      <c r="H10" s="57" t="s">
        <v>186</v>
      </c>
      <c r="I10" s="58" t="s">
        <v>434</v>
      </c>
      <c r="J10" s="59" t="str">
        <f aca="false">IF(AND(ROUND(B10-K10,4)=0,ROUND(C10-L10,4)=0,TRUE()),"✓","✗")</f>
        <v>✓</v>
      </c>
      <c r="K10" s="60" t="n">
        <v>2000</v>
      </c>
      <c r="L10" s="60" t="n">
        <v>1623.619</v>
      </c>
    </row>
    <row r="11" customFormat="false" ht="60" hidden="false" customHeight="true" outlineLevel="0" collapsed="false">
      <c r="A11" s="11" t="s">
        <v>155</v>
      </c>
      <c r="B11" s="25" t="n">
        <f aca="false">B12+B13+B14+B15+B16+B17+B18</f>
        <v>540</v>
      </c>
      <c r="C11" s="25" t="n">
        <f aca="false">C12+C13+C14+C15+C16+C17+C18</f>
        <v>411.46718</v>
      </c>
      <c r="D11" s="25" t="n">
        <f aca="false">B11-C11</f>
        <v>128.53282</v>
      </c>
      <c r="E11" s="26" t="n">
        <f aca="false">IF(C11=0,"n/m",D11/ABS(C11))</f>
        <v>0.312376846192204</v>
      </c>
      <c r="F11" s="49" t="str">
        <f aca="false">IF(ROUND(D11,5)=0,"",IF(D11&lt;0,"F","U"))</f>
        <v>U</v>
      </c>
      <c r="G11" s="6" t="s">
        <v>566</v>
      </c>
      <c r="H11" s="50" t="s">
        <v>188</v>
      </c>
      <c r="I11" s="51" t="s">
        <v>434</v>
      </c>
      <c r="J11" s="52" t="str">
        <f aca="false">IF(AND(ROUND(B11-K11,4)=0,ROUND(C11-L11,4)=0,TRUE()),"✓","✗")</f>
        <v>✓</v>
      </c>
      <c r="K11" s="61" t="n">
        <v>540</v>
      </c>
      <c r="L11" s="61" t="n">
        <v>411.46718</v>
      </c>
    </row>
    <row r="12" customFormat="false" ht="27.75" hidden="false" customHeight="true" outlineLevel="1" collapsed="false">
      <c r="A12" s="62" t="s">
        <v>189</v>
      </c>
      <c r="B12" s="34" t="n">
        <v>140</v>
      </c>
      <c r="C12" s="34" t="n">
        <v>101</v>
      </c>
      <c r="D12" s="25" t="n">
        <f aca="false">B12-C12</f>
        <v>39</v>
      </c>
      <c r="E12" s="26" t="n">
        <f aca="false">IF(C12=0,"n/m",D12/ABS(C12))</f>
        <v>0.386138613861386</v>
      </c>
      <c r="F12" s="49" t="str">
        <f aca="false">IF(ROUND(D12,5)=0,"",IF(D12&lt;0,"F","U"))</f>
        <v>U</v>
      </c>
      <c r="G12" s="6" t="s">
        <v>567</v>
      </c>
      <c r="I12" s="51" t="s">
        <v>434</v>
      </c>
      <c r="J12" s="52" t="s">
        <v>182</v>
      </c>
    </row>
    <row r="13" customFormat="false" ht="36.75" hidden="false" customHeight="true" outlineLevel="1" collapsed="false">
      <c r="A13" s="62" t="s">
        <v>192</v>
      </c>
      <c r="B13" s="34" t="n">
        <v>100</v>
      </c>
      <c r="C13" s="34" t="n">
        <v>74.87275</v>
      </c>
      <c r="D13" s="25" t="n">
        <f aca="false">B13-C13</f>
        <v>25.12725</v>
      </c>
      <c r="E13" s="26" t="n">
        <f aca="false">IF(C13=0,"n/m",D13/ABS(C13))</f>
        <v>0.335599400315869</v>
      </c>
      <c r="F13" s="49" t="str">
        <f aca="false">IF(ROUND(D13,5)=0,"",IF(D13&lt;0,"F","U"))</f>
        <v>U</v>
      </c>
      <c r="G13" s="6" t="s">
        <v>568</v>
      </c>
      <c r="H13" s="50" t="s">
        <v>194</v>
      </c>
      <c r="I13" s="51" t="s">
        <v>434</v>
      </c>
      <c r="J13" s="52" t="s">
        <v>182</v>
      </c>
    </row>
    <row r="14" customFormat="false" ht="27.75" hidden="false" customHeight="true" outlineLevel="1" collapsed="false">
      <c r="A14" s="62" t="s">
        <v>195</v>
      </c>
      <c r="B14" s="34" t="n">
        <v>84</v>
      </c>
      <c r="C14" s="34" t="n">
        <v>71.3881</v>
      </c>
      <c r="D14" s="25" t="n">
        <f aca="false">B14-C14</f>
        <v>12.6119</v>
      </c>
      <c r="E14" s="26" t="n">
        <f aca="false">IF(C14=0,"n/m",D14/ABS(C14))</f>
        <v>0.176666699351853</v>
      </c>
      <c r="F14" s="49" t="str">
        <f aca="false">IF(ROUND(D14,5)=0,"",IF(D14&lt;0,"F","U"))</f>
        <v>U</v>
      </c>
      <c r="G14" s="6" t="s">
        <v>569</v>
      </c>
      <c r="H14" s="50" t="s">
        <v>197</v>
      </c>
      <c r="I14" s="51" t="s">
        <v>434</v>
      </c>
      <c r="J14" s="52" t="s">
        <v>182</v>
      </c>
    </row>
    <row r="15" customFormat="false" ht="36.75" hidden="false" customHeight="true" outlineLevel="1" collapsed="false">
      <c r="A15" s="62" t="s">
        <v>198</v>
      </c>
      <c r="B15" s="34" t="n">
        <v>160</v>
      </c>
      <c r="C15" s="34" t="n">
        <v>122.183</v>
      </c>
      <c r="D15" s="25" t="n">
        <f aca="false">B15-C15</f>
        <v>37.817</v>
      </c>
      <c r="E15" s="26" t="n">
        <f aca="false">IF(C15=0,"n/m",D15/ABS(C15))</f>
        <v>0.309511143121383</v>
      </c>
      <c r="F15" s="49" t="str">
        <f aca="false">IF(ROUND(D15,5)=0,"",IF(D15&lt;0,"F","U"))</f>
        <v>U</v>
      </c>
      <c r="G15" s="6" t="s">
        <v>570</v>
      </c>
      <c r="H15" s="50" t="s">
        <v>200</v>
      </c>
      <c r="I15" s="51" t="s">
        <v>434</v>
      </c>
      <c r="J15" s="52" t="s">
        <v>182</v>
      </c>
    </row>
    <row r="16" customFormat="false" ht="40.5" hidden="false" customHeight="true" outlineLevel="1" collapsed="false">
      <c r="A16" s="62" t="s">
        <v>201</v>
      </c>
      <c r="B16" s="34" t="n">
        <v>16</v>
      </c>
      <c r="C16" s="34" t="n">
        <v>9.44</v>
      </c>
      <c r="D16" s="25" t="n">
        <f aca="false">B16-C16</f>
        <v>6.56</v>
      </c>
      <c r="E16" s="26" t="n">
        <f aca="false">IF(C16=0,"n/m",D16/ABS(C16))</f>
        <v>0.694915254237288</v>
      </c>
      <c r="F16" s="49" t="str">
        <f aca="false">IF(ROUND(D16,5)=0,"",IF(D16&lt;0,"F","U"))</f>
        <v>U</v>
      </c>
      <c r="G16" s="6" t="s">
        <v>571</v>
      </c>
      <c r="H16" s="50" t="s">
        <v>203</v>
      </c>
      <c r="I16" s="51" t="s">
        <v>434</v>
      </c>
      <c r="J16" s="52" t="s">
        <v>182</v>
      </c>
    </row>
    <row r="17" customFormat="false" ht="40.5" hidden="false" customHeight="true" outlineLevel="1" collapsed="false">
      <c r="A17" s="62" t="s">
        <v>204</v>
      </c>
      <c r="B17" s="34" t="n">
        <v>20</v>
      </c>
      <c r="C17" s="34" t="n">
        <v>16.33333</v>
      </c>
      <c r="D17" s="25" t="n">
        <f aca="false">B17-C17</f>
        <v>3.66667</v>
      </c>
      <c r="E17" s="26" t="n">
        <f aca="false">IF(C17=0,"n/m",D17/ABS(C17))</f>
        <v>0.224490045814295</v>
      </c>
      <c r="F17" s="49" t="str">
        <f aca="false">IF(ROUND(D17,5)=0,"",IF(D17&lt;0,"F","U"))</f>
        <v>U</v>
      </c>
      <c r="G17" s="6" t="s">
        <v>572</v>
      </c>
      <c r="H17" s="50" t="s">
        <v>206</v>
      </c>
      <c r="I17" s="51" t="s">
        <v>434</v>
      </c>
      <c r="J17" s="52" t="s">
        <v>182</v>
      </c>
    </row>
    <row r="18" customFormat="false" ht="27.75" hidden="false" customHeight="true" outlineLevel="1" collapsed="false">
      <c r="A18" s="62" t="s">
        <v>207</v>
      </c>
      <c r="B18" s="34" t="n">
        <v>20</v>
      </c>
      <c r="C18" s="34" t="n">
        <v>16.25</v>
      </c>
      <c r="D18" s="25" t="n">
        <f aca="false">B18-C18</f>
        <v>3.75</v>
      </c>
      <c r="E18" s="26" t="n">
        <f aca="false">IF(C18=0,"n/m",D18/ABS(C18))</f>
        <v>0.230769230769231</v>
      </c>
      <c r="F18" s="49" t="str">
        <f aca="false">IF(ROUND(D18,5)=0,"",IF(D18&lt;0,"F","U"))</f>
        <v>U</v>
      </c>
      <c r="G18" s="6" t="s">
        <v>573</v>
      </c>
      <c r="I18" s="51" t="s">
        <v>434</v>
      </c>
      <c r="J18" s="52" t="s">
        <v>182</v>
      </c>
    </row>
    <row r="19" customFormat="false" ht="27.75" hidden="false" customHeight="true" outlineLevel="0" collapsed="false">
      <c r="A19" s="11" t="s">
        <v>156</v>
      </c>
      <c r="B19" s="34" t="n">
        <v>120</v>
      </c>
      <c r="C19" s="34" t="n">
        <v>103.595</v>
      </c>
      <c r="D19" s="25" t="n">
        <f aca="false">B19-C19</f>
        <v>16.405</v>
      </c>
      <c r="E19" s="26" t="n">
        <f aca="false">IF(C19=0,"n/m",D19/ABS(C19))</f>
        <v>0.158357063564844</v>
      </c>
      <c r="F19" s="49" t="str">
        <f aca="false">IF(ROUND(D19,5)=0,"",IF(D19&lt;0,"F","U"))</f>
        <v>U</v>
      </c>
      <c r="G19" s="6" t="s">
        <v>574</v>
      </c>
      <c r="H19" s="50" t="s">
        <v>210</v>
      </c>
      <c r="I19" s="51" t="s">
        <v>434</v>
      </c>
      <c r="J19" s="52" t="s">
        <v>182</v>
      </c>
    </row>
    <row r="20" customFormat="false" ht="60" hidden="false" customHeight="true" outlineLevel="0" collapsed="false">
      <c r="A20" s="53" t="s">
        <v>101</v>
      </c>
      <c r="B20" s="37" t="n">
        <f aca="false">B11+B19</f>
        <v>660</v>
      </c>
      <c r="C20" s="37" t="n">
        <f aca="false">C11+C19</f>
        <v>515.06218</v>
      </c>
      <c r="D20" s="37" t="n">
        <f aca="false">B20-C20</f>
        <v>144.93782</v>
      </c>
      <c r="E20" s="54" t="n">
        <f aca="false">IF(C20=0,"n/m",D20/ABS(C20))</f>
        <v>0.281398684718028</v>
      </c>
      <c r="F20" s="55" t="str">
        <f aca="false">IF(ROUND(D20,5)=0,"",IF(D20&lt;0,"F","U"))</f>
        <v>U</v>
      </c>
      <c r="G20" s="56" t="s">
        <v>575</v>
      </c>
      <c r="H20" s="57" t="s">
        <v>212</v>
      </c>
      <c r="I20" s="58" t="s">
        <v>434</v>
      </c>
      <c r="J20" s="59" t="str">
        <f aca="false">IF(AND(ROUND(B20-K20,4)=0,ROUND(C20-L20,4)=0,TRUE()),"✓","✗")</f>
        <v>✓</v>
      </c>
      <c r="K20" s="60" t="n">
        <v>660</v>
      </c>
      <c r="L20" s="60" t="n">
        <v>515.06218</v>
      </c>
    </row>
    <row r="21" customFormat="false" ht="60" hidden="false" customHeight="true" outlineLevel="0" collapsed="false">
      <c r="A21" s="64" t="s">
        <v>92</v>
      </c>
      <c r="B21" s="65" t="n">
        <f aca="false">B10-B20</f>
        <v>1340</v>
      </c>
      <c r="C21" s="65" t="n">
        <f aca="false">C10-C20</f>
        <v>1108.55682</v>
      </c>
      <c r="D21" s="65" t="n">
        <f aca="false">B21-C21</f>
        <v>231.44318</v>
      </c>
      <c r="E21" s="66" t="n">
        <f aca="false">IF(C21=0,"n/m",D21/ABS(C21))</f>
        <v>0.208778815685785</v>
      </c>
      <c r="F21" s="67" t="str">
        <f aca="false">IF(ROUND(D21,5)=0,"",IF(D21&gt;0,"F","U"))</f>
        <v>F</v>
      </c>
      <c r="G21" s="68" t="s">
        <v>576</v>
      </c>
      <c r="H21" s="69" t="s">
        <v>214</v>
      </c>
      <c r="I21" s="70" t="s">
        <v>434</v>
      </c>
      <c r="J21" s="71" t="str">
        <f aca="false">IF(AND(ROUND(B21-K21,4)=0,ROUND(C21-L21,4)=0,TRUE()),"✓","✗")</f>
        <v>✓</v>
      </c>
      <c r="K21" s="72" t="n">
        <v>1340</v>
      </c>
      <c r="L21" s="72" t="n">
        <v>1108.55682</v>
      </c>
    </row>
    <row r="22" customFormat="false" ht="48" hidden="false" customHeight="true" outlineLevel="0" collapsed="false">
      <c r="A22" s="11" t="s">
        <v>157</v>
      </c>
      <c r="B22" s="25" t="n">
        <f aca="false">B23+B24+B25+B26+B27</f>
        <v>414</v>
      </c>
      <c r="C22" s="25" t="n">
        <f aca="false">C23+C24+C25+C26+C27</f>
        <v>314.02658</v>
      </c>
      <c r="D22" s="25" t="n">
        <f aca="false">B22-C22</f>
        <v>99.97342</v>
      </c>
      <c r="E22" s="26" t="n">
        <f aca="false">IF(C22=0,"n/m",D22/ABS(C22))</f>
        <v>0.318359738847584</v>
      </c>
      <c r="F22" s="49" t="str">
        <f aca="false">IF(ROUND(D22,5)=0,"",IF(D22&lt;0,"F","U"))</f>
        <v>U</v>
      </c>
      <c r="G22" s="6" t="s">
        <v>577</v>
      </c>
      <c r="H22" s="50" t="s">
        <v>216</v>
      </c>
      <c r="I22" s="51" t="s">
        <v>434</v>
      </c>
      <c r="J22" s="52" t="str">
        <f aca="false">IF(AND(ROUND(B22-K22,4)=0,ROUND(C22-L22,4)=0,TRUE()),"✓","✗")</f>
        <v>✓</v>
      </c>
      <c r="K22" s="61" t="n">
        <v>414</v>
      </c>
      <c r="L22" s="61" t="n">
        <v>314.02658</v>
      </c>
    </row>
    <row r="23" customFormat="false" ht="36.75" hidden="false" customHeight="true" outlineLevel="1" collapsed="false">
      <c r="A23" s="62" t="s">
        <v>192</v>
      </c>
      <c r="B23" s="34" t="n">
        <v>300</v>
      </c>
      <c r="C23" s="34" t="n">
        <v>224.61825</v>
      </c>
      <c r="D23" s="25" t="n">
        <f aca="false">B23-C23</f>
        <v>75.38175</v>
      </c>
      <c r="E23" s="26" t="n">
        <f aca="false">IF(C23=0,"n/m",D23/ABS(C23))</f>
        <v>0.335599400315869</v>
      </c>
      <c r="F23" s="49" t="str">
        <f aca="false">IF(ROUND(D23,5)=0,"",IF(D23&lt;0,"F","U"))</f>
        <v>U</v>
      </c>
      <c r="G23" s="6" t="s">
        <v>578</v>
      </c>
      <c r="H23" s="50" t="s">
        <v>218</v>
      </c>
      <c r="I23" s="51" t="s">
        <v>434</v>
      </c>
      <c r="J23" s="52" t="s">
        <v>182</v>
      </c>
    </row>
    <row r="24" customFormat="false" ht="15" hidden="false" customHeight="true" outlineLevel="1" collapsed="false">
      <c r="A24" s="62" t="s">
        <v>189</v>
      </c>
      <c r="B24" s="34" t="n">
        <v>40</v>
      </c>
      <c r="C24" s="34" t="n">
        <v>31</v>
      </c>
      <c r="D24" s="25" t="n">
        <f aca="false">B24-C24</f>
        <v>9</v>
      </c>
      <c r="E24" s="26" t="n">
        <f aca="false">IF(C24=0,"n/m",D24/ABS(C24))</f>
        <v>0.290322580645161</v>
      </c>
      <c r="F24" s="49" t="str">
        <f aca="false">IF(ROUND(D24,5)=0,"",IF(D24&lt;0,"F","U"))</f>
        <v>U</v>
      </c>
      <c r="G24" s="6" t="s">
        <v>579</v>
      </c>
      <c r="I24" s="51" t="s">
        <v>434</v>
      </c>
      <c r="J24" s="52" t="s">
        <v>182</v>
      </c>
    </row>
    <row r="25" customFormat="false" ht="40.5" hidden="false" customHeight="true" outlineLevel="1" collapsed="false">
      <c r="A25" s="62" t="s">
        <v>201</v>
      </c>
      <c r="B25" s="34" t="n">
        <v>24</v>
      </c>
      <c r="C25" s="34" t="n">
        <v>17.7</v>
      </c>
      <c r="D25" s="25" t="n">
        <f aca="false">B25-C25</f>
        <v>6.3</v>
      </c>
      <c r="E25" s="26" t="n">
        <f aca="false">IF(C25=0,"n/m",D25/ABS(C25))</f>
        <v>0.355932203389831</v>
      </c>
      <c r="F25" s="49" t="str">
        <f aca="false">IF(ROUND(D25,5)=0,"",IF(D25&lt;0,"F","U"))</f>
        <v>U</v>
      </c>
      <c r="G25" s="6" t="s">
        <v>580</v>
      </c>
      <c r="H25" s="50" t="s">
        <v>221</v>
      </c>
      <c r="I25" s="51" t="s">
        <v>434</v>
      </c>
      <c r="J25" s="52" t="s">
        <v>182</v>
      </c>
    </row>
    <row r="26" customFormat="false" ht="40.5" hidden="false" customHeight="true" outlineLevel="1" collapsed="false">
      <c r="A26" s="62" t="s">
        <v>204</v>
      </c>
      <c r="B26" s="34" t="n">
        <v>20</v>
      </c>
      <c r="C26" s="34" t="n">
        <v>16.33333</v>
      </c>
      <c r="D26" s="25" t="n">
        <f aca="false">B26-C26</f>
        <v>3.66667</v>
      </c>
      <c r="E26" s="26" t="n">
        <f aca="false">IF(C26=0,"n/m",D26/ABS(C26))</f>
        <v>0.224490045814295</v>
      </c>
      <c r="F26" s="49" t="str">
        <f aca="false">IF(ROUND(D26,5)=0,"",IF(D26&lt;0,"F","U"))</f>
        <v>U</v>
      </c>
      <c r="G26" s="6" t="s">
        <v>572</v>
      </c>
      <c r="H26" s="50" t="s">
        <v>206</v>
      </c>
      <c r="I26" s="51" t="s">
        <v>434</v>
      </c>
      <c r="J26" s="52" t="s">
        <v>182</v>
      </c>
    </row>
    <row r="27" customFormat="false" ht="27.75" hidden="false" customHeight="true" outlineLevel="1" collapsed="false">
      <c r="A27" s="62" t="s">
        <v>207</v>
      </c>
      <c r="B27" s="34" t="n">
        <v>30</v>
      </c>
      <c r="C27" s="34" t="n">
        <v>24.375</v>
      </c>
      <c r="D27" s="25" t="n">
        <f aca="false">B27-C27</f>
        <v>5.625</v>
      </c>
      <c r="E27" s="26" t="n">
        <f aca="false">IF(C27=0,"n/m",D27/ABS(C27))</f>
        <v>0.230769230769231</v>
      </c>
      <c r="F27" s="49" t="str">
        <f aca="false">IF(ROUND(D27,5)=0,"",IF(D27&lt;0,"F","U"))</f>
        <v>U</v>
      </c>
      <c r="G27" s="6" t="s">
        <v>581</v>
      </c>
      <c r="I27" s="51" t="s">
        <v>434</v>
      </c>
      <c r="J27" s="52" t="s">
        <v>182</v>
      </c>
    </row>
    <row r="28" customFormat="false" ht="48" hidden="false" customHeight="true" outlineLevel="0" collapsed="false">
      <c r="A28" s="11" t="s">
        <v>158</v>
      </c>
      <c r="B28" s="25" t="n">
        <f aca="false">B29+B30+B31+B32+B33+B34+B35+B36</f>
        <v>490</v>
      </c>
      <c r="C28" s="25" t="n">
        <f aca="false">C29+C30+C31+C32+C33+C34+C35+C36</f>
        <v>342.45357</v>
      </c>
      <c r="D28" s="25" t="n">
        <f aca="false">B28-C28</f>
        <v>147.54643</v>
      </c>
      <c r="E28" s="26" t="n">
        <f aca="false">IF(C28=0,"n/m",D28/ABS(C28))</f>
        <v>0.430850903379398</v>
      </c>
      <c r="F28" s="49" t="str">
        <f aca="false">IF(ROUND(D28,5)=0,"",IF(D28&lt;0,"F","U"))</f>
        <v>U</v>
      </c>
      <c r="G28" s="6" t="s">
        <v>582</v>
      </c>
      <c r="H28" s="50" t="s">
        <v>224</v>
      </c>
      <c r="I28" s="51" t="s">
        <v>434</v>
      </c>
      <c r="J28" s="52" t="str">
        <f aca="false">IF(AND(ROUND(B28-K28,4)=0,ROUND(C28-L28,4)=0,TRUE()),"✓","✗")</f>
        <v>✓</v>
      </c>
      <c r="K28" s="61" t="n">
        <v>490</v>
      </c>
      <c r="L28" s="61" t="n">
        <v>342.45357</v>
      </c>
    </row>
    <row r="29" customFormat="false" ht="36.75" hidden="false" customHeight="true" outlineLevel="1" collapsed="false">
      <c r="A29" s="62" t="s">
        <v>225</v>
      </c>
      <c r="B29" s="34" t="n">
        <v>240</v>
      </c>
      <c r="C29" s="34" t="n">
        <v>168.927</v>
      </c>
      <c r="D29" s="25" t="n">
        <f aca="false">B29-C29</f>
        <v>71.073</v>
      </c>
      <c r="E29" s="26" t="n">
        <f aca="false">IF(C29=0,"n/m",D29/ABS(C29))</f>
        <v>0.420732032179581</v>
      </c>
      <c r="F29" s="49" t="str">
        <f aca="false">IF(ROUND(D29,5)=0,"",IF(D29&lt;0,"F","U"))</f>
        <v>U</v>
      </c>
      <c r="G29" s="6" t="s">
        <v>583</v>
      </c>
      <c r="H29" s="50" t="s">
        <v>227</v>
      </c>
      <c r="I29" s="51" t="s">
        <v>434</v>
      </c>
      <c r="J29" s="52" t="s">
        <v>182</v>
      </c>
    </row>
    <row r="30" customFormat="false" ht="27.75" hidden="false" customHeight="true" outlineLevel="1" collapsed="false">
      <c r="A30" s="62" t="s">
        <v>195</v>
      </c>
      <c r="B30" s="34" t="n">
        <v>36</v>
      </c>
      <c r="C30" s="34" t="n">
        <v>30.5949</v>
      </c>
      <c r="D30" s="25" t="n">
        <f aca="false">B30-C30</f>
        <v>5.4051</v>
      </c>
      <c r="E30" s="26" t="n">
        <f aca="false">IF(C30=0,"n/m",D30/ABS(C30))</f>
        <v>0.176666699351853</v>
      </c>
      <c r="F30" s="49" t="str">
        <f aca="false">IF(ROUND(D30,5)=0,"",IF(D30&lt;0,"F","U"))</f>
        <v>U</v>
      </c>
      <c r="G30" s="6" t="s">
        <v>584</v>
      </c>
      <c r="H30" s="50" t="s">
        <v>229</v>
      </c>
      <c r="I30" s="51" t="s">
        <v>434</v>
      </c>
      <c r="J30" s="52" t="s">
        <v>182</v>
      </c>
    </row>
    <row r="31" customFormat="false" ht="48" hidden="false" customHeight="true" outlineLevel="1" collapsed="false">
      <c r="A31" s="62" t="s">
        <v>230</v>
      </c>
      <c r="B31" s="34" t="n">
        <v>100</v>
      </c>
      <c r="C31" s="34" t="n">
        <v>68</v>
      </c>
      <c r="D31" s="25" t="n">
        <f aca="false">B31-C31</f>
        <v>32</v>
      </c>
      <c r="E31" s="26" t="n">
        <f aca="false">IF(C31=0,"n/m",D31/ABS(C31))</f>
        <v>0.470588235294118</v>
      </c>
      <c r="F31" s="49" t="str">
        <f aca="false">IF(ROUND(D31,5)=0,"",IF(D31&lt;0,"F","U"))</f>
        <v>U</v>
      </c>
      <c r="G31" s="6" t="s">
        <v>585</v>
      </c>
      <c r="H31" s="50" t="s">
        <v>232</v>
      </c>
      <c r="I31" s="51" t="s">
        <v>434</v>
      </c>
      <c r="J31" s="52" t="s">
        <v>182</v>
      </c>
    </row>
    <row r="32" customFormat="false" ht="27.75" hidden="false" customHeight="true" outlineLevel="1" collapsed="false">
      <c r="A32" s="62" t="s">
        <v>233</v>
      </c>
      <c r="B32" s="34" t="n">
        <v>40</v>
      </c>
      <c r="C32" s="34" t="n">
        <v>23.455</v>
      </c>
      <c r="D32" s="25" t="n">
        <f aca="false">B32-C32</f>
        <v>16.545</v>
      </c>
      <c r="E32" s="26" t="n">
        <f aca="false">IF(C32=0,"n/m",D32/ABS(C32))</f>
        <v>0.705393306331273</v>
      </c>
      <c r="F32" s="49" t="str">
        <f aca="false">IF(ROUND(D32,5)=0,"",IF(D32&lt;0,"F","U"))</f>
        <v>U</v>
      </c>
      <c r="G32" s="6" t="s">
        <v>586</v>
      </c>
      <c r="I32" s="51" t="s">
        <v>434</v>
      </c>
      <c r="J32" s="52" t="s">
        <v>182</v>
      </c>
    </row>
    <row r="33" customFormat="false" ht="27.75" hidden="false" customHeight="true" outlineLevel="1" collapsed="false">
      <c r="A33" s="62" t="s">
        <v>189</v>
      </c>
      <c r="B33" s="34" t="n">
        <v>20</v>
      </c>
      <c r="C33" s="34" t="n">
        <v>7</v>
      </c>
      <c r="D33" s="25" t="n">
        <f aca="false">B33-C33</f>
        <v>13</v>
      </c>
      <c r="E33" s="26" t="n">
        <f aca="false">IF(C33=0,"n/m",D33/ABS(C33))</f>
        <v>1.85714285714286</v>
      </c>
      <c r="F33" s="49" t="str">
        <f aca="false">IF(ROUND(D33,5)=0,"",IF(D33&lt;0,"F","U"))</f>
        <v>U</v>
      </c>
      <c r="G33" s="6" t="s">
        <v>587</v>
      </c>
      <c r="H33" s="50" t="s">
        <v>236</v>
      </c>
      <c r="I33" s="51" t="s">
        <v>434</v>
      </c>
      <c r="J33" s="52" t="s">
        <v>182</v>
      </c>
    </row>
    <row r="34" customFormat="false" ht="40.5" hidden="false" customHeight="true" outlineLevel="1" collapsed="false">
      <c r="A34" s="62" t="s">
        <v>201</v>
      </c>
      <c r="B34" s="34" t="n">
        <v>24</v>
      </c>
      <c r="C34" s="34" t="n">
        <v>20.06</v>
      </c>
      <c r="D34" s="25" t="n">
        <f aca="false">B34-C34</f>
        <v>3.94</v>
      </c>
      <c r="E34" s="26" t="n">
        <f aca="false">IF(C34=0,"n/m",D34/ABS(C34))</f>
        <v>0.196410767696909</v>
      </c>
      <c r="F34" s="49" t="str">
        <f aca="false">IF(ROUND(D34,5)=0,"",IF(D34&lt;0,"F","U"))</f>
        <v>U</v>
      </c>
      <c r="G34" s="6" t="s">
        <v>588</v>
      </c>
      <c r="H34" s="50" t="s">
        <v>221</v>
      </c>
      <c r="I34" s="51" t="s">
        <v>434</v>
      </c>
      <c r="J34" s="52" t="s">
        <v>182</v>
      </c>
    </row>
    <row r="35" customFormat="false" ht="40.5" hidden="false" customHeight="true" outlineLevel="1" collapsed="false">
      <c r="A35" s="62" t="s">
        <v>204</v>
      </c>
      <c r="B35" s="34" t="n">
        <v>10</v>
      </c>
      <c r="C35" s="34" t="n">
        <v>8.16667</v>
      </c>
      <c r="D35" s="25" t="n">
        <f aca="false">B35-C35</f>
        <v>1.83333</v>
      </c>
      <c r="E35" s="26" t="n">
        <f aca="false">IF(C35=0,"n/m",D35/ABS(C35))</f>
        <v>0.224489296126818</v>
      </c>
      <c r="F35" s="49" t="str">
        <f aca="false">IF(ROUND(D35,5)=0,"",IF(D35&lt;0,"F","U"))</f>
        <v>U</v>
      </c>
      <c r="G35" s="63" t="s">
        <v>589</v>
      </c>
      <c r="H35" s="50" t="s">
        <v>239</v>
      </c>
      <c r="I35" s="18" t="s">
        <v>191</v>
      </c>
      <c r="J35" s="52" t="s">
        <v>182</v>
      </c>
    </row>
    <row r="36" customFormat="false" ht="27.75" hidden="false" customHeight="true" outlineLevel="1" collapsed="false">
      <c r="A36" s="62" t="s">
        <v>207</v>
      </c>
      <c r="B36" s="34" t="n">
        <v>20</v>
      </c>
      <c r="C36" s="34" t="n">
        <v>16.25</v>
      </c>
      <c r="D36" s="25" t="n">
        <f aca="false">B36-C36</f>
        <v>3.75</v>
      </c>
      <c r="E36" s="26" t="n">
        <f aca="false">IF(C36=0,"n/m",D36/ABS(C36))</f>
        <v>0.230769230769231</v>
      </c>
      <c r="F36" s="49" t="str">
        <f aca="false">IF(ROUND(D36,5)=0,"",IF(D36&lt;0,"F","U"))</f>
        <v>U</v>
      </c>
      <c r="G36" s="6" t="s">
        <v>573</v>
      </c>
      <c r="I36" s="51" t="s">
        <v>434</v>
      </c>
      <c r="J36" s="52" t="s">
        <v>182</v>
      </c>
    </row>
    <row r="37" customFormat="false" ht="40.5" hidden="false" customHeight="true" outlineLevel="0" collapsed="false">
      <c r="A37" s="11" t="s">
        <v>159</v>
      </c>
      <c r="B37" s="25" t="n">
        <f aca="false">B38+B39+B40+B41</f>
        <v>216</v>
      </c>
      <c r="C37" s="25" t="n">
        <f aca="false">C38+C39+C40+C41</f>
        <v>163.09167</v>
      </c>
      <c r="D37" s="25" t="n">
        <f aca="false">B37-C37</f>
        <v>52.90833</v>
      </c>
      <c r="E37" s="26" t="n">
        <f aca="false">IF(C37=0,"n/m",D37/ABS(C37))</f>
        <v>0.324408536622379</v>
      </c>
      <c r="F37" s="49" t="str">
        <f aca="false">IF(ROUND(D37,5)=0,"",IF(D37&lt;0,"F","U"))</f>
        <v>U</v>
      </c>
      <c r="G37" s="6" t="s">
        <v>590</v>
      </c>
      <c r="H37" s="50" t="s">
        <v>241</v>
      </c>
      <c r="I37" s="51" t="s">
        <v>434</v>
      </c>
      <c r="J37" s="52" t="str">
        <f aca="false">IF(AND(ROUND(B37-K37,4)=0,ROUND(C37-L37,4)=0,TRUE()),"✓","✗")</f>
        <v>✓</v>
      </c>
      <c r="K37" s="61" t="n">
        <v>216</v>
      </c>
      <c r="L37" s="61" t="n">
        <v>163.09167</v>
      </c>
    </row>
    <row r="38" customFormat="false" ht="53.25" hidden="false" customHeight="true" outlineLevel="1" collapsed="false">
      <c r="A38" s="62" t="s">
        <v>242</v>
      </c>
      <c r="B38" s="34" t="n">
        <v>180</v>
      </c>
      <c r="C38" s="34" t="n">
        <v>135</v>
      </c>
      <c r="D38" s="25" t="n">
        <f aca="false">B38-C38</f>
        <v>45</v>
      </c>
      <c r="E38" s="26" t="n">
        <f aca="false">IF(C38=0,"n/m",D38/ABS(C38))</f>
        <v>0.333333333333333</v>
      </c>
      <c r="F38" s="49" t="str">
        <f aca="false">IF(ROUND(D38,5)=0,"",IF(D38&lt;0,"F","U"))</f>
        <v>U</v>
      </c>
      <c r="G38" s="6" t="s">
        <v>591</v>
      </c>
      <c r="H38" s="50" t="s">
        <v>244</v>
      </c>
      <c r="I38" s="51" t="s">
        <v>434</v>
      </c>
      <c r="J38" s="52" t="s">
        <v>182</v>
      </c>
    </row>
    <row r="39" customFormat="false" ht="40.5" hidden="false" customHeight="true" outlineLevel="1" collapsed="false">
      <c r="A39" s="62" t="s">
        <v>201</v>
      </c>
      <c r="B39" s="34" t="n">
        <v>16</v>
      </c>
      <c r="C39" s="34" t="n">
        <v>11.8</v>
      </c>
      <c r="D39" s="25" t="n">
        <f aca="false">B39-C39</f>
        <v>4.2</v>
      </c>
      <c r="E39" s="26" t="n">
        <f aca="false">IF(C39=0,"n/m",D39/ABS(C39))</f>
        <v>0.35593220338983</v>
      </c>
      <c r="F39" s="49" t="str">
        <f aca="false">IF(ROUND(D39,5)=0,"",IF(D39&lt;0,"F","U"))</f>
        <v>U</v>
      </c>
      <c r="G39" s="6" t="s">
        <v>592</v>
      </c>
      <c r="H39" s="50" t="s">
        <v>203</v>
      </c>
      <c r="I39" s="51" t="s">
        <v>434</v>
      </c>
      <c r="J39" s="52" t="s">
        <v>182</v>
      </c>
    </row>
    <row r="40" customFormat="false" ht="40.5" hidden="false" customHeight="true" outlineLevel="1" collapsed="false">
      <c r="A40" s="62" t="s">
        <v>204</v>
      </c>
      <c r="B40" s="34" t="n">
        <v>10</v>
      </c>
      <c r="C40" s="34" t="n">
        <v>8.16667</v>
      </c>
      <c r="D40" s="25" t="n">
        <f aca="false">B40-C40</f>
        <v>1.83333</v>
      </c>
      <c r="E40" s="26" t="n">
        <f aca="false">IF(C40=0,"n/m",D40/ABS(C40))</f>
        <v>0.224489296126818</v>
      </c>
      <c r="F40" s="49" t="str">
        <f aca="false">IF(ROUND(D40,5)=0,"",IF(D40&lt;0,"F","U"))</f>
        <v>U</v>
      </c>
      <c r="G40" s="63" t="s">
        <v>589</v>
      </c>
      <c r="H40" s="50" t="s">
        <v>239</v>
      </c>
      <c r="I40" s="18" t="s">
        <v>191</v>
      </c>
      <c r="J40" s="52" t="s">
        <v>182</v>
      </c>
    </row>
    <row r="41" customFormat="false" ht="27.75" hidden="false" customHeight="true" outlineLevel="1" collapsed="false">
      <c r="A41" s="62" t="s">
        <v>207</v>
      </c>
      <c r="B41" s="34" t="n">
        <v>10</v>
      </c>
      <c r="C41" s="34" t="n">
        <v>8.125</v>
      </c>
      <c r="D41" s="25" t="n">
        <f aca="false">B41-C41</f>
        <v>1.875</v>
      </c>
      <c r="E41" s="26" t="n">
        <f aca="false">IF(C41=0,"n/m",D41/ABS(C41))</f>
        <v>0.230769230769231</v>
      </c>
      <c r="F41" s="49" t="str">
        <f aca="false">IF(ROUND(D41,5)=0,"",IF(D41&lt;0,"F","U"))</f>
        <v>U</v>
      </c>
      <c r="G41" s="63" t="s">
        <v>593</v>
      </c>
      <c r="I41" s="18" t="s">
        <v>191</v>
      </c>
      <c r="J41" s="52" t="s">
        <v>182</v>
      </c>
    </row>
    <row r="42" customFormat="false" ht="60" hidden="false" customHeight="true" outlineLevel="0" collapsed="false">
      <c r="A42" s="53" t="s">
        <v>95</v>
      </c>
      <c r="B42" s="37" t="n">
        <f aca="false">B22+B28+B37</f>
        <v>1120</v>
      </c>
      <c r="C42" s="37" t="n">
        <f aca="false">C22+C28+C37</f>
        <v>819.57182</v>
      </c>
      <c r="D42" s="37" t="n">
        <f aca="false">B42-C42</f>
        <v>300.42818</v>
      </c>
      <c r="E42" s="54" t="n">
        <f aca="false">IF(C42=0,"n/m",D42/ABS(C42))</f>
        <v>0.366567239952199</v>
      </c>
      <c r="F42" s="55" t="str">
        <f aca="false">IF(ROUND(D42,5)=0,"",IF(D42&lt;0,"F","U"))</f>
        <v>U</v>
      </c>
      <c r="G42" s="56" t="s">
        <v>594</v>
      </c>
      <c r="H42" s="57" t="s">
        <v>248</v>
      </c>
      <c r="I42" s="58" t="s">
        <v>434</v>
      </c>
      <c r="J42" s="59" t="str">
        <f aca="false">IF(AND(ROUND(B42-K42,4)=0,ROUND(C42-L42,4)=0,TRUE()),"✓","✗")</f>
        <v>✓</v>
      </c>
      <c r="K42" s="60" t="n">
        <v>1120</v>
      </c>
      <c r="L42" s="60" t="n">
        <v>819.57182</v>
      </c>
    </row>
    <row r="43" customFormat="false" ht="60" hidden="false" customHeight="true" outlineLevel="0" collapsed="false">
      <c r="A43" s="64" t="s">
        <v>96</v>
      </c>
      <c r="B43" s="65" t="n">
        <f aca="false">B21-B42</f>
        <v>220</v>
      </c>
      <c r="C43" s="65" t="n">
        <f aca="false">C21-C42</f>
        <v>288.985</v>
      </c>
      <c r="D43" s="65" t="n">
        <f aca="false">B43-C43</f>
        <v>-68.9849999999999</v>
      </c>
      <c r="E43" s="66" t="n">
        <f aca="false">IF(C43=0,"n/m",D43/ABS(C43))</f>
        <v>-0.238714812187484</v>
      </c>
      <c r="F43" s="67" t="str">
        <f aca="false">IF(ROUND(D43,5)=0,"",IF(D43&gt;0,"F","U"))</f>
        <v>U</v>
      </c>
      <c r="G43" s="68" t="s">
        <v>595</v>
      </c>
      <c r="H43" s="69" t="s">
        <v>250</v>
      </c>
      <c r="I43" s="70" t="s">
        <v>434</v>
      </c>
      <c r="J43" s="71" t="str">
        <f aca="false">IF(AND(ROUND(B43-K43,4)=0,ROUND(C43-L43,4)=0,TRUE()),"✓","✗")</f>
        <v>✓</v>
      </c>
      <c r="K43" s="72" t="n">
        <v>220</v>
      </c>
      <c r="L43" s="72" t="n">
        <v>288.985</v>
      </c>
    </row>
    <row r="44" customFormat="false" ht="15" hidden="false" customHeight="true" outlineLevel="0" collapsed="false">
      <c r="A44" s="11" t="s">
        <v>160</v>
      </c>
      <c r="B44" s="34" t="n">
        <v>10</v>
      </c>
      <c r="C44" s="34" t="n">
        <v>13</v>
      </c>
      <c r="D44" s="25" t="n">
        <f aca="false">B44-C44</f>
        <v>-3</v>
      </c>
      <c r="E44" s="26" t="n">
        <f aca="false">IF(C44=0,"n/m",D44/ABS(C44))</f>
        <v>-0.230769230769231</v>
      </c>
      <c r="F44" s="49" t="str">
        <f aca="false">IF(ROUND(D44,5)=0,"",IF(D44&gt;0,"F","U"))</f>
        <v>U</v>
      </c>
      <c r="G44" s="6" t="s">
        <v>596</v>
      </c>
      <c r="I44" s="51" t="s">
        <v>434</v>
      </c>
      <c r="J44" s="52" t="s">
        <v>182</v>
      </c>
    </row>
    <row r="45" customFormat="false" ht="15" hidden="false" customHeight="true" outlineLevel="0" collapsed="false">
      <c r="A45" s="11" t="s">
        <v>161</v>
      </c>
      <c r="B45" s="34" t="n">
        <v>30</v>
      </c>
      <c r="C45" s="34" t="n">
        <v>32</v>
      </c>
      <c r="D45" s="25" t="n">
        <f aca="false">B45-C45</f>
        <v>-2</v>
      </c>
      <c r="E45" s="26" t="n">
        <f aca="false">IF(C45=0,"n/m",D45/ABS(C45))</f>
        <v>-0.0625</v>
      </c>
      <c r="F45" s="49" t="str">
        <f aca="false">IF(ROUND(D45,5)=0,"",IF(D45&lt;0,"F","U"))</f>
        <v>F</v>
      </c>
      <c r="G45" s="63" t="s">
        <v>597</v>
      </c>
      <c r="I45" s="18" t="s">
        <v>191</v>
      </c>
      <c r="J45" s="52" t="s">
        <v>182</v>
      </c>
    </row>
    <row r="46" customFormat="false" ht="60" hidden="false" customHeight="true" outlineLevel="0" collapsed="false">
      <c r="A46" s="64" t="s">
        <v>162</v>
      </c>
      <c r="B46" s="65" t="n">
        <f aca="false">B43+B44-B45</f>
        <v>200</v>
      </c>
      <c r="C46" s="65" t="n">
        <f aca="false">C43+C44-C45</f>
        <v>269.985</v>
      </c>
      <c r="D46" s="65" t="n">
        <f aca="false">B46-C46</f>
        <v>-69.9849999999999</v>
      </c>
      <c r="E46" s="66" t="n">
        <f aca="false">IF(C46=0,"n/m",D46/ABS(C46))</f>
        <v>-0.259218104709521</v>
      </c>
      <c r="F46" s="67" t="str">
        <f aca="false">IF(ROUND(D46,5)=0,"",IF(D46&gt;0,"F","U"))</f>
        <v>U</v>
      </c>
      <c r="G46" s="68" t="s">
        <v>598</v>
      </c>
      <c r="H46" s="69" t="s">
        <v>250</v>
      </c>
      <c r="I46" s="70" t="s">
        <v>434</v>
      </c>
      <c r="J46" s="71" t="str">
        <f aca="false">IF(AND(ROUND(B46-K46,4)=0,ROUND(C46-L46,4)=0,TRUE()),"✓","✗")</f>
        <v>✓</v>
      </c>
      <c r="K46" s="72" t="n">
        <v>200</v>
      </c>
      <c r="L46" s="72" t="n">
        <v>269.985</v>
      </c>
    </row>
    <row r="47" customFormat="false" ht="15" hidden="false" customHeight="true" outlineLevel="0" collapsed="false">
      <c r="A47" s="11" t="s">
        <v>126</v>
      </c>
      <c r="B47" s="34" t="n">
        <v>40</v>
      </c>
      <c r="C47" s="34" t="n">
        <v>24</v>
      </c>
      <c r="D47" s="25" t="n">
        <f aca="false">B47-C47</f>
        <v>16</v>
      </c>
      <c r="E47" s="26" t="n">
        <f aca="false">IF(C47=0,"n/m",D47/ABS(C47))</f>
        <v>0.666666666666667</v>
      </c>
      <c r="F47" s="49" t="str">
        <f aca="false">IF(ROUND(D47,5)=0,"",IF(D47&lt;0,"F","U"))</f>
        <v>U</v>
      </c>
      <c r="G47" s="6" t="s">
        <v>599</v>
      </c>
      <c r="I47" s="51" t="s">
        <v>434</v>
      </c>
      <c r="J47" s="52" t="s">
        <v>182</v>
      </c>
    </row>
    <row r="48" customFormat="false" ht="60" hidden="false" customHeight="true" outlineLevel="0" collapsed="false">
      <c r="A48" s="64" t="s">
        <v>97</v>
      </c>
      <c r="B48" s="65" t="n">
        <f aca="false">B46-B47</f>
        <v>160</v>
      </c>
      <c r="C48" s="65" t="n">
        <f aca="false">C46-C47</f>
        <v>245.985</v>
      </c>
      <c r="D48" s="65" t="n">
        <f aca="false">B48-C48</f>
        <v>-85.9849999999999</v>
      </c>
      <c r="E48" s="66" t="n">
        <f aca="false">IF(C48=0,"n/m",D48/ABS(C48))</f>
        <v>-0.349553834583409</v>
      </c>
      <c r="F48" s="67" t="str">
        <f aca="false">IF(ROUND(D48,5)=0,"",IF(D48&gt;0,"F","U"))</f>
        <v>U</v>
      </c>
      <c r="G48" s="68" t="s">
        <v>600</v>
      </c>
      <c r="H48" s="69" t="s">
        <v>250</v>
      </c>
      <c r="I48" s="70" t="s">
        <v>434</v>
      </c>
      <c r="J48" s="71" t="str">
        <f aca="false">IF(AND(ROUND(B48-K48,4)=0,ROUND(C48-L48,4)=0,TRUE()),"✓","✗")</f>
        <v>✓</v>
      </c>
      <c r="K48" s="72" t="n">
        <v>160</v>
      </c>
      <c r="L48" s="72" t="n">
        <v>245.985</v>
      </c>
    </row>
    <row r="50" customFormat="false" ht="18" hidden="false" customHeight="true" outlineLevel="0" collapsed="false">
      <c r="A50" s="44" t="s">
        <v>163</v>
      </c>
      <c r="B50" s="45"/>
      <c r="C50" s="45"/>
      <c r="D50" s="45"/>
      <c r="E50" s="45"/>
      <c r="F50" s="45"/>
      <c r="G50" s="45"/>
      <c r="H50" s="45"/>
      <c r="I50" s="45"/>
      <c r="J50" s="45"/>
      <c r="K50" s="45"/>
      <c r="L50" s="45"/>
    </row>
    <row r="51" customFormat="false" ht="48" hidden="false" customHeight="true" outlineLevel="0" collapsed="false">
      <c r="A51" s="11" t="s">
        <v>153</v>
      </c>
      <c r="B51" s="34" t="n">
        <v>1800</v>
      </c>
      <c r="C51" s="34" t="n">
        <v>1493.619</v>
      </c>
      <c r="D51" s="25" t="n">
        <f aca="false">B51-C51</f>
        <v>306.381</v>
      </c>
      <c r="E51" s="26" t="n">
        <f aca="false">IF(C51=0,"n/m",D51/ABS(C51))</f>
        <v>0.205126608592955</v>
      </c>
      <c r="F51" s="49" t="str">
        <f aca="false">IF(ROUND(D51,5)=0,"",IF(D51&gt;0,"F","U"))</f>
        <v>F</v>
      </c>
      <c r="G51" s="6" t="s">
        <v>563</v>
      </c>
      <c r="H51" s="50" t="s">
        <v>180</v>
      </c>
      <c r="I51" s="51" t="s">
        <v>434</v>
      </c>
      <c r="J51" s="52" t="s">
        <v>182</v>
      </c>
    </row>
    <row r="52" customFormat="false" ht="40.5" hidden="false" customHeight="true" outlineLevel="0" collapsed="false">
      <c r="A52" s="11" t="s">
        <v>154</v>
      </c>
      <c r="B52" s="34" t="n">
        <v>200</v>
      </c>
      <c r="C52" s="34" t="n">
        <v>130</v>
      </c>
      <c r="D52" s="25" t="n">
        <f aca="false">B52-C52</f>
        <v>70</v>
      </c>
      <c r="E52" s="26" t="n">
        <f aca="false">IF(C52=0,"n/m",D52/ABS(C52))</f>
        <v>0.538461538461538</v>
      </c>
      <c r="F52" s="49" t="str">
        <f aca="false">IF(ROUND(D52,5)=0,"",IF(D52&gt;0,"F","U"))</f>
        <v>F</v>
      </c>
      <c r="G52" s="6" t="s">
        <v>564</v>
      </c>
      <c r="H52" s="50" t="s">
        <v>184</v>
      </c>
      <c r="I52" s="51" t="s">
        <v>434</v>
      </c>
      <c r="J52" s="52" t="s">
        <v>182</v>
      </c>
    </row>
    <row r="53" customFormat="false" ht="40.5" hidden="false" customHeight="true" outlineLevel="0" collapsed="false">
      <c r="A53" s="53" t="s">
        <v>91</v>
      </c>
      <c r="B53" s="37" t="n">
        <f aca="false">B51+B52</f>
        <v>2000</v>
      </c>
      <c r="C53" s="37" t="n">
        <f aca="false">C51+C52</f>
        <v>1623.619</v>
      </c>
      <c r="D53" s="37" t="n">
        <f aca="false">B53-C53</f>
        <v>376.381</v>
      </c>
      <c r="E53" s="54" t="n">
        <f aca="false">IF(C53=0,"n/m",D53/ABS(C53))</f>
        <v>0.231816084931256</v>
      </c>
      <c r="F53" s="55" t="str">
        <f aca="false">IF(ROUND(D53,5)=0,"",IF(D53&gt;0,"F","U"))</f>
        <v>F</v>
      </c>
      <c r="G53" s="56" t="s">
        <v>565</v>
      </c>
      <c r="H53" s="57" t="s">
        <v>186</v>
      </c>
      <c r="I53" s="58" t="s">
        <v>434</v>
      </c>
      <c r="J53" s="59" t="str">
        <f aca="false">IF(AND(ROUND(B53-K53,4)=0,ROUND(C53-L53,4)=0,TRUE()),"✓","✗")</f>
        <v>✓</v>
      </c>
      <c r="K53" s="60" t="n">
        <v>2000</v>
      </c>
      <c r="L53" s="60" t="n">
        <v>1623.619</v>
      </c>
    </row>
    <row r="54" customFormat="false" ht="60" hidden="false" customHeight="true" outlineLevel="0" collapsed="false">
      <c r="A54" s="11" t="s">
        <v>164</v>
      </c>
      <c r="B54" s="25" t="n">
        <f aca="false">B55+B56+B57+B58+B59+B60+B61</f>
        <v>544</v>
      </c>
      <c r="C54" s="25" t="n">
        <f aca="false">C55+C56+C57+C58+C59+C60+C61</f>
        <v>414.41718</v>
      </c>
      <c r="D54" s="25" t="n">
        <f aca="false">B54-C54</f>
        <v>129.58282</v>
      </c>
      <c r="E54" s="26" t="n">
        <f aca="false">IF(C54=0,"n/m",D54/ABS(C54))</f>
        <v>0.312686891986476</v>
      </c>
      <c r="F54" s="49" t="str">
        <f aca="false">IF(ROUND(D54,5)=0,"",IF(D54&lt;0,"F","U"))</f>
        <v>U</v>
      </c>
      <c r="G54" s="6" t="s">
        <v>601</v>
      </c>
      <c r="H54" s="50" t="s">
        <v>188</v>
      </c>
      <c r="I54" s="51" t="s">
        <v>434</v>
      </c>
      <c r="J54" s="52" t="str">
        <f aca="false">IF(AND(ROUND(B54-K54,4)=0,ROUND(C54-L54,4)=0,TRUE()),"✓","✗")</f>
        <v>✓</v>
      </c>
      <c r="K54" s="61" t="n">
        <v>544</v>
      </c>
      <c r="L54" s="61" t="n">
        <v>414.41718</v>
      </c>
    </row>
    <row r="55" customFormat="false" ht="27.75" hidden="false" customHeight="true" outlineLevel="1" collapsed="false">
      <c r="A55" s="62" t="s">
        <v>257</v>
      </c>
      <c r="B55" s="34" t="n">
        <v>140</v>
      </c>
      <c r="C55" s="34" t="n">
        <v>101</v>
      </c>
      <c r="D55" s="25" t="n">
        <f aca="false">B55-C55</f>
        <v>39</v>
      </c>
      <c r="E55" s="26" t="n">
        <f aca="false">IF(C55=0,"n/m",D55/ABS(C55))</f>
        <v>0.386138613861386</v>
      </c>
      <c r="F55" s="49" t="str">
        <f aca="false">IF(ROUND(D55,5)=0,"",IF(D55&lt;0,"F","U"))</f>
        <v>U</v>
      </c>
      <c r="G55" s="6" t="s">
        <v>602</v>
      </c>
      <c r="I55" s="51" t="s">
        <v>434</v>
      </c>
      <c r="J55" s="52" t="s">
        <v>182</v>
      </c>
    </row>
    <row r="56" customFormat="false" ht="36.75" hidden="false" customHeight="true" outlineLevel="1" collapsed="false">
      <c r="A56" s="62" t="s">
        <v>259</v>
      </c>
      <c r="B56" s="34" t="n">
        <v>100</v>
      </c>
      <c r="C56" s="34" t="n">
        <v>74.87275</v>
      </c>
      <c r="D56" s="25" t="n">
        <f aca="false">B56-C56</f>
        <v>25.12725</v>
      </c>
      <c r="E56" s="26" t="n">
        <f aca="false">IF(C56=0,"n/m",D56/ABS(C56))</f>
        <v>0.335599400315869</v>
      </c>
      <c r="F56" s="49" t="str">
        <f aca="false">IF(ROUND(D56,5)=0,"",IF(D56&lt;0,"F","U"))</f>
        <v>U</v>
      </c>
      <c r="G56" s="6" t="s">
        <v>603</v>
      </c>
      <c r="H56" s="50" t="s">
        <v>194</v>
      </c>
      <c r="I56" s="51" t="s">
        <v>434</v>
      </c>
      <c r="J56" s="52" t="s">
        <v>182</v>
      </c>
    </row>
    <row r="57" customFormat="false" ht="36.75" hidden="false" customHeight="true" outlineLevel="1" collapsed="false">
      <c r="A57" s="62" t="s">
        <v>261</v>
      </c>
      <c r="B57" s="34" t="n">
        <v>160</v>
      </c>
      <c r="C57" s="34" t="n">
        <v>122.183</v>
      </c>
      <c r="D57" s="25" t="n">
        <f aca="false">B57-C57</f>
        <v>37.817</v>
      </c>
      <c r="E57" s="26" t="n">
        <f aca="false">IF(C57=0,"n/m",D57/ABS(C57))</f>
        <v>0.309511143121383</v>
      </c>
      <c r="F57" s="49" t="str">
        <f aca="false">IF(ROUND(D57,5)=0,"",IF(D57&lt;0,"F","U"))</f>
        <v>U</v>
      </c>
      <c r="G57" s="6" t="s">
        <v>604</v>
      </c>
      <c r="H57" s="50" t="s">
        <v>200</v>
      </c>
      <c r="I57" s="51" t="s">
        <v>434</v>
      </c>
      <c r="J57" s="52" t="s">
        <v>182</v>
      </c>
    </row>
    <row r="58" customFormat="false" ht="27.75" hidden="false" customHeight="true" outlineLevel="1" collapsed="false">
      <c r="A58" s="62" t="s">
        <v>263</v>
      </c>
      <c r="B58" s="34" t="n">
        <v>84</v>
      </c>
      <c r="C58" s="34" t="n">
        <v>71.3881</v>
      </c>
      <c r="D58" s="25" t="n">
        <f aca="false">B58-C58</f>
        <v>12.6119</v>
      </c>
      <c r="E58" s="26" t="n">
        <f aca="false">IF(C58=0,"n/m",D58/ABS(C58))</f>
        <v>0.176666699351853</v>
      </c>
      <c r="F58" s="49" t="str">
        <f aca="false">IF(ROUND(D58,5)=0,"",IF(D58&lt;0,"F","U"))</f>
        <v>U</v>
      </c>
      <c r="G58" s="6" t="s">
        <v>605</v>
      </c>
      <c r="H58" s="50" t="s">
        <v>197</v>
      </c>
      <c r="I58" s="51" t="s">
        <v>434</v>
      </c>
      <c r="J58" s="52" t="s">
        <v>182</v>
      </c>
    </row>
    <row r="59" customFormat="false" ht="40.5" hidden="false" customHeight="true" outlineLevel="1" collapsed="false">
      <c r="A59" s="62" t="s">
        <v>265</v>
      </c>
      <c r="B59" s="34" t="n">
        <v>20</v>
      </c>
      <c r="C59" s="34" t="n">
        <v>12.39</v>
      </c>
      <c r="D59" s="25" t="n">
        <f aca="false">B59-C59</f>
        <v>7.61</v>
      </c>
      <c r="E59" s="26" t="n">
        <f aca="false">IF(C59=0,"n/m",D59/ABS(C59))</f>
        <v>0.614205004035513</v>
      </c>
      <c r="F59" s="49" t="str">
        <f aca="false">IF(ROUND(D59,5)=0,"",IF(D59&lt;0,"F","U"))</f>
        <v>U</v>
      </c>
      <c r="G59" s="6" t="s">
        <v>606</v>
      </c>
      <c r="H59" s="50" t="s">
        <v>221</v>
      </c>
      <c r="I59" s="51" t="s">
        <v>434</v>
      </c>
      <c r="J59" s="52" t="s">
        <v>182</v>
      </c>
    </row>
    <row r="60" customFormat="false" ht="27.75" hidden="false" customHeight="true" outlineLevel="1" collapsed="false">
      <c r="A60" s="62" t="s">
        <v>267</v>
      </c>
      <c r="B60" s="34" t="n">
        <v>20</v>
      </c>
      <c r="C60" s="34" t="n">
        <v>16.33333</v>
      </c>
      <c r="D60" s="25" t="n">
        <f aca="false">B60-C60</f>
        <v>3.66667</v>
      </c>
      <c r="E60" s="26" t="n">
        <f aca="false">IF(C60=0,"n/m",D60/ABS(C60))</f>
        <v>0.224490045814295</v>
      </c>
      <c r="F60" s="49" t="str">
        <f aca="false">IF(ROUND(D60,5)=0,"",IF(D60&lt;0,"F","U"))</f>
        <v>U</v>
      </c>
      <c r="G60" s="6" t="s">
        <v>607</v>
      </c>
      <c r="H60" s="50" t="s">
        <v>206</v>
      </c>
      <c r="I60" s="51" t="s">
        <v>434</v>
      </c>
      <c r="J60" s="52" t="s">
        <v>182</v>
      </c>
    </row>
    <row r="61" customFormat="false" ht="27.75" hidden="false" customHeight="true" outlineLevel="1" collapsed="false">
      <c r="A61" s="62" t="s">
        <v>269</v>
      </c>
      <c r="B61" s="34" t="n">
        <v>20</v>
      </c>
      <c r="C61" s="34" t="n">
        <v>16.25</v>
      </c>
      <c r="D61" s="25" t="n">
        <f aca="false">B61-C61</f>
        <v>3.75</v>
      </c>
      <c r="E61" s="26" t="n">
        <f aca="false">IF(C61=0,"n/m",D61/ABS(C61))</f>
        <v>0.230769230769231</v>
      </c>
      <c r="F61" s="49" t="str">
        <f aca="false">IF(ROUND(D61,5)=0,"",IF(D61&lt;0,"F","U"))</f>
        <v>U</v>
      </c>
      <c r="G61" s="6" t="s">
        <v>608</v>
      </c>
      <c r="I61" s="51" t="s">
        <v>434</v>
      </c>
      <c r="J61" s="52" t="s">
        <v>182</v>
      </c>
    </row>
    <row r="62" customFormat="false" ht="27.75" hidden="false" customHeight="true" outlineLevel="0" collapsed="false">
      <c r="A62" s="11" t="s">
        <v>165</v>
      </c>
      <c r="B62" s="25" t="n">
        <f aca="false">B63</f>
        <v>120</v>
      </c>
      <c r="C62" s="25" t="n">
        <f aca="false">C63</f>
        <v>103.595</v>
      </c>
      <c r="D62" s="25" t="n">
        <f aca="false">B62-C62</f>
        <v>16.405</v>
      </c>
      <c r="E62" s="26" t="n">
        <f aca="false">IF(C62=0,"n/m",D62/ABS(C62))</f>
        <v>0.158357063564844</v>
      </c>
      <c r="F62" s="49" t="str">
        <f aca="false">IF(ROUND(D62,5)=0,"",IF(D62&lt;0,"F","U"))</f>
        <v>U</v>
      </c>
      <c r="G62" s="6" t="s">
        <v>609</v>
      </c>
      <c r="H62" s="50" t="s">
        <v>210</v>
      </c>
      <c r="I62" s="51" t="s">
        <v>434</v>
      </c>
      <c r="J62" s="52" t="str">
        <f aca="false">IF(AND(ROUND(B62-K62,4)=0,ROUND(C62-L62,4)=0,TRUE()),"✓","✗")</f>
        <v>✓</v>
      </c>
      <c r="K62" s="61" t="n">
        <v>120</v>
      </c>
      <c r="L62" s="61" t="n">
        <v>103.595</v>
      </c>
    </row>
    <row r="63" customFormat="false" ht="27.75" hidden="false" customHeight="true" outlineLevel="1" collapsed="false">
      <c r="A63" s="62" t="s">
        <v>272</v>
      </c>
      <c r="B63" s="34" t="n">
        <v>120</v>
      </c>
      <c r="C63" s="34" t="n">
        <v>103.595</v>
      </c>
      <c r="D63" s="25" t="n">
        <f aca="false">B63-C63</f>
        <v>16.405</v>
      </c>
      <c r="E63" s="26" t="n">
        <f aca="false">IF(C63=0,"n/m",D63/ABS(C63))</f>
        <v>0.158357063564844</v>
      </c>
      <c r="F63" s="49" t="str">
        <f aca="false">IF(ROUND(D63,5)=0,"",IF(D63&lt;0,"F","U"))</f>
        <v>U</v>
      </c>
      <c r="G63" s="6" t="s">
        <v>610</v>
      </c>
      <c r="H63" s="50" t="s">
        <v>210</v>
      </c>
      <c r="I63" s="51" t="s">
        <v>434</v>
      </c>
      <c r="J63" s="52" t="s">
        <v>182</v>
      </c>
    </row>
    <row r="64" customFormat="false" ht="60" hidden="false" customHeight="true" outlineLevel="0" collapsed="false">
      <c r="A64" s="53" t="s">
        <v>166</v>
      </c>
      <c r="B64" s="37" t="n">
        <f aca="false">B54+B62</f>
        <v>664</v>
      </c>
      <c r="C64" s="37" t="n">
        <f aca="false">C54+C62</f>
        <v>518.01218</v>
      </c>
      <c r="D64" s="37" t="n">
        <f aca="false">B64-C64</f>
        <v>145.98782</v>
      </c>
      <c r="E64" s="54" t="n">
        <f aca="false">IF(C64=0,"n/m",D64/ABS(C64))</f>
        <v>0.281823141687518</v>
      </c>
      <c r="F64" s="55" t="str">
        <f aca="false">IF(ROUND(D64,5)=0,"",IF(D64&lt;0,"F","U"))</f>
        <v>U</v>
      </c>
      <c r="G64" s="56" t="s">
        <v>611</v>
      </c>
      <c r="H64" s="57" t="s">
        <v>212</v>
      </c>
      <c r="I64" s="58" t="s">
        <v>434</v>
      </c>
      <c r="J64" s="59" t="str">
        <f aca="false">IF(AND(ROUND(B64-K64,4)=0,ROUND(C64-L64,4)=0,TRUE()),"✓","✗")</f>
        <v>✓</v>
      </c>
      <c r="K64" s="60" t="n">
        <v>664</v>
      </c>
      <c r="L64" s="60" t="n">
        <v>518.01218</v>
      </c>
    </row>
    <row r="65" customFormat="false" ht="60" hidden="false" customHeight="true" outlineLevel="0" collapsed="false">
      <c r="A65" s="64" t="s">
        <v>167</v>
      </c>
      <c r="B65" s="65" t="n">
        <f aca="false">B53-B64</f>
        <v>1336</v>
      </c>
      <c r="C65" s="65" t="n">
        <f aca="false">C53-C64</f>
        <v>1105.60682</v>
      </c>
      <c r="D65" s="65" t="n">
        <f aca="false">B65-C65</f>
        <v>230.39318</v>
      </c>
      <c r="E65" s="66" t="n">
        <f aca="false">IF(C65=0,"n/m",D65/ABS(C65))</f>
        <v>0.208386178370354</v>
      </c>
      <c r="F65" s="67" t="str">
        <f aca="false">IF(ROUND(D65,5)=0,"",IF(D65&gt;0,"F","U"))</f>
        <v>F</v>
      </c>
      <c r="G65" s="68" t="s">
        <v>612</v>
      </c>
      <c r="H65" s="69" t="s">
        <v>214</v>
      </c>
      <c r="I65" s="70" t="s">
        <v>434</v>
      </c>
      <c r="J65" s="71" t="str">
        <f aca="false">IF(AND(ROUND(B65-K65,4)=0,ROUND(C65-L65,4)=0,TRUE()),"✓","✗")</f>
        <v>✓</v>
      </c>
      <c r="K65" s="72" t="n">
        <v>1336</v>
      </c>
      <c r="L65" s="72" t="n">
        <v>1105.60682</v>
      </c>
    </row>
    <row r="66" customFormat="false" ht="48" hidden="false" customHeight="true" outlineLevel="0" collapsed="false">
      <c r="A66" s="11" t="s">
        <v>168</v>
      </c>
      <c r="B66" s="25" t="n">
        <f aca="false">B67+B68+B69+B70+B71</f>
        <v>436</v>
      </c>
      <c r="C66" s="25" t="n">
        <f aca="false">C67+C68+C69+C70+C71</f>
        <v>297.9769</v>
      </c>
      <c r="D66" s="25" t="n">
        <f aca="false">B66-C66</f>
        <v>138.0231</v>
      </c>
      <c r="E66" s="26" t="n">
        <f aca="false">IF(C66=0,"n/m",D66/ABS(C66))</f>
        <v>0.463200670924491</v>
      </c>
      <c r="F66" s="49" t="str">
        <f aca="false">IF(ROUND(D66,5)=0,"",IF(D66&lt;0,"F","U"))</f>
        <v>U</v>
      </c>
      <c r="G66" s="6" t="s">
        <v>613</v>
      </c>
      <c r="H66" s="50" t="s">
        <v>277</v>
      </c>
      <c r="I66" s="51" t="s">
        <v>434</v>
      </c>
      <c r="J66" s="52" t="str">
        <f aca="false">IF(AND(ROUND(B66-K66,4)=0,ROUND(C66-L66,4)=0,TRUE()),"✓","✗")</f>
        <v>✓</v>
      </c>
      <c r="K66" s="61" t="n">
        <v>436</v>
      </c>
      <c r="L66" s="61" t="n">
        <v>297.9769</v>
      </c>
    </row>
    <row r="67" customFormat="false" ht="36.75" hidden="false" customHeight="true" outlineLevel="1" collapsed="false">
      <c r="A67" s="62" t="s">
        <v>278</v>
      </c>
      <c r="B67" s="34" t="n">
        <v>240</v>
      </c>
      <c r="C67" s="34" t="n">
        <v>168.927</v>
      </c>
      <c r="D67" s="25" t="n">
        <f aca="false">B67-C67</f>
        <v>71.073</v>
      </c>
      <c r="E67" s="26" t="n">
        <f aca="false">IF(C67=0,"n/m",D67/ABS(C67))</f>
        <v>0.420732032179581</v>
      </c>
      <c r="F67" s="49" t="str">
        <f aca="false">IF(ROUND(D67,5)=0,"",IF(D67&lt;0,"F","U"))</f>
        <v>U</v>
      </c>
      <c r="G67" s="6" t="s">
        <v>614</v>
      </c>
      <c r="H67" s="50" t="s">
        <v>227</v>
      </c>
      <c r="I67" s="51" t="s">
        <v>434</v>
      </c>
      <c r="J67" s="52" t="s">
        <v>182</v>
      </c>
    </row>
    <row r="68" customFormat="false" ht="27.75" hidden="false" customHeight="true" outlineLevel="1" collapsed="false">
      <c r="A68" s="62" t="s">
        <v>280</v>
      </c>
      <c r="B68" s="34" t="n">
        <v>36</v>
      </c>
      <c r="C68" s="34" t="n">
        <v>30.5949</v>
      </c>
      <c r="D68" s="25" t="n">
        <f aca="false">B68-C68</f>
        <v>5.4051</v>
      </c>
      <c r="E68" s="26" t="n">
        <f aca="false">IF(C68=0,"n/m",D68/ABS(C68))</f>
        <v>0.176666699351853</v>
      </c>
      <c r="F68" s="49" t="str">
        <f aca="false">IF(ROUND(D68,5)=0,"",IF(D68&lt;0,"F","U"))</f>
        <v>U</v>
      </c>
      <c r="G68" s="6" t="s">
        <v>615</v>
      </c>
      <c r="H68" s="50" t="s">
        <v>229</v>
      </c>
      <c r="I68" s="51" t="s">
        <v>434</v>
      </c>
      <c r="J68" s="52" t="s">
        <v>182</v>
      </c>
    </row>
    <row r="69" customFormat="false" ht="48" hidden="false" customHeight="true" outlineLevel="1" collapsed="false">
      <c r="A69" s="62" t="s">
        <v>282</v>
      </c>
      <c r="B69" s="34" t="n">
        <v>100</v>
      </c>
      <c r="C69" s="34" t="n">
        <v>68</v>
      </c>
      <c r="D69" s="25" t="n">
        <f aca="false">B69-C69</f>
        <v>32</v>
      </c>
      <c r="E69" s="26" t="n">
        <f aca="false">IF(C69=0,"n/m",D69/ABS(C69))</f>
        <v>0.470588235294118</v>
      </c>
      <c r="F69" s="49" t="str">
        <f aca="false">IF(ROUND(D69,5)=0,"",IF(D69&lt;0,"F","U"))</f>
        <v>U</v>
      </c>
      <c r="G69" s="6" t="s">
        <v>616</v>
      </c>
      <c r="H69" s="50" t="s">
        <v>232</v>
      </c>
      <c r="I69" s="51" t="s">
        <v>434</v>
      </c>
      <c r="J69" s="52" t="s">
        <v>182</v>
      </c>
    </row>
    <row r="70" customFormat="false" ht="27.75" hidden="false" customHeight="true" outlineLevel="1" collapsed="false">
      <c r="A70" s="62" t="s">
        <v>284</v>
      </c>
      <c r="B70" s="34" t="n">
        <v>40</v>
      </c>
      <c r="C70" s="34" t="n">
        <v>23.455</v>
      </c>
      <c r="D70" s="25" t="n">
        <f aca="false">B70-C70</f>
        <v>16.545</v>
      </c>
      <c r="E70" s="26" t="n">
        <f aca="false">IF(C70=0,"n/m",D70/ABS(C70))</f>
        <v>0.705393306331273</v>
      </c>
      <c r="F70" s="49" t="str">
        <f aca="false">IF(ROUND(D70,5)=0,"",IF(D70&lt;0,"F","U"))</f>
        <v>U</v>
      </c>
      <c r="G70" s="6" t="s">
        <v>617</v>
      </c>
      <c r="I70" s="51" t="s">
        <v>434</v>
      </c>
      <c r="J70" s="52" t="s">
        <v>182</v>
      </c>
    </row>
    <row r="71" customFormat="false" ht="27.75" hidden="false" customHeight="true" outlineLevel="1" collapsed="false">
      <c r="A71" s="62" t="s">
        <v>286</v>
      </c>
      <c r="B71" s="34" t="n">
        <v>20</v>
      </c>
      <c r="C71" s="34" t="n">
        <v>7</v>
      </c>
      <c r="D71" s="25" t="n">
        <f aca="false">B71-C71</f>
        <v>13</v>
      </c>
      <c r="E71" s="26" t="n">
        <f aca="false">IF(C71=0,"n/m",D71/ABS(C71))</f>
        <v>1.85714285714286</v>
      </c>
      <c r="F71" s="49" t="str">
        <f aca="false">IF(ROUND(D71,5)=0,"",IF(D71&lt;0,"F","U"))</f>
        <v>U</v>
      </c>
      <c r="G71" s="6" t="s">
        <v>618</v>
      </c>
      <c r="H71" s="50" t="s">
        <v>236</v>
      </c>
      <c r="I71" s="51" t="s">
        <v>434</v>
      </c>
      <c r="J71" s="52" t="s">
        <v>182</v>
      </c>
    </row>
    <row r="72" customFormat="false" ht="60" hidden="false" customHeight="true" outlineLevel="0" collapsed="false">
      <c r="A72" s="64" t="s">
        <v>169</v>
      </c>
      <c r="B72" s="65" t="n">
        <f aca="false">B65-B66</f>
        <v>900</v>
      </c>
      <c r="C72" s="65" t="n">
        <f aca="false">C65-C66</f>
        <v>807.62992</v>
      </c>
      <c r="D72" s="65" t="n">
        <f aca="false">B72-C72</f>
        <v>92.3700799999999</v>
      </c>
      <c r="E72" s="66" t="n">
        <f aca="false">IF(C72=0,"n/m",D72/ABS(C72))</f>
        <v>0.114371790485424</v>
      </c>
      <c r="F72" s="67" t="str">
        <f aca="false">IF(ROUND(D72,5)=0,"",IF(D72&gt;0,"F","U"))</f>
        <v>F</v>
      </c>
      <c r="G72" s="68" t="s">
        <v>619</v>
      </c>
      <c r="H72" s="69" t="s">
        <v>289</v>
      </c>
      <c r="I72" s="70" t="s">
        <v>434</v>
      </c>
      <c r="J72" s="71" t="str">
        <f aca="false">IF(AND(ROUND(B72-K72,4)=0,ROUND(C72-L72,4)=0,TRUE()),"✓","✗")</f>
        <v>✓</v>
      </c>
      <c r="K72" s="72" t="n">
        <v>900</v>
      </c>
      <c r="L72" s="72" t="n">
        <v>807.62992</v>
      </c>
    </row>
    <row r="73" customFormat="false" ht="36.75" hidden="false" customHeight="true" outlineLevel="0" collapsed="false">
      <c r="A73" s="11" t="s">
        <v>170</v>
      </c>
      <c r="B73" s="25" t="n">
        <f aca="false">B74+B75+B76</f>
        <v>60</v>
      </c>
      <c r="C73" s="25" t="n">
        <f aca="false">C74+C75+C76</f>
        <v>48.90167</v>
      </c>
      <c r="D73" s="25" t="n">
        <f aca="false">B73-C73</f>
        <v>11.09833</v>
      </c>
      <c r="E73" s="26" t="n">
        <f aca="false">IF(C73=0,"n/m",D73/ABS(C73))</f>
        <v>0.226951962990221</v>
      </c>
      <c r="F73" s="49" t="str">
        <f aca="false">IF(ROUND(D73,5)=0,"",IF(D73&lt;0,"F","U"))</f>
        <v>U</v>
      </c>
      <c r="G73" s="6" t="s">
        <v>620</v>
      </c>
      <c r="H73" s="50" t="s">
        <v>291</v>
      </c>
      <c r="I73" s="51" t="s">
        <v>434</v>
      </c>
      <c r="J73" s="52" t="str">
        <f aca="false">IF(AND(ROUND(B73-K73,4)=0,ROUND(C73-L73,4)=0,TRUE()),"✓","✗")</f>
        <v>✓</v>
      </c>
      <c r="K73" s="61" t="n">
        <v>60</v>
      </c>
      <c r="L73" s="61" t="n">
        <v>48.90167</v>
      </c>
    </row>
    <row r="74" customFormat="false" ht="40.5" hidden="false" customHeight="true" outlineLevel="1" collapsed="false">
      <c r="A74" s="62" t="s">
        <v>265</v>
      </c>
      <c r="B74" s="34" t="n">
        <v>30</v>
      </c>
      <c r="C74" s="34" t="n">
        <v>24.485</v>
      </c>
      <c r="D74" s="25" t="n">
        <f aca="false">B74-C74</f>
        <v>5.515</v>
      </c>
      <c r="E74" s="26" t="n">
        <f aca="false">IF(C74=0,"n/m",D74/ABS(C74))</f>
        <v>0.225239942822136</v>
      </c>
      <c r="F74" s="49" t="str">
        <f aca="false">IF(ROUND(D74,5)=0,"",IF(D74&lt;0,"F","U"))</f>
        <v>U</v>
      </c>
      <c r="G74" s="6" t="s">
        <v>621</v>
      </c>
      <c r="H74" s="50" t="s">
        <v>293</v>
      </c>
      <c r="I74" s="51" t="s">
        <v>434</v>
      </c>
      <c r="J74" s="52" t="s">
        <v>182</v>
      </c>
    </row>
    <row r="75" customFormat="false" ht="27.75" hidden="false" customHeight="true" outlineLevel="1" collapsed="false">
      <c r="A75" s="62" t="s">
        <v>267</v>
      </c>
      <c r="B75" s="34" t="n">
        <v>10</v>
      </c>
      <c r="C75" s="34" t="n">
        <v>8.16667</v>
      </c>
      <c r="D75" s="25" t="n">
        <f aca="false">B75-C75</f>
        <v>1.83333</v>
      </c>
      <c r="E75" s="26" t="n">
        <f aca="false">IF(C75=0,"n/m",D75/ABS(C75))</f>
        <v>0.224489296126818</v>
      </c>
      <c r="F75" s="49" t="str">
        <f aca="false">IF(ROUND(D75,5)=0,"",IF(D75&lt;0,"F","U"))</f>
        <v>U</v>
      </c>
      <c r="G75" s="63" t="s">
        <v>622</v>
      </c>
      <c r="H75" s="50" t="s">
        <v>239</v>
      </c>
      <c r="I75" s="18" t="s">
        <v>191</v>
      </c>
      <c r="J75" s="52" t="s">
        <v>182</v>
      </c>
    </row>
    <row r="76" customFormat="false" ht="27.75" hidden="false" customHeight="true" outlineLevel="1" collapsed="false">
      <c r="A76" s="62" t="s">
        <v>269</v>
      </c>
      <c r="B76" s="34" t="n">
        <v>20</v>
      </c>
      <c r="C76" s="34" t="n">
        <v>16.25</v>
      </c>
      <c r="D76" s="25" t="n">
        <f aca="false">B76-C76</f>
        <v>3.75</v>
      </c>
      <c r="E76" s="26" t="n">
        <f aca="false">IF(C76=0,"n/m",D76/ABS(C76))</f>
        <v>0.230769230769231</v>
      </c>
      <c r="F76" s="49" t="str">
        <f aca="false">IF(ROUND(D76,5)=0,"",IF(D76&lt;0,"F","U"))</f>
        <v>U</v>
      </c>
      <c r="G76" s="6" t="s">
        <v>608</v>
      </c>
      <c r="I76" s="51" t="s">
        <v>434</v>
      </c>
      <c r="J76" s="52" t="s">
        <v>182</v>
      </c>
    </row>
    <row r="77" customFormat="false" ht="48" hidden="false" customHeight="true" outlineLevel="0" collapsed="false">
      <c r="A77" s="11" t="s">
        <v>157</v>
      </c>
      <c r="B77" s="25" t="n">
        <f aca="false">B78+B79+B80+B81+B82</f>
        <v>420</v>
      </c>
      <c r="C77" s="25" t="n">
        <f aca="false">C78+C79+C80+C81+C82</f>
        <v>318.45158</v>
      </c>
      <c r="D77" s="25" t="n">
        <f aca="false">B77-C77</f>
        <v>101.54842</v>
      </c>
      <c r="E77" s="26" t="n">
        <f aca="false">IF(C77=0,"n/m",D77/ABS(C77))</f>
        <v>0.318881821845569</v>
      </c>
      <c r="F77" s="49" t="str">
        <f aca="false">IF(ROUND(D77,5)=0,"",IF(D77&lt;0,"F","U"))</f>
        <v>U</v>
      </c>
      <c r="G77" s="6" t="s">
        <v>623</v>
      </c>
      <c r="H77" s="50" t="s">
        <v>216</v>
      </c>
      <c r="I77" s="51" t="s">
        <v>434</v>
      </c>
      <c r="J77" s="52" t="str">
        <f aca="false">IF(AND(ROUND(B77-K77,4)=0,ROUND(C77-L77,4)=0,TRUE()),"✓","✗")</f>
        <v>✓</v>
      </c>
      <c r="K77" s="61" t="n">
        <v>420</v>
      </c>
      <c r="L77" s="61" t="n">
        <v>318.45158</v>
      </c>
    </row>
    <row r="78" customFormat="false" ht="36.75" hidden="false" customHeight="true" outlineLevel="1" collapsed="false">
      <c r="A78" s="62" t="s">
        <v>296</v>
      </c>
      <c r="B78" s="34" t="n">
        <v>300</v>
      </c>
      <c r="C78" s="34" t="n">
        <v>224.61825</v>
      </c>
      <c r="D78" s="25" t="n">
        <f aca="false">B78-C78</f>
        <v>75.38175</v>
      </c>
      <c r="E78" s="26" t="n">
        <f aca="false">IF(C78=0,"n/m",D78/ABS(C78))</f>
        <v>0.335599400315869</v>
      </c>
      <c r="F78" s="49" t="str">
        <f aca="false">IF(ROUND(D78,5)=0,"",IF(D78&lt;0,"F","U"))</f>
        <v>U</v>
      </c>
      <c r="G78" s="6" t="s">
        <v>624</v>
      </c>
      <c r="H78" s="50" t="s">
        <v>218</v>
      </c>
      <c r="I78" s="51" t="s">
        <v>434</v>
      </c>
      <c r="J78" s="52" t="s">
        <v>182</v>
      </c>
    </row>
    <row r="79" customFormat="false" ht="27.75" hidden="false" customHeight="true" outlineLevel="1" collapsed="false">
      <c r="A79" s="62" t="s">
        <v>298</v>
      </c>
      <c r="B79" s="34" t="n">
        <v>40</v>
      </c>
      <c r="C79" s="34" t="n">
        <v>31</v>
      </c>
      <c r="D79" s="25" t="n">
        <f aca="false">B79-C79</f>
        <v>9</v>
      </c>
      <c r="E79" s="26" t="n">
        <f aca="false">IF(C79=0,"n/m",D79/ABS(C79))</f>
        <v>0.290322580645161</v>
      </c>
      <c r="F79" s="49" t="str">
        <f aca="false">IF(ROUND(D79,5)=0,"",IF(D79&lt;0,"F","U"))</f>
        <v>U</v>
      </c>
      <c r="G79" s="6" t="s">
        <v>625</v>
      </c>
      <c r="I79" s="51" t="s">
        <v>434</v>
      </c>
      <c r="J79" s="52" t="s">
        <v>182</v>
      </c>
    </row>
    <row r="80" customFormat="false" ht="40.5" hidden="false" customHeight="true" outlineLevel="1" collapsed="false">
      <c r="A80" s="62" t="s">
        <v>265</v>
      </c>
      <c r="B80" s="34" t="n">
        <v>30</v>
      </c>
      <c r="C80" s="34" t="n">
        <v>22.125</v>
      </c>
      <c r="D80" s="25" t="n">
        <f aca="false">B80-C80</f>
        <v>7.875</v>
      </c>
      <c r="E80" s="26" t="n">
        <f aca="false">IF(C80=0,"n/m",D80/ABS(C80))</f>
        <v>0.355932203389831</v>
      </c>
      <c r="F80" s="49" t="str">
        <f aca="false">IF(ROUND(D80,5)=0,"",IF(D80&lt;0,"F","U"))</f>
        <v>U</v>
      </c>
      <c r="G80" s="6" t="s">
        <v>626</v>
      </c>
      <c r="H80" s="50" t="s">
        <v>293</v>
      </c>
      <c r="I80" s="51" t="s">
        <v>434</v>
      </c>
      <c r="J80" s="52" t="s">
        <v>182</v>
      </c>
    </row>
    <row r="81" customFormat="false" ht="27.75" hidden="false" customHeight="true" outlineLevel="1" collapsed="false">
      <c r="A81" s="62" t="s">
        <v>267</v>
      </c>
      <c r="B81" s="34" t="n">
        <v>20</v>
      </c>
      <c r="C81" s="34" t="n">
        <v>16.33333</v>
      </c>
      <c r="D81" s="25" t="n">
        <f aca="false">B81-C81</f>
        <v>3.66667</v>
      </c>
      <c r="E81" s="26" t="n">
        <f aca="false">IF(C81=0,"n/m",D81/ABS(C81))</f>
        <v>0.224490045814295</v>
      </c>
      <c r="F81" s="49" t="str">
        <f aca="false">IF(ROUND(D81,5)=0,"",IF(D81&lt;0,"F","U"))</f>
        <v>U</v>
      </c>
      <c r="G81" s="6" t="s">
        <v>607</v>
      </c>
      <c r="H81" s="50" t="s">
        <v>206</v>
      </c>
      <c r="I81" s="51" t="s">
        <v>434</v>
      </c>
      <c r="J81" s="52" t="s">
        <v>182</v>
      </c>
    </row>
    <row r="82" customFormat="false" ht="27.75" hidden="false" customHeight="true" outlineLevel="1" collapsed="false">
      <c r="A82" s="62" t="s">
        <v>269</v>
      </c>
      <c r="B82" s="34" t="n">
        <v>30</v>
      </c>
      <c r="C82" s="34" t="n">
        <v>24.375</v>
      </c>
      <c r="D82" s="25" t="n">
        <f aca="false">B82-C82</f>
        <v>5.625</v>
      </c>
      <c r="E82" s="26" t="n">
        <f aca="false">IF(C82=0,"n/m",D82/ABS(C82))</f>
        <v>0.230769230769231</v>
      </c>
      <c r="F82" s="49" t="str">
        <f aca="false">IF(ROUND(D82,5)=0,"",IF(D82&lt;0,"F","U"))</f>
        <v>U</v>
      </c>
      <c r="G82" s="6" t="s">
        <v>627</v>
      </c>
      <c r="I82" s="51" t="s">
        <v>434</v>
      </c>
      <c r="J82" s="52" t="s">
        <v>182</v>
      </c>
    </row>
    <row r="83" customFormat="false" ht="40.5" hidden="false" customHeight="true" outlineLevel="0" collapsed="false">
      <c r="A83" s="11" t="s">
        <v>159</v>
      </c>
      <c r="B83" s="25" t="n">
        <f aca="false">B84+B85+B86</f>
        <v>200</v>
      </c>
      <c r="C83" s="25" t="n">
        <f aca="false">C84+C85+C86</f>
        <v>151.29167</v>
      </c>
      <c r="D83" s="25" t="n">
        <f aca="false">B83-C83</f>
        <v>48.70833</v>
      </c>
      <c r="E83" s="26" t="n">
        <f aca="false">IF(C83=0,"n/m",D83/ABS(C83))</f>
        <v>0.321949846941342</v>
      </c>
      <c r="F83" s="49" t="str">
        <f aca="false">IF(ROUND(D83,5)=0,"",IF(D83&lt;0,"F","U"))</f>
        <v>U</v>
      </c>
      <c r="G83" s="6" t="s">
        <v>628</v>
      </c>
      <c r="H83" s="50" t="s">
        <v>303</v>
      </c>
      <c r="I83" s="51" t="s">
        <v>434</v>
      </c>
      <c r="J83" s="52" t="str">
        <f aca="false">IF(AND(ROUND(B83-K83,4)=0,ROUND(C83-L83,4)=0,TRUE()),"✓","✗")</f>
        <v>✓</v>
      </c>
      <c r="K83" s="61" t="n">
        <v>200</v>
      </c>
      <c r="L83" s="61" t="n">
        <v>151.29167</v>
      </c>
    </row>
    <row r="84" customFormat="false" ht="53.25" hidden="false" customHeight="true" outlineLevel="1" collapsed="false">
      <c r="A84" s="62" t="s">
        <v>304</v>
      </c>
      <c r="B84" s="34" t="n">
        <v>180</v>
      </c>
      <c r="C84" s="34" t="n">
        <v>135</v>
      </c>
      <c r="D84" s="25" t="n">
        <f aca="false">B84-C84</f>
        <v>45</v>
      </c>
      <c r="E84" s="26" t="n">
        <f aca="false">IF(C84=0,"n/m",D84/ABS(C84))</f>
        <v>0.333333333333333</v>
      </c>
      <c r="F84" s="49" t="str">
        <f aca="false">IF(ROUND(D84,5)=0,"",IF(D84&lt;0,"F","U"))</f>
        <v>U</v>
      </c>
      <c r="G84" s="6" t="s">
        <v>629</v>
      </c>
      <c r="H84" s="50" t="s">
        <v>244</v>
      </c>
      <c r="I84" s="51" t="s">
        <v>434</v>
      </c>
      <c r="J84" s="52" t="s">
        <v>182</v>
      </c>
    </row>
    <row r="85" customFormat="false" ht="27.75" hidden="false" customHeight="true" outlineLevel="1" collapsed="false">
      <c r="A85" s="62" t="s">
        <v>267</v>
      </c>
      <c r="B85" s="34" t="n">
        <v>10</v>
      </c>
      <c r="C85" s="34" t="n">
        <v>8.16667</v>
      </c>
      <c r="D85" s="25" t="n">
        <f aca="false">B85-C85</f>
        <v>1.83333</v>
      </c>
      <c r="E85" s="26" t="n">
        <f aca="false">IF(C85=0,"n/m",D85/ABS(C85))</f>
        <v>0.224489296126818</v>
      </c>
      <c r="F85" s="49" t="str">
        <f aca="false">IF(ROUND(D85,5)=0,"",IF(D85&lt;0,"F","U"))</f>
        <v>U</v>
      </c>
      <c r="G85" s="63" t="s">
        <v>622</v>
      </c>
      <c r="H85" s="50" t="s">
        <v>239</v>
      </c>
      <c r="I85" s="18" t="s">
        <v>191</v>
      </c>
      <c r="J85" s="52" t="s">
        <v>182</v>
      </c>
    </row>
    <row r="86" customFormat="false" ht="27.75" hidden="false" customHeight="true" outlineLevel="1" collapsed="false">
      <c r="A86" s="62" t="s">
        <v>269</v>
      </c>
      <c r="B86" s="34" t="n">
        <v>10</v>
      </c>
      <c r="C86" s="34" t="n">
        <v>8.125</v>
      </c>
      <c r="D86" s="25" t="n">
        <f aca="false">B86-C86</f>
        <v>1.875</v>
      </c>
      <c r="E86" s="26" t="n">
        <f aca="false">IF(C86=0,"n/m",D86/ABS(C86))</f>
        <v>0.230769230769231</v>
      </c>
      <c r="F86" s="49" t="str">
        <f aca="false">IF(ROUND(D86,5)=0,"",IF(D86&lt;0,"F","U"))</f>
        <v>U</v>
      </c>
      <c r="G86" s="63" t="s">
        <v>630</v>
      </c>
      <c r="I86" s="18" t="s">
        <v>191</v>
      </c>
      <c r="J86" s="52" t="s">
        <v>182</v>
      </c>
    </row>
    <row r="87" customFormat="false" ht="48" hidden="false" customHeight="true" outlineLevel="0" collapsed="false">
      <c r="A87" s="53" t="s">
        <v>171</v>
      </c>
      <c r="B87" s="37" t="n">
        <f aca="false">B73+B77+B83</f>
        <v>680</v>
      </c>
      <c r="C87" s="37" t="n">
        <f aca="false">C73+C77+C83</f>
        <v>518.64492</v>
      </c>
      <c r="D87" s="37" t="n">
        <f aca="false">B87-C87</f>
        <v>161.35508</v>
      </c>
      <c r="E87" s="54" t="n">
        <f aca="false">IF(C87=0,"n/m",D87/ABS(C87))</f>
        <v>0.311108956779139</v>
      </c>
      <c r="F87" s="55" t="str">
        <f aca="false">IF(ROUND(D87,5)=0,"",IF(D87&lt;0,"F","U"))</f>
        <v>U</v>
      </c>
      <c r="G87" s="56" t="s">
        <v>631</v>
      </c>
      <c r="H87" s="57" t="s">
        <v>308</v>
      </c>
      <c r="I87" s="58" t="s">
        <v>434</v>
      </c>
      <c r="J87" s="59" t="str">
        <f aca="false">IF(AND(ROUND(B87-K87,4)=0,ROUND(C87-L87,4)=0,TRUE()),"✓","✗")</f>
        <v>✓</v>
      </c>
      <c r="K87" s="60" t="n">
        <v>680</v>
      </c>
      <c r="L87" s="60" t="n">
        <v>518.64492</v>
      </c>
    </row>
    <row r="88" customFormat="false" ht="60" hidden="false" customHeight="true" outlineLevel="0" collapsed="false">
      <c r="A88" s="64" t="s">
        <v>96</v>
      </c>
      <c r="B88" s="65" t="n">
        <f aca="false">B72-B87</f>
        <v>220</v>
      </c>
      <c r="C88" s="65" t="n">
        <f aca="false">C72-C87</f>
        <v>288.985</v>
      </c>
      <c r="D88" s="65" t="n">
        <f aca="false">B88-C88</f>
        <v>-68.9850000000001</v>
      </c>
      <c r="E88" s="66" t="n">
        <f aca="false">IF(C88=0,"n/m",D88/ABS(C88))</f>
        <v>-0.238714812187484</v>
      </c>
      <c r="F88" s="67" t="str">
        <f aca="false">IF(ROUND(D88,5)=0,"",IF(D88&gt;0,"F","U"))</f>
        <v>U</v>
      </c>
      <c r="G88" s="68" t="s">
        <v>632</v>
      </c>
      <c r="H88" s="69" t="s">
        <v>250</v>
      </c>
      <c r="I88" s="70" t="s">
        <v>434</v>
      </c>
      <c r="J88" s="71" t="str">
        <f aca="false">IF(AND(ROUND(B88-K88,4)=0,ROUND(C88-L88,4)=0,TRUE()),"✓","✗")</f>
        <v>✓</v>
      </c>
      <c r="K88" s="72" t="n">
        <v>220</v>
      </c>
      <c r="L88" s="72" t="n">
        <v>288.985</v>
      </c>
    </row>
    <row r="89" customFormat="false" ht="15" hidden="false" customHeight="true" outlineLevel="0" collapsed="false">
      <c r="A89" s="11" t="s">
        <v>160</v>
      </c>
      <c r="B89" s="34" t="n">
        <v>10</v>
      </c>
      <c r="C89" s="34" t="n">
        <v>13</v>
      </c>
      <c r="D89" s="25" t="n">
        <f aca="false">B89-C89</f>
        <v>-3</v>
      </c>
      <c r="E89" s="26" t="n">
        <f aca="false">IF(C89=0,"n/m",D89/ABS(C89))</f>
        <v>-0.230769230769231</v>
      </c>
      <c r="F89" s="49" t="str">
        <f aca="false">IF(ROUND(D89,5)=0,"",IF(D89&gt;0,"F","U"))</f>
        <v>U</v>
      </c>
      <c r="G89" s="6" t="s">
        <v>596</v>
      </c>
      <c r="I89" s="51" t="s">
        <v>434</v>
      </c>
      <c r="J89" s="52" t="s">
        <v>182</v>
      </c>
    </row>
    <row r="90" customFormat="false" ht="15" hidden="false" customHeight="true" outlineLevel="0" collapsed="false">
      <c r="A90" s="11" t="s">
        <v>161</v>
      </c>
      <c r="B90" s="34" t="n">
        <v>30</v>
      </c>
      <c r="C90" s="34" t="n">
        <v>32</v>
      </c>
      <c r="D90" s="25" t="n">
        <f aca="false">B90-C90</f>
        <v>-2</v>
      </c>
      <c r="E90" s="26" t="n">
        <f aca="false">IF(C90=0,"n/m",D90/ABS(C90))</f>
        <v>-0.0625</v>
      </c>
      <c r="F90" s="49" t="str">
        <f aca="false">IF(ROUND(D90,5)=0,"",IF(D90&lt;0,"F","U"))</f>
        <v>F</v>
      </c>
      <c r="G90" s="63" t="s">
        <v>597</v>
      </c>
      <c r="I90" s="18" t="s">
        <v>191</v>
      </c>
      <c r="J90" s="52" t="s">
        <v>182</v>
      </c>
    </row>
    <row r="91" customFormat="false" ht="15" hidden="false" customHeight="true" outlineLevel="0" collapsed="false">
      <c r="A91" s="11" t="s">
        <v>126</v>
      </c>
      <c r="B91" s="34" t="n">
        <v>40</v>
      </c>
      <c r="C91" s="34" t="n">
        <v>24</v>
      </c>
      <c r="D91" s="25" t="n">
        <f aca="false">B91-C91</f>
        <v>16</v>
      </c>
      <c r="E91" s="26" t="n">
        <f aca="false">IF(C91=0,"n/m",D91/ABS(C91))</f>
        <v>0.666666666666667</v>
      </c>
      <c r="F91" s="49" t="str">
        <f aca="false">IF(ROUND(D91,5)=0,"",IF(D91&lt;0,"F","U"))</f>
        <v>U</v>
      </c>
      <c r="G91" s="6" t="s">
        <v>599</v>
      </c>
      <c r="I91" s="51" t="s">
        <v>434</v>
      </c>
      <c r="J91" s="52" t="s">
        <v>182</v>
      </c>
    </row>
    <row r="92" customFormat="false" ht="60" hidden="false" customHeight="true" outlineLevel="0" collapsed="false">
      <c r="A92" s="64" t="s">
        <v>97</v>
      </c>
      <c r="B92" s="65" t="n">
        <f aca="false">B88+B89-B90-B91</f>
        <v>160</v>
      </c>
      <c r="C92" s="65" t="n">
        <f aca="false">C88+C89-C90-C91</f>
        <v>245.985</v>
      </c>
      <c r="D92" s="65" t="n">
        <f aca="false">B92-C92</f>
        <v>-85.9850000000001</v>
      </c>
      <c r="E92" s="66" t="n">
        <f aca="false">IF(C92=0,"n/m",D92/ABS(C92))</f>
        <v>-0.34955383458341</v>
      </c>
      <c r="F92" s="67" t="str">
        <f aca="false">IF(ROUND(D92,5)=0,"",IF(D92&gt;0,"F","U"))</f>
        <v>U</v>
      </c>
      <c r="G92" s="68" t="s">
        <v>633</v>
      </c>
      <c r="H92" s="69" t="s">
        <v>250</v>
      </c>
      <c r="I92" s="70" t="s">
        <v>434</v>
      </c>
      <c r="J92" s="71" t="str">
        <f aca="false">IF(AND(ROUND(B92-K92,4)=0,ROUND(C92-L92,4)=0,TRUE()),"✓","✗")</f>
        <v>✓</v>
      </c>
      <c r="K92" s="72" t="n">
        <v>160</v>
      </c>
      <c r="L92" s="72" t="n">
        <v>245.985</v>
      </c>
    </row>
    <row r="94" customFormat="false" ht="18" hidden="false" customHeight="true" outlineLevel="0" collapsed="false">
      <c r="A94" s="44" t="s">
        <v>311</v>
      </c>
      <c r="B94" s="45"/>
      <c r="C94" s="45"/>
      <c r="D94" s="45"/>
      <c r="E94" s="45"/>
      <c r="F94" s="45"/>
      <c r="G94" s="45"/>
      <c r="H94" s="45"/>
      <c r="I94" s="45"/>
      <c r="J94" s="45"/>
      <c r="K94" s="45"/>
      <c r="L94" s="45"/>
    </row>
    <row r="95" customFormat="false" ht="40.5" hidden="false" customHeight="true" outlineLevel="0" collapsed="false">
      <c r="A95" s="11" t="s">
        <v>312</v>
      </c>
      <c r="B95" s="25" t="n">
        <f aca="false">B96+B97</f>
        <v>2000</v>
      </c>
      <c r="C95" s="25" t="n">
        <f aca="false">C96+C97</f>
        <v>1623.619</v>
      </c>
      <c r="D95" s="25" t="n">
        <f aca="false">B95-C95</f>
        <v>376.381</v>
      </c>
      <c r="E95" s="26" t="n">
        <f aca="false">IF(C95=0,"n/m",D95/ABS(C95))</f>
        <v>0.231816084931256</v>
      </c>
      <c r="F95" s="49" t="str">
        <f aca="false">IF(ROUND(D95,5)=0,"",IF(D95&gt;0,"F","U"))</f>
        <v>F</v>
      </c>
      <c r="G95" s="6" t="s">
        <v>634</v>
      </c>
      <c r="H95" s="50" t="s">
        <v>186</v>
      </c>
      <c r="I95" s="51" t="s">
        <v>434</v>
      </c>
      <c r="J95" s="52" t="str">
        <f aca="false">IF(AND(ROUND(B95-K95,4)=0,ROUND(C95-L95,4)=0,TRUE()),"✓","✗")</f>
        <v>✓</v>
      </c>
      <c r="K95" s="61" t="n">
        <v>2000</v>
      </c>
      <c r="L95" s="61" t="n">
        <v>1623.619</v>
      </c>
    </row>
    <row r="96" customFormat="false" ht="48" hidden="false" customHeight="true" outlineLevel="1" collapsed="false">
      <c r="A96" s="62" t="s">
        <v>314</v>
      </c>
      <c r="B96" s="34" t="n">
        <v>1800</v>
      </c>
      <c r="C96" s="34" t="n">
        <v>1493.619</v>
      </c>
      <c r="D96" s="25" t="n">
        <f aca="false">B96-C96</f>
        <v>306.381</v>
      </c>
      <c r="E96" s="26" t="n">
        <f aca="false">IF(C96=0,"n/m",D96/ABS(C96))</f>
        <v>0.205126608592955</v>
      </c>
      <c r="F96" s="49" t="str">
        <f aca="false">IF(ROUND(D96,5)=0,"",IF(D96&gt;0,"F","U"))</f>
        <v>F</v>
      </c>
      <c r="G96" s="6" t="s">
        <v>563</v>
      </c>
      <c r="H96" s="50" t="s">
        <v>180</v>
      </c>
      <c r="I96" s="51" t="s">
        <v>434</v>
      </c>
      <c r="J96" s="52" t="s">
        <v>182</v>
      </c>
    </row>
    <row r="97" customFormat="false" ht="40.5" hidden="false" customHeight="true" outlineLevel="1" collapsed="false">
      <c r="A97" s="62" t="s">
        <v>315</v>
      </c>
      <c r="B97" s="34" t="n">
        <v>200</v>
      </c>
      <c r="C97" s="34" t="n">
        <v>130</v>
      </c>
      <c r="D97" s="25" t="n">
        <f aca="false">B97-C97</f>
        <v>70</v>
      </c>
      <c r="E97" s="26" t="n">
        <f aca="false">IF(C97=0,"n/m",D97/ABS(C97))</f>
        <v>0.538461538461538</v>
      </c>
      <c r="F97" s="49" t="str">
        <f aca="false">IF(ROUND(D97,5)=0,"",IF(D97&gt;0,"F","U"))</f>
        <v>F</v>
      </c>
      <c r="G97" s="6" t="s">
        <v>564</v>
      </c>
      <c r="H97" s="50" t="s">
        <v>184</v>
      </c>
      <c r="I97" s="51" t="s">
        <v>434</v>
      </c>
      <c r="J97" s="52" t="s">
        <v>182</v>
      </c>
    </row>
    <row r="98" customFormat="false" ht="48" hidden="false" customHeight="true" outlineLevel="0" collapsed="false">
      <c r="A98" s="11" t="s">
        <v>316</v>
      </c>
      <c r="B98" s="25" t="n">
        <f aca="false">B99+B100+B101+B102+B103</f>
        <v>1040</v>
      </c>
      <c r="C98" s="25" t="n">
        <f aca="false">C99+C100+C101+C102+C103</f>
        <v>796.179</v>
      </c>
      <c r="D98" s="25" t="n">
        <f aca="false">B98-C98</f>
        <v>243.821</v>
      </c>
      <c r="E98" s="26" t="n">
        <f aca="false">IF(C98=0,"n/m",D98/ABS(C98))</f>
        <v>0.306238923659127</v>
      </c>
      <c r="F98" s="49" t="str">
        <f aca="false">IF(ROUND(D98,5)=0,"",IF(D98&lt;0,"F","U"))</f>
        <v>U</v>
      </c>
      <c r="G98" s="6" t="s">
        <v>635</v>
      </c>
      <c r="H98" s="50" t="s">
        <v>318</v>
      </c>
      <c r="I98" s="51" t="s">
        <v>434</v>
      </c>
      <c r="J98" s="52" t="str">
        <f aca="false">IF(AND(ROUND(B98-K98,4)=0,ROUND(C98-L98,4)=0,TRUE()),"✓","✗")</f>
        <v>✓</v>
      </c>
      <c r="K98" s="61" t="n">
        <v>1040</v>
      </c>
      <c r="L98" s="61" t="n">
        <v>796.179</v>
      </c>
    </row>
    <row r="99" customFormat="false" ht="36.75" hidden="false" customHeight="true" outlineLevel="1" collapsed="false">
      <c r="A99" s="62" t="s">
        <v>192</v>
      </c>
      <c r="B99" s="34" t="n">
        <v>400</v>
      </c>
      <c r="C99" s="34" t="n">
        <v>299.491</v>
      </c>
      <c r="D99" s="25" t="n">
        <f aca="false">B99-C99</f>
        <v>100.509</v>
      </c>
      <c r="E99" s="26" t="n">
        <f aca="false">IF(C99=0,"n/m",D99/ABS(C99))</f>
        <v>0.335599400315869</v>
      </c>
      <c r="F99" s="49" t="str">
        <f aca="false">IF(ROUND(D99,5)=0,"",IF(D99&lt;0,"F","U"))</f>
        <v>U</v>
      </c>
      <c r="G99" s="6" t="s">
        <v>636</v>
      </c>
      <c r="H99" s="50" t="s">
        <v>320</v>
      </c>
      <c r="I99" s="51" t="s">
        <v>434</v>
      </c>
      <c r="J99" s="52" t="s">
        <v>182</v>
      </c>
    </row>
    <row r="100" customFormat="false" ht="27.75" hidden="false" customHeight="true" outlineLevel="1" collapsed="false">
      <c r="A100" s="62" t="s">
        <v>195</v>
      </c>
      <c r="B100" s="34" t="n">
        <v>120</v>
      </c>
      <c r="C100" s="34" t="n">
        <v>101.983</v>
      </c>
      <c r="D100" s="25" t="n">
        <f aca="false">B100-C100</f>
        <v>18.017</v>
      </c>
      <c r="E100" s="26" t="n">
        <f aca="false">IF(C100=0,"n/m",D100/ABS(C100))</f>
        <v>0.176666699351853</v>
      </c>
      <c r="F100" s="49" t="str">
        <f aca="false">IF(ROUND(D100,5)=0,"",IF(D100&lt;0,"F","U"))</f>
        <v>U</v>
      </c>
      <c r="G100" s="6" t="s">
        <v>637</v>
      </c>
      <c r="H100" s="50" t="s">
        <v>322</v>
      </c>
      <c r="I100" s="51" t="s">
        <v>434</v>
      </c>
      <c r="J100" s="52" t="s">
        <v>182</v>
      </c>
    </row>
    <row r="101" customFormat="false" ht="36.75" hidden="false" customHeight="true" outlineLevel="1" collapsed="false">
      <c r="A101" s="62" t="s">
        <v>198</v>
      </c>
      <c r="B101" s="34" t="n">
        <v>160</v>
      </c>
      <c r="C101" s="34" t="n">
        <v>122.183</v>
      </c>
      <c r="D101" s="25" t="n">
        <f aca="false">B101-C101</f>
        <v>37.817</v>
      </c>
      <c r="E101" s="26" t="n">
        <f aca="false">IF(C101=0,"n/m",D101/ABS(C101))</f>
        <v>0.309511143121383</v>
      </c>
      <c r="F101" s="49" t="str">
        <f aca="false">IF(ROUND(D101,5)=0,"",IF(D101&lt;0,"F","U"))</f>
        <v>U</v>
      </c>
      <c r="G101" s="6" t="s">
        <v>570</v>
      </c>
      <c r="H101" s="50" t="s">
        <v>200</v>
      </c>
      <c r="I101" s="51" t="s">
        <v>434</v>
      </c>
      <c r="J101" s="52" t="s">
        <v>182</v>
      </c>
    </row>
    <row r="102" customFormat="false" ht="27.75" hidden="false" customHeight="true" outlineLevel="1" collapsed="false">
      <c r="A102" s="62" t="s">
        <v>323</v>
      </c>
      <c r="B102" s="34" t="n">
        <v>120</v>
      </c>
      <c r="C102" s="34" t="n">
        <v>103.595</v>
      </c>
      <c r="D102" s="25" t="n">
        <f aca="false">B102-C102</f>
        <v>16.405</v>
      </c>
      <c r="E102" s="26" t="n">
        <f aca="false">IF(C102=0,"n/m",D102/ABS(C102))</f>
        <v>0.158357063564844</v>
      </c>
      <c r="F102" s="49" t="str">
        <f aca="false">IF(ROUND(D102,5)=0,"",IF(D102&lt;0,"F","U"))</f>
        <v>U</v>
      </c>
      <c r="G102" s="6" t="s">
        <v>638</v>
      </c>
      <c r="H102" s="50" t="s">
        <v>210</v>
      </c>
      <c r="I102" s="51" t="s">
        <v>434</v>
      </c>
      <c r="J102" s="52" t="s">
        <v>182</v>
      </c>
    </row>
    <row r="103" customFormat="false" ht="36.75" hidden="false" customHeight="true" outlineLevel="1" collapsed="false">
      <c r="A103" s="62" t="s">
        <v>225</v>
      </c>
      <c r="B103" s="34" t="n">
        <v>240</v>
      </c>
      <c r="C103" s="34" t="n">
        <v>168.927</v>
      </c>
      <c r="D103" s="25" t="n">
        <f aca="false">B103-C103</f>
        <v>71.073</v>
      </c>
      <c r="E103" s="26" t="n">
        <f aca="false">IF(C103=0,"n/m",D103/ABS(C103))</f>
        <v>0.420732032179581</v>
      </c>
      <c r="F103" s="49" t="str">
        <f aca="false">IF(ROUND(D103,5)=0,"",IF(D103&lt;0,"F","U"))</f>
        <v>U</v>
      </c>
      <c r="G103" s="6" t="s">
        <v>583</v>
      </c>
      <c r="H103" s="50" t="s">
        <v>227</v>
      </c>
      <c r="I103" s="51" t="s">
        <v>434</v>
      </c>
      <c r="J103" s="52" t="s">
        <v>182</v>
      </c>
    </row>
    <row r="104" customFormat="false" ht="27.75" hidden="false" customHeight="true" outlineLevel="0" collapsed="false">
      <c r="A104" s="11" t="s">
        <v>325</v>
      </c>
      <c r="B104" s="25" t="n">
        <f aca="false">B105+B106</f>
        <v>280</v>
      </c>
      <c r="C104" s="25" t="n">
        <f aca="false">C105+C106</f>
        <v>198</v>
      </c>
      <c r="D104" s="25" t="n">
        <f aca="false">B104-C104</f>
        <v>82</v>
      </c>
      <c r="E104" s="26" t="n">
        <f aca="false">IF(C104=0,"n/m",D104/ABS(C104))</f>
        <v>0.414141414141414</v>
      </c>
      <c r="F104" s="49" t="str">
        <f aca="false">IF(ROUND(D104,5)=0,"",IF(D104&lt;0,"F","U"))</f>
        <v>U</v>
      </c>
      <c r="G104" s="6" t="s">
        <v>639</v>
      </c>
      <c r="H104" s="50" t="s">
        <v>327</v>
      </c>
      <c r="I104" s="51" t="s">
        <v>434</v>
      </c>
      <c r="J104" s="52" t="str">
        <f aca="false">IF(AND(ROUND(B104-K104,4)=0,ROUND(C104-L104,4)=0,TRUE()),"✓","✗")</f>
        <v>✓</v>
      </c>
      <c r="K104" s="61" t="n">
        <v>280</v>
      </c>
      <c r="L104" s="61" t="n">
        <v>198</v>
      </c>
    </row>
    <row r="105" customFormat="false" ht="27.75" hidden="false" customHeight="true" outlineLevel="1" collapsed="false">
      <c r="A105" s="62" t="s">
        <v>189</v>
      </c>
      <c r="B105" s="34" t="n">
        <v>200</v>
      </c>
      <c r="C105" s="34" t="n">
        <v>139</v>
      </c>
      <c r="D105" s="25" t="n">
        <f aca="false">B105-C105</f>
        <v>61</v>
      </c>
      <c r="E105" s="26" t="n">
        <f aca="false">IF(C105=0,"n/m",D105/ABS(C105))</f>
        <v>0.438848920863309</v>
      </c>
      <c r="F105" s="49" t="str">
        <f aca="false">IF(ROUND(D105,5)=0,"",IF(D105&lt;0,"F","U"))</f>
        <v>U</v>
      </c>
      <c r="G105" s="6" t="s">
        <v>640</v>
      </c>
      <c r="H105" s="50" t="s">
        <v>236</v>
      </c>
      <c r="I105" s="51" t="s">
        <v>434</v>
      </c>
      <c r="J105" s="52" t="s">
        <v>182</v>
      </c>
    </row>
    <row r="106" customFormat="false" ht="40.5" hidden="false" customHeight="true" outlineLevel="1" collapsed="false">
      <c r="A106" s="62" t="s">
        <v>201</v>
      </c>
      <c r="B106" s="34" t="n">
        <v>80</v>
      </c>
      <c r="C106" s="34" t="n">
        <v>59</v>
      </c>
      <c r="D106" s="25" t="n">
        <f aca="false">B106-C106</f>
        <v>21</v>
      </c>
      <c r="E106" s="26" t="n">
        <f aca="false">IF(C106=0,"n/m",D106/ABS(C106))</f>
        <v>0.355932203389831</v>
      </c>
      <c r="F106" s="49" t="str">
        <f aca="false">IF(ROUND(D106,5)=0,"",IF(D106&lt;0,"F","U"))</f>
        <v>U</v>
      </c>
      <c r="G106" s="6" t="s">
        <v>641</v>
      </c>
      <c r="H106" s="50" t="s">
        <v>330</v>
      </c>
      <c r="I106" s="51" t="s">
        <v>434</v>
      </c>
      <c r="J106" s="52" t="s">
        <v>182</v>
      </c>
    </row>
    <row r="107" customFormat="false" ht="27.75" hidden="false" customHeight="true" outlineLevel="0" collapsed="false">
      <c r="A107" s="11" t="s">
        <v>331</v>
      </c>
      <c r="B107" s="25" t="n">
        <f aca="false">B108+B109</f>
        <v>280</v>
      </c>
      <c r="C107" s="25" t="n">
        <f aca="false">C108+C109</f>
        <v>203</v>
      </c>
      <c r="D107" s="25" t="n">
        <f aca="false">B107-C107</f>
        <v>77</v>
      </c>
      <c r="E107" s="26" t="n">
        <f aca="false">IF(C107=0,"n/m",D107/ABS(C107))</f>
        <v>0.379310344827586</v>
      </c>
      <c r="F107" s="49" t="str">
        <f aca="false">IF(ROUND(D107,5)=0,"",IF(D107&lt;0,"F","U"))</f>
        <v>U</v>
      </c>
      <c r="G107" s="6" t="s">
        <v>642</v>
      </c>
      <c r="H107" s="50" t="s">
        <v>333</v>
      </c>
      <c r="I107" s="51" t="s">
        <v>434</v>
      </c>
      <c r="J107" s="52" t="str">
        <f aca="false">IF(AND(ROUND(B107-K107,4)=0,ROUND(C107-L107,4)=0,TRUE()),"✓","✗")</f>
        <v>✓</v>
      </c>
      <c r="K107" s="61" t="n">
        <v>280</v>
      </c>
      <c r="L107" s="61" t="n">
        <v>203</v>
      </c>
    </row>
    <row r="108" customFormat="false" ht="48" hidden="false" customHeight="true" outlineLevel="1" collapsed="false">
      <c r="A108" s="62" t="s">
        <v>230</v>
      </c>
      <c r="B108" s="34" t="n">
        <v>100</v>
      </c>
      <c r="C108" s="34" t="n">
        <v>68</v>
      </c>
      <c r="D108" s="25" t="n">
        <f aca="false">B108-C108</f>
        <v>32</v>
      </c>
      <c r="E108" s="26" t="n">
        <f aca="false">IF(C108=0,"n/m",D108/ABS(C108))</f>
        <v>0.470588235294118</v>
      </c>
      <c r="F108" s="49" t="str">
        <f aca="false">IF(ROUND(D108,5)=0,"",IF(D108&lt;0,"F","U"))</f>
        <v>U</v>
      </c>
      <c r="G108" s="6" t="s">
        <v>585</v>
      </c>
      <c r="H108" s="50" t="s">
        <v>232</v>
      </c>
      <c r="I108" s="51" t="s">
        <v>434</v>
      </c>
      <c r="J108" s="52" t="s">
        <v>182</v>
      </c>
    </row>
    <row r="109" customFormat="false" ht="53.25" hidden="false" customHeight="true" outlineLevel="1" collapsed="false">
      <c r="A109" s="62" t="s">
        <v>242</v>
      </c>
      <c r="B109" s="34" t="n">
        <v>180</v>
      </c>
      <c r="C109" s="34" t="n">
        <v>135</v>
      </c>
      <c r="D109" s="25" t="n">
        <f aca="false">B109-C109</f>
        <v>45</v>
      </c>
      <c r="E109" s="26" t="n">
        <f aca="false">IF(C109=0,"n/m",D109/ABS(C109))</f>
        <v>0.333333333333333</v>
      </c>
      <c r="F109" s="49" t="str">
        <f aca="false">IF(ROUND(D109,5)=0,"",IF(D109&lt;0,"F","U"))</f>
        <v>U</v>
      </c>
      <c r="G109" s="6" t="s">
        <v>591</v>
      </c>
      <c r="H109" s="50" t="s">
        <v>244</v>
      </c>
      <c r="I109" s="51" t="s">
        <v>434</v>
      </c>
      <c r="J109" s="52" t="s">
        <v>182</v>
      </c>
    </row>
    <row r="110" customFormat="false" ht="27.75" hidden="false" customHeight="true" outlineLevel="0" collapsed="false">
      <c r="A110" s="11" t="s">
        <v>334</v>
      </c>
      <c r="B110" s="25" t="n">
        <f aca="false">B111+B112+B113</f>
        <v>180</v>
      </c>
      <c r="C110" s="25" t="n">
        <f aca="false">C111+C112+C113</f>
        <v>137.455</v>
      </c>
      <c r="D110" s="25" t="n">
        <f aca="false">B110-C110</f>
        <v>42.545</v>
      </c>
      <c r="E110" s="26" t="n">
        <f aca="false">IF(C110=0,"n/m",D110/ABS(C110))</f>
        <v>0.309519479102252</v>
      </c>
      <c r="F110" s="49" t="str">
        <f aca="false">IF(ROUND(D110,5)=0,"",IF(D110&lt;0,"F","U"))</f>
        <v>U</v>
      </c>
      <c r="G110" s="6" t="s">
        <v>643</v>
      </c>
      <c r="H110" s="50" t="s">
        <v>336</v>
      </c>
      <c r="I110" s="51" t="s">
        <v>434</v>
      </c>
      <c r="J110" s="52" t="str">
        <f aca="false">IF(AND(ROUND(B110-K110,4)=0,ROUND(C110-L110,4)=0,TRUE()),"✓","✗")</f>
        <v>✓</v>
      </c>
      <c r="K110" s="61" t="n">
        <v>180</v>
      </c>
      <c r="L110" s="61" t="n">
        <v>137.455</v>
      </c>
    </row>
    <row r="111" customFormat="false" ht="27.75" hidden="false" customHeight="true" outlineLevel="1" collapsed="false">
      <c r="A111" s="62" t="s">
        <v>233</v>
      </c>
      <c r="B111" s="34" t="n">
        <v>40</v>
      </c>
      <c r="C111" s="34" t="n">
        <v>23.455</v>
      </c>
      <c r="D111" s="25" t="n">
        <f aca="false">B111-C111</f>
        <v>16.545</v>
      </c>
      <c r="E111" s="26" t="n">
        <f aca="false">IF(C111=0,"n/m",D111/ABS(C111))</f>
        <v>0.705393306331273</v>
      </c>
      <c r="F111" s="49" t="str">
        <f aca="false">IF(ROUND(D111,5)=0,"",IF(D111&lt;0,"F","U"))</f>
        <v>U</v>
      </c>
      <c r="G111" s="6" t="s">
        <v>586</v>
      </c>
      <c r="I111" s="51" t="s">
        <v>434</v>
      </c>
      <c r="J111" s="52" t="s">
        <v>182</v>
      </c>
    </row>
    <row r="112" customFormat="false" ht="40.5" hidden="false" customHeight="true" outlineLevel="1" collapsed="false">
      <c r="A112" s="62" t="s">
        <v>204</v>
      </c>
      <c r="B112" s="34" t="n">
        <v>60</v>
      </c>
      <c r="C112" s="34" t="n">
        <v>49</v>
      </c>
      <c r="D112" s="25" t="n">
        <f aca="false">B112-C112</f>
        <v>11</v>
      </c>
      <c r="E112" s="26" t="n">
        <f aca="false">IF(C112=0,"n/m",D112/ABS(C112))</f>
        <v>0.224489795918367</v>
      </c>
      <c r="F112" s="49" t="str">
        <f aca="false">IF(ROUND(D112,5)=0,"",IF(D112&lt;0,"F","U"))</f>
        <v>U</v>
      </c>
      <c r="G112" s="6" t="s">
        <v>644</v>
      </c>
      <c r="H112" s="50" t="s">
        <v>336</v>
      </c>
      <c r="I112" s="51" t="s">
        <v>434</v>
      </c>
      <c r="J112" s="52" t="s">
        <v>182</v>
      </c>
    </row>
    <row r="113" customFormat="false" ht="27.75" hidden="false" customHeight="true" outlineLevel="1" collapsed="false">
      <c r="A113" s="62" t="s">
        <v>207</v>
      </c>
      <c r="B113" s="34" t="n">
        <v>80</v>
      </c>
      <c r="C113" s="34" t="n">
        <v>65</v>
      </c>
      <c r="D113" s="25" t="n">
        <f aca="false">B113-C113</f>
        <v>15</v>
      </c>
      <c r="E113" s="26" t="n">
        <f aca="false">IF(C113=0,"n/m",D113/ABS(C113))</f>
        <v>0.230769230769231</v>
      </c>
      <c r="F113" s="49" t="str">
        <f aca="false">IF(ROUND(D113,5)=0,"",IF(D113&lt;0,"F","U"))</f>
        <v>U</v>
      </c>
      <c r="G113" s="6" t="s">
        <v>645</v>
      </c>
      <c r="I113" s="51" t="s">
        <v>434</v>
      </c>
      <c r="J113" s="52" t="s">
        <v>182</v>
      </c>
    </row>
    <row r="114" customFormat="false" ht="60" hidden="false" customHeight="true" outlineLevel="0" collapsed="false">
      <c r="A114" s="53" t="s">
        <v>339</v>
      </c>
      <c r="B114" s="37" t="n">
        <f aca="false">B98+B104+B107+B110</f>
        <v>1780</v>
      </c>
      <c r="C114" s="37" t="n">
        <f aca="false">C98+C104+C107+C110</f>
        <v>1334.634</v>
      </c>
      <c r="D114" s="37" t="n">
        <f aca="false">B114-C114</f>
        <v>445.366</v>
      </c>
      <c r="E114" s="54" t="n">
        <f aca="false">IF(C114=0,"n/m",D114/ABS(C114))</f>
        <v>0.33369897664828</v>
      </c>
      <c r="F114" s="55" t="str">
        <f aca="false">IF(ROUND(D114,5)=0,"",IF(D114&lt;0,"F","U"))</f>
        <v>U</v>
      </c>
      <c r="G114" s="56" t="s">
        <v>646</v>
      </c>
      <c r="H114" s="57" t="s">
        <v>341</v>
      </c>
      <c r="I114" s="58" t="s">
        <v>434</v>
      </c>
      <c r="J114" s="59" t="str">
        <f aca="false">IF(AND(ROUND(B114-K114,4)=0,ROUND(C114-L114,4)=0,TRUE()),"✓","✗")</f>
        <v>✓</v>
      </c>
      <c r="K114" s="60" t="n">
        <v>1780</v>
      </c>
      <c r="L114" s="60" t="n">
        <v>1334.634</v>
      </c>
    </row>
    <row r="115" customFormat="false" ht="60" hidden="false" customHeight="true" outlineLevel="0" collapsed="false">
      <c r="A115" s="64" t="s">
        <v>96</v>
      </c>
      <c r="B115" s="65" t="n">
        <f aca="false">B95-B114</f>
        <v>220</v>
      </c>
      <c r="C115" s="65" t="n">
        <f aca="false">C95-C114</f>
        <v>288.985</v>
      </c>
      <c r="D115" s="65" t="n">
        <f aca="false">B115-C115</f>
        <v>-68.9849999999999</v>
      </c>
      <c r="E115" s="66" t="n">
        <f aca="false">IF(C115=0,"n/m",D115/ABS(C115))</f>
        <v>-0.238714812187484</v>
      </c>
      <c r="F115" s="67" t="str">
        <f aca="false">IF(ROUND(D115,5)=0,"",IF(D115&gt;0,"F","U"))</f>
        <v>U</v>
      </c>
      <c r="G115" s="68" t="s">
        <v>647</v>
      </c>
      <c r="H115" s="69" t="s">
        <v>250</v>
      </c>
      <c r="I115" s="70" t="s">
        <v>434</v>
      </c>
      <c r="J115" s="71" t="str">
        <f aca="false">IF(AND(ROUND(B115-K115,4)=0,ROUND(C115-L115,4)=0,TRUE()),"✓","✗")</f>
        <v>✓</v>
      </c>
      <c r="K115" s="72" t="n">
        <v>220</v>
      </c>
      <c r="L115" s="72" t="n">
        <v>288.985</v>
      </c>
    </row>
    <row r="116" customFormat="false" ht="27.75" hidden="false" customHeight="true" outlineLevel="0" collapsed="false">
      <c r="A116" s="11" t="s">
        <v>343</v>
      </c>
      <c r="B116" s="25" t="n">
        <f aca="false">B117-B118</f>
        <v>-20</v>
      </c>
      <c r="C116" s="25" t="n">
        <f aca="false">C117-C118</f>
        <v>-19</v>
      </c>
      <c r="D116" s="25" t="n">
        <f aca="false">B116-C116</f>
        <v>-1</v>
      </c>
      <c r="E116" s="26" t="n">
        <f aca="false">IF(C116=0,"n/m",D116/ABS(C116))</f>
        <v>-0.0526315789473684</v>
      </c>
      <c r="F116" s="49" t="str">
        <f aca="false">IF(ROUND(D116,5)=0,"",IF(D116&gt;0,"F","U"))</f>
        <v>U</v>
      </c>
      <c r="G116" s="6" t="s">
        <v>648</v>
      </c>
      <c r="I116" s="51" t="s">
        <v>434</v>
      </c>
      <c r="J116" s="52" t="str">
        <f aca="false">IF(AND(ROUND(B116-K116,4)=0,ROUND(C116-L116,4)=0,TRUE()),"✓","✗")</f>
        <v>✓</v>
      </c>
      <c r="K116" s="61" t="n">
        <v>-20</v>
      </c>
      <c r="L116" s="61" t="n">
        <v>-19</v>
      </c>
    </row>
    <row r="117" customFormat="false" ht="15" hidden="false" customHeight="true" outlineLevel="1" collapsed="false">
      <c r="A117" s="62" t="s">
        <v>345</v>
      </c>
      <c r="B117" s="34" t="n">
        <v>10</v>
      </c>
      <c r="C117" s="34" t="n">
        <v>13</v>
      </c>
      <c r="D117" s="25" t="n">
        <f aca="false">B117-C117</f>
        <v>-3</v>
      </c>
      <c r="E117" s="26" t="n">
        <f aca="false">IF(C117=0,"n/m",D117/ABS(C117))</f>
        <v>-0.230769230769231</v>
      </c>
      <c r="F117" s="49" t="str">
        <f aca="false">IF(ROUND(D117,5)=0,"",IF(D117&gt;0,"F","U"))</f>
        <v>U</v>
      </c>
      <c r="G117" s="6" t="s">
        <v>596</v>
      </c>
      <c r="I117" s="51" t="s">
        <v>434</v>
      </c>
      <c r="J117" s="52" t="s">
        <v>182</v>
      </c>
    </row>
    <row r="118" customFormat="false" ht="15" hidden="false" customHeight="true" outlineLevel="1" collapsed="false">
      <c r="A118" s="62" t="s">
        <v>346</v>
      </c>
      <c r="B118" s="34" t="n">
        <v>30</v>
      </c>
      <c r="C118" s="34" t="n">
        <v>32</v>
      </c>
      <c r="D118" s="25" t="n">
        <f aca="false">B118-C118</f>
        <v>-2</v>
      </c>
      <c r="E118" s="26" t="n">
        <f aca="false">IF(C118=0,"n/m",D118/ABS(C118))</f>
        <v>-0.0625</v>
      </c>
      <c r="F118" s="49" t="str">
        <f aca="false">IF(ROUND(D118,5)=0,"",IF(D118&lt;0,"F","U"))</f>
        <v>F</v>
      </c>
      <c r="G118" s="63" t="s">
        <v>597</v>
      </c>
      <c r="I118" s="18" t="s">
        <v>191</v>
      </c>
      <c r="J118" s="52" t="s">
        <v>182</v>
      </c>
    </row>
    <row r="119" customFormat="false" ht="15" hidden="false" customHeight="true" outlineLevel="0" collapsed="false">
      <c r="A119" s="11" t="s">
        <v>347</v>
      </c>
      <c r="B119" s="34" t="n">
        <v>40</v>
      </c>
      <c r="C119" s="34" t="n">
        <v>24</v>
      </c>
      <c r="D119" s="25" t="n">
        <f aca="false">B119-C119</f>
        <v>16</v>
      </c>
      <c r="E119" s="26" t="n">
        <f aca="false">IF(C119=0,"n/m",D119/ABS(C119))</f>
        <v>0.666666666666667</v>
      </c>
      <c r="F119" s="49" t="str">
        <f aca="false">IF(ROUND(D119,5)=0,"",IF(D119&lt;0,"F","U"))</f>
        <v>U</v>
      </c>
      <c r="G119" s="6" t="s">
        <v>599</v>
      </c>
      <c r="I119" s="51" t="s">
        <v>434</v>
      </c>
      <c r="J119" s="52" t="s">
        <v>182</v>
      </c>
    </row>
    <row r="120" customFormat="false" ht="60" hidden="false" customHeight="true" outlineLevel="0" collapsed="false">
      <c r="A120" s="64" t="s">
        <v>97</v>
      </c>
      <c r="B120" s="65" t="n">
        <f aca="false">B115+B116-B119</f>
        <v>160</v>
      </c>
      <c r="C120" s="65" t="n">
        <f aca="false">C115+C116-C119</f>
        <v>245.985</v>
      </c>
      <c r="D120" s="65" t="n">
        <f aca="false">B120-C120</f>
        <v>-85.9849999999999</v>
      </c>
      <c r="E120" s="66" t="n">
        <f aca="false">IF(C120=0,"n/m",D120/ABS(C120))</f>
        <v>-0.349553834583409</v>
      </c>
      <c r="F120" s="67" t="str">
        <f aca="false">IF(ROUND(D120,5)=0,"",IF(D120&gt;0,"F","U"))</f>
        <v>U</v>
      </c>
      <c r="G120" s="68" t="s">
        <v>649</v>
      </c>
      <c r="H120" s="69" t="s">
        <v>250</v>
      </c>
      <c r="I120" s="70" t="s">
        <v>434</v>
      </c>
      <c r="J120" s="71" t="str">
        <f aca="false">IF(AND(ROUND(B120-K120,4)=0,ROUND(C120-L120,4)=0,TRUE()),"✓","✗")</f>
        <v>✓</v>
      </c>
      <c r="K120" s="72" t="n">
        <v>160</v>
      </c>
      <c r="L120" s="72" t="n">
        <v>245.985</v>
      </c>
    </row>
    <row r="122" customFormat="false" ht="18" hidden="false" customHeight="true" outlineLevel="0" collapsed="false">
      <c r="A122" s="44" t="s">
        <v>349</v>
      </c>
      <c r="B122" s="45"/>
      <c r="C122" s="45"/>
      <c r="D122" s="45"/>
      <c r="E122" s="45"/>
      <c r="F122" s="45"/>
      <c r="G122" s="73" t="s">
        <v>650</v>
      </c>
      <c r="H122" s="45"/>
      <c r="I122" s="45"/>
      <c r="J122" s="45"/>
      <c r="K122" s="45"/>
      <c r="L122" s="45"/>
    </row>
    <row r="123" customFormat="false" ht="40.5" hidden="false" customHeight="true" outlineLevel="0" collapsed="false">
      <c r="A123" s="11" t="s">
        <v>351</v>
      </c>
      <c r="B123" s="25" t="n">
        <f aca="false">B124+B125+B126+B127</f>
        <v>18786.54644</v>
      </c>
      <c r="C123" s="25" t="n">
        <f aca="false">C124+C125+C126+C127</f>
        <v>14771.08544</v>
      </c>
      <c r="D123" s="25" t="n">
        <f aca="false">B123-C123</f>
        <v>4015.461</v>
      </c>
      <c r="E123" s="26" t="n">
        <f aca="false">IF(C123=0,"n/m",D123/ABS(C123))</f>
        <v>0.271846034356159</v>
      </c>
      <c r="G123" s="6" t="s">
        <v>651</v>
      </c>
      <c r="I123" s="51" t="s">
        <v>434</v>
      </c>
      <c r="J123" s="52" t="str">
        <f aca="false">IF(AND(ROUND(B123-K123,4)=0,ROUND(C123-L123,4)=0,TRUE()),"✓","✗")</f>
        <v>✓</v>
      </c>
      <c r="K123" s="61" t="n">
        <v>18786.54644</v>
      </c>
      <c r="L123" s="61" t="n">
        <v>14771.08544</v>
      </c>
    </row>
    <row r="124" customFormat="false" ht="27.75" hidden="false" customHeight="true" outlineLevel="1" collapsed="false">
      <c r="A124" s="62" t="s">
        <v>353</v>
      </c>
      <c r="B124" s="34" t="n">
        <v>14474.18299</v>
      </c>
      <c r="C124" s="34" t="n">
        <v>11288.38214</v>
      </c>
      <c r="D124" s="25" t="n">
        <f aca="false">B124-C124</f>
        <v>3185.80085</v>
      </c>
      <c r="E124" s="26" t="n">
        <f aca="false">IF(C124=0,"n/m",D124/ABS(C124))</f>
        <v>0.282219436805849</v>
      </c>
      <c r="G124" s="6" t="s">
        <v>652</v>
      </c>
      <c r="I124" s="51" t="s">
        <v>434</v>
      </c>
      <c r="J124" s="52" t="s">
        <v>182</v>
      </c>
    </row>
    <row r="125" customFormat="false" ht="27.75" hidden="false" customHeight="true" outlineLevel="1" collapsed="false">
      <c r="A125" s="62" t="s">
        <v>355</v>
      </c>
      <c r="B125" s="34" t="n">
        <v>2872.86345</v>
      </c>
      <c r="C125" s="34" t="n">
        <v>2254.0213</v>
      </c>
      <c r="D125" s="25" t="n">
        <f aca="false">B125-C125</f>
        <v>618.84215</v>
      </c>
      <c r="E125" s="26" t="n">
        <f aca="false">IF(C125=0,"n/m",D125/ABS(C125))</f>
        <v>0.274550267115932</v>
      </c>
      <c r="G125" s="6" t="s">
        <v>653</v>
      </c>
      <c r="I125" s="51" t="s">
        <v>434</v>
      </c>
      <c r="J125" s="52" t="s">
        <v>182</v>
      </c>
    </row>
    <row r="126" customFormat="false" ht="27.75" hidden="false" customHeight="true" outlineLevel="1" collapsed="false">
      <c r="A126" s="62" t="s">
        <v>357</v>
      </c>
      <c r="B126" s="34" t="n">
        <v>184</v>
      </c>
      <c r="C126" s="34" t="n">
        <v>151.5</v>
      </c>
      <c r="D126" s="25" t="n">
        <f aca="false">B126-C126</f>
        <v>32.5</v>
      </c>
      <c r="E126" s="26" t="n">
        <f aca="false">IF(C126=0,"n/m",D126/ABS(C126))</f>
        <v>0.214521452145215</v>
      </c>
      <c r="G126" s="6" t="s">
        <v>654</v>
      </c>
      <c r="I126" s="51" t="s">
        <v>434</v>
      </c>
      <c r="J126" s="52" t="s">
        <v>182</v>
      </c>
    </row>
    <row r="127" customFormat="false" ht="27.75" hidden="false" customHeight="true" outlineLevel="1" collapsed="false">
      <c r="A127" s="62" t="s">
        <v>359</v>
      </c>
      <c r="B127" s="34" t="n">
        <v>1255.5</v>
      </c>
      <c r="C127" s="34" t="n">
        <v>1077.182</v>
      </c>
      <c r="D127" s="25" t="n">
        <f aca="false">B127-C127</f>
        <v>178.318</v>
      </c>
      <c r="E127" s="26" t="n">
        <f aca="false">IF(C127=0,"n/m",D127/ABS(C127))</f>
        <v>0.165541199165972</v>
      </c>
      <c r="G127" s="6" t="s">
        <v>655</v>
      </c>
      <c r="I127" s="51" t="s">
        <v>434</v>
      </c>
      <c r="J127" s="52" t="s">
        <v>182</v>
      </c>
    </row>
    <row r="128" customFormat="false" ht="40.5" hidden="false" customHeight="true" outlineLevel="0" collapsed="false">
      <c r="A128" s="11" t="s">
        <v>361</v>
      </c>
      <c r="B128" s="25" t="n">
        <f aca="false">B129</f>
        <v>1236</v>
      </c>
      <c r="C128" s="25" t="n">
        <f aca="false">C129</f>
        <v>1356</v>
      </c>
      <c r="D128" s="25" t="n">
        <f aca="false">B128-C128</f>
        <v>-120</v>
      </c>
      <c r="E128" s="26" t="n">
        <f aca="false">IF(C128=0,"n/m",D128/ABS(C128))</f>
        <v>-0.0884955752212389</v>
      </c>
      <c r="G128" s="6" t="s">
        <v>656</v>
      </c>
      <c r="I128" s="51" t="s">
        <v>434</v>
      </c>
      <c r="J128" s="52" t="str">
        <f aca="false">IF(AND(ROUND(B128-K128,4)=0,ROUND(C128-L128,4)=0,TRUE()),"✓","✗")</f>
        <v>✓</v>
      </c>
      <c r="K128" s="61" t="n">
        <v>1236</v>
      </c>
      <c r="L128" s="61" t="n">
        <v>1356</v>
      </c>
    </row>
    <row r="129" customFormat="false" ht="27.75" hidden="false" customHeight="true" outlineLevel="1" collapsed="false">
      <c r="A129" s="62" t="s">
        <v>363</v>
      </c>
      <c r="B129" s="34" t="n">
        <v>1236</v>
      </c>
      <c r="C129" s="34" t="n">
        <v>1356</v>
      </c>
      <c r="D129" s="25" t="n">
        <f aca="false">B129-C129</f>
        <v>-120</v>
      </c>
      <c r="E129" s="26" t="n">
        <f aca="false">IF(C129=0,"n/m",D129/ABS(C129))</f>
        <v>-0.0884955752212389</v>
      </c>
      <c r="G129" s="6" t="s">
        <v>657</v>
      </c>
      <c r="I129" s="51" t="s">
        <v>434</v>
      </c>
      <c r="J129" s="52" t="s">
        <v>182</v>
      </c>
    </row>
    <row r="130" customFormat="false" ht="27.75" hidden="false" customHeight="true" outlineLevel="0" collapsed="false">
      <c r="A130" s="64" t="s">
        <v>365</v>
      </c>
      <c r="B130" s="65" t="n">
        <f aca="false">B123+B128</f>
        <v>20022.54644</v>
      </c>
      <c r="C130" s="65" t="n">
        <f aca="false">C123+C128</f>
        <v>16127.08544</v>
      </c>
      <c r="D130" s="65" t="n">
        <f aca="false">B130-C130</f>
        <v>3895.461</v>
      </c>
      <c r="E130" s="66" t="n">
        <f aca="false">IF(C130=0,"n/m",D130/ABS(C130))</f>
        <v>0.241547737468922</v>
      </c>
      <c r="F130" s="74"/>
      <c r="G130" s="68" t="s">
        <v>658</v>
      </c>
      <c r="H130" s="74"/>
      <c r="I130" s="70" t="s">
        <v>434</v>
      </c>
      <c r="J130" s="71" t="str">
        <f aca="false">IF(AND(ROUND(B130-K130,4)=0,ROUND(C130-L130,4)=0,TRUE()),"✓","✗")</f>
        <v>✓</v>
      </c>
      <c r="K130" s="72" t="n">
        <v>20022.54644</v>
      </c>
      <c r="L130" s="72" t="n">
        <v>16127.08544</v>
      </c>
    </row>
    <row r="131" customFormat="false" ht="40.5" hidden="false" customHeight="true" outlineLevel="0" collapsed="false">
      <c r="A131" s="11" t="s">
        <v>367</v>
      </c>
      <c r="B131" s="25" t="n">
        <f aca="false">B132+B133+B134</f>
        <v>1620.78044</v>
      </c>
      <c r="C131" s="25" t="n">
        <f aca="false">C132+C133+C134</f>
        <v>1253.39244</v>
      </c>
      <c r="D131" s="25" t="n">
        <f aca="false">B131-C131</f>
        <v>367.388</v>
      </c>
      <c r="E131" s="26" t="n">
        <f aca="false">IF(C131=0,"n/m",D131/ABS(C131))</f>
        <v>0.29311490023029</v>
      </c>
      <c r="G131" s="6" t="s">
        <v>659</v>
      </c>
      <c r="I131" s="51" t="s">
        <v>434</v>
      </c>
      <c r="J131" s="52" t="str">
        <f aca="false">IF(AND(ROUND(B131-K131,4)=0,ROUND(C131-L131,4)=0,TRUE()),"✓","✗")</f>
        <v>✓</v>
      </c>
      <c r="K131" s="61" t="n">
        <v>1620.78044</v>
      </c>
      <c r="L131" s="61" t="n">
        <v>1253.39244</v>
      </c>
    </row>
    <row r="132" customFormat="false" ht="27.75" hidden="false" customHeight="true" outlineLevel="1" collapsed="false">
      <c r="A132" s="62" t="s">
        <v>369</v>
      </c>
      <c r="B132" s="34" t="n">
        <v>349</v>
      </c>
      <c r="C132" s="34" t="n">
        <v>240</v>
      </c>
      <c r="D132" s="25" t="n">
        <f aca="false">B132-C132</f>
        <v>109</v>
      </c>
      <c r="E132" s="26" t="n">
        <f aca="false">IF(C132=0,"n/m",D132/ABS(C132))</f>
        <v>0.454166666666667</v>
      </c>
      <c r="G132" s="6" t="s">
        <v>660</v>
      </c>
      <c r="I132" s="51" t="s">
        <v>434</v>
      </c>
      <c r="J132" s="52" t="s">
        <v>182</v>
      </c>
    </row>
    <row r="133" customFormat="false" ht="40.5" hidden="false" customHeight="true" outlineLevel="1" collapsed="false">
      <c r="A133" s="62" t="s">
        <v>371</v>
      </c>
      <c r="B133" s="34" t="n">
        <v>152.49244</v>
      </c>
      <c r="C133" s="34" t="n">
        <v>90.53544</v>
      </c>
      <c r="D133" s="25" t="n">
        <f aca="false">B133-C133</f>
        <v>61.957</v>
      </c>
      <c r="E133" s="26" t="n">
        <f aca="false">IF(C133=0,"n/m",D133/ABS(C133))</f>
        <v>0.684339745849802</v>
      </c>
      <c r="G133" s="6" t="s">
        <v>661</v>
      </c>
      <c r="I133" s="51" t="s">
        <v>434</v>
      </c>
      <c r="J133" s="52" t="s">
        <v>182</v>
      </c>
    </row>
    <row r="134" customFormat="false" ht="27.75" hidden="false" customHeight="true" outlineLevel="1" collapsed="false">
      <c r="A134" s="62" t="s">
        <v>373</v>
      </c>
      <c r="B134" s="34" t="n">
        <v>1119.288</v>
      </c>
      <c r="C134" s="34" t="n">
        <v>922.857</v>
      </c>
      <c r="D134" s="25" t="n">
        <f aca="false">B134-C134</f>
        <v>196.431</v>
      </c>
      <c r="E134" s="26" t="n">
        <f aca="false">IF(C134=0,"n/m",D134/ABS(C134))</f>
        <v>0.212850961741635</v>
      </c>
      <c r="G134" s="6" t="s">
        <v>662</v>
      </c>
      <c r="I134" s="51" t="s">
        <v>434</v>
      </c>
      <c r="J134" s="52" t="s">
        <v>182</v>
      </c>
    </row>
    <row r="135" customFormat="false" ht="27.75" hidden="false" customHeight="true" outlineLevel="0" collapsed="false">
      <c r="A135" s="11" t="s">
        <v>375</v>
      </c>
      <c r="B135" s="25" t="n">
        <f aca="false">B136+B137</f>
        <v>4582.5</v>
      </c>
      <c r="C135" s="25" t="n">
        <f aca="false">C136+C137</f>
        <v>4928</v>
      </c>
      <c r="D135" s="25" t="n">
        <f aca="false">B135-C135</f>
        <v>-345.5</v>
      </c>
      <c r="E135" s="26" t="n">
        <f aca="false">IF(C135=0,"n/m",D135/ABS(C135))</f>
        <v>-0.0701095779220779</v>
      </c>
      <c r="G135" s="6" t="s">
        <v>663</v>
      </c>
      <c r="I135" s="51" t="s">
        <v>434</v>
      </c>
      <c r="J135" s="52" t="str">
        <f aca="false">IF(AND(ROUND(B135-K135,4)=0,ROUND(C135-L135,4)=0,TRUE()),"✓","✗")</f>
        <v>✓</v>
      </c>
      <c r="K135" s="61" t="n">
        <v>4582.5</v>
      </c>
      <c r="L135" s="61" t="n">
        <v>4928</v>
      </c>
    </row>
    <row r="136" customFormat="false" ht="15" hidden="false" customHeight="true" outlineLevel="1" collapsed="false">
      <c r="A136" s="62" t="s">
        <v>377</v>
      </c>
      <c r="B136" s="34" t="n">
        <v>382.5</v>
      </c>
      <c r="C136" s="34" t="n">
        <v>328</v>
      </c>
      <c r="D136" s="25" t="n">
        <f aca="false">B136-C136</f>
        <v>54.5</v>
      </c>
      <c r="E136" s="26" t="n">
        <f aca="false">IF(C136=0,"n/m",D136/ABS(C136))</f>
        <v>0.166158536585366</v>
      </c>
      <c r="G136" s="6" t="s">
        <v>664</v>
      </c>
      <c r="I136" s="51" t="s">
        <v>434</v>
      </c>
      <c r="J136" s="52" t="s">
        <v>182</v>
      </c>
    </row>
    <row r="137" customFormat="false" ht="15" hidden="false" customHeight="true" outlineLevel="1" collapsed="false">
      <c r="A137" s="62" t="s">
        <v>379</v>
      </c>
      <c r="B137" s="34" t="n">
        <v>4200</v>
      </c>
      <c r="C137" s="34" t="n">
        <v>4600</v>
      </c>
      <c r="D137" s="25" t="n">
        <f aca="false">B137-C137</f>
        <v>-400</v>
      </c>
      <c r="E137" s="26" t="n">
        <f aca="false">IF(C137=0,"n/m",D137/ABS(C137))</f>
        <v>-0.0869565217391304</v>
      </c>
      <c r="G137" s="6" t="s">
        <v>665</v>
      </c>
      <c r="I137" s="51" t="s">
        <v>434</v>
      </c>
      <c r="J137" s="52" t="s">
        <v>182</v>
      </c>
    </row>
    <row r="138" customFormat="false" ht="27.75" hidden="false" customHeight="true" outlineLevel="0" collapsed="false">
      <c r="A138" s="53" t="s">
        <v>381</v>
      </c>
      <c r="B138" s="37" t="n">
        <f aca="false">B131+B135</f>
        <v>6203.28044</v>
      </c>
      <c r="C138" s="37" t="n">
        <f aca="false">C131+C135</f>
        <v>6181.39244</v>
      </c>
      <c r="D138" s="37" t="n">
        <f aca="false">B138-C138</f>
        <v>21.8880000000008</v>
      </c>
      <c r="E138" s="54" t="n">
        <f aca="false">IF(C138=0,"n/m",D138/ABS(C138))</f>
        <v>0.00354094974756219</v>
      </c>
      <c r="F138" s="75"/>
      <c r="G138" s="56" t="s">
        <v>666</v>
      </c>
      <c r="H138" s="75"/>
      <c r="I138" s="58" t="s">
        <v>434</v>
      </c>
      <c r="J138" s="59" t="str">
        <f aca="false">IF(AND(ROUND(B138-K138,4)=0,ROUND(C138-L138,4)=0,TRUE()),"✓","✗")</f>
        <v>✓</v>
      </c>
      <c r="K138" s="60" t="n">
        <v>6203.28044</v>
      </c>
      <c r="L138" s="60" t="n">
        <v>6181.39244</v>
      </c>
    </row>
    <row r="139" customFormat="false" ht="40.5" hidden="false" customHeight="true" outlineLevel="0" collapsed="false">
      <c r="A139" s="11" t="s">
        <v>383</v>
      </c>
      <c r="B139" s="25" t="n">
        <f aca="false">B140+B141</f>
        <v>13819.266</v>
      </c>
      <c r="C139" s="25" t="n">
        <f aca="false">C140+C141</f>
        <v>9945.693</v>
      </c>
      <c r="D139" s="25" t="n">
        <f aca="false">B139-C139</f>
        <v>3873.573</v>
      </c>
      <c r="E139" s="26" t="n">
        <f aca="false">IF(C139=0,"n/m",D139/ABS(C139))</f>
        <v>0.389472407805067</v>
      </c>
      <c r="G139" s="6" t="s">
        <v>667</v>
      </c>
      <c r="I139" s="51" t="s">
        <v>434</v>
      </c>
      <c r="J139" s="52" t="str">
        <f aca="false">IF(AND(ROUND(B139-K139,4)=0,ROUND(C139-L139,4)=0,TRUE()),"✓","✗")</f>
        <v>✓</v>
      </c>
      <c r="K139" s="61" t="n">
        <v>13819.266</v>
      </c>
      <c r="L139" s="61" t="n">
        <v>9945.693</v>
      </c>
    </row>
    <row r="140" customFormat="false" ht="27.75" hidden="false" customHeight="true" outlineLevel="1" collapsed="false">
      <c r="A140" s="62" t="s">
        <v>385</v>
      </c>
      <c r="B140" s="34" t="n">
        <v>13346</v>
      </c>
      <c r="C140" s="34" t="n">
        <v>12472</v>
      </c>
      <c r="D140" s="25" t="n">
        <f aca="false">B140-C140</f>
        <v>874</v>
      </c>
      <c r="E140" s="26" t="n">
        <f aca="false">IF(C140=0,"n/m",D140/ABS(C140))</f>
        <v>0.0700769724182168</v>
      </c>
      <c r="G140" s="6" t="s">
        <v>668</v>
      </c>
      <c r="I140" s="51" t="s">
        <v>434</v>
      </c>
      <c r="J140" s="52" t="s">
        <v>182</v>
      </c>
    </row>
    <row r="141" customFormat="false" ht="27.75" hidden="false" customHeight="true" outlineLevel="1" collapsed="false">
      <c r="A141" s="62" t="s">
        <v>387</v>
      </c>
      <c r="B141" s="34" t="n">
        <v>473.266</v>
      </c>
      <c r="C141" s="34" t="n">
        <v>-2526.307</v>
      </c>
      <c r="D141" s="25" t="n">
        <f aca="false">B141-C141</f>
        <v>2999.573</v>
      </c>
      <c r="E141" s="26" t="n">
        <f aca="false">IF(C141=0,"n/m",D141/ABS(C141))</f>
        <v>1.1873351101034</v>
      </c>
      <c r="G141" s="6" t="s">
        <v>669</v>
      </c>
      <c r="I141" s="51" t="s">
        <v>434</v>
      </c>
      <c r="J141" s="52" t="s">
        <v>182</v>
      </c>
    </row>
    <row r="142" customFormat="false" ht="27.75" hidden="false" customHeight="true" outlineLevel="0" collapsed="false">
      <c r="A142" s="64" t="s">
        <v>389</v>
      </c>
      <c r="B142" s="65" t="n">
        <f aca="false">B138+B139</f>
        <v>20022.54644</v>
      </c>
      <c r="C142" s="65" t="n">
        <f aca="false">C138+C139</f>
        <v>16127.08544</v>
      </c>
      <c r="D142" s="65" t="n">
        <f aca="false">B142-C142</f>
        <v>3895.461</v>
      </c>
      <c r="E142" s="66" t="n">
        <f aca="false">IF(C142=0,"n/m",D142/ABS(C142))</f>
        <v>0.241547737468922</v>
      </c>
      <c r="F142" s="74"/>
      <c r="G142" s="68" t="s">
        <v>670</v>
      </c>
      <c r="H142" s="74"/>
      <c r="I142" s="70" t="s">
        <v>434</v>
      </c>
      <c r="J142" s="71" t="str">
        <f aca="false">IF(AND(ROUND(B142-K142,4)=0,ROUND(C142-L142,4)=0,TRUE()),"✓","✗")</f>
        <v>✓</v>
      </c>
      <c r="K142" s="72" t="n">
        <v>20022.54644</v>
      </c>
      <c r="L142" s="72" t="n">
        <v>16127.08544</v>
      </c>
    </row>
    <row r="144" customFormat="false" ht="18" hidden="false" customHeight="true" outlineLevel="0" collapsed="false">
      <c r="A144" s="44" t="s">
        <v>391</v>
      </c>
      <c r="B144" s="45"/>
      <c r="C144" s="45"/>
      <c r="D144" s="45"/>
      <c r="E144" s="45"/>
      <c r="F144" s="45"/>
      <c r="G144" s="45"/>
      <c r="H144" s="45"/>
      <c r="I144" s="45"/>
      <c r="J144" s="45"/>
      <c r="K144" s="45"/>
      <c r="L144" s="45"/>
    </row>
    <row r="145" customFormat="false" ht="27.75" hidden="false" customHeight="true" outlineLevel="0" collapsed="false">
      <c r="A145" s="11" t="s">
        <v>97</v>
      </c>
      <c r="B145" s="34" t="n">
        <v>160</v>
      </c>
      <c r="C145" s="34" t="n">
        <v>245.985</v>
      </c>
      <c r="D145" s="25" t="n">
        <f aca="false">B145-C145</f>
        <v>-85.985</v>
      </c>
      <c r="E145" s="26" t="n">
        <f aca="false">IF(C145=0,"n/m",D145/ABS(C145))</f>
        <v>-0.34955383458341</v>
      </c>
      <c r="F145" s="49" t="str">
        <f aca="false">IF(ROUND(D145,5)=0,"",IF(D145&gt;0,"F","U"))</f>
        <v>U</v>
      </c>
      <c r="G145" s="6" t="s">
        <v>671</v>
      </c>
      <c r="I145" s="51" t="s">
        <v>434</v>
      </c>
      <c r="J145" s="52" t="s">
        <v>182</v>
      </c>
    </row>
    <row r="146" customFormat="false" ht="40.5" hidden="false" customHeight="true" outlineLevel="0" collapsed="false">
      <c r="A146" s="11" t="s">
        <v>393</v>
      </c>
      <c r="B146" s="25" t="n">
        <f aca="false">B147+B148+B149+B150</f>
        <v>186</v>
      </c>
      <c r="C146" s="25" t="n">
        <f aca="false">C147+C148+C149+C150</f>
        <v>141.455</v>
      </c>
      <c r="D146" s="25" t="n">
        <f aca="false">B146-C146</f>
        <v>44.545</v>
      </c>
      <c r="E146" s="26" t="n">
        <f aca="false">IF(C146=0,"n/m",D146/ABS(C146))</f>
        <v>0.314905800431233</v>
      </c>
      <c r="F146" s="49" t="str">
        <f aca="false">IF(ROUND(D146,5)=0,"",IF(D146&gt;0,"F","U"))</f>
        <v>F</v>
      </c>
      <c r="G146" s="6" t="s">
        <v>672</v>
      </c>
      <c r="I146" s="51" t="s">
        <v>434</v>
      </c>
      <c r="J146" s="52" t="str">
        <f aca="false">IF(AND(ROUND(B146-K146,4)=0,ROUND(C146-L146,4)=0,TRUE()),"✓","✗")</f>
        <v>✓</v>
      </c>
      <c r="K146" s="61" t="n">
        <v>186</v>
      </c>
      <c r="L146" s="61" t="n">
        <v>141.455</v>
      </c>
    </row>
    <row r="147" customFormat="false" ht="27.75" hidden="false" customHeight="true" outlineLevel="1" collapsed="false">
      <c r="A147" s="62" t="s">
        <v>395</v>
      </c>
      <c r="B147" s="34" t="n">
        <v>60</v>
      </c>
      <c r="C147" s="34" t="n">
        <v>49</v>
      </c>
      <c r="D147" s="25" t="n">
        <f aca="false">B147-C147</f>
        <v>11</v>
      </c>
      <c r="E147" s="26" t="n">
        <f aca="false">IF(C147=0,"n/m",D147/ABS(C147))</f>
        <v>0.224489795918367</v>
      </c>
      <c r="F147" s="49" t="str">
        <f aca="false">IF(ROUND(D147,5)=0,"",IF(D147&gt;0,"F","U"))</f>
        <v>F</v>
      </c>
      <c r="G147" s="6" t="s">
        <v>673</v>
      </c>
      <c r="I147" s="51" t="s">
        <v>434</v>
      </c>
      <c r="J147" s="52" t="s">
        <v>182</v>
      </c>
    </row>
    <row r="148" customFormat="false" ht="27.75" hidden="false" customHeight="true" outlineLevel="1" collapsed="false">
      <c r="A148" s="62" t="s">
        <v>397</v>
      </c>
      <c r="B148" s="34" t="n">
        <v>80</v>
      </c>
      <c r="C148" s="34" t="n">
        <v>65</v>
      </c>
      <c r="D148" s="25" t="n">
        <f aca="false">B148-C148</f>
        <v>15</v>
      </c>
      <c r="E148" s="26" t="n">
        <f aca="false">IF(C148=0,"n/m",D148/ABS(C148))</f>
        <v>0.230769230769231</v>
      </c>
      <c r="F148" s="49" t="str">
        <f aca="false">IF(ROUND(D148,5)=0,"",IF(D148&gt;0,"F","U"))</f>
        <v>F</v>
      </c>
      <c r="G148" s="6" t="s">
        <v>674</v>
      </c>
      <c r="I148" s="51" t="s">
        <v>434</v>
      </c>
      <c r="J148" s="52" t="s">
        <v>182</v>
      </c>
    </row>
    <row r="149" customFormat="false" ht="27.75" hidden="false" customHeight="true" outlineLevel="1" collapsed="false">
      <c r="A149" s="62" t="s">
        <v>399</v>
      </c>
      <c r="B149" s="34" t="n">
        <v>40</v>
      </c>
      <c r="C149" s="34" t="n">
        <v>23.455</v>
      </c>
      <c r="D149" s="25" t="n">
        <f aca="false">B149-C149</f>
        <v>16.545</v>
      </c>
      <c r="E149" s="26" t="n">
        <f aca="false">IF(C149=0,"n/m",D149/ABS(C149))</f>
        <v>0.705393306331273</v>
      </c>
      <c r="F149" s="49" t="str">
        <f aca="false">IF(ROUND(D149,5)=0,"",IF(D149&gt;0,"F","U"))</f>
        <v>F</v>
      </c>
      <c r="G149" s="6" t="s">
        <v>675</v>
      </c>
      <c r="I149" s="51" t="s">
        <v>434</v>
      </c>
      <c r="J149" s="52" t="s">
        <v>182</v>
      </c>
    </row>
    <row r="150" customFormat="false" ht="15" hidden="false" customHeight="true" outlineLevel="1" collapsed="false">
      <c r="A150" s="62" t="s">
        <v>401</v>
      </c>
      <c r="B150" s="34" t="n">
        <v>6</v>
      </c>
      <c r="C150" s="34" t="n">
        <v>4</v>
      </c>
      <c r="D150" s="25" t="n">
        <f aca="false">B150-C150</f>
        <v>2</v>
      </c>
      <c r="E150" s="26" t="n">
        <f aca="false">IF(C150=0,"n/m",D150/ABS(C150))</f>
        <v>0.5</v>
      </c>
      <c r="F150" s="49" t="str">
        <f aca="false">IF(ROUND(D150,5)=0,"",IF(D150&gt;0,"F","U"))</f>
        <v>F</v>
      </c>
      <c r="G150" s="63" t="s">
        <v>676</v>
      </c>
      <c r="I150" s="18" t="s">
        <v>191</v>
      </c>
      <c r="J150" s="52" t="s">
        <v>182</v>
      </c>
    </row>
    <row r="151" customFormat="false" ht="40.5" hidden="false" customHeight="true" outlineLevel="0" collapsed="false">
      <c r="A151" s="11" t="s">
        <v>403</v>
      </c>
      <c r="B151" s="25" t="n">
        <f aca="false">B152+B153+B154+B155+B156+B157</f>
        <v>672.61276</v>
      </c>
      <c r="C151" s="25" t="n">
        <f aca="false">C152+C153+C154+C155+C156+C157</f>
        <v>567.66091</v>
      </c>
      <c r="D151" s="25" t="n">
        <f aca="false">B151-C151</f>
        <v>104.95185</v>
      </c>
      <c r="E151" s="26" t="n">
        <f aca="false">IF(C151=0,"n/m",D151/ABS(C151))</f>
        <v>0.184884758050365</v>
      </c>
      <c r="F151" s="49" t="str">
        <f aca="false">IF(ROUND(D151,5)=0,"",IF(D151&gt;0,"F","U"))</f>
        <v>F</v>
      </c>
      <c r="G151" s="6" t="s">
        <v>677</v>
      </c>
      <c r="I151" s="51" t="s">
        <v>434</v>
      </c>
      <c r="J151" s="52" t="str">
        <f aca="false">IF(AND(ROUND(B151-K151,4)=0,ROUND(C151-L151,4)=0,TRUE()),"✓","✗")</f>
        <v>✓</v>
      </c>
      <c r="K151" s="61" t="n">
        <v>672.61276</v>
      </c>
      <c r="L151" s="61" t="n">
        <v>567.66091</v>
      </c>
    </row>
    <row r="152" customFormat="false" ht="27.75" hidden="false" customHeight="true" outlineLevel="1" collapsed="false">
      <c r="A152" s="62" t="s">
        <v>405</v>
      </c>
      <c r="B152" s="34" t="n">
        <v>1688.3986</v>
      </c>
      <c r="C152" s="34" t="n">
        <v>1461.89615</v>
      </c>
      <c r="D152" s="25" t="n">
        <f aca="false">B152-C152</f>
        <v>226.50245</v>
      </c>
      <c r="E152" s="26" t="n">
        <f aca="false">IF(C152=0,"n/m",D152/ABS(C152))</f>
        <v>0.154937442033759</v>
      </c>
      <c r="F152" s="49" t="str">
        <f aca="false">IF(ROUND(D152,5)=0,"",IF(D152&gt;0,"F","U"))</f>
        <v>F</v>
      </c>
      <c r="G152" s="6" t="s">
        <v>678</v>
      </c>
      <c r="I152" s="51" t="s">
        <v>434</v>
      </c>
      <c r="J152" s="52" t="s">
        <v>182</v>
      </c>
    </row>
    <row r="153" customFormat="false" ht="15" hidden="false" customHeight="true" outlineLevel="1" collapsed="false">
      <c r="A153" s="62" t="s">
        <v>407</v>
      </c>
      <c r="B153" s="34" t="n">
        <v>46</v>
      </c>
      <c r="C153" s="34" t="n">
        <v>36</v>
      </c>
      <c r="D153" s="25" t="n">
        <f aca="false">B153-C153</f>
        <v>10</v>
      </c>
      <c r="E153" s="26" t="n">
        <f aca="false">IF(C153=0,"n/m",D153/ABS(C153))</f>
        <v>0.277777777777778</v>
      </c>
      <c r="F153" s="49" t="str">
        <f aca="false">IF(ROUND(D153,5)=0,"",IF(D153&gt;0,"F","U"))</f>
        <v>F</v>
      </c>
      <c r="G153" s="6" t="s">
        <v>679</v>
      </c>
      <c r="I153" s="51" t="s">
        <v>434</v>
      </c>
      <c r="J153" s="52" t="s">
        <v>182</v>
      </c>
    </row>
    <row r="154" customFormat="false" ht="15" hidden="false" customHeight="true" outlineLevel="1" collapsed="false">
      <c r="A154" s="62" t="s">
        <v>409</v>
      </c>
      <c r="B154" s="34" t="n">
        <v>-55</v>
      </c>
      <c r="C154" s="34" t="n">
        <v>-35</v>
      </c>
      <c r="D154" s="25" t="n">
        <f aca="false">B154-C154</f>
        <v>-20</v>
      </c>
      <c r="E154" s="26" t="n">
        <f aca="false">IF(C154=0,"n/m",D154/ABS(C154))</f>
        <v>-0.571428571428571</v>
      </c>
      <c r="F154" s="49" t="str">
        <f aca="false">IF(ROUND(D154,5)=0,"",IF(D154&gt;0,"F","U"))</f>
        <v>U</v>
      </c>
      <c r="G154" s="6" t="s">
        <v>680</v>
      </c>
      <c r="I154" s="51" t="s">
        <v>434</v>
      </c>
      <c r="J154" s="52" t="s">
        <v>182</v>
      </c>
    </row>
    <row r="155" customFormat="false" ht="27.75" hidden="false" customHeight="true" outlineLevel="1" collapsed="false">
      <c r="A155" s="62" t="s">
        <v>411</v>
      </c>
      <c r="B155" s="34" t="n">
        <v>42</v>
      </c>
      <c r="C155" s="34" t="n">
        <v>5.001</v>
      </c>
      <c r="D155" s="25" t="n">
        <f aca="false">B155-C155</f>
        <v>36.999</v>
      </c>
      <c r="E155" s="26" t="n">
        <f aca="false">IF(C155=0,"n/m",D155/ABS(C155))</f>
        <v>7.39832033593281</v>
      </c>
      <c r="F155" s="49" t="str">
        <f aca="false">IF(ROUND(D155,5)=0,"",IF(D155&gt;0,"F","U"))</f>
        <v>F</v>
      </c>
      <c r="G155" s="6" t="s">
        <v>681</v>
      </c>
      <c r="I155" s="51" t="s">
        <v>434</v>
      </c>
      <c r="J155" s="52" t="s">
        <v>182</v>
      </c>
    </row>
    <row r="156" customFormat="false" ht="27.75" hidden="false" customHeight="true" outlineLevel="1" collapsed="false">
      <c r="A156" s="62" t="s">
        <v>413</v>
      </c>
      <c r="B156" s="34" t="n">
        <v>-14.74184</v>
      </c>
      <c r="C156" s="34" t="n">
        <v>22.62076</v>
      </c>
      <c r="D156" s="25" t="n">
        <f aca="false">B156-C156</f>
        <v>-37.3626</v>
      </c>
      <c r="E156" s="26" t="n">
        <f aca="false">IF(C156=0,"n/m",D156/ABS(C156))</f>
        <v>-1.65169516850893</v>
      </c>
      <c r="F156" s="49" t="str">
        <f aca="false">IF(ROUND(D156,5)=0,"",IF(D156&gt;0,"F","U"))</f>
        <v>U</v>
      </c>
      <c r="G156" s="6" t="s">
        <v>682</v>
      </c>
      <c r="I156" s="51" t="s">
        <v>434</v>
      </c>
      <c r="J156" s="52" t="s">
        <v>182</v>
      </c>
    </row>
    <row r="157" customFormat="false" ht="27.75" hidden="false" customHeight="true" outlineLevel="1" collapsed="false">
      <c r="A157" s="62" t="s">
        <v>415</v>
      </c>
      <c r="B157" s="34" t="n">
        <v>-1034.044</v>
      </c>
      <c r="C157" s="34" t="n">
        <v>-922.857</v>
      </c>
      <c r="D157" s="25" t="n">
        <f aca="false">B157-C157</f>
        <v>-111.187</v>
      </c>
      <c r="E157" s="26" t="n">
        <f aca="false">IF(C157=0,"n/m",D157/ABS(C157))</f>
        <v>-0.1204812880002</v>
      </c>
      <c r="F157" s="49" t="str">
        <f aca="false">IF(ROUND(D157,5)=0,"",IF(D157&gt;0,"F","U"))</f>
        <v>U</v>
      </c>
      <c r="G157" s="6" t="s">
        <v>683</v>
      </c>
      <c r="I157" s="51" t="s">
        <v>434</v>
      </c>
      <c r="J157" s="52" t="s">
        <v>182</v>
      </c>
    </row>
    <row r="158" customFormat="false" ht="40.5" hidden="false" customHeight="true" outlineLevel="0" collapsed="false">
      <c r="A158" s="64" t="s">
        <v>417</v>
      </c>
      <c r="B158" s="65" t="n">
        <f aca="false">B145+B146+B151</f>
        <v>1018.61276</v>
      </c>
      <c r="C158" s="65" t="n">
        <f aca="false">C145+C146+C151</f>
        <v>955.10091</v>
      </c>
      <c r="D158" s="65" t="n">
        <f aca="false">B158-C158</f>
        <v>63.5118499999999</v>
      </c>
      <c r="E158" s="66" t="n">
        <f aca="false">IF(C158=0,"n/m",D158/ABS(C158))</f>
        <v>0.0664975285176934</v>
      </c>
      <c r="F158" s="67" t="str">
        <f aca="false">IF(ROUND(D158,5)=0,"",IF(D158&gt;0,"F","U"))</f>
        <v>F</v>
      </c>
      <c r="G158" s="68" t="s">
        <v>684</v>
      </c>
      <c r="H158" s="74"/>
      <c r="I158" s="70" t="s">
        <v>434</v>
      </c>
      <c r="J158" s="71" t="str">
        <f aca="false">IF(AND(ROUND(B158-K158,4)=0,ROUND(C158-L158,4)=0,TRUE()),"✓","✗")</f>
        <v>✓</v>
      </c>
      <c r="K158" s="72" t="n">
        <v>1018.61276</v>
      </c>
      <c r="L158" s="72" t="n">
        <v>955.10091</v>
      </c>
    </row>
    <row r="159" customFormat="false" ht="15" hidden="false" customHeight="true" outlineLevel="0" collapsed="false">
      <c r="A159" s="11" t="s">
        <v>419</v>
      </c>
      <c r="B159" s="25" t="n">
        <f aca="false">B160</f>
        <v>-33</v>
      </c>
      <c r="C159" s="25" t="n">
        <f aca="false">C160</f>
        <v>-33</v>
      </c>
      <c r="D159" s="25" t="n">
        <f aca="false">B159-C159</f>
        <v>0</v>
      </c>
      <c r="E159" s="26" t="n">
        <f aca="false">IF(C159=0,"n/m",D159/ABS(C159))</f>
        <v>0</v>
      </c>
      <c r="F159" s="49" t="str">
        <f aca="false">IF(ROUND(D159,5)=0,"",IF(D159&gt;0,"F","U"))</f>
        <v/>
      </c>
      <c r="G159" s="63" t="s">
        <v>685</v>
      </c>
      <c r="I159" s="18" t="s">
        <v>191</v>
      </c>
      <c r="J159" s="52" t="str">
        <f aca="false">IF(AND(ROUND(B159-K159,4)=0,ROUND(C159-L159,4)=0,TRUE()),"✓","✗")</f>
        <v>✓</v>
      </c>
      <c r="K159" s="61" t="n">
        <v>-33</v>
      </c>
      <c r="L159" s="61" t="n">
        <v>-33</v>
      </c>
    </row>
    <row r="160" customFormat="false" ht="15" hidden="false" customHeight="true" outlineLevel="1" collapsed="false">
      <c r="A160" s="62" t="s">
        <v>421</v>
      </c>
      <c r="B160" s="34" t="n">
        <v>-33</v>
      </c>
      <c r="C160" s="34" t="n">
        <v>-33</v>
      </c>
      <c r="D160" s="25" t="n">
        <f aca="false">B160-C160</f>
        <v>0</v>
      </c>
      <c r="E160" s="26" t="n">
        <f aca="false">IF(C160=0,"n/m",D160/ABS(C160))</f>
        <v>0</v>
      </c>
      <c r="F160" s="49" t="str">
        <f aca="false">IF(ROUND(D160,5)=0,"",IF(D160&gt;0,"F","U"))</f>
        <v/>
      </c>
      <c r="G160" s="63" t="s">
        <v>686</v>
      </c>
      <c r="I160" s="18" t="s">
        <v>191</v>
      </c>
      <c r="J160" s="52" t="s">
        <v>182</v>
      </c>
    </row>
    <row r="161" customFormat="false" ht="15" hidden="false" customHeight="true" outlineLevel="0" collapsed="false">
      <c r="A161" s="11" t="s">
        <v>423</v>
      </c>
      <c r="B161" s="25" t="n">
        <f aca="false">B162+B163</f>
        <v>0</v>
      </c>
      <c r="C161" s="25" t="n">
        <f aca="false">C162+C163</f>
        <v>0</v>
      </c>
      <c r="D161" s="25" t="n">
        <f aca="false">B161-C161</f>
        <v>0</v>
      </c>
      <c r="E161" s="26" t="str">
        <f aca="false">IF(C161=0,"n/m",D161/ABS(C161))</f>
        <v>n/m</v>
      </c>
      <c r="F161" s="49" t="str">
        <f aca="false">IF(ROUND(D161,5)=0,"",IF(D161&gt;0,"F","U"))</f>
        <v/>
      </c>
      <c r="G161" s="63" t="s">
        <v>687</v>
      </c>
      <c r="I161" s="18" t="s">
        <v>191</v>
      </c>
      <c r="J161" s="52" t="str">
        <f aca="false">IF(AND(ROUND(B161-K161,4)=0,ROUND(C161-L161,4)=0,TRUE()),"✓","✗")</f>
        <v>✓</v>
      </c>
      <c r="K161" s="61" t="n">
        <v>0</v>
      </c>
      <c r="L161" s="61" t="n">
        <v>0</v>
      </c>
    </row>
    <row r="162" customFormat="false" ht="15" hidden="false" customHeight="true" outlineLevel="1" collapsed="false">
      <c r="A162" s="62" t="s">
        <v>425</v>
      </c>
      <c r="B162" s="34" t="n">
        <v>0</v>
      </c>
      <c r="C162" s="34" t="n">
        <v>0</v>
      </c>
      <c r="D162" s="25" t="n">
        <f aca="false">B162-C162</f>
        <v>0</v>
      </c>
      <c r="E162" s="26" t="str">
        <f aca="false">IF(C162=0,"n/m",D162/ABS(C162))</f>
        <v>n/m</v>
      </c>
      <c r="F162" s="49" t="str">
        <f aca="false">IF(ROUND(D162,5)=0,"",IF(D162&gt;0,"F","U"))</f>
        <v/>
      </c>
      <c r="G162" s="63" t="s">
        <v>688</v>
      </c>
      <c r="I162" s="18" t="s">
        <v>191</v>
      </c>
      <c r="J162" s="52" t="s">
        <v>182</v>
      </c>
    </row>
    <row r="163" customFormat="false" ht="15" hidden="false" customHeight="true" outlineLevel="1" collapsed="false">
      <c r="A163" s="62" t="s">
        <v>427</v>
      </c>
      <c r="B163" s="34" t="n">
        <v>0</v>
      </c>
      <c r="C163" s="34" t="n">
        <v>0</v>
      </c>
      <c r="D163" s="25" t="n">
        <f aca="false">B163-C163</f>
        <v>0</v>
      </c>
      <c r="E163" s="26" t="str">
        <f aca="false">IF(C163=0,"n/m",D163/ABS(C163))</f>
        <v>n/m</v>
      </c>
      <c r="F163" s="49" t="str">
        <f aca="false">IF(ROUND(D163,5)=0,"",IF(D163&gt;0,"F","U"))</f>
        <v/>
      </c>
      <c r="G163" s="63" t="s">
        <v>689</v>
      </c>
      <c r="I163" s="18" t="s">
        <v>191</v>
      </c>
      <c r="J163" s="52" t="s">
        <v>182</v>
      </c>
    </row>
    <row r="164" customFormat="false" ht="15" hidden="false" customHeight="true" outlineLevel="0" collapsed="false">
      <c r="A164" s="64" t="s">
        <v>429</v>
      </c>
      <c r="B164" s="65" t="n">
        <f aca="false">B158+B159+B161</f>
        <v>985.61276</v>
      </c>
      <c r="C164" s="65" t="n">
        <f aca="false">C158+C159+C161</f>
        <v>922.10091</v>
      </c>
      <c r="D164" s="65" t="n">
        <f aca="false">B164-C164</f>
        <v>63.5118499999999</v>
      </c>
      <c r="E164" s="66" t="n">
        <f aca="false">IF(C164=0,"n/m",D164/ABS(C164))</f>
        <v>0.0688773314408722</v>
      </c>
      <c r="F164" s="67" t="str">
        <f aca="false">IF(ROUND(D164,5)=0,"",IF(D164&gt;0,"F","U"))</f>
        <v>F</v>
      </c>
      <c r="G164" s="68" t="s">
        <v>690</v>
      </c>
      <c r="H164" s="74"/>
      <c r="I164" s="70" t="s">
        <v>434</v>
      </c>
      <c r="J164" s="71" t="str">
        <f aca="false">IF(AND(ROUND(B164-K164,4)=0,ROUND(C164-L164,4)=0,TRUE()),"✓","✗")</f>
        <v>✓</v>
      </c>
      <c r="K164" s="72" t="n">
        <v>985.61276</v>
      </c>
      <c r="L164" s="72" t="n">
        <v>922.10091</v>
      </c>
    </row>
    <row r="166" customFormat="false" ht="15" hidden="false" customHeight="false" outlineLevel="0" collapsed="false">
      <c r="A166" s="18" t="s">
        <v>431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1" outlineLevelCol="0"/>
  <cols>
    <col collapsed="false" customWidth="true" hidden="false" outlineLevel="0" max="1" min="1" style="0" width="46"/>
    <col collapsed="false" customWidth="true" hidden="false" outlineLevel="0" max="4" min="2" style="0" width="12"/>
    <col collapsed="false" customWidth="true" hidden="false" outlineLevel="0" max="5" min="5" style="0" width="8"/>
    <col collapsed="false" customWidth="true" hidden="false" outlineLevel="0" max="6" min="6" style="0" width="5"/>
    <col collapsed="false" customWidth="true" hidden="false" outlineLevel="0" max="7" min="7" style="0" width="82"/>
    <col collapsed="false" customWidth="true" hidden="false" outlineLevel="0" max="8" min="8" style="0" width="56"/>
    <col collapsed="false" customWidth="true" hidden="false" outlineLevel="0" max="9" min="9" style="0" width="15"/>
    <col collapsed="false" customWidth="true" hidden="false" outlineLevel="0" max="10" min="10" style="0" width="6"/>
    <col collapsed="false" customWidth="true" hidden="false" outlineLevel="0" max="12" min="11" style="0" width="12"/>
  </cols>
  <sheetData>
    <row r="1" customFormat="false" ht="17.35" hidden="false" customHeight="false" outlineLevel="0" collapsed="false">
      <c r="A1" s="17" t="s">
        <v>113</v>
      </c>
    </row>
    <row r="2" customFormat="false" ht="15" hidden="false" customHeight="false" outlineLevel="0" collapsed="false">
      <c r="A2" s="18" t="s">
        <v>80</v>
      </c>
    </row>
    <row r="3" customFormat="false" ht="15" hidden="false" customHeight="false" outlineLevel="0" collapsed="false">
      <c r="A3" s="18" t="s">
        <v>691</v>
      </c>
    </row>
    <row r="5" customFormat="false" ht="30" hidden="false" customHeight="true" outlineLevel="0" collapsed="false">
      <c r="A5" s="47" t="s">
        <v>173</v>
      </c>
      <c r="B5" s="48" t="s">
        <v>115</v>
      </c>
      <c r="C5" s="48" t="s">
        <v>116</v>
      </c>
      <c r="D5" s="48" t="s">
        <v>88</v>
      </c>
      <c r="E5" s="48" t="s">
        <v>89</v>
      </c>
      <c r="F5" s="48" t="s">
        <v>90</v>
      </c>
      <c r="G5" s="47" t="s">
        <v>174</v>
      </c>
      <c r="H5" s="47" t="s">
        <v>175</v>
      </c>
      <c r="I5" s="47" t="s">
        <v>24</v>
      </c>
      <c r="J5" s="48" t="s">
        <v>176</v>
      </c>
      <c r="K5" s="48" t="s">
        <v>177</v>
      </c>
      <c r="L5" s="48" t="s">
        <v>178</v>
      </c>
    </row>
    <row r="7" customFormat="false" ht="18" hidden="false" customHeight="true" outlineLevel="0" collapsed="false">
      <c r="A7" s="44" t="s">
        <v>152</v>
      </c>
      <c r="B7" s="45"/>
      <c r="C7" s="45"/>
      <c r="D7" s="45"/>
      <c r="E7" s="45"/>
      <c r="F7" s="45"/>
      <c r="G7" s="45"/>
      <c r="H7" s="45"/>
      <c r="I7" s="45"/>
      <c r="J7" s="45"/>
      <c r="K7" s="45"/>
      <c r="L7" s="45"/>
    </row>
    <row r="8" customFormat="false" ht="48" hidden="false" customHeight="true" outlineLevel="0" collapsed="false">
      <c r="A8" s="11" t="s">
        <v>153</v>
      </c>
      <c r="B8" s="34" t="n">
        <v>13819.355</v>
      </c>
      <c r="C8" s="34" t="n">
        <v>11123.688</v>
      </c>
      <c r="D8" s="25" t="n">
        <f aca="false">B8-C8</f>
        <v>2695.667</v>
      </c>
      <c r="E8" s="26" t="n">
        <f aca="false">IF(C8=0,"n/m",D8/ABS(C8))</f>
        <v>0.242335725345767</v>
      </c>
      <c r="F8" s="49" t="str">
        <f aca="false">IF(ROUND(D8,5)=0,"",IF(D8&gt;0,"F","U"))</f>
        <v>F</v>
      </c>
      <c r="G8" s="6" t="s">
        <v>692</v>
      </c>
      <c r="H8" s="50" t="s">
        <v>180</v>
      </c>
      <c r="I8" s="51" t="s">
        <v>434</v>
      </c>
      <c r="J8" s="52" t="s">
        <v>182</v>
      </c>
    </row>
    <row r="9" customFormat="false" ht="40.5" hidden="false" customHeight="true" outlineLevel="0" collapsed="false">
      <c r="A9" s="11" t="s">
        <v>154</v>
      </c>
      <c r="B9" s="34" t="n">
        <v>1330</v>
      </c>
      <c r="C9" s="34" t="n">
        <v>890</v>
      </c>
      <c r="D9" s="25" t="n">
        <f aca="false">B9-C9</f>
        <v>440</v>
      </c>
      <c r="E9" s="26" t="n">
        <f aca="false">IF(C9=0,"n/m",D9/ABS(C9))</f>
        <v>0.49438202247191</v>
      </c>
      <c r="F9" s="49" t="str">
        <f aca="false">IF(ROUND(D9,5)=0,"",IF(D9&gt;0,"F","U"))</f>
        <v>F</v>
      </c>
      <c r="G9" s="6" t="s">
        <v>693</v>
      </c>
      <c r="H9" s="50" t="s">
        <v>184</v>
      </c>
      <c r="I9" s="51" t="s">
        <v>434</v>
      </c>
      <c r="J9" s="52" t="s">
        <v>182</v>
      </c>
    </row>
    <row r="10" customFormat="false" ht="40.5" hidden="false" customHeight="true" outlineLevel="0" collapsed="false">
      <c r="A10" s="53" t="s">
        <v>91</v>
      </c>
      <c r="B10" s="37" t="n">
        <f aca="false">B8+B9</f>
        <v>15149.355</v>
      </c>
      <c r="C10" s="37" t="n">
        <f aca="false">C8+C9</f>
        <v>12013.688</v>
      </c>
      <c r="D10" s="37" t="n">
        <f aca="false">B10-C10</f>
        <v>3135.667</v>
      </c>
      <c r="E10" s="54" t="n">
        <f aca="false">IF(C10=0,"n/m",D10/ABS(C10))</f>
        <v>0.261007860367274</v>
      </c>
      <c r="F10" s="55" t="str">
        <f aca="false">IF(ROUND(D10,5)=0,"",IF(D10&gt;0,"F","U"))</f>
        <v>F</v>
      </c>
      <c r="G10" s="56" t="s">
        <v>694</v>
      </c>
      <c r="H10" s="57" t="s">
        <v>186</v>
      </c>
      <c r="I10" s="58" t="s">
        <v>434</v>
      </c>
      <c r="J10" s="59" t="str">
        <f aca="false">IF(AND(ROUND(B10-K10,4)=0,ROUND(C10-L10,4)=0,TRUE()),"✓","✗")</f>
        <v>✓</v>
      </c>
      <c r="K10" s="60" t="n">
        <v>15149.355</v>
      </c>
      <c r="L10" s="60" t="n">
        <v>12013.688</v>
      </c>
    </row>
    <row r="11" customFormat="false" ht="60" hidden="false" customHeight="true" outlineLevel="0" collapsed="false">
      <c r="A11" s="11" t="s">
        <v>155</v>
      </c>
      <c r="B11" s="25" t="n">
        <f aca="false">B12+B13+B14+B15+B16+B17+B18</f>
        <v>3984.62999</v>
      </c>
      <c r="C11" s="25" t="n">
        <f aca="false">C12+C13+C14+C15+C16+C17+C18</f>
        <v>3096.55029</v>
      </c>
      <c r="D11" s="25" t="n">
        <f aca="false">B11-C11</f>
        <v>888.079699999999</v>
      </c>
      <c r="E11" s="26" t="n">
        <f aca="false">IF(C11=0,"n/m",D11/ABS(C11))</f>
        <v>0.28679647247066</v>
      </c>
      <c r="F11" s="49" t="str">
        <f aca="false">IF(ROUND(D11,5)=0,"",IF(D11&lt;0,"F","U"))</f>
        <v>U</v>
      </c>
      <c r="G11" s="6" t="s">
        <v>695</v>
      </c>
      <c r="H11" s="50" t="s">
        <v>188</v>
      </c>
      <c r="I11" s="51" t="s">
        <v>434</v>
      </c>
      <c r="J11" s="52" t="str">
        <f aca="false">IF(AND(ROUND(B11-K11,4)=0,ROUND(C11-L11,4)=0,TRUE()),"✓","✗")</f>
        <v>✓</v>
      </c>
      <c r="K11" s="61" t="n">
        <v>3984.62999</v>
      </c>
      <c r="L11" s="61" t="n">
        <v>3096.55029</v>
      </c>
    </row>
    <row r="12" customFormat="false" ht="27.75" hidden="false" customHeight="true" outlineLevel="1" collapsed="false">
      <c r="A12" s="62" t="s">
        <v>189</v>
      </c>
      <c r="B12" s="34" t="n">
        <v>1005.5</v>
      </c>
      <c r="C12" s="34" t="n">
        <v>756</v>
      </c>
      <c r="D12" s="25" t="n">
        <f aca="false">B12-C12</f>
        <v>249.5</v>
      </c>
      <c r="E12" s="26" t="n">
        <f aca="false">IF(C12=0,"n/m",D12/ABS(C12))</f>
        <v>0.330026455026455</v>
      </c>
      <c r="F12" s="49" t="str">
        <f aca="false">IF(ROUND(D12,5)=0,"",IF(D12&lt;0,"F","U"))</f>
        <v>U</v>
      </c>
      <c r="G12" s="6" t="s">
        <v>696</v>
      </c>
      <c r="I12" s="51" t="s">
        <v>434</v>
      </c>
      <c r="J12" s="52" t="s">
        <v>182</v>
      </c>
    </row>
    <row r="13" customFormat="false" ht="36.75" hidden="false" customHeight="true" outlineLevel="1" collapsed="false">
      <c r="A13" s="62" t="s">
        <v>192</v>
      </c>
      <c r="B13" s="34" t="n">
        <v>737.357</v>
      </c>
      <c r="C13" s="34" t="n">
        <v>568.78225</v>
      </c>
      <c r="D13" s="25" t="n">
        <f aca="false">B13-C13</f>
        <v>168.57475</v>
      </c>
      <c r="E13" s="26" t="n">
        <f aca="false">IF(C13=0,"n/m",D13/ABS(C13))</f>
        <v>0.296378359205126</v>
      </c>
      <c r="F13" s="49" t="str">
        <f aca="false">IF(ROUND(D13,5)=0,"",IF(D13&lt;0,"F","U"))</f>
        <v>U</v>
      </c>
      <c r="G13" s="6" t="s">
        <v>697</v>
      </c>
      <c r="H13" s="50" t="s">
        <v>194</v>
      </c>
      <c r="I13" s="51" t="s">
        <v>434</v>
      </c>
      <c r="J13" s="52" t="s">
        <v>182</v>
      </c>
    </row>
    <row r="14" customFormat="false" ht="27.75" hidden="false" customHeight="true" outlineLevel="1" collapsed="false">
      <c r="A14" s="62" t="s">
        <v>195</v>
      </c>
      <c r="B14" s="34" t="n">
        <v>693.392</v>
      </c>
      <c r="C14" s="34" t="n">
        <v>541.9547</v>
      </c>
      <c r="D14" s="25" t="n">
        <f aca="false">B14-C14</f>
        <v>151.4373</v>
      </c>
      <c r="E14" s="26" t="n">
        <f aca="false">IF(C14=0,"n/m",D14/ABS(C14))</f>
        <v>0.279427966950005</v>
      </c>
      <c r="F14" s="49" t="str">
        <f aca="false">IF(ROUND(D14,5)=0,"",IF(D14&lt;0,"F","U"))</f>
        <v>U</v>
      </c>
      <c r="G14" s="6" t="s">
        <v>698</v>
      </c>
      <c r="H14" s="50" t="s">
        <v>197</v>
      </c>
      <c r="I14" s="51" t="s">
        <v>434</v>
      </c>
      <c r="J14" s="52" t="s">
        <v>182</v>
      </c>
    </row>
    <row r="15" customFormat="false" ht="36.75" hidden="false" customHeight="true" outlineLevel="1" collapsed="false">
      <c r="A15" s="62" t="s">
        <v>198</v>
      </c>
      <c r="B15" s="34" t="n">
        <v>1149.201</v>
      </c>
      <c r="C15" s="34" t="n">
        <v>922.962</v>
      </c>
      <c r="D15" s="25" t="n">
        <f aca="false">B15-C15</f>
        <v>226.239</v>
      </c>
      <c r="E15" s="26" t="n">
        <f aca="false">IF(C15=0,"n/m",D15/ABS(C15))</f>
        <v>0.245122767784589</v>
      </c>
      <c r="F15" s="49" t="str">
        <f aca="false">IF(ROUND(D15,5)=0,"",IF(D15&lt;0,"F","U"))</f>
        <v>U</v>
      </c>
      <c r="G15" s="6" t="s">
        <v>699</v>
      </c>
      <c r="H15" s="50" t="s">
        <v>200</v>
      </c>
      <c r="I15" s="51" t="s">
        <v>434</v>
      </c>
      <c r="J15" s="52" t="s">
        <v>182</v>
      </c>
    </row>
    <row r="16" customFormat="false" ht="40.5" hidden="false" customHeight="true" outlineLevel="1" collapsed="false">
      <c r="A16" s="62" t="s">
        <v>201</v>
      </c>
      <c r="B16" s="34" t="n">
        <v>103.18</v>
      </c>
      <c r="C16" s="34" t="n">
        <v>66.18467</v>
      </c>
      <c r="D16" s="25" t="n">
        <f aca="false">B16-C16</f>
        <v>36.99533</v>
      </c>
      <c r="E16" s="26" t="n">
        <f aca="false">IF(C16=0,"n/m",D16/ABS(C16))</f>
        <v>0.558971284437922</v>
      </c>
      <c r="F16" s="49" t="str">
        <f aca="false">IF(ROUND(D16,5)=0,"",IF(D16&lt;0,"F","U"))</f>
        <v>U</v>
      </c>
      <c r="G16" s="6" t="s">
        <v>700</v>
      </c>
      <c r="H16" s="50" t="s">
        <v>203</v>
      </c>
      <c r="I16" s="51" t="s">
        <v>434</v>
      </c>
      <c r="J16" s="52" t="s">
        <v>182</v>
      </c>
    </row>
    <row r="17" customFormat="false" ht="40.5" hidden="false" customHeight="true" outlineLevel="1" collapsed="false">
      <c r="A17" s="62" t="s">
        <v>204</v>
      </c>
      <c r="B17" s="34" t="n">
        <v>149.99999</v>
      </c>
      <c r="C17" s="34" t="n">
        <v>122.66667</v>
      </c>
      <c r="D17" s="25" t="n">
        <f aca="false">B17-C17</f>
        <v>27.33332</v>
      </c>
      <c r="E17" s="26" t="n">
        <f aca="false">IF(C17=0,"n/m",D17/ABS(C17))</f>
        <v>0.222825972205816</v>
      </c>
      <c r="F17" s="49" t="str">
        <f aca="false">IF(ROUND(D17,5)=0,"",IF(D17&lt;0,"F","U"))</f>
        <v>U</v>
      </c>
      <c r="G17" s="6" t="s">
        <v>701</v>
      </c>
      <c r="H17" s="50" t="s">
        <v>206</v>
      </c>
      <c r="I17" s="51" t="s">
        <v>434</v>
      </c>
      <c r="J17" s="52" t="s">
        <v>182</v>
      </c>
    </row>
    <row r="18" customFormat="false" ht="27.75" hidden="false" customHeight="true" outlineLevel="1" collapsed="false">
      <c r="A18" s="62" t="s">
        <v>207</v>
      </c>
      <c r="B18" s="34" t="n">
        <v>146</v>
      </c>
      <c r="C18" s="34" t="n">
        <v>118</v>
      </c>
      <c r="D18" s="25" t="n">
        <f aca="false">B18-C18</f>
        <v>28</v>
      </c>
      <c r="E18" s="26" t="n">
        <f aca="false">IF(C18=0,"n/m",D18/ABS(C18))</f>
        <v>0.23728813559322</v>
      </c>
      <c r="F18" s="49" t="str">
        <f aca="false">IF(ROUND(D18,5)=0,"",IF(D18&lt;0,"F","U"))</f>
        <v>U</v>
      </c>
      <c r="G18" s="6" t="s">
        <v>702</v>
      </c>
      <c r="I18" s="51" t="s">
        <v>434</v>
      </c>
      <c r="J18" s="52" t="s">
        <v>182</v>
      </c>
    </row>
    <row r="19" customFormat="false" ht="27.75" hidden="false" customHeight="true" outlineLevel="0" collapsed="false">
      <c r="A19" s="11" t="s">
        <v>156</v>
      </c>
      <c r="B19" s="34" t="n">
        <v>959.568</v>
      </c>
      <c r="C19" s="34" t="n">
        <v>748.152</v>
      </c>
      <c r="D19" s="25" t="n">
        <f aca="false">B19-C19</f>
        <v>211.416</v>
      </c>
      <c r="E19" s="26" t="n">
        <f aca="false">IF(C19=0,"n/m",D19/ABS(C19))</f>
        <v>0.282584287684855</v>
      </c>
      <c r="F19" s="49" t="str">
        <f aca="false">IF(ROUND(D19,5)=0,"",IF(D19&lt;0,"F","U"))</f>
        <v>U</v>
      </c>
      <c r="G19" s="6" t="s">
        <v>703</v>
      </c>
      <c r="H19" s="50" t="s">
        <v>210</v>
      </c>
      <c r="I19" s="51" t="s">
        <v>434</v>
      </c>
      <c r="J19" s="52" t="s">
        <v>182</v>
      </c>
    </row>
    <row r="20" customFormat="false" ht="60" hidden="false" customHeight="true" outlineLevel="0" collapsed="false">
      <c r="A20" s="53" t="s">
        <v>101</v>
      </c>
      <c r="B20" s="37" t="n">
        <f aca="false">B11+B19</f>
        <v>4944.19799</v>
      </c>
      <c r="C20" s="37" t="n">
        <f aca="false">C11+C19</f>
        <v>3844.70229</v>
      </c>
      <c r="D20" s="37" t="n">
        <f aca="false">B20-C20</f>
        <v>1099.4957</v>
      </c>
      <c r="E20" s="54" t="n">
        <f aca="false">IF(C20=0,"n/m",D20/ABS(C20))</f>
        <v>0.285976810963951</v>
      </c>
      <c r="F20" s="55" t="str">
        <f aca="false">IF(ROUND(D20,5)=0,"",IF(D20&lt;0,"F","U"))</f>
        <v>U</v>
      </c>
      <c r="G20" s="56" t="s">
        <v>704</v>
      </c>
      <c r="H20" s="57" t="s">
        <v>212</v>
      </c>
      <c r="I20" s="58" t="s">
        <v>434</v>
      </c>
      <c r="J20" s="59" t="str">
        <f aca="false">IF(AND(ROUND(B20-K20,4)=0,ROUND(C20-L20,4)=0,TRUE()),"✓","✗")</f>
        <v>✓</v>
      </c>
      <c r="K20" s="60" t="n">
        <v>4944.19799</v>
      </c>
      <c r="L20" s="60" t="n">
        <v>3844.70229</v>
      </c>
    </row>
    <row r="21" customFormat="false" ht="60" hidden="false" customHeight="true" outlineLevel="0" collapsed="false">
      <c r="A21" s="64" t="s">
        <v>92</v>
      </c>
      <c r="B21" s="65" t="n">
        <f aca="false">B10-B20</f>
        <v>10205.15701</v>
      </c>
      <c r="C21" s="65" t="n">
        <f aca="false">C10-C20</f>
        <v>8168.98571</v>
      </c>
      <c r="D21" s="65" t="n">
        <f aca="false">B21-C21</f>
        <v>2036.1713</v>
      </c>
      <c r="E21" s="66" t="n">
        <f aca="false">IF(C21=0,"n/m",D21/ABS(C21))</f>
        <v>0.24925631801601</v>
      </c>
      <c r="F21" s="67" t="str">
        <f aca="false">IF(ROUND(D21,5)=0,"",IF(D21&gt;0,"F","U"))</f>
        <v>F</v>
      </c>
      <c r="G21" s="68" t="s">
        <v>705</v>
      </c>
      <c r="H21" s="69" t="s">
        <v>214</v>
      </c>
      <c r="I21" s="70" t="s">
        <v>434</v>
      </c>
      <c r="J21" s="71" t="str">
        <f aca="false">IF(AND(ROUND(B21-K21,4)=0,ROUND(C21-L21,4)=0,TRUE()),"✓","✗")</f>
        <v>✓</v>
      </c>
      <c r="K21" s="72" t="n">
        <v>10205.15701</v>
      </c>
      <c r="L21" s="72" t="n">
        <v>8168.98571</v>
      </c>
    </row>
    <row r="22" customFormat="false" ht="48" hidden="false" customHeight="true" outlineLevel="0" collapsed="false">
      <c r="A22" s="11" t="s">
        <v>157</v>
      </c>
      <c r="B22" s="25" t="n">
        <f aca="false">B23+B24+B25+B26+B27</f>
        <v>3061.53095</v>
      </c>
      <c r="C22" s="25" t="n">
        <f aca="false">C23+C24+C25+C26+C27</f>
        <v>2369.2028</v>
      </c>
      <c r="D22" s="25" t="n">
        <f aca="false">B22-C22</f>
        <v>692.32815</v>
      </c>
      <c r="E22" s="26" t="n">
        <f aca="false">IF(C22=0,"n/m",D22/ABS(C22))</f>
        <v>0.292219876660622</v>
      </c>
      <c r="F22" s="49" t="str">
        <f aca="false">IF(ROUND(D22,5)=0,"",IF(D22&lt;0,"F","U"))</f>
        <v>U</v>
      </c>
      <c r="G22" s="6" t="s">
        <v>706</v>
      </c>
      <c r="H22" s="50" t="s">
        <v>216</v>
      </c>
      <c r="I22" s="51" t="s">
        <v>434</v>
      </c>
      <c r="J22" s="52" t="str">
        <f aca="false">IF(AND(ROUND(B22-K22,4)=0,ROUND(C22-L22,4)=0,TRUE()),"✓","✗")</f>
        <v>✓</v>
      </c>
      <c r="K22" s="61" t="n">
        <v>3061.53095</v>
      </c>
      <c r="L22" s="61" t="n">
        <v>2369.2028</v>
      </c>
    </row>
    <row r="23" customFormat="false" ht="36.75" hidden="false" customHeight="true" outlineLevel="1" collapsed="false">
      <c r="A23" s="62" t="s">
        <v>192</v>
      </c>
      <c r="B23" s="34" t="n">
        <v>2212.071</v>
      </c>
      <c r="C23" s="34" t="n">
        <v>1706.34675</v>
      </c>
      <c r="D23" s="25" t="n">
        <f aca="false">B23-C23</f>
        <v>505.72425</v>
      </c>
      <c r="E23" s="26" t="n">
        <f aca="false">IF(C23=0,"n/m",D23/ABS(C23))</f>
        <v>0.296378359205126</v>
      </c>
      <c r="F23" s="49" t="str">
        <f aca="false">IF(ROUND(D23,5)=0,"",IF(D23&lt;0,"F","U"))</f>
        <v>U</v>
      </c>
      <c r="G23" s="6" t="s">
        <v>707</v>
      </c>
      <c r="H23" s="50" t="s">
        <v>218</v>
      </c>
      <c r="I23" s="51" t="s">
        <v>434</v>
      </c>
      <c r="J23" s="52" t="s">
        <v>182</v>
      </c>
    </row>
    <row r="24" customFormat="false" ht="27.75" hidden="false" customHeight="true" outlineLevel="1" collapsed="false">
      <c r="A24" s="62" t="s">
        <v>189</v>
      </c>
      <c r="B24" s="34" t="n">
        <v>306</v>
      </c>
      <c r="C24" s="34" t="n">
        <v>232</v>
      </c>
      <c r="D24" s="25" t="n">
        <f aca="false">B24-C24</f>
        <v>74</v>
      </c>
      <c r="E24" s="26" t="n">
        <f aca="false">IF(C24=0,"n/m",D24/ABS(C24))</f>
        <v>0.318965517241379</v>
      </c>
      <c r="F24" s="49" t="str">
        <f aca="false">IF(ROUND(D24,5)=0,"",IF(D24&lt;0,"F","U"))</f>
        <v>U</v>
      </c>
      <c r="G24" s="6" t="s">
        <v>708</v>
      </c>
      <c r="I24" s="51" t="s">
        <v>434</v>
      </c>
      <c r="J24" s="52" t="s">
        <v>182</v>
      </c>
    </row>
    <row r="25" customFormat="false" ht="40.5" hidden="false" customHeight="true" outlineLevel="1" collapsed="false">
      <c r="A25" s="62" t="s">
        <v>201</v>
      </c>
      <c r="B25" s="34" t="n">
        <v>174.46</v>
      </c>
      <c r="C25" s="34" t="n">
        <v>131.1894</v>
      </c>
      <c r="D25" s="25" t="n">
        <f aca="false">B25-C25</f>
        <v>43.2706</v>
      </c>
      <c r="E25" s="26" t="n">
        <f aca="false">IF(C25=0,"n/m",D25/ABS(C25))</f>
        <v>0.329833050536095</v>
      </c>
      <c r="F25" s="49" t="str">
        <f aca="false">IF(ROUND(D25,5)=0,"",IF(D25&lt;0,"F","U"))</f>
        <v>U</v>
      </c>
      <c r="G25" s="6" t="s">
        <v>709</v>
      </c>
      <c r="H25" s="50" t="s">
        <v>221</v>
      </c>
      <c r="I25" s="51" t="s">
        <v>434</v>
      </c>
      <c r="J25" s="52" t="s">
        <v>182</v>
      </c>
    </row>
    <row r="26" customFormat="false" ht="40.5" hidden="false" customHeight="true" outlineLevel="1" collapsed="false">
      <c r="A26" s="62" t="s">
        <v>204</v>
      </c>
      <c r="B26" s="34" t="n">
        <v>149.99999</v>
      </c>
      <c r="C26" s="34" t="n">
        <v>122.66667</v>
      </c>
      <c r="D26" s="25" t="n">
        <f aca="false">B26-C26</f>
        <v>27.33332</v>
      </c>
      <c r="E26" s="26" t="n">
        <f aca="false">IF(C26=0,"n/m",D26/ABS(C26))</f>
        <v>0.222825972205816</v>
      </c>
      <c r="F26" s="49" t="str">
        <f aca="false">IF(ROUND(D26,5)=0,"",IF(D26&lt;0,"F","U"))</f>
        <v>U</v>
      </c>
      <c r="G26" s="6" t="s">
        <v>701</v>
      </c>
      <c r="H26" s="50" t="s">
        <v>206</v>
      </c>
      <c r="I26" s="51" t="s">
        <v>434</v>
      </c>
      <c r="J26" s="52" t="s">
        <v>182</v>
      </c>
    </row>
    <row r="27" customFormat="false" ht="27.75" hidden="false" customHeight="true" outlineLevel="1" collapsed="false">
      <c r="A27" s="62" t="s">
        <v>207</v>
      </c>
      <c r="B27" s="34" t="n">
        <v>218.99996</v>
      </c>
      <c r="C27" s="34" t="n">
        <v>176.99998</v>
      </c>
      <c r="D27" s="25" t="n">
        <f aca="false">B27-C27</f>
        <v>41.99998</v>
      </c>
      <c r="E27" s="26" t="n">
        <f aca="false">IF(C27=0,"n/m",D27/ABS(C27))</f>
        <v>0.237288049411079</v>
      </c>
      <c r="F27" s="49" t="str">
        <f aca="false">IF(ROUND(D27,5)=0,"",IF(D27&lt;0,"F","U"))</f>
        <v>U</v>
      </c>
      <c r="G27" s="6" t="s">
        <v>710</v>
      </c>
      <c r="I27" s="51" t="s">
        <v>434</v>
      </c>
      <c r="J27" s="52" t="s">
        <v>182</v>
      </c>
    </row>
    <row r="28" customFormat="false" ht="48" hidden="false" customHeight="true" outlineLevel="0" collapsed="false">
      <c r="A28" s="11" t="s">
        <v>158</v>
      </c>
      <c r="B28" s="25" t="n">
        <f aca="false">B29+B30+B31+B32+B33+B34+B35+B36</f>
        <v>3496.90101</v>
      </c>
      <c r="C28" s="25" t="n">
        <f aca="false">C29+C30+C31+C32+C33+C34+C35+C36</f>
        <v>2550.3927</v>
      </c>
      <c r="D28" s="25" t="n">
        <f aca="false">B28-C28</f>
        <v>946.50831</v>
      </c>
      <c r="E28" s="26" t="n">
        <f aca="false">IF(C28=0,"n/m",D28/ABS(C28))</f>
        <v>0.371122576534978</v>
      </c>
      <c r="F28" s="49" t="str">
        <f aca="false">IF(ROUND(D28,5)=0,"",IF(D28&lt;0,"F","U"))</f>
        <v>U</v>
      </c>
      <c r="G28" s="6" t="s">
        <v>711</v>
      </c>
      <c r="H28" s="50" t="s">
        <v>224</v>
      </c>
      <c r="I28" s="51" t="s">
        <v>434</v>
      </c>
      <c r="J28" s="52" t="str">
        <f aca="false">IF(AND(ROUND(B28-K28,4)=0,ROUND(C28-L28,4)=0,TRUE()),"✓","✗")</f>
        <v>✓</v>
      </c>
      <c r="K28" s="61" t="n">
        <v>3496.90101</v>
      </c>
      <c r="L28" s="61" t="n">
        <v>2550.3927</v>
      </c>
    </row>
    <row r="29" customFormat="false" ht="36.75" hidden="false" customHeight="true" outlineLevel="1" collapsed="false">
      <c r="A29" s="62" t="s">
        <v>225</v>
      </c>
      <c r="B29" s="34" t="n">
        <v>1714.173</v>
      </c>
      <c r="C29" s="34" t="n">
        <v>1246.213</v>
      </c>
      <c r="D29" s="25" t="n">
        <f aca="false">B29-C29</f>
        <v>467.96</v>
      </c>
      <c r="E29" s="26" t="n">
        <f aca="false">IF(C29=0,"n/m",D29/ABS(C29))</f>
        <v>0.37550563186229</v>
      </c>
      <c r="F29" s="49" t="str">
        <f aca="false">IF(ROUND(D29,5)=0,"",IF(D29&lt;0,"F","U"))</f>
        <v>U</v>
      </c>
      <c r="G29" s="6" t="s">
        <v>712</v>
      </c>
      <c r="H29" s="50" t="s">
        <v>227</v>
      </c>
      <c r="I29" s="51" t="s">
        <v>434</v>
      </c>
      <c r="J29" s="52" t="s">
        <v>182</v>
      </c>
    </row>
    <row r="30" customFormat="false" ht="27.75" hidden="false" customHeight="true" outlineLevel="1" collapsed="false">
      <c r="A30" s="62" t="s">
        <v>195</v>
      </c>
      <c r="B30" s="34" t="n">
        <v>297.168</v>
      </c>
      <c r="C30" s="34" t="n">
        <v>232.2663</v>
      </c>
      <c r="D30" s="25" t="n">
        <f aca="false">B30-C30</f>
        <v>64.9017</v>
      </c>
      <c r="E30" s="26" t="n">
        <f aca="false">IF(C30=0,"n/m",D30/ABS(C30))</f>
        <v>0.279427966950005</v>
      </c>
      <c r="F30" s="49" t="str">
        <f aca="false">IF(ROUND(D30,5)=0,"",IF(D30&lt;0,"F","U"))</f>
        <v>U</v>
      </c>
      <c r="G30" s="6" t="s">
        <v>713</v>
      </c>
      <c r="H30" s="50" t="s">
        <v>229</v>
      </c>
      <c r="I30" s="51" t="s">
        <v>434</v>
      </c>
      <c r="J30" s="52" t="s">
        <v>182</v>
      </c>
    </row>
    <row r="31" customFormat="false" ht="48" hidden="false" customHeight="true" outlineLevel="1" collapsed="false">
      <c r="A31" s="62" t="s">
        <v>230</v>
      </c>
      <c r="B31" s="34" t="n">
        <v>701.5</v>
      </c>
      <c r="C31" s="34" t="n">
        <v>538</v>
      </c>
      <c r="D31" s="25" t="n">
        <f aca="false">B31-C31</f>
        <v>163.5</v>
      </c>
      <c r="E31" s="26" t="n">
        <f aca="false">IF(C31=0,"n/m",D31/ABS(C31))</f>
        <v>0.303903345724907</v>
      </c>
      <c r="F31" s="49" t="str">
        <f aca="false">IF(ROUND(D31,5)=0,"",IF(D31&lt;0,"F","U"))</f>
        <v>U</v>
      </c>
      <c r="G31" s="6" t="s">
        <v>714</v>
      </c>
      <c r="H31" s="50" t="s">
        <v>232</v>
      </c>
      <c r="I31" s="51" t="s">
        <v>434</v>
      </c>
      <c r="J31" s="52" t="s">
        <v>182</v>
      </c>
    </row>
    <row r="32" customFormat="false" ht="40.5" hidden="false" customHeight="true" outlineLevel="1" collapsed="false">
      <c r="A32" s="62" t="s">
        <v>233</v>
      </c>
      <c r="B32" s="34" t="n">
        <v>289.5</v>
      </c>
      <c r="C32" s="34" t="n">
        <v>152.818</v>
      </c>
      <c r="D32" s="25" t="n">
        <f aca="false">B32-C32</f>
        <v>136.682</v>
      </c>
      <c r="E32" s="26" t="n">
        <f aca="false">IF(C32=0,"n/m",D32/ABS(C32))</f>
        <v>0.894410344331165</v>
      </c>
      <c r="F32" s="49" t="str">
        <f aca="false">IF(ROUND(D32,5)=0,"",IF(D32&lt;0,"F","U"))</f>
        <v>U</v>
      </c>
      <c r="G32" s="6" t="s">
        <v>715</v>
      </c>
      <c r="I32" s="51" t="s">
        <v>434</v>
      </c>
      <c r="J32" s="52" t="s">
        <v>182</v>
      </c>
    </row>
    <row r="33" customFormat="false" ht="27.75" hidden="false" customHeight="true" outlineLevel="1" collapsed="false">
      <c r="A33" s="62" t="s">
        <v>189</v>
      </c>
      <c r="B33" s="34" t="n">
        <v>84</v>
      </c>
      <c r="C33" s="34" t="n">
        <v>52</v>
      </c>
      <c r="D33" s="25" t="n">
        <f aca="false">B33-C33</f>
        <v>32</v>
      </c>
      <c r="E33" s="26" t="n">
        <f aca="false">IF(C33=0,"n/m",D33/ABS(C33))</f>
        <v>0.615384615384615</v>
      </c>
      <c r="F33" s="49" t="str">
        <f aca="false">IF(ROUND(D33,5)=0,"",IF(D33&lt;0,"F","U"))</f>
        <v>U</v>
      </c>
      <c r="G33" s="6" t="s">
        <v>716</v>
      </c>
      <c r="H33" s="50" t="s">
        <v>236</v>
      </c>
      <c r="I33" s="51" t="s">
        <v>434</v>
      </c>
      <c r="J33" s="52" t="s">
        <v>182</v>
      </c>
    </row>
    <row r="34" customFormat="false" ht="40.5" hidden="false" customHeight="true" outlineLevel="1" collapsed="false">
      <c r="A34" s="62" t="s">
        <v>201</v>
      </c>
      <c r="B34" s="34" t="n">
        <v>189.56</v>
      </c>
      <c r="C34" s="34" t="n">
        <v>149.76207</v>
      </c>
      <c r="D34" s="25" t="n">
        <f aca="false">B34-C34</f>
        <v>39.79793</v>
      </c>
      <c r="E34" s="26" t="n">
        <f aca="false">IF(C34=0,"n/m",D34/ABS(C34))</f>
        <v>0.265741051789682</v>
      </c>
      <c r="F34" s="49" t="str">
        <f aca="false">IF(ROUND(D34,5)=0,"",IF(D34&lt;0,"F","U"))</f>
        <v>U</v>
      </c>
      <c r="G34" s="6" t="s">
        <v>717</v>
      </c>
      <c r="H34" s="50" t="s">
        <v>221</v>
      </c>
      <c r="I34" s="51" t="s">
        <v>434</v>
      </c>
      <c r="J34" s="52" t="s">
        <v>182</v>
      </c>
    </row>
    <row r="35" customFormat="false" ht="40.5" hidden="false" customHeight="true" outlineLevel="1" collapsed="false">
      <c r="A35" s="62" t="s">
        <v>204</v>
      </c>
      <c r="B35" s="34" t="n">
        <v>75.00001</v>
      </c>
      <c r="C35" s="34" t="n">
        <v>61.33333</v>
      </c>
      <c r="D35" s="25" t="n">
        <f aca="false">B35-C35</f>
        <v>13.66668</v>
      </c>
      <c r="E35" s="26" t="n">
        <f aca="false">IF(C35=0,"n/m",D35/ABS(C35))</f>
        <v>0.222826316457952</v>
      </c>
      <c r="F35" s="49" t="str">
        <f aca="false">IF(ROUND(D35,5)=0,"",IF(D35&lt;0,"F","U"))</f>
        <v>U</v>
      </c>
      <c r="G35" s="6" t="s">
        <v>718</v>
      </c>
      <c r="H35" s="50" t="s">
        <v>239</v>
      </c>
      <c r="I35" s="51" t="s">
        <v>434</v>
      </c>
      <c r="J35" s="52" t="s">
        <v>182</v>
      </c>
    </row>
    <row r="36" customFormat="false" ht="27.75" hidden="false" customHeight="true" outlineLevel="1" collapsed="false">
      <c r="A36" s="62" t="s">
        <v>207</v>
      </c>
      <c r="B36" s="34" t="n">
        <v>146</v>
      </c>
      <c r="C36" s="34" t="n">
        <v>118</v>
      </c>
      <c r="D36" s="25" t="n">
        <f aca="false">B36-C36</f>
        <v>28</v>
      </c>
      <c r="E36" s="26" t="n">
        <f aca="false">IF(C36=0,"n/m",D36/ABS(C36))</f>
        <v>0.23728813559322</v>
      </c>
      <c r="F36" s="49" t="str">
        <f aca="false">IF(ROUND(D36,5)=0,"",IF(D36&lt;0,"F","U"))</f>
        <v>U</v>
      </c>
      <c r="G36" s="6" t="s">
        <v>702</v>
      </c>
      <c r="I36" s="51" t="s">
        <v>434</v>
      </c>
      <c r="J36" s="52" t="s">
        <v>182</v>
      </c>
    </row>
    <row r="37" customFormat="false" ht="40.5" hidden="false" customHeight="true" outlineLevel="0" collapsed="false">
      <c r="A37" s="11" t="s">
        <v>159</v>
      </c>
      <c r="B37" s="25" t="n">
        <f aca="false">B38+B39+B40+B41</f>
        <v>1537.80005</v>
      </c>
      <c r="C37" s="25" t="n">
        <f aca="false">C38+C39+C40+C41</f>
        <v>1271.69721</v>
      </c>
      <c r="D37" s="25" t="n">
        <f aca="false">B37-C37</f>
        <v>266.10284</v>
      </c>
      <c r="E37" s="26" t="n">
        <f aca="false">IF(C37=0,"n/m",D37/ABS(C37))</f>
        <v>0.209250156332418</v>
      </c>
      <c r="F37" s="49" t="str">
        <f aca="false">IF(ROUND(D37,5)=0,"",IF(D37&lt;0,"F","U"))</f>
        <v>U</v>
      </c>
      <c r="G37" s="6" t="s">
        <v>719</v>
      </c>
      <c r="H37" s="50" t="s">
        <v>241</v>
      </c>
      <c r="I37" s="51" t="s">
        <v>434</v>
      </c>
      <c r="J37" s="52" t="str">
        <f aca="false">IF(AND(ROUND(B37-K37,4)=0,ROUND(C37-L37,4)=0,TRUE()),"✓","✗")</f>
        <v>✓</v>
      </c>
      <c r="K37" s="61" t="n">
        <v>1537.80005</v>
      </c>
      <c r="L37" s="61" t="n">
        <v>1271.69721</v>
      </c>
    </row>
    <row r="38" customFormat="false" ht="53.25" hidden="false" customHeight="true" outlineLevel="1" collapsed="false">
      <c r="A38" s="62" t="s">
        <v>242</v>
      </c>
      <c r="B38" s="34" t="n">
        <v>1273</v>
      </c>
      <c r="C38" s="34" t="n">
        <v>1058.5</v>
      </c>
      <c r="D38" s="25" t="n">
        <f aca="false">B38-C38</f>
        <v>214.5</v>
      </c>
      <c r="E38" s="26" t="n">
        <f aca="false">IF(C38=0,"n/m",D38/ABS(C38))</f>
        <v>0.202645252716108</v>
      </c>
      <c r="F38" s="49" t="str">
        <f aca="false">IF(ROUND(D38,5)=0,"",IF(D38&lt;0,"F","U"))</f>
        <v>U</v>
      </c>
      <c r="G38" s="6" t="s">
        <v>720</v>
      </c>
      <c r="H38" s="50" t="s">
        <v>244</v>
      </c>
      <c r="I38" s="51" t="s">
        <v>434</v>
      </c>
      <c r="J38" s="52" t="s">
        <v>182</v>
      </c>
    </row>
    <row r="39" customFormat="false" ht="40.5" hidden="false" customHeight="true" outlineLevel="1" collapsed="false">
      <c r="A39" s="62" t="s">
        <v>201</v>
      </c>
      <c r="B39" s="34" t="n">
        <v>116.8</v>
      </c>
      <c r="C39" s="34" t="n">
        <v>92.86386</v>
      </c>
      <c r="D39" s="25" t="n">
        <f aca="false">B39-C39</f>
        <v>23.93614</v>
      </c>
      <c r="E39" s="26" t="n">
        <f aca="false">IF(C39=0,"n/m",D39/ABS(C39))</f>
        <v>0.25775516977218</v>
      </c>
      <c r="F39" s="49" t="str">
        <f aca="false">IF(ROUND(D39,5)=0,"",IF(D39&lt;0,"F","U"))</f>
        <v>U</v>
      </c>
      <c r="G39" s="6" t="s">
        <v>721</v>
      </c>
      <c r="H39" s="50" t="s">
        <v>203</v>
      </c>
      <c r="I39" s="51" t="s">
        <v>434</v>
      </c>
      <c r="J39" s="52" t="s">
        <v>182</v>
      </c>
    </row>
    <row r="40" customFormat="false" ht="40.5" hidden="false" customHeight="true" outlineLevel="1" collapsed="false">
      <c r="A40" s="62" t="s">
        <v>204</v>
      </c>
      <c r="B40" s="34" t="n">
        <v>75.00001</v>
      </c>
      <c r="C40" s="34" t="n">
        <v>61.33333</v>
      </c>
      <c r="D40" s="25" t="n">
        <f aca="false">B40-C40</f>
        <v>13.66668</v>
      </c>
      <c r="E40" s="26" t="n">
        <f aca="false">IF(C40=0,"n/m",D40/ABS(C40))</f>
        <v>0.222826316457952</v>
      </c>
      <c r="F40" s="49" t="str">
        <f aca="false">IF(ROUND(D40,5)=0,"",IF(D40&lt;0,"F","U"))</f>
        <v>U</v>
      </c>
      <c r="G40" s="6" t="s">
        <v>718</v>
      </c>
      <c r="H40" s="50" t="s">
        <v>239</v>
      </c>
      <c r="I40" s="51" t="s">
        <v>434</v>
      </c>
      <c r="J40" s="52" t="s">
        <v>182</v>
      </c>
    </row>
    <row r="41" customFormat="false" ht="27.75" hidden="false" customHeight="true" outlineLevel="1" collapsed="false">
      <c r="A41" s="62" t="s">
        <v>207</v>
      </c>
      <c r="B41" s="34" t="n">
        <v>73.00004</v>
      </c>
      <c r="C41" s="34" t="n">
        <v>59.00002</v>
      </c>
      <c r="D41" s="25" t="n">
        <f aca="false">B41-C41</f>
        <v>14.00002</v>
      </c>
      <c r="E41" s="26" t="n">
        <f aca="false">IF(C41=0,"n/m",D41/ABS(C41))</f>
        <v>0.237288394139527</v>
      </c>
      <c r="F41" s="49" t="str">
        <f aca="false">IF(ROUND(D41,5)=0,"",IF(D41&lt;0,"F","U"))</f>
        <v>U</v>
      </c>
      <c r="G41" s="6" t="s">
        <v>722</v>
      </c>
      <c r="I41" s="51" t="s">
        <v>434</v>
      </c>
      <c r="J41" s="52" t="s">
        <v>182</v>
      </c>
    </row>
    <row r="42" customFormat="false" ht="60" hidden="false" customHeight="true" outlineLevel="0" collapsed="false">
      <c r="A42" s="53" t="s">
        <v>95</v>
      </c>
      <c r="B42" s="37" t="n">
        <f aca="false">B22+B28+B37</f>
        <v>8096.23201</v>
      </c>
      <c r="C42" s="37" t="n">
        <f aca="false">C22+C28+C37</f>
        <v>6191.29271</v>
      </c>
      <c r="D42" s="37" t="n">
        <f aca="false">B42-C42</f>
        <v>1904.9393</v>
      </c>
      <c r="E42" s="54" t="n">
        <f aca="false">IF(C42=0,"n/m",D42/ABS(C42))</f>
        <v>0.307680381016907</v>
      </c>
      <c r="F42" s="55" t="str">
        <f aca="false">IF(ROUND(D42,5)=0,"",IF(D42&lt;0,"F","U"))</f>
        <v>U</v>
      </c>
      <c r="G42" s="56" t="s">
        <v>723</v>
      </c>
      <c r="H42" s="57" t="s">
        <v>248</v>
      </c>
      <c r="I42" s="58" t="s">
        <v>434</v>
      </c>
      <c r="J42" s="59" t="str">
        <f aca="false">IF(AND(ROUND(B42-K42,4)=0,ROUND(C42-L42,4)=0,TRUE()),"✓","✗")</f>
        <v>✓</v>
      </c>
      <c r="K42" s="60" t="n">
        <v>8096.23201</v>
      </c>
      <c r="L42" s="60" t="n">
        <v>6191.29271</v>
      </c>
    </row>
    <row r="43" customFormat="false" ht="60" hidden="false" customHeight="true" outlineLevel="0" collapsed="false">
      <c r="A43" s="64" t="s">
        <v>96</v>
      </c>
      <c r="B43" s="65" t="n">
        <f aca="false">B21-B42</f>
        <v>2108.925</v>
      </c>
      <c r="C43" s="65" t="n">
        <f aca="false">C21-C42</f>
        <v>1977.693</v>
      </c>
      <c r="D43" s="65" t="n">
        <f aca="false">B43-C43</f>
        <v>131.231999999999</v>
      </c>
      <c r="E43" s="66" t="n">
        <f aca="false">IF(C43=0,"n/m",D43/ABS(C43))</f>
        <v>0.0663561027924956</v>
      </c>
      <c r="F43" s="67" t="str">
        <f aca="false">IF(ROUND(D43,5)=0,"",IF(D43&gt;0,"F","U"))</f>
        <v>F</v>
      </c>
      <c r="G43" s="68" t="s">
        <v>724</v>
      </c>
      <c r="H43" s="69" t="s">
        <v>250</v>
      </c>
      <c r="I43" s="70" t="s">
        <v>434</v>
      </c>
      <c r="J43" s="71" t="str">
        <f aca="false">IF(AND(ROUND(B43-K43,4)=0,ROUND(C43-L43,4)=0,TRUE()),"✓","✗")</f>
        <v>✓</v>
      </c>
      <c r="K43" s="72" t="n">
        <v>2108.925</v>
      </c>
      <c r="L43" s="72" t="n">
        <v>1977.693</v>
      </c>
    </row>
    <row r="44" customFormat="false" ht="27.75" hidden="false" customHeight="true" outlineLevel="0" collapsed="false">
      <c r="A44" s="11" t="s">
        <v>160</v>
      </c>
      <c r="B44" s="34" t="n">
        <v>89.5</v>
      </c>
      <c r="C44" s="34" t="n">
        <v>108</v>
      </c>
      <c r="D44" s="25" t="n">
        <f aca="false">B44-C44</f>
        <v>-18.5</v>
      </c>
      <c r="E44" s="26" t="n">
        <f aca="false">IF(C44=0,"n/m",D44/ABS(C44))</f>
        <v>-0.171296296296296</v>
      </c>
      <c r="F44" s="49" t="str">
        <f aca="false">IF(ROUND(D44,5)=0,"",IF(D44&gt;0,"F","U"))</f>
        <v>U</v>
      </c>
      <c r="G44" s="6" t="s">
        <v>725</v>
      </c>
      <c r="I44" s="51" t="s">
        <v>434</v>
      </c>
      <c r="J44" s="52" t="s">
        <v>182</v>
      </c>
    </row>
    <row r="45" customFormat="false" ht="15" hidden="false" customHeight="true" outlineLevel="0" collapsed="false">
      <c r="A45" s="11" t="s">
        <v>161</v>
      </c>
      <c r="B45" s="34" t="n">
        <v>242.5</v>
      </c>
      <c r="C45" s="34" t="n">
        <v>260</v>
      </c>
      <c r="D45" s="25" t="n">
        <f aca="false">B45-C45</f>
        <v>-17.5</v>
      </c>
      <c r="E45" s="26" t="n">
        <f aca="false">IF(C45=0,"n/m",D45/ABS(C45))</f>
        <v>-0.0673076923076923</v>
      </c>
      <c r="F45" s="49" t="str">
        <f aca="false">IF(ROUND(D45,5)=0,"",IF(D45&lt;0,"F","U"))</f>
        <v>F</v>
      </c>
      <c r="G45" s="6" t="s">
        <v>726</v>
      </c>
      <c r="I45" s="51" t="s">
        <v>434</v>
      </c>
      <c r="J45" s="52" t="s">
        <v>182</v>
      </c>
    </row>
    <row r="46" customFormat="false" ht="60" hidden="false" customHeight="true" outlineLevel="0" collapsed="false">
      <c r="A46" s="64" t="s">
        <v>162</v>
      </c>
      <c r="B46" s="65" t="n">
        <f aca="false">B43+B44-B45</f>
        <v>1955.925</v>
      </c>
      <c r="C46" s="65" t="n">
        <f aca="false">C43+C44-C45</f>
        <v>1825.693</v>
      </c>
      <c r="D46" s="65" t="n">
        <f aca="false">B46-C46</f>
        <v>130.231999999999</v>
      </c>
      <c r="E46" s="66" t="n">
        <f aca="false">IF(C46=0,"n/m",D46/ABS(C46))</f>
        <v>0.0713329130363095</v>
      </c>
      <c r="F46" s="67" t="str">
        <f aca="false">IF(ROUND(D46,5)=0,"",IF(D46&gt;0,"F","U"))</f>
        <v>F</v>
      </c>
      <c r="G46" s="68" t="s">
        <v>727</v>
      </c>
      <c r="H46" s="69" t="s">
        <v>250</v>
      </c>
      <c r="I46" s="70" t="s">
        <v>434</v>
      </c>
      <c r="J46" s="71" t="str">
        <f aca="false">IF(AND(ROUND(B46-K46,4)=0,ROUND(C46-L46,4)=0,TRUE()),"✓","✗")</f>
        <v>✓</v>
      </c>
      <c r="K46" s="72" t="n">
        <v>1955.925</v>
      </c>
      <c r="L46" s="72" t="n">
        <v>1825.693</v>
      </c>
    </row>
    <row r="47" customFormat="false" ht="27.75" hidden="false" customHeight="true" outlineLevel="0" collapsed="false">
      <c r="A47" s="11" t="s">
        <v>126</v>
      </c>
      <c r="B47" s="34" t="n">
        <v>260.5</v>
      </c>
      <c r="C47" s="34" t="n">
        <v>180</v>
      </c>
      <c r="D47" s="25" t="n">
        <f aca="false">B47-C47</f>
        <v>80.5</v>
      </c>
      <c r="E47" s="26" t="n">
        <f aca="false">IF(C47=0,"n/m",D47/ABS(C47))</f>
        <v>0.447222222222222</v>
      </c>
      <c r="F47" s="49" t="str">
        <f aca="false">IF(ROUND(D47,5)=0,"",IF(D47&lt;0,"F","U"))</f>
        <v>U</v>
      </c>
      <c r="G47" s="6" t="s">
        <v>728</v>
      </c>
      <c r="I47" s="51" t="s">
        <v>434</v>
      </c>
      <c r="J47" s="52" t="s">
        <v>182</v>
      </c>
    </row>
    <row r="48" customFormat="false" ht="60" hidden="false" customHeight="true" outlineLevel="0" collapsed="false">
      <c r="A48" s="64" t="s">
        <v>97</v>
      </c>
      <c r="B48" s="65" t="n">
        <f aca="false">B46-B47</f>
        <v>1695.425</v>
      </c>
      <c r="C48" s="65" t="n">
        <f aca="false">C46-C47</f>
        <v>1645.693</v>
      </c>
      <c r="D48" s="65" t="n">
        <f aca="false">B48-C48</f>
        <v>49.7319999999991</v>
      </c>
      <c r="E48" s="66" t="n">
        <f aca="false">IF(C48=0,"n/m",D48/ABS(C48))</f>
        <v>0.0302194880819199</v>
      </c>
      <c r="F48" s="67" t="str">
        <f aca="false">IF(ROUND(D48,5)=0,"",IF(D48&gt;0,"F","U"))</f>
        <v>F</v>
      </c>
      <c r="G48" s="68" t="s">
        <v>729</v>
      </c>
      <c r="H48" s="69" t="s">
        <v>250</v>
      </c>
      <c r="I48" s="70" t="s">
        <v>434</v>
      </c>
      <c r="J48" s="71" t="str">
        <f aca="false">IF(AND(ROUND(B48-K48,4)=0,ROUND(C48-L48,4)=0,TRUE()),"✓","✗")</f>
        <v>✓</v>
      </c>
      <c r="K48" s="72" t="n">
        <v>1695.425</v>
      </c>
      <c r="L48" s="72" t="n">
        <v>1645.693</v>
      </c>
    </row>
    <row r="50" customFormat="false" ht="18" hidden="false" customHeight="true" outlineLevel="0" collapsed="false">
      <c r="A50" s="44" t="s">
        <v>163</v>
      </c>
      <c r="B50" s="45"/>
      <c r="C50" s="45"/>
      <c r="D50" s="45"/>
      <c r="E50" s="45"/>
      <c r="F50" s="45"/>
      <c r="G50" s="45"/>
      <c r="H50" s="45"/>
      <c r="I50" s="45"/>
      <c r="J50" s="45"/>
      <c r="K50" s="45"/>
      <c r="L50" s="45"/>
    </row>
    <row r="51" customFormat="false" ht="48" hidden="false" customHeight="true" outlineLevel="0" collapsed="false">
      <c r="A51" s="11" t="s">
        <v>153</v>
      </c>
      <c r="B51" s="34" t="n">
        <v>13819.355</v>
      </c>
      <c r="C51" s="34" t="n">
        <v>11123.688</v>
      </c>
      <c r="D51" s="25" t="n">
        <f aca="false">B51-C51</f>
        <v>2695.667</v>
      </c>
      <c r="E51" s="26" t="n">
        <f aca="false">IF(C51=0,"n/m",D51/ABS(C51))</f>
        <v>0.242335725345767</v>
      </c>
      <c r="F51" s="49" t="str">
        <f aca="false">IF(ROUND(D51,5)=0,"",IF(D51&gt;0,"F","U"))</f>
        <v>F</v>
      </c>
      <c r="G51" s="6" t="s">
        <v>692</v>
      </c>
      <c r="H51" s="50" t="s">
        <v>180</v>
      </c>
      <c r="I51" s="51" t="s">
        <v>434</v>
      </c>
      <c r="J51" s="52" t="s">
        <v>182</v>
      </c>
    </row>
    <row r="52" customFormat="false" ht="40.5" hidden="false" customHeight="true" outlineLevel="0" collapsed="false">
      <c r="A52" s="11" t="s">
        <v>154</v>
      </c>
      <c r="B52" s="34" t="n">
        <v>1330</v>
      </c>
      <c r="C52" s="34" t="n">
        <v>890</v>
      </c>
      <c r="D52" s="25" t="n">
        <f aca="false">B52-C52</f>
        <v>440</v>
      </c>
      <c r="E52" s="26" t="n">
        <f aca="false">IF(C52=0,"n/m",D52/ABS(C52))</f>
        <v>0.49438202247191</v>
      </c>
      <c r="F52" s="49" t="str">
        <f aca="false">IF(ROUND(D52,5)=0,"",IF(D52&gt;0,"F","U"))</f>
        <v>F</v>
      </c>
      <c r="G52" s="6" t="s">
        <v>693</v>
      </c>
      <c r="H52" s="50" t="s">
        <v>184</v>
      </c>
      <c r="I52" s="51" t="s">
        <v>434</v>
      </c>
      <c r="J52" s="52" t="s">
        <v>182</v>
      </c>
    </row>
    <row r="53" customFormat="false" ht="40.5" hidden="false" customHeight="true" outlineLevel="0" collapsed="false">
      <c r="A53" s="53" t="s">
        <v>91</v>
      </c>
      <c r="B53" s="37" t="n">
        <f aca="false">B51+B52</f>
        <v>15149.355</v>
      </c>
      <c r="C53" s="37" t="n">
        <f aca="false">C51+C52</f>
        <v>12013.688</v>
      </c>
      <c r="D53" s="37" t="n">
        <f aca="false">B53-C53</f>
        <v>3135.667</v>
      </c>
      <c r="E53" s="54" t="n">
        <f aca="false">IF(C53=0,"n/m",D53/ABS(C53))</f>
        <v>0.261007860367274</v>
      </c>
      <c r="F53" s="55" t="str">
        <f aca="false">IF(ROUND(D53,5)=0,"",IF(D53&gt;0,"F","U"))</f>
        <v>F</v>
      </c>
      <c r="G53" s="56" t="s">
        <v>694</v>
      </c>
      <c r="H53" s="57" t="s">
        <v>186</v>
      </c>
      <c r="I53" s="58" t="s">
        <v>434</v>
      </c>
      <c r="J53" s="59" t="str">
        <f aca="false">IF(AND(ROUND(B53-K53,4)=0,ROUND(C53-L53,4)=0,TRUE()),"✓","✗")</f>
        <v>✓</v>
      </c>
      <c r="K53" s="60" t="n">
        <v>15149.355</v>
      </c>
      <c r="L53" s="60" t="n">
        <v>12013.688</v>
      </c>
    </row>
    <row r="54" customFormat="false" ht="60" hidden="false" customHeight="true" outlineLevel="0" collapsed="false">
      <c r="A54" s="11" t="s">
        <v>164</v>
      </c>
      <c r="B54" s="25" t="n">
        <f aca="false">B55+B56+B57+B58+B59+B60+B61</f>
        <v>4013.82999</v>
      </c>
      <c r="C54" s="25" t="n">
        <f aca="false">C55+C56+C57+C58+C59+C60+C61</f>
        <v>3119.76631</v>
      </c>
      <c r="D54" s="25" t="n">
        <f aca="false">B54-C54</f>
        <v>894.06368</v>
      </c>
      <c r="E54" s="26" t="n">
        <f aca="false">IF(C54=0,"n/m",D54/ABS(C54))</f>
        <v>0.286580336845807</v>
      </c>
      <c r="F54" s="49" t="str">
        <f aca="false">IF(ROUND(D54,5)=0,"",IF(D54&lt;0,"F","U"))</f>
        <v>U</v>
      </c>
      <c r="G54" s="6" t="s">
        <v>730</v>
      </c>
      <c r="H54" s="50" t="s">
        <v>188</v>
      </c>
      <c r="I54" s="51" t="s">
        <v>434</v>
      </c>
      <c r="J54" s="52" t="str">
        <f aca="false">IF(AND(ROUND(B54-K54,4)=0,ROUND(C54-L54,4)=0,TRUE()),"✓","✗")</f>
        <v>✓</v>
      </c>
      <c r="K54" s="61" t="n">
        <v>4013.82999</v>
      </c>
      <c r="L54" s="61" t="n">
        <v>3119.76631</v>
      </c>
    </row>
    <row r="55" customFormat="false" ht="27.75" hidden="false" customHeight="true" outlineLevel="1" collapsed="false">
      <c r="A55" s="62" t="s">
        <v>257</v>
      </c>
      <c r="B55" s="34" t="n">
        <v>1005.5</v>
      </c>
      <c r="C55" s="34" t="n">
        <v>756</v>
      </c>
      <c r="D55" s="25" t="n">
        <f aca="false">B55-C55</f>
        <v>249.5</v>
      </c>
      <c r="E55" s="26" t="n">
        <f aca="false">IF(C55=0,"n/m",D55/ABS(C55))</f>
        <v>0.330026455026455</v>
      </c>
      <c r="F55" s="49" t="str">
        <f aca="false">IF(ROUND(D55,5)=0,"",IF(D55&lt;0,"F","U"))</f>
        <v>U</v>
      </c>
      <c r="G55" s="6" t="s">
        <v>731</v>
      </c>
      <c r="I55" s="51" t="s">
        <v>434</v>
      </c>
      <c r="J55" s="52" t="s">
        <v>182</v>
      </c>
    </row>
    <row r="56" customFormat="false" ht="36.75" hidden="false" customHeight="true" outlineLevel="1" collapsed="false">
      <c r="A56" s="62" t="s">
        <v>259</v>
      </c>
      <c r="B56" s="34" t="n">
        <v>737.357</v>
      </c>
      <c r="C56" s="34" t="n">
        <v>568.78225</v>
      </c>
      <c r="D56" s="25" t="n">
        <f aca="false">B56-C56</f>
        <v>168.57475</v>
      </c>
      <c r="E56" s="26" t="n">
        <f aca="false">IF(C56=0,"n/m",D56/ABS(C56))</f>
        <v>0.296378359205126</v>
      </c>
      <c r="F56" s="49" t="str">
        <f aca="false">IF(ROUND(D56,5)=0,"",IF(D56&lt;0,"F","U"))</f>
        <v>U</v>
      </c>
      <c r="G56" s="6" t="s">
        <v>732</v>
      </c>
      <c r="H56" s="50" t="s">
        <v>194</v>
      </c>
      <c r="I56" s="51" t="s">
        <v>434</v>
      </c>
      <c r="J56" s="52" t="s">
        <v>182</v>
      </c>
    </row>
    <row r="57" customFormat="false" ht="36.75" hidden="false" customHeight="true" outlineLevel="1" collapsed="false">
      <c r="A57" s="62" t="s">
        <v>261</v>
      </c>
      <c r="B57" s="34" t="n">
        <v>1149.201</v>
      </c>
      <c r="C57" s="34" t="n">
        <v>922.962</v>
      </c>
      <c r="D57" s="25" t="n">
        <f aca="false">B57-C57</f>
        <v>226.239</v>
      </c>
      <c r="E57" s="26" t="n">
        <f aca="false">IF(C57=0,"n/m",D57/ABS(C57))</f>
        <v>0.245122767784589</v>
      </c>
      <c r="F57" s="49" t="str">
        <f aca="false">IF(ROUND(D57,5)=0,"",IF(D57&lt;0,"F","U"))</f>
        <v>U</v>
      </c>
      <c r="G57" s="6" t="s">
        <v>733</v>
      </c>
      <c r="H57" s="50" t="s">
        <v>200</v>
      </c>
      <c r="I57" s="51" t="s">
        <v>434</v>
      </c>
      <c r="J57" s="52" t="s">
        <v>182</v>
      </c>
    </row>
    <row r="58" customFormat="false" ht="27.75" hidden="false" customHeight="true" outlineLevel="1" collapsed="false">
      <c r="A58" s="62" t="s">
        <v>263</v>
      </c>
      <c r="B58" s="34" t="n">
        <v>693.392</v>
      </c>
      <c r="C58" s="34" t="n">
        <v>541.9547</v>
      </c>
      <c r="D58" s="25" t="n">
        <f aca="false">B58-C58</f>
        <v>151.4373</v>
      </c>
      <c r="E58" s="26" t="n">
        <f aca="false">IF(C58=0,"n/m",D58/ABS(C58))</f>
        <v>0.279427966950005</v>
      </c>
      <c r="F58" s="49" t="str">
        <f aca="false">IF(ROUND(D58,5)=0,"",IF(D58&lt;0,"F","U"))</f>
        <v>U</v>
      </c>
      <c r="G58" s="6" t="s">
        <v>734</v>
      </c>
      <c r="H58" s="50" t="s">
        <v>197</v>
      </c>
      <c r="I58" s="51" t="s">
        <v>434</v>
      </c>
      <c r="J58" s="52" t="s">
        <v>182</v>
      </c>
    </row>
    <row r="59" customFormat="false" ht="40.5" hidden="false" customHeight="true" outlineLevel="1" collapsed="false">
      <c r="A59" s="62" t="s">
        <v>265</v>
      </c>
      <c r="B59" s="34" t="n">
        <v>132.38</v>
      </c>
      <c r="C59" s="34" t="n">
        <v>89.40069</v>
      </c>
      <c r="D59" s="25" t="n">
        <f aca="false">B59-C59</f>
        <v>42.97931</v>
      </c>
      <c r="E59" s="26" t="n">
        <f aca="false">IF(C59=0,"n/m",D59/ABS(C59))</f>
        <v>0.480749197797019</v>
      </c>
      <c r="F59" s="49" t="str">
        <f aca="false">IF(ROUND(D59,5)=0,"",IF(D59&lt;0,"F","U"))</f>
        <v>U</v>
      </c>
      <c r="G59" s="6" t="s">
        <v>735</v>
      </c>
      <c r="H59" s="50" t="s">
        <v>221</v>
      </c>
      <c r="I59" s="51" t="s">
        <v>434</v>
      </c>
      <c r="J59" s="52" t="s">
        <v>182</v>
      </c>
    </row>
    <row r="60" customFormat="false" ht="40.5" hidden="false" customHeight="true" outlineLevel="1" collapsed="false">
      <c r="A60" s="62" t="s">
        <v>267</v>
      </c>
      <c r="B60" s="34" t="n">
        <v>149.99999</v>
      </c>
      <c r="C60" s="34" t="n">
        <v>122.66667</v>
      </c>
      <c r="D60" s="25" t="n">
        <f aca="false">B60-C60</f>
        <v>27.33332</v>
      </c>
      <c r="E60" s="26" t="n">
        <f aca="false">IF(C60=0,"n/m",D60/ABS(C60))</f>
        <v>0.222825972205816</v>
      </c>
      <c r="F60" s="49" t="str">
        <f aca="false">IF(ROUND(D60,5)=0,"",IF(D60&lt;0,"F","U"))</f>
        <v>U</v>
      </c>
      <c r="G60" s="6" t="s">
        <v>736</v>
      </c>
      <c r="H60" s="50" t="s">
        <v>206</v>
      </c>
      <c r="I60" s="51" t="s">
        <v>434</v>
      </c>
      <c r="J60" s="52" t="s">
        <v>182</v>
      </c>
    </row>
    <row r="61" customFormat="false" ht="27.75" hidden="false" customHeight="true" outlineLevel="1" collapsed="false">
      <c r="A61" s="62" t="s">
        <v>269</v>
      </c>
      <c r="B61" s="34" t="n">
        <v>146</v>
      </c>
      <c r="C61" s="34" t="n">
        <v>118</v>
      </c>
      <c r="D61" s="25" t="n">
        <f aca="false">B61-C61</f>
        <v>28</v>
      </c>
      <c r="E61" s="26" t="n">
        <f aca="false">IF(C61=0,"n/m",D61/ABS(C61))</f>
        <v>0.23728813559322</v>
      </c>
      <c r="F61" s="49" t="str">
        <f aca="false">IF(ROUND(D61,5)=0,"",IF(D61&lt;0,"F","U"))</f>
        <v>U</v>
      </c>
      <c r="G61" s="6" t="s">
        <v>737</v>
      </c>
      <c r="I61" s="51" t="s">
        <v>434</v>
      </c>
      <c r="J61" s="52" t="s">
        <v>182</v>
      </c>
    </row>
    <row r="62" customFormat="false" ht="27.75" hidden="false" customHeight="true" outlineLevel="0" collapsed="false">
      <c r="A62" s="11" t="s">
        <v>165</v>
      </c>
      <c r="B62" s="25" t="n">
        <f aca="false">B63</f>
        <v>959.568</v>
      </c>
      <c r="C62" s="25" t="n">
        <f aca="false">C63</f>
        <v>748.152</v>
      </c>
      <c r="D62" s="25" t="n">
        <f aca="false">B62-C62</f>
        <v>211.416</v>
      </c>
      <c r="E62" s="26" t="n">
        <f aca="false">IF(C62=0,"n/m",D62/ABS(C62))</f>
        <v>0.282584287684855</v>
      </c>
      <c r="F62" s="49" t="str">
        <f aca="false">IF(ROUND(D62,5)=0,"",IF(D62&lt;0,"F","U"))</f>
        <v>U</v>
      </c>
      <c r="G62" s="6" t="s">
        <v>738</v>
      </c>
      <c r="H62" s="50" t="s">
        <v>210</v>
      </c>
      <c r="I62" s="51" t="s">
        <v>434</v>
      </c>
      <c r="J62" s="52" t="str">
        <f aca="false">IF(AND(ROUND(B62-K62,4)=0,ROUND(C62-L62,4)=0,TRUE()),"✓","✗")</f>
        <v>✓</v>
      </c>
      <c r="K62" s="61" t="n">
        <v>959.568</v>
      </c>
      <c r="L62" s="61" t="n">
        <v>748.152</v>
      </c>
    </row>
    <row r="63" customFormat="false" ht="27.75" hidden="false" customHeight="true" outlineLevel="1" collapsed="false">
      <c r="A63" s="62" t="s">
        <v>272</v>
      </c>
      <c r="B63" s="34" t="n">
        <v>959.568</v>
      </c>
      <c r="C63" s="34" t="n">
        <v>748.152</v>
      </c>
      <c r="D63" s="25" t="n">
        <f aca="false">B63-C63</f>
        <v>211.416</v>
      </c>
      <c r="E63" s="26" t="n">
        <f aca="false">IF(C63=0,"n/m",D63/ABS(C63))</f>
        <v>0.282584287684855</v>
      </c>
      <c r="F63" s="49" t="str">
        <f aca="false">IF(ROUND(D63,5)=0,"",IF(D63&lt;0,"F","U"))</f>
        <v>U</v>
      </c>
      <c r="G63" s="6" t="s">
        <v>739</v>
      </c>
      <c r="H63" s="50" t="s">
        <v>210</v>
      </c>
      <c r="I63" s="51" t="s">
        <v>434</v>
      </c>
      <c r="J63" s="52" t="s">
        <v>182</v>
      </c>
    </row>
    <row r="64" customFormat="false" ht="60" hidden="false" customHeight="true" outlineLevel="0" collapsed="false">
      <c r="A64" s="53" t="s">
        <v>166</v>
      </c>
      <c r="B64" s="37" t="n">
        <f aca="false">B54+B62</f>
        <v>4973.39799</v>
      </c>
      <c r="C64" s="37" t="n">
        <f aca="false">C54+C62</f>
        <v>3867.91831</v>
      </c>
      <c r="D64" s="37" t="n">
        <f aca="false">B64-C64</f>
        <v>1105.47968</v>
      </c>
      <c r="E64" s="54" t="n">
        <f aca="false">IF(C64=0,"n/m",D64/ABS(C64))</f>
        <v>0.285807401139245</v>
      </c>
      <c r="F64" s="55" t="str">
        <f aca="false">IF(ROUND(D64,5)=0,"",IF(D64&lt;0,"F","U"))</f>
        <v>U</v>
      </c>
      <c r="G64" s="56" t="s">
        <v>740</v>
      </c>
      <c r="H64" s="57" t="s">
        <v>212</v>
      </c>
      <c r="I64" s="58" t="s">
        <v>434</v>
      </c>
      <c r="J64" s="59" t="str">
        <f aca="false">IF(AND(ROUND(B64-K64,4)=0,ROUND(C64-L64,4)=0,TRUE()),"✓","✗")</f>
        <v>✓</v>
      </c>
      <c r="K64" s="60" t="n">
        <v>4973.39799</v>
      </c>
      <c r="L64" s="60" t="n">
        <v>3867.91831</v>
      </c>
    </row>
    <row r="65" customFormat="false" ht="60" hidden="false" customHeight="true" outlineLevel="0" collapsed="false">
      <c r="A65" s="64" t="s">
        <v>167</v>
      </c>
      <c r="B65" s="65" t="n">
        <f aca="false">B53-B64</f>
        <v>10175.95701</v>
      </c>
      <c r="C65" s="65" t="n">
        <f aca="false">C53-C64</f>
        <v>8145.76969</v>
      </c>
      <c r="D65" s="65" t="n">
        <f aca="false">B65-C65</f>
        <v>2030.18732</v>
      </c>
      <c r="E65" s="66" t="n">
        <f aca="false">IF(C65=0,"n/m",D65/ABS(C65))</f>
        <v>0.249232104179464</v>
      </c>
      <c r="F65" s="67" t="str">
        <f aca="false">IF(ROUND(D65,5)=0,"",IF(D65&gt;0,"F","U"))</f>
        <v>F</v>
      </c>
      <c r="G65" s="68" t="s">
        <v>741</v>
      </c>
      <c r="H65" s="69" t="s">
        <v>214</v>
      </c>
      <c r="I65" s="70" t="s">
        <v>434</v>
      </c>
      <c r="J65" s="71" t="str">
        <f aca="false">IF(AND(ROUND(B65-K65,4)=0,ROUND(C65-L65,4)=0,TRUE()),"✓","✗")</f>
        <v>✓</v>
      </c>
      <c r="K65" s="72" t="n">
        <v>10175.95701</v>
      </c>
      <c r="L65" s="72" t="n">
        <v>8145.76969</v>
      </c>
    </row>
    <row r="66" customFormat="false" ht="48" hidden="false" customHeight="true" outlineLevel="0" collapsed="false">
      <c r="A66" s="11" t="s">
        <v>168</v>
      </c>
      <c r="B66" s="25" t="n">
        <f aca="false">B67+B68+B69+B70+B71</f>
        <v>3086.341</v>
      </c>
      <c r="C66" s="25" t="n">
        <f aca="false">C67+C68+C69+C70+C71</f>
        <v>2221.2973</v>
      </c>
      <c r="D66" s="25" t="n">
        <f aca="false">B66-C66</f>
        <v>865.0437</v>
      </c>
      <c r="E66" s="26" t="n">
        <f aca="false">IF(C66=0,"n/m",D66/ABS(C66))</f>
        <v>0.389431752336799</v>
      </c>
      <c r="F66" s="49" t="str">
        <f aca="false">IF(ROUND(D66,5)=0,"",IF(D66&lt;0,"F","U"))</f>
        <v>U</v>
      </c>
      <c r="G66" s="6" t="s">
        <v>742</v>
      </c>
      <c r="H66" s="50" t="s">
        <v>277</v>
      </c>
      <c r="I66" s="51" t="s">
        <v>434</v>
      </c>
      <c r="J66" s="52" t="str">
        <f aca="false">IF(AND(ROUND(B66-K66,4)=0,ROUND(C66-L66,4)=0,TRUE()),"✓","✗")</f>
        <v>✓</v>
      </c>
      <c r="K66" s="61" t="n">
        <v>3086.341</v>
      </c>
      <c r="L66" s="61" t="n">
        <v>2221.2973</v>
      </c>
    </row>
    <row r="67" customFormat="false" ht="36.75" hidden="false" customHeight="true" outlineLevel="1" collapsed="false">
      <c r="A67" s="62" t="s">
        <v>278</v>
      </c>
      <c r="B67" s="34" t="n">
        <v>1714.173</v>
      </c>
      <c r="C67" s="34" t="n">
        <v>1246.213</v>
      </c>
      <c r="D67" s="25" t="n">
        <f aca="false">B67-C67</f>
        <v>467.96</v>
      </c>
      <c r="E67" s="26" t="n">
        <f aca="false">IF(C67=0,"n/m",D67/ABS(C67))</f>
        <v>0.37550563186229</v>
      </c>
      <c r="F67" s="49" t="str">
        <f aca="false">IF(ROUND(D67,5)=0,"",IF(D67&lt;0,"F","U"))</f>
        <v>U</v>
      </c>
      <c r="G67" s="6" t="s">
        <v>743</v>
      </c>
      <c r="H67" s="50" t="s">
        <v>227</v>
      </c>
      <c r="I67" s="51" t="s">
        <v>434</v>
      </c>
      <c r="J67" s="52" t="s">
        <v>182</v>
      </c>
    </row>
    <row r="68" customFormat="false" ht="27.75" hidden="false" customHeight="true" outlineLevel="1" collapsed="false">
      <c r="A68" s="62" t="s">
        <v>280</v>
      </c>
      <c r="B68" s="34" t="n">
        <v>297.168</v>
      </c>
      <c r="C68" s="34" t="n">
        <v>232.2663</v>
      </c>
      <c r="D68" s="25" t="n">
        <f aca="false">B68-C68</f>
        <v>64.9017</v>
      </c>
      <c r="E68" s="26" t="n">
        <f aca="false">IF(C68=0,"n/m",D68/ABS(C68))</f>
        <v>0.279427966950005</v>
      </c>
      <c r="F68" s="49" t="str">
        <f aca="false">IF(ROUND(D68,5)=0,"",IF(D68&lt;0,"F","U"))</f>
        <v>U</v>
      </c>
      <c r="G68" s="6" t="s">
        <v>744</v>
      </c>
      <c r="H68" s="50" t="s">
        <v>229</v>
      </c>
      <c r="I68" s="51" t="s">
        <v>434</v>
      </c>
      <c r="J68" s="52" t="s">
        <v>182</v>
      </c>
    </row>
    <row r="69" customFormat="false" ht="48" hidden="false" customHeight="true" outlineLevel="1" collapsed="false">
      <c r="A69" s="62" t="s">
        <v>282</v>
      </c>
      <c r="B69" s="34" t="n">
        <v>701.5</v>
      </c>
      <c r="C69" s="34" t="n">
        <v>538</v>
      </c>
      <c r="D69" s="25" t="n">
        <f aca="false">B69-C69</f>
        <v>163.5</v>
      </c>
      <c r="E69" s="26" t="n">
        <f aca="false">IF(C69=0,"n/m",D69/ABS(C69))</f>
        <v>0.303903345724907</v>
      </c>
      <c r="F69" s="49" t="str">
        <f aca="false">IF(ROUND(D69,5)=0,"",IF(D69&lt;0,"F","U"))</f>
        <v>U</v>
      </c>
      <c r="G69" s="6" t="s">
        <v>745</v>
      </c>
      <c r="H69" s="50" t="s">
        <v>232</v>
      </c>
      <c r="I69" s="51" t="s">
        <v>434</v>
      </c>
      <c r="J69" s="52" t="s">
        <v>182</v>
      </c>
    </row>
    <row r="70" customFormat="false" ht="40.5" hidden="false" customHeight="true" outlineLevel="1" collapsed="false">
      <c r="A70" s="62" t="s">
        <v>284</v>
      </c>
      <c r="B70" s="34" t="n">
        <v>289.5</v>
      </c>
      <c r="C70" s="34" t="n">
        <v>152.818</v>
      </c>
      <c r="D70" s="25" t="n">
        <f aca="false">B70-C70</f>
        <v>136.682</v>
      </c>
      <c r="E70" s="26" t="n">
        <f aca="false">IF(C70=0,"n/m",D70/ABS(C70))</f>
        <v>0.894410344331165</v>
      </c>
      <c r="F70" s="49" t="str">
        <f aca="false">IF(ROUND(D70,5)=0,"",IF(D70&lt;0,"F","U"))</f>
        <v>U</v>
      </c>
      <c r="G70" s="6" t="s">
        <v>746</v>
      </c>
      <c r="I70" s="51" t="s">
        <v>434</v>
      </c>
      <c r="J70" s="52" t="s">
        <v>182</v>
      </c>
    </row>
    <row r="71" customFormat="false" ht="27.75" hidden="false" customHeight="true" outlineLevel="1" collapsed="false">
      <c r="A71" s="62" t="s">
        <v>286</v>
      </c>
      <c r="B71" s="34" t="n">
        <v>84</v>
      </c>
      <c r="C71" s="34" t="n">
        <v>52</v>
      </c>
      <c r="D71" s="25" t="n">
        <f aca="false">B71-C71</f>
        <v>32</v>
      </c>
      <c r="E71" s="26" t="n">
        <f aca="false">IF(C71=0,"n/m",D71/ABS(C71))</f>
        <v>0.615384615384615</v>
      </c>
      <c r="F71" s="49" t="str">
        <f aca="false">IF(ROUND(D71,5)=0,"",IF(D71&lt;0,"F","U"))</f>
        <v>U</v>
      </c>
      <c r="G71" s="6" t="s">
        <v>747</v>
      </c>
      <c r="H71" s="50" t="s">
        <v>236</v>
      </c>
      <c r="I71" s="51" t="s">
        <v>434</v>
      </c>
      <c r="J71" s="52" t="s">
        <v>182</v>
      </c>
    </row>
    <row r="72" customFormat="false" ht="60" hidden="false" customHeight="true" outlineLevel="0" collapsed="false">
      <c r="A72" s="64" t="s">
        <v>169</v>
      </c>
      <c r="B72" s="65" t="n">
        <f aca="false">B65-B66</f>
        <v>7089.61601</v>
      </c>
      <c r="C72" s="65" t="n">
        <f aca="false">C65-C66</f>
        <v>5924.47239</v>
      </c>
      <c r="D72" s="65" t="n">
        <f aca="false">B72-C72</f>
        <v>1165.14362</v>
      </c>
      <c r="E72" s="66" t="n">
        <f aca="false">IF(C72=0,"n/m",D72/ABS(C72))</f>
        <v>0.196666224990205</v>
      </c>
      <c r="F72" s="67" t="str">
        <f aca="false">IF(ROUND(D72,5)=0,"",IF(D72&gt;0,"F","U"))</f>
        <v>F</v>
      </c>
      <c r="G72" s="68" t="s">
        <v>748</v>
      </c>
      <c r="H72" s="69" t="s">
        <v>289</v>
      </c>
      <c r="I72" s="70" t="s">
        <v>434</v>
      </c>
      <c r="J72" s="71" t="str">
        <f aca="false">IF(AND(ROUND(B72-K72,4)=0,ROUND(C72-L72,4)=0,TRUE()),"✓","✗")</f>
        <v>✓</v>
      </c>
      <c r="K72" s="72" t="n">
        <v>7089.61601</v>
      </c>
      <c r="L72" s="72" t="n">
        <v>5924.47239</v>
      </c>
    </row>
    <row r="73" customFormat="false" ht="40.5" hidden="false" customHeight="true" outlineLevel="0" collapsed="false">
      <c r="A73" s="11" t="s">
        <v>170</v>
      </c>
      <c r="B73" s="25" t="n">
        <f aca="false">B74+B75+B76</f>
        <v>454.35995</v>
      </c>
      <c r="C73" s="25" t="n">
        <f aca="false">C74+C75+C76</f>
        <v>363.91922</v>
      </c>
      <c r="D73" s="25" t="n">
        <f aca="false">B73-C73</f>
        <v>90.44073</v>
      </c>
      <c r="E73" s="26" t="n">
        <f aca="false">IF(C73=0,"n/m",D73/ABS(C73))</f>
        <v>0.248518695989731</v>
      </c>
      <c r="F73" s="49" t="str">
        <f aca="false">IF(ROUND(D73,5)=0,"",IF(D73&lt;0,"F","U"))</f>
        <v>U</v>
      </c>
      <c r="G73" s="6" t="s">
        <v>749</v>
      </c>
      <c r="H73" s="50" t="s">
        <v>291</v>
      </c>
      <c r="I73" s="51" t="s">
        <v>434</v>
      </c>
      <c r="J73" s="52" t="str">
        <f aca="false">IF(AND(ROUND(B73-K73,4)=0,ROUND(C73-L73,4)=0,TRUE()),"✓","✗")</f>
        <v>✓</v>
      </c>
      <c r="K73" s="61" t="n">
        <v>454.35995</v>
      </c>
      <c r="L73" s="61" t="n">
        <v>363.91922</v>
      </c>
    </row>
    <row r="74" customFormat="false" ht="40.5" hidden="false" customHeight="true" outlineLevel="1" collapsed="false">
      <c r="A74" s="62" t="s">
        <v>265</v>
      </c>
      <c r="B74" s="34" t="n">
        <v>233.35994</v>
      </c>
      <c r="C74" s="34" t="n">
        <v>184.58589</v>
      </c>
      <c r="D74" s="25" t="n">
        <f aca="false">B74-C74</f>
        <v>48.77405</v>
      </c>
      <c r="E74" s="26" t="n">
        <f aca="false">IF(C74=0,"n/m",D74/ABS(C74))</f>
        <v>0.264234985675232</v>
      </c>
      <c r="F74" s="49" t="str">
        <f aca="false">IF(ROUND(D74,5)=0,"",IF(D74&lt;0,"F","U"))</f>
        <v>U</v>
      </c>
      <c r="G74" s="6" t="s">
        <v>750</v>
      </c>
      <c r="H74" s="50" t="s">
        <v>293</v>
      </c>
      <c r="I74" s="51" t="s">
        <v>434</v>
      </c>
      <c r="J74" s="52" t="s">
        <v>182</v>
      </c>
    </row>
    <row r="75" customFormat="false" ht="40.5" hidden="false" customHeight="true" outlineLevel="1" collapsed="false">
      <c r="A75" s="62" t="s">
        <v>267</v>
      </c>
      <c r="B75" s="34" t="n">
        <v>75.00001</v>
      </c>
      <c r="C75" s="34" t="n">
        <v>61.33333</v>
      </c>
      <c r="D75" s="25" t="n">
        <f aca="false">B75-C75</f>
        <v>13.66668</v>
      </c>
      <c r="E75" s="26" t="n">
        <f aca="false">IF(C75=0,"n/m",D75/ABS(C75))</f>
        <v>0.222826316457952</v>
      </c>
      <c r="F75" s="49" t="str">
        <f aca="false">IF(ROUND(D75,5)=0,"",IF(D75&lt;0,"F","U"))</f>
        <v>U</v>
      </c>
      <c r="G75" s="6" t="s">
        <v>751</v>
      </c>
      <c r="H75" s="50" t="s">
        <v>239</v>
      </c>
      <c r="I75" s="51" t="s">
        <v>434</v>
      </c>
      <c r="J75" s="52" t="s">
        <v>182</v>
      </c>
    </row>
    <row r="76" customFormat="false" ht="27.75" hidden="false" customHeight="true" outlineLevel="1" collapsed="false">
      <c r="A76" s="62" t="s">
        <v>269</v>
      </c>
      <c r="B76" s="34" t="n">
        <v>146</v>
      </c>
      <c r="C76" s="34" t="n">
        <v>118</v>
      </c>
      <c r="D76" s="25" t="n">
        <f aca="false">B76-C76</f>
        <v>28</v>
      </c>
      <c r="E76" s="26" t="n">
        <f aca="false">IF(C76=0,"n/m",D76/ABS(C76))</f>
        <v>0.23728813559322</v>
      </c>
      <c r="F76" s="49" t="str">
        <f aca="false">IF(ROUND(D76,5)=0,"",IF(D76&lt;0,"F","U"))</f>
        <v>U</v>
      </c>
      <c r="G76" s="6" t="s">
        <v>737</v>
      </c>
      <c r="I76" s="51" t="s">
        <v>434</v>
      </c>
      <c r="J76" s="52" t="s">
        <v>182</v>
      </c>
    </row>
    <row r="77" customFormat="false" ht="48" hidden="false" customHeight="true" outlineLevel="0" collapsed="false">
      <c r="A77" s="11" t="s">
        <v>157</v>
      </c>
      <c r="B77" s="25" t="n">
        <f aca="false">B78+B79+B80+B81+B82</f>
        <v>3105.33101</v>
      </c>
      <c r="C77" s="25" t="n">
        <f aca="false">C78+C79+C80+C81+C82</f>
        <v>2404.02682</v>
      </c>
      <c r="D77" s="25" t="n">
        <f aca="false">B77-C77</f>
        <v>701.30419</v>
      </c>
      <c r="E77" s="26" t="n">
        <f aca="false">IF(C77=0,"n/m",D77/ABS(C77))</f>
        <v>0.291720618158495</v>
      </c>
      <c r="F77" s="49" t="str">
        <f aca="false">IF(ROUND(D77,5)=0,"",IF(D77&lt;0,"F","U"))</f>
        <v>U</v>
      </c>
      <c r="G77" s="6" t="s">
        <v>752</v>
      </c>
      <c r="H77" s="50" t="s">
        <v>216</v>
      </c>
      <c r="I77" s="51" t="s">
        <v>434</v>
      </c>
      <c r="J77" s="52" t="str">
        <f aca="false">IF(AND(ROUND(B77-K77,4)=0,ROUND(C77-L77,4)=0,TRUE()),"✓","✗")</f>
        <v>✓</v>
      </c>
      <c r="K77" s="61" t="n">
        <v>3105.33101</v>
      </c>
      <c r="L77" s="61" t="n">
        <v>2404.02682</v>
      </c>
    </row>
    <row r="78" customFormat="false" ht="36.75" hidden="false" customHeight="true" outlineLevel="1" collapsed="false">
      <c r="A78" s="62" t="s">
        <v>296</v>
      </c>
      <c r="B78" s="34" t="n">
        <v>2212.071</v>
      </c>
      <c r="C78" s="34" t="n">
        <v>1706.34675</v>
      </c>
      <c r="D78" s="25" t="n">
        <f aca="false">B78-C78</f>
        <v>505.72425</v>
      </c>
      <c r="E78" s="26" t="n">
        <f aca="false">IF(C78=0,"n/m",D78/ABS(C78))</f>
        <v>0.296378359205126</v>
      </c>
      <c r="F78" s="49" t="str">
        <f aca="false">IF(ROUND(D78,5)=0,"",IF(D78&lt;0,"F","U"))</f>
        <v>U</v>
      </c>
      <c r="G78" s="6" t="s">
        <v>753</v>
      </c>
      <c r="H78" s="50" t="s">
        <v>218</v>
      </c>
      <c r="I78" s="51" t="s">
        <v>434</v>
      </c>
      <c r="J78" s="52" t="s">
        <v>182</v>
      </c>
    </row>
    <row r="79" customFormat="false" ht="27.75" hidden="false" customHeight="true" outlineLevel="1" collapsed="false">
      <c r="A79" s="62" t="s">
        <v>298</v>
      </c>
      <c r="B79" s="34" t="n">
        <v>306</v>
      </c>
      <c r="C79" s="34" t="n">
        <v>232</v>
      </c>
      <c r="D79" s="25" t="n">
        <f aca="false">B79-C79</f>
        <v>74</v>
      </c>
      <c r="E79" s="26" t="n">
        <f aca="false">IF(C79=0,"n/m",D79/ABS(C79))</f>
        <v>0.318965517241379</v>
      </c>
      <c r="F79" s="49" t="str">
        <f aca="false">IF(ROUND(D79,5)=0,"",IF(D79&lt;0,"F","U"))</f>
        <v>U</v>
      </c>
      <c r="G79" s="6" t="s">
        <v>754</v>
      </c>
      <c r="I79" s="51" t="s">
        <v>434</v>
      </c>
      <c r="J79" s="52" t="s">
        <v>182</v>
      </c>
    </row>
    <row r="80" customFormat="false" ht="40.5" hidden="false" customHeight="true" outlineLevel="1" collapsed="false">
      <c r="A80" s="62" t="s">
        <v>265</v>
      </c>
      <c r="B80" s="34" t="n">
        <v>218.26006</v>
      </c>
      <c r="C80" s="34" t="n">
        <v>166.01342</v>
      </c>
      <c r="D80" s="25" t="n">
        <f aca="false">B80-C80</f>
        <v>52.24664</v>
      </c>
      <c r="E80" s="26" t="n">
        <f aca="false">IF(C80=0,"n/m",D80/ABS(C80))</f>
        <v>0.314713352691608</v>
      </c>
      <c r="F80" s="49" t="str">
        <f aca="false">IF(ROUND(D80,5)=0,"",IF(D80&lt;0,"F","U"))</f>
        <v>U</v>
      </c>
      <c r="G80" s="6" t="s">
        <v>755</v>
      </c>
      <c r="H80" s="50" t="s">
        <v>293</v>
      </c>
      <c r="I80" s="51" t="s">
        <v>434</v>
      </c>
      <c r="J80" s="52" t="s">
        <v>182</v>
      </c>
    </row>
    <row r="81" customFormat="false" ht="40.5" hidden="false" customHeight="true" outlineLevel="1" collapsed="false">
      <c r="A81" s="62" t="s">
        <v>267</v>
      </c>
      <c r="B81" s="34" t="n">
        <v>149.99999</v>
      </c>
      <c r="C81" s="34" t="n">
        <v>122.66667</v>
      </c>
      <c r="D81" s="25" t="n">
        <f aca="false">B81-C81</f>
        <v>27.33332</v>
      </c>
      <c r="E81" s="26" t="n">
        <f aca="false">IF(C81=0,"n/m",D81/ABS(C81))</f>
        <v>0.222825972205816</v>
      </c>
      <c r="F81" s="49" t="str">
        <f aca="false">IF(ROUND(D81,5)=0,"",IF(D81&lt;0,"F","U"))</f>
        <v>U</v>
      </c>
      <c r="G81" s="6" t="s">
        <v>736</v>
      </c>
      <c r="H81" s="50" t="s">
        <v>206</v>
      </c>
      <c r="I81" s="51" t="s">
        <v>434</v>
      </c>
      <c r="J81" s="52" t="s">
        <v>182</v>
      </c>
    </row>
    <row r="82" customFormat="false" ht="27.75" hidden="false" customHeight="true" outlineLevel="1" collapsed="false">
      <c r="A82" s="62" t="s">
        <v>269</v>
      </c>
      <c r="B82" s="34" t="n">
        <v>218.99996</v>
      </c>
      <c r="C82" s="34" t="n">
        <v>176.99998</v>
      </c>
      <c r="D82" s="25" t="n">
        <f aca="false">B82-C82</f>
        <v>41.99998</v>
      </c>
      <c r="E82" s="26" t="n">
        <f aca="false">IF(C82=0,"n/m",D82/ABS(C82))</f>
        <v>0.237288049411079</v>
      </c>
      <c r="F82" s="49" t="str">
        <f aca="false">IF(ROUND(D82,5)=0,"",IF(D82&lt;0,"F","U"))</f>
        <v>U</v>
      </c>
      <c r="G82" s="6" t="s">
        <v>756</v>
      </c>
      <c r="I82" s="51" t="s">
        <v>434</v>
      </c>
      <c r="J82" s="52" t="s">
        <v>182</v>
      </c>
    </row>
    <row r="83" customFormat="false" ht="40.5" hidden="false" customHeight="true" outlineLevel="0" collapsed="false">
      <c r="A83" s="11" t="s">
        <v>159</v>
      </c>
      <c r="B83" s="25" t="n">
        <f aca="false">B84+B85+B86</f>
        <v>1421.00005</v>
      </c>
      <c r="C83" s="25" t="n">
        <f aca="false">C84+C85+C86</f>
        <v>1178.83335</v>
      </c>
      <c r="D83" s="25" t="n">
        <f aca="false">B83-C83</f>
        <v>242.1667</v>
      </c>
      <c r="E83" s="26" t="n">
        <f aca="false">IF(C83=0,"n/m",D83/ABS(C83))</f>
        <v>0.205429121936532</v>
      </c>
      <c r="F83" s="49" t="str">
        <f aca="false">IF(ROUND(D83,5)=0,"",IF(D83&lt;0,"F","U"))</f>
        <v>U</v>
      </c>
      <c r="G83" s="6" t="s">
        <v>757</v>
      </c>
      <c r="H83" s="50" t="s">
        <v>303</v>
      </c>
      <c r="I83" s="51" t="s">
        <v>434</v>
      </c>
      <c r="J83" s="52" t="str">
        <f aca="false">IF(AND(ROUND(B83-K83,4)=0,ROUND(C83-L83,4)=0,TRUE()),"✓","✗")</f>
        <v>✓</v>
      </c>
      <c r="K83" s="61" t="n">
        <v>1421.00005</v>
      </c>
      <c r="L83" s="61" t="n">
        <v>1178.83335</v>
      </c>
    </row>
    <row r="84" customFormat="false" ht="53.25" hidden="false" customHeight="true" outlineLevel="1" collapsed="false">
      <c r="A84" s="62" t="s">
        <v>304</v>
      </c>
      <c r="B84" s="34" t="n">
        <v>1273</v>
      </c>
      <c r="C84" s="34" t="n">
        <v>1058.5</v>
      </c>
      <c r="D84" s="25" t="n">
        <f aca="false">B84-C84</f>
        <v>214.5</v>
      </c>
      <c r="E84" s="26" t="n">
        <f aca="false">IF(C84=0,"n/m",D84/ABS(C84))</f>
        <v>0.202645252716108</v>
      </c>
      <c r="F84" s="49" t="str">
        <f aca="false">IF(ROUND(D84,5)=0,"",IF(D84&lt;0,"F","U"))</f>
        <v>U</v>
      </c>
      <c r="G84" s="6" t="s">
        <v>758</v>
      </c>
      <c r="H84" s="50" t="s">
        <v>244</v>
      </c>
      <c r="I84" s="51" t="s">
        <v>434</v>
      </c>
      <c r="J84" s="52" t="s">
        <v>182</v>
      </c>
    </row>
    <row r="85" customFormat="false" ht="40.5" hidden="false" customHeight="true" outlineLevel="1" collapsed="false">
      <c r="A85" s="62" t="s">
        <v>267</v>
      </c>
      <c r="B85" s="34" t="n">
        <v>75.00001</v>
      </c>
      <c r="C85" s="34" t="n">
        <v>61.33333</v>
      </c>
      <c r="D85" s="25" t="n">
        <f aca="false">B85-C85</f>
        <v>13.66668</v>
      </c>
      <c r="E85" s="26" t="n">
        <f aca="false">IF(C85=0,"n/m",D85/ABS(C85))</f>
        <v>0.222826316457952</v>
      </c>
      <c r="F85" s="49" t="str">
        <f aca="false">IF(ROUND(D85,5)=0,"",IF(D85&lt;0,"F","U"))</f>
        <v>U</v>
      </c>
      <c r="G85" s="6" t="s">
        <v>751</v>
      </c>
      <c r="H85" s="50" t="s">
        <v>239</v>
      </c>
      <c r="I85" s="51" t="s">
        <v>434</v>
      </c>
      <c r="J85" s="52" t="s">
        <v>182</v>
      </c>
    </row>
    <row r="86" customFormat="false" ht="27.75" hidden="false" customHeight="true" outlineLevel="1" collapsed="false">
      <c r="A86" s="62" t="s">
        <v>269</v>
      </c>
      <c r="B86" s="34" t="n">
        <v>73.00004</v>
      </c>
      <c r="C86" s="34" t="n">
        <v>59.00002</v>
      </c>
      <c r="D86" s="25" t="n">
        <f aca="false">B86-C86</f>
        <v>14.00002</v>
      </c>
      <c r="E86" s="26" t="n">
        <f aca="false">IF(C86=0,"n/m",D86/ABS(C86))</f>
        <v>0.237288394139527</v>
      </c>
      <c r="F86" s="49" t="str">
        <f aca="false">IF(ROUND(D86,5)=0,"",IF(D86&lt;0,"F","U"))</f>
        <v>U</v>
      </c>
      <c r="G86" s="6" t="s">
        <v>759</v>
      </c>
      <c r="I86" s="51" t="s">
        <v>434</v>
      </c>
      <c r="J86" s="52" t="s">
        <v>182</v>
      </c>
    </row>
    <row r="87" customFormat="false" ht="48" hidden="false" customHeight="true" outlineLevel="0" collapsed="false">
      <c r="A87" s="53" t="s">
        <v>171</v>
      </c>
      <c r="B87" s="37" t="n">
        <f aca="false">B73+B77+B83</f>
        <v>4980.69101</v>
      </c>
      <c r="C87" s="37" t="n">
        <f aca="false">C73+C77+C83</f>
        <v>3946.77939</v>
      </c>
      <c r="D87" s="37" t="n">
        <f aca="false">B87-C87</f>
        <v>1033.91162</v>
      </c>
      <c r="E87" s="54" t="n">
        <f aca="false">IF(C87=0,"n/m",D87/ABS(C87))</f>
        <v>0.261963367554729</v>
      </c>
      <c r="F87" s="55" t="str">
        <f aca="false">IF(ROUND(D87,5)=0,"",IF(D87&lt;0,"F","U"))</f>
        <v>U</v>
      </c>
      <c r="G87" s="56" t="s">
        <v>760</v>
      </c>
      <c r="H87" s="57" t="s">
        <v>308</v>
      </c>
      <c r="I87" s="58" t="s">
        <v>434</v>
      </c>
      <c r="J87" s="59" t="str">
        <f aca="false">IF(AND(ROUND(B87-K87,4)=0,ROUND(C87-L87,4)=0,TRUE()),"✓","✗")</f>
        <v>✓</v>
      </c>
      <c r="K87" s="60" t="n">
        <v>4980.69101</v>
      </c>
      <c r="L87" s="60" t="n">
        <v>3946.77939</v>
      </c>
    </row>
    <row r="88" customFormat="false" ht="60" hidden="false" customHeight="true" outlineLevel="0" collapsed="false">
      <c r="A88" s="64" t="s">
        <v>96</v>
      </c>
      <c r="B88" s="65" t="n">
        <f aca="false">B72-B87</f>
        <v>2108.925</v>
      </c>
      <c r="C88" s="65" t="n">
        <f aca="false">C72-C87</f>
        <v>1977.693</v>
      </c>
      <c r="D88" s="65" t="n">
        <f aca="false">B88-C88</f>
        <v>131.232</v>
      </c>
      <c r="E88" s="66" t="n">
        <f aca="false">IF(C88=0,"n/m",D88/ABS(C88))</f>
        <v>0.0663561027924961</v>
      </c>
      <c r="F88" s="67" t="str">
        <f aca="false">IF(ROUND(D88,5)=0,"",IF(D88&gt;0,"F","U"))</f>
        <v>F</v>
      </c>
      <c r="G88" s="68" t="s">
        <v>761</v>
      </c>
      <c r="H88" s="69" t="s">
        <v>250</v>
      </c>
      <c r="I88" s="70" t="s">
        <v>434</v>
      </c>
      <c r="J88" s="71" t="str">
        <f aca="false">IF(AND(ROUND(B88-K88,4)=0,ROUND(C88-L88,4)=0,TRUE()),"✓","✗")</f>
        <v>✓</v>
      </c>
      <c r="K88" s="72" t="n">
        <v>2108.925</v>
      </c>
      <c r="L88" s="72" t="n">
        <v>1977.693</v>
      </c>
    </row>
    <row r="89" customFormat="false" ht="27.75" hidden="false" customHeight="true" outlineLevel="0" collapsed="false">
      <c r="A89" s="11" t="s">
        <v>160</v>
      </c>
      <c r="B89" s="34" t="n">
        <v>89.5</v>
      </c>
      <c r="C89" s="34" t="n">
        <v>108</v>
      </c>
      <c r="D89" s="25" t="n">
        <f aca="false">B89-C89</f>
        <v>-18.5</v>
      </c>
      <c r="E89" s="26" t="n">
        <f aca="false">IF(C89=0,"n/m",D89/ABS(C89))</f>
        <v>-0.171296296296296</v>
      </c>
      <c r="F89" s="49" t="str">
        <f aca="false">IF(ROUND(D89,5)=0,"",IF(D89&gt;0,"F","U"))</f>
        <v>U</v>
      </c>
      <c r="G89" s="6" t="s">
        <v>725</v>
      </c>
      <c r="I89" s="51" t="s">
        <v>434</v>
      </c>
      <c r="J89" s="52" t="s">
        <v>182</v>
      </c>
    </row>
    <row r="90" customFormat="false" ht="15" hidden="false" customHeight="true" outlineLevel="0" collapsed="false">
      <c r="A90" s="11" t="s">
        <v>161</v>
      </c>
      <c r="B90" s="34" t="n">
        <v>242.5</v>
      </c>
      <c r="C90" s="34" t="n">
        <v>260</v>
      </c>
      <c r="D90" s="25" t="n">
        <f aca="false">B90-C90</f>
        <v>-17.5</v>
      </c>
      <c r="E90" s="26" t="n">
        <f aca="false">IF(C90=0,"n/m",D90/ABS(C90))</f>
        <v>-0.0673076923076923</v>
      </c>
      <c r="F90" s="49" t="str">
        <f aca="false">IF(ROUND(D90,5)=0,"",IF(D90&lt;0,"F","U"))</f>
        <v>F</v>
      </c>
      <c r="G90" s="6" t="s">
        <v>726</v>
      </c>
      <c r="I90" s="51" t="s">
        <v>434</v>
      </c>
      <c r="J90" s="52" t="s">
        <v>182</v>
      </c>
    </row>
    <row r="91" customFormat="false" ht="27.75" hidden="false" customHeight="true" outlineLevel="0" collapsed="false">
      <c r="A91" s="11" t="s">
        <v>126</v>
      </c>
      <c r="B91" s="34" t="n">
        <v>260.5</v>
      </c>
      <c r="C91" s="34" t="n">
        <v>180</v>
      </c>
      <c r="D91" s="25" t="n">
        <f aca="false">B91-C91</f>
        <v>80.5</v>
      </c>
      <c r="E91" s="26" t="n">
        <f aca="false">IF(C91=0,"n/m",D91/ABS(C91))</f>
        <v>0.447222222222222</v>
      </c>
      <c r="F91" s="49" t="str">
        <f aca="false">IF(ROUND(D91,5)=0,"",IF(D91&lt;0,"F","U"))</f>
        <v>U</v>
      </c>
      <c r="G91" s="6" t="s">
        <v>728</v>
      </c>
      <c r="I91" s="51" t="s">
        <v>434</v>
      </c>
      <c r="J91" s="52" t="s">
        <v>182</v>
      </c>
    </row>
    <row r="92" customFormat="false" ht="60" hidden="false" customHeight="true" outlineLevel="0" collapsed="false">
      <c r="A92" s="64" t="s">
        <v>97</v>
      </c>
      <c r="B92" s="65" t="n">
        <f aca="false">B88+B89-B90-B91</f>
        <v>1695.425</v>
      </c>
      <c r="C92" s="65" t="n">
        <f aca="false">C88+C89-C90-C91</f>
        <v>1645.693</v>
      </c>
      <c r="D92" s="65" t="n">
        <f aca="false">B92-C92</f>
        <v>49.732</v>
      </c>
      <c r="E92" s="66" t="n">
        <f aca="false">IF(C92=0,"n/m",D92/ABS(C92))</f>
        <v>0.0302194880819205</v>
      </c>
      <c r="F92" s="67" t="str">
        <f aca="false">IF(ROUND(D92,5)=0,"",IF(D92&gt;0,"F","U"))</f>
        <v>F</v>
      </c>
      <c r="G92" s="68" t="s">
        <v>762</v>
      </c>
      <c r="H92" s="69" t="s">
        <v>250</v>
      </c>
      <c r="I92" s="70" t="s">
        <v>434</v>
      </c>
      <c r="J92" s="71" t="str">
        <f aca="false">IF(AND(ROUND(B92-K92,4)=0,ROUND(C92-L92,4)=0,TRUE()),"✓","✗")</f>
        <v>✓</v>
      </c>
      <c r="K92" s="72" t="n">
        <v>1695.425</v>
      </c>
      <c r="L92" s="72" t="n">
        <v>1645.693</v>
      </c>
    </row>
    <row r="94" customFormat="false" ht="18" hidden="false" customHeight="true" outlineLevel="0" collapsed="false">
      <c r="A94" s="44" t="s">
        <v>311</v>
      </c>
      <c r="B94" s="45"/>
      <c r="C94" s="45"/>
      <c r="D94" s="45"/>
      <c r="E94" s="45"/>
      <c r="F94" s="45"/>
      <c r="G94" s="45"/>
      <c r="H94" s="45"/>
      <c r="I94" s="45"/>
      <c r="J94" s="45"/>
      <c r="K94" s="45"/>
      <c r="L94" s="45"/>
    </row>
    <row r="95" customFormat="false" ht="40.5" hidden="false" customHeight="true" outlineLevel="0" collapsed="false">
      <c r="A95" s="11" t="s">
        <v>312</v>
      </c>
      <c r="B95" s="25" t="n">
        <f aca="false">B96+B97</f>
        <v>15149.355</v>
      </c>
      <c r="C95" s="25" t="n">
        <f aca="false">C96+C97</f>
        <v>12013.688</v>
      </c>
      <c r="D95" s="25" t="n">
        <f aca="false">B95-C95</f>
        <v>3135.667</v>
      </c>
      <c r="E95" s="26" t="n">
        <f aca="false">IF(C95=0,"n/m",D95/ABS(C95))</f>
        <v>0.261007860367274</v>
      </c>
      <c r="F95" s="49" t="str">
        <f aca="false">IF(ROUND(D95,5)=0,"",IF(D95&gt;0,"F","U"))</f>
        <v>F</v>
      </c>
      <c r="G95" s="6" t="s">
        <v>763</v>
      </c>
      <c r="H95" s="50" t="s">
        <v>186</v>
      </c>
      <c r="I95" s="51" t="s">
        <v>434</v>
      </c>
      <c r="J95" s="52" t="str">
        <f aca="false">IF(AND(ROUND(B95-K95,4)=0,ROUND(C95-L95,4)=0,TRUE()),"✓","✗")</f>
        <v>✓</v>
      </c>
      <c r="K95" s="61" t="n">
        <v>15149.355</v>
      </c>
      <c r="L95" s="61" t="n">
        <v>12013.688</v>
      </c>
    </row>
    <row r="96" customFormat="false" ht="48" hidden="false" customHeight="true" outlineLevel="1" collapsed="false">
      <c r="A96" s="62" t="s">
        <v>314</v>
      </c>
      <c r="B96" s="34" t="n">
        <v>13819.355</v>
      </c>
      <c r="C96" s="34" t="n">
        <v>11123.688</v>
      </c>
      <c r="D96" s="25" t="n">
        <f aca="false">B96-C96</f>
        <v>2695.667</v>
      </c>
      <c r="E96" s="26" t="n">
        <f aca="false">IF(C96=0,"n/m",D96/ABS(C96))</f>
        <v>0.242335725345767</v>
      </c>
      <c r="F96" s="49" t="str">
        <f aca="false">IF(ROUND(D96,5)=0,"",IF(D96&gt;0,"F","U"))</f>
        <v>F</v>
      </c>
      <c r="G96" s="6" t="s">
        <v>692</v>
      </c>
      <c r="H96" s="50" t="s">
        <v>180</v>
      </c>
      <c r="I96" s="51" t="s">
        <v>434</v>
      </c>
      <c r="J96" s="52" t="s">
        <v>182</v>
      </c>
    </row>
    <row r="97" customFormat="false" ht="40.5" hidden="false" customHeight="true" outlineLevel="1" collapsed="false">
      <c r="A97" s="62" t="s">
        <v>315</v>
      </c>
      <c r="B97" s="34" t="n">
        <v>1330</v>
      </c>
      <c r="C97" s="34" t="n">
        <v>890</v>
      </c>
      <c r="D97" s="25" t="n">
        <f aca="false">B97-C97</f>
        <v>440</v>
      </c>
      <c r="E97" s="26" t="n">
        <f aca="false">IF(C97=0,"n/m",D97/ABS(C97))</f>
        <v>0.49438202247191</v>
      </c>
      <c r="F97" s="49" t="str">
        <f aca="false">IF(ROUND(D97,5)=0,"",IF(D97&gt;0,"F","U"))</f>
        <v>F</v>
      </c>
      <c r="G97" s="6" t="s">
        <v>693</v>
      </c>
      <c r="H97" s="50" t="s">
        <v>184</v>
      </c>
      <c r="I97" s="51" t="s">
        <v>434</v>
      </c>
      <c r="J97" s="52" t="s">
        <v>182</v>
      </c>
    </row>
    <row r="98" customFormat="false" ht="48" hidden="false" customHeight="true" outlineLevel="0" collapsed="false">
      <c r="A98" s="11" t="s">
        <v>316</v>
      </c>
      <c r="B98" s="25" t="n">
        <f aca="false">B99+B100+B101+B102+B103</f>
        <v>7762.93</v>
      </c>
      <c r="C98" s="25" t="n">
        <f aca="false">C99+C100+C101+C102+C103</f>
        <v>5966.677</v>
      </c>
      <c r="D98" s="25" t="n">
        <f aca="false">B98-C98</f>
        <v>1796.253</v>
      </c>
      <c r="E98" s="26" t="n">
        <f aca="false">IF(C98=0,"n/m",D98/ABS(C98))</f>
        <v>0.301047467459693</v>
      </c>
      <c r="F98" s="49" t="str">
        <f aca="false">IF(ROUND(D98,5)=0,"",IF(D98&lt;0,"F","U"))</f>
        <v>U</v>
      </c>
      <c r="G98" s="6" t="s">
        <v>764</v>
      </c>
      <c r="H98" s="50" t="s">
        <v>318</v>
      </c>
      <c r="I98" s="51" t="s">
        <v>434</v>
      </c>
      <c r="J98" s="52" t="str">
        <f aca="false">IF(AND(ROUND(B98-K98,4)=0,ROUND(C98-L98,4)=0,TRUE()),"✓","✗")</f>
        <v>✓</v>
      </c>
      <c r="K98" s="61" t="n">
        <v>7762.93</v>
      </c>
      <c r="L98" s="61" t="n">
        <v>5966.677</v>
      </c>
    </row>
    <row r="99" customFormat="false" ht="36.75" hidden="false" customHeight="true" outlineLevel="1" collapsed="false">
      <c r="A99" s="62" t="s">
        <v>192</v>
      </c>
      <c r="B99" s="34" t="n">
        <v>2949.428</v>
      </c>
      <c r="C99" s="34" t="n">
        <v>2275.129</v>
      </c>
      <c r="D99" s="25" t="n">
        <f aca="false">B99-C99</f>
        <v>674.299</v>
      </c>
      <c r="E99" s="26" t="n">
        <f aca="false">IF(C99=0,"n/m",D99/ABS(C99))</f>
        <v>0.296378359205126</v>
      </c>
      <c r="F99" s="49" t="str">
        <f aca="false">IF(ROUND(D99,5)=0,"",IF(D99&lt;0,"F","U"))</f>
        <v>U</v>
      </c>
      <c r="G99" s="6" t="s">
        <v>765</v>
      </c>
      <c r="H99" s="50" t="s">
        <v>320</v>
      </c>
      <c r="I99" s="51" t="s">
        <v>434</v>
      </c>
      <c r="J99" s="52" t="s">
        <v>182</v>
      </c>
    </row>
    <row r="100" customFormat="false" ht="27.75" hidden="false" customHeight="true" outlineLevel="1" collapsed="false">
      <c r="A100" s="62" t="s">
        <v>195</v>
      </c>
      <c r="B100" s="34" t="n">
        <v>990.56</v>
      </c>
      <c r="C100" s="34" t="n">
        <v>774.221</v>
      </c>
      <c r="D100" s="25" t="n">
        <f aca="false">B100-C100</f>
        <v>216.339</v>
      </c>
      <c r="E100" s="26" t="n">
        <f aca="false">IF(C100=0,"n/m",D100/ABS(C100))</f>
        <v>0.279427966950005</v>
      </c>
      <c r="F100" s="49" t="str">
        <f aca="false">IF(ROUND(D100,5)=0,"",IF(D100&lt;0,"F","U"))</f>
        <v>U</v>
      </c>
      <c r="G100" s="6" t="s">
        <v>766</v>
      </c>
      <c r="H100" s="50" t="s">
        <v>322</v>
      </c>
      <c r="I100" s="51" t="s">
        <v>434</v>
      </c>
      <c r="J100" s="52" t="s">
        <v>182</v>
      </c>
    </row>
    <row r="101" customFormat="false" ht="36.75" hidden="false" customHeight="true" outlineLevel="1" collapsed="false">
      <c r="A101" s="62" t="s">
        <v>198</v>
      </c>
      <c r="B101" s="34" t="n">
        <v>1149.201</v>
      </c>
      <c r="C101" s="34" t="n">
        <v>922.962</v>
      </c>
      <c r="D101" s="25" t="n">
        <f aca="false">B101-C101</f>
        <v>226.239</v>
      </c>
      <c r="E101" s="26" t="n">
        <f aca="false">IF(C101=0,"n/m",D101/ABS(C101))</f>
        <v>0.245122767784589</v>
      </c>
      <c r="F101" s="49" t="str">
        <f aca="false">IF(ROUND(D101,5)=0,"",IF(D101&lt;0,"F","U"))</f>
        <v>U</v>
      </c>
      <c r="G101" s="6" t="s">
        <v>699</v>
      </c>
      <c r="H101" s="50" t="s">
        <v>200</v>
      </c>
      <c r="I101" s="51" t="s">
        <v>434</v>
      </c>
      <c r="J101" s="52" t="s">
        <v>182</v>
      </c>
    </row>
    <row r="102" customFormat="false" ht="27.75" hidden="false" customHeight="true" outlineLevel="1" collapsed="false">
      <c r="A102" s="62" t="s">
        <v>323</v>
      </c>
      <c r="B102" s="34" t="n">
        <v>959.568</v>
      </c>
      <c r="C102" s="34" t="n">
        <v>748.152</v>
      </c>
      <c r="D102" s="25" t="n">
        <f aca="false">B102-C102</f>
        <v>211.416</v>
      </c>
      <c r="E102" s="26" t="n">
        <f aca="false">IF(C102=0,"n/m",D102/ABS(C102))</f>
        <v>0.282584287684855</v>
      </c>
      <c r="F102" s="49" t="str">
        <f aca="false">IF(ROUND(D102,5)=0,"",IF(D102&lt;0,"F","U"))</f>
        <v>U</v>
      </c>
      <c r="G102" s="6" t="s">
        <v>767</v>
      </c>
      <c r="H102" s="50" t="s">
        <v>210</v>
      </c>
      <c r="I102" s="51" t="s">
        <v>434</v>
      </c>
      <c r="J102" s="52" t="s">
        <v>182</v>
      </c>
    </row>
    <row r="103" customFormat="false" ht="36.75" hidden="false" customHeight="true" outlineLevel="1" collapsed="false">
      <c r="A103" s="62" t="s">
        <v>225</v>
      </c>
      <c r="B103" s="34" t="n">
        <v>1714.173</v>
      </c>
      <c r="C103" s="34" t="n">
        <v>1246.213</v>
      </c>
      <c r="D103" s="25" t="n">
        <f aca="false">B103-C103</f>
        <v>467.96</v>
      </c>
      <c r="E103" s="26" t="n">
        <f aca="false">IF(C103=0,"n/m",D103/ABS(C103))</f>
        <v>0.37550563186229</v>
      </c>
      <c r="F103" s="49" t="str">
        <f aca="false">IF(ROUND(D103,5)=0,"",IF(D103&lt;0,"F","U"))</f>
        <v>U</v>
      </c>
      <c r="G103" s="6" t="s">
        <v>712</v>
      </c>
      <c r="H103" s="50" t="s">
        <v>227</v>
      </c>
      <c r="I103" s="51" t="s">
        <v>434</v>
      </c>
      <c r="J103" s="52" t="s">
        <v>182</v>
      </c>
    </row>
    <row r="104" customFormat="false" ht="27.75" hidden="false" customHeight="true" outlineLevel="0" collapsed="false">
      <c r="A104" s="11" t="s">
        <v>325</v>
      </c>
      <c r="B104" s="25" t="n">
        <f aca="false">B105+B106</f>
        <v>1979.5</v>
      </c>
      <c r="C104" s="25" t="n">
        <f aca="false">C105+C106</f>
        <v>1480</v>
      </c>
      <c r="D104" s="25" t="n">
        <f aca="false">B104-C104</f>
        <v>499.5</v>
      </c>
      <c r="E104" s="26" t="n">
        <f aca="false">IF(C104=0,"n/m",D104/ABS(C104))</f>
        <v>0.3375</v>
      </c>
      <c r="F104" s="49" t="str">
        <f aca="false">IF(ROUND(D104,5)=0,"",IF(D104&lt;0,"F","U"))</f>
        <v>U</v>
      </c>
      <c r="G104" s="6" t="s">
        <v>768</v>
      </c>
      <c r="H104" s="50" t="s">
        <v>327</v>
      </c>
      <c r="I104" s="51" t="s">
        <v>434</v>
      </c>
      <c r="J104" s="52" t="str">
        <f aca="false">IF(AND(ROUND(B104-K104,4)=0,ROUND(C104-L104,4)=0,TRUE()),"✓","✗")</f>
        <v>✓</v>
      </c>
      <c r="K104" s="61" t="n">
        <v>1979.5</v>
      </c>
      <c r="L104" s="61" t="n">
        <v>1480</v>
      </c>
    </row>
    <row r="105" customFormat="false" ht="40.5" hidden="false" customHeight="true" outlineLevel="1" collapsed="false">
      <c r="A105" s="62" t="s">
        <v>189</v>
      </c>
      <c r="B105" s="34" t="n">
        <v>1395.5</v>
      </c>
      <c r="C105" s="34" t="n">
        <v>1040</v>
      </c>
      <c r="D105" s="25" t="n">
        <f aca="false">B105-C105</f>
        <v>355.5</v>
      </c>
      <c r="E105" s="26" t="n">
        <f aca="false">IF(C105=0,"n/m",D105/ABS(C105))</f>
        <v>0.341826923076923</v>
      </c>
      <c r="F105" s="49" t="str">
        <f aca="false">IF(ROUND(D105,5)=0,"",IF(D105&lt;0,"F","U"))</f>
        <v>U</v>
      </c>
      <c r="G105" s="6" t="s">
        <v>769</v>
      </c>
      <c r="H105" s="50" t="s">
        <v>236</v>
      </c>
      <c r="I105" s="51" t="s">
        <v>434</v>
      </c>
      <c r="J105" s="52" t="s">
        <v>182</v>
      </c>
    </row>
    <row r="106" customFormat="false" ht="40.5" hidden="false" customHeight="true" outlineLevel="1" collapsed="false">
      <c r="A106" s="62" t="s">
        <v>201</v>
      </c>
      <c r="B106" s="34" t="n">
        <v>584</v>
      </c>
      <c r="C106" s="34" t="n">
        <v>440</v>
      </c>
      <c r="D106" s="25" t="n">
        <f aca="false">B106-C106</f>
        <v>144</v>
      </c>
      <c r="E106" s="26" t="n">
        <f aca="false">IF(C106=0,"n/m",D106/ABS(C106))</f>
        <v>0.327272727272727</v>
      </c>
      <c r="F106" s="49" t="str">
        <f aca="false">IF(ROUND(D106,5)=0,"",IF(D106&lt;0,"F","U"))</f>
        <v>U</v>
      </c>
      <c r="G106" s="6" t="s">
        <v>770</v>
      </c>
      <c r="H106" s="50" t="s">
        <v>330</v>
      </c>
      <c r="I106" s="51" t="s">
        <v>434</v>
      </c>
      <c r="J106" s="52" t="s">
        <v>182</v>
      </c>
    </row>
    <row r="107" customFormat="false" ht="40.5" hidden="false" customHeight="true" outlineLevel="0" collapsed="false">
      <c r="A107" s="11" t="s">
        <v>331</v>
      </c>
      <c r="B107" s="25" t="n">
        <f aca="false">B108+B109</f>
        <v>1974.5</v>
      </c>
      <c r="C107" s="25" t="n">
        <f aca="false">C108+C109</f>
        <v>1596.5</v>
      </c>
      <c r="D107" s="25" t="n">
        <f aca="false">B107-C107</f>
        <v>378</v>
      </c>
      <c r="E107" s="26" t="n">
        <f aca="false">IF(C107=0,"n/m",D107/ABS(C107))</f>
        <v>0.236767929846539</v>
      </c>
      <c r="F107" s="49" t="str">
        <f aca="false">IF(ROUND(D107,5)=0,"",IF(D107&lt;0,"F","U"))</f>
        <v>U</v>
      </c>
      <c r="G107" s="6" t="s">
        <v>771</v>
      </c>
      <c r="H107" s="50" t="s">
        <v>333</v>
      </c>
      <c r="I107" s="51" t="s">
        <v>434</v>
      </c>
      <c r="J107" s="52" t="str">
        <f aca="false">IF(AND(ROUND(B107-K107,4)=0,ROUND(C107-L107,4)=0,TRUE()),"✓","✗")</f>
        <v>✓</v>
      </c>
      <c r="K107" s="61" t="n">
        <v>1974.5</v>
      </c>
      <c r="L107" s="61" t="n">
        <v>1596.5</v>
      </c>
    </row>
    <row r="108" customFormat="false" ht="48" hidden="false" customHeight="true" outlineLevel="1" collapsed="false">
      <c r="A108" s="62" t="s">
        <v>230</v>
      </c>
      <c r="B108" s="34" t="n">
        <v>701.5</v>
      </c>
      <c r="C108" s="34" t="n">
        <v>538</v>
      </c>
      <c r="D108" s="25" t="n">
        <f aca="false">B108-C108</f>
        <v>163.5</v>
      </c>
      <c r="E108" s="26" t="n">
        <f aca="false">IF(C108=0,"n/m",D108/ABS(C108))</f>
        <v>0.303903345724907</v>
      </c>
      <c r="F108" s="49" t="str">
        <f aca="false">IF(ROUND(D108,5)=0,"",IF(D108&lt;0,"F","U"))</f>
        <v>U</v>
      </c>
      <c r="G108" s="6" t="s">
        <v>714</v>
      </c>
      <c r="H108" s="50" t="s">
        <v>232</v>
      </c>
      <c r="I108" s="51" t="s">
        <v>434</v>
      </c>
      <c r="J108" s="52" t="s">
        <v>182</v>
      </c>
    </row>
    <row r="109" customFormat="false" ht="53.25" hidden="false" customHeight="true" outlineLevel="1" collapsed="false">
      <c r="A109" s="62" t="s">
        <v>242</v>
      </c>
      <c r="B109" s="34" t="n">
        <v>1273</v>
      </c>
      <c r="C109" s="34" t="n">
        <v>1058.5</v>
      </c>
      <c r="D109" s="25" t="n">
        <f aca="false">B109-C109</f>
        <v>214.5</v>
      </c>
      <c r="E109" s="26" t="n">
        <f aca="false">IF(C109=0,"n/m",D109/ABS(C109))</f>
        <v>0.202645252716108</v>
      </c>
      <c r="F109" s="49" t="str">
        <f aca="false">IF(ROUND(D109,5)=0,"",IF(D109&lt;0,"F","U"))</f>
        <v>U</v>
      </c>
      <c r="G109" s="6" t="s">
        <v>720</v>
      </c>
      <c r="H109" s="50" t="s">
        <v>244</v>
      </c>
      <c r="I109" s="51" t="s">
        <v>434</v>
      </c>
      <c r="J109" s="52" t="s">
        <v>182</v>
      </c>
    </row>
    <row r="110" customFormat="false" ht="40.5" hidden="false" customHeight="true" outlineLevel="0" collapsed="false">
      <c r="A110" s="11" t="s">
        <v>334</v>
      </c>
      <c r="B110" s="25" t="n">
        <f aca="false">B111+B112+B113</f>
        <v>1323.5</v>
      </c>
      <c r="C110" s="25" t="n">
        <f aca="false">C111+C112+C113</f>
        <v>992.818</v>
      </c>
      <c r="D110" s="25" t="n">
        <f aca="false">B110-C110</f>
        <v>330.682</v>
      </c>
      <c r="E110" s="26" t="n">
        <f aca="false">IF(C110=0,"n/m",D110/ABS(C110))</f>
        <v>0.333074138462437</v>
      </c>
      <c r="F110" s="49" t="str">
        <f aca="false">IF(ROUND(D110,5)=0,"",IF(D110&lt;0,"F","U"))</f>
        <v>U</v>
      </c>
      <c r="G110" s="6" t="s">
        <v>772</v>
      </c>
      <c r="H110" s="50" t="s">
        <v>336</v>
      </c>
      <c r="I110" s="51" t="s">
        <v>434</v>
      </c>
      <c r="J110" s="52" t="str">
        <f aca="false">IF(AND(ROUND(B110-K110,4)=0,ROUND(C110-L110,4)=0,TRUE()),"✓","✗")</f>
        <v>✓</v>
      </c>
      <c r="K110" s="61" t="n">
        <v>1323.5</v>
      </c>
      <c r="L110" s="61" t="n">
        <v>992.818</v>
      </c>
    </row>
    <row r="111" customFormat="false" ht="40.5" hidden="false" customHeight="true" outlineLevel="1" collapsed="false">
      <c r="A111" s="62" t="s">
        <v>233</v>
      </c>
      <c r="B111" s="34" t="n">
        <v>289.5</v>
      </c>
      <c r="C111" s="34" t="n">
        <v>152.818</v>
      </c>
      <c r="D111" s="25" t="n">
        <f aca="false">B111-C111</f>
        <v>136.682</v>
      </c>
      <c r="E111" s="26" t="n">
        <f aca="false">IF(C111=0,"n/m",D111/ABS(C111))</f>
        <v>0.894410344331165</v>
      </c>
      <c r="F111" s="49" t="str">
        <f aca="false">IF(ROUND(D111,5)=0,"",IF(D111&lt;0,"F","U"))</f>
        <v>U</v>
      </c>
      <c r="G111" s="6" t="s">
        <v>715</v>
      </c>
      <c r="I111" s="51" t="s">
        <v>434</v>
      </c>
      <c r="J111" s="52" t="s">
        <v>182</v>
      </c>
    </row>
    <row r="112" customFormat="false" ht="40.5" hidden="false" customHeight="true" outlineLevel="1" collapsed="false">
      <c r="A112" s="62" t="s">
        <v>204</v>
      </c>
      <c r="B112" s="34" t="n">
        <v>450</v>
      </c>
      <c r="C112" s="34" t="n">
        <v>368</v>
      </c>
      <c r="D112" s="25" t="n">
        <f aca="false">B112-C112</f>
        <v>82</v>
      </c>
      <c r="E112" s="26" t="n">
        <f aca="false">IF(C112=0,"n/m",D112/ABS(C112))</f>
        <v>0.222826086956522</v>
      </c>
      <c r="F112" s="49" t="str">
        <f aca="false">IF(ROUND(D112,5)=0,"",IF(D112&lt;0,"F","U"))</f>
        <v>U</v>
      </c>
      <c r="G112" s="6" t="s">
        <v>773</v>
      </c>
      <c r="H112" s="50" t="s">
        <v>336</v>
      </c>
      <c r="I112" s="51" t="s">
        <v>434</v>
      </c>
      <c r="J112" s="52" t="s">
        <v>182</v>
      </c>
    </row>
    <row r="113" customFormat="false" ht="27.75" hidden="false" customHeight="true" outlineLevel="1" collapsed="false">
      <c r="A113" s="62" t="s">
        <v>207</v>
      </c>
      <c r="B113" s="34" t="n">
        <v>584</v>
      </c>
      <c r="C113" s="34" t="n">
        <v>472</v>
      </c>
      <c r="D113" s="25" t="n">
        <f aca="false">B113-C113</f>
        <v>112</v>
      </c>
      <c r="E113" s="26" t="n">
        <f aca="false">IF(C113=0,"n/m",D113/ABS(C113))</f>
        <v>0.23728813559322</v>
      </c>
      <c r="F113" s="49" t="str">
        <f aca="false">IF(ROUND(D113,5)=0,"",IF(D113&lt;0,"F","U"))</f>
        <v>U</v>
      </c>
      <c r="G113" s="6" t="s">
        <v>774</v>
      </c>
      <c r="I113" s="51" t="s">
        <v>434</v>
      </c>
      <c r="J113" s="52" t="s">
        <v>182</v>
      </c>
    </row>
    <row r="114" customFormat="false" ht="60" hidden="false" customHeight="true" outlineLevel="0" collapsed="false">
      <c r="A114" s="53" t="s">
        <v>339</v>
      </c>
      <c r="B114" s="37" t="n">
        <f aca="false">B98+B104+B107+B110</f>
        <v>13040.43</v>
      </c>
      <c r="C114" s="37" t="n">
        <f aca="false">C98+C104+C107+C110</f>
        <v>10035.995</v>
      </c>
      <c r="D114" s="37" t="n">
        <f aca="false">B114-C114</f>
        <v>3004.435</v>
      </c>
      <c r="E114" s="54" t="n">
        <f aca="false">IF(C114=0,"n/m",D114/ABS(C114))</f>
        <v>0.299365932326591</v>
      </c>
      <c r="F114" s="55" t="str">
        <f aca="false">IF(ROUND(D114,5)=0,"",IF(D114&lt;0,"F","U"))</f>
        <v>U</v>
      </c>
      <c r="G114" s="56" t="s">
        <v>775</v>
      </c>
      <c r="H114" s="57" t="s">
        <v>341</v>
      </c>
      <c r="I114" s="58" t="s">
        <v>434</v>
      </c>
      <c r="J114" s="59" t="str">
        <f aca="false">IF(AND(ROUND(B114-K114,4)=0,ROUND(C114-L114,4)=0,TRUE()),"✓","✗")</f>
        <v>✓</v>
      </c>
      <c r="K114" s="60" t="n">
        <v>13040.43</v>
      </c>
      <c r="L114" s="60" t="n">
        <v>10035.995</v>
      </c>
    </row>
    <row r="115" customFormat="false" ht="60" hidden="false" customHeight="true" outlineLevel="0" collapsed="false">
      <c r="A115" s="64" t="s">
        <v>96</v>
      </c>
      <c r="B115" s="65" t="n">
        <f aca="false">B95-B114</f>
        <v>2108.925</v>
      </c>
      <c r="C115" s="65" t="n">
        <f aca="false">C95-C114</f>
        <v>1977.693</v>
      </c>
      <c r="D115" s="65" t="n">
        <f aca="false">B115-C115</f>
        <v>131.231999999998</v>
      </c>
      <c r="E115" s="66" t="n">
        <f aca="false">IF(C115=0,"n/m",D115/ABS(C115))</f>
        <v>0.0663561027924951</v>
      </c>
      <c r="F115" s="67" t="str">
        <f aca="false">IF(ROUND(D115,5)=0,"",IF(D115&gt;0,"F","U"))</f>
        <v>F</v>
      </c>
      <c r="G115" s="68" t="s">
        <v>776</v>
      </c>
      <c r="H115" s="69" t="s">
        <v>250</v>
      </c>
      <c r="I115" s="70" t="s">
        <v>434</v>
      </c>
      <c r="J115" s="71" t="str">
        <f aca="false">IF(AND(ROUND(B115-K115,4)=0,ROUND(C115-L115,4)=0,TRUE()),"✓","✗")</f>
        <v>✓</v>
      </c>
      <c r="K115" s="72" t="n">
        <v>2108.925</v>
      </c>
      <c r="L115" s="72" t="n">
        <v>1977.693</v>
      </c>
    </row>
    <row r="116" customFormat="false" ht="27.75" hidden="false" customHeight="true" outlineLevel="0" collapsed="false">
      <c r="A116" s="11" t="s">
        <v>343</v>
      </c>
      <c r="B116" s="25" t="n">
        <f aca="false">B117-B118</f>
        <v>-153</v>
      </c>
      <c r="C116" s="25" t="n">
        <f aca="false">C117-C118</f>
        <v>-152</v>
      </c>
      <c r="D116" s="25" t="n">
        <f aca="false">B116-C116</f>
        <v>-1</v>
      </c>
      <c r="E116" s="26" t="n">
        <f aca="false">IF(C116=0,"n/m",D116/ABS(C116))</f>
        <v>-0.00657894736842105</v>
      </c>
      <c r="F116" s="49" t="str">
        <f aca="false">IF(ROUND(D116,5)=0,"",IF(D116&gt;0,"F","U"))</f>
        <v>U</v>
      </c>
      <c r="G116" s="6" t="s">
        <v>777</v>
      </c>
      <c r="I116" s="51" t="s">
        <v>434</v>
      </c>
      <c r="J116" s="52" t="str">
        <f aca="false">IF(AND(ROUND(B116-K116,4)=0,ROUND(C116-L116,4)=0,TRUE()),"✓","✗")</f>
        <v>✓</v>
      </c>
      <c r="K116" s="61" t="n">
        <v>-153</v>
      </c>
      <c r="L116" s="61" t="n">
        <v>-152</v>
      </c>
    </row>
    <row r="117" customFormat="false" ht="27.75" hidden="false" customHeight="true" outlineLevel="1" collapsed="false">
      <c r="A117" s="62" t="s">
        <v>345</v>
      </c>
      <c r="B117" s="34" t="n">
        <v>89.5</v>
      </c>
      <c r="C117" s="34" t="n">
        <v>108</v>
      </c>
      <c r="D117" s="25" t="n">
        <f aca="false">B117-C117</f>
        <v>-18.5</v>
      </c>
      <c r="E117" s="26" t="n">
        <f aca="false">IF(C117=0,"n/m",D117/ABS(C117))</f>
        <v>-0.171296296296296</v>
      </c>
      <c r="F117" s="49" t="str">
        <f aca="false">IF(ROUND(D117,5)=0,"",IF(D117&gt;0,"F","U"))</f>
        <v>U</v>
      </c>
      <c r="G117" s="6" t="s">
        <v>725</v>
      </c>
      <c r="I117" s="51" t="s">
        <v>434</v>
      </c>
      <c r="J117" s="52" t="s">
        <v>182</v>
      </c>
    </row>
    <row r="118" customFormat="false" ht="15" hidden="false" customHeight="true" outlineLevel="1" collapsed="false">
      <c r="A118" s="62" t="s">
        <v>346</v>
      </c>
      <c r="B118" s="34" t="n">
        <v>242.5</v>
      </c>
      <c r="C118" s="34" t="n">
        <v>260</v>
      </c>
      <c r="D118" s="25" t="n">
        <f aca="false">B118-C118</f>
        <v>-17.5</v>
      </c>
      <c r="E118" s="26" t="n">
        <f aca="false">IF(C118=0,"n/m",D118/ABS(C118))</f>
        <v>-0.0673076923076923</v>
      </c>
      <c r="F118" s="49" t="str">
        <f aca="false">IF(ROUND(D118,5)=0,"",IF(D118&lt;0,"F","U"))</f>
        <v>F</v>
      </c>
      <c r="G118" s="6" t="s">
        <v>726</v>
      </c>
      <c r="I118" s="51" t="s">
        <v>434</v>
      </c>
      <c r="J118" s="52" t="s">
        <v>182</v>
      </c>
    </row>
    <row r="119" customFormat="false" ht="27.75" hidden="false" customHeight="true" outlineLevel="0" collapsed="false">
      <c r="A119" s="11" t="s">
        <v>347</v>
      </c>
      <c r="B119" s="34" t="n">
        <v>260.5</v>
      </c>
      <c r="C119" s="34" t="n">
        <v>180</v>
      </c>
      <c r="D119" s="25" t="n">
        <f aca="false">B119-C119</f>
        <v>80.5</v>
      </c>
      <c r="E119" s="26" t="n">
        <f aca="false">IF(C119=0,"n/m",D119/ABS(C119))</f>
        <v>0.447222222222222</v>
      </c>
      <c r="F119" s="49" t="str">
        <f aca="false">IF(ROUND(D119,5)=0,"",IF(D119&lt;0,"F","U"))</f>
        <v>U</v>
      </c>
      <c r="G119" s="6" t="s">
        <v>728</v>
      </c>
      <c r="I119" s="51" t="s">
        <v>434</v>
      </c>
      <c r="J119" s="52" t="s">
        <v>182</v>
      </c>
    </row>
    <row r="120" customFormat="false" ht="60" hidden="false" customHeight="true" outlineLevel="0" collapsed="false">
      <c r="A120" s="64" t="s">
        <v>97</v>
      </c>
      <c r="B120" s="65" t="n">
        <f aca="false">B115+B116-B119</f>
        <v>1695.425</v>
      </c>
      <c r="C120" s="65" t="n">
        <f aca="false">C115+C116-C119</f>
        <v>1645.693</v>
      </c>
      <c r="D120" s="65" t="n">
        <f aca="false">B120-C120</f>
        <v>49.7319999999982</v>
      </c>
      <c r="E120" s="66" t="n">
        <f aca="false">IF(C120=0,"n/m",D120/ABS(C120))</f>
        <v>0.0302194880819194</v>
      </c>
      <c r="F120" s="67" t="str">
        <f aca="false">IF(ROUND(D120,5)=0,"",IF(D120&gt;0,"F","U"))</f>
        <v>F</v>
      </c>
      <c r="G120" s="68" t="s">
        <v>778</v>
      </c>
      <c r="H120" s="69" t="s">
        <v>250</v>
      </c>
      <c r="I120" s="70" t="s">
        <v>434</v>
      </c>
      <c r="J120" s="71" t="str">
        <f aca="false">IF(AND(ROUND(B120-K120,4)=0,ROUND(C120-L120,4)=0,TRUE()),"✓","✗")</f>
        <v>✓</v>
      </c>
      <c r="K120" s="72" t="n">
        <v>1695.425</v>
      </c>
      <c r="L120" s="72" t="n">
        <v>1645.693</v>
      </c>
    </row>
    <row r="122" customFormat="false" ht="18" hidden="false" customHeight="true" outlineLevel="0" collapsed="false">
      <c r="A122" s="44" t="s">
        <v>349</v>
      </c>
      <c r="B122" s="45"/>
      <c r="C122" s="45"/>
      <c r="D122" s="45"/>
      <c r="E122" s="45"/>
      <c r="F122" s="45"/>
      <c r="G122" s="73" t="s">
        <v>779</v>
      </c>
      <c r="H122" s="45"/>
      <c r="I122" s="45"/>
      <c r="J122" s="45"/>
      <c r="K122" s="45"/>
      <c r="L122" s="45"/>
    </row>
    <row r="123" customFormat="false" ht="40.5" hidden="false" customHeight="true" outlineLevel="0" collapsed="false">
      <c r="A123" s="11" t="s">
        <v>351</v>
      </c>
      <c r="B123" s="25" t="n">
        <f aca="false">B124+B125+B126+B127</f>
        <v>18786.54644</v>
      </c>
      <c r="C123" s="25" t="n">
        <f aca="false">C124+C125+C126+C127</f>
        <v>15311.15496</v>
      </c>
      <c r="D123" s="25" t="n">
        <f aca="false">B123-C123</f>
        <v>3475.39148</v>
      </c>
      <c r="E123" s="26" t="n">
        <f aca="false">IF(C123=0,"n/m",D123/ABS(C123))</f>
        <v>0.226984279701915</v>
      </c>
      <c r="G123" s="6" t="s">
        <v>780</v>
      </c>
      <c r="I123" s="51" t="s">
        <v>434</v>
      </c>
      <c r="J123" s="52" t="str">
        <f aca="false">IF(AND(ROUND(B123-K123,4)=0,ROUND(C123-L123,4)=0,TRUE()),"✓","✗")</f>
        <v>✓</v>
      </c>
      <c r="K123" s="61" t="n">
        <v>18786.54644</v>
      </c>
      <c r="L123" s="61" t="n">
        <v>15311.15496</v>
      </c>
    </row>
    <row r="124" customFormat="false" ht="27.75" hidden="false" customHeight="true" outlineLevel="1" collapsed="false">
      <c r="A124" s="62" t="s">
        <v>353</v>
      </c>
      <c r="B124" s="34" t="n">
        <v>14474.18299</v>
      </c>
      <c r="C124" s="34" t="n">
        <v>12933.87856</v>
      </c>
      <c r="D124" s="25" t="n">
        <f aca="false">B124-C124</f>
        <v>1540.30443</v>
      </c>
      <c r="E124" s="26" t="n">
        <f aca="false">IF(C124=0,"n/m",D124/ABS(C124))</f>
        <v>0.119090682880202</v>
      </c>
      <c r="G124" s="6" t="s">
        <v>781</v>
      </c>
      <c r="I124" s="51" t="s">
        <v>434</v>
      </c>
      <c r="J124" s="52" t="s">
        <v>182</v>
      </c>
    </row>
    <row r="125" customFormat="false" ht="40.5" hidden="false" customHeight="true" outlineLevel="1" collapsed="false">
      <c r="A125" s="62" t="s">
        <v>355</v>
      </c>
      <c r="B125" s="34" t="n">
        <v>2872.86345</v>
      </c>
      <c r="C125" s="34" t="n">
        <v>1227.2764</v>
      </c>
      <c r="D125" s="25" t="n">
        <f aca="false">B125-C125</f>
        <v>1645.58705</v>
      </c>
      <c r="E125" s="26" t="n">
        <f aca="false">IF(C125=0,"n/m",D125/ABS(C125))</f>
        <v>1.34084469480551</v>
      </c>
      <c r="G125" s="6" t="s">
        <v>782</v>
      </c>
      <c r="I125" s="51" t="s">
        <v>434</v>
      </c>
      <c r="J125" s="52" t="s">
        <v>182</v>
      </c>
    </row>
    <row r="126" customFormat="false" ht="27.75" hidden="false" customHeight="true" outlineLevel="1" collapsed="false">
      <c r="A126" s="62" t="s">
        <v>357</v>
      </c>
      <c r="B126" s="34" t="n">
        <v>184</v>
      </c>
      <c r="C126" s="34" t="n">
        <v>0</v>
      </c>
      <c r="D126" s="25" t="n">
        <f aca="false">B126-C126</f>
        <v>184</v>
      </c>
      <c r="E126" s="26" t="str">
        <f aca="false">IF(C126=0,"n/m",D126/ABS(C126))</f>
        <v>n/m</v>
      </c>
      <c r="G126" s="6" t="s">
        <v>783</v>
      </c>
      <c r="I126" s="51" t="s">
        <v>434</v>
      </c>
      <c r="J126" s="52" t="s">
        <v>182</v>
      </c>
    </row>
    <row r="127" customFormat="false" ht="27.75" hidden="false" customHeight="true" outlineLevel="1" collapsed="false">
      <c r="A127" s="62" t="s">
        <v>359</v>
      </c>
      <c r="B127" s="34" t="n">
        <v>1255.5</v>
      </c>
      <c r="C127" s="34" t="n">
        <v>1150</v>
      </c>
      <c r="D127" s="25" t="n">
        <f aca="false">B127-C127</f>
        <v>105.5</v>
      </c>
      <c r="E127" s="26" t="n">
        <f aca="false">IF(C127=0,"n/m",D127/ABS(C127))</f>
        <v>0.0917391304347826</v>
      </c>
      <c r="G127" s="6" t="s">
        <v>784</v>
      </c>
      <c r="I127" s="51" t="s">
        <v>434</v>
      </c>
      <c r="J127" s="52" t="s">
        <v>182</v>
      </c>
    </row>
    <row r="128" customFormat="false" ht="40.5" hidden="false" customHeight="true" outlineLevel="0" collapsed="false">
      <c r="A128" s="11" t="s">
        <v>361</v>
      </c>
      <c r="B128" s="25" t="n">
        <f aca="false">B129</f>
        <v>1236</v>
      </c>
      <c r="C128" s="25" t="n">
        <f aca="false">C129</f>
        <v>1282</v>
      </c>
      <c r="D128" s="25" t="n">
        <f aca="false">B128-C128</f>
        <v>-46</v>
      </c>
      <c r="E128" s="26" t="n">
        <f aca="false">IF(C128=0,"n/m",D128/ABS(C128))</f>
        <v>-0.0358814352574103</v>
      </c>
      <c r="G128" s="6" t="s">
        <v>785</v>
      </c>
      <c r="I128" s="51" t="s">
        <v>434</v>
      </c>
      <c r="J128" s="52" t="str">
        <f aca="false">IF(AND(ROUND(B128-K128,4)=0,ROUND(C128-L128,4)=0,TRUE()),"✓","✗")</f>
        <v>✓</v>
      </c>
      <c r="K128" s="61" t="n">
        <v>1236</v>
      </c>
      <c r="L128" s="61" t="n">
        <v>1282</v>
      </c>
    </row>
    <row r="129" customFormat="false" ht="27.75" hidden="false" customHeight="true" outlineLevel="1" collapsed="false">
      <c r="A129" s="62" t="s">
        <v>363</v>
      </c>
      <c r="B129" s="34" t="n">
        <v>1236</v>
      </c>
      <c r="C129" s="34" t="n">
        <v>1282</v>
      </c>
      <c r="D129" s="25" t="n">
        <f aca="false">B129-C129</f>
        <v>-46</v>
      </c>
      <c r="E129" s="26" t="n">
        <f aca="false">IF(C129=0,"n/m",D129/ABS(C129))</f>
        <v>-0.0358814352574103</v>
      </c>
      <c r="G129" s="6" t="s">
        <v>786</v>
      </c>
      <c r="I129" s="51" t="s">
        <v>434</v>
      </c>
      <c r="J129" s="52" t="s">
        <v>182</v>
      </c>
    </row>
    <row r="130" customFormat="false" ht="27.75" hidden="false" customHeight="true" outlineLevel="0" collapsed="false">
      <c r="A130" s="64" t="s">
        <v>365</v>
      </c>
      <c r="B130" s="65" t="n">
        <f aca="false">B123+B128</f>
        <v>20022.54644</v>
      </c>
      <c r="C130" s="65" t="n">
        <f aca="false">C123+C128</f>
        <v>16593.15496</v>
      </c>
      <c r="D130" s="65" t="n">
        <f aca="false">B130-C130</f>
        <v>3429.39148</v>
      </c>
      <c r="E130" s="66" t="n">
        <f aca="false">IF(C130=0,"n/m",D130/ABS(C130))</f>
        <v>0.20667507103182</v>
      </c>
      <c r="F130" s="74"/>
      <c r="G130" s="68" t="s">
        <v>787</v>
      </c>
      <c r="H130" s="74"/>
      <c r="I130" s="70" t="s">
        <v>434</v>
      </c>
      <c r="J130" s="71" t="str">
        <f aca="false">IF(AND(ROUND(B130-K130,4)=0,ROUND(C130-L130,4)=0,TRUE()),"✓","✗")</f>
        <v>✓</v>
      </c>
      <c r="K130" s="72" t="n">
        <v>20022.54644</v>
      </c>
      <c r="L130" s="72" t="n">
        <v>16593.15496</v>
      </c>
    </row>
    <row r="131" customFormat="false" ht="40.5" hidden="false" customHeight="true" outlineLevel="0" collapsed="false">
      <c r="A131" s="11" t="s">
        <v>367</v>
      </c>
      <c r="B131" s="25" t="n">
        <f aca="false">B132+B133+B134</f>
        <v>1620.78044</v>
      </c>
      <c r="C131" s="25" t="n">
        <f aca="false">C132+C133+C134</f>
        <v>321.31396</v>
      </c>
      <c r="D131" s="25" t="n">
        <f aca="false">B131-C131</f>
        <v>1299.46648</v>
      </c>
      <c r="E131" s="26" t="n">
        <f aca="false">IF(C131=0,"n/m",D131/ABS(C131))</f>
        <v>4.0442266498474</v>
      </c>
      <c r="G131" s="6" t="s">
        <v>788</v>
      </c>
      <c r="I131" s="51" t="s">
        <v>434</v>
      </c>
      <c r="J131" s="52" t="str">
        <f aca="false">IF(AND(ROUND(B131-K131,4)=0,ROUND(C131-L131,4)=0,TRUE()),"✓","✗")</f>
        <v>✓</v>
      </c>
      <c r="K131" s="61" t="n">
        <v>1620.78044</v>
      </c>
      <c r="L131" s="61" t="n">
        <v>321.31396</v>
      </c>
    </row>
    <row r="132" customFormat="false" ht="27.75" hidden="false" customHeight="true" outlineLevel="1" collapsed="false">
      <c r="A132" s="62" t="s">
        <v>369</v>
      </c>
      <c r="B132" s="34" t="n">
        <v>349</v>
      </c>
      <c r="C132" s="34" t="n">
        <v>266</v>
      </c>
      <c r="D132" s="25" t="n">
        <f aca="false">B132-C132</f>
        <v>83</v>
      </c>
      <c r="E132" s="26" t="n">
        <f aca="false">IF(C132=0,"n/m",D132/ABS(C132))</f>
        <v>0.31203007518797</v>
      </c>
      <c r="G132" s="6" t="s">
        <v>789</v>
      </c>
      <c r="I132" s="51" t="s">
        <v>434</v>
      </c>
      <c r="J132" s="52" t="s">
        <v>182</v>
      </c>
    </row>
    <row r="133" customFormat="false" ht="40.5" hidden="false" customHeight="true" outlineLevel="1" collapsed="false">
      <c r="A133" s="62" t="s">
        <v>371</v>
      </c>
      <c r="B133" s="34" t="n">
        <v>152.49244</v>
      </c>
      <c r="C133" s="34" t="n">
        <v>55.31396</v>
      </c>
      <c r="D133" s="25" t="n">
        <f aca="false">B133-C133</f>
        <v>97.17848</v>
      </c>
      <c r="E133" s="26" t="n">
        <f aca="false">IF(C133=0,"n/m",D133/ABS(C133))</f>
        <v>1.75685270047561</v>
      </c>
      <c r="G133" s="6" t="s">
        <v>790</v>
      </c>
      <c r="I133" s="51" t="s">
        <v>434</v>
      </c>
      <c r="J133" s="52" t="s">
        <v>182</v>
      </c>
    </row>
    <row r="134" customFormat="false" ht="27.75" hidden="false" customHeight="true" outlineLevel="1" collapsed="false">
      <c r="A134" s="62" t="s">
        <v>373</v>
      </c>
      <c r="B134" s="34" t="n">
        <v>1119.288</v>
      </c>
      <c r="C134" s="34" t="n">
        <v>0</v>
      </c>
      <c r="D134" s="25" t="n">
        <f aca="false">B134-C134</f>
        <v>1119.288</v>
      </c>
      <c r="E134" s="26" t="str">
        <f aca="false">IF(C134=0,"n/m",D134/ABS(C134))</f>
        <v>n/m</v>
      </c>
      <c r="G134" s="6" t="s">
        <v>791</v>
      </c>
      <c r="I134" s="51" t="s">
        <v>434</v>
      </c>
      <c r="J134" s="52" t="s">
        <v>182</v>
      </c>
    </row>
    <row r="135" customFormat="false" ht="40.5" hidden="false" customHeight="true" outlineLevel="0" collapsed="false">
      <c r="A135" s="11" t="s">
        <v>375</v>
      </c>
      <c r="B135" s="25" t="n">
        <f aca="false">B136+B137</f>
        <v>4582.5</v>
      </c>
      <c r="C135" s="25" t="n">
        <f aca="false">C136+C137</f>
        <v>4744</v>
      </c>
      <c r="D135" s="25" t="n">
        <f aca="false">B135-C135</f>
        <v>-161.5</v>
      </c>
      <c r="E135" s="26" t="n">
        <f aca="false">IF(C135=0,"n/m",D135/ABS(C135))</f>
        <v>-0.0340430016863406</v>
      </c>
      <c r="G135" s="6" t="s">
        <v>792</v>
      </c>
      <c r="I135" s="51" t="s">
        <v>434</v>
      </c>
      <c r="J135" s="52" t="str">
        <f aca="false">IF(AND(ROUND(B135-K135,4)=0,ROUND(C135-L135,4)=0,TRUE()),"✓","✗")</f>
        <v>✓</v>
      </c>
      <c r="K135" s="61" t="n">
        <v>4582.5</v>
      </c>
      <c r="L135" s="61" t="n">
        <v>4744</v>
      </c>
    </row>
    <row r="136" customFormat="false" ht="27.75" hidden="false" customHeight="true" outlineLevel="1" collapsed="false">
      <c r="A136" s="62" t="s">
        <v>377</v>
      </c>
      <c r="B136" s="34" t="n">
        <v>382.5</v>
      </c>
      <c r="C136" s="34" t="n">
        <v>344</v>
      </c>
      <c r="D136" s="25" t="n">
        <f aca="false">B136-C136</f>
        <v>38.5</v>
      </c>
      <c r="E136" s="26" t="n">
        <f aca="false">IF(C136=0,"n/m",D136/ABS(C136))</f>
        <v>0.111918604651163</v>
      </c>
      <c r="G136" s="6" t="s">
        <v>793</v>
      </c>
      <c r="I136" s="51" t="s">
        <v>434</v>
      </c>
      <c r="J136" s="52" t="s">
        <v>182</v>
      </c>
    </row>
    <row r="137" customFormat="false" ht="27.75" hidden="false" customHeight="true" outlineLevel="1" collapsed="false">
      <c r="A137" s="62" t="s">
        <v>379</v>
      </c>
      <c r="B137" s="34" t="n">
        <v>4200</v>
      </c>
      <c r="C137" s="34" t="n">
        <v>4400</v>
      </c>
      <c r="D137" s="25" t="n">
        <f aca="false">B137-C137</f>
        <v>-200</v>
      </c>
      <c r="E137" s="26" t="n">
        <f aca="false">IF(C137=0,"n/m",D137/ABS(C137))</f>
        <v>-0.0454545454545455</v>
      </c>
      <c r="G137" s="6" t="s">
        <v>794</v>
      </c>
      <c r="I137" s="51" t="s">
        <v>434</v>
      </c>
      <c r="J137" s="52" t="s">
        <v>182</v>
      </c>
    </row>
    <row r="138" customFormat="false" ht="27.75" hidden="false" customHeight="true" outlineLevel="0" collapsed="false">
      <c r="A138" s="53" t="s">
        <v>381</v>
      </c>
      <c r="B138" s="37" t="n">
        <f aca="false">B131+B135</f>
        <v>6203.28044</v>
      </c>
      <c r="C138" s="37" t="n">
        <f aca="false">C131+C135</f>
        <v>5065.31396</v>
      </c>
      <c r="D138" s="37" t="n">
        <f aca="false">B138-C138</f>
        <v>1137.96648</v>
      </c>
      <c r="E138" s="54" t="n">
        <f aca="false">IF(C138=0,"n/m",D138/ABS(C138))</f>
        <v>0.224658627083404</v>
      </c>
      <c r="F138" s="75"/>
      <c r="G138" s="56" t="s">
        <v>795</v>
      </c>
      <c r="H138" s="75"/>
      <c r="I138" s="58" t="s">
        <v>434</v>
      </c>
      <c r="J138" s="59" t="str">
        <f aca="false">IF(AND(ROUND(B138-K138,4)=0,ROUND(C138-L138,4)=0,TRUE()),"✓","✗")</f>
        <v>✓</v>
      </c>
      <c r="K138" s="60" t="n">
        <v>6203.28044</v>
      </c>
      <c r="L138" s="60" t="n">
        <v>5065.31396</v>
      </c>
    </row>
    <row r="139" customFormat="false" ht="40.5" hidden="false" customHeight="true" outlineLevel="0" collapsed="false">
      <c r="A139" s="11" t="s">
        <v>383</v>
      </c>
      <c r="B139" s="25" t="n">
        <f aca="false">B140+B141</f>
        <v>13819.266</v>
      </c>
      <c r="C139" s="25" t="n">
        <f aca="false">C140+C141</f>
        <v>11527.841</v>
      </c>
      <c r="D139" s="25" t="n">
        <f aca="false">B139-C139</f>
        <v>2291.425</v>
      </c>
      <c r="E139" s="26" t="n">
        <f aca="false">IF(C139=0,"n/m",D139/ABS(C139))</f>
        <v>0.198773126728587</v>
      </c>
      <c r="G139" s="6" t="s">
        <v>796</v>
      </c>
      <c r="I139" s="51" t="s">
        <v>434</v>
      </c>
      <c r="J139" s="52" t="str">
        <f aca="false">IF(AND(ROUND(B139-K139,4)=0,ROUND(C139-L139,4)=0,TRUE()),"✓","✗")</f>
        <v>✓</v>
      </c>
      <c r="K139" s="61" t="n">
        <v>13819.266</v>
      </c>
      <c r="L139" s="61" t="n">
        <v>11527.841</v>
      </c>
    </row>
    <row r="140" customFormat="false" ht="27.75" hidden="false" customHeight="true" outlineLevel="1" collapsed="false">
      <c r="A140" s="62" t="s">
        <v>385</v>
      </c>
      <c r="B140" s="34" t="n">
        <v>13346</v>
      </c>
      <c r="C140" s="34" t="n">
        <v>12750</v>
      </c>
      <c r="D140" s="25" t="n">
        <f aca="false">B140-C140</f>
        <v>596</v>
      </c>
      <c r="E140" s="26" t="n">
        <f aca="false">IF(C140=0,"n/m",D140/ABS(C140))</f>
        <v>0.0467450980392157</v>
      </c>
      <c r="G140" s="6" t="s">
        <v>797</v>
      </c>
      <c r="I140" s="51" t="s">
        <v>434</v>
      </c>
      <c r="J140" s="52" t="s">
        <v>182</v>
      </c>
    </row>
    <row r="141" customFormat="false" ht="27.75" hidden="false" customHeight="true" outlineLevel="1" collapsed="false">
      <c r="A141" s="62" t="s">
        <v>387</v>
      </c>
      <c r="B141" s="34" t="n">
        <v>473.266</v>
      </c>
      <c r="C141" s="34" t="n">
        <v>-1222.159</v>
      </c>
      <c r="D141" s="25" t="n">
        <f aca="false">B141-C141</f>
        <v>1695.425</v>
      </c>
      <c r="E141" s="26" t="n">
        <f aca="false">IF(C141=0,"n/m",D141/ABS(C141))</f>
        <v>1.38723766711205</v>
      </c>
      <c r="G141" s="6" t="s">
        <v>798</v>
      </c>
      <c r="I141" s="51" t="s">
        <v>434</v>
      </c>
      <c r="J141" s="52" t="s">
        <v>182</v>
      </c>
    </row>
    <row r="142" customFormat="false" ht="27.75" hidden="false" customHeight="true" outlineLevel="0" collapsed="false">
      <c r="A142" s="64" t="s">
        <v>389</v>
      </c>
      <c r="B142" s="65" t="n">
        <f aca="false">B138+B139</f>
        <v>20022.54644</v>
      </c>
      <c r="C142" s="65" t="n">
        <f aca="false">C138+C139</f>
        <v>16593.15496</v>
      </c>
      <c r="D142" s="65" t="n">
        <f aca="false">B142-C142</f>
        <v>3429.39148</v>
      </c>
      <c r="E142" s="66" t="n">
        <f aca="false">IF(C142=0,"n/m",D142/ABS(C142))</f>
        <v>0.20667507103182</v>
      </c>
      <c r="F142" s="74"/>
      <c r="G142" s="68" t="s">
        <v>799</v>
      </c>
      <c r="H142" s="74"/>
      <c r="I142" s="70" t="s">
        <v>434</v>
      </c>
      <c r="J142" s="71" t="str">
        <f aca="false">IF(AND(ROUND(B142-K142,4)=0,ROUND(C142-L142,4)=0,TRUE()),"✓","✗")</f>
        <v>✓</v>
      </c>
      <c r="K142" s="72" t="n">
        <v>20022.54644</v>
      </c>
      <c r="L142" s="72" t="n">
        <v>16593.15496</v>
      </c>
    </row>
    <row r="144" customFormat="false" ht="18" hidden="false" customHeight="true" outlineLevel="0" collapsed="false">
      <c r="A144" s="44" t="s">
        <v>391</v>
      </c>
      <c r="B144" s="45"/>
      <c r="C144" s="45"/>
      <c r="D144" s="45"/>
      <c r="E144" s="45"/>
      <c r="F144" s="45"/>
      <c r="G144" s="45"/>
      <c r="H144" s="45"/>
      <c r="I144" s="45"/>
      <c r="J144" s="45"/>
      <c r="K144" s="45"/>
      <c r="L144" s="45"/>
    </row>
    <row r="145" customFormat="false" ht="27.75" hidden="false" customHeight="true" outlineLevel="0" collapsed="false">
      <c r="A145" s="11" t="s">
        <v>97</v>
      </c>
      <c r="B145" s="34" t="n">
        <v>1695.425</v>
      </c>
      <c r="C145" s="34" t="n">
        <v>1645.693</v>
      </c>
      <c r="D145" s="25" t="n">
        <f aca="false">B145-C145</f>
        <v>49.732</v>
      </c>
      <c r="E145" s="26" t="n">
        <f aca="false">IF(C145=0,"n/m",D145/ABS(C145))</f>
        <v>0.0302194880819205</v>
      </c>
      <c r="F145" s="49" t="str">
        <f aca="false">IF(ROUND(D145,5)=0,"",IF(D145&gt;0,"F","U"))</f>
        <v>F</v>
      </c>
      <c r="G145" s="6" t="s">
        <v>800</v>
      </c>
      <c r="I145" s="51" t="s">
        <v>434</v>
      </c>
      <c r="J145" s="52" t="s">
        <v>182</v>
      </c>
    </row>
    <row r="146" customFormat="false" ht="40.5" hidden="false" customHeight="true" outlineLevel="0" collapsed="false">
      <c r="A146" s="11" t="s">
        <v>393</v>
      </c>
      <c r="B146" s="25" t="n">
        <f aca="false">B147+B148+B149+B150</f>
        <v>1362</v>
      </c>
      <c r="C146" s="25" t="n">
        <f aca="false">C147+C148+C149+C150</f>
        <v>1020.818</v>
      </c>
      <c r="D146" s="25" t="n">
        <f aca="false">B146-C146</f>
        <v>341.182</v>
      </c>
      <c r="E146" s="26" t="n">
        <f aca="false">IF(C146=0,"n/m",D146/ABS(C146))</f>
        <v>0.33422412222355</v>
      </c>
      <c r="F146" s="49" t="str">
        <f aca="false">IF(ROUND(D146,5)=0,"",IF(D146&gt;0,"F","U"))</f>
        <v>F</v>
      </c>
      <c r="G146" s="6" t="s">
        <v>801</v>
      </c>
      <c r="I146" s="51" t="s">
        <v>434</v>
      </c>
      <c r="J146" s="52" t="str">
        <f aca="false">IF(AND(ROUND(B146-K146,4)=0,ROUND(C146-L146,4)=0,TRUE()),"✓","✗")</f>
        <v>✓</v>
      </c>
      <c r="K146" s="61" t="n">
        <v>1362</v>
      </c>
      <c r="L146" s="61" t="n">
        <v>1020.818</v>
      </c>
    </row>
    <row r="147" customFormat="false" ht="27.75" hidden="false" customHeight="true" outlineLevel="1" collapsed="false">
      <c r="A147" s="62" t="s">
        <v>395</v>
      </c>
      <c r="B147" s="34" t="n">
        <v>450</v>
      </c>
      <c r="C147" s="34" t="n">
        <v>368</v>
      </c>
      <c r="D147" s="25" t="n">
        <f aca="false">B147-C147</f>
        <v>82</v>
      </c>
      <c r="E147" s="26" t="n">
        <f aca="false">IF(C147=0,"n/m",D147/ABS(C147))</f>
        <v>0.222826086956522</v>
      </c>
      <c r="F147" s="49" t="str">
        <f aca="false">IF(ROUND(D147,5)=0,"",IF(D147&gt;0,"F","U"))</f>
        <v>F</v>
      </c>
      <c r="G147" s="6" t="s">
        <v>802</v>
      </c>
      <c r="I147" s="51" t="s">
        <v>434</v>
      </c>
      <c r="J147" s="52" t="s">
        <v>182</v>
      </c>
    </row>
    <row r="148" customFormat="false" ht="27.75" hidden="false" customHeight="true" outlineLevel="1" collapsed="false">
      <c r="A148" s="62" t="s">
        <v>397</v>
      </c>
      <c r="B148" s="34" t="n">
        <v>584</v>
      </c>
      <c r="C148" s="34" t="n">
        <v>472</v>
      </c>
      <c r="D148" s="25" t="n">
        <f aca="false">B148-C148</f>
        <v>112</v>
      </c>
      <c r="E148" s="26" t="n">
        <f aca="false">IF(C148=0,"n/m",D148/ABS(C148))</f>
        <v>0.23728813559322</v>
      </c>
      <c r="F148" s="49" t="str">
        <f aca="false">IF(ROUND(D148,5)=0,"",IF(D148&gt;0,"F","U"))</f>
        <v>F</v>
      </c>
      <c r="G148" s="6" t="s">
        <v>803</v>
      </c>
      <c r="I148" s="51" t="s">
        <v>434</v>
      </c>
      <c r="J148" s="52" t="s">
        <v>182</v>
      </c>
    </row>
    <row r="149" customFormat="false" ht="40.5" hidden="false" customHeight="true" outlineLevel="1" collapsed="false">
      <c r="A149" s="62" t="s">
        <v>399</v>
      </c>
      <c r="B149" s="34" t="n">
        <v>289.5</v>
      </c>
      <c r="C149" s="34" t="n">
        <v>152.818</v>
      </c>
      <c r="D149" s="25" t="n">
        <f aca="false">B149-C149</f>
        <v>136.682</v>
      </c>
      <c r="E149" s="26" t="n">
        <f aca="false">IF(C149=0,"n/m",D149/ABS(C149))</f>
        <v>0.894410344331165</v>
      </c>
      <c r="F149" s="49" t="str">
        <f aca="false">IF(ROUND(D149,5)=0,"",IF(D149&gt;0,"F","U"))</f>
        <v>F</v>
      </c>
      <c r="G149" s="6" t="s">
        <v>804</v>
      </c>
      <c r="I149" s="51" t="s">
        <v>434</v>
      </c>
      <c r="J149" s="52" t="s">
        <v>182</v>
      </c>
    </row>
    <row r="150" customFormat="false" ht="27.75" hidden="false" customHeight="true" outlineLevel="1" collapsed="false">
      <c r="A150" s="62" t="s">
        <v>401</v>
      </c>
      <c r="B150" s="34" t="n">
        <v>38.5</v>
      </c>
      <c r="C150" s="34" t="n">
        <v>28</v>
      </c>
      <c r="D150" s="25" t="n">
        <f aca="false">B150-C150</f>
        <v>10.5</v>
      </c>
      <c r="E150" s="26" t="n">
        <f aca="false">IF(C150=0,"n/m",D150/ABS(C150))</f>
        <v>0.375</v>
      </c>
      <c r="F150" s="49" t="str">
        <f aca="false">IF(ROUND(D150,5)=0,"",IF(D150&gt;0,"F","U"))</f>
        <v>F</v>
      </c>
      <c r="G150" s="6" t="s">
        <v>805</v>
      </c>
      <c r="I150" s="51" t="s">
        <v>434</v>
      </c>
      <c r="J150" s="52" t="s">
        <v>182</v>
      </c>
    </row>
    <row r="151" customFormat="false" ht="40.5" hidden="false" customHeight="true" outlineLevel="0" collapsed="false">
      <c r="A151" s="11" t="s">
        <v>403</v>
      </c>
      <c r="B151" s="25" t="n">
        <f aca="false">B152+B153+B154+B155+B156+B157</f>
        <v>-925.12057</v>
      </c>
      <c r="C151" s="25" t="n">
        <f aca="false">C152+C153+C154+C155+C156+C157</f>
        <v>145.87114</v>
      </c>
      <c r="D151" s="25" t="n">
        <f aca="false">B151-C151</f>
        <v>-1070.99171</v>
      </c>
      <c r="E151" s="26" t="n">
        <f aca="false">IF(C151=0,"n/m",D151/ABS(C151))</f>
        <v>-7.34203976194332</v>
      </c>
      <c r="F151" s="49" t="str">
        <f aca="false">IF(ROUND(D151,5)=0,"",IF(D151&gt;0,"F","U"))</f>
        <v>U</v>
      </c>
      <c r="G151" s="6" t="s">
        <v>806</v>
      </c>
      <c r="I151" s="51" t="s">
        <v>434</v>
      </c>
      <c r="J151" s="52" t="str">
        <f aca="false">IF(AND(ROUND(B151-K151,4)=0,ROUND(C151-L151,4)=0,TRUE()),"✓","✗")</f>
        <v>✓</v>
      </c>
      <c r="K151" s="61" t="n">
        <v>-925.12057</v>
      </c>
      <c r="L151" s="61" t="n">
        <v>145.87114</v>
      </c>
    </row>
    <row r="152" customFormat="false" ht="27.75" hidden="false" customHeight="true" outlineLevel="1" collapsed="false">
      <c r="A152" s="62" t="s">
        <v>405</v>
      </c>
      <c r="B152" s="34" t="n">
        <v>-1645.58705</v>
      </c>
      <c r="C152" s="34" t="n">
        <v>-254.0213</v>
      </c>
      <c r="D152" s="25" t="n">
        <f aca="false">B152-C152</f>
        <v>-1391.56575</v>
      </c>
      <c r="E152" s="26" t="n">
        <f aca="false">IF(C152=0,"n/m",D152/ABS(C152))</f>
        <v>-5.47814592713288</v>
      </c>
      <c r="F152" s="49" t="str">
        <f aca="false">IF(ROUND(D152,5)=0,"",IF(D152&gt;0,"F","U"))</f>
        <v>U</v>
      </c>
      <c r="G152" s="6" t="s">
        <v>807</v>
      </c>
      <c r="I152" s="51" t="s">
        <v>434</v>
      </c>
      <c r="J152" s="52" t="s">
        <v>182</v>
      </c>
    </row>
    <row r="153" customFormat="false" ht="27.75" hidden="false" customHeight="true" outlineLevel="1" collapsed="false">
      <c r="A153" s="62" t="s">
        <v>407</v>
      </c>
      <c r="B153" s="34" t="n">
        <v>-184</v>
      </c>
      <c r="C153" s="34" t="n">
        <v>-151.5</v>
      </c>
      <c r="D153" s="25" t="n">
        <f aca="false">B153-C153</f>
        <v>-32.5</v>
      </c>
      <c r="E153" s="26" t="n">
        <f aca="false">IF(C153=0,"n/m",D153/ABS(C153))</f>
        <v>-0.214521452145215</v>
      </c>
      <c r="F153" s="49" t="str">
        <f aca="false">IF(ROUND(D153,5)=0,"",IF(D153&gt;0,"F","U"))</f>
        <v>U</v>
      </c>
      <c r="G153" s="6" t="s">
        <v>808</v>
      </c>
      <c r="I153" s="51" t="s">
        <v>434</v>
      </c>
      <c r="J153" s="52" t="s">
        <v>182</v>
      </c>
    </row>
    <row r="154" customFormat="false" ht="27.75" hidden="false" customHeight="true" outlineLevel="1" collapsed="false">
      <c r="A154" s="62" t="s">
        <v>409</v>
      </c>
      <c r="B154" s="34" t="n">
        <v>-395</v>
      </c>
      <c r="C154" s="34" t="n">
        <v>-330</v>
      </c>
      <c r="D154" s="25" t="n">
        <f aca="false">B154-C154</f>
        <v>-65</v>
      </c>
      <c r="E154" s="26" t="n">
        <f aca="false">IF(C154=0,"n/m",D154/ABS(C154))</f>
        <v>-0.196969696969697</v>
      </c>
      <c r="F154" s="49" t="str">
        <f aca="false">IF(ROUND(D154,5)=0,"",IF(D154&gt;0,"F","U"))</f>
        <v>U</v>
      </c>
      <c r="G154" s="6" t="s">
        <v>809</v>
      </c>
      <c r="I154" s="51" t="s">
        <v>434</v>
      </c>
      <c r="J154" s="52" t="s">
        <v>182</v>
      </c>
    </row>
    <row r="155" customFormat="false" ht="27.75" hidden="false" customHeight="true" outlineLevel="1" collapsed="false">
      <c r="A155" s="62" t="s">
        <v>411</v>
      </c>
      <c r="B155" s="34" t="n">
        <v>83</v>
      </c>
      <c r="C155" s="34" t="n">
        <v>-40</v>
      </c>
      <c r="D155" s="25" t="n">
        <f aca="false">B155-C155</f>
        <v>123</v>
      </c>
      <c r="E155" s="26" t="n">
        <f aca="false">IF(C155=0,"n/m",D155/ABS(C155))</f>
        <v>3.075</v>
      </c>
      <c r="F155" s="49" t="str">
        <f aca="false">IF(ROUND(D155,5)=0,"",IF(D155&gt;0,"F","U"))</f>
        <v>F</v>
      </c>
      <c r="G155" s="6" t="s">
        <v>810</v>
      </c>
      <c r="I155" s="51" t="s">
        <v>434</v>
      </c>
      <c r="J155" s="52" t="s">
        <v>182</v>
      </c>
    </row>
    <row r="156" customFormat="false" ht="40.5" hidden="false" customHeight="true" outlineLevel="1" collapsed="false">
      <c r="A156" s="62" t="s">
        <v>413</v>
      </c>
      <c r="B156" s="34" t="n">
        <v>97.17848</v>
      </c>
      <c r="C156" s="34" t="n">
        <v>-1.46456</v>
      </c>
      <c r="D156" s="25" t="n">
        <f aca="false">B156-C156</f>
        <v>98.64304</v>
      </c>
      <c r="E156" s="26" t="n">
        <f aca="false">IF(C156=0,"n/m",D156/ABS(C156))</f>
        <v>67.3533621019282</v>
      </c>
      <c r="F156" s="49" t="str">
        <f aca="false">IF(ROUND(D156,5)=0,"",IF(D156&gt;0,"F","U"))</f>
        <v>F</v>
      </c>
      <c r="G156" s="6" t="s">
        <v>811</v>
      </c>
      <c r="I156" s="51" t="s">
        <v>434</v>
      </c>
      <c r="J156" s="52" t="s">
        <v>182</v>
      </c>
    </row>
    <row r="157" customFormat="false" ht="27.75" hidden="false" customHeight="true" outlineLevel="1" collapsed="false">
      <c r="A157" s="62" t="s">
        <v>415</v>
      </c>
      <c r="B157" s="34" t="n">
        <v>1119.288</v>
      </c>
      <c r="C157" s="34" t="n">
        <v>922.857</v>
      </c>
      <c r="D157" s="25" t="n">
        <f aca="false">B157-C157</f>
        <v>196.431</v>
      </c>
      <c r="E157" s="26" t="n">
        <f aca="false">IF(C157=0,"n/m",D157/ABS(C157))</f>
        <v>0.212850961741635</v>
      </c>
      <c r="F157" s="49" t="str">
        <f aca="false">IF(ROUND(D157,5)=0,"",IF(D157&gt;0,"F","U"))</f>
        <v>F</v>
      </c>
      <c r="G157" s="6" t="s">
        <v>812</v>
      </c>
      <c r="I157" s="51" t="s">
        <v>434</v>
      </c>
      <c r="J157" s="52" t="s">
        <v>182</v>
      </c>
    </row>
    <row r="158" customFormat="false" ht="40.5" hidden="false" customHeight="true" outlineLevel="0" collapsed="false">
      <c r="A158" s="64" t="s">
        <v>417</v>
      </c>
      <c r="B158" s="65" t="n">
        <f aca="false">B145+B146+B151</f>
        <v>2132.30443</v>
      </c>
      <c r="C158" s="65" t="n">
        <f aca="false">C145+C146+C151</f>
        <v>2812.38214</v>
      </c>
      <c r="D158" s="65" t="n">
        <f aca="false">B158-C158</f>
        <v>-680.07771</v>
      </c>
      <c r="E158" s="66" t="n">
        <f aca="false">IF(C158=0,"n/m",D158/ABS(C158))</f>
        <v>-0.241815541468344</v>
      </c>
      <c r="F158" s="67" t="str">
        <f aca="false">IF(ROUND(D158,5)=0,"",IF(D158&gt;0,"F","U"))</f>
        <v>U</v>
      </c>
      <c r="G158" s="68" t="s">
        <v>813</v>
      </c>
      <c r="H158" s="74"/>
      <c r="I158" s="70" t="s">
        <v>434</v>
      </c>
      <c r="J158" s="71" t="str">
        <f aca="false">IF(AND(ROUND(B158-K158,4)=0,ROUND(C158-L158,4)=0,TRUE()),"✓","✗")</f>
        <v>✓</v>
      </c>
      <c r="K158" s="72" t="n">
        <v>2132.30443</v>
      </c>
      <c r="L158" s="72" t="n">
        <v>2812.38214</v>
      </c>
    </row>
    <row r="159" customFormat="false" ht="27.75" hidden="false" customHeight="true" outlineLevel="0" collapsed="false">
      <c r="A159" s="11" t="s">
        <v>419</v>
      </c>
      <c r="B159" s="25" t="n">
        <f aca="false">B160</f>
        <v>-404</v>
      </c>
      <c r="C159" s="25" t="n">
        <f aca="false">C160</f>
        <v>-324</v>
      </c>
      <c r="D159" s="25" t="n">
        <f aca="false">B159-C159</f>
        <v>-80</v>
      </c>
      <c r="E159" s="26" t="n">
        <f aca="false">IF(C159=0,"n/m",D159/ABS(C159))</f>
        <v>-0.246913580246914</v>
      </c>
      <c r="F159" s="49" t="str">
        <f aca="false">IF(ROUND(D159,5)=0,"",IF(D159&gt;0,"F","U"))</f>
        <v>U</v>
      </c>
      <c r="G159" s="6" t="s">
        <v>814</v>
      </c>
      <c r="I159" s="51" t="s">
        <v>434</v>
      </c>
      <c r="J159" s="52" t="str">
        <f aca="false">IF(AND(ROUND(B159-K159,4)=0,ROUND(C159-L159,4)=0,TRUE()),"✓","✗")</f>
        <v>✓</v>
      </c>
      <c r="K159" s="61" t="n">
        <v>-404</v>
      </c>
      <c r="L159" s="61" t="n">
        <v>-324</v>
      </c>
    </row>
    <row r="160" customFormat="false" ht="27.75" hidden="false" customHeight="true" outlineLevel="1" collapsed="false">
      <c r="A160" s="62" t="s">
        <v>421</v>
      </c>
      <c r="B160" s="34" t="n">
        <v>-404</v>
      </c>
      <c r="C160" s="34" t="n">
        <v>-324</v>
      </c>
      <c r="D160" s="25" t="n">
        <f aca="false">B160-C160</f>
        <v>-80</v>
      </c>
      <c r="E160" s="26" t="n">
        <f aca="false">IF(C160=0,"n/m",D160/ABS(C160))</f>
        <v>-0.246913580246914</v>
      </c>
      <c r="F160" s="49" t="str">
        <f aca="false">IF(ROUND(D160,5)=0,"",IF(D160&gt;0,"F","U"))</f>
        <v>U</v>
      </c>
      <c r="G160" s="6" t="s">
        <v>815</v>
      </c>
      <c r="I160" s="51" t="s">
        <v>434</v>
      </c>
      <c r="J160" s="52" t="s">
        <v>182</v>
      </c>
    </row>
    <row r="161" customFormat="false" ht="27.75" hidden="false" customHeight="true" outlineLevel="0" collapsed="false">
      <c r="A161" s="11" t="s">
        <v>423</v>
      </c>
      <c r="B161" s="25" t="n">
        <f aca="false">B162+B163</f>
        <v>-188</v>
      </c>
      <c r="C161" s="25" t="n">
        <f aca="false">C162+C163</f>
        <v>-200</v>
      </c>
      <c r="D161" s="25" t="n">
        <f aca="false">B161-C161</f>
        <v>12</v>
      </c>
      <c r="E161" s="26" t="n">
        <f aca="false">IF(C161=0,"n/m",D161/ABS(C161))</f>
        <v>0.06</v>
      </c>
      <c r="F161" s="49" t="str">
        <f aca="false">IF(ROUND(D161,5)=0,"",IF(D161&gt;0,"F","U"))</f>
        <v>F</v>
      </c>
      <c r="G161" s="6" t="s">
        <v>816</v>
      </c>
      <c r="I161" s="51" t="s">
        <v>434</v>
      </c>
      <c r="J161" s="52" t="str">
        <f aca="false">IF(AND(ROUND(B161-K161,4)=0,ROUND(C161-L161,4)=0,TRUE()),"✓","✗")</f>
        <v>✓</v>
      </c>
      <c r="K161" s="61" t="n">
        <v>-188</v>
      </c>
      <c r="L161" s="61" t="n">
        <v>-200</v>
      </c>
    </row>
    <row r="162" customFormat="false" ht="15" hidden="false" customHeight="true" outlineLevel="1" collapsed="false">
      <c r="A162" s="62" t="s">
        <v>425</v>
      </c>
      <c r="B162" s="34" t="n">
        <v>-200</v>
      </c>
      <c r="C162" s="34" t="n">
        <v>-200</v>
      </c>
      <c r="D162" s="25" t="n">
        <f aca="false">B162-C162</f>
        <v>0</v>
      </c>
      <c r="E162" s="26" t="n">
        <f aca="false">IF(C162=0,"n/m",D162/ABS(C162))</f>
        <v>0</v>
      </c>
      <c r="F162" s="49" t="str">
        <f aca="false">IF(ROUND(D162,5)=0,"",IF(D162&gt;0,"F","U"))</f>
        <v/>
      </c>
      <c r="G162" s="63" t="s">
        <v>817</v>
      </c>
      <c r="I162" s="18" t="s">
        <v>191</v>
      </c>
      <c r="J162" s="52" t="s">
        <v>182</v>
      </c>
    </row>
    <row r="163" customFormat="false" ht="27.75" hidden="false" customHeight="true" outlineLevel="1" collapsed="false">
      <c r="A163" s="62" t="s">
        <v>427</v>
      </c>
      <c r="B163" s="34" t="n">
        <v>12</v>
      </c>
      <c r="C163" s="34" t="n">
        <v>0</v>
      </c>
      <c r="D163" s="25" t="n">
        <f aca="false">B163-C163</f>
        <v>12</v>
      </c>
      <c r="E163" s="26" t="str">
        <f aca="false">IF(C163=0,"n/m",D163/ABS(C163))</f>
        <v>n/m</v>
      </c>
      <c r="F163" s="49" t="str">
        <f aca="false">IF(ROUND(D163,5)=0,"",IF(D163&gt;0,"F","U"))</f>
        <v>F</v>
      </c>
      <c r="G163" s="6" t="s">
        <v>818</v>
      </c>
      <c r="I163" s="51" t="s">
        <v>434</v>
      </c>
      <c r="J163" s="52" t="s">
        <v>182</v>
      </c>
    </row>
    <row r="164" customFormat="false" ht="40.5" hidden="false" customHeight="true" outlineLevel="0" collapsed="false">
      <c r="A164" s="64" t="s">
        <v>429</v>
      </c>
      <c r="B164" s="65" t="n">
        <f aca="false">B158+B159+B161</f>
        <v>1540.30443</v>
      </c>
      <c r="C164" s="65" t="n">
        <f aca="false">C158+C159+C161</f>
        <v>2288.38214</v>
      </c>
      <c r="D164" s="65" t="n">
        <f aca="false">B164-C164</f>
        <v>-748.07771</v>
      </c>
      <c r="E164" s="66" t="n">
        <f aca="false">IF(C164=0,"n/m",D164/ABS(C164))</f>
        <v>-0.326902442089502</v>
      </c>
      <c r="F164" s="67" t="str">
        <f aca="false">IF(ROUND(D164,5)=0,"",IF(D164&gt;0,"F","U"))</f>
        <v>U</v>
      </c>
      <c r="G164" s="68" t="s">
        <v>819</v>
      </c>
      <c r="H164" s="74"/>
      <c r="I164" s="70" t="s">
        <v>434</v>
      </c>
      <c r="J164" s="71" t="str">
        <f aca="false">IF(AND(ROUND(B164-K164,4)=0,ROUND(C164-L164,4)=0,TRUE()),"✓","✗")</f>
        <v>✓</v>
      </c>
      <c r="K164" s="72" t="n">
        <v>1540.30443</v>
      </c>
      <c r="L164" s="72" t="n">
        <v>2288.38214</v>
      </c>
    </row>
    <row r="166" customFormat="false" ht="15" hidden="false" customHeight="false" outlineLevel="0" collapsed="false">
      <c r="A166" s="18" t="s">
        <v>431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1" outlineLevelCol="0"/>
  <cols>
    <col collapsed="false" customWidth="true" hidden="false" outlineLevel="0" max="1" min="1" style="0" width="46"/>
    <col collapsed="false" customWidth="true" hidden="false" outlineLevel="0" max="4" min="2" style="0" width="12"/>
    <col collapsed="false" customWidth="true" hidden="false" outlineLevel="0" max="5" min="5" style="0" width="8"/>
    <col collapsed="false" customWidth="true" hidden="false" outlineLevel="0" max="6" min="6" style="0" width="5"/>
    <col collapsed="false" customWidth="true" hidden="false" outlineLevel="0" max="7" min="7" style="0" width="82"/>
    <col collapsed="false" customWidth="true" hidden="false" outlineLevel="0" max="8" min="8" style="0" width="56"/>
    <col collapsed="false" customWidth="true" hidden="false" outlineLevel="0" max="9" min="9" style="0" width="15"/>
    <col collapsed="false" customWidth="true" hidden="false" outlineLevel="0" max="10" min="10" style="0" width="6"/>
    <col collapsed="false" customWidth="true" hidden="false" outlineLevel="0" max="12" min="11" style="0" width="12"/>
  </cols>
  <sheetData>
    <row r="1" customFormat="false" ht="17.35" hidden="false" customHeight="false" outlineLevel="0" collapsed="false">
      <c r="A1" s="17" t="s">
        <v>117</v>
      </c>
    </row>
    <row r="2" customFormat="false" ht="15" hidden="false" customHeight="false" outlineLevel="0" collapsed="false">
      <c r="A2" s="18" t="s">
        <v>80</v>
      </c>
    </row>
    <row r="3" customFormat="false" ht="15" hidden="false" customHeight="false" outlineLevel="0" collapsed="false">
      <c r="A3" s="18" t="s">
        <v>820</v>
      </c>
    </row>
    <row r="5" customFormat="false" ht="30" hidden="false" customHeight="true" outlineLevel="0" collapsed="false">
      <c r="A5" s="47" t="s">
        <v>173</v>
      </c>
      <c r="B5" s="48" t="s">
        <v>86</v>
      </c>
      <c r="C5" s="48" t="s">
        <v>119</v>
      </c>
      <c r="D5" s="48" t="s">
        <v>88</v>
      </c>
      <c r="E5" s="48" t="s">
        <v>89</v>
      </c>
      <c r="F5" s="48" t="s">
        <v>90</v>
      </c>
      <c r="G5" s="47" t="s">
        <v>174</v>
      </c>
      <c r="H5" s="47" t="s">
        <v>175</v>
      </c>
      <c r="I5" s="47" t="s">
        <v>24</v>
      </c>
      <c r="J5" s="48" t="s">
        <v>176</v>
      </c>
      <c r="K5" s="48" t="s">
        <v>177</v>
      </c>
      <c r="L5" s="48" t="s">
        <v>178</v>
      </c>
    </row>
    <row r="7" customFormat="false" ht="18" hidden="false" customHeight="true" outlineLevel="0" collapsed="false">
      <c r="A7" s="44" t="s">
        <v>152</v>
      </c>
      <c r="B7" s="45"/>
      <c r="C7" s="45"/>
      <c r="D7" s="45"/>
      <c r="E7" s="45"/>
      <c r="F7" s="45"/>
      <c r="G7" s="45"/>
      <c r="H7" s="45"/>
      <c r="I7" s="45"/>
      <c r="J7" s="45"/>
      <c r="K7" s="45"/>
      <c r="L7" s="45"/>
    </row>
    <row r="8" customFormat="false" ht="48" hidden="false" customHeight="true" outlineLevel="0" collapsed="false">
      <c r="A8" s="11" t="s">
        <v>153</v>
      </c>
      <c r="B8" s="34" t="n">
        <v>1800</v>
      </c>
      <c r="C8" s="34" t="n">
        <v>1850</v>
      </c>
      <c r="D8" s="25" t="n">
        <f aca="false">B8-C8</f>
        <v>-50</v>
      </c>
      <c r="E8" s="26" t="n">
        <f aca="false">IF(C8=0,"n/m",D8/ABS(C8))</f>
        <v>-0.027027027027027</v>
      </c>
      <c r="F8" s="49" t="str">
        <f aca="false">IF(ROUND(D8,5)=0,"",IF(D8&gt;0,"F","U"))</f>
        <v>U</v>
      </c>
      <c r="G8" s="6" t="s">
        <v>821</v>
      </c>
      <c r="H8" s="50" t="s">
        <v>180</v>
      </c>
      <c r="I8" s="51" t="s">
        <v>822</v>
      </c>
      <c r="J8" s="52" t="s">
        <v>182</v>
      </c>
    </row>
    <row r="9" customFormat="false" ht="27.75" hidden="false" customHeight="true" outlineLevel="0" collapsed="false">
      <c r="A9" s="11" t="s">
        <v>154</v>
      </c>
      <c r="B9" s="34" t="n">
        <v>200</v>
      </c>
      <c r="C9" s="34" t="n">
        <v>180</v>
      </c>
      <c r="D9" s="25" t="n">
        <f aca="false">B9-C9</f>
        <v>20</v>
      </c>
      <c r="E9" s="26" t="n">
        <f aca="false">IF(C9=0,"n/m",D9/ABS(C9))</f>
        <v>0.111111111111111</v>
      </c>
      <c r="F9" s="49" t="str">
        <f aca="false">IF(ROUND(D9,5)=0,"",IF(D9&gt;0,"F","U"))</f>
        <v>F</v>
      </c>
      <c r="G9" s="6" t="s">
        <v>823</v>
      </c>
      <c r="H9" s="50" t="s">
        <v>184</v>
      </c>
      <c r="I9" s="51" t="s">
        <v>822</v>
      </c>
      <c r="J9" s="52" t="s">
        <v>182</v>
      </c>
    </row>
    <row r="10" customFormat="false" ht="40.5" hidden="false" customHeight="true" outlineLevel="0" collapsed="false">
      <c r="A10" s="53" t="s">
        <v>91</v>
      </c>
      <c r="B10" s="37" t="n">
        <f aca="false">B8+B9</f>
        <v>2000</v>
      </c>
      <c r="C10" s="37" t="n">
        <f aca="false">C8+C9</f>
        <v>2030</v>
      </c>
      <c r="D10" s="37" t="n">
        <f aca="false">B10-C10</f>
        <v>-30</v>
      </c>
      <c r="E10" s="54" t="n">
        <f aca="false">IF(C10=0,"n/m",D10/ABS(C10))</f>
        <v>-0.0147783251231527</v>
      </c>
      <c r="F10" s="55" t="str">
        <f aca="false">IF(ROUND(D10,5)=0,"",IF(D10&gt;0,"F","U"))</f>
        <v>U</v>
      </c>
      <c r="G10" s="56" t="s">
        <v>824</v>
      </c>
      <c r="H10" s="57" t="s">
        <v>186</v>
      </c>
      <c r="I10" s="58" t="s">
        <v>822</v>
      </c>
      <c r="J10" s="59" t="str">
        <f aca="false">IF(AND(ROUND(B10-K10,4)=0,ROUND(C10-L10,4)=0,TRUE()),"✓","✗")</f>
        <v>✓</v>
      </c>
      <c r="K10" s="60" t="n">
        <v>2000</v>
      </c>
      <c r="L10" s="60" t="n">
        <v>2030</v>
      </c>
    </row>
    <row r="11" customFormat="false" ht="60" hidden="false" customHeight="true" outlineLevel="0" collapsed="false">
      <c r="A11" s="11" t="s">
        <v>155</v>
      </c>
      <c r="B11" s="25" t="n">
        <f aca="false">B12+B13+B14+B15+B16+B17+B18</f>
        <v>540</v>
      </c>
      <c r="C11" s="25" t="n">
        <f aca="false">C12+C13+C14+C15+C16+C17+C18</f>
        <v>548.36177</v>
      </c>
      <c r="D11" s="25" t="n">
        <f aca="false">B11-C11</f>
        <v>-8.36176999999998</v>
      </c>
      <c r="E11" s="26" t="n">
        <f aca="false">IF(C11=0,"n/m",D11/ABS(C11))</f>
        <v>-0.0152486377742927</v>
      </c>
      <c r="F11" s="49" t="str">
        <f aca="false">IF(ROUND(D11,5)=0,"",IF(D11&lt;0,"F","U"))</f>
        <v>F</v>
      </c>
      <c r="G11" s="6" t="s">
        <v>825</v>
      </c>
      <c r="H11" s="50" t="s">
        <v>188</v>
      </c>
      <c r="I11" s="51" t="s">
        <v>822</v>
      </c>
      <c r="J11" s="52" t="str">
        <f aca="false">IF(AND(ROUND(B11-K11,4)=0,ROUND(C11-L11,4)=0,TRUE()),"✓","✗")</f>
        <v>✓</v>
      </c>
      <c r="K11" s="61" t="n">
        <v>540</v>
      </c>
      <c r="L11" s="61" t="n">
        <v>548.36177</v>
      </c>
    </row>
    <row r="12" customFormat="false" ht="15" hidden="false" customHeight="true" outlineLevel="1" collapsed="false">
      <c r="A12" s="62" t="s">
        <v>189</v>
      </c>
      <c r="B12" s="34" t="n">
        <v>140</v>
      </c>
      <c r="C12" s="34" t="n">
        <v>137</v>
      </c>
      <c r="D12" s="25" t="n">
        <f aca="false">B12-C12</f>
        <v>3</v>
      </c>
      <c r="E12" s="26" t="n">
        <f aca="false">IF(C12=0,"n/m",D12/ABS(C12))</f>
        <v>0.0218978102189781</v>
      </c>
      <c r="F12" s="49" t="str">
        <f aca="false">IF(ROUND(D12,5)=0,"",IF(D12&lt;0,"F","U"))</f>
        <v>U</v>
      </c>
      <c r="G12" s="63" t="s">
        <v>826</v>
      </c>
      <c r="I12" s="18" t="s">
        <v>191</v>
      </c>
      <c r="J12" s="52" t="s">
        <v>182</v>
      </c>
    </row>
    <row r="13" customFormat="false" ht="36.75" hidden="false" customHeight="true" outlineLevel="1" collapsed="false">
      <c r="A13" s="62" t="s">
        <v>192</v>
      </c>
      <c r="B13" s="34" t="n">
        <v>100</v>
      </c>
      <c r="C13" s="34" t="n">
        <v>111.23</v>
      </c>
      <c r="D13" s="25" t="n">
        <f aca="false">B13-C13</f>
        <v>-11.23</v>
      </c>
      <c r="E13" s="26" t="n">
        <f aca="false">IF(C13=0,"n/m",D13/ABS(C13))</f>
        <v>-0.10096197069136</v>
      </c>
      <c r="F13" s="49" t="str">
        <f aca="false">IF(ROUND(D13,5)=0,"",IF(D13&lt;0,"F","U"))</f>
        <v>F</v>
      </c>
      <c r="G13" s="6" t="s">
        <v>827</v>
      </c>
      <c r="H13" s="50" t="s">
        <v>194</v>
      </c>
      <c r="I13" s="51" t="s">
        <v>822</v>
      </c>
      <c r="J13" s="52" t="s">
        <v>182</v>
      </c>
    </row>
    <row r="14" customFormat="false" ht="27.75" hidden="false" customHeight="true" outlineLevel="1" collapsed="false">
      <c r="A14" s="62" t="s">
        <v>195</v>
      </c>
      <c r="B14" s="34" t="n">
        <v>84</v>
      </c>
      <c r="C14" s="34" t="n">
        <v>88.8391</v>
      </c>
      <c r="D14" s="25" t="n">
        <f aca="false">B14-C14</f>
        <v>-4.8391</v>
      </c>
      <c r="E14" s="26" t="n">
        <f aca="false">IF(C14=0,"n/m",D14/ABS(C14))</f>
        <v>-0.0544703852245239</v>
      </c>
      <c r="F14" s="49" t="str">
        <f aca="false">IF(ROUND(D14,5)=0,"",IF(D14&lt;0,"F","U"))</f>
        <v>F</v>
      </c>
      <c r="G14" s="63" t="s">
        <v>828</v>
      </c>
      <c r="H14" s="50" t="s">
        <v>197</v>
      </c>
      <c r="I14" s="18" t="s">
        <v>191</v>
      </c>
      <c r="J14" s="52" t="s">
        <v>182</v>
      </c>
    </row>
    <row r="15" customFormat="false" ht="36.75" hidden="false" customHeight="true" outlineLevel="1" collapsed="false">
      <c r="A15" s="62" t="s">
        <v>198</v>
      </c>
      <c r="B15" s="34" t="n">
        <v>160</v>
      </c>
      <c r="C15" s="34" t="n">
        <v>153.796</v>
      </c>
      <c r="D15" s="25" t="n">
        <f aca="false">B15-C15</f>
        <v>6.20400000000001</v>
      </c>
      <c r="E15" s="26" t="n">
        <f aca="false">IF(C15=0,"n/m",D15/ABS(C15))</f>
        <v>0.0403391505630836</v>
      </c>
      <c r="F15" s="49" t="str">
        <f aca="false">IF(ROUND(D15,5)=0,"",IF(D15&lt;0,"F","U"))</f>
        <v>U</v>
      </c>
      <c r="G15" s="63" t="s">
        <v>829</v>
      </c>
      <c r="H15" s="50" t="s">
        <v>200</v>
      </c>
      <c r="I15" s="18" t="s">
        <v>191</v>
      </c>
      <c r="J15" s="52" t="s">
        <v>182</v>
      </c>
    </row>
    <row r="16" customFormat="false" ht="40.5" hidden="false" customHeight="true" outlineLevel="1" collapsed="false">
      <c r="A16" s="62" t="s">
        <v>201</v>
      </c>
      <c r="B16" s="34" t="n">
        <v>16</v>
      </c>
      <c r="C16" s="34" t="n">
        <v>15.58</v>
      </c>
      <c r="D16" s="25" t="n">
        <f aca="false">B16-C16</f>
        <v>0.42</v>
      </c>
      <c r="E16" s="26" t="n">
        <f aca="false">IF(C16=0,"n/m",D16/ABS(C16))</f>
        <v>0.0269576379974326</v>
      </c>
      <c r="F16" s="49" t="str">
        <f aca="false">IF(ROUND(D16,5)=0,"",IF(D16&lt;0,"F","U"))</f>
        <v>U</v>
      </c>
      <c r="G16" s="63" t="s">
        <v>830</v>
      </c>
      <c r="H16" s="50" t="s">
        <v>203</v>
      </c>
      <c r="I16" s="18" t="s">
        <v>191</v>
      </c>
      <c r="J16" s="52" t="s">
        <v>182</v>
      </c>
    </row>
    <row r="17" customFormat="false" ht="27.75" hidden="false" customHeight="true" outlineLevel="1" collapsed="false">
      <c r="A17" s="62" t="s">
        <v>204</v>
      </c>
      <c r="B17" s="34" t="n">
        <v>20</v>
      </c>
      <c r="C17" s="34" t="n">
        <v>20.66667</v>
      </c>
      <c r="D17" s="25" t="n">
        <f aca="false">B17-C17</f>
        <v>-0.66667</v>
      </c>
      <c r="E17" s="26" t="n">
        <f aca="false">IF(C17=0,"n/m",D17/ABS(C17))</f>
        <v>-0.0322582206035128</v>
      </c>
      <c r="F17" s="49" t="str">
        <f aca="false">IF(ROUND(D17,5)=0,"",IF(D17&lt;0,"F","U"))</f>
        <v>F</v>
      </c>
      <c r="G17" s="63" t="s">
        <v>831</v>
      </c>
      <c r="H17" s="50" t="s">
        <v>206</v>
      </c>
      <c r="I17" s="18" t="s">
        <v>191</v>
      </c>
      <c r="J17" s="52" t="s">
        <v>182</v>
      </c>
    </row>
    <row r="18" customFormat="false" ht="27.75" hidden="false" customHeight="true" outlineLevel="1" collapsed="false">
      <c r="A18" s="62" t="s">
        <v>207</v>
      </c>
      <c r="B18" s="34" t="n">
        <v>20</v>
      </c>
      <c r="C18" s="34" t="n">
        <v>21.25</v>
      </c>
      <c r="D18" s="25" t="n">
        <f aca="false">B18-C18</f>
        <v>-1.25</v>
      </c>
      <c r="E18" s="26" t="n">
        <f aca="false">IF(C18=0,"n/m",D18/ABS(C18))</f>
        <v>-0.0588235294117647</v>
      </c>
      <c r="F18" s="49" t="str">
        <f aca="false">IF(ROUND(D18,5)=0,"",IF(D18&lt;0,"F","U"))</f>
        <v>F</v>
      </c>
      <c r="G18" s="63" t="s">
        <v>832</v>
      </c>
      <c r="I18" s="18" t="s">
        <v>191</v>
      </c>
      <c r="J18" s="52" t="s">
        <v>182</v>
      </c>
    </row>
    <row r="19" customFormat="false" ht="27.75" hidden="false" customHeight="true" outlineLevel="0" collapsed="false">
      <c r="A19" s="11" t="s">
        <v>156</v>
      </c>
      <c r="B19" s="34" t="n">
        <v>120</v>
      </c>
      <c r="C19" s="34" t="n">
        <v>119.412</v>
      </c>
      <c r="D19" s="25" t="n">
        <f aca="false">B19-C19</f>
        <v>0.587999999999994</v>
      </c>
      <c r="E19" s="26" t="n">
        <f aca="false">IF(C19=0,"n/m",D19/ABS(C19))</f>
        <v>0.00492412822831871</v>
      </c>
      <c r="F19" s="49" t="str">
        <f aca="false">IF(ROUND(D19,5)=0,"",IF(D19&lt;0,"F","U"))</f>
        <v>U</v>
      </c>
      <c r="G19" s="63" t="s">
        <v>833</v>
      </c>
      <c r="H19" s="50" t="s">
        <v>210</v>
      </c>
      <c r="I19" s="18" t="s">
        <v>191</v>
      </c>
      <c r="J19" s="52" t="s">
        <v>182</v>
      </c>
    </row>
    <row r="20" customFormat="false" ht="60" hidden="false" customHeight="true" outlineLevel="0" collapsed="false">
      <c r="A20" s="53" t="s">
        <v>101</v>
      </c>
      <c r="B20" s="37" t="n">
        <f aca="false">B11+B19</f>
        <v>660</v>
      </c>
      <c r="C20" s="37" t="n">
        <f aca="false">C11+C19</f>
        <v>667.77377</v>
      </c>
      <c r="D20" s="37" t="n">
        <f aca="false">B20-C20</f>
        <v>-7.77377000000001</v>
      </c>
      <c r="E20" s="54" t="n">
        <f aca="false">IF(C20=0,"n/m",D20/ABS(C20))</f>
        <v>-0.0116413227791203</v>
      </c>
      <c r="F20" s="55" t="str">
        <f aca="false">IF(ROUND(D20,5)=0,"",IF(D20&lt;0,"F","U"))</f>
        <v>F</v>
      </c>
      <c r="G20" s="56" t="s">
        <v>834</v>
      </c>
      <c r="H20" s="57" t="s">
        <v>212</v>
      </c>
      <c r="I20" s="58" t="s">
        <v>822</v>
      </c>
      <c r="J20" s="59" t="str">
        <f aca="false">IF(AND(ROUND(B20-K20,4)=0,ROUND(C20-L20,4)=0,TRUE()),"✓","✗")</f>
        <v>✓</v>
      </c>
      <c r="K20" s="60" t="n">
        <v>660</v>
      </c>
      <c r="L20" s="60" t="n">
        <v>667.77377</v>
      </c>
    </row>
    <row r="21" customFormat="false" ht="60" hidden="false" customHeight="true" outlineLevel="0" collapsed="false">
      <c r="A21" s="64" t="s">
        <v>92</v>
      </c>
      <c r="B21" s="65" t="n">
        <f aca="false">B10-B20</f>
        <v>1340</v>
      </c>
      <c r="C21" s="65" t="n">
        <f aca="false">C10-C20</f>
        <v>1362.22623</v>
      </c>
      <c r="D21" s="65" t="n">
        <f aca="false">B21-C21</f>
        <v>-22.22623</v>
      </c>
      <c r="E21" s="66" t="n">
        <f aca="false">IF(C21=0,"n/m",D21/ABS(C21))</f>
        <v>-0.0163161077877644</v>
      </c>
      <c r="F21" s="67" t="str">
        <f aca="false">IF(ROUND(D21,5)=0,"",IF(D21&gt;0,"F","U"))</f>
        <v>U</v>
      </c>
      <c r="G21" s="68" t="s">
        <v>835</v>
      </c>
      <c r="H21" s="69" t="s">
        <v>214</v>
      </c>
      <c r="I21" s="70" t="s">
        <v>822</v>
      </c>
      <c r="J21" s="71" t="str">
        <f aca="false">IF(AND(ROUND(B21-K21,4)=0,ROUND(C21-L21,4)=0,TRUE()),"✓","✗")</f>
        <v>✓</v>
      </c>
      <c r="K21" s="72" t="n">
        <v>1340</v>
      </c>
      <c r="L21" s="72" t="n">
        <v>1362.22623</v>
      </c>
    </row>
    <row r="22" customFormat="false" ht="48" hidden="false" customHeight="true" outlineLevel="0" collapsed="false">
      <c r="A22" s="11" t="s">
        <v>157</v>
      </c>
      <c r="B22" s="25" t="n">
        <f aca="false">B23+B24+B25+B26+B27</f>
        <v>414</v>
      </c>
      <c r="C22" s="25" t="n">
        <f aca="false">C23+C24+C25+C26+C27</f>
        <v>450.65167</v>
      </c>
      <c r="D22" s="25" t="n">
        <f aca="false">B22-C22</f>
        <v>-36.65167</v>
      </c>
      <c r="E22" s="26" t="n">
        <f aca="false">IF(C22=0,"n/m",D22/ABS(C22))</f>
        <v>-0.0813303765189642</v>
      </c>
      <c r="F22" s="49" t="str">
        <f aca="false">IF(ROUND(D22,5)=0,"",IF(D22&lt;0,"F","U"))</f>
        <v>F</v>
      </c>
      <c r="G22" s="6" t="s">
        <v>836</v>
      </c>
      <c r="H22" s="50" t="s">
        <v>216</v>
      </c>
      <c r="I22" s="51" t="s">
        <v>822</v>
      </c>
      <c r="J22" s="52" t="str">
        <f aca="false">IF(AND(ROUND(B22-K22,4)=0,ROUND(C22-L22,4)=0,TRUE()),"✓","✗")</f>
        <v>✓</v>
      </c>
      <c r="K22" s="61" t="n">
        <v>414</v>
      </c>
      <c r="L22" s="61" t="n">
        <v>450.65167</v>
      </c>
    </row>
    <row r="23" customFormat="false" ht="36.75" hidden="false" customHeight="true" outlineLevel="1" collapsed="false">
      <c r="A23" s="62" t="s">
        <v>192</v>
      </c>
      <c r="B23" s="34" t="n">
        <v>300</v>
      </c>
      <c r="C23" s="34" t="n">
        <v>333.69</v>
      </c>
      <c r="D23" s="25" t="n">
        <f aca="false">B23-C23</f>
        <v>-33.69</v>
      </c>
      <c r="E23" s="26" t="n">
        <f aca="false">IF(C23=0,"n/m",D23/ABS(C23))</f>
        <v>-0.10096197069136</v>
      </c>
      <c r="F23" s="49" t="str">
        <f aca="false">IF(ROUND(D23,5)=0,"",IF(D23&lt;0,"F","U"))</f>
        <v>F</v>
      </c>
      <c r="G23" s="6" t="s">
        <v>837</v>
      </c>
      <c r="H23" s="50" t="s">
        <v>218</v>
      </c>
      <c r="I23" s="51" t="s">
        <v>822</v>
      </c>
      <c r="J23" s="52" t="s">
        <v>182</v>
      </c>
    </row>
    <row r="24" customFormat="false" ht="15" hidden="false" customHeight="true" outlineLevel="1" collapsed="false">
      <c r="A24" s="62" t="s">
        <v>189</v>
      </c>
      <c r="B24" s="34" t="n">
        <v>40</v>
      </c>
      <c r="C24" s="34" t="n">
        <v>39</v>
      </c>
      <c r="D24" s="25" t="n">
        <f aca="false">B24-C24</f>
        <v>1</v>
      </c>
      <c r="E24" s="26" t="n">
        <f aca="false">IF(C24=0,"n/m",D24/ABS(C24))</f>
        <v>0.0256410256410256</v>
      </c>
      <c r="F24" s="49" t="str">
        <f aca="false">IF(ROUND(D24,5)=0,"",IF(D24&lt;0,"F","U"))</f>
        <v>U</v>
      </c>
      <c r="G24" s="63" t="s">
        <v>838</v>
      </c>
      <c r="I24" s="18" t="s">
        <v>191</v>
      </c>
      <c r="J24" s="52" t="s">
        <v>182</v>
      </c>
    </row>
    <row r="25" customFormat="false" ht="40.5" hidden="false" customHeight="true" outlineLevel="1" collapsed="false">
      <c r="A25" s="62" t="s">
        <v>201</v>
      </c>
      <c r="B25" s="34" t="n">
        <v>24</v>
      </c>
      <c r="C25" s="34" t="n">
        <v>25.42</v>
      </c>
      <c r="D25" s="25" t="n">
        <f aca="false">B25-C25</f>
        <v>-1.42</v>
      </c>
      <c r="E25" s="26" t="n">
        <f aca="false">IF(C25=0,"n/m",D25/ABS(C25))</f>
        <v>-0.0558615263571991</v>
      </c>
      <c r="F25" s="49" t="str">
        <f aca="false">IF(ROUND(D25,5)=0,"",IF(D25&lt;0,"F","U"))</f>
        <v>F</v>
      </c>
      <c r="G25" s="63" t="s">
        <v>839</v>
      </c>
      <c r="H25" s="50" t="s">
        <v>221</v>
      </c>
      <c r="I25" s="18" t="s">
        <v>191</v>
      </c>
      <c r="J25" s="52" t="s">
        <v>182</v>
      </c>
    </row>
    <row r="26" customFormat="false" ht="27.75" hidden="false" customHeight="true" outlineLevel="1" collapsed="false">
      <c r="A26" s="62" t="s">
        <v>204</v>
      </c>
      <c r="B26" s="34" t="n">
        <v>20</v>
      </c>
      <c r="C26" s="34" t="n">
        <v>20.66667</v>
      </c>
      <c r="D26" s="25" t="n">
        <f aca="false">B26-C26</f>
        <v>-0.66667</v>
      </c>
      <c r="E26" s="26" t="n">
        <f aca="false">IF(C26=0,"n/m",D26/ABS(C26))</f>
        <v>-0.0322582206035128</v>
      </c>
      <c r="F26" s="49" t="str">
        <f aca="false">IF(ROUND(D26,5)=0,"",IF(D26&lt;0,"F","U"))</f>
        <v>F</v>
      </c>
      <c r="G26" s="63" t="s">
        <v>831</v>
      </c>
      <c r="H26" s="50" t="s">
        <v>206</v>
      </c>
      <c r="I26" s="18" t="s">
        <v>191</v>
      </c>
      <c r="J26" s="52" t="s">
        <v>182</v>
      </c>
    </row>
    <row r="27" customFormat="false" ht="27.75" hidden="false" customHeight="true" outlineLevel="1" collapsed="false">
      <c r="A27" s="62" t="s">
        <v>207</v>
      </c>
      <c r="B27" s="34" t="n">
        <v>30</v>
      </c>
      <c r="C27" s="34" t="n">
        <v>31.875</v>
      </c>
      <c r="D27" s="25" t="n">
        <f aca="false">B27-C27</f>
        <v>-1.875</v>
      </c>
      <c r="E27" s="26" t="n">
        <f aca="false">IF(C27=0,"n/m",D27/ABS(C27))</f>
        <v>-0.0588235294117647</v>
      </c>
      <c r="F27" s="49" t="str">
        <f aca="false">IF(ROUND(D27,5)=0,"",IF(D27&lt;0,"F","U"))</f>
        <v>F</v>
      </c>
      <c r="G27" s="63" t="s">
        <v>840</v>
      </c>
      <c r="I27" s="18" t="s">
        <v>191</v>
      </c>
      <c r="J27" s="52" t="s">
        <v>182</v>
      </c>
    </row>
    <row r="28" customFormat="false" ht="48" hidden="false" customHeight="true" outlineLevel="0" collapsed="false">
      <c r="A28" s="11" t="s">
        <v>158</v>
      </c>
      <c r="B28" s="25" t="n">
        <f aca="false">B29+B30+B31+B32+B33+B34+B35+B36</f>
        <v>490</v>
      </c>
      <c r="C28" s="25" t="n">
        <f aca="false">C29+C30+C31+C32+C33+C34+C35+C36</f>
        <v>524.13723</v>
      </c>
      <c r="D28" s="25" t="n">
        <f aca="false">B28-C28</f>
        <v>-34.13723</v>
      </c>
      <c r="E28" s="26" t="n">
        <f aca="false">IF(C28=0,"n/m",D28/ABS(C28))</f>
        <v>-0.065130328559183</v>
      </c>
      <c r="F28" s="49" t="str">
        <f aca="false">IF(ROUND(D28,5)=0,"",IF(D28&lt;0,"F","U"))</f>
        <v>F</v>
      </c>
      <c r="G28" s="6" t="s">
        <v>841</v>
      </c>
      <c r="H28" s="50" t="s">
        <v>224</v>
      </c>
      <c r="I28" s="51" t="s">
        <v>822</v>
      </c>
      <c r="J28" s="52" t="str">
        <f aca="false">IF(AND(ROUND(B28-K28,4)=0,ROUND(C28-L28,4)=0,TRUE()),"✓","✗")</f>
        <v>✓</v>
      </c>
      <c r="K28" s="61" t="n">
        <v>490</v>
      </c>
      <c r="L28" s="61" t="n">
        <v>524.13723</v>
      </c>
    </row>
    <row r="29" customFormat="false" ht="36.75" hidden="false" customHeight="true" outlineLevel="1" collapsed="false">
      <c r="A29" s="62" t="s">
        <v>225</v>
      </c>
      <c r="B29" s="34" t="n">
        <v>240</v>
      </c>
      <c r="C29" s="34" t="n">
        <v>263.88</v>
      </c>
      <c r="D29" s="25" t="n">
        <f aca="false">B29-C29</f>
        <v>-23.88</v>
      </c>
      <c r="E29" s="26" t="n">
        <f aca="false">IF(C29=0,"n/m",D29/ABS(C29))</f>
        <v>-0.0904956798544793</v>
      </c>
      <c r="F29" s="49" t="str">
        <f aca="false">IF(ROUND(D29,5)=0,"",IF(D29&lt;0,"F","U"))</f>
        <v>F</v>
      </c>
      <c r="G29" s="6" t="s">
        <v>842</v>
      </c>
      <c r="H29" s="50" t="s">
        <v>227</v>
      </c>
      <c r="I29" s="51" t="s">
        <v>822</v>
      </c>
      <c r="J29" s="52" t="s">
        <v>182</v>
      </c>
    </row>
    <row r="30" customFormat="false" ht="27.75" hidden="false" customHeight="true" outlineLevel="1" collapsed="false">
      <c r="A30" s="62" t="s">
        <v>195</v>
      </c>
      <c r="B30" s="34" t="n">
        <v>36</v>
      </c>
      <c r="C30" s="34" t="n">
        <v>38.0739</v>
      </c>
      <c r="D30" s="25" t="n">
        <f aca="false">B30-C30</f>
        <v>-2.0739</v>
      </c>
      <c r="E30" s="26" t="n">
        <f aca="false">IF(C30=0,"n/m",D30/ABS(C30))</f>
        <v>-0.0544703852245239</v>
      </c>
      <c r="F30" s="49" t="str">
        <f aca="false">IF(ROUND(D30,5)=0,"",IF(D30&lt;0,"F","U"))</f>
        <v>F</v>
      </c>
      <c r="G30" s="63" t="s">
        <v>843</v>
      </c>
      <c r="H30" s="50" t="s">
        <v>229</v>
      </c>
      <c r="I30" s="18" t="s">
        <v>191</v>
      </c>
      <c r="J30" s="52" t="s">
        <v>182</v>
      </c>
    </row>
    <row r="31" customFormat="false" ht="48" hidden="false" customHeight="true" outlineLevel="1" collapsed="false">
      <c r="A31" s="62" t="s">
        <v>230</v>
      </c>
      <c r="B31" s="34" t="n">
        <v>100</v>
      </c>
      <c r="C31" s="34" t="n">
        <v>110</v>
      </c>
      <c r="D31" s="25" t="n">
        <f aca="false">B31-C31</f>
        <v>-10</v>
      </c>
      <c r="E31" s="26" t="n">
        <f aca="false">IF(C31=0,"n/m",D31/ABS(C31))</f>
        <v>-0.0909090909090909</v>
      </c>
      <c r="F31" s="49" t="str">
        <f aca="false">IF(ROUND(D31,5)=0,"",IF(D31&lt;0,"F","U"))</f>
        <v>F</v>
      </c>
      <c r="G31" s="6" t="s">
        <v>844</v>
      </c>
      <c r="H31" s="50" t="s">
        <v>232</v>
      </c>
      <c r="I31" s="51" t="s">
        <v>822</v>
      </c>
      <c r="J31" s="52" t="s">
        <v>182</v>
      </c>
    </row>
    <row r="32" customFormat="false" ht="40.5" hidden="false" customHeight="true" outlineLevel="1" collapsed="false">
      <c r="A32" s="62" t="s">
        <v>233</v>
      </c>
      <c r="B32" s="34" t="n">
        <v>40</v>
      </c>
      <c r="C32" s="34" t="n">
        <v>42</v>
      </c>
      <c r="D32" s="25" t="n">
        <f aca="false">B32-C32</f>
        <v>-2</v>
      </c>
      <c r="E32" s="26" t="n">
        <f aca="false">IF(C32=0,"n/m",D32/ABS(C32))</f>
        <v>-0.0476190476190476</v>
      </c>
      <c r="F32" s="49" t="str">
        <f aca="false">IF(ROUND(D32,5)=0,"",IF(D32&lt;0,"F","U"))</f>
        <v>F</v>
      </c>
      <c r="G32" s="63" t="s">
        <v>845</v>
      </c>
      <c r="I32" s="18" t="s">
        <v>191</v>
      </c>
      <c r="J32" s="52" t="s">
        <v>182</v>
      </c>
    </row>
    <row r="33" customFormat="false" ht="27.75" hidden="false" customHeight="true" outlineLevel="1" collapsed="false">
      <c r="A33" s="62" t="s">
        <v>189</v>
      </c>
      <c r="B33" s="34" t="n">
        <v>20</v>
      </c>
      <c r="C33" s="34" t="n">
        <v>14</v>
      </c>
      <c r="D33" s="25" t="n">
        <f aca="false">B33-C33</f>
        <v>6</v>
      </c>
      <c r="E33" s="26" t="n">
        <f aca="false">IF(C33=0,"n/m",D33/ABS(C33))</f>
        <v>0.428571428571429</v>
      </c>
      <c r="F33" s="49" t="str">
        <f aca="false">IF(ROUND(D33,5)=0,"",IF(D33&lt;0,"F","U"))</f>
        <v>U</v>
      </c>
      <c r="G33" s="6" t="s">
        <v>846</v>
      </c>
      <c r="H33" s="50" t="s">
        <v>236</v>
      </c>
      <c r="I33" s="51" t="s">
        <v>822</v>
      </c>
      <c r="J33" s="52" t="s">
        <v>182</v>
      </c>
    </row>
    <row r="34" customFormat="false" ht="36.75" hidden="false" customHeight="true" outlineLevel="1" collapsed="false">
      <c r="A34" s="62" t="s">
        <v>201</v>
      </c>
      <c r="B34" s="34" t="n">
        <v>24</v>
      </c>
      <c r="C34" s="34" t="n">
        <v>24.6</v>
      </c>
      <c r="D34" s="25" t="n">
        <f aca="false">B34-C34</f>
        <v>-0.600000000000001</v>
      </c>
      <c r="E34" s="26" t="n">
        <f aca="false">IF(C34=0,"n/m",D34/ABS(C34))</f>
        <v>-0.0243902439024391</v>
      </c>
      <c r="F34" s="49" t="str">
        <f aca="false">IF(ROUND(D34,5)=0,"",IF(D34&lt;0,"F","U"))</f>
        <v>F</v>
      </c>
      <c r="G34" s="63" t="s">
        <v>847</v>
      </c>
      <c r="H34" s="50" t="s">
        <v>221</v>
      </c>
      <c r="I34" s="18" t="s">
        <v>191</v>
      </c>
      <c r="J34" s="52" t="s">
        <v>182</v>
      </c>
    </row>
    <row r="35" customFormat="false" ht="27.75" hidden="false" customHeight="true" outlineLevel="1" collapsed="false">
      <c r="A35" s="62" t="s">
        <v>204</v>
      </c>
      <c r="B35" s="34" t="n">
        <v>10</v>
      </c>
      <c r="C35" s="34" t="n">
        <v>10.33333</v>
      </c>
      <c r="D35" s="25" t="n">
        <f aca="false">B35-C35</f>
        <v>-0.33333</v>
      </c>
      <c r="E35" s="26" t="n">
        <f aca="false">IF(C35=0,"n/m",D35/ABS(C35))</f>
        <v>-0.0322577523412104</v>
      </c>
      <c r="F35" s="49" t="str">
        <f aca="false">IF(ROUND(D35,5)=0,"",IF(D35&lt;0,"F","U"))</f>
        <v>F</v>
      </c>
      <c r="G35" s="63" t="s">
        <v>848</v>
      </c>
      <c r="H35" s="50" t="s">
        <v>239</v>
      </c>
      <c r="I35" s="18" t="s">
        <v>191</v>
      </c>
      <c r="J35" s="52" t="s">
        <v>182</v>
      </c>
    </row>
    <row r="36" customFormat="false" ht="27.75" hidden="false" customHeight="true" outlineLevel="1" collapsed="false">
      <c r="A36" s="62" t="s">
        <v>207</v>
      </c>
      <c r="B36" s="34" t="n">
        <v>20</v>
      </c>
      <c r="C36" s="34" t="n">
        <v>21.25</v>
      </c>
      <c r="D36" s="25" t="n">
        <f aca="false">B36-C36</f>
        <v>-1.25</v>
      </c>
      <c r="E36" s="26" t="n">
        <f aca="false">IF(C36=0,"n/m",D36/ABS(C36))</f>
        <v>-0.0588235294117647</v>
      </c>
      <c r="F36" s="49" t="str">
        <f aca="false">IF(ROUND(D36,5)=0,"",IF(D36&lt;0,"F","U"))</f>
        <v>F</v>
      </c>
      <c r="G36" s="63" t="s">
        <v>832</v>
      </c>
      <c r="I36" s="18" t="s">
        <v>191</v>
      </c>
      <c r="J36" s="52" t="s">
        <v>182</v>
      </c>
    </row>
    <row r="37" customFormat="false" ht="40.5" hidden="false" customHeight="true" outlineLevel="0" collapsed="false">
      <c r="A37" s="11" t="s">
        <v>159</v>
      </c>
      <c r="B37" s="25" t="n">
        <f aca="false">B38+B39+B40+B41</f>
        <v>216</v>
      </c>
      <c r="C37" s="25" t="n">
        <f aca="false">C38+C39+C40+C41</f>
        <v>212.35833</v>
      </c>
      <c r="D37" s="25" t="n">
        <f aca="false">B37-C37</f>
        <v>3.64167000000001</v>
      </c>
      <c r="E37" s="26" t="n">
        <f aca="false">IF(C37=0,"n/m",D37/ABS(C37))</f>
        <v>0.0171487033261187</v>
      </c>
      <c r="F37" s="49" t="str">
        <f aca="false">IF(ROUND(D37,5)=0,"",IF(D37&lt;0,"F","U"))</f>
        <v>U</v>
      </c>
      <c r="G37" s="6" t="s">
        <v>849</v>
      </c>
      <c r="H37" s="50" t="s">
        <v>241</v>
      </c>
      <c r="I37" s="51" t="s">
        <v>822</v>
      </c>
      <c r="J37" s="52" t="str">
        <f aca="false">IF(AND(ROUND(B37-K37,4)=0,ROUND(C37-L37,4)=0,TRUE()),"✓","✗")</f>
        <v>✓</v>
      </c>
      <c r="K37" s="61" t="n">
        <v>216</v>
      </c>
      <c r="L37" s="61" t="n">
        <v>212.35833</v>
      </c>
    </row>
    <row r="38" customFormat="false" ht="53.25" hidden="false" customHeight="true" outlineLevel="1" collapsed="false">
      <c r="A38" s="62" t="s">
        <v>242</v>
      </c>
      <c r="B38" s="34" t="n">
        <v>180</v>
      </c>
      <c r="C38" s="34" t="n">
        <v>175</v>
      </c>
      <c r="D38" s="25" t="n">
        <f aca="false">B38-C38</f>
        <v>5</v>
      </c>
      <c r="E38" s="26" t="n">
        <f aca="false">IF(C38=0,"n/m",D38/ABS(C38))</f>
        <v>0.0285714285714286</v>
      </c>
      <c r="F38" s="49" t="str">
        <f aca="false">IF(ROUND(D38,5)=0,"",IF(D38&lt;0,"F","U"))</f>
        <v>U</v>
      </c>
      <c r="G38" s="63" t="s">
        <v>850</v>
      </c>
      <c r="H38" s="50" t="s">
        <v>244</v>
      </c>
      <c r="I38" s="18" t="s">
        <v>191</v>
      </c>
      <c r="J38" s="52" t="s">
        <v>182</v>
      </c>
    </row>
    <row r="39" customFormat="false" ht="36.75" hidden="false" customHeight="true" outlineLevel="1" collapsed="false">
      <c r="A39" s="62" t="s">
        <v>201</v>
      </c>
      <c r="B39" s="34" t="n">
        <v>16</v>
      </c>
      <c r="C39" s="34" t="n">
        <v>16.4</v>
      </c>
      <c r="D39" s="25" t="n">
        <f aca="false">B39-C39</f>
        <v>-0.399999999999999</v>
      </c>
      <c r="E39" s="26" t="n">
        <f aca="false">IF(C39=0,"n/m",D39/ABS(C39))</f>
        <v>-0.0243902439024389</v>
      </c>
      <c r="F39" s="49" t="str">
        <f aca="false">IF(ROUND(D39,5)=0,"",IF(D39&lt;0,"F","U"))</f>
        <v>F</v>
      </c>
      <c r="G39" s="63" t="s">
        <v>851</v>
      </c>
      <c r="H39" s="50" t="s">
        <v>203</v>
      </c>
      <c r="I39" s="18" t="s">
        <v>191</v>
      </c>
      <c r="J39" s="52" t="s">
        <v>182</v>
      </c>
    </row>
    <row r="40" customFormat="false" ht="27.75" hidden="false" customHeight="true" outlineLevel="1" collapsed="false">
      <c r="A40" s="62" t="s">
        <v>204</v>
      </c>
      <c r="B40" s="34" t="n">
        <v>10</v>
      </c>
      <c r="C40" s="34" t="n">
        <v>10.33333</v>
      </c>
      <c r="D40" s="25" t="n">
        <f aca="false">B40-C40</f>
        <v>-0.33333</v>
      </c>
      <c r="E40" s="26" t="n">
        <f aca="false">IF(C40=0,"n/m",D40/ABS(C40))</f>
        <v>-0.0322577523412104</v>
      </c>
      <c r="F40" s="49" t="str">
        <f aca="false">IF(ROUND(D40,5)=0,"",IF(D40&lt;0,"F","U"))</f>
        <v>F</v>
      </c>
      <c r="G40" s="63" t="s">
        <v>848</v>
      </c>
      <c r="H40" s="50" t="s">
        <v>239</v>
      </c>
      <c r="I40" s="18" t="s">
        <v>191</v>
      </c>
      <c r="J40" s="52" t="s">
        <v>182</v>
      </c>
    </row>
    <row r="41" customFormat="false" ht="27.75" hidden="false" customHeight="true" outlineLevel="1" collapsed="false">
      <c r="A41" s="62" t="s">
        <v>207</v>
      </c>
      <c r="B41" s="34" t="n">
        <v>10</v>
      </c>
      <c r="C41" s="34" t="n">
        <v>10.625</v>
      </c>
      <c r="D41" s="25" t="n">
        <f aca="false">B41-C41</f>
        <v>-0.625</v>
      </c>
      <c r="E41" s="26" t="n">
        <f aca="false">IF(C41=0,"n/m",D41/ABS(C41))</f>
        <v>-0.0588235294117647</v>
      </c>
      <c r="F41" s="49" t="str">
        <f aca="false">IF(ROUND(D41,5)=0,"",IF(D41&lt;0,"F","U"))</f>
        <v>F</v>
      </c>
      <c r="G41" s="63" t="s">
        <v>852</v>
      </c>
      <c r="I41" s="18" t="s">
        <v>191</v>
      </c>
      <c r="J41" s="52" t="s">
        <v>182</v>
      </c>
    </row>
    <row r="42" customFormat="false" ht="60" hidden="false" customHeight="true" outlineLevel="0" collapsed="false">
      <c r="A42" s="53" t="s">
        <v>95</v>
      </c>
      <c r="B42" s="37" t="n">
        <f aca="false">B22+B28+B37</f>
        <v>1120</v>
      </c>
      <c r="C42" s="37" t="n">
        <f aca="false">C22+C28+C37</f>
        <v>1187.14723</v>
      </c>
      <c r="D42" s="37" t="n">
        <f aca="false">B42-C42</f>
        <v>-67.14723</v>
      </c>
      <c r="E42" s="54" t="n">
        <f aca="false">IF(C42=0,"n/m",D42/ABS(C42))</f>
        <v>-0.0565618385850928</v>
      </c>
      <c r="F42" s="55" t="str">
        <f aca="false">IF(ROUND(D42,5)=0,"",IF(D42&lt;0,"F","U"))</f>
        <v>F</v>
      </c>
      <c r="G42" s="56" t="s">
        <v>853</v>
      </c>
      <c r="H42" s="57" t="s">
        <v>248</v>
      </c>
      <c r="I42" s="58" t="s">
        <v>822</v>
      </c>
      <c r="J42" s="59" t="str">
        <f aca="false">IF(AND(ROUND(B42-K42,4)=0,ROUND(C42-L42,4)=0,TRUE()),"✓","✗")</f>
        <v>✓</v>
      </c>
      <c r="K42" s="60" t="n">
        <v>1120</v>
      </c>
      <c r="L42" s="60" t="n">
        <v>1187.14723</v>
      </c>
    </row>
    <row r="43" customFormat="false" ht="60" hidden="false" customHeight="true" outlineLevel="0" collapsed="false">
      <c r="A43" s="64" t="s">
        <v>96</v>
      </c>
      <c r="B43" s="65" t="n">
        <f aca="false">B21-B42</f>
        <v>220</v>
      </c>
      <c r="C43" s="65" t="n">
        <f aca="false">C21-C42</f>
        <v>175.079</v>
      </c>
      <c r="D43" s="65" t="n">
        <f aca="false">B43-C43</f>
        <v>44.9210000000001</v>
      </c>
      <c r="E43" s="66" t="n">
        <f aca="false">IF(C43=0,"n/m",D43/ABS(C43))</f>
        <v>0.256575603013497</v>
      </c>
      <c r="F43" s="67" t="str">
        <f aca="false">IF(ROUND(D43,5)=0,"",IF(D43&gt;0,"F","U"))</f>
        <v>F</v>
      </c>
      <c r="G43" s="68" t="s">
        <v>854</v>
      </c>
      <c r="H43" s="69" t="s">
        <v>250</v>
      </c>
      <c r="I43" s="70" t="s">
        <v>822</v>
      </c>
      <c r="J43" s="71" t="str">
        <f aca="false">IF(AND(ROUND(B43-K43,4)=0,ROUND(C43-L43,4)=0,TRUE()),"✓","✗")</f>
        <v>✓</v>
      </c>
      <c r="K43" s="72" t="n">
        <v>220</v>
      </c>
      <c r="L43" s="72" t="n">
        <v>175.079</v>
      </c>
    </row>
    <row r="44" customFormat="false" ht="27.75" hidden="false" customHeight="true" outlineLevel="0" collapsed="false">
      <c r="A44" s="11" t="s">
        <v>160</v>
      </c>
      <c r="B44" s="34" t="n">
        <v>10</v>
      </c>
      <c r="C44" s="34" t="n">
        <v>8</v>
      </c>
      <c r="D44" s="25" t="n">
        <f aca="false">B44-C44</f>
        <v>2</v>
      </c>
      <c r="E44" s="26" t="n">
        <f aca="false">IF(C44=0,"n/m",D44/ABS(C44))</f>
        <v>0.25</v>
      </c>
      <c r="F44" s="49" t="str">
        <f aca="false">IF(ROUND(D44,5)=0,"",IF(D44&gt;0,"F","U"))</f>
        <v>F</v>
      </c>
      <c r="G44" s="63" t="s">
        <v>855</v>
      </c>
      <c r="I44" s="18" t="s">
        <v>191</v>
      </c>
      <c r="J44" s="52" t="s">
        <v>182</v>
      </c>
    </row>
    <row r="45" customFormat="false" ht="15" hidden="false" customHeight="true" outlineLevel="0" collapsed="false">
      <c r="A45" s="11" t="s">
        <v>161</v>
      </c>
      <c r="B45" s="34" t="n">
        <v>30</v>
      </c>
      <c r="C45" s="34" t="n">
        <v>30</v>
      </c>
      <c r="D45" s="25" t="n">
        <f aca="false">B45-C45</f>
        <v>0</v>
      </c>
      <c r="E45" s="26" t="n">
        <f aca="false">IF(C45=0,"n/m",D45/ABS(C45))</f>
        <v>0</v>
      </c>
      <c r="F45" s="49" t="str">
        <f aca="false">IF(ROUND(D45,5)=0,"",IF(D45&lt;0,"F","U"))</f>
        <v/>
      </c>
      <c r="G45" s="63" t="s">
        <v>856</v>
      </c>
      <c r="I45" s="18" t="s">
        <v>191</v>
      </c>
      <c r="J45" s="52" t="s">
        <v>182</v>
      </c>
    </row>
    <row r="46" customFormat="false" ht="60" hidden="false" customHeight="true" outlineLevel="0" collapsed="false">
      <c r="A46" s="64" t="s">
        <v>162</v>
      </c>
      <c r="B46" s="65" t="n">
        <f aca="false">B43+B44-B45</f>
        <v>200</v>
      </c>
      <c r="C46" s="65" t="n">
        <f aca="false">C43+C44-C45</f>
        <v>153.079</v>
      </c>
      <c r="D46" s="65" t="n">
        <f aca="false">B46-C46</f>
        <v>46.9210000000001</v>
      </c>
      <c r="E46" s="66" t="n">
        <f aca="false">IF(C46=0,"n/m",D46/ABS(C46))</f>
        <v>0.306514936732015</v>
      </c>
      <c r="F46" s="67" t="str">
        <f aca="false">IF(ROUND(D46,5)=0,"",IF(D46&gt;0,"F","U"))</f>
        <v>F</v>
      </c>
      <c r="G46" s="68" t="s">
        <v>857</v>
      </c>
      <c r="H46" s="69" t="s">
        <v>250</v>
      </c>
      <c r="I46" s="70" t="s">
        <v>822</v>
      </c>
      <c r="J46" s="71" t="str">
        <f aca="false">IF(AND(ROUND(B46-K46,4)=0,ROUND(C46-L46,4)=0,TRUE()),"✓","✗")</f>
        <v>✓</v>
      </c>
      <c r="K46" s="72" t="n">
        <v>200</v>
      </c>
      <c r="L46" s="72" t="n">
        <v>153.079</v>
      </c>
    </row>
    <row r="47" customFormat="false" ht="27.75" hidden="false" customHeight="true" outlineLevel="0" collapsed="false">
      <c r="A47" s="11" t="s">
        <v>126</v>
      </c>
      <c r="B47" s="34" t="n">
        <v>40</v>
      </c>
      <c r="C47" s="34" t="n">
        <v>45</v>
      </c>
      <c r="D47" s="25" t="n">
        <f aca="false">B47-C47</f>
        <v>-5</v>
      </c>
      <c r="E47" s="26" t="n">
        <f aca="false">IF(C47=0,"n/m",D47/ABS(C47))</f>
        <v>-0.111111111111111</v>
      </c>
      <c r="F47" s="49" t="str">
        <f aca="false">IF(ROUND(D47,5)=0,"",IF(D47&lt;0,"F","U"))</f>
        <v>F</v>
      </c>
      <c r="G47" s="6" t="s">
        <v>858</v>
      </c>
      <c r="I47" s="51" t="s">
        <v>822</v>
      </c>
      <c r="J47" s="52" t="s">
        <v>182</v>
      </c>
    </row>
    <row r="48" customFormat="false" ht="60" hidden="false" customHeight="true" outlineLevel="0" collapsed="false">
      <c r="A48" s="64" t="s">
        <v>97</v>
      </c>
      <c r="B48" s="65" t="n">
        <f aca="false">B46-B47</f>
        <v>160</v>
      </c>
      <c r="C48" s="65" t="n">
        <f aca="false">C46-C47</f>
        <v>108.079</v>
      </c>
      <c r="D48" s="65" t="n">
        <f aca="false">B48-C48</f>
        <v>51.9210000000001</v>
      </c>
      <c r="E48" s="66" t="n">
        <f aca="false">IF(C48=0,"n/m",D48/ABS(C48))</f>
        <v>0.48039859732233</v>
      </c>
      <c r="F48" s="67" t="str">
        <f aca="false">IF(ROUND(D48,5)=0,"",IF(D48&gt;0,"F","U"))</f>
        <v>F</v>
      </c>
      <c r="G48" s="68" t="s">
        <v>859</v>
      </c>
      <c r="H48" s="69" t="s">
        <v>250</v>
      </c>
      <c r="I48" s="70" t="s">
        <v>822</v>
      </c>
      <c r="J48" s="71" t="str">
        <f aca="false">IF(AND(ROUND(B48-K48,4)=0,ROUND(C48-L48,4)=0,TRUE()),"✓","✗")</f>
        <v>✓</v>
      </c>
      <c r="K48" s="72" t="n">
        <v>160</v>
      </c>
      <c r="L48" s="72" t="n">
        <v>108.079</v>
      </c>
    </row>
    <row r="50" customFormat="false" ht="18" hidden="false" customHeight="true" outlineLevel="0" collapsed="false">
      <c r="A50" s="44" t="s">
        <v>163</v>
      </c>
      <c r="B50" s="45"/>
      <c r="C50" s="45"/>
      <c r="D50" s="45"/>
      <c r="E50" s="45"/>
      <c r="F50" s="45"/>
      <c r="G50" s="45"/>
      <c r="H50" s="45"/>
      <c r="I50" s="45"/>
      <c r="J50" s="45"/>
      <c r="K50" s="45"/>
      <c r="L50" s="45"/>
    </row>
    <row r="51" customFormat="false" ht="48" hidden="false" customHeight="true" outlineLevel="0" collapsed="false">
      <c r="A51" s="11" t="s">
        <v>153</v>
      </c>
      <c r="B51" s="34" t="n">
        <v>1800</v>
      </c>
      <c r="C51" s="34" t="n">
        <v>1850</v>
      </c>
      <c r="D51" s="25" t="n">
        <f aca="false">B51-C51</f>
        <v>-50</v>
      </c>
      <c r="E51" s="26" t="n">
        <f aca="false">IF(C51=0,"n/m",D51/ABS(C51))</f>
        <v>-0.027027027027027</v>
      </c>
      <c r="F51" s="49" t="str">
        <f aca="false">IF(ROUND(D51,5)=0,"",IF(D51&gt;0,"F","U"))</f>
        <v>U</v>
      </c>
      <c r="G51" s="6" t="s">
        <v>821</v>
      </c>
      <c r="H51" s="50" t="s">
        <v>180</v>
      </c>
      <c r="I51" s="51" t="s">
        <v>822</v>
      </c>
      <c r="J51" s="52" t="s">
        <v>182</v>
      </c>
    </row>
    <row r="52" customFormat="false" ht="27.75" hidden="false" customHeight="true" outlineLevel="0" collapsed="false">
      <c r="A52" s="11" t="s">
        <v>154</v>
      </c>
      <c r="B52" s="34" t="n">
        <v>200</v>
      </c>
      <c r="C52" s="34" t="n">
        <v>180</v>
      </c>
      <c r="D52" s="25" t="n">
        <f aca="false">B52-C52</f>
        <v>20</v>
      </c>
      <c r="E52" s="26" t="n">
        <f aca="false">IF(C52=0,"n/m",D52/ABS(C52))</f>
        <v>0.111111111111111</v>
      </c>
      <c r="F52" s="49" t="str">
        <f aca="false">IF(ROUND(D52,5)=0,"",IF(D52&gt;0,"F","U"))</f>
        <v>F</v>
      </c>
      <c r="G52" s="6" t="s">
        <v>823</v>
      </c>
      <c r="H52" s="50" t="s">
        <v>184</v>
      </c>
      <c r="I52" s="51" t="s">
        <v>822</v>
      </c>
      <c r="J52" s="52" t="s">
        <v>182</v>
      </c>
    </row>
    <row r="53" customFormat="false" ht="40.5" hidden="false" customHeight="true" outlineLevel="0" collapsed="false">
      <c r="A53" s="53" t="s">
        <v>91</v>
      </c>
      <c r="B53" s="37" t="n">
        <f aca="false">B51+B52</f>
        <v>2000</v>
      </c>
      <c r="C53" s="37" t="n">
        <f aca="false">C51+C52</f>
        <v>2030</v>
      </c>
      <c r="D53" s="37" t="n">
        <f aca="false">B53-C53</f>
        <v>-30</v>
      </c>
      <c r="E53" s="54" t="n">
        <f aca="false">IF(C53=0,"n/m",D53/ABS(C53))</f>
        <v>-0.0147783251231527</v>
      </c>
      <c r="F53" s="55" t="str">
        <f aca="false">IF(ROUND(D53,5)=0,"",IF(D53&gt;0,"F","U"))</f>
        <v>U</v>
      </c>
      <c r="G53" s="56" t="s">
        <v>824</v>
      </c>
      <c r="H53" s="57" t="s">
        <v>186</v>
      </c>
      <c r="I53" s="58" t="s">
        <v>822</v>
      </c>
      <c r="J53" s="59" t="str">
        <f aca="false">IF(AND(ROUND(B53-K53,4)=0,ROUND(C53-L53,4)=0,TRUE()),"✓","✗")</f>
        <v>✓</v>
      </c>
      <c r="K53" s="60" t="n">
        <v>2000</v>
      </c>
      <c r="L53" s="60" t="n">
        <v>2030</v>
      </c>
    </row>
    <row r="54" customFormat="false" ht="60" hidden="false" customHeight="true" outlineLevel="0" collapsed="false">
      <c r="A54" s="11" t="s">
        <v>164</v>
      </c>
      <c r="B54" s="25" t="n">
        <f aca="false">B55+B56+B57+B58+B59+B60+B61</f>
        <v>544</v>
      </c>
      <c r="C54" s="25" t="n">
        <f aca="false">C55+C56+C57+C58+C59+C60+C61</f>
        <v>552.46177</v>
      </c>
      <c r="D54" s="25" t="n">
        <f aca="false">B54-C54</f>
        <v>-8.46177</v>
      </c>
      <c r="E54" s="26" t="n">
        <f aca="false">IF(C54=0,"n/m",D54/ABS(C54))</f>
        <v>-0.0153164806317729</v>
      </c>
      <c r="F54" s="49" t="str">
        <f aca="false">IF(ROUND(D54,5)=0,"",IF(D54&lt;0,"F","U"))</f>
        <v>F</v>
      </c>
      <c r="G54" s="6" t="s">
        <v>860</v>
      </c>
      <c r="H54" s="50" t="s">
        <v>188</v>
      </c>
      <c r="I54" s="51" t="s">
        <v>822</v>
      </c>
      <c r="J54" s="52" t="str">
        <f aca="false">IF(AND(ROUND(B54-K54,4)=0,ROUND(C54-L54,4)=0,TRUE()),"✓","✗")</f>
        <v>✓</v>
      </c>
      <c r="K54" s="61" t="n">
        <v>544</v>
      </c>
      <c r="L54" s="61" t="n">
        <v>552.46177</v>
      </c>
    </row>
    <row r="55" customFormat="false" ht="15" hidden="false" customHeight="true" outlineLevel="1" collapsed="false">
      <c r="A55" s="62" t="s">
        <v>257</v>
      </c>
      <c r="B55" s="34" t="n">
        <v>140</v>
      </c>
      <c r="C55" s="34" t="n">
        <v>137</v>
      </c>
      <c r="D55" s="25" t="n">
        <f aca="false">B55-C55</f>
        <v>3</v>
      </c>
      <c r="E55" s="26" t="n">
        <f aca="false">IF(C55=0,"n/m",D55/ABS(C55))</f>
        <v>0.0218978102189781</v>
      </c>
      <c r="F55" s="49" t="str">
        <f aca="false">IF(ROUND(D55,5)=0,"",IF(D55&lt;0,"F","U"))</f>
        <v>U</v>
      </c>
      <c r="G55" s="63" t="s">
        <v>861</v>
      </c>
      <c r="I55" s="18" t="s">
        <v>191</v>
      </c>
      <c r="J55" s="52" t="s">
        <v>182</v>
      </c>
    </row>
    <row r="56" customFormat="false" ht="36.75" hidden="false" customHeight="true" outlineLevel="1" collapsed="false">
      <c r="A56" s="62" t="s">
        <v>259</v>
      </c>
      <c r="B56" s="34" t="n">
        <v>100</v>
      </c>
      <c r="C56" s="34" t="n">
        <v>111.23</v>
      </c>
      <c r="D56" s="25" t="n">
        <f aca="false">B56-C56</f>
        <v>-11.23</v>
      </c>
      <c r="E56" s="26" t="n">
        <f aca="false">IF(C56=0,"n/m",D56/ABS(C56))</f>
        <v>-0.10096197069136</v>
      </c>
      <c r="F56" s="49" t="str">
        <f aca="false">IF(ROUND(D56,5)=0,"",IF(D56&lt;0,"F","U"))</f>
        <v>F</v>
      </c>
      <c r="G56" s="6" t="s">
        <v>862</v>
      </c>
      <c r="H56" s="50" t="s">
        <v>194</v>
      </c>
      <c r="I56" s="51" t="s">
        <v>822</v>
      </c>
      <c r="J56" s="52" t="s">
        <v>182</v>
      </c>
    </row>
    <row r="57" customFormat="false" ht="36.75" hidden="false" customHeight="true" outlineLevel="1" collapsed="false">
      <c r="A57" s="62" t="s">
        <v>261</v>
      </c>
      <c r="B57" s="34" t="n">
        <v>160</v>
      </c>
      <c r="C57" s="34" t="n">
        <v>153.796</v>
      </c>
      <c r="D57" s="25" t="n">
        <f aca="false">B57-C57</f>
        <v>6.20400000000001</v>
      </c>
      <c r="E57" s="26" t="n">
        <f aca="false">IF(C57=0,"n/m",D57/ABS(C57))</f>
        <v>0.0403391505630836</v>
      </c>
      <c r="F57" s="49" t="str">
        <f aca="false">IF(ROUND(D57,5)=0,"",IF(D57&lt;0,"F","U"))</f>
        <v>U</v>
      </c>
      <c r="G57" s="63" t="s">
        <v>863</v>
      </c>
      <c r="H57" s="50" t="s">
        <v>200</v>
      </c>
      <c r="I57" s="18" t="s">
        <v>191</v>
      </c>
      <c r="J57" s="52" t="s">
        <v>182</v>
      </c>
    </row>
    <row r="58" customFormat="false" ht="27.75" hidden="false" customHeight="true" outlineLevel="1" collapsed="false">
      <c r="A58" s="62" t="s">
        <v>263</v>
      </c>
      <c r="B58" s="34" t="n">
        <v>84</v>
      </c>
      <c r="C58" s="34" t="n">
        <v>88.8391</v>
      </c>
      <c r="D58" s="25" t="n">
        <f aca="false">B58-C58</f>
        <v>-4.8391</v>
      </c>
      <c r="E58" s="26" t="n">
        <f aca="false">IF(C58=0,"n/m",D58/ABS(C58))</f>
        <v>-0.0544703852245239</v>
      </c>
      <c r="F58" s="49" t="str">
        <f aca="false">IF(ROUND(D58,5)=0,"",IF(D58&lt;0,"F","U"))</f>
        <v>F</v>
      </c>
      <c r="G58" s="63" t="s">
        <v>864</v>
      </c>
      <c r="H58" s="50" t="s">
        <v>197</v>
      </c>
      <c r="I58" s="18" t="s">
        <v>191</v>
      </c>
      <c r="J58" s="52" t="s">
        <v>182</v>
      </c>
    </row>
    <row r="59" customFormat="false" ht="40.5" hidden="false" customHeight="true" outlineLevel="1" collapsed="false">
      <c r="A59" s="62" t="s">
        <v>265</v>
      </c>
      <c r="B59" s="34" t="n">
        <v>20</v>
      </c>
      <c r="C59" s="34" t="n">
        <v>19.68</v>
      </c>
      <c r="D59" s="25" t="n">
        <f aca="false">B59-C59</f>
        <v>0.32</v>
      </c>
      <c r="E59" s="26" t="n">
        <f aca="false">IF(C59=0,"n/m",D59/ABS(C59))</f>
        <v>0.016260162601626</v>
      </c>
      <c r="F59" s="49" t="str">
        <f aca="false">IF(ROUND(D59,5)=0,"",IF(D59&lt;0,"F","U"))</f>
        <v>U</v>
      </c>
      <c r="G59" s="63" t="s">
        <v>865</v>
      </c>
      <c r="H59" s="50" t="s">
        <v>221</v>
      </c>
      <c r="I59" s="18" t="s">
        <v>191</v>
      </c>
      <c r="J59" s="52" t="s">
        <v>182</v>
      </c>
    </row>
    <row r="60" customFormat="false" ht="27.75" hidden="false" customHeight="true" outlineLevel="1" collapsed="false">
      <c r="A60" s="62" t="s">
        <v>267</v>
      </c>
      <c r="B60" s="34" t="n">
        <v>20</v>
      </c>
      <c r="C60" s="34" t="n">
        <v>20.66667</v>
      </c>
      <c r="D60" s="25" t="n">
        <f aca="false">B60-C60</f>
        <v>-0.66667</v>
      </c>
      <c r="E60" s="26" t="n">
        <f aca="false">IF(C60=0,"n/m",D60/ABS(C60))</f>
        <v>-0.0322582206035128</v>
      </c>
      <c r="F60" s="49" t="str">
        <f aca="false">IF(ROUND(D60,5)=0,"",IF(D60&lt;0,"F","U"))</f>
        <v>F</v>
      </c>
      <c r="G60" s="63" t="s">
        <v>866</v>
      </c>
      <c r="H60" s="50" t="s">
        <v>206</v>
      </c>
      <c r="I60" s="18" t="s">
        <v>191</v>
      </c>
      <c r="J60" s="52" t="s">
        <v>182</v>
      </c>
    </row>
    <row r="61" customFormat="false" ht="27.75" hidden="false" customHeight="true" outlineLevel="1" collapsed="false">
      <c r="A61" s="62" t="s">
        <v>269</v>
      </c>
      <c r="B61" s="34" t="n">
        <v>20</v>
      </c>
      <c r="C61" s="34" t="n">
        <v>21.25</v>
      </c>
      <c r="D61" s="25" t="n">
        <f aca="false">B61-C61</f>
        <v>-1.25</v>
      </c>
      <c r="E61" s="26" t="n">
        <f aca="false">IF(C61=0,"n/m",D61/ABS(C61))</f>
        <v>-0.0588235294117647</v>
      </c>
      <c r="F61" s="49" t="str">
        <f aca="false">IF(ROUND(D61,5)=0,"",IF(D61&lt;0,"F","U"))</f>
        <v>F</v>
      </c>
      <c r="G61" s="63" t="s">
        <v>867</v>
      </c>
      <c r="I61" s="18" t="s">
        <v>191</v>
      </c>
      <c r="J61" s="52" t="s">
        <v>182</v>
      </c>
    </row>
    <row r="62" customFormat="false" ht="25.5" hidden="false" customHeight="true" outlineLevel="0" collapsed="false">
      <c r="A62" s="11" t="s">
        <v>165</v>
      </c>
      <c r="B62" s="25" t="n">
        <f aca="false">B63</f>
        <v>120</v>
      </c>
      <c r="C62" s="25" t="n">
        <f aca="false">C63</f>
        <v>119.412</v>
      </c>
      <c r="D62" s="25" t="n">
        <f aca="false">B62-C62</f>
        <v>0.587999999999994</v>
      </c>
      <c r="E62" s="26" t="n">
        <f aca="false">IF(C62=0,"n/m",D62/ABS(C62))</f>
        <v>0.00492412822831871</v>
      </c>
      <c r="F62" s="49" t="str">
        <f aca="false">IF(ROUND(D62,5)=0,"",IF(D62&lt;0,"F","U"))</f>
        <v>U</v>
      </c>
      <c r="G62" s="6" t="s">
        <v>868</v>
      </c>
      <c r="H62" s="50" t="s">
        <v>210</v>
      </c>
      <c r="I62" s="51" t="s">
        <v>822</v>
      </c>
      <c r="J62" s="52" t="str">
        <f aca="false">IF(AND(ROUND(B62-K62,4)=0,ROUND(C62-L62,4)=0,TRUE()),"✓","✗")</f>
        <v>✓</v>
      </c>
      <c r="K62" s="61" t="n">
        <v>120</v>
      </c>
      <c r="L62" s="61" t="n">
        <v>119.412</v>
      </c>
    </row>
    <row r="63" customFormat="false" ht="25.5" hidden="false" customHeight="true" outlineLevel="1" collapsed="false">
      <c r="A63" s="62" t="s">
        <v>272</v>
      </c>
      <c r="B63" s="34" t="n">
        <v>120</v>
      </c>
      <c r="C63" s="34" t="n">
        <v>119.412</v>
      </c>
      <c r="D63" s="25" t="n">
        <f aca="false">B63-C63</f>
        <v>0.587999999999994</v>
      </c>
      <c r="E63" s="26" t="n">
        <f aca="false">IF(C63=0,"n/m",D63/ABS(C63))</f>
        <v>0.00492412822831871</v>
      </c>
      <c r="F63" s="49" t="str">
        <f aca="false">IF(ROUND(D63,5)=0,"",IF(D63&lt;0,"F","U"))</f>
        <v>U</v>
      </c>
      <c r="G63" s="63" t="s">
        <v>869</v>
      </c>
      <c r="H63" s="50" t="s">
        <v>210</v>
      </c>
      <c r="I63" s="18" t="s">
        <v>191</v>
      </c>
      <c r="J63" s="52" t="s">
        <v>182</v>
      </c>
    </row>
    <row r="64" customFormat="false" ht="60" hidden="false" customHeight="true" outlineLevel="0" collapsed="false">
      <c r="A64" s="53" t="s">
        <v>166</v>
      </c>
      <c r="B64" s="37" t="n">
        <f aca="false">B54+B62</f>
        <v>664</v>
      </c>
      <c r="C64" s="37" t="n">
        <f aca="false">C54+C62</f>
        <v>671.87377</v>
      </c>
      <c r="D64" s="37" t="n">
        <f aca="false">B64-C64</f>
        <v>-7.87377000000004</v>
      </c>
      <c r="E64" s="54" t="n">
        <f aca="false">IF(C64=0,"n/m",D64/ABS(C64))</f>
        <v>-0.0117191209890513</v>
      </c>
      <c r="F64" s="55" t="str">
        <f aca="false">IF(ROUND(D64,5)=0,"",IF(D64&lt;0,"F","U"))</f>
        <v>F</v>
      </c>
      <c r="G64" s="56" t="s">
        <v>870</v>
      </c>
      <c r="H64" s="57" t="s">
        <v>212</v>
      </c>
      <c r="I64" s="58" t="s">
        <v>822</v>
      </c>
      <c r="J64" s="59" t="str">
        <f aca="false">IF(AND(ROUND(B64-K64,4)=0,ROUND(C64-L64,4)=0,TRUE()),"✓","✗")</f>
        <v>✓</v>
      </c>
      <c r="K64" s="60" t="n">
        <v>664</v>
      </c>
      <c r="L64" s="60" t="n">
        <v>671.87377</v>
      </c>
    </row>
    <row r="65" customFormat="false" ht="60" hidden="false" customHeight="true" outlineLevel="0" collapsed="false">
      <c r="A65" s="64" t="s">
        <v>167</v>
      </c>
      <c r="B65" s="65" t="n">
        <f aca="false">B53-B64</f>
        <v>1336</v>
      </c>
      <c r="C65" s="65" t="n">
        <f aca="false">C53-C64</f>
        <v>1358.12623</v>
      </c>
      <c r="D65" s="65" t="n">
        <f aca="false">B65-C65</f>
        <v>-22.1262299999999</v>
      </c>
      <c r="E65" s="66" t="n">
        <f aca="false">IF(C65=0,"n/m",D65/ABS(C65))</f>
        <v>-0.0162917330593047</v>
      </c>
      <c r="F65" s="67" t="str">
        <f aca="false">IF(ROUND(D65,5)=0,"",IF(D65&gt;0,"F","U"))</f>
        <v>U</v>
      </c>
      <c r="G65" s="68" t="s">
        <v>871</v>
      </c>
      <c r="H65" s="69" t="s">
        <v>214</v>
      </c>
      <c r="I65" s="70" t="s">
        <v>822</v>
      </c>
      <c r="J65" s="71" t="str">
        <f aca="false">IF(AND(ROUND(B65-K65,4)=0,ROUND(C65-L65,4)=0,TRUE()),"✓","✗")</f>
        <v>✓</v>
      </c>
      <c r="K65" s="72" t="n">
        <v>1336</v>
      </c>
      <c r="L65" s="72" t="n">
        <v>1358.12623</v>
      </c>
    </row>
    <row r="66" customFormat="false" ht="48" hidden="false" customHeight="true" outlineLevel="0" collapsed="false">
      <c r="A66" s="11" t="s">
        <v>168</v>
      </c>
      <c r="B66" s="25" t="n">
        <f aca="false">B67+B68+B69+B70+B71</f>
        <v>436</v>
      </c>
      <c r="C66" s="25" t="n">
        <f aca="false">C67+C68+C69+C70+C71</f>
        <v>467.9539</v>
      </c>
      <c r="D66" s="25" t="n">
        <f aca="false">B66-C66</f>
        <v>-31.9539</v>
      </c>
      <c r="E66" s="26" t="n">
        <f aca="false">IF(C66=0,"n/m",D66/ABS(C66))</f>
        <v>-0.0682842903969814</v>
      </c>
      <c r="F66" s="49" t="str">
        <f aca="false">IF(ROUND(D66,5)=0,"",IF(D66&lt;0,"F","U"))</f>
        <v>F</v>
      </c>
      <c r="G66" s="6" t="s">
        <v>872</v>
      </c>
      <c r="H66" s="50" t="s">
        <v>277</v>
      </c>
      <c r="I66" s="51" t="s">
        <v>822</v>
      </c>
      <c r="J66" s="52" t="str">
        <f aca="false">IF(AND(ROUND(B66-K66,4)=0,ROUND(C66-L66,4)=0,TRUE()),"✓","✗")</f>
        <v>✓</v>
      </c>
      <c r="K66" s="61" t="n">
        <v>436</v>
      </c>
      <c r="L66" s="61" t="n">
        <v>467.9539</v>
      </c>
    </row>
    <row r="67" customFormat="false" ht="36.75" hidden="false" customHeight="true" outlineLevel="1" collapsed="false">
      <c r="A67" s="62" t="s">
        <v>278</v>
      </c>
      <c r="B67" s="34" t="n">
        <v>240</v>
      </c>
      <c r="C67" s="34" t="n">
        <v>263.88</v>
      </c>
      <c r="D67" s="25" t="n">
        <f aca="false">B67-C67</f>
        <v>-23.88</v>
      </c>
      <c r="E67" s="26" t="n">
        <f aca="false">IF(C67=0,"n/m",D67/ABS(C67))</f>
        <v>-0.0904956798544793</v>
      </c>
      <c r="F67" s="49" t="str">
        <f aca="false">IF(ROUND(D67,5)=0,"",IF(D67&lt;0,"F","U"))</f>
        <v>F</v>
      </c>
      <c r="G67" s="6" t="s">
        <v>873</v>
      </c>
      <c r="H67" s="50" t="s">
        <v>227</v>
      </c>
      <c r="I67" s="51" t="s">
        <v>822</v>
      </c>
      <c r="J67" s="52" t="s">
        <v>182</v>
      </c>
    </row>
    <row r="68" customFormat="false" ht="27.75" hidden="false" customHeight="true" outlineLevel="1" collapsed="false">
      <c r="A68" s="62" t="s">
        <v>280</v>
      </c>
      <c r="B68" s="34" t="n">
        <v>36</v>
      </c>
      <c r="C68" s="34" t="n">
        <v>38.0739</v>
      </c>
      <c r="D68" s="25" t="n">
        <f aca="false">B68-C68</f>
        <v>-2.0739</v>
      </c>
      <c r="E68" s="26" t="n">
        <f aca="false">IF(C68=0,"n/m",D68/ABS(C68))</f>
        <v>-0.0544703852245239</v>
      </c>
      <c r="F68" s="49" t="str">
        <f aca="false">IF(ROUND(D68,5)=0,"",IF(D68&lt;0,"F","U"))</f>
        <v>F</v>
      </c>
      <c r="G68" s="63" t="s">
        <v>874</v>
      </c>
      <c r="H68" s="50" t="s">
        <v>229</v>
      </c>
      <c r="I68" s="18" t="s">
        <v>191</v>
      </c>
      <c r="J68" s="52" t="s">
        <v>182</v>
      </c>
    </row>
    <row r="69" customFormat="false" ht="48" hidden="false" customHeight="true" outlineLevel="1" collapsed="false">
      <c r="A69" s="62" t="s">
        <v>282</v>
      </c>
      <c r="B69" s="34" t="n">
        <v>100</v>
      </c>
      <c r="C69" s="34" t="n">
        <v>110</v>
      </c>
      <c r="D69" s="25" t="n">
        <f aca="false">B69-C69</f>
        <v>-10</v>
      </c>
      <c r="E69" s="26" t="n">
        <f aca="false">IF(C69=0,"n/m",D69/ABS(C69))</f>
        <v>-0.0909090909090909</v>
      </c>
      <c r="F69" s="49" t="str">
        <f aca="false">IF(ROUND(D69,5)=0,"",IF(D69&lt;0,"F","U"))</f>
        <v>F</v>
      </c>
      <c r="G69" s="6" t="s">
        <v>875</v>
      </c>
      <c r="H69" s="50" t="s">
        <v>232</v>
      </c>
      <c r="I69" s="51" t="s">
        <v>822</v>
      </c>
      <c r="J69" s="52" t="s">
        <v>182</v>
      </c>
    </row>
    <row r="70" customFormat="false" ht="27.75" hidden="false" customHeight="true" outlineLevel="1" collapsed="false">
      <c r="A70" s="62" t="s">
        <v>284</v>
      </c>
      <c r="B70" s="34" t="n">
        <v>40</v>
      </c>
      <c r="C70" s="34" t="n">
        <v>42</v>
      </c>
      <c r="D70" s="25" t="n">
        <f aca="false">B70-C70</f>
        <v>-2</v>
      </c>
      <c r="E70" s="26" t="n">
        <f aca="false">IF(C70=0,"n/m",D70/ABS(C70))</f>
        <v>-0.0476190476190476</v>
      </c>
      <c r="F70" s="49" t="str">
        <f aca="false">IF(ROUND(D70,5)=0,"",IF(D70&lt;0,"F","U"))</f>
        <v>F</v>
      </c>
      <c r="G70" s="63" t="s">
        <v>876</v>
      </c>
      <c r="I70" s="18" t="s">
        <v>191</v>
      </c>
      <c r="J70" s="52" t="s">
        <v>182</v>
      </c>
    </row>
    <row r="71" customFormat="false" ht="27.75" hidden="false" customHeight="true" outlineLevel="1" collapsed="false">
      <c r="A71" s="62" t="s">
        <v>286</v>
      </c>
      <c r="B71" s="34" t="n">
        <v>20</v>
      </c>
      <c r="C71" s="34" t="n">
        <v>14</v>
      </c>
      <c r="D71" s="25" t="n">
        <f aca="false">B71-C71</f>
        <v>6</v>
      </c>
      <c r="E71" s="26" t="n">
        <f aca="false">IF(C71=0,"n/m",D71/ABS(C71))</f>
        <v>0.428571428571429</v>
      </c>
      <c r="F71" s="49" t="str">
        <f aca="false">IF(ROUND(D71,5)=0,"",IF(D71&lt;0,"F","U"))</f>
        <v>U</v>
      </c>
      <c r="G71" s="6" t="s">
        <v>877</v>
      </c>
      <c r="H71" s="50" t="s">
        <v>236</v>
      </c>
      <c r="I71" s="51" t="s">
        <v>822</v>
      </c>
      <c r="J71" s="52" t="s">
        <v>182</v>
      </c>
    </row>
    <row r="72" customFormat="false" ht="60" hidden="false" customHeight="true" outlineLevel="0" collapsed="false">
      <c r="A72" s="64" t="s">
        <v>169</v>
      </c>
      <c r="B72" s="65" t="n">
        <f aca="false">B65-B66</f>
        <v>900</v>
      </c>
      <c r="C72" s="65" t="n">
        <f aca="false">C65-C66</f>
        <v>890.17233</v>
      </c>
      <c r="D72" s="65" t="n">
        <f aca="false">B72-C72</f>
        <v>9.82767000000013</v>
      </c>
      <c r="E72" s="66" t="n">
        <f aca="false">IF(C72=0,"n/m",D72/ABS(C72))</f>
        <v>0.0110401881397506</v>
      </c>
      <c r="F72" s="67" t="str">
        <f aca="false">IF(ROUND(D72,5)=0,"",IF(D72&gt;0,"F","U"))</f>
        <v>F</v>
      </c>
      <c r="G72" s="68" t="s">
        <v>878</v>
      </c>
      <c r="H72" s="69" t="s">
        <v>289</v>
      </c>
      <c r="I72" s="70" t="s">
        <v>822</v>
      </c>
      <c r="J72" s="71" t="str">
        <f aca="false">IF(AND(ROUND(B72-K72,4)=0,ROUND(C72-L72,4)=0,TRUE()),"✓","✗")</f>
        <v>✓</v>
      </c>
      <c r="K72" s="72" t="n">
        <v>900</v>
      </c>
      <c r="L72" s="72" t="n">
        <v>890.17233</v>
      </c>
    </row>
    <row r="73" customFormat="false" ht="40.5" hidden="false" customHeight="true" outlineLevel="0" collapsed="false">
      <c r="A73" s="11" t="s">
        <v>170</v>
      </c>
      <c r="B73" s="25" t="n">
        <f aca="false">B74+B75+B76</f>
        <v>60</v>
      </c>
      <c r="C73" s="25" t="n">
        <f aca="false">C74+C75+C76</f>
        <v>62.33333</v>
      </c>
      <c r="D73" s="25" t="n">
        <f aca="false">B73-C73</f>
        <v>-2.33333</v>
      </c>
      <c r="E73" s="26" t="n">
        <f aca="false">IF(C73=0,"n/m",D73/ABS(C73))</f>
        <v>-0.0374331036060484</v>
      </c>
      <c r="F73" s="49" t="str">
        <f aca="false">IF(ROUND(D73,5)=0,"",IF(D73&lt;0,"F","U"))</f>
        <v>F</v>
      </c>
      <c r="G73" s="6" t="s">
        <v>879</v>
      </c>
      <c r="H73" s="50" t="s">
        <v>291</v>
      </c>
      <c r="I73" s="51" t="s">
        <v>822</v>
      </c>
      <c r="J73" s="52" t="str">
        <f aca="false">IF(AND(ROUND(B73-K73,4)=0,ROUND(C73-L73,4)=0,TRUE()),"✓","✗")</f>
        <v>✓</v>
      </c>
      <c r="K73" s="61" t="n">
        <v>60</v>
      </c>
      <c r="L73" s="61" t="n">
        <v>62.33333</v>
      </c>
    </row>
    <row r="74" customFormat="false" ht="36.75" hidden="false" customHeight="true" outlineLevel="1" collapsed="false">
      <c r="A74" s="62" t="s">
        <v>265</v>
      </c>
      <c r="B74" s="34" t="n">
        <v>30</v>
      </c>
      <c r="C74" s="34" t="n">
        <v>30.75</v>
      </c>
      <c r="D74" s="25" t="n">
        <f aca="false">B74-C74</f>
        <v>-0.75</v>
      </c>
      <c r="E74" s="26" t="n">
        <f aca="false">IF(C74=0,"n/m",D74/ABS(C74))</f>
        <v>-0.024390243902439</v>
      </c>
      <c r="F74" s="49" t="str">
        <f aca="false">IF(ROUND(D74,5)=0,"",IF(D74&lt;0,"F","U"))</f>
        <v>F</v>
      </c>
      <c r="G74" s="63" t="s">
        <v>880</v>
      </c>
      <c r="H74" s="50" t="s">
        <v>293</v>
      </c>
      <c r="I74" s="18" t="s">
        <v>191</v>
      </c>
      <c r="J74" s="52" t="s">
        <v>182</v>
      </c>
    </row>
    <row r="75" customFormat="false" ht="27.75" hidden="false" customHeight="true" outlineLevel="1" collapsed="false">
      <c r="A75" s="62" t="s">
        <v>267</v>
      </c>
      <c r="B75" s="34" t="n">
        <v>10</v>
      </c>
      <c r="C75" s="34" t="n">
        <v>10.33333</v>
      </c>
      <c r="D75" s="25" t="n">
        <f aca="false">B75-C75</f>
        <v>-0.33333</v>
      </c>
      <c r="E75" s="26" t="n">
        <f aca="false">IF(C75=0,"n/m",D75/ABS(C75))</f>
        <v>-0.0322577523412104</v>
      </c>
      <c r="F75" s="49" t="str">
        <f aca="false">IF(ROUND(D75,5)=0,"",IF(D75&lt;0,"F","U"))</f>
        <v>F</v>
      </c>
      <c r="G75" s="63" t="s">
        <v>881</v>
      </c>
      <c r="H75" s="50" t="s">
        <v>239</v>
      </c>
      <c r="I75" s="18" t="s">
        <v>191</v>
      </c>
      <c r="J75" s="52" t="s">
        <v>182</v>
      </c>
    </row>
    <row r="76" customFormat="false" ht="27.75" hidden="false" customHeight="true" outlineLevel="1" collapsed="false">
      <c r="A76" s="62" t="s">
        <v>269</v>
      </c>
      <c r="B76" s="34" t="n">
        <v>20</v>
      </c>
      <c r="C76" s="34" t="n">
        <v>21.25</v>
      </c>
      <c r="D76" s="25" t="n">
        <f aca="false">B76-C76</f>
        <v>-1.25</v>
      </c>
      <c r="E76" s="26" t="n">
        <f aca="false">IF(C76=0,"n/m",D76/ABS(C76))</f>
        <v>-0.0588235294117647</v>
      </c>
      <c r="F76" s="49" t="str">
        <f aca="false">IF(ROUND(D76,5)=0,"",IF(D76&lt;0,"F","U"))</f>
        <v>F</v>
      </c>
      <c r="G76" s="63" t="s">
        <v>867</v>
      </c>
      <c r="I76" s="18" t="s">
        <v>191</v>
      </c>
      <c r="J76" s="52" t="s">
        <v>182</v>
      </c>
    </row>
    <row r="77" customFormat="false" ht="48" hidden="false" customHeight="true" outlineLevel="0" collapsed="false">
      <c r="A77" s="11" t="s">
        <v>157</v>
      </c>
      <c r="B77" s="25" t="n">
        <f aca="false">B78+B79+B80+B81+B82</f>
        <v>420</v>
      </c>
      <c r="C77" s="25" t="n">
        <f aca="false">C78+C79+C80+C81+C82</f>
        <v>456.80167</v>
      </c>
      <c r="D77" s="25" t="n">
        <f aca="false">B77-C77</f>
        <v>-36.80167</v>
      </c>
      <c r="E77" s="26" t="n">
        <f aca="false">IF(C77=0,"n/m",D77/ABS(C77))</f>
        <v>-0.0805637816516739</v>
      </c>
      <c r="F77" s="49" t="str">
        <f aca="false">IF(ROUND(D77,5)=0,"",IF(D77&lt;0,"F","U"))</f>
        <v>F</v>
      </c>
      <c r="G77" s="6" t="s">
        <v>882</v>
      </c>
      <c r="H77" s="50" t="s">
        <v>216</v>
      </c>
      <c r="I77" s="51" t="s">
        <v>822</v>
      </c>
      <c r="J77" s="52" t="str">
        <f aca="false">IF(AND(ROUND(B77-K77,4)=0,ROUND(C77-L77,4)=0,TRUE()),"✓","✗")</f>
        <v>✓</v>
      </c>
      <c r="K77" s="61" t="n">
        <v>420</v>
      </c>
      <c r="L77" s="61" t="n">
        <v>456.80167</v>
      </c>
    </row>
    <row r="78" customFormat="false" ht="36.75" hidden="false" customHeight="true" outlineLevel="1" collapsed="false">
      <c r="A78" s="62" t="s">
        <v>296</v>
      </c>
      <c r="B78" s="34" t="n">
        <v>300</v>
      </c>
      <c r="C78" s="34" t="n">
        <v>333.69</v>
      </c>
      <c r="D78" s="25" t="n">
        <f aca="false">B78-C78</f>
        <v>-33.69</v>
      </c>
      <c r="E78" s="26" t="n">
        <f aca="false">IF(C78=0,"n/m",D78/ABS(C78))</f>
        <v>-0.10096197069136</v>
      </c>
      <c r="F78" s="49" t="str">
        <f aca="false">IF(ROUND(D78,5)=0,"",IF(D78&lt;0,"F","U"))</f>
        <v>F</v>
      </c>
      <c r="G78" s="6" t="s">
        <v>883</v>
      </c>
      <c r="H78" s="50" t="s">
        <v>218</v>
      </c>
      <c r="I78" s="51" t="s">
        <v>822</v>
      </c>
      <c r="J78" s="52" t="s">
        <v>182</v>
      </c>
    </row>
    <row r="79" customFormat="false" ht="15" hidden="false" customHeight="true" outlineLevel="1" collapsed="false">
      <c r="A79" s="62" t="s">
        <v>298</v>
      </c>
      <c r="B79" s="34" t="n">
        <v>40</v>
      </c>
      <c r="C79" s="34" t="n">
        <v>39</v>
      </c>
      <c r="D79" s="25" t="n">
        <f aca="false">B79-C79</f>
        <v>1</v>
      </c>
      <c r="E79" s="26" t="n">
        <f aca="false">IF(C79=0,"n/m",D79/ABS(C79))</f>
        <v>0.0256410256410256</v>
      </c>
      <c r="F79" s="49" t="str">
        <f aca="false">IF(ROUND(D79,5)=0,"",IF(D79&lt;0,"F","U"))</f>
        <v>U</v>
      </c>
      <c r="G79" s="63" t="s">
        <v>884</v>
      </c>
      <c r="I79" s="18" t="s">
        <v>191</v>
      </c>
      <c r="J79" s="52" t="s">
        <v>182</v>
      </c>
    </row>
    <row r="80" customFormat="false" ht="40.5" hidden="false" customHeight="true" outlineLevel="1" collapsed="false">
      <c r="A80" s="62" t="s">
        <v>265</v>
      </c>
      <c r="B80" s="34" t="n">
        <v>30</v>
      </c>
      <c r="C80" s="34" t="n">
        <v>31.57</v>
      </c>
      <c r="D80" s="25" t="n">
        <f aca="false">B80-C80</f>
        <v>-1.57</v>
      </c>
      <c r="E80" s="26" t="n">
        <f aca="false">IF(C80=0,"n/m",D80/ABS(C80))</f>
        <v>-0.0497307570478302</v>
      </c>
      <c r="F80" s="49" t="str">
        <f aca="false">IF(ROUND(D80,5)=0,"",IF(D80&lt;0,"F","U"))</f>
        <v>F</v>
      </c>
      <c r="G80" s="63" t="s">
        <v>885</v>
      </c>
      <c r="H80" s="50" t="s">
        <v>293</v>
      </c>
      <c r="I80" s="18" t="s">
        <v>191</v>
      </c>
      <c r="J80" s="52" t="s">
        <v>182</v>
      </c>
    </row>
    <row r="81" customFormat="false" ht="27.75" hidden="false" customHeight="true" outlineLevel="1" collapsed="false">
      <c r="A81" s="62" t="s">
        <v>267</v>
      </c>
      <c r="B81" s="34" t="n">
        <v>20</v>
      </c>
      <c r="C81" s="34" t="n">
        <v>20.66667</v>
      </c>
      <c r="D81" s="25" t="n">
        <f aca="false">B81-C81</f>
        <v>-0.66667</v>
      </c>
      <c r="E81" s="26" t="n">
        <f aca="false">IF(C81=0,"n/m",D81/ABS(C81))</f>
        <v>-0.0322582206035128</v>
      </c>
      <c r="F81" s="49" t="str">
        <f aca="false">IF(ROUND(D81,5)=0,"",IF(D81&lt;0,"F","U"))</f>
        <v>F</v>
      </c>
      <c r="G81" s="63" t="s">
        <v>866</v>
      </c>
      <c r="H81" s="50" t="s">
        <v>206</v>
      </c>
      <c r="I81" s="18" t="s">
        <v>191</v>
      </c>
      <c r="J81" s="52" t="s">
        <v>182</v>
      </c>
    </row>
    <row r="82" customFormat="false" ht="27.75" hidden="false" customHeight="true" outlineLevel="1" collapsed="false">
      <c r="A82" s="62" t="s">
        <v>269</v>
      </c>
      <c r="B82" s="34" t="n">
        <v>30</v>
      </c>
      <c r="C82" s="34" t="n">
        <v>31.875</v>
      </c>
      <c r="D82" s="25" t="n">
        <f aca="false">B82-C82</f>
        <v>-1.875</v>
      </c>
      <c r="E82" s="26" t="n">
        <f aca="false">IF(C82=0,"n/m",D82/ABS(C82))</f>
        <v>-0.0588235294117647</v>
      </c>
      <c r="F82" s="49" t="str">
        <f aca="false">IF(ROUND(D82,5)=0,"",IF(D82&lt;0,"F","U"))</f>
        <v>F</v>
      </c>
      <c r="G82" s="63" t="s">
        <v>886</v>
      </c>
      <c r="I82" s="18" t="s">
        <v>191</v>
      </c>
      <c r="J82" s="52" t="s">
        <v>182</v>
      </c>
    </row>
    <row r="83" customFormat="false" ht="40.5" hidden="false" customHeight="true" outlineLevel="0" collapsed="false">
      <c r="A83" s="11" t="s">
        <v>159</v>
      </c>
      <c r="B83" s="25" t="n">
        <f aca="false">B84+B85+B86</f>
        <v>200</v>
      </c>
      <c r="C83" s="25" t="n">
        <f aca="false">C84+C85+C86</f>
        <v>195.95833</v>
      </c>
      <c r="D83" s="25" t="n">
        <f aca="false">B83-C83</f>
        <v>4.04167000000001</v>
      </c>
      <c r="E83" s="26" t="n">
        <f aca="false">IF(C83=0,"n/m",D83/ABS(C83))</f>
        <v>0.0206251502551589</v>
      </c>
      <c r="F83" s="49" t="str">
        <f aca="false">IF(ROUND(D83,5)=0,"",IF(D83&lt;0,"F","U"))</f>
        <v>U</v>
      </c>
      <c r="G83" s="6" t="s">
        <v>887</v>
      </c>
      <c r="H83" s="50" t="s">
        <v>303</v>
      </c>
      <c r="I83" s="51" t="s">
        <v>822</v>
      </c>
      <c r="J83" s="52" t="str">
        <f aca="false">IF(AND(ROUND(B83-K83,4)=0,ROUND(C83-L83,4)=0,TRUE()),"✓","✗")</f>
        <v>✓</v>
      </c>
      <c r="K83" s="61" t="n">
        <v>200</v>
      </c>
      <c r="L83" s="61" t="n">
        <v>195.95833</v>
      </c>
    </row>
    <row r="84" customFormat="false" ht="53.25" hidden="false" customHeight="true" outlineLevel="1" collapsed="false">
      <c r="A84" s="62" t="s">
        <v>304</v>
      </c>
      <c r="B84" s="34" t="n">
        <v>180</v>
      </c>
      <c r="C84" s="34" t="n">
        <v>175</v>
      </c>
      <c r="D84" s="25" t="n">
        <f aca="false">B84-C84</f>
        <v>5</v>
      </c>
      <c r="E84" s="26" t="n">
        <f aca="false">IF(C84=0,"n/m",D84/ABS(C84))</f>
        <v>0.0285714285714286</v>
      </c>
      <c r="F84" s="49" t="str">
        <f aca="false">IF(ROUND(D84,5)=0,"",IF(D84&lt;0,"F","U"))</f>
        <v>U</v>
      </c>
      <c r="G84" s="63" t="s">
        <v>888</v>
      </c>
      <c r="H84" s="50" t="s">
        <v>244</v>
      </c>
      <c r="I84" s="18" t="s">
        <v>191</v>
      </c>
      <c r="J84" s="52" t="s">
        <v>182</v>
      </c>
    </row>
    <row r="85" customFormat="false" ht="27.75" hidden="false" customHeight="true" outlineLevel="1" collapsed="false">
      <c r="A85" s="62" t="s">
        <v>267</v>
      </c>
      <c r="B85" s="34" t="n">
        <v>10</v>
      </c>
      <c r="C85" s="34" t="n">
        <v>10.33333</v>
      </c>
      <c r="D85" s="25" t="n">
        <f aca="false">B85-C85</f>
        <v>-0.33333</v>
      </c>
      <c r="E85" s="26" t="n">
        <f aca="false">IF(C85=0,"n/m",D85/ABS(C85))</f>
        <v>-0.0322577523412104</v>
      </c>
      <c r="F85" s="49" t="str">
        <f aca="false">IF(ROUND(D85,5)=0,"",IF(D85&lt;0,"F","U"))</f>
        <v>F</v>
      </c>
      <c r="G85" s="63" t="s">
        <v>881</v>
      </c>
      <c r="H85" s="50" t="s">
        <v>239</v>
      </c>
      <c r="I85" s="18" t="s">
        <v>191</v>
      </c>
      <c r="J85" s="52" t="s">
        <v>182</v>
      </c>
    </row>
    <row r="86" customFormat="false" ht="27.75" hidden="false" customHeight="true" outlineLevel="1" collapsed="false">
      <c r="A86" s="62" t="s">
        <v>269</v>
      </c>
      <c r="B86" s="34" t="n">
        <v>10</v>
      </c>
      <c r="C86" s="34" t="n">
        <v>10.625</v>
      </c>
      <c r="D86" s="25" t="n">
        <f aca="false">B86-C86</f>
        <v>-0.625</v>
      </c>
      <c r="E86" s="26" t="n">
        <f aca="false">IF(C86=0,"n/m",D86/ABS(C86))</f>
        <v>-0.0588235294117647</v>
      </c>
      <c r="F86" s="49" t="str">
        <f aca="false">IF(ROUND(D86,5)=0,"",IF(D86&lt;0,"F","U"))</f>
        <v>F</v>
      </c>
      <c r="G86" s="63" t="s">
        <v>889</v>
      </c>
      <c r="I86" s="18" t="s">
        <v>191</v>
      </c>
      <c r="J86" s="52" t="s">
        <v>182</v>
      </c>
    </row>
    <row r="87" customFormat="false" ht="48" hidden="false" customHeight="true" outlineLevel="0" collapsed="false">
      <c r="A87" s="53" t="s">
        <v>171</v>
      </c>
      <c r="B87" s="37" t="n">
        <f aca="false">B73+B77+B83</f>
        <v>680</v>
      </c>
      <c r="C87" s="37" t="n">
        <f aca="false">C73+C77+C83</f>
        <v>715.09333</v>
      </c>
      <c r="D87" s="37" t="n">
        <f aca="false">B87-C87</f>
        <v>-35.0933299999999</v>
      </c>
      <c r="E87" s="54" t="n">
        <f aca="false">IF(C87=0,"n/m",D87/ABS(C87))</f>
        <v>-0.0490751745649759</v>
      </c>
      <c r="F87" s="55" t="str">
        <f aca="false">IF(ROUND(D87,5)=0,"",IF(D87&lt;0,"F","U"))</f>
        <v>F</v>
      </c>
      <c r="G87" s="56" t="s">
        <v>890</v>
      </c>
      <c r="H87" s="57" t="s">
        <v>308</v>
      </c>
      <c r="I87" s="58" t="s">
        <v>822</v>
      </c>
      <c r="J87" s="59" t="str">
        <f aca="false">IF(AND(ROUND(B87-K87,4)=0,ROUND(C87-L87,4)=0,TRUE()),"✓","✗")</f>
        <v>✓</v>
      </c>
      <c r="K87" s="60" t="n">
        <v>680</v>
      </c>
      <c r="L87" s="60" t="n">
        <v>715.09333</v>
      </c>
    </row>
    <row r="88" customFormat="false" ht="60" hidden="false" customHeight="true" outlineLevel="0" collapsed="false">
      <c r="A88" s="64" t="s">
        <v>96</v>
      </c>
      <c r="B88" s="65" t="n">
        <f aca="false">B72-B87</f>
        <v>220</v>
      </c>
      <c r="C88" s="65" t="n">
        <f aca="false">C72-C87</f>
        <v>175.079</v>
      </c>
      <c r="D88" s="65" t="n">
        <f aca="false">B88-C88</f>
        <v>44.9210000000001</v>
      </c>
      <c r="E88" s="66" t="n">
        <f aca="false">IF(C88=0,"n/m",D88/ABS(C88))</f>
        <v>0.256575603013497</v>
      </c>
      <c r="F88" s="67" t="str">
        <f aca="false">IF(ROUND(D88,5)=0,"",IF(D88&gt;0,"F","U"))</f>
        <v>F</v>
      </c>
      <c r="G88" s="68" t="s">
        <v>891</v>
      </c>
      <c r="H88" s="69" t="s">
        <v>250</v>
      </c>
      <c r="I88" s="70" t="s">
        <v>822</v>
      </c>
      <c r="J88" s="71" t="str">
        <f aca="false">IF(AND(ROUND(B88-K88,4)=0,ROUND(C88-L88,4)=0,TRUE()),"✓","✗")</f>
        <v>✓</v>
      </c>
      <c r="K88" s="72" t="n">
        <v>220</v>
      </c>
      <c r="L88" s="72" t="n">
        <v>175.079</v>
      </c>
    </row>
    <row r="89" customFormat="false" ht="27.75" hidden="false" customHeight="true" outlineLevel="0" collapsed="false">
      <c r="A89" s="11" t="s">
        <v>160</v>
      </c>
      <c r="B89" s="34" t="n">
        <v>10</v>
      </c>
      <c r="C89" s="34" t="n">
        <v>8</v>
      </c>
      <c r="D89" s="25" t="n">
        <f aca="false">B89-C89</f>
        <v>2</v>
      </c>
      <c r="E89" s="26" t="n">
        <f aca="false">IF(C89=0,"n/m",D89/ABS(C89))</f>
        <v>0.25</v>
      </c>
      <c r="F89" s="49" t="str">
        <f aca="false">IF(ROUND(D89,5)=0,"",IF(D89&gt;0,"F","U"))</f>
        <v>F</v>
      </c>
      <c r="G89" s="63" t="s">
        <v>855</v>
      </c>
      <c r="I89" s="18" t="s">
        <v>191</v>
      </c>
      <c r="J89" s="52" t="s">
        <v>182</v>
      </c>
    </row>
    <row r="90" customFormat="false" ht="15" hidden="false" customHeight="true" outlineLevel="0" collapsed="false">
      <c r="A90" s="11" t="s">
        <v>161</v>
      </c>
      <c r="B90" s="34" t="n">
        <v>30</v>
      </c>
      <c r="C90" s="34" t="n">
        <v>30</v>
      </c>
      <c r="D90" s="25" t="n">
        <f aca="false">B90-C90</f>
        <v>0</v>
      </c>
      <c r="E90" s="26" t="n">
        <f aca="false">IF(C90=0,"n/m",D90/ABS(C90))</f>
        <v>0</v>
      </c>
      <c r="F90" s="49" t="str">
        <f aca="false">IF(ROUND(D90,5)=0,"",IF(D90&lt;0,"F","U"))</f>
        <v/>
      </c>
      <c r="G90" s="63" t="s">
        <v>856</v>
      </c>
      <c r="I90" s="18" t="s">
        <v>191</v>
      </c>
      <c r="J90" s="52" t="s">
        <v>182</v>
      </c>
    </row>
    <row r="91" customFormat="false" ht="27.75" hidden="false" customHeight="true" outlineLevel="0" collapsed="false">
      <c r="A91" s="11" t="s">
        <v>126</v>
      </c>
      <c r="B91" s="34" t="n">
        <v>40</v>
      </c>
      <c r="C91" s="34" t="n">
        <v>45</v>
      </c>
      <c r="D91" s="25" t="n">
        <f aca="false">B91-C91</f>
        <v>-5</v>
      </c>
      <c r="E91" s="26" t="n">
        <f aca="false">IF(C91=0,"n/m",D91/ABS(C91))</f>
        <v>-0.111111111111111</v>
      </c>
      <c r="F91" s="49" t="str">
        <f aca="false">IF(ROUND(D91,5)=0,"",IF(D91&lt;0,"F","U"))</f>
        <v>F</v>
      </c>
      <c r="G91" s="6" t="s">
        <v>858</v>
      </c>
      <c r="I91" s="51" t="s">
        <v>822</v>
      </c>
      <c r="J91" s="52" t="s">
        <v>182</v>
      </c>
    </row>
    <row r="92" customFormat="false" ht="60" hidden="false" customHeight="true" outlineLevel="0" collapsed="false">
      <c r="A92" s="64" t="s">
        <v>97</v>
      </c>
      <c r="B92" s="65" t="n">
        <f aca="false">B88+B89-B90-B91</f>
        <v>160</v>
      </c>
      <c r="C92" s="65" t="n">
        <f aca="false">C88+C89-C90-C91</f>
        <v>108.079</v>
      </c>
      <c r="D92" s="65" t="n">
        <f aca="false">B92-C92</f>
        <v>51.9210000000001</v>
      </c>
      <c r="E92" s="66" t="n">
        <f aca="false">IF(C92=0,"n/m",D92/ABS(C92))</f>
        <v>0.48039859732233</v>
      </c>
      <c r="F92" s="67" t="str">
        <f aca="false">IF(ROUND(D92,5)=0,"",IF(D92&gt;0,"F","U"))</f>
        <v>F</v>
      </c>
      <c r="G92" s="68" t="s">
        <v>892</v>
      </c>
      <c r="H92" s="69" t="s">
        <v>250</v>
      </c>
      <c r="I92" s="70" t="s">
        <v>822</v>
      </c>
      <c r="J92" s="71" t="str">
        <f aca="false">IF(AND(ROUND(B92-K92,4)=0,ROUND(C92-L92,4)=0,TRUE()),"✓","✗")</f>
        <v>✓</v>
      </c>
      <c r="K92" s="72" t="n">
        <v>160</v>
      </c>
      <c r="L92" s="72" t="n">
        <v>108.079</v>
      </c>
    </row>
    <row r="94" customFormat="false" ht="18" hidden="false" customHeight="true" outlineLevel="0" collapsed="false">
      <c r="A94" s="44" t="s">
        <v>311</v>
      </c>
      <c r="B94" s="45"/>
      <c r="C94" s="45"/>
      <c r="D94" s="45"/>
      <c r="E94" s="45"/>
      <c r="F94" s="45"/>
      <c r="G94" s="45"/>
      <c r="H94" s="45"/>
      <c r="I94" s="45"/>
      <c r="J94" s="45"/>
      <c r="K94" s="45"/>
      <c r="L94" s="45"/>
    </row>
    <row r="95" customFormat="false" ht="40.5" hidden="false" customHeight="true" outlineLevel="0" collapsed="false">
      <c r="A95" s="11" t="s">
        <v>312</v>
      </c>
      <c r="B95" s="25" t="n">
        <f aca="false">B96+B97</f>
        <v>2000</v>
      </c>
      <c r="C95" s="25" t="n">
        <f aca="false">C96+C97</f>
        <v>2030</v>
      </c>
      <c r="D95" s="25" t="n">
        <f aca="false">B95-C95</f>
        <v>-30</v>
      </c>
      <c r="E95" s="26" t="n">
        <f aca="false">IF(C95=0,"n/m",D95/ABS(C95))</f>
        <v>-0.0147783251231527</v>
      </c>
      <c r="F95" s="49" t="str">
        <f aca="false">IF(ROUND(D95,5)=0,"",IF(D95&gt;0,"F","U"))</f>
        <v>U</v>
      </c>
      <c r="G95" s="6" t="s">
        <v>893</v>
      </c>
      <c r="H95" s="50" t="s">
        <v>186</v>
      </c>
      <c r="I95" s="51" t="s">
        <v>822</v>
      </c>
      <c r="J95" s="52" t="str">
        <f aca="false">IF(AND(ROUND(B95-K95,4)=0,ROUND(C95-L95,4)=0,TRUE()),"✓","✗")</f>
        <v>✓</v>
      </c>
      <c r="K95" s="61" t="n">
        <v>2000</v>
      </c>
      <c r="L95" s="61" t="n">
        <v>2030</v>
      </c>
    </row>
    <row r="96" customFormat="false" ht="48" hidden="false" customHeight="true" outlineLevel="1" collapsed="false">
      <c r="A96" s="62" t="s">
        <v>314</v>
      </c>
      <c r="B96" s="34" t="n">
        <v>1800</v>
      </c>
      <c r="C96" s="34" t="n">
        <v>1850</v>
      </c>
      <c r="D96" s="25" t="n">
        <f aca="false">B96-C96</f>
        <v>-50</v>
      </c>
      <c r="E96" s="26" t="n">
        <f aca="false">IF(C96=0,"n/m",D96/ABS(C96))</f>
        <v>-0.027027027027027</v>
      </c>
      <c r="F96" s="49" t="str">
        <f aca="false">IF(ROUND(D96,5)=0,"",IF(D96&gt;0,"F","U"))</f>
        <v>U</v>
      </c>
      <c r="G96" s="6" t="s">
        <v>821</v>
      </c>
      <c r="H96" s="50" t="s">
        <v>180</v>
      </c>
      <c r="I96" s="51" t="s">
        <v>822</v>
      </c>
      <c r="J96" s="52" t="s">
        <v>182</v>
      </c>
    </row>
    <row r="97" customFormat="false" ht="27.75" hidden="false" customHeight="true" outlineLevel="1" collapsed="false">
      <c r="A97" s="62" t="s">
        <v>315</v>
      </c>
      <c r="B97" s="34" t="n">
        <v>200</v>
      </c>
      <c r="C97" s="34" t="n">
        <v>180</v>
      </c>
      <c r="D97" s="25" t="n">
        <f aca="false">B97-C97</f>
        <v>20</v>
      </c>
      <c r="E97" s="26" t="n">
        <f aca="false">IF(C97=0,"n/m",D97/ABS(C97))</f>
        <v>0.111111111111111</v>
      </c>
      <c r="F97" s="49" t="str">
        <f aca="false">IF(ROUND(D97,5)=0,"",IF(D97&gt;0,"F","U"))</f>
        <v>F</v>
      </c>
      <c r="G97" s="6" t="s">
        <v>823</v>
      </c>
      <c r="H97" s="50" t="s">
        <v>184</v>
      </c>
      <c r="I97" s="51" t="s">
        <v>822</v>
      </c>
      <c r="J97" s="52" t="s">
        <v>182</v>
      </c>
    </row>
    <row r="98" customFormat="false" ht="48" hidden="false" customHeight="true" outlineLevel="0" collapsed="false">
      <c r="A98" s="11" t="s">
        <v>316</v>
      </c>
      <c r="B98" s="25" t="n">
        <f aca="false">B99+B100+B101+B102+B103</f>
        <v>1040</v>
      </c>
      <c r="C98" s="25" t="n">
        <f aca="false">C99+C100+C101+C102+C103</f>
        <v>1108.921</v>
      </c>
      <c r="D98" s="25" t="n">
        <f aca="false">B98-C98</f>
        <v>-68.9209999999998</v>
      </c>
      <c r="E98" s="26" t="n">
        <f aca="false">IF(C98=0,"n/m",D98/ABS(C98))</f>
        <v>-0.0621514066376233</v>
      </c>
      <c r="F98" s="49" t="str">
        <f aca="false">IF(ROUND(D98,5)=0,"",IF(D98&lt;0,"F","U"))</f>
        <v>F</v>
      </c>
      <c r="G98" s="6" t="s">
        <v>894</v>
      </c>
      <c r="H98" s="50" t="s">
        <v>318</v>
      </c>
      <c r="I98" s="51" t="s">
        <v>822</v>
      </c>
      <c r="J98" s="52" t="str">
        <f aca="false">IF(AND(ROUND(B98-K98,4)=0,ROUND(C98-L98,4)=0,TRUE()),"✓","✗")</f>
        <v>✓</v>
      </c>
      <c r="K98" s="61" t="n">
        <v>1040</v>
      </c>
      <c r="L98" s="61" t="n">
        <v>1108.921</v>
      </c>
    </row>
    <row r="99" customFormat="false" ht="36.75" hidden="false" customHeight="true" outlineLevel="1" collapsed="false">
      <c r="A99" s="62" t="s">
        <v>192</v>
      </c>
      <c r="B99" s="34" t="n">
        <v>400</v>
      </c>
      <c r="C99" s="34" t="n">
        <v>444.92</v>
      </c>
      <c r="D99" s="25" t="n">
        <f aca="false">B99-C99</f>
        <v>-44.92</v>
      </c>
      <c r="E99" s="26" t="n">
        <f aca="false">IF(C99=0,"n/m",D99/ABS(C99))</f>
        <v>-0.10096197069136</v>
      </c>
      <c r="F99" s="49" t="str">
        <f aca="false">IF(ROUND(D99,5)=0,"",IF(D99&lt;0,"F","U"))</f>
        <v>F</v>
      </c>
      <c r="G99" s="6" t="s">
        <v>895</v>
      </c>
      <c r="H99" s="50" t="s">
        <v>320</v>
      </c>
      <c r="I99" s="51" t="s">
        <v>822</v>
      </c>
      <c r="J99" s="52" t="s">
        <v>182</v>
      </c>
    </row>
    <row r="100" customFormat="false" ht="27.75" hidden="false" customHeight="true" outlineLevel="1" collapsed="false">
      <c r="A100" s="62" t="s">
        <v>195</v>
      </c>
      <c r="B100" s="34" t="n">
        <v>120</v>
      </c>
      <c r="C100" s="34" t="n">
        <v>126.913</v>
      </c>
      <c r="D100" s="25" t="n">
        <f aca="false">B100-C100</f>
        <v>-6.913</v>
      </c>
      <c r="E100" s="26" t="n">
        <f aca="false">IF(C100=0,"n/m",D100/ABS(C100))</f>
        <v>-0.0544703852245239</v>
      </c>
      <c r="F100" s="49" t="str">
        <f aca="false">IF(ROUND(D100,5)=0,"",IF(D100&lt;0,"F","U"))</f>
        <v>F</v>
      </c>
      <c r="G100" s="63" t="s">
        <v>896</v>
      </c>
      <c r="H100" s="50" t="s">
        <v>322</v>
      </c>
      <c r="I100" s="18" t="s">
        <v>191</v>
      </c>
      <c r="J100" s="52" t="s">
        <v>182</v>
      </c>
    </row>
    <row r="101" customFormat="false" ht="36.75" hidden="false" customHeight="true" outlineLevel="1" collapsed="false">
      <c r="A101" s="62" t="s">
        <v>198</v>
      </c>
      <c r="B101" s="34" t="n">
        <v>160</v>
      </c>
      <c r="C101" s="34" t="n">
        <v>153.796</v>
      </c>
      <c r="D101" s="25" t="n">
        <f aca="false">B101-C101</f>
        <v>6.20400000000001</v>
      </c>
      <c r="E101" s="26" t="n">
        <f aca="false">IF(C101=0,"n/m",D101/ABS(C101))</f>
        <v>0.0403391505630836</v>
      </c>
      <c r="F101" s="49" t="str">
        <f aca="false">IF(ROUND(D101,5)=0,"",IF(D101&lt;0,"F","U"))</f>
        <v>U</v>
      </c>
      <c r="G101" s="63" t="s">
        <v>829</v>
      </c>
      <c r="H101" s="50" t="s">
        <v>200</v>
      </c>
      <c r="I101" s="18" t="s">
        <v>191</v>
      </c>
      <c r="J101" s="52" t="s">
        <v>182</v>
      </c>
    </row>
    <row r="102" customFormat="false" ht="27.75" hidden="false" customHeight="true" outlineLevel="1" collapsed="false">
      <c r="A102" s="62" t="s">
        <v>323</v>
      </c>
      <c r="B102" s="34" t="n">
        <v>120</v>
      </c>
      <c r="C102" s="34" t="n">
        <v>119.412</v>
      </c>
      <c r="D102" s="25" t="n">
        <f aca="false">B102-C102</f>
        <v>0.587999999999994</v>
      </c>
      <c r="E102" s="26" t="n">
        <f aca="false">IF(C102=0,"n/m",D102/ABS(C102))</f>
        <v>0.00492412822831871</v>
      </c>
      <c r="F102" s="49" t="str">
        <f aca="false">IF(ROUND(D102,5)=0,"",IF(D102&lt;0,"F","U"))</f>
        <v>U</v>
      </c>
      <c r="G102" s="63" t="s">
        <v>897</v>
      </c>
      <c r="H102" s="50" t="s">
        <v>210</v>
      </c>
      <c r="I102" s="18" t="s">
        <v>191</v>
      </c>
      <c r="J102" s="52" t="s">
        <v>182</v>
      </c>
    </row>
    <row r="103" customFormat="false" ht="36.75" hidden="false" customHeight="true" outlineLevel="1" collapsed="false">
      <c r="A103" s="62" t="s">
        <v>225</v>
      </c>
      <c r="B103" s="34" t="n">
        <v>240</v>
      </c>
      <c r="C103" s="34" t="n">
        <v>263.88</v>
      </c>
      <c r="D103" s="25" t="n">
        <f aca="false">B103-C103</f>
        <v>-23.88</v>
      </c>
      <c r="E103" s="26" t="n">
        <f aca="false">IF(C103=0,"n/m",D103/ABS(C103))</f>
        <v>-0.0904956798544793</v>
      </c>
      <c r="F103" s="49" t="str">
        <f aca="false">IF(ROUND(D103,5)=0,"",IF(D103&lt;0,"F","U"))</f>
        <v>F</v>
      </c>
      <c r="G103" s="6" t="s">
        <v>842</v>
      </c>
      <c r="H103" s="50" t="s">
        <v>227</v>
      </c>
      <c r="I103" s="51" t="s">
        <v>822</v>
      </c>
      <c r="J103" s="52" t="s">
        <v>182</v>
      </c>
    </row>
    <row r="104" customFormat="false" ht="40.5" hidden="false" customHeight="true" outlineLevel="0" collapsed="false">
      <c r="A104" s="11" t="s">
        <v>325</v>
      </c>
      <c r="B104" s="25" t="n">
        <f aca="false">B105+B106</f>
        <v>280</v>
      </c>
      <c r="C104" s="25" t="n">
        <f aca="false">C105+C106</f>
        <v>272</v>
      </c>
      <c r="D104" s="25" t="n">
        <f aca="false">B104-C104</f>
        <v>8</v>
      </c>
      <c r="E104" s="26" t="n">
        <f aca="false">IF(C104=0,"n/m",D104/ABS(C104))</f>
        <v>0.0294117647058824</v>
      </c>
      <c r="F104" s="49" t="str">
        <f aca="false">IF(ROUND(D104,5)=0,"",IF(D104&lt;0,"F","U"))</f>
        <v>U</v>
      </c>
      <c r="G104" s="6" t="s">
        <v>898</v>
      </c>
      <c r="H104" s="50" t="s">
        <v>327</v>
      </c>
      <c r="I104" s="51" t="s">
        <v>822</v>
      </c>
      <c r="J104" s="52" t="str">
        <f aca="false">IF(AND(ROUND(B104-K104,4)=0,ROUND(C104-L104,4)=0,TRUE()),"✓","✗")</f>
        <v>✓</v>
      </c>
      <c r="K104" s="61" t="n">
        <v>280</v>
      </c>
      <c r="L104" s="61" t="n">
        <v>272</v>
      </c>
    </row>
    <row r="105" customFormat="false" ht="27.75" hidden="false" customHeight="true" outlineLevel="1" collapsed="false">
      <c r="A105" s="62" t="s">
        <v>189</v>
      </c>
      <c r="B105" s="34" t="n">
        <v>200</v>
      </c>
      <c r="C105" s="34" t="n">
        <v>190</v>
      </c>
      <c r="D105" s="25" t="n">
        <f aca="false">B105-C105</f>
        <v>10</v>
      </c>
      <c r="E105" s="26" t="n">
        <f aca="false">IF(C105=0,"n/m",D105/ABS(C105))</f>
        <v>0.0526315789473684</v>
      </c>
      <c r="F105" s="49" t="str">
        <f aca="false">IF(ROUND(D105,5)=0,"",IF(D105&lt;0,"F","U"))</f>
        <v>U</v>
      </c>
      <c r="G105" s="6" t="s">
        <v>899</v>
      </c>
      <c r="H105" s="50" t="s">
        <v>236</v>
      </c>
      <c r="I105" s="51" t="s">
        <v>822</v>
      </c>
      <c r="J105" s="52" t="s">
        <v>182</v>
      </c>
    </row>
    <row r="106" customFormat="false" ht="36.75" hidden="false" customHeight="true" outlineLevel="1" collapsed="false">
      <c r="A106" s="62" t="s">
        <v>201</v>
      </c>
      <c r="B106" s="34" t="n">
        <v>80</v>
      </c>
      <c r="C106" s="34" t="n">
        <v>82</v>
      </c>
      <c r="D106" s="25" t="n">
        <f aca="false">B106-C106</f>
        <v>-2</v>
      </c>
      <c r="E106" s="26" t="n">
        <f aca="false">IF(C106=0,"n/m",D106/ABS(C106))</f>
        <v>-0.024390243902439</v>
      </c>
      <c r="F106" s="49" t="str">
        <f aca="false">IF(ROUND(D106,5)=0,"",IF(D106&lt;0,"F","U"))</f>
        <v>F</v>
      </c>
      <c r="G106" s="63" t="s">
        <v>900</v>
      </c>
      <c r="H106" s="50" t="s">
        <v>330</v>
      </c>
      <c r="I106" s="18" t="s">
        <v>191</v>
      </c>
      <c r="J106" s="52" t="s">
        <v>182</v>
      </c>
    </row>
    <row r="107" customFormat="false" ht="27.75" hidden="false" customHeight="true" outlineLevel="0" collapsed="false">
      <c r="A107" s="11" t="s">
        <v>331</v>
      </c>
      <c r="B107" s="25" t="n">
        <f aca="false">B108+B109</f>
        <v>280</v>
      </c>
      <c r="C107" s="25" t="n">
        <f aca="false">C108+C109</f>
        <v>285</v>
      </c>
      <c r="D107" s="25" t="n">
        <f aca="false">B107-C107</f>
        <v>-5</v>
      </c>
      <c r="E107" s="26" t="n">
        <f aca="false">IF(C107=0,"n/m",D107/ABS(C107))</f>
        <v>-0.0175438596491228</v>
      </c>
      <c r="F107" s="49" t="str">
        <f aca="false">IF(ROUND(D107,5)=0,"",IF(D107&lt;0,"F","U"))</f>
        <v>F</v>
      </c>
      <c r="G107" s="6" t="s">
        <v>901</v>
      </c>
      <c r="H107" s="50" t="s">
        <v>333</v>
      </c>
      <c r="I107" s="51" t="s">
        <v>822</v>
      </c>
      <c r="J107" s="52" t="str">
        <f aca="false">IF(AND(ROUND(B107-K107,4)=0,ROUND(C107-L107,4)=0,TRUE()),"✓","✗")</f>
        <v>✓</v>
      </c>
      <c r="K107" s="61" t="n">
        <v>280</v>
      </c>
      <c r="L107" s="61" t="n">
        <v>285</v>
      </c>
    </row>
    <row r="108" customFormat="false" ht="48" hidden="false" customHeight="true" outlineLevel="1" collapsed="false">
      <c r="A108" s="62" t="s">
        <v>230</v>
      </c>
      <c r="B108" s="34" t="n">
        <v>100</v>
      </c>
      <c r="C108" s="34" t="n">
        <v>110</v>
      </c>
      <c r="D108" s="25" t="n">
        <f aca="false">B108-C108</f>
        <v>-10</v>
      </c>
      <c r="E108" s="26" t="n">
        <f aca="false">IF(C108=0,"n/m",D108/ABS(C108))</f>
        <v>-0.0909090909090909</v>
      </c>
      <c r="F108" s="49" t="str">
        <f aca="false">IF(ROUND(D108,5)=0,"",IF(D108&lt;0,"F","U"))</f>
        <v>F</v>
      </c>
      <c r="G108" s="6" t="s">
        <v>844</v>
      </c>
      <c r="H108" s="50" t="s">
        <v>232</v>
      </c>
      <c r="I108" s="51" t="s">
        <v>822</v>
      </c>
      <c r="J108" s="52" t="s">
        <v>182</v>
      </c>
    </row>
    <row r="109" customFormat="false" ht="53.25" hidden="false" customHeight="true" outlineLevel="1" collapsed="false">
      <c r="A109" s="62" t="s">
        <v>242</v>
      </c>
      <c r="B109" s="34" t="n">
        <v>180</v>
      </c>
      <c r="C109" s="34" t="n">
        <v>175</v>
      </c>
      <c r="D109" s="25" t="n">
        <f aca="false">B109-C109</f>
        <v>5</v>
      </c>
      <c r="E109" s="26" t="n">
        <f aca="false">IF(C109=0,"n/m",D109/ABS(C109))</f>
        <v>0.0285714285714286</v>
      </c>
      <c r="F109" s="49" t="str">
        <f aca="false">IF(ROUND(D109,5)=0,"",IF(D109&lt;0,"F","U"))</f>
        <v>U</v>
      </c>
      <c r="G109" s="6" t="s">
        <v>850</v>
      </c>
      <c r="H109" s="50" t="s">
        <v>244</v>
      </c>
      <c r="I109" s="51" t="s">
        <v>822</v>
      </c>
      <c r="J109" s="52" t="s">
        <v>182</v>
      </c>
    </row>
    <row r="110" customFormat="false" ht="40.5" hidden="false" customHeight="true" outlineLevel="0" collapsed="false">
      <c r="A110" s="11" t="s">
        <v>334</v>
      </c>
      <c r="B110" s="25" t="n">
        <f aca="false">B111+B112+B113</f>
        <v>180</v>
      </c>
      <c r="C110" s="25" t="n">
        <f aca="false">C111+C112+C113</f>
        <v>189</v>
      </c>
      <c r="D110" s="25" t="n">
        <f aca="false">B110-C110</f>
        <v>-9</v>
      </c>
      <c r="E110" s="26" t="n">
        <f aca="false">IF(C110=0,"n/m",D110/ABS(C110))</f>
        <v>-0.0476190476190476</v>
      </c>
      <c r="F110" s="49" t="str">
        <f aca="false">IF(ROUND(D110,5)=0,"",IF(D110&lt;0,"F","U"))</f>
        <v>F</v>
      </c>
      <c r="G110" s="6" t="s">
        <v>902</v>
      </c>
      <c r="H110" s="50" t="s">
        <v>336</v>
      </c>
      <c r="I110" s="51" t="s">
        <v>822</v>
      </c>
      <c r="J110" s="52" t="str">
        <f aca="false">IF(AND(ROUND(B110-K110,4)=0,ROUND(C110-L110,4)=0,TRUE()),"✓","✗")</f>
        <v>✓</v>
      </c>
      <c r="K110" s="61" t="n">
        <v>180</v>
      </c>
      <c r="L110" s="61" t="n">
        <v>189</v>
      </c>
    </row>
    <row r="111" customFormat="false" ht="40.5" hidden="false" customHeight="true" outlineLevel="1" collapsed="false">
      <c r="A111" s="62" t="s">
        <v>233</v>
      </c>
      <c r="B111" s="34" t="n">
        <v>40</v>
      </c>
      <c r="C111" s="34" t="n">
        <v>42</v>
      </c>
      <c r="D111" s="25" t="n">
        <f aca="false">B111-C111</f>
        <v>-2</v>
      </c>
      <c r="E111" s="26" t="n">
        <f aca="false">IF(C111=0,"n/m",D111/ABS(C111))</f>
        <v>-0.0476190476190476</v>
      </c>
      <c r="F111" s="49" t="str">
        <f aca="false">IF(ROUND(D111,5)=0,"",IF(D111&lt;0,"F","U"))</f>
        <v>F</v>
      </c>
      <c r="G111" s="63" t="s">
        <v>845</v>
      </c>
      <c r="I111" s="18" t="s">
        <v>191</v>
      </c>
      <c r="J111" s="52" t="s">
        <v>182</v>
      </c>
    </row>
    <row r="112" customFormat="false" ht="27.75" hidden="false" customHeight="true" outlineLevel="1" collapsed="false">
      <c r="A112" s="62" t="s">
        <v>204</v>
      </c>
      <c r="B112" s="34" t="n">
        <v>60</v>
      </c>
      <c r="C112" s="34" t="n">
        <v>62</v>
      </c>
      <c r="D112" s="25" t="n">
        <f aca="false">B112-C112</f>
        <v>-2</v>
      </c>
      <c r="E112" s="26" t="n">
        <f aca="false">IF(C112=0,"n/m",D112/ABS(C112))</f>
        <v>-0.032258064516129</v>
      </c>
      <c r="F112" s="49" t="str">
        <f aca="false">IF(ROUND(D112,5)=0,"",IF(D112&lt;0,"F","U"))</f>
        <v>F</v>
      </c>
      <c r="G112" s="63" t="s">
        <v>903</v>
      </c>
      <c r="H112" s="50" t="s">
        <v>336</v>
      </c>
      <c r="I112" s="18" t="s">
        <v>191</v>
      </c>
      <c r="J112" s="52" t="s">
        <v>182</v>
      </c>
    </row>
    <row r="113" customFormat="false" ht="27.75" hidden="false" customHeight="true" outlineLevel="1" collapsed="false">
      <c r="A113" s="62" t="s">
        <v>207</v>
      </c>
      <c r="B113" s="34" t="n">
        <v>80</v>
      </c>
      <c r="C113" s="34" t="n">
        <v>85</v>
      </c>
      <c r="D113" s="25" t="n">
        <f aca="false">B113-C113</f>
        <v>-5</v>
      </c>
      <c r="E113" s="26" t="n">
        <f aca="false">IF(C113=0,"n/m",D113/ABS(C113))</f>
        <v>-0.0588235294117647</v>
      </c>
      <c r="F113" s="49" t="str">
        <f aca="false">IF(ROUND(D113,5)=0,"",IF(D113&lt;0,"F","U"))</f>
        <v>F</v>
      </c>
      <c r="G113" s="63" t="s">
        <v>904</v>
      </c>
      <c r="I113" s="18" t="s">
        <v>191</v>
      </c>
      <c r="J113" s="52" t="s">
        <v>182</v>
      </c>
    </row>
    <row r="114" customFormat="false" ht="60" hidden="false" customHeight="true" outlineLevel="0" collapsed="false">
      <c r="A114" s="53" t="s">
        <v>339</v>
      </c>
      <c r="B114" s="37" t="n">
        <f aca="false">B98+B104+B107+B110</f>
        <v>1780</v>
      </c>
      <c r="C114" s="37" t="n">
        <f aca="false">C98+C104+C107+C110</f>
        <v>1854.921</v>
      </c>
      <c r="D114" s="37" t="n">
        <f aca="false">B114-C114</f>
        <v>-74.9209999999998</v>
      </c>
      <c r="E114" s="54" t="n">
        <f aca="false">IF(C114=0,"n/m",D114/ABS(C114))</f>
        <v>-0.0403903993754989</v>
      </c>
      <c r="F114" s="55" t="str">
        <f aca="false">IF(ROUND(D114,5)=0,"",IF(D114&lt;0,"F","U"))</f>
        <v>F</v>
      </c>
      <c r="G114" s="56" t="s">
        <v>905</v>
      </c>
      <c r="H114" s="57" t="s">
        <v>341</v>
      </c>
      <c r="I114" s="58" t="s">
        <v>822</v>
      </c>
      <c r="J114" s="59" t="str">
        <f aca="false">IF(AND(ROUND(B114-K114,4)=0,ROUND(C114-L114,4)=0,TRUE()),"✓","✗")</f>
        <v>✓</v>
      </c>
      <c r="K114" s="60" t="n">
        <v>1780</v>
      </c>
      <c r="L114" s="60" t="n">
        <v>1854.921</v>
      </c>
    </row>
    <row r="115" customFormat="false" ht="60" hidden="false" customHeight="true" outlineLevel="0" collapsed="false">
      <c r="A115" s="64" t="s">
        <v>96</v>
      </c>
      <c r="B115" s="65" t="n">
        <f aca="false">B95-B114</f>
        <v>220</v>
      </c>
      <c r="C115" s="65" t="n">
        <f aca="false">C95-C114</f>
        <v>175.079</v>
      </c>
      <c r="D115" s="65" t="n">
        <f aca="false">B115-C115</f>
        <v>44.9209999999998</v>
      </c>
      <c r="E115" s="66" t="n">
        <f aca="false">IF(C115=0,"n/m",D115/ABS(C115))</f>
        <v>0.256575603013495</v>
      </c>
      <c r="F115" s="67" t="str">
        <f aca="false">IF(ROUND(D115,5)=0,"",IF(D115&gt;0,"F","U"))</f>
        <v>F</v>
      </c>
      <c r="G115" s="68" t="s">
        <v>906</v>
      </c>
      <c r="H115" s="69" t="s">
        <v>250</v>
      </c>
      <c r="I115" s="70" t="s">
        <v>822</v>
      </c>
      <c r="J115" s="71" t="str">
        <f aca="false">IF(AND(ROUND(B115-K115,4)=0,ROUND(C115-L115,4)=0,TRUE()),"✓","✗")</f>
        <v>✓</v>
      </c>
      <c r="K115" s="72" t="n">
        <v>220</v>
      </c>
      <c r="L115" s="72" t="n">
        <v>175.079</v>
      </c>
    </row>
    <row r="116" customFormat="false" ht="15" hidden="false" customHeight="true" outlineLevel="0" collapsed="false">
      <c r="A116" s="11" t="s">
        <v>343</v>
      </c>
      <c r="B116" s="25" t="n">
        <f aca="false">B117-B118</f>
        <v>-20</v>
      </c>
      <c r="C116" s="25" t="n">
        <f aca="false">C117-C118</f>
        <v>-22</v>
      </c>
      <c r="D116" s="25" t="n">
        <f aca="false">B116-C116</f>
        <v>2</v>
      </c>
      <c r="E116" s="26" t="n">
        <f aca="false">IF(C116=0,"n/m",D116/ABS(C116))</f>
        <v>0.0909090909090909</v>
      </c>
      <c r="F116" s="49" t="str">
        <f aca="false">IF(ROUND(D116,5)=0,"",IF(D116&gt;0,"F","U"))</f>
        <v>F</v>
      </c>
      <c r="G116" s="6" t="s">
        <v>907</v>
      </c>
      <c r="I116" s="51" t="s">
        <v>822</v>
      </c>
      <c r="J116" s="52" t="str">
        <f aca="false">IF(AND(ROUND(B116-K116,4)=0,ROUND(C116-L116,4)=0,TRUE()),"✓","✗")</f>
        <v>✓</v>
      </c>
      <c r="K116" s="61" t="n">
        <v>-20</v>
      </c>
      <c r="L116" s="61" t="n">
        <v>-22</v>
      </c>
    </row>
    <row r="117" customFormat="false" ht="27.75" hidden="false" customHeight="true" outlineLevel="1" collapsed="false">
      <c r="A117" s="62" t="s">
        <v>345</v>
      </c>
      <c r="B117" s="34" t="n">
        <v>10</v>
      </c>
      <c r="C117" s="34" t="n">
        <v>8</v>
      </c>
      <c r="D117" s="25" t="n">
        <f aca="false">B117-C117</f>
        <v>2</v>
      </c>
      <c r="E117" s="26" t="n">
        <f aca="false">IF(C117=0,"n/m",D117/ABS(C117))</f>
        <v>0.25</v>
      </c>
      <c r="F117" s="49" t="str">
        <f aca="false">IF(ROUND(D117,5)=0,"",IF(D117&gt;0,"F","U"))</f>
        <v>F</v>
      </c>
      <c r="G117" s="63" t="s">
        <v>855</v>
      </c>
      <c r="I117" s="18" t="s">
        <v>191</v>
      </c>
      <c r="J117" s="52" t="s">
        <v>182</v>
      </c>
    </row>
    <row r="118" customFormat="false" ht="15" hidden="false" customHeight="true" outlineLevel="1" collapsed="false">
      <c r="A118" s="62" t="s">
        <v>346</v>
      </c>
      <c r="B118" s="34" t="n">
        <v>30</v>
      </c>
      <c r="C118" s="34" t="n">
        <v>30</v>
      </c>
      <c r="D118" s="25" t="n">
        <f aca="false">B118-C118</f>
        <v>0</v>
      </c>
      <c r="E118" s="26" t="n">
        <f aca="false">IF(C118=0,"n/m",D118/ABS(C118))</f>
        <v>0</v>
      </c>
      <c r="F118" s="49" t="str">
        <f aca="false">IF(ROUND(D118,5)=0,"",IF(D118&lt;0,"F","U"))</f>
        <v/>
      </c>
      <c r="G118" s="63" t="s">
        <v>856</v>
      </c>
      <c r="I118" s="18" t="s">
        <v>191</v>
      </c>
      <c r="J118" s="52" t="s">
        <v>182</v>
      </c>
    </row>
    <row r="119" customFormat="false" ht="27.75" hidden="false" customHeight="true" outlineLevel="0" collapsed="false">
      <c r="A119" s="11" t="s">
        <v>347</v>
      </c>
      <c r="B119" s="34" t="n">
        <v>40</v>
      </c>
      <c r="C119" s="34" t="n">
        <v>45</v>
      </c>
      <c r="D119" s="25" t="n">
        <f aca="false">B119-C119</f>
        <v>-5</v>
      </c>
      <c r="E119" s="26" t="n">
        <f aca="false">IF(C119=0,"n/m",D119/ABS(C119))</f>
        <v>-0.111111111111111</v>
      </c>
      <c r="F119" s="49" t="str">
        <f aca="false">IF(ROUND(D119,5)=0,"",IF(D119&lt;0,"F","U"))</f>
        <v>F</v>
      </c>
      <c r="G119" s="6" t="s">
        <v>858</v>
      </c>
      <c r="I119" s="51" t="s">
        <v>822</v>
      </c>
      <c r="J119" s="52" t="s">
        <v>182</v>
      </c>
    </row>
    <row r="120" customFormat="false" ht="60" hidden="false" customHeight="true" outlineLevel="0" collapsed="false">
      <c r="A120" s="64" t="s">
        <v>97</v>
      </c>
      <c r="B120" s="65" t="n">
        <f aca="false">B115+B116-B119</f>
        <v>160</v>
      </c>
      <c r="C120" s="65" t="n">
        <f aca="false">C115+C116-C119</f>
        <v>108.079</v>
      </c>
      <c r="D120" s="65" t="n">
        <f aca="false">B120-C120</f>
        <v>51.9209999999998</v>
      </c>
      <c r="E120" s="66" t="n">
        <f aca="false">IF(C120=0,"n/m",D120/ABS(C120))</f>
        <v>0.480398597322327</v>
      </c>
      <c r="F120" s="67" t="str">
        <f aca="false">IF(ROUND(D120,5)=0,"",IF(D120&gt;0,"F","U"))</f>
        <v>F</v>
      </c>
      <c r="G120" s="68" t="s">
        <v>908</v>
      </c>
      <c r="H120" s="69" t="s">
        <v>250</v>
      </c>
      <c r="I120" s="70" t="s">
        <v>822</v>
      </c>
      <c r="J120" s="71" t="str">
        <f aca="false">IF(AND(ROUND(B120-K120,4)=0,ROUND(C120-L120,4)=0,TRUE()),"✓","✗")</f>
        <v>✓</v>
      </c>
      <c r="K120" s="72" t="n">
        <v>160</v>
      </c>
      <c r="L120" s="72" t="n">
        <v>108.079</v>
      </c>
    </row>
    <row r="122" customFormat="false" ht="18" hidden="false" customHeight="true" outlineLevel="0" collapsed="false">
      <c r="A122" s="44" t="s">
        <v>349</v>
      </c>
      <c r="B122" s="45"/>
      <c r="C122" s="45"/>
      <c r="D122" s="45"/>
      <c r="E122" s="45"/>
      <c r="F122" s="45"/>
      <c r="G122" s="45"/>
      <c r="H122" s="45"/>
      <c r="I122" s="45"/>
      <c r="J122" s="45"/>
      <c r="K122" s="45"/>
      <c r="L122" s="45"/>
    </row>
    <row r="123" customFormat="false" ht="15" hidden="false" customHeight="false" outlineLevel="0" collapsed="false">
      <c r="A123" s="76" t="s">
        <v>909</v>
      </c>
    </row>
    <row r="125" customFormat="false" ht="18" hidden="false" customHeight="true" outlineLevel="0" collapsed="false">
      <c r="A125" s="44" t="s">
        <v>391</v>
      </c>
      <c r="B125" s="45"/>
      <c r="C125" s="45"/>
      <c r="D125" s="45"/>
      <c r="E125" s="45"/>
      <c r="F125" s="45"/>
      <c r="G125" s="45"/>
      <c r="H125" s="45"/>
      <c r="I125" s="45"/>
      <c r="J125" s="45"/>
      <c r="K125" s="45"/>
      <c r="L125" s="45"/>
    </row>
    <row r="126" customFormat="false" ht="15" hidden="false" customHeight="false" outlineLevel="0" collapsed="false">
      <c r="A126" s="76" t="s">
        <v>910</v>
      </c>
    </row>
    <row r="128" customFormat="false" ht="15" hidden="false" customHeight="false" outlineLevel="0" collapsed="false">
      <c r="A128" s="18" t="s">
        <v>431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1" outlineLevelCol="0"/>
  <cols>
    <col collapsed="false" customWidth="true" hidden="false" outlineLevel="0" max="1" min="1" style="0" width="46"/>
    <col collapsed="false" customWidth="true" hidden="false" outlineLevel="0" max="4" min="2" style="0" width="12"/>
    <col collapsed="false" customWidth="true" hidden="false" outlineLevel="0" max="5" min="5" style="0" width="8"/>
    <col collapsed="false" customWidth="true" hidden="false" outlineLevel="0" max="6" min="6" style="0" width="5"/>
    <col collapsed="false" customWidth="true" hidden="false" outlineLevel="0" max="7" min="7" style="0" width="82"/>
    <col collapsed="false" customWidth="true" hidden="false" outlineLevel="0" max="8" min="8" style="0" width="56"/>
    <col collapsed="false" customWidth="true" hidden="false" outlineLevel="0" max="9" min="9" style="0" width="15"/>
    <col collapsed="false" customWidth="true" hidden="false" outlineLevel="0" max="10" min="10" style="0" width="6"/>
    <col collapsed="false" customWidth="true" hidden="false" outlineLevel="0" max="12" min="11" style="0" width="12"/>
  </cols>
  <sheetData>
    <row r="1" customFormat="false" ht="17.35" hidden="false" customHeight="false" outlineLevel="0" collapsed="false">
      <c r="A1" s="17" t="s">
        <v>120</v>
      </c>
    </row>
    <row r="2" customFormat="false" ht="15" hidden="false" customHeight="false" outlineLevel="0" collapsed="false">
      <c r="A2" s="18" t="s">
        <v>80</v>
      </c>
    </row>
    <row r="3" customFormat="false" ht="15" hidden="false" customHeight="false" outlineLevel="0" collapsed="false">
      <c r="A3" s="18" t="s">
        <v>911</v>
      </c>
    </row>
    <row r="5" customFormat="false" ht="30" hidden="false" customHeight="true" outlineLevel="0" collapsed="false">
      <c r="A5" s="47" t="s">
        <v>173</v>
      </c>
      <c r="B5" s="48" t="s">
        <v>115</v>
      </c>
      <c r="C5" s="48" t="s">
        <v>122</v>
      </c>
      <c r="D5" s="48" t="s">
        <v>88</v>
      </c>
      <c r="E5" s="48" t="s">
        <v>89</v>
      </c>
      <c r="F5" s="48" t="s">
        <v>90</v>
      </c>
      <c r="G5" s="47" t="s">
        <v>174</v>
      </c>
      <c r="H5" s="47" t="s">
        <v>175</v>
      </c>
      <c r="I5" s="47" t="s">
        <v>24</v>
      </c>
      <c r="J5" s="48" t="s">
        <v>176</v>
      </c>
      <c r="K5" s="48" t="s">
        <v>177</v>
      </c>
      <c r="L5" s="48" t="s">
        <v>178</v>
      </c>
    </row>
    <row r="7" customFormat="false" ht="18" hidden="false" customHeight="true" outlineLevel="0" collapsed="false">
      <c r="A7" s="44" t="s">
        <v>152</v>
      </c>
      <c r="B7" s="45"/>
      <c r="C7" s="45"/>
      <c r="D7" s="45"/>
      <c r="E7" s="45"/>
      <c r="F7" s="45"/>
      <c r="G7" s="45"/>
      <c r="H7" s="45"/>
      <c r="I7" s="45"/>
      <c r="J7" s="45"/>
      <c r="K7" s="45"/>
      <c r="L7" s="45"/>
    </row>
    <row r="8" customFormat="false" ht="48" hidden="false" customHeight="true" outlineLevel="0" collapsed="false">
      <c r="A8" s="11" t="s">
        <v>153</v>
      </c>
      <c r="B8" s="34" t="n">
        <v>13819.355</v>
      </c>
      <c r="C8" s="34" t="n">
        <v>14255.958</v>
      </c>
      <c r="D8" s="25" t="n">
        <f aca="false">B8-C8</f>
        <v>-436.603000000001</v>
      </c>
      <c r="E8" s="26" t="n">
        <f aca="false">IF(C8=0,"n/m",D8/ABS(C8))</f>
        <v>-0.030626002124866</v>
      </c>
      <c r="F8" s="49" t="str">
        <f aca="false">IF(ROUND(D8,5)=0,"",IF(D8&gt;0,"F","U"))</f>
        <v>U</v>
      </c>
      <c r="G8" s="6" t="s">
        <v>912</v>
      </c>
      <c r="H8" s="50" t="s">
        <v>180</v>
      </c>
      <c r="I8" s="51" t="s">
        <v>822</v>
      </c>
      <c r="J8" s="52" t="s">
        <v>182</v>
      </c>
    </row>
    <row r="9" customFormat="false" ht="27.75" hidden="false" customHeight="true" outlineLevel="0" collapsed="false">
      <c r="A9" s="11" t="s">
        <v>154</v>
      </c>
      <c r="B9" s="34" t="n">
        <v>1330</v>
      </c>
      <c r="C9" s="34" t="n">
        <v>1360</v>
      </c>
      <c r="D9" s="25" t="n">
        <f aca="false">B9-C9</f>
        <v>-30</v>
      </c>
      <c r="E9" s="26" t="n">
        <f aca="false">IF(C9=0,"n/m",D9/ABS(C9))</f>
        <v>-0.0220588235294118</v>
      </c>
      <c r="F9" s="49" t="str">
        <f aca="false">IF(ROUND(D9,5)=0,"",IF(D9&gt;0,"F","U"))</f>
        <v>U</v>
      </c>
      <c r="G9" s="6" t="s">
        <v>913</v>
      </c>
      <c r="H9" s="50" t="s">
        <v>184</v>
      </c>
      <c r="I9" s="51" t="s">
        <v>822</v>
      </c>
      <c r="J9" s="52" t="s">
        <v>182</v>
      </c>
    </row>
    <row r="10" customFormat="false" ht="27.75" hidden="false" customHeight="true" outlineLevel="0" collapsed="false">
      <c r="A10" s="53" t="s">
        <v>91</v>
      </c>
      <c r="B10" s="37" t="n">
        <f aca="false">B8+B9</f>
        <v>15149.355</v>
      </c>
      <c r="C10" s="37" t="n">
        <f aca="false">C8+C9</f>
        <v>15615.958</v>
      </c>
      <c r="D10" s="37" t="n">
        <f aca="false">B10-C10</f>
        <v>-466.603000000001</v>
      </c>
      <c r="E10" s="54" t="n">
        <f aca="false">IF(C10=0,"n/m",D10/ABS(C10))</f>
        <v>-0.0298798831298087</v>
      </c>
      <c r="F10" s="55" t="str">
        <f aca="false">IF(ROUND(D10,5)=0,"",IF(D10&gt;0,"F","U"))</f>
        <v>U</v>
      </c>
      <c r="G10" s="56" t="s">
        <v>914</v>
      </c>
      <c r="H10" s="57" t="s">
        <v>186</v>
      </c>
      <c r="I10" s="58" t="s">
        <v>822</v>
      </c>
      <c r="J10" s="59" t="str">
        <f aca="false">IF(AND(ROUND(B10-K10,4)=0,ROUND(C10-L10,4)=0,TRUE()),"✓","✗")</f>
        <v>✓</v>
      </c>
      <c r="K10" s="60" t="n">
        <v>15149.355</v>
      </c>
      <c r="L10" s="60" t="n">
        <v>15615.958</v>
      </c>
    </row>
    <row r="11" customFormat="false" ht="60" hidden="false" customHeight="true" outlineLevel="0" collapsed="false">
      <c r="A11" s="11" t="s">
        <v>155</v>
      </c>
      <c r="B11" s="25" t="n">
        <f aca="false">B12+B13+B14+B15+B16+B17+B18</f>
        <v>3984.62999</v>
      </c>
      <c r="C11" s="25" t="n">
        <f aca="false">C12+C13+C14+C15+C16+C17+C18</f>
        <v>4075.22119</v>
      </c>
      <c r="D11" s="25" t="n">
        <f aca="false">B11-C11</f>
        <v>-90.5912000000008</v>
      </c>
      <c r="E11" s="26" t="n">
        <f aca="false">IF(C11=0,"n/m",D11/ABS(C11))</f>
        <v>-0.0222297626990894</v>
      </c>
      <c r="F11" s="49" t="str">
        <f aca="false">IF(ROUND(D11,5)=0,"",IF(D11&lt;0,"F","U"))</f>
        <v>F</v>
      </c>
      <c r="G11" s="6" t="s">
        <v>915</v>
      </c>
      <c r="H11" s="50" t="s">
        <v>188</v>
      </c>
      <c r="I11" s="51" t="s">
        <v>822</v>
      </c>
      <c r="J11" s="52" t="str">
        <f aca="false">IF(AND(ROUND(B11-K11,4)=0,ROUND(C11-L11,4)=0,TRUE()),"✓","✗")</f>
        <v>✓</v>
      </c>
      <c r="K11" s="61" t="n">
        <v>3984.62999</v>
      </c>
      <c r="L11" s="61" t="n">
        <v>4075.22119</v>
      </c>
    </row>
    <row r="12" customFormat="false" ht="27.75" hidden="false" customHeight="true" outlineLevel="1" collapsed="false">
      <c r="A12" s="62" t="s">
        <v>189</v>
      </c>
      <c r="B12" s="34" t="n">
        <v>1005.5</v>
      </c>
      <c r="C12" s="34" t="n">
        <v>1008</v>
      </c>
      <c r="D12" s="25" t="n">
        <f aca="false">B12-C12</f>
        <v>-2.5</v>
      </c>
      <c r="E12" s="26" t="n">
        <f aca="false">IF(C12=0,"n/m",D12/ABS(C12))</f>
        <v>-0.00248015873015873</v>
      </c>
      <c r="F12" s="49" t="str">
        <f aca="false">IF(ROUND(D12,5)=0,"",IF(D12&lt;0,"F","U"))</f>
        <v>F</v>
      </c>
      <c r="G12" s="63" t="s">
        <v>916</v>
      </c>
      <c r="I12" s="18" t="s">
        <v>191</v>
      </c>
      <c r="J12" s="52" t="s">
        <v>182</v>
      </c>
    </row>
    <row r="13" customFormat="false" ht="36.75" hidden="false" customHeight="true" outlineLevel="1" collapsed="false">
      <c r="A13" s="62" t="s">
        <v>192</v>
      </c>
      <c r="B13" s="34" t="n">
        <v>737.357</v>
      </c>
      <c r="C13" s="34" t="n">
        <v>791.57975</v>
      </c>
      <c r="D13" s="25" t="n">
        <f aca="false">B13-C13</f>
        <v>-54.22275</v>
      </c>
      <c r="E13" s="26" t="n">
        <f aca="false">IF(C13=0,"n/m",D13/ABS(C13))</f>
        <v>-0.0684994152515903</v>
      </c>
      <c r="F13" s="49" t="str">
        <f aca="false">IF(ROUND(D13,5)=0,"",IF(D13&lt;0,"F","U"))</f>
        <v>F</v>
      </c>
      <c r="G13" s="6" t="s">
        <v>917</v>
      </c>
      <c r="H13" s="50" t="s">
        <v>194</v>
      </c>
      <c r="I13" s="51" t="s">
        <v>822</v>
      </c>
      <c r="J13" s="52" t="s">
        <v>182</v>
      </c>
    </row>
    <row r="14" customFormat="false" ht="27.75" hidden="false" customHeight="true" outlineLevel="1" collapsed="false">
      <c r="A14" s="62" t="s">
        <v>195</v>
      </c>
      <c r="B14" s="34" t="n">
        <v>693.392</v>
      </c>
      <c r="C14" s="34" t="n">
        <v>698.2311</v>
      </c>
      <c r="D14" s="25" t="n">
        <f aca="false">B14-C14</f>
        <v>-4.83909999999992</v>
      </c>
      <c r="E14" s="26" t="n">
        <f aca="false">IF(C14=0,"n/m",D14/ABS(C14))</f>
        <v>-0.00693051340738033</v>
      </c>
      <c r="F14" s="49" t="str">
        <f aca="false">IF(ROUND(D14,5)=0,"",IF(D14&lt;0,"F","U"))</f>
        <v>F</v>
      </c>
      <c r="G14" s="63" t="s">
        <v>918</v>
      </c>
      <c r="H14" s="50" t="s">
        <v>197</v>
      </c>
      <c r="I14" s="18" t="s">
        <v>191</v>
      </c>
      <c r="J14" s="52" t="s">
        <v>182</v>
      </c>
    </row>
    <row r="15" customFormat="false" ht="36.75" hidden="false" customHeight="true" outlineLevel="1" collapsed="false">
      <c r="A15" s="62" t="s">
        <v>198</v>
      </c>
      <c r="B15" s="34" t="n">
        <v>1149.201</v>
      </c>
      <c r="C15" s="34" t="n">
        <v>1142.997</v>
      </c>
      <c r="D15" s="25" t="n">
        <f aca="false">B15-C15</f>
        <v>6.20399999999995</v>
      </c>
      <c r="E15" s="26" t="n">
        <f aca="false">IF(C15=0,"n/m",D15/ABS(C15))</f>
        <v>0.00542783576859778</v>
      </c>
      <c r="F15" s="49" t="str">
        <f aca="false">IF(ROUND(D15,5)=0,"",IF(D15&lt;0,"F","U"))</f>
        <v>U</v>
      </c>
      <c r="G15" s="63" t="s">
        <v>919</v>
      </c>
      <c r="H15" s="50" t="s">
        <v>200</v>
      </c>
      <c r="I15" s="18" t="s">
        <v>191</v>
      </c>
      <c r="J15" s="52" t="s">
        <v>182</v>
      </c>
    </row>
    <row r="16" customFormat="false" ht="40.5" hidden="false" customHeight="true" outlineLevel="1" collapsed="false">
      <c r="A16" s="62" t="s">
        <v>201</v>
      </c>
      <c r="B16" s="34" t="n">
        <v>103.18</v>
      </c>
      <c r="C16" s="34" t="n">
        <v>120.08</v>
      </c>
      <c r="D16" s="25" t="n">
        <f aca="false">B16-C16</f>
        <v>-16.9</v>
      </c>
      <c r="E16" s="26" t="n">
        <f aca="false">IF(C16=0,"n/m",D16/ABS(C16))</f>
        <v>-0.140739506995336</v>
      </c>
      <c r="F16" s="49" t="str">
        <f aca="false">IF(ROUND(D16,5)=0,"",IF(D16&lt;0,"F","U"))</f>
        <v>F</v>
      </c>
      <c r="G16" s="6" t="s">
        <v>920</v>
      </c>
      <c r="H16" s="50" t="s">
        <v>203</v>
      </c>
      <c r="I16" s="51" t="s">
        <v>822</v>
      </c>
      <c r="J16" s="52" t="s">
        <v>182</v>
      </c>
    </row>
    <row r="17" customFormat="false" ht="27.75" hidden="false" customHeight="true" outlineLevel="1" collapsed="false">
      <c r="A17" s="62" t="s">
        <v>204</v>
      </c>
      <c r="B17" s="34" t="n">
        <v>149.99999</v>
      </c>
      <c r="C17" s="34" t="n">
        <v>157.33334</v>
      </c>
      <c r="D17" s="25" t="n">
        <f aca="false">B17-C17</f>
        <v>-7.33335</v>
      </c>
      <c r="E17" s="26" t="n">
        <f aca="false">IF(C17=0,"n/m",D17/ABS(C17))</f>
        <v>-0.0466102734487172</v>
      </c>
      <c r="F17" s="49" t="str">
        <f aca="false">IF(ROUND(D17,5)=0,"",IF(D17&lt;0,"F","U"))</f>
        <v>F</v>
      </c>
      <c r="G17" s="63" t="s">
        <v>921</v>
      </c>
      <c r="H17" s="50" t="s">
        <v>206</v>
      </c>
      <c r="I17" s="18" t="s">
        <v>191</v>
      </c>
      <c r="J17" s="52" t="s">
        <v>182</v>
      </c>
    </row>
    <row r="18" customFormat="false" ht="27.75" hidden="false" customHeight="true" outlineLevel="1" collapsed="false">
      <c r="A18" s="62" t="s">
        <v>207</v>
      </c>
      <c r="B18" s="34" t="n">
        <v>146</v>
      </c>
      <c r="C18" s="34" t="n">
        <v>157</v>
      </c>
      <c r="D18" s="25" t="n">
        <f aca="false">B18-C18</f>
        <v>-11</v>
      </c>
      <c r="E18" s="26" t="n">
        <f aca="false">IF(C18=0,"n/m",D18/ABS(C18))</f>
        <v>-0.0700636942675159</v>
      </c>
      <c r="F18" s="49" t="str">
        <f aca="false">IF(ROUND(D18,5)=0,"",IF(D18&lt;0,"F","U"))</f>
        <v>F</v>
      </c>
      <c r="G18" s="6" t="s">
        <v>922</v>
      </c>
      <c r="I18" s="51" t="s">
        <v>822</v>
      </c>
      <c r="J18" s="52" t="s">
        <v>182</v>
      </c>
    </row>
    <row r="19" customFormat="false" ht="25.5" hidden="false" customHeight="true" outlineLevel="0" collapsed="false">
      <c r="A19" s="11" t="s">
        <v>156</v>
      </c>
      <c r="B19" s="34" t="n">
        <v>959.568</v>
      </c>
      <c r="C19" s="34" t="n">
        <v>958.98</v>
      </c>
      <c r="D19" s="25" t="n">
        <f aca="false">B19-C19</f>
        <v>0.587999999999965</v>
      </c>
      <c r="E19" s="26" t="n">
        <f aca="false">IF(C19=0,"n/m",D19/ABS(C19))</f>
        <v>0.000613151473440495</v>
      </c>
      <c r="F19" s="49" t="str">
        <f aca="false">IF(ROUND(D19,5)=0,"",IF(D19&lt;0,"F","U"))</f>
        <v>U</v>
      </c>
      <c r="G19" s="63" t="s">
        <v>923</v>
      </c>
      <c r="H19" s="50" t="s">
        <v>210</v>
      </c>
      <c r="I19" s="18" t="s">
        <v>191</v>
      </c>
      <c r="J19" s="52" t="s">
        <v>182</v>
      </c>
    </row>
    <row r="20" customFormat="false" ht="60" hidden="false" customHeight="true" outlineLevel="0" collapsed="false">
      <c r="A20" s="53" t="s">
        <v>101</v>
      </c>
      <c r="B20" s="37" t="n">
        <f aca="false">B11+B19</f>
        <v>4944.19799</v>
      </c>
      <c r="C20" s="37" t="n">
        <f aca="false">C11+C19</f>
        <v>5034.20119</v>
      </c>
      <c r="D20" s="37" t="n">
        <f aca="false">B20-C20</f>
        <v>-90.0032000000001</v>
      </c>
      <c r="E20" s="54" t="n">
        <f aca="false">IF(C20=0,"n/m",D20/ABS(C20))</f>
        <v>-0.0178783478456887</v>
      </c>
      <c r="F20" s="55" t="str">
        <f aca="false">IF(ROUND(D20,5)=0,"",IF(D20&lt;0,"F","U"))</f>
        <v>F</v>
      </c>
      <c r="G20" s="56" t="s">
        <v>924</v>
      </c>
      <c r="H20" s="57" t="s">
        <v>212</v>
      </c>
      <c r="I20" s="58" t="s">
        <v>822</v>
      </c>
      <c r="J20" s="59" t="str">
        <f aca="false">IF(AND(ROUND(B20-K20,4)=0,ROUND(C20-L20,4)=0,TRUE()),"✓","✗")</f>
        <v>✓</v>
      </c>
      <c r="K20" s="60" t="n">
        <v>4944.19799</v>
      </c>
      <c r="L20" s="60" t="n">
        <v>5034.20119</v>
      </c>
    </row>
    <row r="21" customFormat="false" ht="60" hidden="false" customHeight="true" outlineLevel="0" collapsed="false">
      <c r="A21" s="64" t="s">
        <v>92</v>
      </c>
      <c r="B21" s="65" t="n">
        <f aca="false">B10-B20</f>
        <v>10205.15701</v>
      </c>
      <c r="C21" s="65" t="n">
        <f aca="false">C10-C20</f>
        <v>10581.75681</v>
      </c>
      <c r="D21" s="65" t="n">
        <f aca="false">B21-C21</f>
        <v>-376.599800000002</v>
      </c>
      <c r="E21" s="66" t="n">
        <f aca="false">IF(C21=0,"n/m",D21/ABS(C21))</f>
        <v>-0.0355895345888224</v>
      </c>
      <c r="F21" s="67" t="str">
        <f aca="false">IF(ROUND(D21,5)=0,"",IF(D21&gt;0,"F","U"))</f>
        <v>U</v>
      </c>
      <c r="G21" s="68" t="s">
        <v>925</v>
      </c>
      <c r="H21" s="69" t="s">
        <v>214</v>
      </c>
      <c r="I21" s="70" t="s">
        <v>822</v>
      </c>
      <c r="J21" s="71" t="str">
        <f aca="false">IF(AND(ROUND(B21-K21,4)=0,ROUND(C21-L21,4)=0,TRUE()),"✓","✗")</f>
        <v>✓</v>
      </c>
      <c r="K21" s="72" t="n">
        <v>10205.15701</v>
      </c>
      <c r="L21" s="72" t="n">
        <v>10581.75681</v>
      </c>
    </row>
    <row r="22" customFormat="false" ht="48" hidden="false" customHeight="true" outlineLevel="0" collapsed="false">
      <c r="A22" s="11" t="s">
        <v>157</v>
      </c>
      <c r="B22" s="25" t="n">
        <f aca="false">B23+B24+B25+B26+B27</f>
        <v>3061.53099</v>
      </c>
      <c r="C22" s="25" t="n">
        <f aca="false">C23+C24+C25+C26+C27</f>
        <v>3263.49257</v>
      </c>
      <c r="D22" s="25" t="n">
        <f aca="false">B22-C22</f>
        <v>-201.961580000001</v>
      </c>
      <c r="E22" s="26" t="n">
        <f aca="false">IF(C22=0,"n/m",D22/ABS(C22))</f>
        <v>-0.0618851048893304</v>
      </c>
      <c r="F22" s="49" t="str">
        <f aca="false">IF(ROUND(D22,5)=0,"",IF(D22&lt;0,"F","U"))</f>
        <v>F</v>
      </c>
      <c r="G22" s="6" t="s">
        <v>926</v>
      </c>
      <c r="H22" s="50" t="s">
        <v>216</v>
      </c>
      <c r="I22" s="51" t="s">
        <v>822</v>
      </c>
      <c r="J22" s="52" t="str">
        <f aca="false">IF(AND(ROUND(B22-K22,4)=0,ROUND(C22-L22,4)=0,TRUE()),"✓","✗")</f>
        <v>✓</v>
      </c>
      <c r="K22" s="61" t="n">
        <v>3061.53099</v>
      </c>
      <c r="L22" s="61" t="n">
        <v>3263.49257</v>
      </c>
    </row>
    <row r="23" customFormat="false" ht="36.75" hidden="false" customHeight="true" outlineLevel="1" collapsed="false">
      <c r="A23" s="62" t="s">
        <v>192</v>
      </c>
      <c r="B23" s="34" t="n">
        <v>2212.071</v>
      </c>
      <c r="C23" s="34" t="n">
        <v>2374.73925</v>
      </c>
      <c r="D23" s="25" t="n">
        <f aca="false">B23-C23</f>
        <v>-162.66825</v>
      </c>
      <c r="E23" s="26" t="n">
        <f aca="false">IF(C23=0,"n/m",D23/ABS(C23))</f>
        <v>-0.0684994152515903</v>
      </c>
      <c r="F23" s="49" t="str">
        <f aca="false">IF(ROUND(D23,5)=0,"",IF(D23&lt;0,"F","U"))</f>
        <v>F</v>
      </c>
      <c r="G23" s="6" t="s">
        <v>927</v>
      </c>
      <c r="H23" s="50" t="s">
        <v>218</v>
      </c>
      <c r="I23" s="51" t="s">
        <v>822</v>
      </c>
      <c r="J23" s="52" t="s">
        <v>182</v>
      </c>
    </row>
    <row r="24" customFormat="false" ht="15" hidden="false" customHeight="true" outlineLevel="1" collapsed="false">
      <c r="A24" s="62" t="s">
        <v>189</v>
      </c>
      <c r="B24" s="34" t="n">
        <v>306</v>
      </c>
      <c r="C24" s="34" t="n">
        <v>300</v>
      </c>
      <c r="D24" s="25" t="n">
        <f aca="false">B24-C24</f>
        <v>6</v>
      </c>
      <c r="E24" s="26" t="n">
        <f aca="false">IF(C24=0,"n/m",D24/ABS(C24))</f>
        <v>0.02</v>
      </c>
      <c r="F24" s="49" t="str">
        <f aca="false">IF(ROUND(D24,5)=0,"",IF(D24&lt;0,"F","U"))</f>
        <v>U</v>
      </c>
      <c r="G24" s="63" t="s">
        <v>928</v>
      </c>
      <c r="I24" s="18" t="s">
        <v>191</v>
      </c>
      <c r="J24" s="52" t="s">
        <v>182</v>
      </c>
    </row>
    <row r="25" customFormat="false" ht="40.5" hidden="false" customHeight="true" outlineLevel="1" collapsed="false">
      <c r="A25" s="62" t="s">
        <v>201</v>
      </c>
      <c r="B25" s="34" t="n">
        <v>174.46</v>
      </c>
      <c r="C25" s="34" t="n">
        <v>195.92</v>
      </c>
      <c r="D25" s="25" t="n">
        <f aca="false">B25-C25</f>
        <v>-21.46</v>
      </c>
      <c r="E25" s="26" t="n">
        <f aca="false">IF(C25=0,"n/m",D25/ABS(C25))</f>
        <v>-0.109534503879134</v>
      </c>
      <c r="F25" s="49" t="str">
        <f aca="false">IF(ROUND(D25,5)=0,"",IF(D25&lt;0,"F","U"))</f>
        <v>F</v>
      </c>
      <c r="G25" s="6" t="s">
        <v>929</v>
      </c>
      <c r="H25" s="50" t="s">
        <v>221</v>
      </c>
      <c r="I25" s="51" t="s">
        <v>822</v>
      </c>
      <c r="J25" s="52" t="s">
        <v>182</v>
      </c>
    </row>
    <row r="26" customFormat="false" ht="27.75" hidden="false" customHeight="true" outlineLevel="1" collapsed="false">
      <c r="A26" s="62" t="s">
        <v>204</v>
      </c>
      <c r="B26" s="34" t="n">
        <v>149.99999</v>
      </c>
      <c r="C26" s="34" t="n">
        <v>157.33334</v>
      </c>
      <c r="D26" s="25" t="n">
        <f aca="false">B26-C26</f>
        <v>-7.33335</v>
      </c>
      <c r="E26" s="26" t="n">
        <f aca="false">IF(C26=0,"n/m",D26/ABS(C26))</f>
        <v>-0.0466102734487172</v>
      </c>
      <c r="F26" s="49" t="str">
        <f aca="false">IF(ROUND(D26,5)=0,"",IF(D26&lt;0,"F","U"))</f>
        <v>F</v>
      </c>
      <c r="G26" s="63" t="s">
        <v>921</v>
      </c>
      <c r="H26" s="50" t="s">
        <v>206</v>
      </c>
      <c r="I26" s="18" t="s">
        <v>191</v>
      </c>
      <c r="J26" s="52" t="s">
        <v>182</v>
      </c>
    </row>
    <row r="27" customFormat="false" ht="27.75" hidden="false" customHeight="true" outlineLevel="1" collapsed="false">
      <c r="A27" s="62" t="s">
        <v>207</v>
      </c>
      <c r="B27" s="34" t="n">
        <v>219</v>
      </c>
      <c r="C27" s="34" t="n">
        <v>235.49998</v>
      </c>
      <c r="D27" s="25" t="n">
        <f aca="false">B27-C27</f>
        <v>-16.49998</v>
      </c>
      <c r="E27" s="26" t="n">
        <f aca="false">IF(C27=0,"n/m",D27/ABS(C27))</f>
        <v>-0.0700636152920268</v>
      </c>
      <c r="F27" s="49" t="str">
        <f aca="false">IF(ROUND(D27,5)=0,"",IF(D27&lt;0,"F","U"))</f>
        <v>F</v>
      </c>
      <c r="G27" s="6" t="s">
        <v>930</v>
      </c>
      <c r="I27" s="51" t="s">
        <v>822</v>
      </c>
      <c r="J27" s="52" t="s">
        <v>182</v>
      </c>
    </row>
    <row r="28" customFormat="false" ht="48" hidden="false" customHeight="true" outlineLevel="0" collapsed="false">
      <c r="A28" s="11" t="s">
        <v>158</v>
      </c>
      <c r="B28" s="25" t="n">
        <f aca="false">B29+B30+B31+B32+B33+B34+B35+B36</f>
        <v>3496.90101</v>
      </c>
      <c r="C28" s="25" t="n">
        <f aca="false">C29+C30+C31+C32+C33+C34+C35+C36</f>
        <v>3695.72856</v>
      </c>
      <c r="D28" s="25" t="n">
        <f aca="false">B28-C28</f>
        <v>-198.82755</v>
      </c>
      <c r="E28" s="26" t="n">
        <f aca="false">IF(C28=0,"n/m",D28/ABS(C28))</f>
        <v>-0.0537992838954601</v>
      </c>
      <c r="F28" s="49" t="str">
        <f aca="false">IF(ROUND(D28,5)=0,"",IF(D28&lt;0,"F","U"))</f>
        <v>F</v>
      </c>
      <c r="G28" s="6" t="s">
        <v>931</v>
      </c>
      <c r="H28" s="50" t="s">
        <v>224</v>
      </c>
      <c r="I28" s="51" t="s">
        <v>822</v>
      </c>
      <c r="J28" s="52" t="str">
        <f aca="false">IF(AND(ROUND(B28-K28,4)=0,ROUND(C28-L28,4)=0,TRUE()),"✓","✗")</f>
        <v>✓</v>
      </c>
      <c r="K28" s="61" t="n">
        <v>3496.90101</v>
      </c>
      <c r="L28" s="61" t="n">
        <v>3695.72856</v>
      </c>
    </row>
    <row r="29" customFormat="false" ht="36.75" hidden="false" customHeight="true" outlineLevel="1" collapsed="false">
      <c r="A29" s="62" t="s">
        <v>225</v>
      </c>
      <c r="B29" s="34" t="n">
        <v>1714.173</v>
      </c>
      <c r="C29" s="34" t="n">
        <v>1807.22</v>
      </c>
      <c r="D29" s="25" t="n">
        <f aca="false">B29-C29</f>
        <v>-93.047</v>
      </c>
      <c r="E29" s="26" t="n">
        <f aca="false">IF(C29=0,"n/m",D29/ABS(C29))</f>
        <v>-0.0514862606655526</v>
      </c>
      <c r="F29" s="49" t="str">
        <f aca="false">IF(ROUND(D29,5)=0,"",IF(D29&lt;0,"F","U"))</f>
        <v>F</v>
      </c>
      <c r="G29" s="6" t="s">
        <v>932</v>
      </c>
      <c r="H29" s="50" t="s">
        <v>227</v>
      </c>
      <c r="I29" s="51" t="s">
        <v>822</v>
      </c>
      <c r="J29" s="52" t="s">
        <v>182</v>
      </c>
    </row>
    <row r="30" customFormat="false" ht="27.75" hidden="false" customHeight="true" outlineLevel="1" collapsed="false">
      <c r="A30" s="62" t="s">
        <v>195</v>
      </c>
      <c r="B30" s="34" t="n">
        <v>297.168</v>
      </c>
      <c r="C30" s="34" t="n">
        <v>299.2419</v>
      </c>
      <c r="D30" s="25" t="n">
        <f aca="false">B30-C30</f>
        <v>-2.07389999999998</v>
      </c>
      <c r="E30" s="26" t="n">
        <f aca="false">IF(C30=0,"n/m",D30/ABS(C30))</f>
        <v>-0.00693051340738039</v>
      </c>
      <c r="F30" s="49" t="str">
        <f aca="false">IF(ROUND(D30,5)=0,"",IF(D30&lt;0,"F","U"))</f>
        <v>F</v>
      </c>
      <c r="G30" s="63" t="s">
        <v>933</v>
      </c>
      <c r="H30" s="50" t="s">
        <v>229</v>
      </c>
      <c r="I30" s="18" t="s">
        <v>191</v>
      </c>
      <c r="J30" s="52" t="s">
        <v>182</v>
      </c>
    </row>
    <row r="31" customFormat="false" ht="48" hidden="false" customHeight="true" outlineLevel="1" collapsed="false">
      <c r="A31" s="62" t="s">
        <v>230</v>
      </c>
      <c r="B31" s="34" t="n">
        <v>701.5</v>
      </c>
      <c r="C31" s="34" t="n">
        <v>767</v>
      </c>
      <c r="D31" s="25" t="n">
        <f aca="false">B31-C31</f>
        <v>-65.5</v>
      </c>
      <c r="E31" s="26" t="n">
        <f aca="false">IF(C31=0,"n/m",D31/ABS(C31))</f>
        <v>-0.0853976531942634</v>
      </c>
      <c r="F31" s="49" t="str">
        <f aca="false">IF(ROUND(D31,5)=0,"",IF(D31&lt;0,"F","U"))</f>
        <v>F</v>
      </c>
      <c r="G31" s="6" t="s">
        <v>934</v>
      </c>
      <c r="H31" s="50" t="s">
        <v>232</v>
      </c>
      <c r="I31" s="51" t="s">
        <v>822</v>
      </c>
      <c r="J31" s="52" t="s">
        <v>182</v>
      </c>
    </row>
    <row r="32" customFormat="false" ht="40.5" hidden="false" customHeight="true" outlineLevel="1" collapsed="false">
      <c r="A32" s="62" t="s">
        <v>233</v>
      </c>
      <c r="B32" s="34" t="n">
        <v>289.5</v>
      </c>
      <c r="C32" s="34" t="n">
        <v>320</v>
      </c>
      <c r="D32" s="25" t="n">
        <f aca="false">B32-C32</f>
        <v>-30.5</v>
      </c>
      <c r="E32" s="26" t="n">
        <f aca="false">IF(C32=0,"n/m",D32/ABS(C32))</f>
        <v>-0.0953125</v>
      </c>
      <c r="F32" s="49" t="str">
        <f aca="false">IF(ROUND(D32,5)=0,"",IF(D32&lt;0,"F","U"))</f>
        <v>F</v>
      </c>
      <c r="G32" s="6" t="s">
        <v>935</v>
      </c>
      <c r="I32" s="51" t="s">
        <v>822</v>
      </c>
      <c r="J32" s="52" t="s">
        <v>182</v>
      </c>
    </row>
    <row r="33" customFormat="false" ht="27.75" hidden="false" customHeight="true" outlineLevel="1" collapsed="false">
      <c r="A33" s="62" t="s">
        <v>189</v>
      </c>
      <c r="B33" s="34" t="n">
        <v>84</v>
      </c>
      <c r="C33" s="34" t="n">
        <v>77</v>
      </c>
      <c r="D33" s="25" t="n">
        <f aca="false">B33-C33</f>
        <v>7</v>
      </c>
      <c r="E33" s="26" t="n">
        <f aca="false">IF(C33=0,"n/m",D33/ABS(C33))</f>
        <v>0.0909090909090909</v>
      </c>
      <c r="F33" s="49" t="str">
        <f aca="false">IF(ROUND(D33,5)=0,"",IF(D33&lt;0,"F","U"))</f>
        <v>U</v>
      </c>
      <c r="G33" s="63" t="s">
        <v>936</v>
      </c>
      <c r="H33" s="50" t="s">
        <v>236</v>
      </c>
      <c r="I33" s="18" t="s">
        <v>191</v>
      </c>
      <c r="J33" s="52" t="s">
        <v>182</v>
      </c>
    </row>
    <row r="34" customFormat="false" ht="40.5" hidden="false" customHeight="true" outlineLevel="1" collapsed="false">
      <c r="A34" s="62" t="s">
        <v>201</v>
      </c>
      <c r="B34" s="34" t="n">
        <v>189.56</v>
      </c>
      <c r="C34" s="34" t="n">
        <v>189.6</v>
      </c>
      <c r="D34" s="25" t="n">
        <f aca="false">B34-C34</f>
        <v>-0.039999999999992</v>
      </c>
      <c r="E34" s="26" t="n">
        <f aca="false">IF(C34=0,"n/m",D34/ABS(C34))</f>
        <v>-0.000210970464134979</v>
      </c>
      <c r="F34" s="49" t="str">
        <f aca="false">IF(ROUND(D34,5)=0,"",IF(D34&lt;0,"F","U"))</f>
        <v>F</v>
      </c>
      <c r="G34" s="63" t="s">
        <v>937</v>
      </c>
      <c r="H34" s="50" t="s">
        <v>221</v>
      </c>
      <c r="I34" s="18" t="s">
        <v>191</v>
      </c>
      <c r="J34" s="52" t="s">
        <v>182</v>
      </c>
    </row>
    <row r="35" customFormat="false" ht="27.75" hidden="false" customHeight="true" outlineLevel="1" collapsed="false">
      <c r="A35" s="62" t="s">
        <v>204</v>
      </c>
      <c r="B35" s="34" t="n">
        <v>75.00001</v>
      </c>
      <c r="C35" s="34" t="n">
        <v>78.66666</v>
      </c>
      <c r="D35" s="25" t="n">
        <f aca="false">B35-C35</f>
        <v>-3.66664999999999</v>
      </c>
      <c r="E35" s="26" t="n">
        <f aca="false">IF(C35=0,"n/m",D35/ABS(C35))</f>
        <v>-0.0466099615771153</v>
      </c>
      <c r="F35" s="49" t="str">
        <f aca="false">IF(ROUND(D35,5)=0,"",IF(D35&lt;0,"F","U"))</f>
        <v>F</v>
      </c>
      <c r="G35" s="63" t="s">
        <v>938</v>
      </c>
      <c r="H35" s="50" t="s">
        <v>239</v>
      </c>
      <c r="I35" s="18" t="s">
        <v>191</v>
      </c>
      <c r="J35" s="52" t="s">
        <v>182</v>
      </c>
    </row>
    <row r="36" customFormat="false" ht="27.75" hidden="false" customHeight="true" outlineLevel="1" collapsed="false">
      <c r="A36" s="62" t="s">
        <v>207</v>
      </c>
      <c r="B36" s="34" t="n">
        <v>146</v>
      </c>
      <c r="C36" s="34" t="n">
        <v>157</v>
      </c>
      <c r="D36" s="25" t="n">
        <f aca="false">B36-C36</f>
        <v>-11</v>
      </c>
      <c r="E36" s="26" t="n">
        <f aca="false">IF(C36=0,"n/m",D36/ABS(C36))</f>
        <v>-0.0700636942675159</v>
      </c>
      <c r="F36" s="49" t="str">
        <f aca="false">IF(ROUND(D36,5)=0,"",IF(D36&lt;0,"F","U"))</f>
        <v>F</v>
      </c>
      <c r="G36" s="6" t="s">
        <v>922</v>
      </c>
      <c r="I36" s="51" t="s">
        <v>822</v>
      </c>
      <c r="J36" s="52" t="s">
        <v>182</v>
      </c>
    </row>
    <row r="37" customFormat="false" ht="40.5" hidden="false" customHeight="true" outlineLevel="0" collapsed="false">
      <c r="A37" s="11" t="s">
        <v>159</v>
      </c>
      <c r="B37" s="25" t="n">
        <f aca="false">B38+B39+B40+B41</f>
        <v>1537.80001</v>
      </c>
      <c r="C37" s="25" t="n">
        <f aca="false">C38+C39+C40+C41</f>
        <v>1609.56668</v>
      </c>
      <c r="D37" s="25" t="n">
        <f aca="false">B37-C37</f>
        <v>-71.7666700000002</v>
      </c>
      <c r="E37" s="26" t="n">
        <f aca="false">IF(C37=0,"n/m",D37/ABS(C37))</f>
        <v>-0.0445875718550537</v>
      </c>
      <c r="F37" s="49" t="str">
        <f aca="false">IF(ROUND(D37,5)=0,"",IF(D37&lt;0,"F","U"))</f>
        <v>F</v>
      </c>
      <c r="G37" s="6" t="s">
        <v>939</v>
      </c>
      <c r="H37" s="50" t="s">
        <v>241</v>
      </c>
      <c r="I37" s="51" t="s">
        <v>822</v>
      </c>
      <c r="J37" s="52" t="str">
        <f aca="false">IF(AND(ROUND(B37-K37,4)=0,ROUND(C37-L37,4)=0,TRUE()),"✓","✗")</f>
        <v>✓</v>
      </c>
      <c r="K37" s="61" t="n">
        <v>1537.80001</v>
      </c>
      <c r="L37" s="61" t="n">
        <v>1609.56668</v>
      </c>
    </row>
    <row r="38" customFormat="false" ht="53.25" hidden="false" customHeight="true" outlineLevel="1" collapsed="false">
      <c r="A38" s="62" t="s">
        <v>242</v>
      </c>
      <c r="B38" s="34" t="n">
        <v>1273</v>
      </c>
      <c r="C38" s="34" t="n">
        <v>1326</v>
      </c>
      <c r="D38" s="25" t="n">
        <f aca="false">B38-C38</f>
        <v>-53</v>
      </c>
      <c r="E38" s="26" t="n">
        <f aca="false">IF(C38=0,"n/m",D38/ABS(C38))</f>
        <v>-0.0399698340874811</v>
      </c>
      <c r="F38" s="49" t="str">
        <f aca="false">IF(ROUND(D38,5)=0,"",IF(D38&lt;0,"F","U"))</f>
        <v>F</v>
      </c>
      <c r="G38" s="6" t="s">
        <v>940</v>
      </c>
      <c r="H38" s="50" t="s">
        <v>244</v>
      </c>
      <c r="I38" s="51" t="s">
        <v>822</v>
      </c>
      <c r="J38" s="52" t="s">
        <v>182</v>
      </c>
    </row>
    <row r="39" customFormat="false" ht="36.75" hidden="false" customHeight="true" outlineLevel="1" collapsed="false">
      <c r="A39" s="62" t="s">
        <v>201</v>
      </c>
      <c r="B39" s="34" t="n">
        <v>116.8</v>
      </c>
      <c r="C39" s="34" t="n">
        <v>126.4</v>
      </c>
      <c r="D39" s="25" t="n">
        <f aca="false">B39-C39</f>
        <v>-9.60000000000001</v>
      </c>
      <c r="E39" s="26" t="n">
        <f aca="false">IF(C39=0,"n/m",D39/ABS(C39))</f>
        <v>-0.0759493670886077</v>
      </c>
      <c r="F39" s="49" t="str">
        <f aca="false">IF(ROUND(D39,5)=0,"",IF(D39&lt;0,"F","U"))</f>
        <v>F</v>
      </c>
      <c r="G39" s="63" t="s">
        <v>941</v>
      </c>
      <c r="H39" s="50" t="s">
        <v>203</v>
      </c>
      <c r="I39" s="18" t="s">
        <v>191</v>
      </c>
      <c r="J39" s="52" t="s">
        <v>182</v>
      </c>
    </row>
    <row r="40" customFormat="false" ht="27.75" hidden="false" customHeight="true" outlineLevel="1" collapsed="false">
      <c r="A40" s="62" t="s">
        <v>204</v>
      </c>
      <c r="B40" s="34" t="n">
        <v>75.00001</v>
      </c>
      <c r="C40" s="34" t="n">
        <v>78.66666</v>
      </c>
      <c r="D40" s="25" t="n">
        <f aca="false">B40-C40</f>
        <v>-3.66664999999999</v>
      </c>
      <c r="E40" s="26" t="n">
        <f aca="false">IF(C40=0,"n/m",D40/ABS(C40))</f>
        <v>-0.0466099615771153</v>
      </c>
      <c r="F40" s="49" t="str">
        <f aca="false">IF(ROUND(D40,5)=0,"",IF(D40&lt;0,"F","U"))</f>
        <v>F</v>
      </c>
      <c r="G40" s="63" t="s">
        <v>938</v>
      </c>
      <c r="H40" s="50" t="s">
        <v>239</v>
      </c>
      <c r="I40" s="18" t="s">
        <v>191</v>
      </c>
      <c r="J40" s="52" t="s">
        <v>182</v>
      </c>
    </row>
    <row r="41" customFormat="false" ht="27.75" hidden="false" customHeight="true" outlineLevel="1" collapsed="false">
      <c r="A41" s="62" t="s">
        <v>207</v>
      </c>
      <c r="B41" s="34" t="n">
        <v>73</v>
      </c>
      <c r="C41" s="34" t="n">
        <v>78.50002</v>
      </c>
      <c r="D41" s="25" t="n">
        <f aca="false">B41-C41</f>
        <v>-5.50002000000001</v>
      </c>
      <c r="E41" s="26" t="n">
        <f aca="false">IF(C41=0,"n/m",D41/ABS(C41))</f>
        <v>-0.070063931193903</v>
      </c>
      <c r="F41" s="49" t="str">
        <f aca="false">IF(ROUND(D41,5)=0,"",IF(D41&lt;0,"F","U"))</f>
        <v>F</v>
      </c>
      <c r="G41" s="63" t="s">
        <v>942</v>
      </c>
      <c r="I41" s="18" t="s">
        <v>191</v>
      </c>
      <c r="J41" s="52" t="s">
        <v>182</v>
      </c>
    </row>
    <row r="42" customFormat="false" ht="60" hidden="false" customHeight="true" outlineLevel="0" collapsed="false">
      <c r="A42" s="53" t="s">
        <v>95</v>
      </c>
      <c r="B42" s="37" t="n">
        <f aca="false">B22+B28+B37</f>
        <v>8096.23201</v>
      </c>
      <c r="C42" s="37" t="n">
        <f aca="false">C22+C28+C37</f>
        <v>8568.78781</v>
      </c>
      <c r="D42" s="37" t="n">
        <f aca="false">B42-C42</f>
        <v>-472.5558</v>
      </c>
      <c r="E42" s="54" t="n">
        <f aca="false">IF(C42=0,"n/m",D42/ABS(C42))</f>
        <v>-0.0551485006372214</v>
      </c>
      <c r="F42" s="55" t="str">
        <f aca="false">IF(ROUND(D42,5)=0,"",IF(D42&lt;0,"F","U"))</f>
        <v>F</v>
      </c>
      <c r="G42" s="56" t="s">
        <v>943</v>
      </c>
      <c r="H42" s="57" t="s">
        <v>248</v>
      </c>
      <c r="I42" s="58" t="s">
        <v>822</v>
      </c>
      <c r="J42" s="59" t="str">
        <f aca="false">IF(AND(ROUND(B42-K42,4)=0,ROUND(C42-L42,4)=0,TRUE()),"✓","✗")</f>
        <v>✓</v>
      </c>
      <c r="K42" s="60" t="n">
        <v>8096.23201</v>
      </c>
      <c r="L42" s="60" t="n">
        <v>8568.78781</v>
      </c>
    </row>
    <row r="43" customFormat="false" ht="60" hidden="false" customHeight="true" outlineLevel="0" collapsed="false">
      <c r="A43" s="64" t="s">
        <v>96</v>
      </c>
      <c r="B43" s="65" t="n">
        <f aca="false">B21-B42</f>
        <v>2108.925</v>
      </c>
      <c r="C43" s="65" t="n">
        <f aca="false">C21-C42</f>
        <v>2012.969</v>
      </c>
      <c r="D43" s="65" t="n">
        <f aca="false">B43-C43</f>
        <v>95.9559999999983</v>
      </c>
      <c r="E43" s="66" t="n">
        <f aca="false">IF(C43=0,"n/m",D43/ABS(C43))</f>
        <v>0.047668891075818</v>
      </c>
      <c r="F43" s="67" t="str">
        <f aca="false">IF(ROUND(D43,5)=0,"",IF(D43&gt;0,"F","U"))</f>
        <v>F</v>
      </c>
      <c r="G43" s="68" t="s">
        <v>944</v>
      </c>
      <c r="H43" s="69" t="s">
        <v>250</v>
      </c>
      <c r="I43" s="70" t="s">
        <v>822</v>
      </c>
      <c r="J43" s="71" t="str">
        <f aca="false">IF(AND(ROUND(B43-K43,4)=0,ROUND(C43-L43,4)=0,TRUE()),"✓","✗")</f>
        <v>✓</v>
      </c>
      <c r="K43" s="72" t="n">
        <v>2108.925</v>
      </c>
      <c r="L43" s="72" t="n">
        <v>2012.969</v>
      </c>
    </row>
    <row r="44" customFormat="false" ht="27.75" hidden="false" customHeight="true" outlineLevel="0" collapsed="false">
      <c r="A44" s="11" t="s">
        <v>160</v>
      </c>
      <c r="B44" s="34" t="n">
        <v>89.5</v>
      </c>
      <c r="C44" s="34" t="n">
        <v>72</v>
      </c>
      <c r="D44" s="25" t="n">
        <f aca="false">B44-C44</f>
        <v>17.5</v>
      </c>
      <c r="E44" s="26" t="n">
        <f aca="false">IF(C44=0,"n/m",D44/ABS(C44))</f>
        <v>0.243055555555556</v>
      </c>
      <c r="F44" s="49" t="str">
        <f aca="false">IF(ROUND(D44,5)=0,"",IF(D44&gt;0,"F","U"))</f>
        <v>F</v>
      </c>
      <c r="G44" s="6" t="s">
        <v>945</v>
      </c>
      <c r="I44" s="51" t="s">
        <v>822</v>
      </c>
      <c r="J44" s="52" t="s">
        <v>182</v>
      </c>
    </row>
    <row r="45" customFormat="false" ht="27.75" hidden="false" customHeight="true" outlineLevel="0" collapsed="false">
      <c r="A45" s="11" t="s">
        <v>161</v>
      </c>
      <c r="B45" s="34" t="n">
        <v>242.5</v>
      </c>
      <c r="C45" s="34" t="n">
        <v>244</v>
      </c>
      <c r="D45" s="25" t="n">
        <f aca="false">B45-C45</f>
        <v>-1.5</v>
      </c>
      <c r="E45" s="26" t="n">
        <f aca="false">IF(C45=0,"n/m",D45/ABS(C45))</f>
        <v>-0.00614754098360656</v>
      </c>
      <c r="F45" s="49" t="str">
        <f aca="false">IF(ROUND(D45,5)=0,"",IF(D45&lt;0,"F","U"))</f>
        <v>F</v>
      </c>
      <c r="G45" s="63" t="s">
        <v>946</v>
      </c>
      <c r="I45" s="18" t="s">
        <v>191</v>
      </c>
      <c r="J45" s="52" t="s">
        <v>182</v>
      </c>
    </row>
    <row r="46" customFormat="false" ht="60" hidden="false" customHeight="true" outlineLevel="0" collapsed="false">
      <c r="A46" s="64" t="s">
        <v>162</v>
      </c>
      <c r="B46" s="65" t="n">
        <f aca="false">B43+B44-B45</f>
        <v>1955.925</v>
      </c>
      <c r="C46" s="65" t="n">
        <f aca="false">C43+C44-C45</f>
        <v>1840.969</v>
      </c>
      <c r="D46" s="65" t="n">
        <f aca="false">B46-C46</f>
        <v>114.955999999998</v>
      </c>
      <c r="E46" s="66" t="n">
        <f aca="false">IF(C46=0,"n/m",D46/ABS(C46))</f>
        <v>0.0624432024656571</v>
      </c>
      <c r="F46" s="67" t="str">
        <f aca="false">IF(ROUND(D46,5)=0,"",IF(D46&gt;0,"F","U"))</f>
        <v>F</v>
      </c>
      <c r="G46" s="68" t="s">
        <v>947</v>
      </c>
      <c r="H46" s="69" t="s">
        <v>250</v>
      </c>
      <c r="I46" s="70" t="s">
        <v>822</v>
      </c>
      <c r="J46" s="71" t="str">
        <f aca="false">IF(AND(ROUND(B46-K46,4)=0,ROUND(C46-L46,4)=0,TRUE()),"✓","✗")</f>
        <v>✓</v>
      </c>
      <c r="K46" s="72" t="n">
        <v>1955.925</v>
      </c>
      <c r="L46" s="72" t="n">
        <v>1840.969</v>
      </c>
    </row>
    <row r="47" customFormat="false" ht="27.75" hidden="false" customHeight="true" outlineLevel="0" collapsed="false">
      <c r="A47" s="11" t="s">
        <v>126</v>
      </c>
      <c r="B47" s="34" t="n">
        <v>260.5</v>
      </c>
      <c r="C47" s="34" t="n">
        <v>300</v>
      </c>
      <c r="D47" s="25" t="n">
        <f aca="false">B47-C47</f>
        <v>-39.5</v>
      </c>
      <c r="E47" s="26" t="n">
        <f aca="false">IF(C47=0,"n/m",D47/ABS(C47))</f>
        <v>-0.131666666666667</v>
      </c>
      <c r="F47" s="49" t="str">
        <f aca="false">IF(ROUND(D47,5)=0,"",IF(D47&lt;0,"F","U"))</f>
        <v>F</v>
      </c>
      <c r="G47" s="6" t="s">
        <v>948</v>
      </c>
      <c r="I47" s="51" t="s">
        <v>822</v>
      </c>
      <c r="J47" s="52" t="s">
        <v>182</v>
      </c>
    </row>
    <row r="48" customFormat="false" ht="60" hidden="false" customHeight="true" outlineLevel="0" collapsed="false">
      <c r="A48" s="64" t="s">
        <v>97</v>
      </c>
      <c r="B48" s="65" t="n">
        <f aca="false">B46-B47</f>
        <v>1695.425</v>
      </c>
      <c r="C48" s="65" t="n">
        <f aca="false">C46-C47</f>
        <v>1540.969</v>
      </c>
      <c r="D48" s="65" t="n">
        <f aca="false">B48-C48</f>
        <v>154.455999999998</v>
      </c>
      <c r="E48" s="66" t="n">
        <f aca="false">IF(C48=0,"n/m",D48/ABS(C48))</f>
        <v>0.100233035187598</v>
      </c>
      <c r="F48" s="67" t="str">
        <f aca="false">IF(ROUND(D48,5)=0,"",IF(D48&gt;0,"F","U"))</f>
        <v>F</v>
      </c>
      <c r="G48" s="68" t="s">
        <v>949</v>
      </c>
      <c r="H48" s="69" t="s">
        <v>250</v>
      </c>
      <c r="I48" s="70" t="s">
        <v>822</v>
      </c>
      <c r="J48" s="71" t="str">
        <f aca="false">IF(AND(ROUND(B48-K48,4)=0,ROUND(C48-L48,4)=0,TRUE()),"✓","✗")</f>
        <v>✓</v>
      </c>
      <c r="K48" s="72" t="n">
        <v>1695.425</v>
      </c>
      <c r="L48" s="72" t="n">
        <v>1540.969</v>
      </c>
    </row>
    <row r="50" customFormat="false" ht="18" hidden="false" customHeight="true" outlineLevel="0" collapsed="false">
      <c r="A50" s="44" t="s">
        <v>163</v>
      </c>
      <c r="B50" s="45"/>
      <c r="C50" s="45"/>
      <c r="D50" s="45"/>
      <c r="E50" s="45"/>
      <c r="F50" s="45"/>
      <c r="G50" s="45"/>
      <c r="H50" s="45"/>
      <c r="I50" s="45"/>
      <c r="J50" s="45"/>
      <c r="K50" s="45"/>
      <c r="L50" s="45"/>
    </row>
    <row r="51" customFormat="false" ht="48" hidden="false" customHeight="true" outlineLevel="0" collapsed="false">
      <c r="A51" s="11" t="s">
        <v>153</v>
      </c>
      <c r="B51" s="34" t="n">
        <v>13819.355</v>
      </c>
      <c r="C51" s="34" t="n">
        <v>14255.958</v>
      </c>
      <c r="D51" s="25" t="n">
        <f aca="false">B51-C51</f>
        <v>-436.603000000001</v>
      </c>
      <c r="E51" s="26" t="n">
        <f aca="false">IF(C51=0,"n/m",D51/ABS(C51))</f>
        <v>-0.030626002124866</v>
      </c>
      <c r="F51" s="49" t="str">
        <f aca="false">IF(ROUND(D51,5)=0,"",IF(D51&gt;0,"F","U"))</f>
        <v>U</v>
      </c>
      <c r="G51" s="6" t="s">
        <v>912</v>
      </c>
      <c r="H51" s="50" t="s">
        <v>180</v>
      </c>
      <c r="I51" s="51" t="s">
        <v>822</v>
      </c>
      <c r="J51" s="52" t="s">
        <v>182</v>
      </c>
    </row>
    <row r="52" customFormat="false" ht="27.75" hidden="false" customHeight="true" outlineLevel="0" collapsed="false">
      <c r="A52" s="11" t="s">
        <v>154</v>
      </c>
      <c r="B52" s="34" t="n">
        <v>1330</v>
      </c>
      <c r="C52" s="34" t="n">
        <v>1360</v>
      </c>
      <c r="D52" s="25" t="n">
        <f aca="false">B52-C52</f>
        <v>-30</v>
      </c>
      <c r="E52" s="26" t="n">
        <f aca="false">IF(C52=0,"n/m",D52/ABS(C52))</f>
        <v>-0.0220588235294118</v>
      </c>
      <c r="F52" s="49" t="str">
        <f aca="false">IF(ROUND(D52,5)=0,"",IF(D52&gt;0,"F","U"))</f>
        <v>U</v>
      </c>
      <c r="G52" s="6" t="s">
        <v>913</v>
      </c>
      <c r="H52" s="50" t="s">
        <v>184</v>
      </c>
      <c r="I52" s="51" t="s">
        <v>822</v>
      </c>
      <c r="J52" s="52" t="s">
        <v>182</v>
      </c>
    </row>
    <row r="53" customFormat="false" ht="27.75" hidden="false" customHeight="true" outlineLevel="0" collapsed="false">
      <c r="A53" s="53" t="s">
        <v>91</v>
      </c>
      <c r="B53" s="37" t="n">
        <f aca="false">B51+B52</f>
        <v>15149.355</v>
      </c>
      <c r="C53" s="37" t="n">
        <f aca="false">C51+C52</f>
        <v>15615.958</v>
      </c>
      <c r="D53" s="37" t="n">
        <f aca="false">B53-C53</f>
        <v>-466.603000000001</v>
      </c>
      <c r="E53" s="54" t="n">
        <f aca="false">IF(C53=0,"n/m",D53/ABS(C53))</f>
        <v>-0.0298798831298087</v>
      </c>
      <c r="F53" s="55" t="str">
        <f aca="false">IF(ROUND(D53,5)=0,"",IF(D53&gt;0,"F","U"))</f>
        <v>U</v>
      </c>
      <c r="G53" s="56" t="s">
        <v>914</v>
      </c>
      <c r="H53" s="57" t="s">
        <v>186</v>
      </c>
      <c r="I53" s="58" t="s">
        <v>822</v>
      </c>
      <c r="J53" s="59" t="str">
        <f aca="false">IF(AND(ROUND(B53-K53,4)=0,ROUND(C53-L53,4)=0,TRUE()),"✓","✗")</f>
        <v>✓</v>
      </c>
      <c r="K53" s="60" t="n">
        <v>15149.355</v>
      </c>
      <c r="L53" s="60" t="n">
        <v>15615.958</v>
      </c>
    </row>
    <row r="54" customFormat="false" ht="60" hidden="false" customHeight="true" outlineLevel="0" collapsed="false">
      <c r="A54" s="11" t="s">
        <v>164</v>
      </c>
      <c r="B54" s="25" t="n">
        <f aca="false">B55+B56+B57+B58+B59+B60+B61</f>
        <v>4013.82999</v>
      </c>
      <c r="C54" s="25" t="n">
        <f aca="false">C55+C56+C57+C58+C59+C60+C61</f>
        <v>4106.82119</v>
      </c>
      <c r="D54" s="25" t="n">
        <f aca="false">B54-C54</f>
        <v>-92.9912000000008</v>
      </c>
      <c r="E54" s="26" t="n">
        <f aca="false">IF(C54=0,"n/m",D54/ABS(C54))</f>
        <v>-0.0226431090368463</v>
      </c>
      <c r="F54" s="49" t="str">
        <f aca="false">IF(ROUND(D54,5)=0,"",IF(D54&lt;0,"F","U"))</f>
        <v>F</v>
      </c>
      <c r="G54" s="6" t="s">
        <v>950</v>
      </c>
      <c r="H54" s="50" t="s">
        <v>188</v>
      </c>
      <c r="I54" s="51" t="s">
        <v>822</v>
      </c>
      <c r="J54" s="52" t="str">
        <f aca="false">IF(AND(ROUND(B54-K54,4)=0,ROUND(C54-L54,4)=0,TRUE()),"✓","✗")</f>
        <v>✓</v>
      </c>
      <c r="K54" s="61" t="n">
        <v>4013.82999</v>
      </c>
      <c r="L54" s="61" t="n">
        <v>4106.82119</v>
      </c>
    </row>
    <row r="55" customFormat="false" ht="27.75" hidden="false" customHeight="true" outlineLevel="1" collapsed="false">
      <c r="A55" s="62" t="s">
        <v>257</v>
      </c>
      <c r="B55" s="34" t="n">
        <v>1005.5</v>
      </c>
      <c r="C55" s="34" t="n">
        <v>1008</v>
      </c>
      <c r="D55" s="25" t="n">
        <f aca="false">B55-C55</f>
        <v>-2.5</v>
      </c>
      <c r="E55" s="26" t="n">
        <f aca="false">IF(C55=0,"n/m",D55/ABS(C55))</f>
        <v>-0.00248015873015873</v>
      </c>
      <c r="F55" s="49" t="str">
        <f aca="false">IF(ROUND(D55,5)=0,"",IF(D55&lt;0,"F","U"))</f>
        <v>F</v>
      </c>
      <c r="G55" s="63" t="s">
        <v>951</v>
      </c>
      <c r="I55" s="18" t="s">
        <v>191</v>
      </c>
      <c r="J55" s="52" t="s">
        <v>182</v>
      </c>
    </row>
    <row r="56" customFormat="false" ht="36.75" hidden="false" customHeight="true" outlineLevel="1" collapsed="false">
      <c r="A56" s="62" t="s">
        <v>259</v>
      </c>
      <c r="B56" s="34" t="n">
        <v>737.357</v>
      </c>
      <c r="C56" s="34" t="n">
        <v>791.57975</v>
      </c>
      <c r="D56" s="25" t="n">
        <f aca="false">B56-C56</f>
        <v>-54.22275</v>
      </c>
      <c r="E56" s="26" t="n">
        <f aca="false">IF(C56=0,"n/m",D56/ABS(C56))</f>
        <v>-0.0684994152515903</v>
      </c>
      <c r="F56" s="49" t="str">
        <f aca="false">IF(ROUND(D56,5)=0,"",IF(D56&lt;0,"F","U"))</f>
        <v>F</v>
      </c>
      <c r="G56" s="6" t="s">
        <v>952</v>
      </c>
      <c r="H56" s="50" t="s">
        <v>194</v>
      </c>
      <c r="I56" s="51" t="s">
        <v>822</v>
      </c>
      <c r="J56" s="52" t="s">
        <v>182</v>
      </c>
    </row>
    <row r="57" customFormat="false" ht="36.75" hidden="false" customHeight="true" outlineLevel="1" collapsed="false">
      <c r="A57" s="62" t="s">
        <v>261</v>
      </c>
      <c r="B57" s="34" t="n">
        <v>1149.201</v>
      </c>
      <c r="C57" s="34" t="n">
        <v>1142.997</v>
      </c>
      <c r="D57" s="25" t="n">
        <f aca="false">B57-C57</f>
        <v>6.20399999999995</v>
      </c>
      <c r="E57" s="26" t="n">
        <f aca="false">IF(C57=0,"n/m",D57/ABS(C57))</f>
        <v>0.00542783576859778</v>
      </c>
      <c r="F57" s="49" t="str">
        <f aca="false">IF(ROUND(D57,5)=0,"",IF(D57&lt;0,"F","U"))</f>
        <v>U</v>
      </c>
      <c r="G57" s="63" t="s">
        <v>953</v>
      </c>
      <c r="H57" s="50" t="s">
        <v>200</v>
      </c>
      <c r="I57" s="18" t="s">
        <v>191</v>
      </c>
      <c r="J57" s="52" t="s">
        <v>182</v>
      </c>
    </row>
    <row r="58" customFormat="false" ht="27.75" hidden="false" customHeight="true" outlineLevel="1" collapsed="false">
      <c r="A58" s="62" t="s">
        <v>263</v>
      </c>
      <c r="B58" s="34" t="n">
        <v>693.392</v>
      </c>
      <c r="C58" s="34" t="n">
        <v>698.2311</v>
      </c>
      <c r="D58" s="25" t="n">
        <f aca="false">B58-C58</f>
        <v>-4.83909999999992</v>
      </c>
      <c r="E58" s="26" t="n">
        <f aca="false">IF(C58=0,"n/m",D58/ABS(C58))</f>
        <v>-0.00693051340738033</v>
      </c>
      <c r="F58" s="49" t="str">
        <f aca="false">IF(ROUND(D58,5)=0,"",IF(D58&lt;0,"F","U"))</f>
        <v>F</v>
      </c>
      <c r="G58" s="63" t="s">
        <v>954</v>
      </c>
      <c r="H58" s="50" t="s">
        <v>197</v>
      </c>
      <c r="I58" s="18" t="s">
        <v>191</v>
      </c>
      <c r="J58" s="52" t="s">
        <v>182</v>
      </c>
    </row>
    <row r="59" customFormat="false" ht="40.5" hidden="false" customHeight="true" outlineLevel="1" collapsed="false">
      <c r="A59" s="62" t="s">
        <v>265</v>
      </c>
      <c r="B59" s="34" t="n">
        <v>132.38</v>
      </c>
      <c r="C59" s="34" t="n">
        <v>151.68</v>
      </c>
      <c r="D59" s="25" t="n">
        <f aca="false">B59-C59</f>
        <v>-19.3</v>
      </c>
      <c r="E59" s="26" t="n">
        <f aca="false">IF(C59=0,"n/m",D59/ABS(C59))</f>
        <v>-0.127241561181435</v>
      </c>
      <c r="F59" s="49" t="str">
        <f aca="false">IF(ROUND(D59,5)=0,"",IF(D59&lt;0,"F","U"))</f>
        <v>F</v>
      </c>
      <c r="G59" s="6" t="s">
        <v>955</v>
      </c>
      <c r="H59" s="50" t="s">
        <v>221</v>
      </c>
      <c r="I59" s="51" t="s">
        <v>822</v>
      </c>
      <c r="J59" s="52" t="s">
        <v>182</v>
      </c>
    </row>
    <row r="60" customFormat="false" ht="27.75" hidden="false" customHeight="true" outlineLevel="1" collapsed="false">
      <c r="A60" s="62" t="s">
        <v>267</v>
      </c>
      <c r="B60" s="34" t="n">
        <v>149.99999</v>
      </c>
      <c r="C60" s="34" t="n">
        <v>157.33334</v>
      </c>
      <c r="D60" s="25" t="n">
        <f aca="false">B60-C60</f>
        <v>-7.33335</v>
      </c>
      <c r="E60" s="26" t="n">
        <f aca="false">IF(C60=0,"n/m",D60/ABS(C60))</f>
        <v>-0.0466102734487172</v>
      </c>
      <c r="F60" s="49" t="str">
        <f aca="false">IF(ROUND(D60,5)=0,"",IF(D60&lt;0,"F","U"))</f>
        <v>F</v>
      </c>
      <c r="G60" s="63" t="s">
        <v>956</v>
      </c>
      <c r="H60" s="50" t="s">
        <v>206</v>
      </c>
      <c r="I60" s="18" t="s">
        <v>191</v>
      </c>
      <c r="J60" s="52" t="s">
        <v>182</v>
      </c>
    </row>
    <row r="61" customFormat="false" ht="27.75" hidden="false" customHeight="true" outlineLevel="1" collapsed="false">
      <c r="A61" s="62" t="s">
        <v>269</v>
      </c>
      <c r="B61" s="34" t="n">
        <v>146</v>
      </c>
      <c r="C61" s="34" t="n">
        <v>157</v>
      </c>
      <c r="D61" s="25" t="n">
        <f aca="false">B61-C61</f>
        <v>-11</v>
      </c>
      <c r="E61" s="26" t="n">
        <f aca="false">IF(C61=0,"n/m",D61/ABS(C61))</f>
        <v>-0.0700636942675159</v>
      </c>
      <c r="F61" s="49" t="str">
        <f aca="false">IF(ROUND(D61,5)=0,"",IF(D61&lt;0,"F","U"))</f>
        <v>F</v>
      </c>
      <c r="G61" s="6" t="s">
        <v>957</v>
      </c>
      <c r="I61" s="51" t="s">
        <v>822</v>
      </c>
      <c r="J61" s="52" t="s">
        <v>182</v>
      </c>
    </row>
    <row r="62" customFormat="false" ht="25.5" hidden="false" customHeight="true" outlineLevel="0" collapsed="false">
      <c r="A62" s="11" t="s">
        <v>165</v>
      </c>
      <c r="B62" s="25" t="n">
        <f aca="false">B63</f>
        <v>959.568</v>
      </c>
      <c r="C62" s="25" t="n">
        <f aca="false">C63</f>
        <v>958.98</v>
      </c>
      <c r="D62" s="25" t="n">
        <f aca="false">B62-C62</f>
        <v>0.587999999999965</v>
      </c>
      <c r="E62" s="26" t="n">
        <f aca="false">IF(C62=0,"n/m",D62/ABS(C62))</f>
        <v>0.000613151473440495</v>
      </c>
      <c r="F62" s="49" t="str">
        <f aca="false">IF(ROUND(D62,5)=0,"",IF(D62&lt;0,"F","U"))</f>
        <v>U</v>
      </c>
      <c r="G62" s="6" t="s">
        <v>958</v>
      </c>
      <c r="H62" s="50" t="s">
        <v>210</v>
      </c>
      <c r="I62" s="51" t="s">
        <v>822</v>
      </c>
      <c r="J62" s="52" t="str">
        <f aca="false">IF(AND(ROUND(B62-K62,4)=0,ROUND(C62-L62,4)=0,TRUE()),"✓","✗")</f>
        <v>✓</v>
      </c>
      <c r="K62" s="61" t="n">
        <v>959.568</v>
      </c>
      <c r="L62" s="61" t="n">
        <v>958.98</v>
      </c>
    </row>
    <row r="63" customFormat="false" ht="25.5" hidden="false" customHeight="true" outlineLevel="1" collapsed="false">
      <c r="A63" s="62" t="s">
        <v>272</v>
      </c>
      <c r="B63" s="34" t="n">
        <v>959.568</v>
      </c>
      <c r="C63" s="34" t="n">
        <v>958.98</v>
      </c>
      <c r="D63" s="25" t="n">
        <f aca="false">B63-C63</f>
        <v>0.587999999999965</v>
      </c>
      <c r="E63" s="26" t="n">
        <f aca="false">IF(C63=0,"n/m",D63/ABS(C63))</f>
        <v>0.000613151473440495</v>
      </c>
      <c r="F63" s="49" t="str">
        <f aca="false">IF(ROUND(D63,5)=0,"",IF(D63&lt;0,"F","U"))</f>
        <v>U</v>
      </c>
      <c r="G63" s="63" t="s">
        <v>959</v>
      </c>
      <c r="H63" s="50" t="s">
        <v>210</v>
      </c>
      <c r="I63" s="18" t="s">
        <v>191</v>
      </c>
      <c r="J63" s="52" t="s">
        <v>182</v>
      </c>
    </row>
    <row r="64" customFormat="false" ht="60" hidden="false" customHeight="true" outlineLevel="0" collapsed="false">
      <c r="A64" s="53" t="s">
        <v>166</v>
      </c>
      <c r="B64" s="37" t="n">
        <f aca="false">B54+B62</f>
        <v>4973.39799</v>
      </c>
      <c r="C64" s="37" t="n">
        <f aca="false">C54+C62</f>
        <v>5065.80119</v>
      </c>
      <c r="D64" s="37" t="n">
        <f aca="false">B64-C64</f>
        <v>-92.4032000000007</v>
      </c>
      <c r="E64" s="54" t="n">
        <f aca="false">IF(C64=0,"n/m",D64/ABS(C64))</f>
        <v>-0.0182405895009079</v>
      </c>
      <c r="F64" s="55" t="str">
        <f aca="false">IF(ROUND(D64,5)=0,"",IF(D64&lt;0,"F","U"))</f>
        <v>F</v>
      </c>
      <c r="G64" s="56" t="s">
        <v>960</v>
      </c>
      <c r="H64" s="57" t="s">
        <v>212</v>
      </c>
      <c r="I64" s="58" t="s">
        <v>822</v>
      </c>
      <c r="J64" s="59" t="str">
        <f aca="false">IF(AND(ROUND(B64-K64,4)=0,ROUND(C64-L64,4)=0,TRUE()),"✓","✗")</f>
        <v>✓</v>
      </c>
      <c r="K64" s="60" t="n">
        <v>4973.39799</v>
      </c>
      <c r="L64" s="60" t="n">
        <v>5065.80119</v>
      </c>
    </row>
    <row r="65" customFormat="false" ht="60" hidden="false" customHeight="true" outlineLevel="0" collapsed="false">
      <c r="A65" s="64" t="s">
        <v>167</v>
      </c>
      <c r="B65" s="65" t="n">
        <f aca="false">B53-B64</f>
        <v>10175.95701</v>
      </c>
      <c r="C65" s="65" t="n">
        <f aca="false">C53-C64</f>
        <v>10550.15681</v>
      </c>
      <c r="D65" s="65" t="n">
        <f aca="false">B65-C65</f>
        <v>-374.1998</v>
      </c>
      <c r="E65" s="66" t="n">
        <f aca="false">IF(C65=0,"n/m",D65/ABS(C65))</f>
        <v>-0.0354686481669461</v>
      </c>
      <c r="F65" s="67" t="str">
        <f aca="false">IF(ROUND(D65,5)=0,"",IF(D65&gt;0,"F","U"))</f>
        <v>U</v>
      </c>
      <c r="G65" s="68" t="s">
        <v>961</v>
      </c>
      <c r="H65" s="69" t="s">
        <v>214</v>
      </c>
      <c r="I65" s="70" t="s">
        <v>822</v>
      </c>
      <c r="J65" s="71" t="str">
        <f aca="false">IF(AND(ROUND(B65-K65,4)=0,ROUND(C65-L65,4)=0,TRUE()),"✓","✗")</f>
        <v>✓</v>
      </c>
      <c r="K65" s="72" t="n">
        <v>10175.95701</v>
      </c>
      <c r="L65" s="72" t="n">
        <v>10550.15681</v>
      </c>
    </row>
    <row r="66" customFormat="false" ht="48" hidden="false" customHeight="true" outlineLevel="0" collapsed="false">
      <c r="A66" s="11" t="s">
        <v>168</v>
      </c>
      <c r="B66" s="25" t="n">
        <f aca="false">B67+B68+B69+B70+B71</f>
        <v>3086.341</v>
      </c>
      <c r="C66" s="25" t="n">
        <f aca="false">C67+C68+C69+C70+C71</f>
        <v>3270.4619</v>
      </c>
      <c r="D66" s="25" t="n">
        <f aca="false">B66-C66</f>
        <v>-184.1209</v>
      </c>
      <c r="E66" s="26" t="n">
        <f aca="false">IF(C66=0,"n/m",D66/ABS(C66))</f>
        <v>-0.0562981333003758</v>
      </c>
      <c r="F66" s="49" t="str">
        <f aca="false">IF(ROUND(D66,5)=0,"",IF(D66&lt;0,"F","U"))</f>
        <v>F</v>
      </c>
      <c r="G66" s="6" t="s">
        <v>962</v>
      </c>
      <c r="H66" s="50" t="s">
        <v>277</v>
      </c>
      <c r="I66" s="51" t="s">
        <v>822</v>
      </c>
      <c r="J66" s="52" t="str">
        <f aca="false">IF(AND(ROUND(B66-K66,4)=0,ROUND(C66-L66,4)=0,TRUE()),"✓","✗")</f>
        <v>✓</v>
      </c>
      <c r="K66" s="61" t="n">
        <v>3086.341</v>
      </c>
      <c r="L66" s="61" t="n">
        <v>3270.4619</v>
      </c>
    </row>
    <row r="67" customFormat="false" ht="36.75" hidden="false" customHeight="true" outlineLevel="1" collapsed="false">
      <c r="A67" s="62" t="s">
        <v>278</v>
      </c>
      <c r="B67" s="34" t="n">
        <v>1714.173</v>
      </c>
      <c r="C67" s="34" t="n">
        <v>1807.22</v>
      </c>
      <c r="D67" s="25" t="n">
        <f aca="false">B67-C67</f>
        <v>-93.047</v>
      </c>
      <c r="E67" s="26" t="n">
        <f aca="false">IF(C67=0,"n/m",D67/ABS(C67))</f>
        <v>-0.0514862606655526</v>
      </c>
      <c r="F67" s="49" t="str">
        <f aca="false">IF(ROUND(D67,5)=0,"",IF(D67&lt;0,"F","U"))</f>
        <v>F</v>
      </c>
      <c r="G67" s="6" t="s">
        <v>963</v>
      </c>
      <c r="H67" s="50" t="s">
        <v>227</v>
      </c>
      <c r="I67" s="51" t="s">
        <v>822</v>
      </c>
      <c r="J67" s="52" t="s">
        <v>182</v>
      </c>
    </row>
    <row r="68" customFormat="false" ht="27.75" hidden="false" customHeight="true" outlineLevel="1" collapsed="false">
      <c r="A68" s="62" t="s">
        <v>280</v>
      </c>
      <c r="B68" s="34" t="n">
        <v>297.168</v>
      </c>
      <c r="C68" s="34" t="n">
        <v>299.2419</v>
      </c>
      <c r="D68" s="25" t="n">
        <f aca="false">B68-C68</f>
        <v>-2.07389999999998</v>
      </c>
      <c r="E68" s="26" t="n">
        <f aca="false">IF(C68=0,"n/m",D68/ABS(C68))</f>
        <v>-0.00693051340738039</v>
      </c>
      <c r="F68" s="49" t="str">
        <f aca="false">IF(ROUND(D68,5)=0,"",IF(D68&lt;0,"F","U"))</f>
        <v>F</v>
      </c>
      <c r="G68" s="63" t="s">
        <v>964</v>
      </c>
      <c r="H68" s="50" t="s">
        <v>229</v>
      </c>
      <c r="I68" s="18" t="s">
        <v>191</v>
      </c>
      <c r="J68" s="52" t="s">
        <v>182</v>
      </c>
    </row>
    <row r="69" customFormat="false" ht="48" hidden="false" customHeight="true" outlineLevel="1" collapsed="false">
      <c r="A69" s="62" t="s">
        <v>282</v>
      </c>
      <c r="B69" s="34" t="n">
        <v>701.5</v>
      </c>
      <c r="C69" s="34" t="n">
        <v>767</v>
      </c>
      <c r="D69" s="25" t="n">
        <f aca="false">B69-C69</f>
        <v>-65.5</v>
      </c>
      <c r="E69" s="26" t="n">
        <f aca="false">IF(C69=0,"n/m",D69/ABS(C69))</f>
        <v>-0.0853976531942634</v>
      </c>
      <c r="F69" s="49" t="str">
        <f aca="false">IF(ROUND(D69,5)=0,"",IF(D69&lt;0,"F","U"))</f>
        <v>F</v>
      </c>
      <c r="G69" s="6" t="s">
        <v>965</v>
      </c>
      <c r="H69" s="50" t="s">
        <v>232</v>
      </c>
      <c r="I69" s="51" t="s">
        <v>822</v>
      </c>
      <c r="J69" s="52" t="s">
        <v>182</v>
      </c>
    </row>
    <row r="70" customFormat="false" ht="27.75" hidden="false" customHeight="true" outlineLevel="1" collapsed="false">
      <c r="A70" s="62" t="s">
        <v>284</v>
      </c>
      <c r="B70" s="34" t="n">
        <v>289.5</v>
      </c>
      <c r="C70" s="34" t="n">
        <v>320</v>
      </c>
      <c r="D70" s="25" t="n">
        <f aca="false">B70-C70</f>
        <v>-30.5</v>
      </c>
      <c r="E70" s="26" t="n">
        <f aca="false">IF(C70=0,"n/m",D70/ABS(C70))</f>
        <v>-0.0953125</v>
      </c>
      <c r="F70" s="49" t="str">
        <f aca="false">IF(ROUND(D70,5)=0,"",IF(D70&lt;0,"F","U"))</f>
        <v>F</v>
      </c>
      <c r="G70" s="6" t="s">
        <v>966</v>
      </c>
      <c r="I70" s="51" t="s">
        <v>822</v>
      </c>
      <c r="J70" s="52" t="s">
        <v>182</v>
      </c>
    </row>
    <row r="71" customFormat="false" ht="27.75" hidden="false" customHeight="true" outlineLevel="1" collapsed="false">
      <c r="A71" s="62" t="s">
        <v>286</v>
      </c>
      <c r="B71" s="34" t="n">
        <v>84</v>
      </c>
      <c r="C71" s="34" t="n">
        <v>77</v>
      </c>
      <c r="D71" s="25" t="n">
        <f aca="false">B71-C71</f>
        <v>7</v>
      </c>
      <c r="E71" s="26" t="n">
        <f aca="false">IF(C71=0,"n/m",D71/ABS(C71))</f>
        <v>0.0909090909090909</v>
      </c>
      <c r="F71" s="49" t="str">
        <f aca="false">IF(ROUND(D71,5)=0,"",IF(D71&lt;0,"F","U"))</f>
        <v>U</v>
      </c>
      <c r="G71" s="63" t="s">
        <v>967</v>
      </c>
      <c r="H71" s="50" t="s">
        <v>236</v>
      </c>
      <c r="I71" s="18" t="s">
        <v>191</v>
      </c>
      <c r="J71" s="52" t="s">
        <v>182</v>
      </c>
    </row>
    <row r="72" customFormat="false" ht="60" hidden="false" customHeight="true" outlineLevel="0" collapsed="false">
      <c r="A72" s="64" t="s">
        <v>169</v>
      </c>
      <c r="B72" s="65" t="n">
        <f aca="false">B65-B66</f>
        <v>7089.61601</v>
      </c>
      <c r="C72" s="65" t="n">
        <f aca="false">C65-C66</f>
        <v>7279.69491</v>
      </c>
      <c r="D72" s="65" t="n">
        <f aca="false">B72-C72</f>
        <v>-190.0789</v>
      </c>
      <c r="E72" s="66" t="n">
        <f aca="false">IF(C72=0,"n/m",D72/ABS(C72))</f>
        <v>-0.0261108332629287</v>
      </c>
      <c r="F72" s="67" t="str">
        <f aca="false">IF(ROUND(D72,5)=0,"",IF(D72&gt;0,"F","U"))</f>
        <v>U</v>
      </c>
      <c r="G72" s="68" t="s">
        <v>968</v>
      </c>
      <c r="H72" s="69" t="s">
        <v>289</v>
      </c>
      <c r="I72" s="70" t="s">
        <v>822</v>
      </c>
      <c r="J72" s="71" t="str">
        <f aca="false">IF(AND(ROUND(B72-K72,4)=0,ROUND(C72-L72,4)=0,TRUE()),"✓","✗")</f>
        <v>✓</v>
      </c>
      <c r="K72" s="72" t="n">
        <v>7089.61601</v>
      </c>
      <c r="L72" s="72" t="n">
        <v>7279.69491</v>
      </c>
    </row>
    <row r="73" customFormat="false" ht="40.5" hidden="false" customHeight="true" outlineLevel="0" collapsed="false">
      <c r="A73" s="11" t="s">
        <v>170</v>
      </c>
      <c r="B73" s="25" t="n">
        <f aca="false">B74+B75+B76</f>
        <v>454.35999</v>
      </c>
      <c r="C73" s="25" t="n">
        <f aca="false">C74+C75+C76</f>
        <v>472.66664</v>
      </c>
      <c r="D73" s="25" t="n">
        <f aca="false">B73-C73</f>
        <v>-18.3066499999999</v>
      </c>
      <c r="E73" s="26" t="n">
        <f aca="false">IF(C73=0,"n/m",D73/ABS(C73))</f>
        <v>-0.038730573412162</v>
      </c>
      <c r="F73" s="49" t="str">
        <f aca="false">IF(ROUND(D73,5)=0,"",IF(D73&lt;0,"F","U"))</f>
        <v>F</v>
      </c>
      <c r="G73" s="6" t="s">
        <v>969</v>
      </c>
      <c r="H73" s="50" t="s">
        <v>291</v>
      </c>
      <c r="I73" s="51" t="s">
        <v>822</v>
      </c>
      <c r="J73" s="52" t="str">
        <f aca="false">IF(AND(ROUND(B73-K73,4)=0,ROUND(C73-L73,4)=0,TRUE()),"✓","✗")</f>
        <v>✓</v>
      </c>
      <c r="K73" s="61" t="n">
        <v>454.35999</v>
      </c>
      <c r="L73" s="61" t="n">
        <v>472.66664</v>
      </c>
    </row>
    <row r="74" customFormat="false" ht="40.5" hidden="false" customHeight="true" outlineLevel="1" collapsed="false">
      <c r="A74" s="62" t="s">
        <v>265</v>
      </c>
      <c r="B74" s="34" t="n">
        <v>233.35998</v>
      </c>
      <c r="C74" s="34" t="n">
        <v>236.99998</v>
      </c>
      <c r="D74" s="25" t="n">
        <f aca="false">B74-C74</f>
        <v>-3.63999999999999</v>
      </c>
      <c r="E74" s="26" t="n">
        <f aca="false">IF(C74=0,"n/m",D74/ABS(C74))</f>
        <v>-0.0153586510851182</v>
      </c>
      <c r="F74" s="49" t="str">
        <f aca="false">IF(ROUND(D74,5)=0,"",IF(D74&lt;0,"F","U"))</f>
        <v>F</v>
      </c>
      <c r="G74" s="63" t="s">
        <v>970</v>
      </c>
      <c r="H74" s="50" t="s">
        <v>293</v>
      </c>
      <c r="I74" s="18" t="s">
        <v>191</v>
      </c>
      <c r="J74" s="52" t="s">
        <v>182</v>
      </c>
    </row>
    <row r="75" customFormat="false" ht="27.75" hidden="false" customHeight="true" outlineLevel="1" collapsed="false">
      <c r="A75" s="62" t="s">
        <v>267</v>
      </c>
      <c r="B75" s="34" t="n">
        <v>75.00001</v>
      </c>
      <c r="C75" s="34" t="n">
        <v>78.66666</v>
      </c>
      <c r="D75" s="25" t="n">
        <f aca="false">B75-C75</f>
        <v>-3.66664999999999</v>
      </c>
      <c r="E75" s="26" t="n">
        <f aca="false">IF(C75=0,"n/m",D75/ABS(C75))</f>
        <v>-0.0466099615771153</v>
      </c>
      <c r="F75" s="49" t="str">
        <f aca="false">IF(ROUND(D75,5)=0,"",IF(D75&lt;0,"F","U"))</f>
        <v>F</v>
      </c>
      <c r="G75" s="63" t="s">
        <v>971</v>
      </c>
      <c r="H75" s="50" t="s">
        <v>239</v>
      </c>
      <c r="I75" s="18" t="s">
        <v>191</v>
      </c>
      <c r="J75" s="52" t="s">
        <v>182</v>
      </c>
    </row>
    <row r="76" customFormat="false" ht="27.75" hidden="false" customHeight="true" outlineLevel="1" collapsed="false">
      <c r="A76" s="62" t="s">
        <v>269</v>
      </c>
      <c r="B76" s="34" t="n">
        <v>146</v>
      </c>
      <c r="C76" s="34" t="n">
        <v>157</v>
      </c>
      <c r="D76" s="25" t="n">
        <f aca="false">B76-C76</f>
        <v>-11</v>
      </c>
      <c r="E76" s="26" t="n">
        <f aca="false">IF(C76=0,"n/m",D76/ABS(C76))</f>
        <v>-0.0700636942675159</v>
      </c>
      <c r="F76" s="49" t="str">
        <f aca="false">IF(ROUND(D76,5)=0,"",IF(D76&lt;0,"F","U"))</f>
        <v>F</v>
      </c>
      <c r="G76" s="6" t="s">
        <v>957</v>
      </c>
      <c r="I76" s="51" t="s">
        <v>822</v>
      </c>
      <c r="J76" s="52" t="s">
        <v>182</v>
      </c>
    </row>
    <row r="77" customFormat="false" ht="48" hidden="false" customHeight="true" outlineLevel="0" collapsed="false">
      <c r="A77" s="11" t="s">
        <v>157</v>
      </c>
      <c r="B77" s="25" t="n">
        <f aca="false">B78+B79+B80+B81+B82</f>
        <v>3105.33101</v>
      </c>
      <c r="C77" s="25" t="n">
        <f aca="false">C78+C79+C80+C81+C82</f>
        <v>3310.89259</v>
      </c>
      <c r="D77" s="25" t="n">
        <f aca="false">B77-C77</f>
        <v>-205.561580000001</v>
      </c>
      <c r="E77" s="26" t="n">
        <f aca="false">IF(C77=0,"n/m",D77/ABS(C77))</f>
        <v>-0.0620864538526152</v>
      </c>
      <c r="F77" s="49" t="str">
        <f aca="false">IF(ROUND(D77,5)=0,"",IF(D77&lt;0,"F","U"))</f>
        <v>F</v>
      </c>
      <c r="G77" s="6" t="s">
        <v>972</v>
      </c>
      <c r="H77" s="50" t="s">
        <v>216</v>
      </c>
      <c r="I77" s="51" t="s">
        <v>822</v>
      </c>
      <c r="J77" s="52" t="str">
        <f aca="false">IF(AND(ROUND(B77-K77,4)=0,ROUND(C77-L77,4)=0,TRUE()),"✓","✗")</f>
        <v>✓</v>
      </c>
      <c r="K77" s="61" t="n">
        <v>3105.33101</v>
      </c>
      <c r="L77" s="61" t="n">
        <v>3310.89259</v>
      </c>
    </row>
    <row r="78" customFormat="false" ht="36.75" hidden="false" customHeight="true" outlineLevel="1" collapsed="false">
      <c r="A78" s="62" t="s">
        <v>296</v>
      </c>
      <c r="B78" s="34" t="n">
        <v>2212.071</v>
      </c>
      <c r="C78" s="34" t="n">
        <v>2374.73925</v>
      </c>
      <c r="D78" s="25" t="n">
        <f aca="false">B78-C78</f>
        <v>-162.66825</v>
      </c>
      <c r="E78" s="26" t="n">
        <f aca="false">IF(C78=0,"n/m",D78/ABS(C78))</f>
        <v>-0.0684994152515903</v>
      </c>
      <c r="F78" s="49" t="str">
        <f aca="false">IF(ROUND(D78,5)=0,"",IF(D78&lt;0,"F","U"))</f>
        <v>F</v>
      </c>
      <c r="G78" s="6" t="s">
        <v>973</v>
      </c>
      <c r="H78" s="50" t="s">
        <v>218</v>
      </c>
      <c r="I78" s="51" t="s">
        <v>822</v>
      </c>
      <c r="J78" s="52" t="s">
        <v>182</v>
      </c>
    </row>
    <row r="79" customFormat="false" ht="15" hidden="false" customHeight="true" outlineLevel="1" collapsed="false">
      <c r="A79" s="62" t="s">
        <v>298</v>
      </c>
      <c r="B79" s="34" t="n">
        <v>306</v>
      </c>
      <c r="C79" s="34" t="n">
        <v>300</v>
      </c>
      <c r="D79" s="25" t="n">
        <f aca="false">B79-C79</f>
        <v>6</v>
      </c>
      <c r="E79" s="26" t="n">
        <f aca="false">IF(C79=0,"n/m",D79/ABS(C79))</f>
        <v>0.02</v>
      </c>
      <c r="F79" s="49" t="str">
        <f aca="false">IF(ROUND(D79,5)=0,"",IF(D79&lt;0,"F","U"))</f>
        <v>U</v>
      </c>
      <c r="G79" s="63" t="s">
        <v>974</v>
      </c>
      <c r="I79" s="18" t="s">
        <v>191</v>
      </c>
      <c r="J79" s="52" t="s">
        <v>182</v>
      </c>
    </row>
    <row r="80" customFormat="false" ht="40.5" hidden="false" customHeight="true" outlineLevel="1" collapsed="false">
      <c r="A80" s="62" t="s">
        <v>265</v>
      </c>
      <c r="B80" s="34" t="n">
        <v>218.26002</v>
      </c>
      <c r="C80" s="34" t="n">
        <v>243.32002</v>
      </c>
      <c r="D80" s="25" t="n">
        <f aca="false">B80-C80</f>
        <v>-25.06</v>
      </c>
      <c r="E80" s="26" t="n">
        <f aca="false">IF(C80=0,"n/m",D80/ABS(C80))</f>
        <v>-0.102991936298542</v>
      </c>
      <c r="F80" s="49" t="str">
        <f aca="false">IF(ROUND(D80,5)=0,"",IF(D80&lt;0,"F","U"))</f>
        <v>F</v>
      </c>
      <c r="G80" s="6" t="s">
        <v>975</v>
      </c>
      <c r="H80" s="50" t="s">
        <v>293</v>
      </c>
      <c r="I80" s="51" t="s">
        <v>822</v>
      </c>
      <c r="J80" s="52" t="s">
        <v>182</v>
      </c>
    </row>
    <row r="81" customFormat="false" ht="27.75" hidden="false" customHeight="true" outlineLevel="1" collapsed="false">
      <c r="A81" s="62" t="s">
        <v>267</v>
      </c>
      <c r="B81" s="34" t="n">
        <v>149.99999</v>
      </c>
      <c r="C81" s="34" t="n">
        <v>157.33334</v>
      </c>
      <c r="D81" s="25" t="n">
        <f aca="false">B81-C81</f>
        <v>-7.33335</v>
      </c>
      <c r="E81" s="26" t="n">
        <f aca="false">IF(C81=0,"n/m",D81/ABS(C81))</f>
        <v>-0.0466102734487172</v>
      </c>
      <c r="F81" s="49" t="str">
        <f aca="false">IF(ROUND(D81,5)=0,"",IF(D81&lt;0,"F","U"))</f>
        <v>F</v>
      </c>
      <c r="G81" s="63" t="s">
        <v>956</v>
      </c>
      <c r="H81" s="50" t="s">
        <v>206</v>
      </c>
      <c r="I81" s="18" t="s">
        <v>191</v>
      </c>
      <c r="J81" s="52" t="s">
        <v>182</v>
      </c>
    </row>
    <row r="82" customFormat="false" ht="27.75" hidden="false" customHeight="true" outlineLevel="1" collapsed="false">
      <c r="A82" s="62" t="s">
        <v>269</v>
      </c>
      <c r="B82" s="34" t="n">
        <v>219</v>
      </c>
      <c r="C82" s="34" t="n">
        <v>235.49998</v>
      </c>
      <c r="D82" s="25" t="n">
        <f aca="false">B82-C82</f>
        <v>-16.49998</v>
      </c>
      <c r="E82" s="26" t="n">
        <f aca="false">IF(C82=0,"n/m",D82/ABS(C82))</f>
        <v>-0.0700636152920268</v>
      </c>
      <c r="F82" s="49" t="str">
        <f aca="false">IF(ROUND(D82,5)=0,"",IF(D82&lt;0,"F","U"))</f>
        <v>F</v>
      </c>
      <c r="G82" s="6" t="s">
        <v>976</v>
      </c>
      <c r="I82" s="51" t="s">
        <v>822</v>
      </c>
      <c r="J82" s="52" t="s">
        <v>182</v>
      </c>
    </row>
    <row r="83" customFormat="false" ht="40.5" hidden="false" customHeight="true" outlineLevel="0" collapsed="false">
      <c r="A83" s="11" t="s">
        <v>159</v>
      </c>
      <c r="B83" s="25" t="n">
        <f aca="false">B84+B85+B86</f>
        <v>1421.00001</v>
      </c>
      <c r="C83" s="25" t="n">
        <f aca="false">C84+C85+C86</f>
        <v>1483.16668</v>
      </c>
      <c r="D83" s="25" t="n">
        <f aca="false">B83-C83</f>
        <v>-62.1666700000001</v>
      </c>
      <c r="E83" s="26" t="n">
        <f aca="false">IF(C83=0,"n/m",D83/ABS(C83))</f>
        <v>-0.0419148237607388</v>
      </c>
      <c r="F83" s="49" t="str">
        <f aca="false">IF(ROUND(D83,5)=0,"",IF(D83&lt;0,"F","U"))</f>
        <v>F</v>
      </c>
      <c r="G83" s="6" t="s">
        <v>977</v>
      </c>
      <c r="H83" s="50" t="s">
        <v>303</v>
      </c>
      <c r="I83" s="51" t="s">
        <v>822</v>
      </c>
      <c r="J83" s="52" t="str">
        <f aca="false">IF(AND(ROUND(B83-K83,4)=0,ROUND(C83-L83,4)=0,TRUE()),"✓","✗")</f>
        <v>✓</v>
      </c>
      <c r="K83" s="61" t="n">
        <v>1421.00001</v>
      </c>
      <c r="L83" s="61" t="n">
        <v>1483.16668</v>
      </c>
    </row>
    <row r="84" customFormat="false" ht="53.25" hidden="false" customHeight="true" outlineLevel="1" collapsed="false">
      <c r="A84" s="62" t="s">
        <v>304</v>
      </c>
      <c r="B84" s="34" t="n">
        <v>1273</v>
      </c>
      <c r="C84" s="34" t="n">
        <v>1326</v>
      </c>
      <c r="D84" s="25" t="n">
        <f aca="false">B84-C84</f>
        <v>-53</v>
      </c>
      <c r="E84" s="26" t="n">
        <f aca="false">IF(C84=0,"n/m",D84/ABS(C84))</f>
        <v>-0.0399698340874811</v>
      </c>
      <c r="F84" s="49" t="str">
        <f aca="false">IF(ROUND(D84,5)=0,"",IF(D84&lt;0,"F","U"))</f>
        <v>F</v>
      </c>
      <c r="G84" s="6" t="s">
        <v>978</v>
      </c>
      <c r="H84" s="50" t="s">
        <v>244</v>
      </c>
      <c r="I84" s="51" t="s">
        <v>822</v>
      </c>
      <c r="J84" s="52" t="s">
        <v>182</v>
      </c>
    </row>
    <row r="85" customFormat="false" ht="27.75" hidden="false" customHeight="true" outlineLevel="1" collapsed="false">
      <c r="A85" s="62" t="s">
        <v>267</v>
      </c>
      <c r="B85" s="34" t="n">
        <v>75.00001</v>
      </c>
      <c r="C85" s="34" t="n">
        <v>78.66666</v>
      </c>
      <c r="D85" s="25" t="n">
        <f aca="false">B85-C85</f>
        <v>-3.66664999999999</v>
      </c>
      <c r="E85" s="26" t="n">
        <f aca="false">IF(C85=0,"n/m",D85/ABS(C85))</f>
        <v>-0.0466099615771153</v>
      </c>
      <c r="F85" s="49" t="str">
        <f aca="false">IF(ROUND(D85,5)=0,"",IF(D85&lt;0,"F","U"))</f>
        <v>F</v>
      </c>
      <c r="G85" s="63" t="s">
        <v>971</v>
      </c>
      <c r="H85" s="50" t="s">
        <v>239</v>
      </c>
      <c r="I85" s="18" t="s">
        <v>191</v>
      </c>
      <c r="J85" s="52" t="s">
        <v>182</v>
      </c>
    </row>
    <row r="86" customFormat="false" ht="27.75" hidden="false" customHeight="true" outlineLevel="1" collapsed="false">
      <c r="A86" s="62" t="s">
        <v>269</v>
      </c>
      <c r="B86" s="34" t="n">
        <v>73</v>
      </c>
      <c r="C86" s="34" t="n">
        <v>78.50002</v>
      </c>
      <c r="D86" s="25" t="n">
        <f aca="false">B86-C86</f>
        <v>-5.50002000000001</v>
      </c>
      <c r="E86" s="26" t="n">
        <f aca="false">IF(C86=0,"n/m",D86/ABS(C86))</f>
        <v>-0.070063931193903</v>
      </c>
      <c r="F86" s="49" t="str">
        <f aca="false">IF(ROUND(D86,5)=0,"",IF(D86&lt;0,"F","U"))</f>
        <v>F</v>
      </c>
      <c r="G86" s="63" t="s">
        <v>979</v>
      </c>
      <c r="I86" s="18" t="s">
        <v>191</v>
      </c>
      <c r="J86" s="52" t="s">
        <v>182</v>
      </c>
    </row>
    <row r="87" customFormat="false" ht="48" hidden="false" customHeight="true" outlineLevel="0" collapsed="false">
      <c r="A87" s="53" t="s">
        <v>171</v>
      </c>
      <c r="B87" s="37" t="n">
        <f aca="false">B73+B77+B83</f>
        <v>4980.69101</v>
      </c>
      <c r="C87" s="37" t="n">
        <f aca="false">C73+C77+C83</f>
        <v>5266.72591</v>
      </c>
      <c r="D87" s="37" t="n">
        <f aca="false">B87-C87</f>
        <v>-286.034900000001</v>
      </c>
      <c r="E87" s="54" t="n">
        <f aca="false">IF(C87=0,"n/m",D87/ABS(C87))</f>
        <v>-0.0543098131339819</v>
      </c>
      <c r="F87" s="55" t="str">
        <f aca="false">IF(ROUND(D87,5)=0,"",IF(D87&lt;0,"F","U"))</f>
        <v>F</v>
      </c>
      <c r="G87" s="56" t="s">
        <v>980</v>
      </c>
      <c r="H87" s="57" t="s">
        <v>308</v>
      </c>
      <c r="I87" s="58" t="s">
        <v>822</v>
      </c>
      <c r="J87" s="59" t="str">
        <f aca="false">IF(AND(ROUND(B87-K87,4)=0,ROUND(C87-L87,4)=0,TRUE()),"✓","✗")</f>
        <v>✓</v>
      </c>
      <c r="K87" s="60" t="n">
        <v>4980.69101</v>
      </c>
      <c r="L87" s="60" t="n">
        <v>5266.72591</v>
      </c>
    </row>
    <row r="88" customFormat="false" ht="60" hidden="false" customHeight="true" outlineLevel="0" collapsed="false">
      <c r="A88" s="64" t="s">
        <v>96</v>
      </c>
      <c r="B88" s="65" t="n">
        <f aca="false">B72-B87</f>
        <v>2108.925</v>
      </c>
      <c r="C88" s="65" t="n">
        <f aca="false">C72-C87</f>
        <v>2012.969</v>
      </c>
      <c r="D88" s="65" t="n">
        <f aca="false">B88-C88</f>
        <v>95.9560000000001</v>
      </c>
      <c r="E88" s="66" t="n">
        <f aca="false">IF(C88=0,"n/m",D88/ABS(C88))</f>
        <v>0.0476688910758189</v>
      </c>
      <c r="F88" s="67" t="str">
        <f aca="false">IF(ROUND(D88,5)=0,"",IF(D88&gt;0,"F","U"))</f>
        <v>F</v>
      </c>
      <c r="G88" s="68" t="s">
        <v>981</v>
      </c>
      <c r="H88" s="69" t="s">
        <v>250</v>
      </c>
      <c r="I88" s="70" t="s">
        <v>822</v>
      </c>
      <c r="J88" s="71" t="str">
        <f aca="false">IF(AND(ROUND(B88-K88,4)=0,ROUND(C88-L88,4)=0,TRUE()),"✓","✗")</f>
        <v>✓</v>
      </c>
      <c r="K88" s="72" t="n">
        <v>2108.925</v>
      </c>
      <c r="L88" s="72" t="n">
        <v>2012.969</v>
      </c>
    </row>
    <row r="89" customFormat="false" ht="27.75" hidden="false" customHeight="true" outlineLevel="0" collapsed="false">
      <c r="A89" s="11" t="s">
        <v>160</v>
      </c>
      <c r="B89" s="34" t="n">
        <v>89.5</v>
      </c>
      <c r="C89" s="34" t="n">
        <v>72</v>
      </c>
      <c r="D89" s="25" t="n">
        <f aca="false">B89-C89</f>
        <v>17.5</v>
      </c>
      <c r="E89" s="26" t="n">
        <f aca="false">IF(C89=0,"n/m",D89/ABS(C89))</f>
        <v>0.243055555555556</v>
      </c>
      <c r="F89" s="49" t="str">
        <f aca="false">IF(ROUND(D89,5)=0,"",IF(D89&gt;0,"F","U"))</f>
        <v>F</v>
      </c>
      <c r="G89" s="6" t="s">
        <v>945</v>
      </c>
      <c r="I89" s="51" t="s">
        <v>822</v>
      </c>
      <c r="J89" s="52" t="s">
        <v>182</v>
      </c>
    </row>
    <row r="90" customFormat="false" ht="27.75" hidden="false" customHeight="true" outlineLevel="0" collapsed="false">
      <c r="A90" s="11" t="s">
        <v>161</v>
      </c>
      <c r="B90" s="34" t="n">
        <v>242.5</v>
      </c>
      <c r="C90" s="34" t="n">
        <v>244</v>
      </c>
      <c r="D90" s="25" t="n">
        <f aca="false">B90-C90</f>
        <v>-1.5</v>
      </c>
      <c r="E90" s="26" t="n">
        <f aca="false">IF(C90=0,"n/m",D90/ABS(C90))</f>
        <v>-0.00614754098360656</v>
      </c>
      <c r="F90" s="49" t="str">
        <f aca="false">IF(ROUND(D90,5)=0,"",IF(D90&lt;0,"F","U"))</f>
        <v>F</v>
      </c>
      <c r="G90" s="63" t="s">
        <v>946</v>
      </c>
      <c r="I90" s="18" t="s">
        <v>191</v>
      </c>
      <c r="J90" s="52" t="s">
        <v>182</v>
      </c>
    </row>
    <row r="91" customFormat="false" ht="27.75" hidden="false" customHeight="true" outlineLevel="0" collapsed="false">
      <c r="A91" s="11" t="s">
        <v>126</v>
      </c>
      <c r="B91" s="34" t="n">
        <v>260.5</v>
      </c>
      <c r="C91" s="34" t="n">
        <v>300</v>
      </c>
      <c r="D91" s="25" t="n">
        <f aca="false">B91-C91</f>
        <v>-39.5</v>
      </c>
      <c r="E91" s="26" t="n">
        <f aca="false">IF(C91=0,"n/m",D91/ABS(C91))</f>
        <v>-0.131666666666667</v>
      </c>
      <c r="F91" s="49" t="str">
        <f aca="false">IF(ROUND(D91,5)=0,"",IF(D91&lt;0,"F","U"))</f>
        <v>F</v>
      </c>
      <c r="G91" s="6" t="s">
        <v>948</v>
      </c>
      <c r="I91" s="51" t="s">
        <v>822</v>
      </c>
      <c r="J91" s="52" t="s">
        <v>182</v>
      </c>
    </row>
    <row r="92" customFormat="false" ht="60" hidden="false" customHeight="true" outlineLevel="0" collapsed="false">
      <c r="A92" s="64" t="s">
        <v>97</v>
      </c>
      <c r="B92" s="65" t="n">
        <f aca="false">B88+B89-B90-B91</f>
        <v>1695.425</v>
      </c>
      <c r="C92" s="65" t="n">
        <f aca="false">C88+C89-C90-C91</f>
        <v>1540.969</v>
      </c>
      <c r="D92" s="65" t="n">
        <f aca="false">B92-C92</f>
        <v>154.456</v>
      </c>
      <c r="E92" s="66" t="n">
        <f aca="false">IF(C92=0,"n/m",D92/ABS(C92))</f>
        <v>0.1002330351876</v>
      </c>
      <c r="F92" s="67" t="str">
        <f aca="false">IF(ROUND(D92,5)=0,"",IF(D92&gt;0,"F","U"))</f>
        <v>F</v>
      </c>
      <c r="G92" s="68" t="s">
        <v>982</v>
      </c>
      <c r="H92" s="69" t="s">
        <v>250</v>
      </c>
      <c r="I92" s="70" t="s">
        <v>822</v>
      </c>
      <c r="J92" s="71" t="str">
        <f aca="false">IF(AND(ROUND(B92-K92,4)=0,ROUND(C92-L92,4)=0,TRUE()),"✓","✗")</f>
        <v>✓</v>
      </c>
      <c r="K92" s="72" t="n">
        <v>1695.425</v>
      </c>
      <c r="L92" s="72" t="n">
        <v>1540.969</v>
      </c>
    </row>
    <row r="94" customFormat="false" ht="18" hidden="false" customHeight="true" outlineLevel="0" collapsed="false">
      <c r="A94" s="44" t="s">
        <v>311</v>
      </c>
      <c r="B94" s="45"/>
      <c r="C94" s="45"/>
      <c r="D94" s="45"/>
      <c r="E94" s="45"/>
      <c r="F94" s="45"/>
      <c r="G94" s="45"/>
      <c r="H94" s="45"/>
      <c r="I94" s="45"/>
      <c r="J94" s="45"/>
      <c r="K94" s="45"/>
      <c r="L94" s="45"/>
    </row>
    <row r="95" customFormat="false" ht="27.75" hidden="false" customHeight="true" outlineLevel="0" collapsed="false">
      <c r="A95" s="11" t="s">
        <v>312</v>
      </c>
      <c r="B95" s="25" t="n">
        <f aca="false">B96+B97</f>
        <v>15149.355</v>
      </c>
      <c r="C95" s="25" t="n">
        <f aca="false">C96+C97</f>
        <v>15615.958</v>
      </c>
      <c r="D95" s="25" t="n">
        <f aca="false">B95-C95</f>
        <v>-466.603000000001</v>
      </c>
      <c r="E95" s="26" t="n">
        <f aca="false">IF(C95=0,"n/m",D95/ABS(C95))</f>
        <v>-0.0298798831298087</v>
      </c>
      <c r="F95" s="49" t="str">
        <f aca="false">IF(ROUND(D95,5)=0,"",IF(D95&gt;0,"F","U"))</f>
        <v>U</v>
      </c>
      <c r="G95" s="6" t="s">
        <v>983</v>
      </c>
      <c r="H95" s="50" t="s">
        <v>186</v>
      </c>
      <c r="I95" s="51" t="s">
        <v>822</v>
      </c>
      <c r="J95" s="52" t="str">
        <f aca="false">IF(AND(ROUND(B95-K95,4)=0,ROUND(C95-L95,4)=0,TRUE()),"✓","✗")</f>
        <v>✓</v>
      </c>
      <c r="K95" s="61" t="n">
        <v>15149.355</v>
      </c>
      <c r="L95" s="61" t="n">
        <v>15615.958</v>
      </c>
    </row>
    <row r="96" customFormat="false" ht="48" hidden="false" customHeight="true" outlineLevel="1" collapsed="false">
      <c r="A96" s="62" t="s">
        <v>314</v>
      </c>
      <c r="B96" s="34" t="n">
        <v>13819.355</v>
      </c>
      <c r="C96" s="34" t="n">
        <v>14255.958</v>
      </c>
      <c r="D96" s="25" t="n">
        <f aca="false">B96-C96</f>
        <v>-436.603000000001</v>
      </c>
      <c r="E96" s="26" t="n">
        <f aca="false">IF(C96=0,"n/m",D96/ABS(C96))</f>
        <v>-0.030626002124866</v>
      </c>
      <c r="F96" s="49" t="str">
        <f aca="false">IF(ROUND(D96,5)=0,"",IF(D96&gt;0,"F","U"))</f>
        <v>U</v>
      </c>
      <c r="G96" s="6" t="s">
        <v>912</v>
      </c>
      <c r="H96" s="50" t="s">
        <v>180</v>
      </c>
      <c r="I96" s="51" t="s">
        <v>822</v>
      </c>
      <c r="J96" s="52" t="s">
        <v>182</v>
      </c>
    </row>
    <row r="97" customFormat="false" ht="27.75" hidden="false" customHeight="true" outlineLevel="1" collapsed="false">
      <c r="A97" s="62" t="s">
        <v>315</v>
      </c>
      <c r="B97" s="34" t="n">
        <v>1330</v>
      </c>
      <c r="C97" s="34" t="n">
        <v>1360</v>
      </c>
      <c r="D97" s="25" t="n">
        <f aca="false">B97-C97</f>
        <v>-30</v>
      </c>
      <c r="E97" s="26" t="n">
        <f aca="false">IF(C97=0,"n/m",D97/ABS(C97))</f>
        <v>-0.0220588235294118</v>
      </c>
      <c r="F97" s="49" t="str">
        <f aca="false">IF(ROUND(D97,5)=0,"",IF(D97&gt;0,"F","U"))</f>
        <v>U</v>
      </c>
      <c r="G97" s="6" t="s">
        <v>913</v>
      </c>
      <c r="H97" s="50" t="s">
        <v>184</v>
      </c>
      <c r="I97" s="51" t="s">
        <v>822</v>
      </c>
      <c r="J97" s="52" t="s">
        <v>182</v>
      </c>
    </row>
    <row r="98" customFormat="false" ht="48" hidden="false" customHeight="true" outlineLevel="0" collapsed="false">
      <c r="A98" s="11" t="s">
        <v>316</v>
      </c>
      <c r="B98" s="25" t="n">
        <f aca="false">B99+B100+B101+B102+B103</f>
        <v>7762.93</v>
      </c>
      <c r="C98" s="25" t="n">
        <f aca="false">C99+C100+C101+C102+C103</f>
        <v>8072.989</v>
      </c>
      <c r="D98" s="25" t="n">
        <f aca="false">B98-C98</f>
        <v>-310.059</v>
      </c>
      <c r="E98" s="26" t="n">
        <f aca="false">IF(C98=0,"n/m",D98/ABS(C98))</f>
        <v>-0.038406964260697</v>
      </c>
      <c r="F98" s="49" t="str">
        <f aca="false">IF(ROUND(D98,5)=0,"",IF(D98&lt;0,"F","U"))</f>
        <v>F</v>
      </c>
      <c r="G98" s="6" t="s">
        <v>984</v>
      </c>
      <c r="H98" s="50" t="s">
        <v>318</v>
      </c>
      <c r="I98" s="51" t="s">
        <v>822</v>
      </c>
      <c r="J98" s="52" t="str">
        <f aca="false">IF(AND(ROUND(B98-K98,4)=0,ROUND(C98-L98,4)=0,TRUE()),"✓","✗")</f>
        <v>✓</v>
      </c>
      <c r="K98" s="61" t="n">
        <v>7762.93</v>
      </c>
      <c r="L98" s="61" t="n">
        <v>8072.989</v>
      </c>
    </row>
    <row r="99" customFormat="false" ht="36.75" hidden="false" customHeight="true" outlineLevel="1" collapsed="false">
      <c r="A99" s="62" t="s">
        <v>192</v>
      </c>
      <c r="B99" s="34" t="n">
        <v>2949.428</v>
      </c>
      <c r="C99" s="34" t="n">
        <v>3166.319</v>
      </c>
      <c r="D99" s="25" t="n">
        <f aca="false">B99-C99</f>
        <v>-216.891</v>
      </c>
      <c r="E99" s="26" t="n">
        <f aca="false">IF(C99=0,"n/m",D99/ABS(C99))</f>
        <v>-0.0684994152515903</v>
      </c>
      <c r="F99" s="49" t="str">
        <f aca="false">IF(ROUND(D99,5)=0,"",IF(D99&lt;0,"F","U"))</f>
        <v>F</v>
      </c>
      <c r="G99" s="6" t="s">
        <v>985</v>
      </c>
      <c r="H99" s="50" t="s">
        <v>320</v>
      </c>
      <c r="I99" s="51" t="s">
        <v>822</v>
      </c>
      <c r="J99" s="52" t="s">
        <v>182</v>
      </c>
    </row>
    <row r="100" customFormat="false" ht="27.75" hidden="false" customHeight="true" outlineLevel="1" collapsed="false">
      <c r="A100" s="62" t="s">
        <v>195</v>
      </c>
      <c r="B100" s="34" t="n">
        <v>990.56</v>
      </c>
      <c r="C100" s="34" t="n">
        <v>997.473</v>
      </c>
      <c r="D100" s="25" t="n">
        <f aca="false">B100-C100</f>
        <v>-6.91300000000001</v>
      </c>
      <c r="E100" s="26" t="n">
        <f aca="false">IF(C100=0,"n/m",D100/ABS(C100))</f>
        <v>-0.00693051340738046</v>
      </c>
      <c r="F100" s="49" t="str">
        <f aca="false">IF(ROUND(D100,5)=0,"",IF(D100&lt;0,"F","U"))</f>
        <v>F</v>
      </c>
      <c r="G100" s="63" t="s">
        <v>986</v>
      </c>
      <c r="H100" s="50" t="s">
        <v>322</v>
      </c>
      <c r="I100" s="18" t="s">
        <v>191</v>
      </c>
      <c r="J100" s="52" t="s">
        <v>182</v>
      </c>
    </row>
    <row r="101" customFormat="false" ht="36.75" hidden="false" customHeight="true" outlineLevel="1" collapsed="false">
      <c r="A101" s="62" t="s">
        <v>198</v>
      </c>
      <c r="B101" s="34" t="n">
        <v>1149.201</v>
      </c>
      <c r="C101" s="34" t="n">
        <v>1142.997</v>
      </c>
      <c r="D101" s="25" t="n">
        <f aca="false">B101-C101</f>
        <v>6.20399999999995</v>
      </c>
      <c r="E101" s="26" t="n">
        <f aca="false">IF(C101=0,"n/m",D101/ABS(C101))</f>
        <v>0.00542783576859778</v>
      </c>
      <c r="F101" s="49" t="str">
        <f aca="false">IF(ROUND(D101,5)=0,"",IF(D101&lt;0,"F","U"))</f>
        <v>U</v>
      </c>
      <c r="G101" s="63" t="s">
        <v>919</v>
      </c>
      <c r="H101" s="50" t="s">
        <v>200</v>
      </c>
      <c r="I101" s="18" t="s">
        <v>191</v>
      </c>
      <c r="J101" s="52" t="s">
        <v>182</v>
      </c>
    </row>
    <row r="102" customFormat="false" ht="25.5" hidden="false" customHeight="true" outlineLevel="1" collapsed="false">
      <c r="A102" s="62" t="s">
        <v>323</v>
      </c>
      <c r="B102" s="34" t="n">
        <v>959.568</v>
      </c>
      <c r="C102" s="34" t="n">
        <v>958.98</v>
      </c>
      <c r="D102" s="25" t="n">
        <f aca="false">B102-C102</f>
        <v>0.587999999999965</v>
      </c>
      <c r="E102" s="26" t="n">
        <f aca="false">IF(C102=0,"n/m",D102/ABS(C102))</f>
        <v>0.000613151473440495</v>
      </c>
      <c r="F102" s="49" t="str">
        <f aca="false">IF(ROUND(D102,5)=0,"",IF(D102&lt;0,"F","U"))</f>
        <v>U</v>
      </c>
      <c r="G102" s="63" t="s">
        <v>987</v>
      </c>
      <c r="H102" s="50" t="s">
        <v>210</v>
      </c>
      <c r="I102" s="18" t="s">
        <v>191</v>
      </c>
      <c r="J102" s="52" t="s">
        <v>182</v>
      </c>
    </row>
    <row r="103" customFormat="false" ht="36.75" hidden="false" customHeight="true" outlineLevel="1" collapsed="false">
      <c r="A103" s="62" t="s">
        <v>225</v>
      </c>
      <c r="B103" s="34" t="n">
        <v>1714.173</v>
      </c>
      <c r="C103" s="34" t="n">
        <v>1807.22</v>
      </c>
      <c r="D103" s="25" t="n">
        <f aca="false">B103-C103</f>
        <v>-93.047</v>
      </c>
      <c r="E103" s="26" t="n">
        <f aca="false">IF(C103=0,"n/m",D103/ABS(C103))</f>
        <v>-0.0514862606655526</v>
      </c>
      <c r="F103" s="49" t="str">
        <f aca="false">IF(ROUND(D103,5)=0,"",IF(D103&lt;0,"F","U"))</f>
        <v>F</v>
      </c>
      <c r="G103" s="6" t="s">
        <v>932</v>
      </c>
      <c r="H103" s="50" t="s">
        <v>227</v>
      </c>
      <c r="I103" s="51" t="s">
        <v>822</v>
      </c>
      <c r="J103" s="52" t="s">
        <v>182</v>
      </c>
    </row>
    <row r="104" customFormat="false" ht="40.5" hidden="false" customHeight="true" outlineLevel="0" collapsed="false">
      <c r="A104" s="11" t="s">
        <v>325</v>
      </c>
      <c r="B104" s="25" t="n">
        <f aca="false">B105+B106</f>
        <v>1979.5</v>
      </c>
      <c r="C104" s="25" t="n">
        <f aca="false">C105+C106</f>
        <v>2017</v>
      </c>
      <c r="D104" s="25" t="n">
        <f aca="false">B104-C104</f>
        <v>-37.5</v>
      </c>
      <c r="E104" s="26" t="n">
        <f aca="false">IF(C104=0,"n/m",D104/ABS(C104))</f>
        <v>-0.0185919682697075</v>
      </c>
      <c r="F104" s="49" t="str">
        <f aca="false">IF(ROUND(D104,5)=0,"",IF(D104&lt;0,"F","U"))</f>
        <v>F</v>
      </c>
      <c r="G104" s="6" t="s">
        <v>988</v>
      </c>
      <c r="H104" s="50" t="s">
        <v>327</v>
      </c>
      <c r="I104" s="51" t="s">
        <v>822</v>
      </c>
      <c r="J104" s="52" t="str">
        <f aca="false">IF(AND(ROUND(B104-K104,4)=0,ROUND(C104-L104,4)=0,TRUE()),"✓","✗")</f>
        <v>✓</v>
      </c>
      <c r="K104" s="61" t="n">
        <v>1979.5</v>
      </c>
      <c r="L104" s="61" t="n">
        <v>2017</v>
      </c>
    </row>
    <row r="105" customFormat="false" ht="40.5" hidden="false" customHeight="true" outlineLevel="1" collapsed="false">
      <c r="A105" s="62" t="s">
        <v>189</v>
      </c>
      <c r="B105" s="34" t="n">
        <v>1395.5</v>
      </c>
      <c r="C105" s="34" t="n">
        <v>1385</v>
      </c>
      <c r="D105" s="25" t="n">
        <f aca="false">B105-C105</f>
        <v>10.5</v>
      </c>
      <c r="E105" s="26" t="n">
        <f aca="false">IF(C105=0,"n/m",D105/ABS(C105))</f>
        <v>0.00758122743682311</v>
      </c>
      <c r="F105" s="49" t="str">
        <f aca="false">IF(ROUND(D105,5)=0,"",IF(D105&lt;0,"F","U"))</f>
        <v>U</v>
      </c>
      <c r="G105" s="6" t="s">
        <v>989</v>
      </c>
      <c r="H105" s="50" t="s">
        <v>236</v>
      </c>
      <c r="I105" s="51" t="s">
        <v>822</v>
      </c>
      <c r="J105" s="52" t="s">
        <v>182</v>
      </c>
    </row>
    <row r="106" customFormat="false" ht="36.75" hidden="false" customHeight="true" outlineLevel="1" collapsed="false">
      <c r="A106" s="62" t="s">
        <v>201</v>
      </c>
      <c r="B106" s="34" t="n">
        <v>584</v>
      </c>
      <c r="C106" s="34" t="n">
        <v>632</v>
      </c>
      <c r="D106" s="25" t="n">
        <f aca="false">B106-C106</f>
        <v>-48</v>
      </c>
      <c r="E106" s="26" t="n">
        <f aca="false">IF(C106=0,"n/m",D106/ABS(C106))</f>
        <v>-0.0759493670886076</v>
      </c>
      <c r="F106" s="49" t="str">
        <f aca="false">IF(ROUND(D106,5)=0,"",IF(D106&lt;0,"F","U"))</f>
        <v>F</v>
      </c>
      <c r="G106" s="6" t="s">
        <v>990</v>
      </c>
      <c r="H106" s="50" t="s">
        <v>330</v>
      </c>
      <c r="I106" s="51" t="s">
        <v>822</v>
      </c>
      <c r="J106" s="52" t="s">
        <v>182</v>
      </c>
    </row>
    <row r="107" customFormat="false" ht="27.75" hidden="false" customHeight="true" outlineLevel="0" collapsed="false">
      <c r="A107" s="11" t="s">
        <v>331</v>
      </c>
      <c r="B107" s="25" t="n">
        <f aca="false">B108+B109</f>
        <v>1974.5</v>
      </c>
      <c r="C107" s="25" t="n">
        <f aca="false">C108+C109</f>
        <v>2093</v>
      </c>
      <c r="D107" s="25" t="n">
        <f aca="false">B107-C107</f>
        <v>-118.5</v>
      </c>
      <c r="E107" s="26" t="n">
        <f aca="false">IF(C107=0,"n/m",D107/ABS(C107))</f>
        <v>-0.0566172957477305</v>
      </c>
      <c r="F107" s="49" t="str">
        <f aca="false">IF(ROUND(D107,5)=0,"",IF(D107&lt;0,"F","U"))</f>
        <v>F</v>
      </c>
      <c r="G107" s="6" t="s">
        <v>991</v>
      </c>
      <c r="H107" s="50" t="s">
        <v>333</v>
      </c>
      <c r="I107" s="51" t="s">
        <v>822</v>
      </c>
      <c r="J107" s="52" t="str">
        <f aca="false">IF(AND(ROUND(B107-K107,4)=0,ROUND(C107-L107,4)=0,TRUE()),"✓","✗")</f>
        <v>✓</v>
      </c>
      <c r="K107" s="61" t="n">
        <v>1974.5</v>
      </c>
      <c r="L107" s="61" t="n">
        <v>2093</v>
      </c>
    </row>
    <row r="108" customFormat="false" ht="48" hidden="false" customHeight="true" outlineLevel="1" collapsed="false">
      <c r="A108" s="62" t="s">
        <v>230</v>
      </c>
      <c r="B108" s="34" t="n">
        <v>701.5</v>
      </c>
      <c r="C108" s="34" t="n">
        <v>767</v>
      </c>
      <c r="D108" s="25" t="n">
        <f aca="false">B108-C108</f>
        <v>-65.5</v>
      </c>
      <c r="E108" s="26" t="n">
        <f aca="false">IF(C108=0,"n/m",D108/ABS(C108))</f>
        <v>-0.0853976531942634</v>
      </c>
      <c r="F108" s="49" t="str">
        <f aca="false">IF(ROUND(D108,5)=0,"",IF(D108&lt;0,"F","U"))</f>
        <v>F</v>
      </c>
      <c r="G108" s="6" t="s">
        <v>934</v>
      </c>
      <c r="H108" s="50" t="s">
        <v>232</v>
      </c>
      <c r="I108" s="51" t="s">
        <v>822</v>
      </c>
      <c r="J108" s="52" t="s">
        <v>182</v>
      </c>
    </row>
    <row r="109" customFormat="false" ht="53.25" hidden="false" customHeight="true" outlineLevel="1" collapsed="false">
      <c r="A109" s="62" t="s">
        <v>242</v>
      </c>
      <c r="B109" s="34" t="n">
        <v>1273</v>
      </c>
      <c r="C109" s="34" t="n">
        <v>1326</v>
      </c>
      <c r="D109" s="25" t="n">
        <f aca="false">B109-C109</f>
        <v>-53</v>
      </c>
      <c r="E109" s="26" t="n">
        <f aca="false">IF(C109=0,"n/m",D109/ABS(C109))</f>
        <v>-0.0399698340874811</v>
      </c>
      <c r="F109" s="49" t="str">
        <f aca="false">IF(ROUND(D109,5)=0,"",IF(D109&lt;0,"F","U"))</f>
        <v>F</v>
      </c>
      <c r="G109" s="6" t="s">
        <v>940</v>
      </c>
      <c r="H109" s="50" t="s">
        <v>244</v>
      </c>
      <c r="I109" s="51" t="s">
        <v>822</v>
      </c>
      <c r="J109" s="52" t="s">
        <v>182</v>
      </c>
    </row>
    <row r="110" customFormat="false" ht="40.5" hidden="false" customHeight="true" outlineLevel="0" collapsed="false">
      <c r="A110" s="11" t="s">
        <v>334</v>
      </c>
      <c r="B110" s="25" t="n">
        <f aca="false">B111+B112+B113</f>
        <v>1323.5</v>
      </c>
      <c r="C110" s="25" t="n">
        <f aca="false">C111+C112+C113</f>
        <v>1420</v>
      </c>
      <c r="D110" s="25" t="n">
        <f aca="false">B110-C110</f>
        <v>-96.5</v>
      </c>
      <c r="E110" s="26" t="n">
        <f aca="false">IF(C110=0,"n/m",D110/ABS(C110))</f>
        <v>-0.0679577464788733</v>
      </c>
      <c r="F110" s="49" t="str">
        <f aca="false">IF(ROUND(D110,5)=0,"",IF(D110&lt;0,"F","U"))</f>
        <v>F</v>
      </c>
      <c r="G110" s="6" t="s">
        <v>992</v>
      </c>
      <c r="H110" s="50" t="s">
        <v>336</v>
      </c>
      <c r="I110" s="51" t="s">
        <v>822</v>
      </c>
      <c r="J110" s="52" t="str">
        <f aca="false">IF(AND(ROUND(B110-K110,4)=0,ROUND(C110-L110,4)=0,TRUE()),"✓","✗")</f>
        <v>✓</v>
      </c>
      <c r="K110" s="61" t="n">
        <v>1323.5</v>
      </c>
      <c r="L110" s="61" t="n">
        <v>1420</v>
      </c>
    </row>
    <row r="111" customFormat="false" ht="40.5" hidden="false" customHeight="true" outlineLevel="1" collapsed="false">
      <c r="A111" s="62" t="s">
        <v>233</v>
      </c>
      <c r="B111" s="34" t="n">
        <v>289.5</v>
      </c>
      <c r="C111" s="34" t="n">
        <v>320</v>
      </c>
      <c r="D111" s="25" t="n">
        <f aca="false">B111-C111</f>
        <v>-30.5</v>
      </c>
      <c r="E111" s="26" t="n">
        <f aca="false">IF(C111=0,"n/m",D111/ABS(C111))</f>
        <v>-0.0953125</v>
      </c>
      <c r="F111" s="49" t="str">
        <f aca="false">IF(ROUND(D111,5)=0,"",IF(D111&lt;0,"F","U"))</f>
        <v>F</v>
      </c>
      <c r="G111" s="6" t="s">
        <v>935</v>
      </c>
      <c r="I111" s="51" t="s">
        <v>822</v>
      </c>
      <c r="J111" s="52" t="s">
        <v>182</v>
      </c>
    </row>
    <row r="112" customFormat="false" ht="27.75" hidden="false" customHeight="true" outlineLevel="1" collapsed="false">
      <c r="A112" s="62" t="s">
        <v>204</v>
      </c>
      <c r="B112" s="34" t="n">
        <v>450</v>
      </c>
      <c r="C112" s="34" t="n">
        <v>472</v>
      </c>
      <c r="D112" s="25" t="n">
        <f aca="false">B112-C112</f>
        <v>-22</v>
      </c>
      <c r="E112" s="26" t="n">
        <f aca="false">IF(C112=0,"n/m",D112/ABS(C112))</f>
        <v>-0.0466101694915254</v>
      </c>
      <c r="F112" s="49" t="str">
        <f aca="false">IF(ROUND(D112,5)=0,"",IF(D112&lt;0,"F","U"))</f>
        <v>F</v>
      </c>
      <c r="G112" s="6" t="s">
        <v>993</v>
      </c>
      <c r="H112" s="50" t="s">
        <v>336</v>
      </c>
      <c r="I112" s="51" t="s">
        <v>822</v>
      </c>
      <c r="J112" s="52" t="s">
        <v>182</v>
      </c>
    </row>
    <row r="113" customFormat="false" ht="27.75" hidden="false" customHeight="true" outlineLevel="1" collapsed="false">
      <c r="A113" s="62" t="s">
        <v>207</v>
      </c>
      <c r="B113" s="34" t="n">
        <v>584</v>
      </c>
      <c r="C113" s="34" t="n">
        <v>628</v>
      </c>
      <c r="D113" s="25" t="n">
        <f aca="false">B113-C113</f>
        <v>-44</v>
      </c>
      <c r="E113" s="26" t="n">
        <f aca="false">IF(C113=0,"n/m",D113/ABS(C113))</f>
        <v>-0.0700636942675159</v>
      </c>
      <c r="F113" s="49" t="str">
        <f aca="false">IF(ROUND(D113,5)=0,"",IF(D113&lt;0,"F","U"))</f>
        <v>F</v>
      </c>
      <c r="G113" s="6" t="s">
        <v>994</v>
      </c>
      <c r="I113" s="51" t="s">
        <v>822</v>
      </c>
      <c r="J113" s="52" t="s">
        <v>182</v>
      </c>
    </row>
    <row r="114" customFormat="false" ht="60" hidden="false" customHeight="true" outlineLevel="0" collapsed="false">
      <c r="A114" s="53" t="s">
        <v>339</v>
      </c>
      <c r="B114" s="37" t="n">
        <f aca="false">B98+B104+B107+B110</f>
        <v>13040.43</v>
      </c>
      <c r="C114" s="37" t="n">
        <f aca="false">C98+C104+C107+C110</f>
        <v>13602.989</v>
      </c>
      <c r="D114" s="37" t="n">
        <f aca="false">B114-C114</f>
        <v>-562.559000000001</v>
      </c>
      <c r="E114" s="54" t="n">
        <f aca="false">IF(C114=0,"n/m",D114/ABS(C114))</f>
        <v>-0.0413555432559712</v>
      </c>
      <c r="F114" s="55" t="str">
        <f aca="false">IF(ROUND(D114,5)=0,"",IF(D114&lt;0,"F","U"))</f>
        <v>F</v>
      </c>
      <c r="G114" s="56" t="s">
        <v>995</v>
      </c>
      <c r="H114" s="57" t="s">
        <v>341</v>
      </c>
      <c r="I114" s="58" t="s">
        <v>822</v>
      </c>
      <c r="J114" s="59" t="str">
        <f aca="false">IF(AND(ROUND(B114-K114,4)=0,ROUND(C114-L114,4)=0,TRUE()),"✓","✗")</f>
        <v>✓</v>
      </c>
      <c r="K114" s="60" t="n">
        <v>13040.43</v>
      </c>
      <c r="L114" s="60" t="n">
        <v>13602.989</v>
      </c>
    </row>
    <row r="115" customFormat="false" ht="60" hidden="false" customHeight="true" outlineLevel="0" collapsed="false">
      <c r="A115" s="64" t="s">
        <v>96</v>
      </c>
      <c r="B115" s="65" t="n">
        <f aca="false">B95-B114</f>
        <v>2108.925</v>
      </c>
      <c r="C115" s="65" t="n">
        <f aca="false">C95-C114</f>
        <v>2012.969</v>
      </c>
      <c r="D115" s="65" t="n">
        <f aca="false">B115-C115</f>
        <v>95.9560000000001</v>
      </c>
      <c r="E115" s="66" t="n">
        <f aca="false">IF(C115=0,"n/m",D115/ABS(C115))</f>
        <v>0.0476688910758189</v>
      </c>
      <c r="F115" s="67" t="str">
        <f aca="false">IF(ROUND(D115,5)=0,"",IF(D115&gt;0,"F","U"))</f>
        <v>F</v>
      </c>
      <c r="G115" s="68" t="s">
        <v>996</v>
      </c>
      <c r="H115" s="69" t="s">
        <v>250</v>
      </c>
      <c r="I115" s="70" t="s">
        <v>822</v>
      </c>
      <c r="J115" s="71" t="str">
        <f aca="false">IF(AND(ROUND(B115-K115,4)=0,ROUND(C115-L115,4)=0,TRUE()),"✓","✗")</f>
        <v>✓</v>
      </c>
      <c r="K115" s="72" t="n">
        <v>2108.925</v>
      </c>
      <c r="L115" s="72" t="n">
        <v>2012.969</v>
      </c>
    </row>
    <row r="116" customFormat="false" ht="27.75" hidden="false" customHeight="true" outlineLevel="0" collapsed="false">
      <c r="A116" s="11" t="s">
        <v>343</v>
      </c>
      <c r="B116" s="25" t="n">
        <f aca="false">B117-B118</f>
        <v>-153</v>
      </c>
      <c r="C116" s="25" t="n">
        <f aca="false">C117-C118</f>
        <v>-172</v>
      </c>
      <c r="D116" s="25" t="n">
        <f aca="false">B116-C116</f>
        <v>19</v>
      </c>
      <c r="E116" s="26" t="n">
        <f aca="false">IF(C116=0,"n/m",D116/ABS(C116))</f>
        <v>0.11046511627907</v>
      </c>
      <c r="F116" s="49" t="str">
        <f aca="false">IF(ROUND(D116,5)=0,"",IF(D116&gt;0,"F","U"))</f>
        <v>F</v>
      </c>
      <c r="G116" s="6" t="s">
        <v>997</v>
      </c>
      <c r="I116" s="51" t="s">
        <v>822</v>
      </c>
      <c r="J116" s="52" t="str">
        <f aca="false">IF(AND(ROUND(B116-K116,4)=0,ROUND(C116-L116,4)=0,TRUE()),"✓","✗")</f>
        <v>✓</v>
      </c>
      <c r="K116" s="61" t="n">
        <v>-153</v>
      </c>
      <c r="L116" s="61" t="n">
        <v>-172</v>
      </c>
    </row>
    <row r="117" customFormat="false" ht="27.75" hidden="false" customHeight="true" outlineLevel="1" collapsed="false">
      <c r="A117" s="62" t="s">
        <v>345</v>
      </c>
      <c r="B117" s="34" t="n">
        <v>89.5</v>
      </c>
      <c r="C117" s="34" t="n">
        <v>72</v>
      </c>
      <c r="D117" s="25" t="n">
        <f aca="false">B117-C117</f>
        <v>17.5</v>
      </c>
      <c r="E117" s="26" t="n">
        <f aca="false">IF(C117=0,"n/m",D117/ABS(C117))</f>
        <v>0.243055555555556</v>
      </c>
      <c r="F117" s="49" t="str">
        <f aca="false">IF(ROUND(D117,5)=0,"",IF(D117&gt;0,"F","U"))</f>
        <v>F</v>
      </c>
      <c r="G117" s="6" t="s">
        <v>945</v>
      </c>
      <c r="I117" s="51" t="s">
        <v>822</v>
      </c>
      <c r="J117" s="52" t="s">
        <v>182</v>
      </c>
    </row>
    <row r="118" customFormat="false" ht="27.75" hidden="false" customHeight="true" outlineLevel="1" collapsed="false">
      <c r="A118" s="62" t="s">
        <v>346</v>
      </c>
      <c r="B118" s="34" t="n">
        <v>242.5</v>
      </c>
      <c r="C118" s="34" t="n">
        <v>244</v>
      </c>
      <c r="D118" s="25" t="n">
        <f aca="false">B118-C118</f>
        <v>-1.5</v>
      </c>
      <c r="E118" s="26" t="n">
        <f aca="false">IF(C118=0,"n/m",D118/ABS(C118))</f>
        <v>-0.00614754098360656</v>
      </c>
      <c r="F118" s="49" t="str">
        <f aca="false">IF(ROUND(D118,5)=0,"",IF(D118&lt;0,"F","U"))</f>
        <v>F</v>
      </c>
      <c r="G118" s="63" t="s">
        <v>946</v>
      </c>
      <c r="I118" s="18" t="s">
        <v>191</v>
      </c>
      <c r="J118" s="52" t="s">
        <v>182</v>
      </c>
    </row>
    <row r="119" customFormat="false" ht="27.75" hidden="false" customHeight="true" outlineLevel="0" collapsed="false">
      <c r="A119" s="11" t="s">
        <v>347</v>
      </c>
      <c r="B119" s="34" t="n">
        <v>260.5</v>
      </c>
      <c r="C119" s="34" t="n">
        <v>300</v>
      </c>
      <c r="D119" s="25" t="n">
        <f aca="false">B119-C119</f>
        <v>-39.5</v>
      </c>
      <c r="E119" s="26" t="n">
        <f aca="false">IF(C119=0,"n/m",D119/ABS(C119))</f>
        <v>-0.131666666666667</v>
      </c>
      <c r="F119" s="49" t="str">
        <f aca="false">IF(ROUND(D119,5)=0,"",IF(D119&lt;0,"F","U"))</f>
        <v>F</v>
      </c>
      <c r="G119" s="6" t="s">
        <v>948</v>
      </c>
      <c r="I119" s="51" t="s">
        <v>822</v>
      </c>
      <c r="J119" s="52" t="s">
        <v>182</v>
      </c>
    </row>
    <row r="120" customFormat="false" ht="60" hidden="false" customHeight="true" outlineLevel="0" collapsed="false">
      <c r="A120" s="64" t="s">
        <v>97</v>
      </c>
      <c r="B120" s="65" t="n">
        <f aca="false">B115+B116-B119</f>
        <v>1695.425</v>
      </c>
      <c r="C120" s="65" t="n">
        <f aca="false">C115+C116-C119</f>
        <v>1540.969</v>
      </c>
      <c r="D120" s="65" t="n">
        <f aca="false">B120-C120</f>
        <v>154.456</v>
      </c>
      <c r="E120" s="66" t="n">
        <f aca="false">IF(C120=0,"n/m",D120/ABS(C120))</f>
        <v>0.1002330351876</v>
      </c>
      <c r="F120" s="67" t="str">
        <f aca="false">IF(ROUND(D120,5)=0,"",IF(D120&gt;0,"F","U"))</f>
        <v>F</v>
      </c>
      <c r="G120" s="68" t="s">
        <v>998</v>
      </c>
      <c r="H120" s="69" t="s">
        <v>250</v>
      </c>
      <c r="I120" s="70" t="s">
        <v>822</v>
      </c>
      <c r="J120" s="71" t="str">
        <f aca="false">IF(AND(ROUND(B120-K120,4)=0,ROUND(C120-L120,4)=0,TRUE()),"✓","✗")</f>
        <v>✓</v>
      </c>
      <c r="K120" s="72" t="n">
        <v>1695.425</v>
      </c>
      <c r="L120" s="72" t="n">
        <v>1540.969</v>
      </c>
    </row>
    <row r="122" customFormat="false" ht="18" hidden="false" customHeight="true" outlineLevel="0" collapsed="false">
      <c r="A122" s="44" t="s">
        <v>349</v>
      </c>
      <c r="B122" s="45"/>
      <c r="C122" s="45"/>
      <c r="D122" s="45"/>
      <c r="E122" s="45"/>
      <c r="F122" s="45"/>
      <c r="G122" s="45"/>
      <c r="H122" s="45"/>
      <c r="I122" s="45"/>
      <c r="J122" s="45"/>
      <c r="K122" s="45"/>
      <c r="L122" s="45"/>
    </row>
    <row r="123" customFormat="false" ht="15" hidden="false" customHeight="false" outlineLevel="0" collapsed="false">
      <c r="A123" s="76" t="s">
        <v>909</v>
      </c>
    </row>
    <row r="125" customFormat="false" ht="18" hidden="false" customHeight="true" outlineLevel="0" collapsed="false">
      <c r="A125" s="44" t="s">
        <v>391</v>
      </c>
      <c r="B125" s="45"/>
      <c r="C125" s="45"/>
      <c r="D125" s="45"/>
      <c r="E125" s="45"/>
      <c r="F125" s="45"/>
      <c r="G125" s="45"/>
      <c r="H125" s="45"/>
      <c r="I125" s="45"/>
      <c r="J125" s="45"/>
      <c r="K125" s="45"/>
      <c r="L125" s="45"/>
    </row>
    <row r="126" customFormat="false" ht="15" hidden="false" customHeight="false" outlineLevel="0" collapsed="false">
      <c r="A126" s="76" t="s">
        <v>910</v>
      </c>
    </row>
    <row r="128" customFormat="false" ht="15" hidden="false" customHeight="false" outlineLevel="0" collapsed="false">
      <c r="A128" s="18" t="s">
        <v>431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1" outlineLevelCol="0"/>
  <cols>
    <col collapsed="false" customWidth="true" hidden="false" outlineLevel="0" max="1" min="1" style="0" width="46"/>
    <col collapsed="false" customWidth="true" hidden="false" outlineLevel="0" max="4" min="2" style="0" width="12"/>
    <col collapsed="false" customWidth="true" hidden="false" outlineLevel="0" max="5" min="5" style="0" width="8"/>
    <col collapsed="false" customWidth="true" hidden="false" outlineLevel="0" max="6" min="6" style="0" width="5"/>
    <col collapsed="false" customWidth="true" hidden="false" outlineLevel="0" max="7" min="7" style="0" width="82"/>
    <col collapsed="false" customWidth="true" hidden="false" outlineLevel="0" max="8" min="8" style="0" width="56"/>
    <col collapsed="false" customWidth="true" hidden="false" outlineLevel="0" max="9" min="9" style="0" width="15"/>
    <col collapsed="false" customWidth="true" hidden="false" outlineLevel="0" max="10" min="10" style="0" width="6"/>
    <col collapsed="false" customWidth="true" hidden="false" outlineLevel="0" max="12" min="11" style="0" width="12"/>
  </cols>
  <sheetData>
    <row r="1" customFormat="false" ht="17.35" hidden="false" customHeight="false" outlineLevel="0" collapsed="false">
      <c r="A1" s="17" t="s">
        <v>123</v>
      </c>
    </row>
    <row r="2" customFormat="false" ht="15" hidden="false" customHeight="false" outlineLevel="0" collapsed="false">
      <c r="A2" s="18" t="s">
        <v>80</v>
      </c>
    </row>
    <row r="3" customFormat="false" ht="15" hidden="false" customHeight="false" outlineLevel="0" collapsed="false">
      <c r="A3" s="18" t="s">
        <v>999</v>
      </c>
    </row>
    <row r="5" customFormat="false" ht="30" hidden="false" customHeight="true" outlineLevel="0" collapsed="false">
      <c r="A5" s="47" t="s">
        <v>173</v>
      </c>
      <c r="B5" s="48" t="s">
        <v>86</v>
      </c>
      <c r="C5" s="48" t="s">
        <v>125</v>
      </c>
      <c r="D5" s="48" t="s">
        <v>88</v>
      </c>
      <c r="E5" s="48" t="s">
        <v>89</v>
      </c>
      <c r="F5" s="48" t="s">
        <v>90</v>
      </c>
      <c r="G5" s="47" t="s">
        <v>174</v>
      </c>
      <c r="H5" s="47" t="s">
        <v>175</v>
      </c>
      <c r="I5" s="47" t="s">
        <v>24</v>
      </c>
      <c r="J5" s="48" t="s">
        <v>176</v>
      </c>
      <c r="K5" s="48" t="s">
        <v>177</v>
      </c>
      <c r="L5" s="48" t="s">
        <v>178</v>
      </c>
    </row>
    <row r="7" customFormat="false" ht="18" hidden="false" customHeight="true" outlineLevel="0" collapsed="false">
      <c r="A7" s="44" t="s">
        <v>152</v>
      </c>
      <c r="B7" s="45"/>
      <c r="C7" s="45"/>
      <c r="D7" s="45"/>
      <c r="E7" s="45"/>
      <c r="F7" s="45"/>
      <c r="G7" s="45"/>
      <c r="H7" s="45"/>
      <c r="I7" s="45"/>
      <c r="J7" s="45"/>
      <c r="K7" s="45"/>
      <c r="L7" s="45"/>
    </row>
    <row r="8" customFormat="false" ht="48" hidden="false" customHeight="true" outlineLevel="0" collapsed="false">
      <c r="A8" s="11" t="s">
        <v>153</v>
      </c>
      <c r="B8" s="34" t="n">
        <v>1800</v>
      </c>
      <c r="C8" s="34" t="n">
        <v>1794.762</v>
      </c>
      <c r="D8" s="25" t="n">
        <f aca="false">B8-C8</f>
        <v>5.23800000000006</v>
      </c>
      <c r="E8" s="26" t="n">
        <f aca="false">IF(C8=0,"n/m",D8/ABS(C8))</f>
        <v>0.00291849281408903</v>
      </c>
      <c r="F8" s="49" t="str">
        <f aca="false">IF(ROUND(D8,5)=0,"",IF(D8&gt;0,"F","U"))</f>
        <v>F</v>
      </c>
      <c r="G8" s="63" t="s">
        <v>1000</v>
      </c>
      <c r="H8" s="50" t="s">
        <v>180</v>
      </c>
      <c r="I8" s="18" t="s">
        <v>191</v>
      </c>
      <c r="J8" s="52" t="s">
        <v>182</v>
      </c>
    </row>
    <row r="9" customFormat="false" ht="27.75" hidden="false" customHeight="true" outlineLevel="0" collapsed="false">
      <c r="A9" s="11" t="s">
        <v>154</v>
      </c>
      <c r="B9" s="34" t="n">
        <v>200</v>
      </c>
      <c r="C9" s="34" t="n">
        <v>205</v>
      </c>
      <c r="D9" s="25" t="n">
        <f aca="false">B9-C9</f>
        <v>-5</v>
      </c>
      <c r="E9" s="26" t="n">
        <f aca="false">IF(C9=0,"n/m",D9/ABS(C9))</f>
        <v>-0.024390243902439</v>
      </c>
      <c r="F9" s="49" t="str">
        <f aca="false">IF(ROUND(D9,5)=0,"",IF(D9&gt;0,"F","U"))</f>
        <v>U</v>
      </c>
      <c r="G9" s="63" t="s">
        <v>1001</v>
      </c>
      <c r="H9" s="50" t="s">
        <v>184</v>
      </c>
      <c r="I9" s="18" t="s">
        <v>191</v>
      </c>
      <c r="J9" s="52" t="s">
        <v>182</v>
      </c>
    </row>
    <row r="10" customFormat="false" ht="40.5" hidden="false" customHeight="true" outlineLevel="0" collapsed="false">
      <c r="A10" s="53" t="s">
        <v>91</v>
      </c>
      <c r="B10" s="37" t="n">
        <f aca="false">B8+B9</f>
        <v>2000</v>
      </c>
      <c r="C10" s="37" t="n">
        <f aca="false">C8+C9</f>
        <v>1999.762</v>
      </c>
      <c r="D10" s="37" t="n">
        <f aca="false">B10-C10</f>
        <v>0.238000000000056</v>
      </c>
      <c r="E10" s="54" t="n">
        <f aca="false">IF(C10=0,"n/m",D10/ABS(C10))</f>
        <v>0.000119014162685388</v>
      </c>
      <c r="F10" s="55" t="str">
        <f aca="false">IF(ROUND(D10,5)=0,"",IF(D10&gt;0,"F","U"))</f>
        <v>F</v>
      </c>
      <c r="G10" s="56" t="s">
        <v>1002</v>
      </c>
      <c r="H10" s="57" t="s">
        <v>186</v>
      </c>
      <c r="I10" s="58" t="s">
        <v>822</v>
      </c>
      <c r="J10" s="59" t="str">
        <f aca="false">IF(AND(ROUND(B10-K10,4)=0,ROUND(C10-L10,4)=0,TRUE()),"✓","✗")</f>
        <v>✓</v>
      </c>
      <c r="K10" s="60" t="n">
        <v>2000</v>
      </c>
      <c r="L10" s="60" t="n">
        <v>1999.762</v>
      </c>
    </row>
    <row r="11" customFormat="false" ht="60" hidden="false" customHeight="true" outlineLevel="0" collapsed="false">
      <c r="A11" s="11" t="s">
        <v>155</v>
      </c>
      <c r="B11" s="25" t="n">
        <f aca="false">B12+B13+B14+B15+B16+B17+B18</f>
        <v>540</v>
      </c>
      <c r="C11" s="25" t="n">
        <f aca="false">C12+C13+C14+C15+C16+C17+C18</f>
        <v>533.38315</v>
      </c>
      <c r="D11" s="25" t="n">
        <f aca="false">B11-C11</f>
        <v>6.61685000000011</v>
      </c>
      <c r="E11" s="26" t="n">
        <f aca="false">IF(C11=0,"n/m",D11/ABS(C11))</f>
        <v>0.0124054350048368</v>
      </c>
      <c r="F11" s="49" t="str">
        <f aca="false">IF(ROUND(D11,5)=0,"",IF(D11&lt;0,"F","U"))</f>
        <v>U</v>
      </c>
      <c r="G11" s="6" t="s">
        <v>1003</v>
      </c>
      <c r="H11" s="50" t="s">
        <v>188</v>
      </c>
      <c r="I11" s="51" t="s">
        <v>822</v>
      </c>
      <c r="J11" s="52" t="str">
        <f aca="false">IF(AND(ROUND(B11-K11,4)=0,ROUND(C11-L11,4)=0,TRUE()),"✓","✗")</f>
        <v>✓</v>
      </c>
      <c r="K11" s="61" t="n">
        <v>540</v>
      </c>
      <c r="L11" s="61" t="n">
        <v>533.38315</v>
      </c>
    </row>
    <row r="12" customFormat="false" ht="15" hidden="false" customHeight="true" outlineLevel="1" collapsed="false">
      <c r="A12" s="62" t="s">
        <v>189</v>
      </c>
      <c r="B12" s="34" t="n">
        <v>140</v>
      </c>
      <c r="C12" s="34" t="n">
        <v>139</v>
      </c>
      <c r="D12" s="25" t="n">
        <f aca="false">B12-C12</f>
        <v>1</v>
      </c>
      <c r="E12" s="26" t="n">
        <f aca="false">IF(C12=0,"n/m",D12/ABS(C12))</f>
        <v>0.00719424460431655</v>
      </c>
      <c r="F12" s="49" t="str">
        <f aca="false">IF(ROUND(D12,5)=0,"",IF(D12&lt;0,"F","U"))</f>
        <v>U</v>
      </c>
      <c r="G12" s="63" t="s">
        <v>1004</v>
      </c>
      <c r="I12" s="18" t="s">
        <v>191</v>
      </c>
      <c r="J12" s="52" t="s">
        <v>182</v>
      </c>
    </row>
    <row r="13" customFormat="false" ht="36.75" hidden="false" customHeight="true" outlineLevel="1" collapsed="false">
      <c r="A13" s="62" t="s">
        <v>192</v>
      </c>
      <c r="B13" s="34" t="n">
        <v>100</v>
      </c>
      <c r="C13" s="34" t="n">
        <v>102.65125</v>
      </c>
      <c r="D13" s="25" t="n">
        <f aca="false">B13-C13</f>
        <v>-2.65125</v>
      </c>
      <c r="E13" s="26" t="n">
        <f aca="false">IF(C13=0,"n/m",D13/ABS(C13))</f>
        <v>-0.0258277419904775</v>
      </c>
      <c r="F13" s="49" t="str">
        <f aca="false">IF(ROUND(D13,5)=0,"",IF(D13&lt;0,"F","U"))</f>
        <v>F</v>
      </c>
      <c r="G13" s="63" t="s">
        <v>1005</v>
      </c>
      <c r="H13" s="50" t="s">
        <v>194</v>
      </c>
      <c r="I13" s="18" t="s">
        <v>191</v>
      </c>
      <c r="J13" s="52" t="s">
        <v>182</v>
      </c>
    </row>
    <row r="14" customFormat="false" ht="25.5" hidden="false" customHeight="true" outlineLevel="1" collapsed="false">
      <c r="A14" s="62" t="s">
        <v>195</v>
      </c>
      <c r="B14" s="34" t="n">
        <v>84</v>
      </c>
      <c r="C14" s="34" t="n">
        <v>83.5359</v>
      </c>
      <c r="D14" s="25" t="n">
        <f aca="false">B14-C14</f>
        <v>0.464100000000002</v>
      </c>
      <c r="E14" s="26" t="n">
        <f aca="false">IF(C14=0,"n/m",D14/ABS(C14))</f>
        <v>0.0055556952160688</v>
      </c>
      <c r="F14" s="49" t="str">
        <f aca="false">IF(ROUND(D14,5)=0,"",IF(D14&lt;0,"F","U"))</f>
        <v>U</v>
      </c>
      <c r="G14" s="63" t="s">
        <v>1006</v>
      </c>
      <c r="H14" s="50" t="s">
        <v>197</v>
      </c>
      <c r="I14" s="18" t="s">
        <v>191</v>
      </c>
      <c r="J14" s="52" t="s">
        <v>182</v>
      </c>
    </row>
    <row r="15" customFormat="false" ht="36.75" hidden="false" customHeight="true" outlineLevel="1" collapsed="false">
      <c r="A15" s="62" t="s">
        <v>198</v>
      </c>
      <c r="B15" s="34" t="n">
        <v>160</v>
      </c>
      <c r="C15" s="34" t="n">
        <v>153.796</v>
      </c>
      <c r="D15" s="25" t="n">
        <f aca="false">B15-C15</f>
        <v>6.20400000000001</v>
      </c>
      <c r="E15" s="26" t="n">
        <f aca="false">IF(C15=0,"n/m",D15/ABS(C15))</f>
        <v>0.0403391505630836</v>
      </c>
      <c r="F15" s="49" t="str">
        <f aca="false">IF(ROUND(D15,5)=0,"",IF(D15&lt;0,"F","U"))</f>
        <v>U</v>
      </c>
      <c r="G15" s="63" t="s">
        <v>1007</v>
      </c>
      <c r="H15" s="50" t="s">
        <v>200</v>
      </c>
      <c r="I15" s="18" t="s">
        <v>191</v>
      </c>
      <c r="J15" s="52" t="s">
        <v>182</v>
      </c>
    </row>
    <row r="16" customFormat="false" ht="36.75" hidden="false" customHeight="true" outlineLevel="1" collapsed="false">
      <c r="A16" s="62" t="s">
        <v>201</v>
      </c>
      <c r="B16" s="34" t="n">
        <v>16</v>
      </c>
      <c r="C16" s="34" t="n">
        <v>14.4</v>
      </c>
      <c r="D16" s="25" t="n">
        <f aca="false">B16-C16</f>
        <v>1.6</v>
      </c>
      <c r="E16" s="26" t="n">
        <f aca="false">IF(C16=0,"n/m",D16/ABS(C16))</f>
        <v>0.111111111111111</v>
      </c>
      <c r="F16" s="49" t="str">
        <f aca="false">IF(ROUND(D16,5)=0,"",IF(D16&lt;0,"F","U"))</f>
        <v>U</v>
      </c>
      <c r="G16" s="63" t="s">
        <v>1008</v>
      </c>
      <c r="H16" s="50" t="s">
        <v>203</v>
      </c>
      <c r="I16" s="18" t="s">
        <v>191</v>
      </c>
      <c r="J16" s="52" t="s">
        <v>182</v>
      </c>
    </row>
    <row r="17" customFormat="false" ht="25.5" hidden="false" customHeight="true" outlineLevel="1" collapsed="false">
      <c r="A17" s="62" t="s">
        <v>204</v>
      </c>
      <c r="B17" s="34" t="n">
        <v>20</v>
      </c>
      <c r="C17" s="34" t="n">
        <v>20</v>
      </c>
      <c r="D17" s="25" t="n">
        <f aca="false">B17-C17</f>
        <v>0</v>
      </c>
      <c r="E17" s="26" t="n">
        <f aca="false">IF(C17=0,"n/m",D17/ABS(C17))</f>
        <v>0</v>
      </c>
      <c r="F17" s="49" t="str">
        <f aca="false">IF(ROUND(D17,5)=0,"",IF(D17&lt;0,"F","U"))</f>
        <v/>
      </c>
      <c r="G17" s="63" t="s">
        <v>1009</v>
      </c>
      <c r="H17" s="50" t="s">
        <v>206</v>
      </c>
      <c r="I17" s="18" t="s">
        <v>191</v>
      </c>
      <c r="J17" s="52" t="s">
        <v>182</v>
      </c>
    </row>
    <row r="18" customFormat="false" ht="15" hidden="false" customHeight="true" outlineLevel="1" collapsed="false">
      <c r="A18" s="62" t="s">
        <v>207</v>
      </c>
      <c r="B18" s="34" t="n">
        <v>20</v>
      </c>
      <c r="C18" s="34" t="n">
        <v>20</v>
      </c>
      <c r="D18" s="25" t="n">
        <f aca="false">B18-C18</f>
        <v>0</v>
      </c>
      <c r="E18" s="26" t="n">
        <f aca="false">IF(C18=0,"n/m",D18/ABS(C18))</f>
        <v>0</v>
      </c>
      <c r="F18" s="49" t="str">
        <f aca="false">IF(ROUND(D18,5)=0,"",IF(D18&lt;0,"F","U"))</f>
        <v/>
      </c>
      <c r="G18" s="63" t="s">
        <v>1010</v>
      </c>
      <c r="I18" s="18" t="s">
        <v>191</v>
      </c>
      <c r="J18" s="52" t="s">
        <v>182</v>
      </c>
    </row>
    <row r="19" customFormat="false" ht="25.5" hidden="false" customHeight="true" outlineLevel="0" collapsed="false">
      <c r="A19" s="11" t="s">
        <v>156</v>
      </c>
      <c r="B19" s="34" t="n">
        <v>120</v>
      </c>
      <c r="C19" s="34" t="n">
        <v>119.412</v>
      </c>
      <c r="D19" s="25" t="n">
        <f aca="false">B19-C19</f>
        <v>0.587999999999994</v>
      </c>
      <c r="E19" s="26" t="n">
        <f aca="false">IF(C19=0,"n/m",D19/ABS(C19))</f>
        <v>0.00492412822831871</v>
      </c>
      <c r="F19" s="49" t="str">
        <f aca="false">IF(ROUND(D19,5)=0,"",IF(D19&lt;0,"F","U"))</f>
        <v>U</v>
      </c>
      <c r="G19" s="63" t="s">
        <v>1011</v>
      </c>
      <c r="H19" s="50" t="s">
        <v>210</v>
      </c>
      <c r="I19" s="18" t="s">
        <v>191</v>
      </c>
      <c r="J19" s="52" t="s">
        <v>182</v>
      </c>
    </row>
    <row r="20" customFormat="false" ht="60" hidden="false" customHeight="true" outlineLevel="0" collapsed="false">
      <c r="A20" s="53" t="s">
        <v>101</v>
      </c>
      <c r="B20" s="37" t="n">
        <f aca="false">B11+B19</f>
        <v>660</v>
      </c>
      <c r="C20" s="37" t="n">
        <f aca="false">C11+C19</f>
        <v>652.79515</v>
      </c>
      <c r="D20" s="37" t="n">
        <f aca="false">B20-C20</f>
        <v>7.20485000000008</v>
      </c>
      <c r="E20" s="54" t="n">
        <f aca="false">IF(C20=0,"n/m",D20/ABS(C20))</f>
        <v>0.0110369232982201</v>
      </c>
      <c r="F20" s="55" t="str">
        <f aca="false">IF(ROUND(D20,5)=0,"",IF(D20&lt;0,"F","U"))</f>
        <v>U</v>
      </c>
      <c r="G20" s="56" t="s">
        <v>1012</v>
      </c>
      <c r="H20" s="57" t="s">
        <v>212</v>
      </c>
      <c r="I20" s="58" t="s">
        <v>822</v>
      </c>
      <c r="J20" s="59" t="str">
        <f aca="false">IF(AND(ROUND(B20-K20,4)=0,ROUND(C20-L20,4)=0,TRUE()),"✓","✗")</f>
        <v>✓</v>
      </c>
      <c r="K20" s="60" t="n">
        <v>660</v>
      </c>
      <c r="L20" s="60" t="n">
        <v>652.79515</v>
      </c>
    </row>
    <row r="21" customFormat="false" ht="60" hidden="false" customHeight="true" outlineLevel="0" collapsed="false">
      <c r="A21" s="64" t="s">
        <v>92</v>
      </c>
      <c r="B21" s="65" t="n">
        <f aca="false">B10-B20</f>
        <v>1340</v>
      </c>
      <c r="C21" s="65" t="n">
        <f aca="false">C10-C20</f>
        <v>1346.96685</v>
      </c>
      <c r="D21" s="65" t="n">
        <f aca="false">B21-C21</f>
        <v>-6.96685000000002</v>
      </c>
      <c r="E21" s="66" t="n">
        <f aca="false">IF(C21=0,"n/m",D21/ABS(C21))</f>
        <v>-0.0051722505271752</v>
      </c>
      <c r="F21" s="67" t="str">
        <f aca="false">IF(ROUND(D21,5)=0,"",IF(D21&gt;0,"F","U"))</f>
        <v>U</v>
      </c>
      <c r="G21" s="68" t="s">
        <v>1013</v>
      </c>
      <c r="H21" s="69" t="s">
        <v>214</v>
      </c>
      <c r="I21" s="70" t="s">
        <v>822</v>
      </c>
      <c r="J21" s="71" t="str">
        <f aca="false">IF(AND(ROUND(B21-K21,4)=0,ROUND(C21-L21,4)=0,TRUE()),"✓","✗")</f>
        <v>✓</v>
      </c>
      <c r="K21" s="72" t="n">
        <v>1340</v>
      </c>
      <c r="L21" s="72" t="n">
        <v>1346.96685</v>
      </c>
    </row>
    <row r="22" customFormat="false" ht="48" hidden="false" customHeight="true" outlineLevel="0" collapsed="false">
      <c r="A22" s="11" t="s">
        <v>157</v>
      </c>
      <c r="B22" s="25" t="n">
        <f aca="false">B23+B24+B25+B26+B27</f>
        <v>414</v>
      </c>
      <c r="C22" s="25" t="n">
        <f aca="false">C23+C24+C25+C26+C27</f>
        <v>422.95375</v>
      </c>
      <c r="D22" s="25" t="n">
        <f aca="false">B22-C22</f>
        <v>-8.95375000000001</v>
      </c>
      <c r="E22" s="26" t="n">
        <f aca="false">IF(C22=0,"n/m",D22/ABS(C22))</f>
        <v>-0.021169572323215</v>
      </c>
      <c r="F22" s="49" t="str">
        <f aca="false">IF(ROUND(D22,5)=0,"",IF(D22&lt;0,"F","U"))</f>
        <v>F</v>
      </c>
      <c r="G22" s="6" t="s">
        <v>1014</v>
      </c>
      <c r="H22" s="50" t="s">
        <v>216</v>
      </c>
      <c r="I22" s="51" t="s">
        <v>822</v>
      </c>
      <c r="J22" s="52" t="str">
        <f aca="false">IF(AND(ROUND(B22-K22,4)=0,ROUND(C22-L22,4)=0,TRUE()),"✓","✗")</f>
        <v>✓</v>
      </c>
      <c r="K22" s="61" t="n">
        <v>414</v>
      </c>
      <c r="L22" s="61" t="n">
        <v>422.95375</v>
      </c>
    </row>
    <row r="23" customFormat="false" ht="36.75" hidden="false" customHeight="true" outlineLevel="1" collapsed="false">
      <c r="A23" s="62" t="s">
        <v>192</v>
      </c>
      <c r="B23" s="34" t="n">
        <v>300</v>
      </c>
      <c r="C23" s="34" t="n">
        <v>307.95375</v>
      </c>
      <c r="D23" s="25" t="n">
        <f aca="false">B23-C23</f>
        <v>-7.95375000000001</v>
      </c>
      <c r="E23" s="26" t="n">
        <f aca="false">IF(C23=0,"n/m",D23/ABS(C23))</f>
        <v>-0.0258277419904775</v>
      </c>
      <c r="F23" s="49" t="str">
        <f aca="false">IF(ROUND(D23,5)=0,"",IF(D23&lt;0,"F","U"))</f>
        <v>F</v>
      </c>
      <c r="G23" s="63" t="s">
        <v>1015</v>
      </c>
      <c r="H23" s="50" t="s">
        <v>218</v>
      </c>
      <c r="I23" s="18" t="s">
        <v>191</v>
      </c>
      <c r="J23" s="52" t="s">
        <v>182</v>
      </c>
    </row>
    <row r="24" customFormat="false" ht="15" hidden="false" customHeight="true" outlineLevel="1" collapsed="false">
      <c r="A24" s="62" t="s">
        <v>189</v>
      </c>
      <c r="B24" s="34" t="n">
        <v>40</v>
      </c>
      <c r="C24" s="34" t="n">
        <v>41</v>
      </c>
      <c r="D24" s="25" t="n">
        <f aca="false">B24-C24</f>
        <v>-1</v>
      </c>
      <c r="E24" s="26" t="n">
        <f aca="false">IF(C24=0,"n/m",D24/ABS(C24))</f>
        <v>-0.024390243902439</v>
      </c>
      <c r="F24" s="49" t="str">
        <f aca="false">IF(ROUND(D24,5)=0,"",IF(D24&lt;0,"F","U"))</f>
        <v>F</v>
      </c>
      <c r="G24" s="63" t="s">
        <v>1016</v>
      </c>
      <c r="I24" s="18" t="s">
        <v>191</v>
      </c>
      <c r="J24" s="52" t="s">
        <v>182</v>
      </c>
    </row>
    <row r="25" customFormat="false" ht="36.75" hidden="false" customHeight="true" outlineLevel="1" collapsed="false">
      <c r="A25" s="62" t="s">
        <v>201</v>
      </c>
      <c r="B25" s="34" t="n">
        <v>24</v>
      </c>
      <c r="C25" s="34" t="n">
        <v>24</v>
      </c>
      <c r="D25" s="25" t="n">
        <f aca="false">B25-C25</f>
        <v>0</v>
      </c>
      <c r="E25" s="26" t="n">
        <f aca="false">IF(C25=0,"n/m",D25/ABS(C25))</f>
        <v>0</v>
      </c>
      <c r="F25" s="49" t="str">
        <f aca="false">IF(ROUND(D25,5)=0,"",IF(D25&lt;0,"F","U"))</f>
        <v/>
      </c>
      <c r="G25" s="63" t="s">
        <v>1017</v>
      </c>
      <c r="H25" s="50" t="s">
        <v>221</v>
      </c>
      <c r="I25" s="18" t="s">
        <v>191</v>
      </c>
      <c r="J25" s="52" t="s">
        <v>182</v>
      </c>
    </row>
    <row r="26" customFormat="false" ht="25.5" hidden="false" customHeight="true" outlineLevel="1" collapsed="false">
      <c r="A26" s="62" t="s">
        <v>204</v>
      </c>
      <c r="B26" s="34" t="n">
        <v>20</v>
      </c>
      <c r="C26" s="34" t="n">
        <v>20</v>
      </c>
      <c r="D26" s="25" t="n">
        <f aca="false">B26-C26</f>
        <v>0</v>
      </c>
      <c r="E26" s="26" t="n">
        <f aca="false">IF(C26=0,"n/m",D26/ABS(C26))</f>
        <v>0</v>
      </c>
      <c r="F26" s="49" t="str">
        <f aca="false">IF(ROUND(D26,5)=0,"",IF(D26&lt;0,"F","U"))</f>
        <v/>
      </c>
      <c r="G26" s="63" t="s">
        <v>1009</v>
      </c>
      <c r="H26" s="50" t="s">
        <v>206</v>
      </c>
      <c r="I26" s="18" t="s">
        <v>191</v>
      </c>
      <c r="J26" s="52" t="s">
        <v>182</v>
      </c>
    </row>
    <row r="27" customFormat="false" ht="15" hidden="false" customHeight="true" outlineLevel="1" collapsed="false">
      <c r="A27" s="62" t="s">
        <v>207</v>
      </c>
      <c r="B27" s="34" t="n">
        <v>30</v>
      </c>
      <c r="C27" s="34" t="n">
        <v>30</v>
      </c>
      <c r="D27" s="25" t="n">
        <f aca="false">B27-C27</f>
        <v>0</v>
      </c>
      <c r="E27" s="26" t="n">
        <f aca="false">IF(C27=0,"n/m",D27/ABS(C27))</f>
        <v>0</v>
      </c>
      <c r="F27" s="49" t="str">
        <f aca="false">IF(ROUND(D27,5)=0,"",IF(D27&lt;0,"F","U"))</f>
        <v/>
      </c>
      <c r="G27" s="63" t="s">
        <v>1010</v>
      </c>
      <c r="I27" s="18" t="s">
        <v>191</v>
      </c>
      <c r="J27" s="52" t="s">
        <v>182</v>
      </c>
    </row>
    <row r="28" customFormat="false" ht="48" hidden="false" customHeight="true" outlineLevel="0" collapsed="false">
      <c r="A28" s="11" t="s">
        <v>158</v>
      </c>
      <c r="B28" s="25" t="n">
        <f aca="false">B29+B30+B31+B32+B33+B34+B35+B36</f>
        <v>490</v>
      </c>
      <c r="C28" s="25" t="n">
        <f aca="false">C29+C30+C31+C32+C33+C34+C35+C36</f>
        <v>497.7891</v>
      </c>
      <c r="D28" s="25" t="n">
        <f aca="false">B28-C28</f>
        <v>-7.78910000000002</v>
      </c>
      <c r="E28" s="26" t="n">
        <f aca="false">IF(C28=0,"n/m",D28/ABS(C28))</f>
        <v>-0.0156473896274547</v>
      </c>
      <c r="F28" s="49" t="str">
        <f aca="false">IF(ROUND(D28,5)=0,"",IF(D28&lt;0,"F","U"))</f>
        <v>F</v>
      </c>
      <c r="G28" s="6" t="s">
        <v>1018</v>
      </c>
      <c r="H28" s="50" t="s">
        <v>224</v>
      </c>
      <c r="I28" s="51" t="s">
        <v>822</v>
      </c>
      <c r="J28" s="52" t="str">
        <f aca="false">IF(AND(ROUND(B28-K28,4)=0,ROUND(C28-L28,4)=0,TRUE()),"✓","✗")</f>
        <v>✓</v>
      </c>
      <c r="K28" s="61" t="n">
        <v>490</v>
      </c>
      <c r="L28" s="61" t="n">
        <v>497.7891</v>
      </c>
    </row>
    <row r="29" customFormat="false" ht="36.75" hidden="false" customHeight="true" outlineLevel="1" collapsed="false">
      <c r="A29" s="62" t="s">
        <v>225</v>
      </c>
      <c r="B29" s="34" t="n">
        <v>240</v>
      </c>
      <c r="C29" s="34" t="n">
        <v>251.388</v>
      </c>
      <c r="D29" s="25" t="n">
        <f aca="false">B29-C29</f>
        <v>-11.388</v>
      </c>
      <c r="E29" s="26" t="n">
        <f aca="false">IF(C29=0,"n/m",D29/ABS(C29))</f>
        <v>-0.0453004916702468</v>
      </c>
      <c r="F29" s="49" t="str">
        <f aca="false">IF(ROUND(D29,5)=0,"",IF(D29&lt;0,"F","U"))</f>
        <v>F</v>
      </c>
      <c r="G29" s="6" t="s">
        <v>1019</v>
      </c>
      <c r="H29" s="50" t="s">
        <v>227</v>
      </c>
      <c r="I29" s="51" t="s">
        <v>822</v>
      </c>
      <c r="J29" s="52" t="s">
        <v>182</v>
      </c>
    </row>
    <row r="30" customFormat="false" ht="25.5" hidden="false" customHeight="true" outlineLevel="1" collapsed="false">
      <c r="A30" s="62" t="s">
        <v>195</v>
      </c>
      <c r="B30" s="34" t="n">
        <v>36</v>
      </c>
      <c r="C30" s="34" t="n">
        <v>35.8011</v>
      </c>
      <c r="D30" s="25" t="n">
        <f aca="false">B30-C30</f>
        <v>0.198900000000002</v>
      </c>
      <c r="E30" s="26" t="n">
        <f aca="false">IF(C30=0,"n/m",D30/ABS(C30))</f>
        <v>0.00555569521606883</v>
      </c>
      <c r="F30" s="49" t="str">
        <f aca="false">IF(ROUND(D30,5)=0,"",IF(D30&lt;0,"F","U"))</f>
        <v>U</v>
      </c>
      <c r="G30" s="63" t="s">
        <v>1020</v>
      </c>
      <c r="H30" s="50" t="s">
        <v>229</v>
      </c>
      <c r="I30" s="18" t="s">
        <v>191</v>
      </c>
      <c r="J30" s="52" t="s">
        <v>182</v>
      </c>
    </row>
    <row r="31" customFormat="false" ht="48" hidden="false" customHeight="true" outlineLevel="1" collapsed="false">
      <c r="A31" s="62" t="s">
        <v>230</v>
      </c>
      <c r="B31" s="34" t="n">
        <v>100</v>
      </c>
      <c r="C31" s="34" t="n">
        <v>101</v>
      </c>
      <c r="D31" s="25" t="n">
        <f aca="false">B31-C31</f>
        <v>-1</v>
      </c>
      <c r="E31" s="26" t="n">
        <f aca="false">IF(C31=0,"n/m",D31/ABS(C31))</f>
        <v>-0.0099009900990099</v>
      </c>
      <c r="F31" s="49" t="str">
        <f aca="false">IF(ROUND(D31,5)=0,"",IF(D31&lt;0,"F","U"))</f>
        <v>F</v>
      </c>
      <c r="G31" s="63" t="s">
        <v>1021</v>
      </c>
      <c r="H31" s="50" t="s">
        <v>232</v>
      </c>
      <c r="I31" s="18" t="s">
        <v>191</v>
      </c>
      <c r="J31" s="52" t="s">
        <v>182</v>
      </c>
    </row>
    <row r="32" customFormat="false" ht="15" hidden="false" customHeight="true" outlineLevel="1" collapsed="false">
      <c r="A32" s="62" t="s">
        <v>233</v>
      </c>
      <c r="B32" s="34" t="n">
        <v>40</v>
      </c>
      <c r="C32" s="34" t="n">
        <v>40</v>
      </c>
      <c r="D32" s="25" t="n">
        <f aca="false">B32-C32</f>
        <v>0</v>
      </c>
      <c r="E32" s="26" t="n">
        <f aca="false">IF(C32=0,"n/m",D32/ABS(C32))</f>
        <v>0</v>
      </c>
      <c r="F32" s="49" t="str">
        <f aca="false">IF(ROUND(D32,5)=0,"",IF(D32&lt;0,"F","U"))</f>
        <v/>
      </c>
      <c r="G32" s="63" t="s">
        <v>1022</v>
      </c>
      <c r="I32" s="18" t="s">
        <v>191</v>
      </c>
      <c r="J32" s="52" t="s">
        <v>182</v>
      </c>
    </row>
    <row r="33" customFormat="false" ht="27.75" hidden="false" customHeight="true" outlineLevel="1" collapsed="false">
      <c r="A33" s="62" t="s">
        <v>189</v>
      </c>
      <c r="B33" s="34" t="n">
        <v>20</v>
      </c>
      <c r="C33" s="34" t="n">
        <v>14</v>
      </c>
      <c r="D33" s="25" t="n">
        <f aca="false">B33-C33</f>
        <v>6</v>
      </c>
      <c r="E33" s="26" t="n">
        <f aca="false">IF(C33=0,"n/m",D33/ABS(C33))</f>
        <v>0.428571428571429</v>
      </c>
      <c r="F33" s="49" t="str">
        <f aca="false">IF(ROUND(D33,5)=0,"",IF(D33&lt;0,"F","U"))</f>
        <v>U</v>
      </c>
      <c r="G33" s="6" t="s">
        <v>1023</v>
      </c>
      <c r="H33" s="50" t="s">
        <v>236</v>
      </c>
      <c r="I33" s="51" t="s">
        <v>822</v>
      </c>
      <c r="J33" s="52" t="s">
        <v>182</v>
      </c>
    </row>
    <row r="34" customFormat="false" ht="36.75" hidden="false" customHeight="true" outlineLevel="1" collapsed="false">
      <c r="A34" s="62" t="s">
        <v>201</v>
      </c>
      <c r="B34" s="34" t="n">
        <v>24</v>
      </c>
      <c r="C34" s="34" t="n">
        <v>25.6</v>
      </c>
      <c r="D34" s="25" t="n">
        <f aca="false">B34-C34</f>
        <v>-1.6</v>
      </c>
      <c r="E34" s="26" t="n">
        <f aca="false">IF(C34=0,"n/m",D34/ABS(C34))</f>
        <v>-0.0625000000000001</v>
      </c>
      <c r="F34" s="49" t="str">
        <f aca="false">IF(ROUND(D34,5)=0,"",IF(D34&lt;0,"F","U"))</f>
        <v>F</v>
      </c>
      <c r="G34" s="63" t="s">
        <v>1024</v>
      </c>
      <c r="H34" s="50" t="s">
        <v>221</v>
      </c>
      <c r="I34" s="18" t="s">
        <v>191</v>
      </c>
      <c r="J34" s="52" t="s">
        <v>182</v>
      </c>
    </row>
    <row r="35" customFormat="false" ht="25.5" hidden="false" customHeight="true" outlineLevel="1" collapsed="false">
      <c r="A35" s="62" t="s">
        <v>204</v>
      </c>
      <c r="B35" s="34" t="n">
        <v>10</v>
      </c>
      <c r="C35" s="34" t="n">
        <v>10</v>
      </c>
      <c r="D35" s="25" t="n">
        <f aca="false">B35-C35</f>
        <v>0</v>
      </c>
      <c r="E35" s="26" t="n">
        <f aca="false">IF(C35=0,"n/m",D35/ABS(C35))</f>
        <v>0</v>
      </c>
      <c r="F35" s="49" t="str">
        <f aca="false">IF(ROUND(D35,5)=0,"",IF(D35&lt;0,"F","U"))</f>
        <v/>
      </c>
      <c r="G35" s="63" t="s">
        <v>1009</v>
      </c>
      <c r="H35" s="50" t="s">
        <v>239</v>
      </c>
      <c r="I35" s="18" t="s">
        <v>191</v>
      </c>
      <c r="J35" s="52" t="s">
        <v>182</v>
      </c>
    </row>
    <row r="36" customFormat="false" ht="15" hidden="false" customHeight="true" outlineLevel="1" collapsed="false">
      <c r="A36" s="62" t="s">
        <v>207</v>
      </c>
      <c r="B36" s="34" t="n">
        <v>20</v>
      </c>
      <c r="C36" s="34" t="n">
        <v>20</v>
      </c>
      <c r="D36" s="25" t="n">
        <f aca="false">B36-C36</f>
        <v>0</v>
      </c>
      <c r="E36" s="26" t="n">
        <f aca="false">IF(C36=0,"n/m",D36/ABS(C36))</f>
        <v>0</v>
      </c>
      <c r="F36" s="49" t="str">
        <f aca="false">IF(ROUND(D36,5)=0,"",IF(D36&lt;0,"F","U"))</f>
        <v/>
      </c>
      <c r="G36" s="63" t="s">
        <v>1010</v>
      </c>
      <c r="I36" s="18" t="s">
        <v>191</v>
      </c>
      <c r="J36" s="52" t="s">
        <v>182</v>
      </c>
    </row>
    <row r="37" customFormat="false" ht="40.5" hidden="false" customHeight="true" outlineLevel="0" collapsed="false">
      <c r="A37" s="11" t="s">
        <v>159</v>
      </c>
      <c r="B37" s="25" t="n">
        <f aca="false">B38+B39+B40+B41</f>
        <v>216</v>
      </c>
      <c r="C37" s="25" t="n">
        <f aca="false">C38+C39+C40+C41</f>
        <v>197</v>
      </c>
      <c r="D37" s="25" t="n">
        <f aca="false">B37-C37</f>
        <v>19</v>
      </c>
      <c r="E37" s="26" t="n">
        <f aca="false">IF(C37=0,"n/m",D37/ABS(C37))</f>
        <v>0.0964467005076142</v>
      </c>
      <c r="F37" s="49" t="str">
        <f aca="false">IF(ROUND(D37,5)=0,"",IF(D37&lt;0,"F","U"))</f>
        <v>U</v>
      </c>
      <c r="G37" s="6" t="s">
        <v>1025</v>
      </c>
      <c r="H37" s="50" t="s">
        <v>241</v>
      </c>
      <c r="I37" s="51" t="s">
        <v>822</v>
      </c>
      <c r="J37" s="52" t="str">
        <f aca="false">IF(AND(ROUND(B37-K37,4)=0,ROUND(C37-L37,4)=0,TRUE()),"✓","✗")</f>
        <v>✓</v>
      </c>
      <c r="K37" s="61" t="n">
        <v>216</v>
      </c>
      <c r="L37" s="61" t="n">
        <v>197</v>
      </c>
    </row>
    <row r="38" customFormat="false" ht="53.25" hidden="false" customHeight="true" outlineLevel="1" collapsed="false">
      <c r="A38" s="62" t="s">
        <v>242</v>
      </c>
      <c r="B38" s="34" t="n">
        <v>180</v>
      </c>
      <c r="C38" s="34" t="n">
        <v>161</v>
      </c>
      <c r="D38" s="25" t="n">
        <f aca="false">B38-C38</f>
        <v>19</v>
      </c>
      <c r="E38" s="26" t="n">
        <f aca="false">IF(C38=0,"n/m",D38/ABS(C38))</f>
        <v>0.118012422360248</v>
      </c>
      <c r="F38" s="49" t="str">
        <f aca="false">IF(ROUND(D38,5)=0,"",IF(D38&lt;0,"F","U"))</f>
        <v>U</v>
      </c>
      <c r="G38" s="6" t="s">
        <v>1026</v>
      </c>
      <c r="H38" s="50" t="s">
        <v>244</v>
      </c>
      <c r="I38" s="51" t="s">
        <v>822</v>
      </c>
      <c r="J38" s="52" t="s">
        <v>182</v>
      </c>
    </row>
    <row r="39" customFormat="false" ht="36.75" hidden="false" customHeight="true" outlineLevel="1" collapsed="false">
      <c r="A39" s="62" t="s">
        <v>201</v>
      </c>
      <c r="B39" s="34" t="n">
        <v>16</v>
      </c>
      <c r="C39" s="34" t="n">
        <v>16</v>
      </c>
      <c r="D39" s="25" t="n">
        <f aca="false">B39-C39</f>
        <v>0</v>
      </c>
      <c r="E39" s="26" t="n">
        <f aca="false">IF(C39=0,"n/m",D39/ABS(C39))</f>
        <v>0</v>
      </c>
      <c r="F39" s="49" t="str">
        <f aca="false">IF(ROUND(D39,5)=0,"",IF(D39&lt;0,"F","U"))</f>
        <v/>
      </c>
      <c r="G39" s="63" t="s">
        <v>1017</v>
      </c>
      <c r="H39" s="50" t="s">
        <v>203</v>
      </c>
      <c r="I39" s="18" t="s">
        <v>191</v>
      </c>
      <c r="J39" s="52" t="s">
        <v>182</v>
      </c>
    </row>
    <row r="40" customFormat="false" ht="25.5" hidden="false" customHeight="true" outlineLevel="1" collapsed="false">
      <c r="A40" s="62" t="s">
        <v>204</v>
      </c>
      <c r="B40" s="34" t="n">
        <v>10</v>
      </c>
      <c r="C40" s="34" t="n">
        <v>10</v>
      </c>
      <c r="D40" s="25" t="n">
        <f aca="false">B40-C40</f>
        <v>0</v>
      </c>
      <c r="E40" s="26" t="n">
        <f aca="false">IF(C40=0,"n/m",D40/ABS(C40))</f>
        <v>0</v>
      </c>
      <c r="F40" s="49" t="str">
        <f aca="false">IF(ROUND(D40,5)=0,"",IF(D40&lt;0,"F","U"))</f>
        <v/>
      </c>
      <c r="G40" s="63" t="s">
        <v>1009</v>
      </c>
      <c r="H40" s="50" t="s">
        <v>239</v>
      </c>
      <c r="I40" s="18" t="s">
        <v>191</v>
      </c>
      <c r="J40" s="52" t="s">
        <v>182</v>
      </c>
    </row>
    <row r="41" customFormat="false" ht="15" hidden="false" customHeight="true" outlineLevel="1" collapsed="false">
      <c r="A41" s="62" t="s">
        <v>207</v>
      </c>
      <c r="B41" s="34" t="n">
        <v>10</v>
      </c>
      <c r="C41" s="34" t="n">
        <v>10</v>
      </c>
      <c r="D41" s="25" t="n">
        <f aca="false">B41-C41</f>
        <v>0</v>
      </c>
      <c r="E41" s="26" t="n">
        <f aca="false">IF(C41=0,"n/m",D41/ABS(C41))</f>
        <v>0</v>
      </c>
      <c r="F41" s="49" t="str">
        <f aca="false">IF(ROUND(D41,5)=0,"",IF(D41&lt;0,"F","U"))</f>
        <v/>
      </c>
      <c r="G41" s="63" t="s">
        <v>1010</v>
      </c>
      <c r="I41" s="18" t="s">
        <v>191</v>
      </c>
      <c r="J41" s="52" t="s">
        <v>182</v>
      </c>
    </row>
    <row r="42" customFormat="false" ht="60" hidden="false" customHeight="true" outlineLevel="0" collapsed="false">
      <c r="A42" s="53" t="s">
        <v>95</v>
      </c>
      <c r="B42" s="37" t="n">
        <f aca="false">B22+B28+B37</f>
        <v>1120</v>
      </c>
      <c r="C42" s="37" t="n">
        <f aca="false">C22+C28+C37</f>
        <v>1117.74285</v>
      </c>
      <c r="D42" s="37" t="n">
        <f aca="false">B42-C42</f>
        <v>2.25714999999991</v>
      </c>
      <c r="E42" s="54" t="n">
        <f aca="false">IF(C42=0,"n/m",D42/ABS(C42))</f>
        <v>0.00201938218616197</v>
      </c>
      <c r="F42" s="55" t="str">
        <f aca="false">IF(ROUND(D42,5)=0,"",IF(D42&lt;0,"F","U"))</f>
        <v>U</v>
      </c>
      <c r="G42" s="56" t="s">
        <v>1027</v>
      </c>
      <c r="H42" s="57" t="s">
        <v>248</v>
      </c>
      <c r="I42" s="58" t="s">
        <v>822</v>
      </c>
      <c r="J42" s="59" t="str">
        <f aca="false">IF(AND(ROUND(B42-K42,4)=0,ROUND(C42-L42,4)=0,TRUE()),"✓","✗")</f>
        <v>✓</v>
      </c>
      <c r="K42" s="60" t="n">
        <v>1120</v>
      </c>
      <c r="L42" s="60" t="n">
        <v>1117.74285</v>
      </c>
    </row>
    <row r="43" customFormat="false" ht="60" hidden="false" customHeight="true" outlineLevel="0" collapsed="false">
      <c r="A43" s="64" t="s">
        <v>96</v>
      </c>
      <c r="B43" s="65" t="n">
        <f aca="false">B21-B42</f>
        <v>220</v>
      </c>
      <c r="C43" s="65" t="n">
        <f aca="false">C21-C42</f>
        <v>229.224</v>
      </c>
      <c r="D43" s="65" t="n">
        <f aca="false">B43-C43</f>
        <v>-9.22399999999993</v>
      </c>
      <c r="E43" s="66" t="n">
        <f aca="false">IF(C43=0,"n/m",D43/ABS(C43))</f>
        <v>-0.0402401144731788</v>
      </c>
      <c r="F43" s="67" t="str">
        <f aca="false">IF(ROUND(D43,5)=0,"",IF(D43&gt;0,"F","U"))</f>
        <v>U</v>
      </c>
      <c r="G43" s="68" t="s">
        <v>1028</v>
      </c>
      <c r="H43" s="69" t="s">
        <v>250</v>
      </c>
      <c r="I43" s="70" t="s">
        <v>822</v>
      </c>
      <c r="J43" s="71" t="str">
        <f aca="false">IF(AND(ROUND(B43-K43,4)=0,ROUND(C43-L43,4)=0,TRUE()),"✓","✗")</f>
        <v>✓</v>
      </c>
      <c r="K43" s="72" t="n">
        <v>220</v>
      </c>
      <c r="L43" s="72" t="n">
        <v>229.224</v>
      </c>
    </row>
    <row r="44" customFormat="false" ht="15" hidden="false" customHeight="true" outlineLevel="0" collapsed="false">
      <c r="A44" s="11" t="s">
        <v>160</v>
      </c>
      <c r="B44" s="34" t="n">
        <v>10</v>
      </c>
      <c r="C44" s="34" t="n">
        <v>10</v>
      </c>
      <c r="D44" s="25" t="n">
        <f aca="false">B44-C44</f>
        <v>0</v>
      </c>
      <c r="E44" s="26" t="n">
        <f aca="false">IF(C44=0,"n/m",D44/ABS(C44))</f>
        <v>0</v>
      </c>
      <c r="F44" s="49" t="str">
        <f aca="false">IF(ROUND(D44,5)=0,"",IF(D44&gt;0,"F","U"))</f>
        <v/>
      </c>
      <c r="G44" s="63" t="s">
        <v>1029</v>
      </c>
      <c r="I44" s="18" t="s">
        <v>191</v>
      </c>
      <c r="J44" s="52" t="s">
        <v>182</v>
      </c>
    </row>
    <row r="45" customFormat="false" ht="15" hidden="false" customHeight="true" outlineLevel="0" collapsed="false">
      <c r="A45" s="11" t="s">
        <v>161</v>
      </c>
      <c r="B45" s="34" t="n">
        <v>30</v>
      </c>
      <c r="C45" s="34" t="n">
        <v>30</v>
      </c>
      <c r="D45" s="25" t="n">
        <f aca="false">B45-C45</f>
        <v>0</v>
      </c>
      <c r="E45" s="26" t="n">
        <f aca="false">IF(C45=0,"n/m",D45/ABS(C45))</f>
        <v>0</v>
      </c>
      <c r="F45" s="49" t="str">
        <f aca="false">IF(ROUND(D45,5)=0,"",IF(D45&lt;0,"F","U"))</f>
        <v/>
      </c>
      <c r="G45" s="63" t="s">
        <v>1030</v>
      </c>
      <c r="I45" s="18" t="s">
        <v>191</v>
      </c>
      <c r="J45" s="52" t="s">
        <v>182</v>
      </c>
    </row>
    <row r="46" customFormat="false" ht="60" hidden="false" customHeight="true" outlineLevel="0" collapsed="false">
      <c r="A46" s="64" t="s">
        <v>162</v>
      </c>
      <c r="B46" s="65" t="n">
        <f aca="false">B43+B44-B45</f>
        <v>200</v>
      </c>
      <c r="C46" s="65" t="n">
        <f aca="false">C43+C44-C45</f>
        <v>209.224</v>
      </c>
      <c r="D46" s="65" t="n">
        <f aca="false">B46-C46</f>
        <v>-9.22399999999993</v>
      </c>
      <c r="E46" s="66" t="n">
        <f aca="false">IF(C46=0,"n/m",D46/ABS(C46))</f>
        <v>-0.0440867204527202</v>
      </c>
      <c r="F46" s="67" t="str">
        <f aca="false">IF(ROUND(D46,5)=0,"",IF(D46&gt;0,"F","U"))</f>
        <v>U</v>
      </c>
      <c r="G46" s="68" t="s">
        <v>1031</v>
      </c>
      <c r="H46" s="69" t="s">
        <v>250</v>
      </c>
      <c r="I46" s="70" t="s">
        <v>822</v>
      </c>
      <c r="J46" s="71" t="str">
        <f aca="false">IF(AND(ROUND(B46-K46,4)=0,ROUND(C46-L46,4)=0,TRUE()),"✓","✗")</f>
        <v>✓</v>
      </c>
      <c r="K46" s="72" t="n">
        <v>200</v>
      </c>
      <c r="L46" s="72" t="n">
        <v>209.224</v>
      </c>
    </row>
    <row r="47" customFormat="false" ht="27.75" hidden="false" customHeight="true" outlineLevel="0" collapsed="false">
      <c r="A47" s="11" t="s">
        <v>126</v>
      </c>
      <c r="B47" s="34" t="n">
        <v>40</v>
      </c>
      <c r="C47" s="34" t="n">
        <v>38</v>
      </c>
      <c r="D47" s="25" t="n">
        <f aca="false">B47-C47</f>
        <v>2</v>
      </c>
      <c r="E47" s="26" t="n">
        <f aca="false">IF(C47=0,"n/m",D47/ABS(C47))</f>
        <v>0.0526315789473684</v>
      </c>
      <c r="F47" s="49" t="str">
        <f aca="false">IF(ROUND(D47,5)=0,"",IF(D47&lt;0,"F","U"))</f>
        <v>U</v>
      </c>
      <c r="G47" s="63" t="s">
        <v>1032</v>
      </c>
      <c r="I47" s="18" t="s">
        <v>191</v>
      </c>
      <c r="J47" s="52" t="s">
        <v>182</v>
      </c>
    </row>
    <row r="48" customFormat="false" ht="60" hidden="false" customHeight="true" outlineLevel="0" collapsed="false">
      <c r="A48" s="64" t="s">
        <v>97</v>
      </c>
      <c r="B48" s="65" t="n">
        <f aca="false">B46-B47</f>
        <v>160</v>
      </c>
      <c r="C48" s="65" t="n">
        <f aca="false">C46-C47</f>
        <v>171.224</v>
      </c>
      <c r="D48" s="65" t="n">
        <f aca="false">B48-C48</f>
        <v>-11.2239999999999</v>
      </c>
      <c r="E48" s="66" t="n">
        <f aca="false">IF(C48=0,"n/m",D48/ABS(C48))</f>
        <v>-0.0655515581927764</v>
      </c>
      <c r="F48" s="67" t="str">
        <f aca="false">IF(ROUND(D48,5)=0,"",IF(D48&gt;0,"F","U"))</f>
        <v>U</v>
      </c>
      <c r="G48" s="68" t="s">
        <v>1033</v>
      </c>
      <c r="H48" s="69" t="s">
        <v>250</v>
      </c>
      <c r="I48" s="70" t="s">
        <v>822</v>
      </c>
      <c r="J48" s="71" t="str">
        <f aca="false">IF(AND(ROUND(B48-K48,4)=0,ROUND(C48-L48,4)=0,TRUE()),"✓","✗")</f>
        <v>✓</v>
      </c>
      <c r="K48" s="72" t="n">
        <v>160</v>
      </c>
      <c r="L48" s="72" t="n">
        <v>171.224</v>
      </c>
    </row>
    <row r="50" customFormat="false" ht="18" hidden="false" customHeight="true" outlineLevel="0" collapsed="false">
      <c r="A50" s="44" t="s">
        <v>163</v>
      </c>
      <c r="B50" s="45"/>
      <c r="C50" s="45"/>
      <c r="D50" s="45"/>
      <c r="E50" s="45"/>
      <c r="F50" s="45"/>
      <c r="G50" s="45"/>
      <c r="H50" s="45"/>
      <c r="I50" s="45"/>
      <c r="J50" s="45"/>
      <c r="K50" s="45"/>
      <c r="L50" s="45"/>
    </row>
    <row r="51" customFormat="false" ht="48" hidden="false" customHeight="true" outlineLevel="0" collapsed="false">
      <c r="A51" s="11" t="s">
        <v>153</v>
      </c>
      <c r="B51" s="34" t="n">
        <v>1800</v>
      </c>
      <c r="C51" s="34" t="n">
        <v>1794.762</v>
      </c>
      <c r="D51" s="25" t="n">
        <f aca="false">B51-C51</f>
        <v>5.23800000000006</v>
      </c>
      <c r="E51" s="26" t="n">
        <f aca="false">IF(C51=0,"n/m",D51/ABS(C51))</f>
        <v>0.00291849281408903</v>
      </c>
      <c r="F51" s="49" t="str">
        <f aca="false">IF(ROUND(D51,5)=0,"",IF(D51&gt;0,"F","U"))</f>
        <v>F</v>
      </c>
      <c r="G51" s="63" t="s">
        <v>1000</v>
      </c>
      <c r="H51" s="50" t="s">
        <v>180</v>
      </c>
      <c r="I51" s="18" t="s">
        <v>191</v>
      </c>
      <c r="J51" s="52" t="s">
        <v>182</v>
      </c>
    </row>
    <row r="52" customFormat="false" ht="27.75" hidden="false" customHeight="true" outlineLevel="0" collapsed="false">
      <c r="A52" s="11" t="s">
        <v>154</v>
      </c>
      <c r="B52" s="34" t="n">
        <v>200</v>
      </c>
      <c r="C52" s="34" t="n">
        <v>205</v>
      </c>
      <c r="D52" s="25" t="n">
        <f aca="false">B52-C52</f>
        <v>-5</v>
      </c>
      <c r="E52" s="26" t="n">
        <f aca="false">IF(C52=0,"n/m",D52/ABS(C52))</f>
        <v>-0.024390243902439</v>
      </c>
      <c r="F52" s="49" t="str">
        <f aca="false">IF(ROUND(D52,5)=0,"",IF(D52&gt;0,"F","U"))</f>
        <v>U</v>
      </c>
      <c r="G52" s="63" t="s">
        <v>1001</v>
      </c>
      <c r="H52" s="50" t="s">
        <v>184</v>
      </c>
      <c r="I52" s="18" t="s">
        <v>191</v>
      </c>
      <c r="J52" s="52" t="s">
        <v>182</v>
      </c>
    </row>
    <row r="53" customFormat="false" ht="40.5" hidden="false" customHeight="true" outlineLevel="0" collapsed="false">
      <c r="A53" s="53" t="s">
        <v>91</v>
      </c>
      <c r="B53" s="37" t="n">
        <f aca="false">B51+B52</f>
        <v>2000</v>
      </c>
      <c r="C53" s="37" t="n">
        <f aca="false">C51+C52</f>
        <v>1999.762</v>
      </c>
      <c r="D53" s="37" t="n">
        <f aca="false">B53-C53</f>
        <v>0.238000000000056</v>
      </c>
      <c r="E53" s="54" t="n">
        <f aca="false">IF(C53=0,"n/m",D53/ABS(C53))</f>
        <v>0.000119014162685388</v>
      </c>
      <c r="F53" s="55" t="str">
        <f aca="false">IF(ROUND(D53,5)=0,"",IF(D53&gt;0,"F","U"))</f>
        <v>F</v>
      </c>
      <c r="G53" s="56" t="s">
        <v>1002</v>
      </c>
      <c r="H53" s="57" t="s">
        <v>186</v>
      </c>
      <c r="I53" s="58" t="s">
        <v>822</v>
      </c>
      <c r="J53" s="59" t="str">
        <f aca="false">IF(AND(ROUND(B53-K53,4)=0,ROUND(C53-L53,4)=0,TRUE()),"✓","✗")</f>
        <v>✓</v>
      </c>
      <c r="K53" s="60" t="n">
        <v>2000</v>
      </c>
      <c r="L53" s="60" t="n">
        <v>1999.762</v>
      </c>
    </row>
    <row r="54" customFormat="false" ht="60" hidden="false" customHeight="true" outlineLevel="0" collapsed="false">
      <c r="A54" s="11" t="s">
        <v>164</v>
      </c>
      <c r="B54" s="25" t="n">
        <f aca="false">B55+B56+B57+B58+B59+B60+B61</f>
        <v>544</v>
      </c>
      <c r="C54" s="25" t="n">
        <f aca="false">C55+C56+C57+C58+C59+C60+C61</f>
        <v>537.38315</v>
      </c>
      <c r="D54" s="25" t="n">
        <f aca="false">B54-C54</f>
        <v>6.61685</v>
      </c>
      <c r="E54" s="26" t="n">
        <f aca="false">IF(C54=0,"n/m",D54/ABS(C54))</f>
        <v>0.012313095414324</v>
      </c>
      <c r="F54" s="49" t="str">
        <f aca="false">IF(ROUND(D54,5)=0,"",IF(D54&lt;0,"F","U"))</f>
        <v>U</v>
      </c>
      <c r="G54" s="6" t="s">
        <v>1034</v>
      </c>
      <c r="H54" s="50" t="s">
        <v>188</v>
      </c>
      <c r="I54" s="51" t="s">
        <v>822</v>
      </c>
      <c r="J54" s="52" t="str">
        <f aca="false">IF(AND(ROUND(B54-K54,4)=0,ROUND(C54-L54,4)=0,TRUE()),"✓","✗")</f>
        <v>✓</v>
      </c>
      <c r="K54" s="61" t="n">
        <v>544</v>
      </c>
      <c r="L54" s="61" t="n">
        <v>537.38315</v>
      </c>
    </row>
    <row r="55" customFormat="false" ht="15" hidden="false" customHeight="true" outlineLevel="1" collapsed="false">
      <c r="A55" s="62" t="s">
        <v>257</v>
      </c>
      <c r="B55" s="34" t="n">
        <v>140</v>
      </c>
      <c r="C55" s="34" t="n">
        <v>139</v>
      </c>
      <c r="D55" s="25" t="n">
        <f aca="false">B55-C55</f>
        <v>1</v>
      </c>
      <c r="E55" s="26" t="n">
        <f aca="false">IF(C55=0,"n/m",D55/ABS(C55))</f>
        <v>0.00719424460431655</v>
      </c>
      <c r="F55" s="49" t="str">
        <f aca="false">IF(ROUND(D55,5)=0,"",IF(D55&lt;0,"F","U"))</f>
        <v>U</v>
      </c>
      <c r="G55" s="63" t="s">
        <v>1035</v>
      </c>
      <c r="I55" s="18" t="s">
        <v>191</v>
      </c>
      <c r="J55" s="52" t="s">
        <v>182</v>
      </c>
    </row>
    <row r="56" customFormat="false" ht="36.75" hidden="false" customHeight="true" outlineLevel="1" collapsed="false">
      <c r="A56" s="62" t="s">
        <v>259</v>
      </c>
      <c r="B56" s="34" t="n">
        <v>100</v>
      </c>
      <c r="C56" s="34" t="n">
        <v>102.65125</v>
      </c>
      <c r="D56" s="25" t="n">
        <f aca="false">B56-C56</f>
        <v>-2.65125</v>
      </c>
      <c r="E56" s="26" t="n">
        <f aca="false">IF(C56=0,"n/m",D56/ABS(C56))</f>
        <v>-0.0258277419904775</v>
      </c>
      <c r="F56" s="49" t="str">
        <f aca="false">IF(ROUND(D56,5)=0,"",IF(D56&lt;0,"F","U"))</f>
        <v>F</v>
      </c>
      <c r="G56" s="63" t="s">
        <v>1036</v>
      </c>
      <c r="H56" s="50" t="s">
        <v>194</v>
      </c>
      <c r="I56" s="18" t="s">
        <v>191</v>
      </c>
      <c r="J56" s="52" t="s">
        <v>182</v>
      </c>
    </row>
    <row r="57" customFormat="false" ht="36.75" hidden="false" customHeight="true" outlineLevel="1" collapsed="false">
      <c r="A57" s="62" t="s">
        <v>261</v>
      </c>
      <c r="B57" s="34" t="n">
        <v>160</v>
      </c>
      <c r="C57" s="34" t="n">
        <v>153.796</v>
      </c>
      <c r="D57" s="25" t="n">
        <f aca="false">B57-C57</f>
        <v>6.20400000000001</v>
      </c>
      <c r="E57" s="26" t="n">
        <f aca="false">IF(C57=0,"n/m",D57/ABS(C57))</f>
        <v>0.0403391505630836</v>
      </c>
      <c r="F57" s="49" t="str">
        <f aca="false">IF(ROUND(D57,5)=0,"",IF(D57&lt;0,"F","U"))</f>
        <v>U</v>
      </c>
      <c r="G57" s="63" t="s">
        <v>1037</v>
      </c>
      <c r="H57" s="50" t="s">
        <v>200</v>
      </c>
      <c r="I57" s="18" t="s">
        <v>191</v>
      </c>
      <c r="J57" s="52" t="s">
        <v>182</v>
      </c>
    </row>
    <row r="58" customFormat="false" ht="25.5" hidden="false" customHeight="true" outlineLevel="1" collapsed="false">
      <c r="A58" s="62" t="s">
        <v>263</v>
      </c>
      <c r="B58" s="34" t="n">
        <v>84</v>
      </c>
      <c r="C58" s="34" t="n">
        <v>83.5359</v>
      </c>
      <c r="D58" s="25" t="n">
        <f aca="false">B58-C58</f>
        <v>0.464100000000002</v>
      </c>
      <c r="E58" s="26" t="n">
        <f aca="false">IF(C58=0,"n/m",D58/ABS(C58))</f>
        <v>0.0055556952160688</v>
      </c>
      <c r="F58" s="49" t="str">
        <f aca="false">IF(ROUND(D58,5)=0,"",IF(D58&lt;0,"F","U"))</f>
        <v>U</v>
      </c>
      <c r="G58" s="63" t="s">
        <v>1038</v>
      </c>
      <c r="H58" s="50" t="s">
        <v>197</v>
      </c>
      <c r="I58" s="18" t="s">
        <v>191</v>
      </c>
      <c r="J58" s="52" t="s">
        <v>182</v>
      </c>
    </row>
    <row r="59" customFormat="false" ht="36.75" hidden="false" customHeight="true" outlineLevel="1" collapsed="false">
      <c r="A59" s="62" t="s">
        <v>265</v>
      </c>
      <c r="B59" s="34" t="n">
        <v>20</v>
      </c>
      <c r="C59" s="34" t="n">
        <v>18.4</v>
      </c>
      <c r="D59" s="25" t="n">
        <f aca="false">B59-C59</f>
        <v>1.6</v>
      </c>
      <c r="E59" s="26" t="n">
        <f aca="false">IF(C59=0,"n/m",D59/ABS(C59))</f>
        <v>0.0869565217391305</v>
      </c>
      <c r="F59" s="49" t="str">
        <f aca="false">IF(ROUND(D59,5)=0,"",IF(D59&lt;0,"F","U"))</f>
        <v>U</v>
      </c>
      <c r="G59" s="63" t="s">
        <v>1039</v>
      </c>
      <c r="H59" s="50" t="s">
        <v>221</v>
      </c>
      <c r="I59" s="18" t="s">
        <v>191</v>
      </c>
      <c r="J59" s="52" t="s">
        <v>182</v>
      </c>
    </row>
    <row r="60" customFormat="false" ht="25.5" hidden="false" customHeight="true" outlineLevel="1" collapsed="false">
      <c r="A60" s="62" t="s">
        <v>267</v>
      </c>
      <c r="B60" s="34" t="n">
        <v>20</v>
      </c>
      <c r="C60" s="34" t="n">
        <v>20</v>
      </c>
      <c r="D60" s="25" t="n">
        <f aca="false">B60-C60</f>
        <v>0</v>
      </c>
      <c r="E60" s="26" t="n">
        <f aca="false">IF(C60=0,"n/m",D60/ABS(C60))</f>
        <v>0</v>
      </c>
      <c r="F60" s="49" t="str">
        <f aca="false">IF(ROUND(D60,5)=0,"",IF(D60&lt;0,"F","U"))</f>
        <v/>
      </c>
      <c r="G60" s="63" t="s">
        <v>1040</v>
      </c>
      <c r="H60" s="50" t="s">
        <v>206</v>
      </c>
      <c r="I60" s="18" t="s">
        <v>191</v>
      </c>
      <c r="J60" s="52" t="s">
        <v>182</v>
      </c>
    </row>
    <row r="61" customFormat="false" ht="15" hidden="false" customHeight="true" outlineLevel="1" collapsed="false">
      <c r="A61" s="62" t="s">
        <v>269</v>
      </c>
      <c r="B61" s="34" t="n">
        <v>20</v>
      </c>
      <c r="C61" s="34" t="n">
        <v>20</v>
      </c>
      <c r="D61" s="25" t="n">
        <f aca="false">B61-C61</f>
        <v>0</v>
      </c>
      <c r="E61" s="26" t="n">
        <f aca="false">IF(C61=0,"n/m",D61/ABS(C61))</f>
        <v>0</v>
      </c>
      <c r="F61" s="49" t="str">
        <f aca="false">IF(ROUND(D61,5)=0,"",IF(D61&lt;0,"F","U"))</f>
        <v/>
      </c>
      <c r="G61" s="63" t="s">
        <v>1041</v>
      </c>
      <c r="I61" s="18" t="s">
        <v>191</v>
      </c>
      <c r="J61" s="52" t="s">
        <v>182</v>
      </c>
    </row>
    <row r="62" customFormat="false" ht="25.5" hidden="false" customHeight="true" outlineLevel="0" collapsed="false">
      <c r="A62" s="11" t="s">
        <v>165</v>
      </c>
      <c r="B62" s="25" t="n">
        <f aca="false">B63</f>
        <v>120</v>
      </c>
      <c r="C62" s="25" t="n">
        <f aca="false">C63</f>
        <v>119.412</v>
      </c>
      <c r="D62" s="25" t="n">
        <f aca="false">B62-C62</f>
        <v>0.587999999999994</v>
      </c>
      <c r="E62" s="26" t="n">
        <f aca="false">IF(C62=0,"n/m",D62/ABS(C62))</f>
        <v>0.00492412822831871</v>
      </c>
      <c r="F62" s="49" t="str">
        <f aca="false">IF(ROUND(D62,5)=0,"",IF(D62&lt;0,"F","U"))</f>
        <v>U</v>
      </c>
      <c r="G62" s="6" t="s">
        <v>1042</v>
      </c>
      <c r="H62" s="50" t="s">
        <v>210</v>
      </c>
      <c r="I62" s="51" t="s">
        <v>822</v>
      </c>
      <c r="J62" s="52" t="str">
        <f aca="false">IF(AND(ROUND(B62-K62,4)=0,ROUND(C62-L62,4)=0,TRUE()),"✓","✗")</f>
        <v>✓</v>
      </c>
      <c r="K62" s="61" t="n">
        <v>120</v>
      </c>
      <c r="L62" s="61" t="n">
        <v>119.412</v>
      </c>
    </row>
    <row r="63" customFormat="false" ht="25.5" hidden="false" customHeight="true" outlineLevel="1" collapsed="false">
      <c r="A63" s="62" t="s">
        <v>272</v>
      </c>
      <c r="B63" s="34" t="n">
        <v>120</v>
      </c>
      <c r="C63" s="34" t="n">
        <v>119.412</v>
      </c>
      <c r="D63" s="25" t="n">
        <f aca="false">B63-C63</f>
        <v>0.587999999999994</v>
      </c>
      <c r="E63" s="26" t="n">
        <f aca="false">IF(C63=0,"n/m",D63/ABS(C63))</f>
        <v>0.00492412822831871</v>
      </c>
      <c r="F63" s="49" t="str">
        <f aca="false">IF(ROUND(D63,5)=0,"",IF(D63&lt;0,"F","U"))</f>
        <v>U</v>
      </c>
      <c r="G63" s="63" t="s">
        <v>1043</v>
      </c>
      <c r="H63" s="50" t="s">
        <v>210</v>
      </c>
      <c r="I63" s="18" t="s">
        <v>191</v>
      </c>
      <c r="J63" s="52" t="s">
        <v>182</v>
      </c>
    </row>
    <row r="64" customFormat="false" ht="60" hidden="false" customHeight="true" outlineLevel="0" collapsed="false">
      <c r="A64" s="53" t="s">
        <v>166</v>
      </c>
      <c r="B64" s="37" t="n">
        <f aca="false">B54+B62</f>
        <v>664</v>
      </c>
      <c r="C64" s="37" t="n">
        <f aca="false">C54+C62</f>
        <v>656.79515</v>
      </c>
      <c r="D64" s="37" t="n">
        <f aca="false">B64-C64</f>
        <v>7.20484999999997</v>
      </c>
      <c r="E64" s="54" t="n">
        <f aca="false">IF(C64=0,"n/m",D64/ABS(C64))</f>
        <v>0.0109697064602258</v>
      </c>
      <c r="F64" s="55" t="str">
        <f aca="false">IF(ROUND(D64,5)=0,"",IF(D64&lt;0,"F","U"))</f>
        <v>U</v>
      </c>
      <c r="G64" s="56" t="s">
        <v>1044</v>
      </c>
      <c r="H64" s="57" t="s">
        <v>212</v>
      </c>
      <c r="I64" s="58" t="s">
        <v>822</v>
      </c>
      <c r="J64" s="59" t="str">
        <f aca="false">IF(AND(ROUND(B64-K64,4)=0,ROUND(C64-L64,4)=0,TRUE()),"✓","✗")</f>
        <v>✓</v>
      </c>
      <c r="K64" s="60" t="n">
        <v>664</v>
      </c>
      <c r="L64" s="60" t="n">
        <v>656.79515</v>
      </c>
    </row>
    <row r="65" customFormat="false" ht="60" hidden="false" customHeight="true" outlineLevel="0" collapsed="false">
      <c r="A65" s="64" t="s">
        <v>167</v>
      </c>
      <c r="B65" s="65" t="n">
        <f aca="false">B53-B64</f>
        <v>1336</v>
      </c>
      <c r="C65" s="65" t="n">
        <f aca="false">C53-C64</f>
        <v>1342.96685</v>
      </c>
      <c r="D65" s="65" t="n">
        <f aca="false">B65-C65</f>
        <v>-6.9668499999998</v>
      </c>
      <c r="E65" s="66" t="n">
        <f aca="false">IF(C65=0,"n/m",D65/ABS(C65))</f>
        <v>-0.0051876559722973</v>
      </c>
      <c r="F65" s="67" t="str">
        <f aca="false">IF(ROUND(D65,5)=0,"",IF(D65&gt;0,"F","U"))</f>
        <v>U</v>
      </c>
      <c r="G65" s="68" t="s">
        <v>1045</v>
      </c>
      <c r="H65" s="69" t="s">
        <v>214</v>
      </c>
      <c r="I65" s="70" t="s">
        <v>822</v>
      </c>
      <c r="J65" s="71" t="str">
        <f aca="false">IF(AND(ROUND(B65-K65,4)=0,ROUND(C65-L65,4)=0,TRUE()),"✓","✗")</f>
        <v>✓</v>
      </c>
      <c r="K65" s="72" t="n">
        <v>1336</v>
      </c>
      <c r="L65" s="72" t="n">
        <v>1342.96685</v>
      </c>
    </row>
    <row r="66" customFormat="false" ht="48" hidden="false" customHeight="true" outlineLevel="0" collapsed="false">
      <c r="A66" s="11" t="s">
        <v>168</v>
      </c>
      <c r="B66" s="25" t="n">
        <f aca="false">B67+B68+B69+B70+B71</f>
        <v>436</v>
      </c>
      <c r="C66" s="25" t="n">
        <f aca="false">C67+C68+C69+C70+C71</f>
        <v>442.1891</v>
      </c>
      <c r="D66" s="25" t="n">
        <f aca="false">B66-C66</f>
        <v>-6.1891</v>
      </c>
      <c r="E66" s="26" t="n">
        <f aca="false">IF(C66=0,"n/m",D66/ABS(C66))</f>
        <v>-0.0139965005921675</v>
      </c>
      <c r="F66" s="49" t="str">
        <f aca="false">IF(ROUND(D66,5)=0,"",IF(D66&lt;0,"F","U"))</f>
        <v>F</v>
      </c>
      <c r="G66" s="6" t="s">
        <v>1046</v>
      </c>
      <c r="H66" s="50" t="s">
        <v>277</v>
      </c>
      <c r="I66" s="51" t="s">
        <v>822</v>
      </c>
      <c r="J66" s="52" t="str">
        <f aca="false">IF(AND(ROUND(B66-K66,4)=0,ROUND(C66-L66,4)=0,TRUE()),"✓","✗")</f>
        <v>✓</v>
      </c>
      <c r="K66" s="61" t="n">
        <v>436</v>
      </c>
      <c r="L66" s="61" t="n">
        <v>442.1891</v>
      </c>
    </row>
    <row r="67" customFormat="false" ht="36.75" hidden="false" customHeight="true" outlineLevel="1" collapsed="false">
      <c r="A67" s="62" t="s">
        <v>278</v>
      </c>
      <c r="B67" s="34" t="n">
        <v>240</v>
      </c>
      <c r="C67" s="34" t="n">
        <v>251.388</v>
      </c>
      <c r="D67" s="25" t="n">
        <f aca="false">B67-C67</f>
        <v>-11.388</v>
      </c>
      <c r="E67" s="26" t="n">
        <f aca="false">IF(C67=0,"n/m",D67/ABS(C67))</f>
        <v>-0.0453004916702468</v>
      </c>
      <c r="F67" s="49" t="str">
        <f aca="false">IF(ROUND(D67,5)=0,"",IF(D67&lt;0,"F","U"))</f>
        <v>F</v>
      </c>
      <c r="G67" s="6" t="s">
        <v>1047</v>
      </c>
      <c r="H67" s="50" t="s">
        <v>227</v>
      </c>
      <c r="I67" s="51" t="s">
        <v>822</v>
      </c>
      <c r="J67" s="52" t="s">
        <v>182</v>
      </c>
    </row>
    <row r="68" customFormat="false" ht="25.5" hidden="false" customHeight="true" outlineLevel="1" collapsed="false">
      <c r="A68" s="62" t="s">
        <v>280</v>
      </c>
      <c r="B68" s="34" t="n">
        <v>36</v>
      </c>
      <c r="C68" s="34" t="n">
        <v>35.8011</v>
      </c>
      <c r="D68" s="25" t="n">
        <f aca="false">B68-C68</f>
        <v>0.198900000000002</v>
      </c>
      <c r="E68" s="26" t="n">
        <f aca="false">IF(C68=0,"n/m",D68/ABS(C68))</f>
        <v>0.00555569521606883</v>
      </c>
      <c r="F68" s="49" t="str">
        <f aca="false">IF(ROUND(D68,5)=0,"",IF(D68&lt;0,"F","U"))</f>
        <v>U</v>
      </c>
      <c r="G68" s="63" t="s">
        <v>1048</v>
      </c>
      <c r="H68" s="50" t="s">
        <v>229</v>
      </c>
      <c r="I68" s="18" t="s">
        <v>191</v>
      </c>
      <c r="J68" s="52" t="s">
        <v>182</v>
      </c>
    </row>
    <row r="69" customFormat="false" ht="48" hidden="false" customHeight="true" outlineLevel="1" collapsed="false">
      <c r="A69" s="62" t="s">
        <v>282</v>
      </c>
      <c r="B69" s="34" t="n">
        <v>100</v>
      </c>
      <c r="C69" s="34" t="n">
        <v>101</v>
      </c>
      <c r="D69" s="25" t="n">
        <f aca="false">B69-C69</f>
        <v>-1</v>
      </c>
      <c r="E69" s="26" t="n">
        <f aca="false">IF(C69=0,"n/m",D69/ABS(C69))</f>
        <v>-0.0099009900990099</v>
      </c>
      <c r="F69" s="49" t="str">
        <f aca="false">IF(ROUND(D69,5)=0,"",IF(D69&lt;0,"F","U"))</f>
        <v>F</v>
      </c>
      <c r="G69" s="63" t="s">
        <v>1049</v>
      </c>
      <c r="H69" s="50" t="s">
        <v>232</v>
      </c>
      <c r="I69" s="18" t="s">
        <v>191</v>
      </c>
      <c r="J69" s="52" t="s">
        <v>182</v>
      </c>
    </row>
    <row r="70" customFormat="false" ht="15" hidden="false" customHeight="true" outlineLevel="1" collapsed="false">
      <c r="A70" s="62" t="s">
        <v>284</v>
      </c>
      <c r="B70" s="34" t="n">
        <v>40</v>
      </c>
      <c r="C70" s="34" t="n">
        <v>40</v>
      </c>
      <c r="D70" s="25" t="n">
        <f aca="false">B70-C70</f>
        <v>0</v>
      </c>
      <c r="E70" s="26" t="n">
        <f aca="false">IF(C70=0,"n/m",D70/ABS(C70))</f>
        <v>0</v>
      </c>
      <c r="F70" s="49" t="str">
        <f aca="false">IF(ROUND(D70,5)=0,"",IF(D70&lt;0,"F","U"))</f>
        <v/>
      </c>
      <c r="G70" s="63" t="s">
        <v>1050</v>
      </c>
      <c r="I70" s="18" t="s">
        <v>191</v>
      </c>
      <c r="J70" s="52" t="s">
        <v>182</v>
      </c>
    </row>
    <row r="71" customFormat="false" ht="27.75" hidden="false" customHeight="true" outlineLevel="1" collapsed="false">
      <c r="A71" s="62" t="s">
        <v>286</v>
      </c>
      <c r="B71" s="34" t="n">
        <v>20</v>
      </c>
      <c r="C71" s="34" t="n">
        <v>14</v>
      </c>
      <c r="D71" s="25" t="n">
        <f aca="false">B71-C71</f>
        <v>6</v>
      </c>
      <c r="E71" s="26" t="n">
        <f aca="false">IF(C71=0,"n/m",D71/ABS(C71))</f>
        <v>0.428571428571429</v>
      </c>
      <c r="F71" s="49" t="str">
        <f aca="false">IF(ROUND(D71,5)=0,"",IF(D71&lt;0,"F","U"))</f>
        <v>U</v>
      </c>
      <c r="G71" s="6" t="s">
        <v>1051</v>
      </c>
      <c r="H71" s="50" t="s">
        <v>236</v>
      </c>
      <c r="I71" s="51" t="s">
        <v>822</v>
      </c>
      <c r="J71" s="52" t="s">
        <v>182</v>
      </c>
    </row>
    <row r="72" customFormat="false" ht="60" hidden="false" customHeight="true" outlineLevel="0" collapsed="false">
      <c r="A72" s="64" t="s">
        <v>169</v>
      </c>
      <c r="B72" s="65" t="n">
        <f aca="false">B65-B66</f>
        <v>900</v>
      </c>
      <c r="C72" s="65" t="n">
        <f aca="false">C65-C66</f>
        <v>900.77775</v>
      </c>
      <c r="D72" s="65" t="n">
        <f aca="false">B72-C72</f>
        <v>-0.777749999999742</v>
      </c>
      <c r="E72" s="66" t="n">
        <f aca="false">IF(C72=0,"n/m",D72/ABS(C72))</f>
        <v>-0.000863420527427262</v>
      </c>
      <c r="F72" s="67" t="str">
        <f aca="false">IF(ROUND(D72,5)=0,"",IF(D72&gt;0,"F","U"))</f>
        <v>U</v>
      </c>
      <c r="G72" s="68" t="s">
        <v>1052</v>
      </c>
      <c r="H72" s="69" t="s">
        <v>289</v>
      </c>
      <c r="I72" s="70" t="s">
        <v>822</v>
      </c>
      <c r="J72" s="71" t="str">
        <f aca="false">IF(AND(ROUND(B72-K72,4)=0,ROUND(C72-L72,4)=0,TRUE()),"✓","✗")</f>
        <v>✓</v>
      </c>
      <c r="K72" s="72" t="n">
        <v>900</v>
      </c>
      <c r="L72" s="72" t="n">
        <v>900.77775</v>
      </c>
    </row>
    <row r="73" customFormat="false" ht="36.75" hidden="false" customHeight="true" outlineLevel="0" collapsed="false">
      <c r="A73" s="11" t="s">
        <v>170</v>
      </c>
      <c r="B73" s="25" t="n">
        <f aca="false">B74+B75+B76</f>
        <v>60</v>
      </c>
      <c r="C73" s="25" t="n">
        <f aca="false">C74+C75+C76</f>
        <v>61.6</v>
      </c>
      <c r="D73" s="25" t="n">
        <f aca="false">B73-C73</f>
        <v>-1.6</v>
      </c>
      <c r="E73" s="26" t="n">
        <f aca="false">IF(C73=0,"n/m",D73/ABS(C73))</f>
        <v>-0.025974025974026</v>
      </c>
      <c r="F73" s="49" t="str">
        <f aca="false">IF(ROUND(D73,5)=0,"",IF(D73&lt;0,"F","U"))</f>
        <v>F</v>
      </c>
      <c r="G73" s="6" t="s">
        <v>1053</v>
      </c>
      <c r="H73" s="50" t="s">
        <v>291</v>
      </c>
      <c r="I73" s="51" t="s">
        <v>822</v>
      </c>
      <c r="J73" s="52" t="str">
        <f aca="false">IF(AND(ROUND(B73-K73,4)=0,ROUND(C73-L73,4)=0,TRUE()),"✓","✗")</f>
        <v>✓</v>
      </c>
      <c r="K73" s="61" t="n">
        <v>60</v>
      </c>
      <c r="L73" s="61" t="n">
        <v>61.6</v>
      </c>
    </row>
    <row r="74" customFormat="false" ht="36.75" hidden="false" customHeight="true" outlineLevel="1" collapsed="false">
      <c r="A74" s="62" t="s">
        <v>265</v>
      </c>
      <c r="B74" s="34" t="n">
        <v>30</v>
      </c>
      <c r="C74" s="34" t="n">
        <v>31.6</v>
      </c>
      <c r="D74" s="25" t="n">
        <f aca="false">B74-C74</f>
        <v>-1.6</v>
      </c>
      <c r="E74" s="26" t="n">
        <f aca="false">IF(C74=0,"n/m",D74/ABS(C74))</f>
        <v>-0.0506329113924051</v>
      </c>
      <c r="F74" s="49" t="str">
        <f aca="false">IF(ROUND(D74,5)=0,"",IF(D74&lt;0,"F","U"))</f>
        <v>F</v>
      </c>
      <c r="G74" s="63" t="s">
        <v>1054</v>
      </c>
      <c r="H74" s="50" t="s">
        <v>293</v>
      </c>
      <c r="I74" s="18" t="s">
        <v>191</v>
      </c>
      <c r="J74" s="52" t="s">
        <v>182</v>
      </c>
    </row>
    <row r="75" customFormat="false" ht="25.5" hidden="false" customHeight="true" outlineLevel="1" collapsed="false">
      <c r="A75" s="62" t="s">
        <v>267</v>
      </c>
      <c r="B75" s="34" t="n">
        <v>10</v>
      </c>
      <c r="C75" s="34" t="n">
        <v>10</v>
      </c>
      <c r="D75" s="25" t="n">
        <f aca="false">B75-C75</f>
        <v>0</v>
      </c>
      <c r="E75" s="26" t="n">
        <f aca="false">IF(C75=0,"n/m",D75/ABS(C75))</f>
        <v>0</v>
      </c>
      <c r="F75" s="49" t="str">
        <f aca="false">IF(ROUND(D75,5)=0,"",IF(D75&lt;0,"F","U"))</f>
        <v/>
      </c>
      <c r="G75" s="63" t="s">
        <v>1040</v>
      </c>
      <c r="H75" s="50" t="s">
        <v>239</v>
      </c>
      <c r="I75" s="18" t="s">
        <v>191</v>
      </c>
      <c r="J75" s="52" t="s">
        <v>182</v>
      </c>
    </row>
    <row r="76" customFormat="false" ht="15" hidden="false" customHeight="true" outlineLevel="1" collapsed="false">
      <c r="A76" s="62" t="s">
        <v>269</v>
      </c>
      <c r="B76" s="34" t="n">
        <v>20</v>
      </c>
      <c r="C76" s="34" t="n">
        <v>20</v>
      </c>
      <c r="D76" s="25" t="n">
        <f aca="false">B76-C76</f>
        <v>0</v>
      </c>
      <c r="E76" s="26" t="n">
        <f aca="false">IF(C76=0,"n/m",D76/ABS(C76))</f>
        <v>0</v>
      </c>
      <c r="F76" s="49" t="str">
        <f aca="false">IF(ROUND(D76,5)=0,"",IF(D76&lt;0,"F","U"))</f>
        <v/>
      </c>
      <c r="G76" s="63" t="s">
        <v>1041</v>
      </c>
      <c r="I76" s="18" t="s">
        <v>191</v>
      </c>
      <c r="J76" s="52" t="s">
        <v>182</v>
      </c>
    </row>
    <row r="77" customFormat="false" ht="48" hidden="false" customHeight="true" outlineLevel="0" collapsed="false">
      <c r="A77" s="11" t="s">
        <v>157</v>
      </c>
      <c r="B77" s="25" t="n">
        <f aca="false">B78+B79+B80+B81+B82</f>
        <v>420</v>
      </c>
      <c r="C77" s="25" t="n">
        <f aca="false">C78+C79+C80+C81+C82</f>
        <v>428.95375</v>
      </c>
      <c r="D77" s="25" t="n">
        <f aca="false">B77-C77</f>
        <v>-8.95375000000001</v>
      </c>
      <c r="E77" s="26" t="n">
        <f aca="false">IF(C77=0,"n/m",D77/ABS(C77))</f>
        <v>-0.0208734624653591</v>
      </c>
      <c r="F77" s="49" t="str">
        <f aca="false">IF(ROUND(D77,5)=0,"",IF(D77&lt;0,"F","U"))</f>
        <v>F</v>
      </c>
      <c r="G77" s="6" t="s">
        <v>1014</v>
      </c>
      <c r="H77" s="50" t="s">
        <v>216</v>
      </c>
      <c r="I77" s="51" t="s">
        <v>822</v>
      </c>
      <c r="J77" s="52" t="str">
        <f aca="false">IF(AND(ROUND(B77-K77,4)=0,ROUND(C77-L77,4)=0,TRUE()),"✓","✗")</f>
        <v>✓</v>
      </c>
      <c r="K77" s="61" t="n">
        <v>420</v>
      </c>
      <c r="L77" s="61" t="n">
        <v>428.95375</v>
      </c>
    </row>
    <row r="78" customFormat="false" ht="36.75" hidden="false" customHeight="true" outlineLevel="1" collapsed="false">
      <c r="A78" s="62" t="s">
        <v>296</v>
      </c>
      <c r="B78" s="34" t="n">
        <v>300</v>
      </c>
      <c r="C78" s="34" t="n">
        <v>307.95375</v>
      </c>
      <c r="D78" s="25" t="n">
        <f aca="false">B78-C78</f>
        <v>-7.95375000000001</v>
      </c>
      <c r="E78" s="26" t="n">
        <f aca="false">IF(C78=0,"n/m",D78/ABS(C78))</f>
        <v>-0.0258277419904775</v>
      </c>
      <c r="F78" s="49" t="str">
        <f aca="false">IF(ROUND(D78,5)=0,"",IF(D78&lt;0,"F","U"))</f>
        <v>F</v>
      </c>
      <c r="G78" s="63" t="s">
        <v>1055</v>
      </c>
      <c r="H78" s="50" t="s">
        <v>218</v>
      </c>
      <c r="I78" s="18" t="s">
        <v>191</v>
      </c>
      <c r="J78" s="52" t="s">
        <v>182</v>
      </c>
    </row>
    <row r="79" customFormat="false" ht="15" hidden="false" customHeight="true" outlineLevel="1" collapsed="false">
      <c r="A79" s="62" t="s">
        <v>298</v>
      </c>
      <c r="B79" s="34" t="n">
        <v>40</v>
      </c>
      <c r="C79" s="34" t="n">
        <v>41</v>
      </c>
      <c r="D79" s="25" t="n">
        <f aca="false">B79-C79</f>
        <v>-1</v>
      </c>
      <c r="E79" s="26" t="n">
        <f aca="false">IF(C79=0,"n/m",D79/ABS(C79))</f>
        <v>-0.024390243902439</v>
      </c>
      <c r="F79" s="49" t="str">
        <f aca="false">IF(ROUND(D79,5)=0,"",IF(D79&lt;0,"F","U"))</f>
        <v>F</v>
      </c>
      <c r="G79" s="63" t="s">
        <v>1056</v>
      </c>
      <c r="I79" s="18" t="s">
        <v>191</v>
      </c>
      <c r="J79" s="52" t="s">
        <v>182</v>
      </c>
    </row>
    <row r="80" customFormat="false" ht="36.75" hidden="false" customHeight="true" outlineLevel="1" collapsed="false">
      <c r="A80" s="62" t="s">
        <v>265</v>
      </c>
      <c r="B80" s="34" t="n">
        <v>30</v>
      </c>
      <c r="C80" s="34" t="n">
        <v>30</v>
      </c>
      <c r="D80" s="25" t="n">
        <f aca="false">B80-C80</f>
        <v>0</v>
      </c>
      <c r="E80" s="26" t="n">
        <f aca="false">IF(C80=0,"n/m",D80/ABS(C80))</f>
        <v>0</v>
      </c>
      <c r="F80" s="49" t="str">
        <f aca="false">IF(ROUND(D80,5)=0,"",IF(D80&lt;0,"F","U"))</f>
        <v/>
      </c>
      <c r="G80" s="63" t="s">
        <v>1057</v>
      </c>
      <c r="H80" s="50" t="s">
        <v>293</v>
      </c>
      <c r="I80" s="18" t="s">
        <v>191</v>
      </c>
      <c r="J80" s="52" t="s">
        <v>182</v>
      </c>
    </row>
    <row r="81" customFormat="false" ht="25.5" hidden="false" customHeight="true" outlineLevel="1" collapsed="false">
      <c r="A81" s="62" t="s">
        <v>267</v>
      </c>
      <c r="B81" s="34" t="n">
        <v>20</v>
      </c>
      <c r="C81" s="34" t="n">
        <v>20</v>
      </c>
      <c r="D81" s="25" t="n">
        <f aca="false">B81-C81</f>
        <v>0</v>
      </c>
      <c r="E81" s="26" t="n">
        <f aca="false">IF(C81=0,"n/m",D81/ABS(C81))</f>
        <v>0</v>
      </c>
      <c r="F81" s="49" t="str">
        <f aca="false">IF(ROUND(D81,5)=0,"",IF(D81&lt;0,"F","U"))</f>
        <v/>
      </c>
      <c r="G81" s="63" t="s">
        <v>1040</v>
      </c>
      <c r="H81" s="50" t="s">
        <v>206</v>
      </c>
      <c r="I81" s="18" t="s">
        <v>191</v>
      </c>
      <c r="J81" s="52" t="s">
        <v>182</v>
      </c>
    </row>
    <row r="82" customFormat="false" ht="15" hidden="false" customHeight="true" outlineLevel="1" collapsed="false">
      <c r="A82" s="62" t="s">
        <v>269</v>
      </c>
      <c r="B82" s="34" t="n">
        <v>30</v>
      </c>
      <c r="C82" s="34" t="n">
        <v>30</v>
      </c>
      <c r="D82" s="25" t="n">
        <f aca="false">B82-C82</f>
        <v>0</v>
      </c>
      <c r="E82" s="26" t="n">
        <f aca="false">IF(C82=0,"n/m",D82/ABS(C82))</f>
        <v>0</v>
      </c>
      <c r="F82" s="49" t="str">
        <f aca="false">IF(ROUND(D82,5)=0,"",IF(D82&lt;0,"F","U"))</f>
        <v/>
      </c>
      <c r="G82" s="63" t="s">
        <v>1041</v>
      </c>
      <c r="I82" s="18" t="s">
        <v>191</v>
      </c>
      <c r="J82" s="52" t="s">
        <v>182</v>
      </c>
    </row>
    <row r="83" customFormat="false" ht="40.5" hidden="false" customHeight="true" outlineLevel="0" collapsed="false">
      <c r="A83" s="11" t="s">
        <v>159</v>
      </c>
      <c r="B83" s="25" t="n">
        <f aca="false">B84+B85+B86</f>
        <v>200</v>
      </c>
      <c r="C83" s="25" t="n">
        <f aca="false">C84+C85+C86</f>
        <v>181</v>
      </c>
      <c r="D83" s="25" t="n">
        <f aca="false">B83-C83</f>
        <v>19</v>
      </c>
      <c r="E83" s="26" t="n">
        <f aca="false">IF(C83=0,"n/m",D83/ABS(C83))</f>
        <v>0.104972375690608</v>
      </c>
      <c r="F83" s="49" t="str">
        <f aca="false">IF(ROUND(D83,5)=0,"",IF(D83&lt;0,"F","U"))</f>
        <v>U</v>
      </c>
      <c r="G83" s="6" t="s">
        <v>1058</v>
      </c>
      <c r="H83" s="50" t="s">
        <v>303</v>
      </c>
      <c r="I83" s="51" t="s">
        <v>822</v>
      </c>
      <c r="J83" s="52" t="str">
        <f aca="false">IF(AND(ROUND(B83-K83,4)=0,ROUND(C83-L83,4)=0,TRUE()),"✓","✗")</f>
        <v>✓</v>
      </c>
      <c r="K83" s="61" t="n">
        <v>200</v>
      </c>
      <c r="L83" s="61" t="n">
        <v>181</v>
      </c>
    </row>
    <row r="84" customFormat="false" ht="53.25" hidden="false" customHeight="true" outlineLevel="1" collapsed="false">
      <c r="A84" s="62" t="s">
        <v>304</v>
      </c>
      <c r="B84" s="34" t="n">
        <v>180</v>
      </c>
      <c r="C84" s="34" t="n">
        <v>161</v>
      </c>
      <c r="D84" s="25" t="n">
        <f aca="false">B84-C84</f>
        <v>19</v>
      </c>
      <c r="E84" s="26" t="n">
        <f aca="false">IF(C84=0,"n/m",D84/ABS(C84))</f>
        <v>0.118012422360248</v>
      </c>
      <c r="F84" s="49" t="str">
        <f aca="false">IF(ROUND(D84,5)=0,"",IF(D84&lt;0,"F","U"))</f>
        <v>U</v>
      </c>
      <c r="G84" s="6" t="s">
        <v>1059</v>
      </c>
      <c r="H84" s="50" t="s">
        <v>244</v>
      </c>
      <c r="I84" s="51" t="s">
        <v>822</v>
      </c>
      <c r="J84" s="52" t="s">
        <v>182</v>
      </c>
    </row>
    <row r="85" customFormat="false" ht="25.5" hidden="false" customHeight="true" outlineLevel="1" collapsed="false">
      <c r="A85" s="62" t="s">
        <v>267</v>
      </c>
      <c r="B85" s="34" t="n">
        <v>10</v>
      </c>
      <c r="C85" s="34" t="n">
        <v>10</v>
      </c>
      <c r="D85" s="25" t="n">
        <f aca="false">B85-C85</f>
        <v>0</v>
      </c>
      <c r="E85" s="26" t="n">
        <f aca="false">IF(C85=0,"n/m",D85/ABS(C85))</f>
        <v>0</v>
      </c>
      <c r="F85" s="49" t="str">
        <f aca="false">IF(ROUND(D85,5)=0,"",IF(D85&lt;0,"F","U"))</f>
        <v/>
      </c>
      <c r="G85" s="63" t="s">
        <v>1040</v>
      </c>
      <c r="H85" s="50" t="s">
        <v>239</v>
      </c>
      <c r="I85" s="18" t="s">
        <v>191</v>
      </c>
      <c r="J85" s="52" t="s">
        <v>182</v>
      </c>
    </row>
    <row r="86" customFormat="false" ht="15" hidden="false" customHeight="true" outlineLevel="1" collapsed="false">
      <c r="A86" s="62" t="s">
        <v>269</v>
      </c>
      <c r="B86" s="34" t="n">
        <v>10</v>
      </c>
      <c r="C86" s="34" t="n">
        <v>10</v>
      </c>
      <c r="D86" s="25" t="n">
        <f aca="false">B86-C86</f>
        <v>0</v>
      </c>
      <c r="E86" s="26" t="n">
        <f aca="false">IF(C86=0,"n/m",D86/ABS(C86))</f>
        <v>0</v>
      </c>
      <c r="F86" s="49" t="str">
        <f aca="false">IF(ROUND(D86,5)=0,"",IF(D86&lt;0,"F","U"))</f>
        <v/>
      </c>
      <c r="G86" s="63" t="s">
        <v>1041</v>
      </c>
      <c r="I86" s="18" t="s">
        <v>191</v>
      </c>
      <c r="J86" s="52" t="s">
        <v>182</v>
      </c>
    </row>
    <row r="87" customFormat="false" ht="48" hidden="false" customHeight="true" outlineLevel="0" collapsed="false">
      <c r="A87" s="53" t="s">
        <v>171</v>
      </c>
      <c r="B87" s="37" t="n">
        <f aca="false">B73+B77+B83</f>
        <v>680</v>
      </c>
      <c r="C87" s="37" t="n">
        <f aca="false">C73+C77+C83</f>
        <v>671.55375</v>
      </c>
      <c r="D87" s="37" t="n">
        <f aca="false">B87-C87</f>
        <v>8.44624999999996</v>
      </c>
      <c r="E87" s="54" t="n">
        <f aca="false">IF(C87=0,"n/m",D87/ABS(C87))</f>
        <v>0.0125771764359889</v>
      </c>
      <c r="F87" s="55" t="str">
        <f aca="false">IF(ROUND(D87,5)=0,"",IF(D87&lt;0,"F","U"))</f>
        <v>U</v>
      </c>
      <c r="G87" s="56" t="s">
        <v>1060</v>
      </c>
      <c r="H87" s="57" t="s">
        <v>308</v>
      </c>
      <c r="I87" s="58" t="s">
        <v>822</v>
      </c>
      <c r="J87" s="59" t="str">
        <f aca="false">IF(AND(ROUND(B87-K87,4)=0,ROUND(C87-L87,4)=0,TRUE()),"✓","✗")</f>
        <v>✓</v>
      </c>
      <c r="K87" s="60" t="n">
        <v>680</v>
      </c>
      <c r="L87" s="60" t="n">
        <v>671.55375</v>
      </c>
    </row>
    <row r="88" customFormat="false" ht="60" hidden="false" customHeight="true" outlineLevel="0" collapsed="false">
      <c r="A88" s="64" t="s">
        <v>96</v>
      </c>
      <c r="B88" s="65" t="n">
        <f aca="false">B72-B87</f>
        <v>220</v>
      </c>
      <c r="C88" s="65" t="n">
        <f aca="false">C72-C87</f>
        <v>229.224</v>
      </c>
      <c r="D88" s="65" t="n">
        <f aca="false">B88-C88</f>
        <v>-9.22399999999971</v>
      </c>
      <c r="E88" s="66" t="n">
        <f aca="false">IF(C88=0,"n/m",D88/ABS(C88))</f>
        <v>-0.0402401144731778</v>
      </c>
      <c r="F88" s="67" t="str">
        <f aca="false">IF(ROUND(D88,5)=0,"",IF(D88&gt;0,"F","U"))</f>
        <v>U</v>
      </c>
      <c r="G88" s="68" t="s">
        <v>1061</v>
      </c>
      <c r="H88" s="69" t="s">
        <v>250</v>
      </c>
      <c r="I88" s="70" t="s">
        <v>822</v>
      </c>
      <c r="J88" s="71" t="str">
        <f aca="false">IF(AND(ROUND(B88-K88,4)=0,ROUND(C88-L88,4)=0,TRUE()),"✓","✗")</f>
        <v>✓</v>
      </c>
      <c r="K88" s="72" t="n">
        <v>220</v>
      </c>
      <c r="L88" s="72" t="n">
        <v>229.224</v>
      </c>
    </row>
    <row r="89" customFormat="false" ht="15" hidden="false" customHeight="true" outlineLevel="0" collapsed="false">
      <c r="A89" s="11" t="s">
        <v>160</v>
      </c>
      <c r="B89" s="34" t="n">
        <v>10</v>
      </c>
      <c r="C89" s="34" t="n">
        <v>10</v>
      </c>
      <c r="D89" s="25" t="n">
        <f aca="false">B89-C89</f>
        <v>0</v>
      </c>
      <c r="E89" s="26" t="n">
        <f aca="false">IF(C89=0,"n/m",D89/ABS(C89))</f>
        <v>0</v>
      </c>
      <c r="F89" s="49" t="str">
        <f aca="false">IF(ROUND(D89,5)=0,"",IF(D89&gt;0,"F","U"))</f>
        <v/>
      </c>
      <c r="G89" s="63" t="s">
        <v>1029</v>
      </c>
      <c r="I89" s="18" t="s">
        <v>191</v>
      </c>
      <c r="J89" s="52" t="s">
        <v>182</v>
      </c>
    </row>
    <row r="90" customFormat="false" ht="15" hidden="false" customHeight="true" outlineLevel="0" collapsed="false">
      <c r="A90" s="11" t="s">
        <v>161</v>
      </c>
      <c r="B90" s="34" t="n">
        <v>30</v>
      </c>
      <c r="C90" s="34" t="n">
        <v>30</v>
      </c>
      <c r="D90" s="25" t="n">
        <f aca="false">B90-C90</f>
        <v>0</v>
      </c>
      <c r="E90" s="26" t="n">
        <f aca="false">IF(C90=0,"n/m",D90/ABS(C90))</f>
        <v>0</v>
      </c>
      <c r="F90" s="49" t="str">
        <f aca="false">IF(ROUND(D90,5)=0,"",IF(D90&lt;0,"F","U"))</f>
        <v/>
      </c>
      <c r="G90" s="63" t="s">
        <v>1030</v>
      </c>
      <c r="I90" s="18" t="s">
        <v>191</v>
      </c>
      <c r="J90" s="52" t="s">
        <v>182</v>
      </c>
    </row>
    <row r="91" customFormat="false" ht="27.75" hidden="false" customHeight="true" outlineLevel="0" collapsed="false">
      <c r="A91" s="11" t="s">
        <v>126</v>
      </c>
      <c r="B91" s="34" t="n">
        <v>40</v>
      </c>
      <c r="C91" s="34" t="n">
        <v>38</v>
      </c>
      <c r="D91" s="25" t="n">
        <f aca="false">B91-C91</f>
        <v>2</v>
      </c>
      <c r="E91" s="26" t="n">
        <f aca="false">IF(C91=0,"n/m",D91/ABS(C91))</f>
        <v>0.0526315789473684</v>
      </c>
      <c r="F91" s="49" t="str">
        <f aca="false">IF(ROUND(D91,5)=0,"",IF(D91&lt;0,"F","U"))</f>
        <v>U</v>
      </c>
      <c r="G91" s="63" t="s">
        <v>1032</v>
      </c>
      <c r="I91" s="18" t="s">
        <v>191</v>
      </c>
      <c r="J91" s="52" t="s">
        <v>182</v>
      </c>
    </row>
    <row r="92" customFormat="false" ht="60" hidden="false" customHeight="true" outlineLevel="0" collapsed="false">
      <c r="A92" s="64" t="s">
        <v>97</v>
      </c>
      <c r="B92" s="65" t="n">
        <f aca="false">B88+B89-B90-B91</f>
        <v>160</v>
      </c>
      <c r="C92" s="65" t="n">
        <f aca="false">C88+C89-C90-C91</f>
        <v>171.224</v>
      </c>
      <c r="D92" s="65" t="n">
        <f aca="false">B92-C92</f>
        <v>-11.2239999999997</v>
      </c>
      <c r="E92" s="66" t="n">
        <f aca="false">IF(C92=0,"n/m",D92/ABS(C92))</f>
        <v>-0.0655515581927751</v>
      </c>
      <c r="F92" s="67" t="str">
        <f aca="false">IF(ROUND(D92,5)=0,"",IF(D92&gt;0,"F","U"))</f>
        <v>U</v>
      </c>
      <c r="G92" s="68" t="s">
        <v>1062</v>
      </c>
      <c r="H92" s="69" t="s">
        <v>250</v>
      </c>
      <c r="I92" s="70" t="s">
        <v>822</v>
      </c>
      <c r="J92" s="71" t="str">
        <f aca="false">IF(AND(ROUND(B92-K92,4)=0,ROUND(C92-L92,4)=0,TRUE()),"✓","✗")</f>
        <v>✓</v>
      </c>
      <c r="K92" s="72" t="n">
        <v>160</v>
      </c>
      <c r="L92" s="72" t="n">
        <v>171.224</v>
      </c>
    </row>
    <row r="94" customFormat="false" ht="18" hidden="false" customHeight="true" outlineLevel="0" collapsed="false">
      <c r="A94" s="44" t="s">
        <v>311</v>
      </c>
      <c r="B94" s="45"/>
      <c r="C94" s="45"/>
      <c r="D94" s="45"/>
      <c r="E94" s="45"/>
      <c r="F94" s="45"/>
      <c r="G94" s="45"/>
      <c r="H94" s="45"/>
      <c r="I94" s="45"/>
      <c r="J94" s="45"/>
      <c r="K94" s="45"/>
      <c r="L94" s="45"/>
    </row>
    <row r="95" customFormat="false" ht="40.5" hidden="false" customHeight="true" outlineLevel="0" collapsed="false">
      <c r="A95" s="11" t="s">
        <v>312</v>
      </c>
      <c r="B95" s="25" t="n">
        <f aca="false">B96+B97</f>
        <v>2000</v>
      </c>
      <c r="C95" s="25" t="n">
        <f aca="false">C96+C97</f>
        <v>1999.762</v>
      </c>
      <c r="D95" s="25" t="n">
        <f aca="false">B95-C95</f>
        <v>0.238000000000056</v>
      </c>
      <c r="E95" s="26" t="n">
        <f aca="false">IF(C95=0,"n/m",D95/ABS(C95))</f>
        <v>0.000119014162685388</v>
      </c>
      <c r="F95" s="49" t="str">
        <f aca="false">IF(ROUND(D95,5)=0,"",IF(D95&gt;0,"F","U"))</f>
        <v>F</v>
      </c>
      <c r="G95" s="6" t="s">
        <v>1063</v>
      </c>
      <c r="H95" s="50" t="s">
        <v>186</v>
      </c>
      <c r="I95" s="51" t="s">
        <v>822</v>
      </c>
      <c r="J95" s="52" t="str">
        <f aca="false">IF(AND(ROUND(B95-K95,4)=0,ROUND(C95-L95,4)=0,TRUE()),"✓","✗")</f>
        <v>✓</v>
      </c>
      <c r="K95" s="61" t="n">
        <v>2000</v>
      </c>
      <c r="L95" s="61" t="n">
        <v>1999.762</v>
      </c>
    </row>
    <row r="96" customFormat="false" ht="48" hidden="false" customHeight="true" outlineLevel="1" collapsed="false">
      <c r="A96" s="62" t="s">
        <v>314</v>
      </c>
      <c r="B96" s="34" t="n">
        <v>1800</v>
      </c>
      <c r="C96" s="34" t="n">
        <v>1794.762</v>
      </c>
      <c r="D96" s="25" t="n">
        <f aca="false">B96-C96</f>
        <v>5.23800000000006</v>
      </c>
      <c r="E96" s="26" t="n">
        <f aca="false">IF(C96=0,"n/m",D96/ABS(C96))</f>
        <v>0.00291849281408903</v>
      </c>
      <c r="F96" s="49" t="str">
        <f aca="false">IF(ROUND(D96,5)=0,"",IF(D96&gt;0,"F","U"))</f>
        <v>F</v>
      </c>
      <c r="G96" s="63" t="s">
        <v>1000</v>
      </c>
      <c r="H96" s="50" t="s">
        <v>180</v>
      </c>
      <c r="I96" s="18" t="s">
        <v>191</v>
      </c>
      <c r="J96" s="52" t="s">
        <v>182</v>
      </c>
    </row>
    <row r="97" customFormat="false" ht="27.75" hidden="false" customHeight="true" outlineLevel="1" collapsed="false">
      <c r="A97" s="62" t="s">
        <v>315</v>
      </c>
      <c r="B97" s="34" t="n">
        <v>200</v>
      </c>
      <c r="C97" s="34" t="n">
        <v>205</v>
      </c>
      <c r="D97" s="25" t="n">
        <f aca="false">B97-C97</f>
        <v>-5</v>
      </c>
      <c r="E97" s="26" t="n">
        <f aca="false">IF(C97=0,"n/m",D97/ABS(C97))</f>
        <v>-0.024390243902439</v>
      </c>
      <c r="F97" s="49" t="str">
        <f aca="false">IF(ROUND(D97,5)=0,"",IF(D97&gt;0,"F","U"))</f>
        <v>U</v>
      </c>
      <c r="G97" s="63" t="s">
        <v>1001</v>
      </c>
      <c r="H97" s="50" t="s">
        <v>184</v>
      </c>
      <c r="I97" s="18" t="s">
        <v>191</v>
      </c>
      <c r="J97" s="52" t="s">
        <v>182</v>
      </c>
    </row>
    <row r="98" customFormat="false" ht="48" hidden="false" customHeight="true" outlineLevel="0" collapsed="false">
      <c r="A98" s="11" t="s">
        <v>316</v>
      </c>
      <c r="B98" s="25" t="n">
        <f aca="false">B99+B100+B101+B102+B103</f>
        <v>1040</v>
      </c>
      <c r="C98" s="25" t="n">
        <f aca="false">C99+C100+C101+C102+C103</f>
        <v>1054.538</v>
      </c>
      <c r="D98" s="25" t="n">
        <f aca="false">B98-C98</f>
        <v>-14.538</v>
      </c>
      <c r="E98" s="26" t="n">
        <f aca="false">IF(C98=0,"n/m",D98/ABS(C98))</f>
        <v>-0.0137861319364499</v>
      </c>
      <c r="F98" s="49" t="str">
        <f aca="false">IF(ROUND(D98,5)=0,"",IF(D98&lt;0,"F","U"))</f>
        <v>F</v>
      </c>
      <c r="G98" s="6" t="s">
        <v>1064</v>
      </c>
      <c r="H98" s="50" t="s">
        <v>318</v>
      </c>
      <c r="I98" s="51" t="s">
        <v>822</v>
      </c>
      <c r="J98" s="52" t="str">
        <f aca="false">IF(AND(ROUND(B98-K98,4)=0,ROUND(C98-L98,4)=0,TRUE()),"✓","✗")</f>
        <v>✓</v>
      </c>
      <c r="K98" s="61" t="n">
        <v>1040</v>
      </c>
      <c r="L98" s="61" t="n">
        <v>1054.538</v>
      </c>
    </row>
    <row r="99" customFormat="false" ht="36.75" hidden="false" customHeight="true" outlineLevel="1" collapsed="false">
      <c r="A99" s="62" t="s">
        <v>192</v>
      </c>
      <c r="B99" s="34" t="n">
        <v>400</v>
      </c>
      <c r="C99" s="34" t="n">
        <v>410.605</v>
      </c>
      <c r="D99" s="25" t="n">
        <f aca="false">B99-C99</f>
        <v>-10.605</v>
      </c>
      <c r="E99" s="26" t="n">
        <f aca="false">IF(C99=0,"n/m",D99/ABS(C99))</f>
        <v>-0.0258277419904775</v>
      </c>
      <c r="F99" s="49" t="str">
        <f aca="false">IF(ROUND(D99,5)=0,"",IF(D99&lt;0,"F","U"))</f>
        <v>F</v>
      </c>
      <c r="G99" s="6" t="s">
        <v>1065</v>
      </c>
      <c r="H99" s="50" t="s">
        <v>320</v>
      </c>
      <c r="I99" s="51" t="s">
        <v>822</v>
      </c>
      <c r="J99" s="52" t="s">
        <v>182</v>
      </c>
    </row>
    <row r="100" customFormat="false" ht="25.5" hidden="false" customHeight="true" outlineLevel="1" collapsed="false">
      <c r="A100" s="62" t="s">
        <v>195</v>
      </c>
      <c r="B100" s="34" t="n">
        <v>120</v>
      </c>
      <c r="C100" s="34" t="n">
        <v>119.337</v>
      </c>
      <c r="D100" s="25" t="n">
        <f aca="false">B100-C100</f>
        <v>0.662999999999997</v>
      </c>
      <c r="E100" s="26" t="n">
        <f aca="false">IF(C100=0,"n/m",D100/ABS(C100))</f>
        <v>0.00555569521606875</v>
      </c>
      <c r="F100" s="49" t="str">
        <f aca="false">IF(ROUND(D100,5)=0,"",IF(D100&lt;0,"F","U"))</f>
        <v>U</v>
      </c>
      <c r="G100" s="63" t="s">
        <v>1066</v>
      </c>
      <c r="H100" s="50" t="s">
        <v>322</v>
      </c>
      <c r="I100" s="18" t="s">
        <v>191</v>
      </c>
      <c r="J100" s="52" t="s">
        <v>182</v>
      </c>
    </row>
    <row r="101" customFormat="false" ht="36.75" hidden="false" customHeight="true" outlineLevel="1" collapsed="false">
      <c r="A101" s="62" t="s">
        <v>198</v>
      </c>
      <c r="B101" s="34" t="n">
        <v>160</v>
      </c>
      <c r="C101" s="34" t="n">
        <v>153.796</v>
      </c>
      <c r="D101" s="25" t="n">
        <f aca="false">B101-C101</f>
        <v>6.20400000000001</v>
      </c>
      <c r="E101" s="26" t="n">
        <f aca="false">IF(C101=0,"n/m",D101/ABS(C101))</f>
        <v>0.0403391505630836</v>
      </c>
      <c r="F101" s="49" t="str">
        <f aca="false">IF(ROUND(D101,5)=0,"",IF(D101&lt;0,"F","U"))</f>
        <v>U</v>
      </c>
      <c r="G101" s="63" t="s">
        <v>1007</v>
      </c>
      <c r="H101" s="50" t="s">
        <v>200</v>
      </c>
      <c r="I101" s="18" t="s">
        <v>191</v>
      </c>
      <c r="J101" s="52" t="s">
        <v>182</v>
      </c>
    </row>
    <row r="102" customFormat="false" ht="25.5" hidden="false" customHeight="true" outlineLevel="1" collapsed="false">
      <c r="A102" s="62" t="s">
        <v>323</v>
      </c>
      <c r="B102" s="34" t="n">
        <v>120</v>
      </c>
      <c r="C102" s="34" t="n">
        <v>119.412</v>
      </c>
      <c r="D102" s="25" t="n">
        <f aca="false">B102-C102</f>
        <v>0.587999999999994</v>
      </c>
      <c r="E102" s="26" t="n">
        <f aca="false">IF(C102=0,"n/m",D102/ABS(C102))</f>
        <v>0.00492412822831871</v>
      </c>
      <c r="F102" s="49" t="str">
        <f aca="false">IF(ROUND(D102,5)=0,"",IF(D102&lt;0,"F","U"))</f>
        <v>U</v>
      </c>
      <c r="G102" s="63" t="s">
        <v>1067</v>
      </c>
      <c r="H102" s="50" t="s">
        <v>210</v>
      </c>
      <c r="I102" s="18" t="s">
        <v>191</v>
      </c>
      <c r="J102" s="52" t="s">
        <v>182</v>
      </c>
    </row>
    <row r="103" customFormat="false" ht="36.75" hidden="false" customHeight="true" outlineLevel="1" collapsed="false">
      <c r="A103" s="62" t="s">
        <v>225</v>
      </c>
      <c r="B103" s="34" t="n">
        <v>240</v>
      </c>
      <c r="C103" s="34" t="n">
        <v>251.388</v>
      </c>
      <c r="D103" s="25" t="n">
        <f aca="false">B103-C103</f>
        <v>-11.388</v>
      </c>
      <c r="E103" s="26" t="n">
        <f aca="false">IF(C103=0,"n/m",D103/ABS(C103))</f>
        <v>-0.0453004916702468</v>
      </c>
      <c r="F103" s="49" t="str">
        <f aca="false">IF(ROUND(D103,5)=0,"",IF(D103&lt;0,"F","U"))</f>
        <v>F</v>
      </c>
      <c r="G103" s="6" t="s">
        <v>1019</v>
      </c>
      <c r="H103" s="50" t="s">
        <v>227</v>
      </c>
      <c r="I103" s="51" t="s">
        <v>822</v>
      </c>
      <c r="J103" s="52" t="s">
        <v>182</v>
      </c>
    </row>
    <row r="104" customFormat="false" ht="27.75" hidden="false" customHeight="true" outlineLevel="0" collapsed="false">
      <c r="A104" s="11" t="s">
        <v>325</v>
      </c>
      <c r="B104" s="25" t="n">
        <f aca="false">B105+B106</f>
        <v>280</v>
      </c>
      <c r="C104" s="25" t="n">
        <f aca="false">C105+C106</f>
        <v>274</v>
      </c>
      <c r="D104" s="25" t="n">
        <f aca="false">B104-C104</f>
        <v>6</v>
      </c>
      <c r="E104" s="26" t="n">
        <f aca="false">IF(C104=0,"n/m",D104/ABS(C104))</f>
        <v>0.0218978102189781</v>
      </c>
      <c r="F104" s="49" t="str">
        <f aca="false">IF(ROUND(D104,5)=0,"",IF(D104&lt;0,"F","U"))</f>
        <v>U</v>
      </c>
      <c r="G104" s="6" t="s">
        <v>1068</v>
      </c>
      <c r="H104" s="50" t="s">
        <v>327</v>
      </c>
      <c r="I104" s="51" t="s">
        <v>822</v>
      </c>
      <c r="J104" s="52" t="str">
        <f aca="false">IF(AND(ROUND(B104-K104,4)=0,ROUND(C104-L104,4)=0,TRUE()),"✓","✗")</f>
        <v>✓</v>
      </c>
      <c r="K104" s="61" t="n">
        <v>280</v>
      </c>
      <c r="L104" s="61" t="n">
        <v>274</v>
      </c>
    </row>
    <row r="105" customFormat="false" ht="27.75" hidden="false" customHeight="true" outlineLevel="1" collapsed="false">
      <c r="A105" s="62" t="s">
        <v>189</v>
      </c>
      <c r="B105" s="34" t="n">
        <v>200</v>
      </c>
      <c r="C105" s="34" t="n">
        <v>194</v>
      </c>
      <c r="D105" s="25" t="n">
        <f aca="false">B105-C105</f>
        <v>6</v>
      </c>
      <c r="E105" s="26" t="n">
        <f aca="false">IF(C105=0,"n/m",D105/ABS(C105))</f>
        <v>0.0309278350515464</v>
      </c>
      <c r="F105" s="49" t="str">
        <f aca="false">IF(ROUND(D105,5)=0,"",IF(D105&lt;0,"F","U"))</f>
        <v>U</v>
      </c>
      <c r="G105" s="63" t="s">
        <v>1069</v>
      </c>
      <c r="H105" s="50" t="s">
        <v>236</v>
      </c>
      <c r="I105" s="18" t="s">
        <v>191</v>
      </c>
      <c r="J105" s="52" t="s">
        <v>182</v>
      </c>
    </row>
    <row r="106" customFormat="false" ht="36.75" hidden="false" customHeight="true" outlineLevel="1" collapsed="false">
      <c r="A106" s="62" t="s">
        <v>201</v>
      </c>
      <c r="B106" s="34" t="n">
        <v>80</v>
      </c>
      <c r="C106" s="34" t="n">
        <v>80</v>
      </c>
      <c r="D106" s="25" t="n">
        <f aca="false">B106-C106</f>
        <v>0</v>
      </c>
      <c r="E106" s="26" t="n">
        <f aca="false">IF(C106=0,"n/m",D106/ABS(C106))</f>
        <v>0</v>
      </c>
      <c r="F106" s="49" t="str">
        <f aca="false">IF(ROUND(D106,5)=0,"",IF(D106&lt;0,"F","U"))</f>
        <v/>
      </c>
      <c r="G106" s="63" t="s">
        <v>1017</v>
      </c>
      <c r="H106" s="50" t="s">
        <v>330</v>
      </c>
      <c r="I106" s="18" t="s">
        <v>191</v>
      </c>
      <c r="J106" s="52" t="s">
        <v>182</v>
      </c>
    </row>
    <row r="107" customFormat="false" ht="40.5" hidden="false" customHeight="true" outlineLevel="0" collapsed="false">
      <c r="A107" s="11" t="s">
        <v>331</v>
      </c>
      <c r="B107" s="25" t="n">
        <f aca="false">B108+B109</f>
        <v>280</v>
      </c>
      <c r="C107" s="25" t="n">
        <f aca="false">C108+C109</f>
        <v>262</v>
      </c>
      <c r="D107" s="25" t="n">
        <f aca="false">B107-C107</f>
        <v>18</v>
      </c>
      <c r="E107" s="26" t="n">
        <f aca="false">IF(C107=0,"n/m",D107/ABS(C107))</f>
        <v>0.0687022900763359</v>
      </c>
      <c r="F107" s="49" t="str">
        <f aca="false">IF(ROUND(D107,5)=0,"",IF(D107&lt;0,"F","U"))</f>
        <v>U</v>
      </c>
      <c r="G107" s="6" t="s">
        <v>1070</v>
      </c>
      <c r="H107" s="50" t="s">
        <v>333</v>
      </c>
      <c r="I107" s="51" t="s">
        <v>822</v>
      </c>
      <c r="J107" s="52" t="str">
        <f aca="false">IF(AND(ROUND(B107-K107,4)=0,ROUND(C107-L107,4)=0,TRUE()),"✓","✗")</f>
        <v>✓</v>
      </c>
      <c r="K107" s="61" t="n">
        <v>280</v>
      </c>
      <c r="L107" s="61" t="n">
        <v>262</v>
      </c>
    </row>
    <row r="108" customFormat="false" ht="48" hidden="false" customHeight="true" outlineLevel="1" collapsed="false">
      <c r="A108" s="62" t="s">
        <v>230</v>
      </c>
      <c r="B108" s="34" t="n">
        <v>100</v>
      </c>
      <c r="C108" s="34" t="n">
        <v>101</v>
      </c>
      <c r="D108" s="25" t="n">
        <f aca="false">B108-C108</f>
        <v>-1</v>
      </c>
      <c r="E108" s="26" t="n">
        <f aca="false">IF(C108=0,"n/m",D108/ABS(C108))</f>
        <v>-0.0099009900990099</v>
      </c>
      <c r="F108" s="49" t="str">
        <f aca="false">IF(ROUND(D108,5)=0,"",IF(D108&lt;0,"F","U"))</f>
        <v>F</v>
      </c>
      <c r="G108" s="63" t="s">
        <v>1021</v>
      </c>
      <c r="H108" s="50" t="s">
        <v>232</v>
      </c>
      <c r="I108" s="18" t="s">
        <v>191</v>
      </c>
      <c r="J108" s="52" t="s">
        <v>182</v>
      </c>
    </row>
    <row r="109" customFormat="false" ht="53.25" hidden="false" customHeight="true" outlineLevel="1" collapsed="false">
      <c r="A109" s="62" t="s">
        <v>242</v>
      </c>
      <c r="B109" s="34" t="n">
        <v>180</v>
      </c>
      <c r="C109" s="34" t="n">
        <v>161</v>
      </c>
      <c r="D109" s="25" t="n">
        <f aca="false">B109-C109</f>
        <v>19</v>
      </c>
      <c r="E109" s="26" t="n">
        <f aca="false">IF(C109=0,"n/m",D109/ABS(C109))</f>
        <v>0.118012422360248</v>
      </c>
      <c r="F109" s="49" t="str">
        <f aca="false">IF(ROUND(D109,5)=0,"",IF(D109&lt;0,"F","U"))</f>
        <v>U</v>
      </c>
      <c r="G109" s="6" t="s">
        <v>1026</v>
      </c>
      <c r="H109" s="50" t="s">
        <v>244</v>
      </c>
      <c r="I109" s="51" t="s">
        <v>822</v>
      </c>
      <c r="J109" s="52" t="s">
        <v>182</v>
      </c>
    </row>
    <row r="110" customFormat="false" ht="25.5" hidden="false" customHeight="true" outlineLevel="0" collapsed="false">
      <c r="A110" s="11" t="s">
        <v>334</v>
      </c>
      <c r="B110" s="25" t="n">
        <f aca="false">B111+B112+B113</f>
        <v>180</v>
      </c>
      <c r="C110" s="25" t="n">
        <f aca="false">C111+C112+C113</f>
        <v>180</v>
      </c>
      <c r="D110" s="25" t="n">
        <f aca="false">B110-C110</f>
        <v>0</v>
      </c>
      <c r="E110" s="26" t="n">
        <f aca="false">IF(C110=0,"n/m",D110/ABS(C110))</f>
        <v>0</v>
      </c>
      <c r="F110" s="49" t="str">
        <f aca="false">IF(ROUND(D110,5)=0,"",IF(D110&lt;0,"F","U"))</f>
        <v/>
      </c>
      <c r="G110" s="63" t="s">
        <v>1071</v>
      </c>
      <c r="H110" s="50" t="s">
        <v>336</v>
      </c>
      <c r="I110" s="18" t="s">
        <v>191</v>
      </c>
      <c r="J110" s="52" t="str">
        <f aca="false">IF(AND(ROUND(B110-K110,4)=0,ROUND(C110-L110,4)=0,TRUE()),"✓","✗")</f>
        <v>✓</v>
      </c>
      <c r="K110" s="61" t="n">
        <v>180</v>
      </c>
      <c r="L110" s="61" t="n">
        <v>180</v>
      </c>
    </row>
    <row r="111" customFormat="false" ht="15" hidden="false" customHeight="true" outlineLevel="1" collapsed="false">
      <c r="A111" s="62" t="s">
        <v>233</v>
      </c>
      <c r="B111" s="34" t="n">
        <v>40</v>
      </c>
      <c r="C111" s="34" t="n">
        <v>40</v>
      </c>
      <c r="D111" s="25" t="n">
        <f aca="false">B111-C111</f>
        <v>0</v>
      </c>
      <c r="E111" s="26" t="n">
        <f aca="false">IF(C111=0,"n/m",D111/ABS(C111))</f>
        <v>0</v>
      </c>
      <c r="F111" s="49" t="str">
        <f aca="false">IF(ROUND(D111,5)=0,"",IF(D111&lt;0,"F","U"))</f>
        <v/>
      </c>
      <c r="G111" s="63" t="s">
        <v>1022</v>
      </c>
      <c r="I111" s="18" t="s">
        <v>191</v>
      </c>
      <c r="J111" s="52" t="s">
        <v>182</v>
      </c>
    </row>
    <row r="112" customFormat="false" ht="25.5" hidden="false" customHeight="true" outlineLevel="1" collapsed="false">
      <c r="A112" s="62" t="s">
        <v>204</v>
      </c>
      <c r="B112" s="34" t="n">
        <v>60</v>
      </c>
      <c r="C112" s="34" t="n">
        <v>60</v>
      </c>
      <c r="D112" s="25" t="n">
        <f aca="false">B112-C112</f>
        <v>0</v>
      </c>
      <c r="E112" s="26" t="n">
        <f aca="false">IF(C112=0,"n/m",D112/ABS(C112))</f>
        <v>0</v>
      </c>
      <c r="F112" s="49" t="str">
        <f aca="false">IF(ROUND(D112,5)=0,"",IF(D112&lt;0,"F","U"))</f>
        <v/>
      </c>
      <c r="G112" s="63" t="s">
        <v>1009</v>
      </c>
      <c r="H112" s="50" t="s">
        <v>336</v>
      </c>
      <c r="I112" s="18" t="s">
        <v>191</v>
      </c>
      <c r="J112" s="52" t="s">
        <v>182</v>
      </c>
    </row>
    <row r="113" customFormat="false" ht="15" hidden="false" customHeight="true" outlineLevel="1" collapsed="false">
      <c r="A113" s="62" t="s">
        <v>207</v>
      </c>
      <c r="B113" s="34" t="n">
        <v>80</v>
      </c>
      <c r="C113" s="34" t="n">
        <v>80</v>
      </c>
      <c r="D113" s="25" t="n">
        <f aca="false">B113-C113</f>
        <v>0</v>
      </c>
      <c r="E113" s="26" t="n">
        <f aca="false">IF(C113=0,"n/m",D113/ABS(C113))</f>
        <v>0</v>
      </c>
      <c r="F113" s="49" t="str">
        <f aca="false">IF(ROUND(D113,5)=0,"",IF(D113&lt;0,"F","U"))</f>
        <v/>
      </c>
      <c r="G113" s="63" t="s">
        <v>1010</v>
      </c>
      <c r="I113" s="18" t="s">
        <v>191</v>
      </c>
      <c r="J113" s="52" t="s">
        <v>182</v>
      </c>
    </row>
    <row r="114" customFormat="false" ht="60" hidden="false" customHeight="true" outlineLevel="0" collapsed="false">
      <c r="A114" s="53" t="s">
        <v>339</v>
      </c>
      <c r="B114" s="37" t="n">
        <f aca="false">B98+B104+B107+B110</f>
        <v>1780</v>
      </c>
      <c r="C114" s="37" t="n">
        <f aca="false">C98+C104+C107+C110</f>
        <v>1770.538</v>
      </c>
      <c r="D114" s="37" t="n">
        <f aca="false">B114-C114</f>
        <v>9.46199999999999</v>
      </c>
      <c r="E114" s="54" t="n">
        <f aca="false">IF(C114=0,"n/m",D114/ABS(C114))</f>
        <v>0.00534413833535343</v>
      </c>
      <c r="F114" s="55" t="str">
        <f aca="false">IF(ROUND(D114,5)=0,"",IF(D114&lt;0,"F","U"))</f>
        <v>U</v>
      </c>
      <c r="G114" s="56" t="s">
        <v>1072</v>
      </c>
      <c r="H114" s="57" t="s">
        <v>341</v>
      </c>
      <c r="I114" s="58" t="s">
        <v>822</v>
      </c>
      <c r="J114" s="59" t="str">
        <f aca="false">IF(AND(ROUND(B114-K114,4)=0,ROUND(C114-L114,4)=0,TRUE()),"✓","✗")</f>
        <v>✓</v>
      </c>
      <c r="K114" s="60" t="n">
        <v>1780</v>
      </c>
      <c r="L114" s="60" t="n">
        <v>1770.538</v>
      </c>
    </row>
    <row r="115" customFormat="false" ht="60" hidden="false" customHeight="true" outlineLevel="0" collapsed="false">
      <c r="A115" s="64" t="s">
        <v>96</v>
      </c>
      <c r="B115" s="65" t="n">
        <f aca="false">B95-B114</f>
        <v>220</v>
      </c>
      <c r="C115" s="65" t="n">
        <f aca="false">C95-C114</f>
        <v>229.224</v>
      </c>
      <c r="D115" s="65" t="n">
        <f aca="false">B115-C115</f>
        <v>-9.22399999999993</v>
      </c>
      <c r="E115" s="66" t="n">
        <f aca="false">IF(C115=0,"n/m",D115/ABS(C115))</f>
        <v>-0.0402401144731788</v>
      </c>
      <c r="F115" s="67" t="str">
        <f aca="false">IF(ROUND(D115,5)=0,"",IF(D115&gt;0,"F","U"))</f>
        <v>U</v>
      </c>
      <c r="G115" s="68" t="s">
        <v>1073</v>
      </c>
      <c r="H115" s="69" t="s">
        <v>250</v>
      </c>
      <c r="I115" s="70" t="s">
        <v>822</v>
      </c>
      <c r="J115" s="71" t="str">
        <f aca="false">IF(AND(ROUND(B115-K115,4)=0,ROUND(C115-L115,4)=0,TRUE()),"✓","✗")</f>
        <v>✓</v>
      </c>
      <c r="K115" s="72" t="n">
        <v>220</v>
      </c>
      <c r="L115" s="72" t="n">
        <v>229.224</v>
      </c>
    </row>
    <row r="116" customFormat="false" ht="15" hidden="false" customHeight="true" outlineLevel="0" collapsed="false">
      <c r="A116" s="11" t="s">
        <v>343</v>
      </c>
      <c r="B116" s="25" t="n">
        <f aca="false">B117-B118</f>
        <v>-20</v>
      </c>
      <c r="C116" s="25" t="n">
        <f aca="false">C117-C118</f>
        <v>-20</v>
      </c>
      <c r="D116" s="25" t="n">
        <f aca="false">B116-C116</f>
        <v>0</v>
      </c>
      <c r="E116" s="26" t="n">
        <f aca="false">IF(C116=0,"n/m",D116/ABS(C116))</f>
        <v>0</v>
      </c>
      <c r="F116" s="49" t="str">
        <f aca="false">IF(ROUND(D116,5)=0,"",IF(D116&gt;0,"F","U"))</f>
        <v/>
      </c>
      <c r="G116" s="63" t="s">
        <v>1074</v>
      </c>
      <c r="I116" s="18" t="s">
        <v>191</v>
      </c>
      <c r="J116" s="52" t="str">
        <f aca="false">IF(AND(ROUND(B116-K116,4)=0,ROUND(C116-L116,4)=0,TRUE()),"✓","✗")</f>
        <v>✓</v>
      </c>
      <c r="K116" s="61" t="n">
        <v>-20</v>
      </c>
      <c r="L116" s="61" t="n">
        <v>-20</v>
      </c>
    </row>
    <row r="117" customFormat="false" ht="15" hidden="false" customHeight="true" outlineLevel="1" collapsed="false">
      <c r="A117" s="62" t="s">
        <v>345</v>
      </c>
      <c r="B117" s="34" t="n">
        <v>10</v>
      </c>
      <c r="C117" s="34" t="n">
        <v>10</v>
      </c>
      <c r="D117" s="25" t="n">
        <f aca="false">B117-C117</f>
        <v>0</v>
      </c>
      <c r="E117" s="26" t="n">
        <f aca="false">IF(C117=0,"n/m",D117/ABS(C117))</f>
        <v>0</v>
      </c>
      <c r="F117" s="49" t="str">
        <f aca="false">IF(ROUND(D117,5)=0,"",IF(D117&gt;0,"F","U"))</f>
        <v/>
      </c>
      <c r="G117" s="63" t="s">
        <v>1029</v>
      </c>
      <c r="I117" s="18" t="s">
        <v>191</v>
      </c>
      <c r="J117" s="52" t="s">
        <v>182</v>
      </c>
    </row>
    <row r="118" customFormat="false" ht="15" hidden="false" customHeight="true" outlineLevel="1" collapsed="false">
      <c r="A118" s="62" t="s">
        <v>346</v>
      </c>
      <c r="B118" s="34" t="n">
        <v>30</v>
      </c>
      <c r="C118" s="34" t="n">
        <v>30</v>
      </c>
      <c r="D118" s="25" t="n">
        <f aca="false">B118-C118</f>
        <v>0</v>
      </c>
      <c r="E118" s="26" t="n">
        <f aca="false">IF(C118=0,"n/m",D118/ABS(C118))</f>
        <v>0</v>
      </c>
      <c r="F118" s="49" t="str">
        <f aca="false">IF(ROUND(D118,5)=0,"",IF(D118&lt;0,"F","U"))</f>
        <v/>
      </c>
      <c r="G118" s="63" t="s">
        <v>1030</v>
      </c>
      <c r="I118" s="18" t="s">
        <v>191</v>
      </c>
      <c r="J118" s="52" t="s">
        <v>182</v>
      </c>
    </row>
    <row r="119" customFormat="false" ht="27.75" hidden="false" customHeight="true" outlineLevel="0" collapsed="false">
      <c r="A119" s="11" t="s">
        <v>347</v>
      </c>
      <c r="B119" s="34" t="n">
        <v>40</v>
      </c>
      <c r="C119" s="34" t="n">
        <v>38</v>
      </c>
      <c r="D119" s="25" t="n">
        <f aca="false">B119-C119</f>
        <v>2</v>
      </c>
      <c r="E119" s="26" t="n">
        <f aca="false">IF(C119=0,"n/m",D119/ABS(C119))</f>
        <v>0.0526315789473684</v>
      </c>
      <c r="F119" s="49" t="str">
        <f aca="false">IF(ROUND(D119,5)=0,"",IF(D119&lt;0,"F","U"))</f>
        <v>U</v>
      </c>
      <c r="G119" s="63" t="s">
        <v>1032</v>
      </c>
      <c r="I119" s="18" t="s">
        <v>191</v>
      </c>
      <c r="J119" s="52" t="s">
        <v>182</v>
      </c>
    </row>
    <row r="120" customFormat="false" ht="60" hidden="false" customHeight="true" outlineLevel="0" collapsed="false">
      <c r="A120" s="64" t="s">
        <v>97</v>
      </c>
      <c r="B120" s="65" t="n">
        <f aca="false">B115+B116-B119</f>
        <v>160</v>
      </c>
      <c r="C120" s="65" t="n">
        <f aca="false">C115+C116-C119</f>
        <v>171.224</v>
      </c>
      <c r="D120" s="65" t="n">
        <f aca="false">B120-C120</f>
        <v>-11.2239999999999</v>
      </c>
      <c r="E120" s="66" t="n">
        <f aca="false">IF(C120=0,"n/m",D120/ABS(C120))</f>
        <v>-0.0655515581927764</v>
      </c>
      <c r="F120" s="67" t="str">
        <f aca="false">IF(ROUND(D120,5)=0,"",IF(D120&gt;0,"F","U"))</f>
        <v>U</v>
      </c>
      <c r="G120" s="68" t="s">
        <v>1075</v>
      </c>
      <c r="H120" s="69" t="s">
        <v>250</v>
      </c>
      <c r="I120" s="70" t="s">
        <v>822</v>
      </c>
      <c r="J120" s="71" t="str">
        <f aca="false">IF(AND(ROUND(B120-K120,4)=0,ROUND(C120-L120,4)=0,TRUE()),"✓","✗")</f>
        <v>✓</v>
      </c>
      <c r="K120" s="72" t="n">
        <v>160</v>
      </c>
      <c r="L120" s="72" t="n">
        <v>171.224</v>
      </c>
    </row>
    <row r="122" customFormat="false" ht="18" hidden="false" customHeight="true" outlineLevel="0" collapsed="false">
      <c r="A122" s="44" t="s">
        <v>349</v>
      </c>
      <c r="B122" s="45"/>
      <c r="C122" s="45"/>
      <c r="D122" s="45"/>
      <c r="E122" s="45"/>
      <c r="F122" s="45"/>
      <c r="G122" s="45"/>
      <c r="H122" s="45"/>
      <c r="I122" s="45"/>
      <c r="J122" s="45"/>
      <c r="K122" s="45"/>
      <c r="L122" s="45"/>
    </row>
    <row r="123" customFormat="false" ht="15" hidden="false" customHeight="false" outlineLevel="0" collapsed="false">
      <c r="A123" s="76" t="s">
        <v>1076</v>
      </c>
    </row>
    <row r="125" customFormat="false" ht="18" hidden="false" customHeight="true" outlineLevel="0" collapsed="false">
      <c r="A125" s="44" t="s">
        <v>391</v>
      </c>
      <c r="B125" s="45"/>
      <c r="C125" s="45"/>
      <c r="D125" s="45"/>
      <c r="E125" s="45"/>
      <c r="F125" s="45"/>
      <c r="G125" s="45"/>
      <c r="H125" s="45"/>
      <c r="I125" s="45"/>
      <c r="J125" s="45"/>
      <c r="K125" s="45"/>
      <c r="L125" s="45"/>
    </row>
    <row r="126" customFormat="false" ht="15" hidden="false" customHeight="false" outlineLevel="0" collapsed="false">
      <c r="A126" s="76" t="s">
        <v>1077</v>
      </c>
    </row>
    <row r="128" customFormat="false" ht="15" hidden="false" customHeight="false" outlineLevel="0" collapsed="false">
      <c r="A128" s="18" t="s">
        <v>431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16" min="2" style="0" width="12"/>
  </cols>
  <sheetData>
    <row r="1" customFormat="false" ht="17.35" hidden="false" customHeight="false" outlineLevel="0" collapsed="false">
      <c r="A1" s="17" t="s">
        <v>1078</v>
      </c>
    </row>
    <row r="2" customFormat="false" ht="15" hidden="false" customHeight="false" outlineLevel="0" collapsed="false">
      <c r="A2" s="18" t="s">
        <v>80</v>
      </c>
    </row>
    <row r="3" customFormat="false" ht="15" hidden="false" customHeight="false" outlineLevel="0" collapsed="false">
      <c r="A3" s="18" t="s">
        <v>1079</v>
      </c>
    </row>
    <row r="5" customFormat="false" ht="18" hidden="false" customHeight="true" outlineLevel="0" collapsed="false">
      <c r="A5" s="3" t="s">
        <v>1080</v>
      </c>
      <c r="B5" s="4"/>
      <c r="C5" s="4"/>
      <c r="D5" s="4"/>
      <c r="E5" s="4"/>
      <c r="F5" s="4"/>
      <c r="G5" s="4"/>
      <c r="H5" s="4"/>
      <c r="I5" s="4"/>
      <c r="J5" s="4"/>
      <c r="K5" s="4"/>
      <c r="L5" s="4"/>
      <c r="M5" s="4"/>
      <c r="N5" s="4"/>
      <c r="O5" s="4"/>
      <c r="P5" s="4"/>
    </row>
    <row r="6" customFormat="false" ht="15" hidden="false" customHeight="false" outlineLevel="0" collapsed="false">
      <c r="A6" s="22" t="s">
        <v>1081</v>
      </c>
      <c r="B6" s="77" t="s">
        <v>131</v>
      </c>
    </row>
    <row r="7" customFormat="false" ht="15" hidden="false" customHeight="false" outlineLevel="0" collapsed="false">
      <c r="A7" s="11" t="s">
        <v>1082</v>
      </c>
      <c r="B7" s="24" t="n">
        <f aca="false">MoM!C98</f>
        <v>987.326</v>
      </c>
    </row>
    <row r="8" customFormat="false" ht="15" hidden="false" customHeight="false" outlineLevel="0" collapsed="false">
      <c r="A8" s="28" t="s">
        <v>1083</v>
      </c>
      <c r="B8" s="34" t="n">
        <v>16.38797</v>
      </c>
    </row>
    <row r="9" customFormat="false" ht="15" hidden="false" customHeight="false" outlineLevel="0" collapsed="false">
      <c r="A9" s="28" t="s">
        <v>1084</v>
      </c>
      <c r="B9" s="34" t="n">
        <v>7.73281</v>
      </c>
    </row>
    <row r="10" customFormat="false" ht="15" hidden="false" customHeight="false" outlineLevel="0" collapsed="false">
      <c r="A10" s="28" t="s">
        <v>1085</v>
      </c>
      <c r="B10" s="34" t="n">
        <v>11.3496</v>
      </c>
    </row>
    <row r="11" customFormat="false" ht="15" hidden="false" customHeight="false" outlineLevel="0" collapsed="false">
      <c r="A11" s="28" t="s">
        <v>1086</v>
      </c>
      <c r="B11" s="34" t="n">
        <v>7.20362</v>
      </c>
    </row>
    <row r="12" customFormat="false" ht="15" hidden="false" customHeight="false" outlineLevel="0" collapsed="false">
      <c r="A12" s="28" t="s">
        <v>1087</v>
      </c>
      <c r="B12" s="34" t="n">
        <v>8</v>
      </c>
    </row>
    <row r="13" customFormat="false" ht="15" hidden="false" customHeight="false" outlineLevel="0" collapsed="false">
      <c r="A13" s="28" t="s">
        <v>1088</v>
      </c>
      <c r="B13" s="34" t="n">
        <v>2</v>
      </c>
    </row>
    <row r="14" customFormat="false" ht="15" hidden="false" customHeight="false" outlineLevel="0" collapsed="false">
      <c r="A14" s="5" t="s">
        <v>1089</v>
      </c>
      <c r="B14" s="37" t="n">
        <f aca="false">B7+SUM(B8:B13)</f>
        <v>1040</v>
      </c>
    </row>
    <row r="15" customFormat="false" ht="15" hidden="false" customHeight="false" outlineLevel="0" collapsed="false">
      <c r="A15" s="38" t="s">
        <v>1090</v>
      </c>
      <c r="B15" s="24" t="n">
        <f aca="false">MoM!B98</f>
        <v>1040</v>
      </c>
      <c r="C15" s="13" t="str">
        <f aca="false">IF(ROUND(B14-B15,4)=0,"✓","✗")</f>
        <v>✓</v>
      </c>
    </row>
    <row r="17" customFormat="false" ht="27.75" hidden="false" customHeight="true" outlineLevel="0" collapsed="false">
      <c r="A17" s="22" t="s">
        <v>1091</v>
      </c>
      <c r="B17" s="78" t="s">
        <v>1092</v>
      </c>
      <c r="C17" s="78" t="s">
        <v>1093</v>
      </c>
      <c r="D17" s="78" t="s">
        <v>1094</v>
      </c>
      <c r="E17" s="78" t="s">
        <v>1095</v>
      </c>
      <c r="F17" s="78" t="s">
        <v>1096</v>
      </c>
      <c r="G17" s="78" t="s">
        <v>1097</v>
      </c>
      <c r="H17" s="78" t="s">
        <v>1098</v>
      </c>
      <c r="I17" s="78" t="s">
        <v>1099</v>
      </c>
      <c r="J17" s="78" t="s">
        <v>1100</v>
      </c>
      <c r="K17" s="78" t="s">
        <v>1101</v>
      </c>
      <c r="L17" s="78" t="s">
        <v>1102</v>
      </c>
      <c r="M17" s="78" t="s">
        <v>1103</v>
      </c>
      <c r="N17" s="78" t="s">
        <v>1104</v>
      </c>
      <c r="O17" s="78" t="s">
        <v>176</v>
      </c>
    </row>
    <row r="18" customFormat="false" ht="15" hidden="false" customHeight="false" outlineLevel="0" collapsed="false">
      <c r="A18" s="28" t="s">
        <v>1105</v>
      </c>
      <c r="B18" s="24" t="n">
        <f aca="false">MoM!C99</f>
        <v>372.071</v>
      </c>
      <c r="C18" s="34" t="n">
        <v>16.58808</v>
      </c>
      <c r="D18" s="34" t="n">
        <v>-16.58808</v>
      </c>
      <c r="E18" s="34" t="n">
        <v>0</v>
      </c>
      <c r="F18" s="34" t="n">
        <v>8.89924</v>
      </c>
      <c r="G18" s="34" t="n">
        <v>0</v>
      </c>
      <c r="H18" s="34" t="n">
        <v>2.592</v>
      </c>
      <c r="I18" s="34" t="n">
        <v>7.3596</v>
      </c>
      <c r="J18" s="34" t="n">
        <v>2.07816</v>
      </c>
      <c r="K18" s="34" t="n">
        <v>5</v>
      </c>
      <c r="L18" s="34" t="n">
        <v>2</v>
      </c>
      <c r="M18" s="33" t="n">
        <f aca="false">B18+SUM(C18:L18)</f>
        <v>400</v>
      </c>
      <c r="N18" s="24" t="n">
        <f aca="false">MoM!B99</f>
        <v>400</v>
      </c>
      <c r="O18" s="13" t="str">
        <f aca="false">IF(ROUND(M18-N18,4)=0,"✓","✗")</f>
        <v>✓</v>
      </c>
    </row>
    <row r="19" customFormat="false" ht="15" hidden="false" customHeight="false" outlineLevel="0" collapsed="false">
      <c r="A19" s="28" t="s">
        <v>1106</v>
      </c>
      <c r="B19" s="24" t="n">
        <f aca="false">MoM!C100</f>
        <v>126.553</v>
      </c>
      <c r="C19" s="34" t="n">
        <v>0</v>
      </c>
      <c r="D19" s="34" t="n">
        <v>-10.54608</v>
      </c>
      <c r="E19" s="34" t="n">
        <v>0</v>
      </c>
      <c r="F19" s="34" t="n">
        <v>0</v>
      </c>
      <c r="G19" s="34" t="n">
        <v>0</v>
      </c>
      <c r="H19" s="34" t="n">
        <v>0</v>
      </c>
      <c r="I19" s="34" t="n">
        <v>0</v>
      </c>
      <c r="J19" s="34" t="n">
        <v>0.99308</v>
      </c>
      <c r="K19" s="34" t="n">
        <v>3</v>
      </c>
      <c r="L19" s="34" t="n">
        <v>0</v>
      </c>
      <c r="M19" s="33" t="n">
        <f aca="false">B19+SUM(C19:L19)</f>
        <v>120</v>
      </c>
      <c r="N19" s="24" t="n">
        <f aca="false">MoM!B100</f>
        <v>120</v>
      </c>
      <c r="O19" s="13" t="str">
        <f aca="false">IF(ROUND(M19-N19,4)=0,"✓","✗")</f>
        <v>✓</v>
      </c>
    </row>
    <row r="20" customFormat="false" ht="15" hidden="false" customHeight="false" outlineLevel="0" collapsed="false">
      <c r="A20" s="28" t="s">
        <v>1107</v>
      </c>
      <c r="B20" s="24" t="n">
        <f aca="false">MoM!C101</f>
        <v>144.269</v>
      </c>
      <c r="C20" s="34" t="n">
        <v>9.01681</v>
      </c>
      <c r="D20" s="34" t="n">
        <v>0</v>
      </c>
      <c r="E20" s="34" t="n">
        <v>0</v>
      </c>
      <c r="F20" s="34" t="n">
        <v>0</v>
      </c>
      <c r="G20" s="34" t="n">
        <v>0</v>
      </c>
      <c r="H20" s="34" t="n">
        <v>5.14081</v>
      </c>
      <c r="I20" s="34" t="n">
        <v>0</v>
      </c>
      <c r="J20" s="34" t="n">
        <v>1.57338</v>
      </c>
      <c r="K20" s="34" t="n">
        <v>0</v>
      </c>
      <c r="L20" s="34" t="n">
        <v>0</v>
      </c>
      <c r="M20" s="33" t="n">
        <f aca="false">B20+SUM(C20:L20)</f>
        <v>160</v>
      </c>
      <c r="N20" s="24" t="n">
        <f aca="false">MoM!B101</f>
        <v>160</v>
      </c>
      <c r="O20" s="13" t="str">
        <f aca="false">IF(ROUND(M20-N20,4)=0,"✓","✗")</f>
        <v>✓</v>
      </c>
    </row>
    <row r="21" customFormat="false" ht="15" hidden="false" customHeight="false" outlineLevel="0" collapsed="false">
      <c r="A21" s="28" t="s">
        <v>1108</v>
      </c>
      <c r="B21" s="24" t="n">
        <f aca="false">MoM!C102</f>
        <v>119.112</v>
      </c>
      <c r="C21" s="34" t="n">
        <v>0</v>
      </c>
      <c r="D21" s="34" t="n">
        <v>0</v>
      </c>
      <c r="E21" s="34" t="n">
        <v>0</v>
      </c>
      <c r="F21" s="34" t="n">
        <v>0</v>
      </c>
      <c r="G21" s="34" t="n">
        <v>0</v>
      </c>
      <c r="H21" s="34" t="n">
        <v>0</v>
      </c>
      <c r="I21" s="34" t="n">
        <v>0</v>
      </c>
      <c r="J21" s="34" t="n">
        <v>0.888</v>
      </c>
      <c r="K21" s="34" t="n">
        <v>0</v>
      </c>
      <c r="L21" s="34" t="n">
        <v>0</v>
      </c>
      <c r="M21" s="33" t="n">
        <f aca="false">B21+SUM(C21:L21)</f>
        <v>120</v>
      </c>
      <c r="N21" s="24" t="n">
        <f aca="false">MoM!B102</f>
        <v>120</v>
      </c>
      <c r="O21" s="13" t="str">
        <f aca="false">IF(ROUND(M21-N21,4)=0,"✓","✗")</f>
        <v>✓</v>
      </c>
    </row>
    <row r="22" customFormat="false" ht="15" hidden="false" customHeight="false" outlineLevel="0" collapsed="false">
      <c r="A22" s="28" t="s">
        <v>1109</v>
      </c>
      <c r="B22" s="24" t="n">
        <f aca="false">MoM!C103</f>
        <v>225.321</v>
      </c>
      <c r="C22" s="34" t="n">
        <v>12.99</v>
      </c>
      <c r="D22" s="34" t="n">
        <v>-12.99</v>
      </c>
      <c r="E22" s="34" t="n">
        <v>0</v>
      </c>
      <c r="F22" s="34" t="n">
        <v>9.018</v>
      </c>
      <c r="G22" s="34" t="n">
        <v>0</v>
      </c>
      <c r="H22" s="34" t="n">
        <v>0</v>
      </c>
      <c r="I22" s="34" t="n">
        <v>3.99</v>
      </c>
      <c r="J22" s="34" t="n">
        <v>1.671</v>
      </c>
      <c r="K22" s="34" t="n">
        <v>0</v>
      </c>
      <c r="L22" s="34" t="n">
        <v>0</v>
      </c>
      <c r="M22" s="33" t="n">
        <f aca="false">B22+SUM(C22:L22)</f>
        <v>240</v>
      </c>
      <c r="N22" s="24" t="n">
        <f aca="false">MoM!B103</f>
        <v>240</v>
      </c>
      <c r="O22" s="13" t="str">
        <f aca="false">IF(ROUND(M22-N22,4)=0,"✓","✗")</f>
        <v>✓</v>
      </c>
    </row>
    <row r="23" customFormat="false" ht="15" hidden="false" customHeight="false" outlineLevel="0" collapsed="false">
      <c r="A23" s="5" t="s">
        <v>1110</v>
      </c>
      <c r="B23" s="37" t="n">
        <f aca="false">SUM(B18:B22)</f>
        <v>987.326</v>
      </c>
      <c r="C23" s="37" t="n">
        <f aca="false">SUM(C18:C22)</f>
        <v>38.59489</v>
      </c>
      <c r="D23" s="37" t="n">
        <f aca="false">SUM(D18:D22)</f>
        <v>-40.12416</v>
      </c>
      <c r="E23" s="37" t="n">
        <f aca="false">SUM(E18:E22)</f>
        <v>0</v>
      </c>
      <c r="F23" s="37" t="n">
        <f aca="false">SUM(F18:F22)</f>
        <v>17.91724</v>
      </c>
      <c r="G23" s="37" t="n">
        <f aca="false">SUM(G18:G22)</f>
        <v>0</v>
      </c>
      <c r="H23" s="37" t="n">
        <f aca="false">SUM(H18:H22)</f>
        <v>7.73281</v>
      </c>
      <c r="I23" s="37" t="n">
        <f aca="false">SUM(I18:I22)</f>
        <v>11.3496</v>
      </c>
      <c r="J23" s="37" t="n">
        <f aca="false">SUM(J18:J22)</f>
        <v>7.20362</v>
      </c>
      <c r="K23" s="37" t="n">
        <f aca="false">SUM(K18:K22)</f>
        <v>8</v>
      </c>
      <c r="L23" s="37" t="n">
        <f aca="false">SUM(L18:L22)</f>
        <v>2</v>
      </c>
      <c r="M23" s="37" t="n">
        <f aca="false">SUM(M18:M22)</f>
        <v>1040</v>
      </c>
      <c r="N23" s="37" t="n">
        <f aca="false">SUM(N18:N22)</f>
        <v>1040</v>
      </c>
      <c r="O23" s="13" t="str">
        <f aca="false">IF(ROUND(M23-B14,4)=0,"✓","✗")</f>
        <v>✓</v>
      </c>
    </row>
    <row r="24" customFormat="false" ht="15" hidden="false" customHeight="false" outlineLevel="0" collapsed="false">
      <c r="A24" s="18" t="s">
        <v>1111</v>
      </c>
      <c r="O24" s="13" t="str">
        <f aca="false">IF(ROUND(C23+D23+E23+F23+G23-B8,4)=0,"✓","✗")</f>
        <v>✓</v>
      </c>
    </row>
    <row r="27" customFormat="false" ht="18" hidden="false" customHeight="true" outlineLevel="0" collapsed="false">
      <c r="A27" s="3" t="s">
        <v>1112</v>
      </c>
      <c r="B27" s="4"/>
      <c r="C27" s="4"/>
      <c r="D27" s="4"/>
      <c r="E27" s="4"/>
      <c r="F27" s="4"/>
      <c r="G27" s="4"/>
      <c r="H27" s="4"/>
      <c r="I27" s="4"/>
      <c r="J27" s="4"/>
      <c r="K27" s="4"/>
      <c r="L27" s="4"/>
      <c r="M27" s="4"/>
      <c r="N27" s="4"/>
      <c r="O27" s="4"/>
      <c r="P27" s="4"/>
    </row>
    <row r="28" customFormat="false" ht="15" hidden="false" customHeight="false" outlineLevel="0" collapsed="false">
      <c r="A28" s="22" t="s">
        <v>1081</v>
      </c>
      <c r="B28" s="77" t="s">
        <v>131</v>
      </c>
    </row>
    <row r="29" customFormat="false" ht="15" hidden="false" customHeight="false" outlineLevel="0" collapsed="false">
      <c r="A29" s="11" t="s">
        <v>1113</v>
      </c>
      <c r="B29" s="24" t="n">
        <f aca="false">'Budget M'!C98</f>
        <v>1108.921</v>
      </c>
    </row>
    <row r="30" customFormat="false" ht="15" hidden="false" customHeight="false" outlineLevel="0" collapsed="false">
      <c r="A30" s="28" t="s">
        <v>1083</v>
      </c>
      <c r="B30" s="34" t="n">
        <v>-78.70608</v>
      </c>
    </row>
    <row r="31" customFormat="false" ht="15" hidden="false" customHeight="false" outlineLevel="0" collapsed="false">
      <c r="A31" s="28" t="s">
        <v>1084</v>
      </c>
      <c r="B31" s="34" t="n">
        <v>6.55562</v>
      </c>
    </row>
    <row r="32" customFormat="false" ht="15" hidden="false" customHeight="false" outlineLevel="0" collapsed="false">
      <c r="A32" s="28" t="s">
        <v>1085</v>
      </c>
      <c r="B32" s="34" t="n">
        <v>-6.6042</v>
      </c>
    </row>
    <row r="33" customFormat="false" ht="15" hidden="false" customHeight="false" outlineLevel="0" collapsed="false">
      <c r="A33" s="28" t="s">
        <v>1086</v>
      </c>
      <c r="B33" s="34" t="n">
        <v>4.83366</v>
      </c>
    </row>
    <row r="34" customFormat="false" ht="15" hidden="false" customHeight="false" outlineLevel="0" collapsed="false">
      <c r="A34" s="28" t="s">
        <v>1087</v>
      </c>
      <c r="B34" s="34" t="n">
        <v>3</v>
      </c>
    </row>
    <row r="35" customFormat="false" ht="15" hidden="false" customHeight="false" outlineLevel="0" collapsed="false">
      <c r="A35" s="28" t="s">
        <v>1088</v>
      </c>
      <c r="B35" s="34" t="n">
        <v>2</v>
      </c>
    </row>
    <row r="36" customFormat="false" ht="15" hidden="false" customHeight="false" outlineLevel="0" collapsed="false">
      <c r="A36" s="5" t="s">
        <v>1089</v>
      </c>
      <c r="B36" s="37" t="n">
        <f aca="false">B29+SUM(B30:B35)</f>
        <v>1040</v>
      </c>
    </row>
    <row r="37" customFormat="false" ht="15" hidden="false" customHeight="false" outlineLevel="0" collapsed="false">
      <c r="A37" s="38" t="s">
        <v>1090</v>
      </c>
      <c r="B37" s="24" t="n">
        <f aca="false">'Budget M'!B98</f>
        <v>1040</v>
      </c>
      <c r="C37" s="13" t="str">
        <f aca="false">IF(ROUND(B36-B37,4)=0,"✓","✗")</f>
        <v>✓</v>
      </c>
    </row>
    <row r="39" customFormat="false" ht="27.75" hidden="false" customHeight="true" outlineLevel="0" collapsed="false">
      <c r="A39" s="22" t="s">
        <v>1091</v>
      </c>
      <c r="B39" s="78" t="s">
        <v>1092</v>
      </c>
      <c r="C39" s="78" t="s">
        <v>1093</v>
      </c>
      <c r="D39" s="78" t="s">
        <v>1094</v>
      </c>
      <c r="E39" s="78" t="s">
        <v>1095</v>
      </c>
      <c r="F39" s="78" t="s">
        <v>1096</v>
      </c>
      <c r="G39" s="78" t="s">
        <v>1097</v>
      </c>
      <c r="H39" s="78" t="s">
        <v>1098</v>
      </c>
      <c r="I39" s="78" t="s">
        <v>1099</v>
      </c>
      <c r="J39" s="78" t="s">
        <v>1100</v>
      </c>
      <c r="K39" s="78" t="s">
        <v>1101</v>
      </c>
      <c r="L39" s="78" t="s">
        <v>1102</v>
      </c>
      <c r="M39" s="78" t="s">
        <v>1103</v>
      </c>
      <c r="N39" s="78" t="s">
        <v>1104</v>
      </c>
      <c r="O39" s="78" t="s">
        <v>176</v>
      </c>
    </row>
    <row r="40" customFormat="false" ht="15" hidden="false" customHeight="false" outlineLevel="0" collapsed="false">
      <c r="A40" s="28" t="s">
        <v>1105</v>
      </c>
      <c r="B40" s="24" t="n">
        <f aca="false">'Budget M'!C99</f>
        <v>444.92</v>
      </c>
      <c r="C40" s="34" t="n">
        <v>-16.92</v>
      </c>
      <c r="D40" s="34" t="n">
        <v>-16.92</v>
      </c>
      <c r="E40" s="34" t="n">
        <v>-16.92</v>
      </c>
      <c r="F40" s="34" t="n">
        <v>7.29</v>
      </c>
      <c r="G40" s="34" t="n">
        <v>0</v>
      </c>
      <c r="H40" s="34" t="n">
        <v>-2.7432</v>
      </c>
      <c r="I40" s="34" t="n">
        <v>-2.0952</v>
      </c>
      <c r="J40" s="34" t="n">
        <v>1.3884</v>
      </c>
      <c r="K40" s="34" t="n">
        <v>0</v>
      </c>
      <c r="L40" s="34" t="n">
        <v>2</v>
      </c>
      <c r="M40" s="33" t="n">
        <f aca="false">B40+SUM(C40:L40)</f>
        <v>400</v>
      </c>
      <c r="N40" s="24" t="n">
        <f aca="false">'Budget M'!B99</f>
        <v>400</v>
      </c>
      <c r="O40" s="13" t="str">
        <f aca="false">IF(ROUND(M40-N40,4)=0,"✓","✗")</f>
        <v>✓</v>
      </c>
    </row>
    <row r="41" customFormat="false" ht="15" hidden="false" customHeight="false" outlineLevel="0" collapsed="false">
      <c r="A41" s="28" t="s">
        <v>1106</v>
      </c>
      <c r="B41" s="24" t="n">
        <f aca="false">'Budget M'!C100</f>
        <v>126.913</v>
      </c>
      <c r="C41" s="34" t="n">
        <v>0</v>
      </c>
      <c r="D41" s="34" t="n">
        <v>-10.57608</v>
      </c>
      <c r="E41" s="34" t="n">
        <v>0</v>
      </c>
      <c r="F41" s="34" t="n">
        <v>0</v>
      </c>
      <c r="G41" s="34" t="n">
        <v>0</v>
      </c>
      <c r="H41" s="34" t="n">
        <v>0</v>
      </c>
      <c r="I41" s="34" t="n">
        <v>0</v>
      </c>
      <c r="J41" s="34" t="n">
        <v>0.66308</v>
      </c>
      <c r="K41" s="34" t="n">
        <v>3</v>
      </c>
      <c r="L41" s="34" t="n">
        <v>0</v>
      </c>
      <c r="M41" s="33" t="n">
        <f aca="false">B41+SUM(C41:L41)</f>
        <v>120</v>
      </c>
      <c r="N41" s="24" t="n">
        <f aca="false">'Budget M'!B100</f>
        <v>120</v>
      </c>
      <c r="O41" s="13" t="str">
        <f aca="false">IF(ROUND(M41-N41,4)=0,"✓","✗")</f>
        <v>✓</v>
      </c>
    </row>
    <row r="42" customFormat="false" ht="15" hidden="false" customHeight="false" outlineLevel="0" collapsed="false">
      <c r="A42" s="28" t="s">
        <v>1107</v>
      </c>
      <c r="B42" s="24" t="n">
        <f aca="false">'Budget M'!C101</f>
        <v>153.796</v>
      </c>
      <c r="C42" s="34" t="n">
        <v>0</v>
      </c>
      <c r="D42" s="34" t="n">
        <v>0</v>
      </c>
      <c r="E42" s="34" t="n">
        <v>0</v>
      </c>
      <c r="F42" s="34" t="n">
        <v>0</v>
      </c>
      <c r="G42" s="34" t="n">
        <v>0</v>
      </c>
      <c r="H42" s="34" t="n">
        <v>5.14082</v>
      </c>
      <c r="I42" s="34" t="n">
        <v>0</v>
      </c>
      <c r="J42" s="34" t="n">
        <v>1.06318</v>
      </c>
      <c r="K42" s="34" t="n">
        <v>0</v>
      </c>
      <c r="L42" s="34" t="n">
        <v>0</v>
      </c>
      <c r="M42" s="33" t="n">
        <f aca="false">B42+SUM(C42:L42)</f>
        <v>160</v>
      </c>
      <c r="N42" s="24" t="n">
        <f aca="false">'Budget M'!B101</f>
        <v>160</v>
      </c>
      <c r="O42" s="13" t="str">
        <f aca="false">IF(ROUND(M42-N42,4)=0,"✓","✗")</f>
        <v>✓</v>
      </c>
    </row>
    <row r="43" customFormat="false" ht="15" hidden="false" customHeight="false" outlineLevel="0" collapsed="false">
      <c r="A43" s="28" t="s">
        <v>1108</v>
      </c>
      <c r="B43" s="24" t="n">
        <f aca="false">'Budget M'!C102</f>
        <v>119.412</v>
      </c>
      <c r="C43" s="34" t="n">
        <v>0</v>
      </c>
      <c r="D43" s="34" t="n">
        <v>0</v>
      </c>
      <c r="E43" s="34" t="n">
        <v>0</v>
      </c>
      <c r="F43" s="34" t="n">
        <v>0</v>
      </c>
      <c r="G43" s="34" t="n">
        <v>0</v>
      </c>
      <c r="H43" s="34" t="n">
        <v>0</v>
      </c>
      <c r="I43" s="34" t="n">
        <v>0</v>
      </c>
      <c r="J43" s="34" t="n">
        <v>0.588</v>
      </c>
      <c r="K43" s="34" t="n">
        <v>0</v>
      </c>
      <c r="L43" s="34" t="n">
        <v>0</v>
      </c>
      <c r="M43" s="33" t="n">
        <f aca="false">B43+SUM(C43:L43)</f>
        <v>120</v>
      </c>
      <c r="N43" s="24" t="n">
        <f aca="false">'Budget M'!B102</f>
        <v>120</v>
      </c>
      <c r="O43" s="13" t="str">
        <f aca="false">IF(ROUND(M43-N43,4)=0,"✓","✗")</f>
        <v>✓</v>
      </c>
    </row>
    <row r="44" customFormat="false" ht="15" hidden="false" customHeight="false" outlineLevel="0" collapsed="false">
      <c r="A44" s="28" t="s">
        <v>1109</v>
      </c>
      <c r="B44" s="24" t="n">
        <f aca="false">'Budget M'!C103</f>
        <v>263.88</v>
      </c>
      <c r="C44" s="34" t="n">
        <v>0</v>
      </c>
      <c r="D44" s="34" t="n">
        <v>-13.194</v>
      </c>
      <c r="E44" s="34" t="n">
        <v>-13.194</v>
      </c>
      <c r="F44" s="34" t="n">
        <v>1.728</v>
      </c>
      <c r="G44" s="34" t="n">
        <v>0</v>
      </c>
      <c r="H44" s="34" t="n">
        <v>4.158</v>
      </c>
      <c r="I44" s="34" t="n">
        <v>-4.509</v>
      </c>
      <c r="J44" s="34" t="n">
        <v>1.131</v>
      </c>
      <c r="K44" s="34" t="n">
        <v>0</v>
      </c>
      <c r="L44" s="34" t="n">
        <v>0</v>
      </c>
      <c r="M44" s="33" t="n">
        <f aca="false">B44+SUM(C44:L44)</f>
        <v>240</v>
      </c>
      <c r="N44" s="24" t="n">
        <f aca="false">'Budget M'!B103</f>
        <v>240</v>
      </c>
      <c r="O44" s="13" t="str">
        <f aca="false">IF(ROUND(M44-N44,4)=0,"✓","✗")</f>
        <v>✓</v>
      </c>
    </row>
    <row r="45" customFormat="false" ht="15" hidden="false" customHeight="false" outlineLevel="0" collapsed="false">
      <c r="A45" s="5" t="s">
        <v>1110</v>
      </c>
      <c r="B45" s="37" t="n">
        <f aca="false">SUM(B40:B44)</f>
        <v>1108.921</v>
      </c>
      <c r="C45" s="37" t="n">
        <f aca="false">SUM(C40:C44)</f>
        <v>-16.92</v>
      </c>
      <c r="D45" s="37" t="n">
        <f aca="false">SUM(D40:D44)</f>
        <v>-40.69008</v>
      </c>
      <c r="E45" s="37" t="n">
        <f aca="false">SUM(E40:E44)</f>
        <v>-30.114</v>
      </c>
      <c r="F45" s="37" t="n">
        <f aca="false">SUM(F40:F44)</f>
        <v>9.018</v>
      </c>
      <c r="G45" s="37" t="n">
        <f aca="false">SUM(G40:G44)</f>
        <v>0</v>
      </c>
      <c r="H45" s="37" t="n">
        <f aca="false">SUM(H40:H44)</f>
        <v>6.55562</v>
      </c>
      <c r="I45" s="37" t="n">
        <f aca="false">SUM(I40:I44)</f>
        <v>-6.6042</v>
      </c>
      <c r="J45" s="37" t="n">
        <f aca="false">SUM(J40:J44)</f>
        <v>4.83366</v>
      </c>
      <c r="K45" s="37" t="n">
        <f aca="false">SUM(K40:K44)</f>
        <v>3</v>
      </c>
      <c r="L45" s="37" t="n">
        <f aca="false">SUM(L40:L44)</f>
        <v>2</v>
      </c>
      <c r="M45" s="37" t="n">
        <f aca="false">SUM(M40:M44)</f>
        <v>1040</v>
      </c>
      <c r="N45" s="37" t="n">
        <f aca="false">SUM(N40:N44)</f>
        <v>1040</v>
      </c>
      <c r="O45" s="13" t="str">
        <f aca="false">IF(ROUND(M45-B36,4)=0,"✓","✗")</f>
        <v>✓</v>
      </c>
    </row>
    <row r="46" customFormat="false" ht="15" hidden="false" customHeight="false" outlineLevel="0" collapsed="false">
      <c r="A46" s="18" t="s">
        <v>1111</v>
      </c>
      <c r="O46" s="13" t="str">
        <f aca="false">IF(ROUND(C45+D45+E45+F45+G45-B30,4)=0,"✓","✗")</f>
        <v>✓</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34"/>
    <col collapsed="false" customWidth="true" hidden="false" outlineLevel="0" max="3" min="3" style="0" width="15"/>
    <col collapsed="false" customWidth="true" hidden="false" outlineLevel="0" max="4" min="4" style="0" width="18"/>
    <col collapsed="false" customWidth="true" hidden="false" outlineLevel="0" max="5" min="5" style="0" width="10"/>
    <col collapsed="false" customWidth="true" hidden="false" outlineLevel="0" max="6" min="6" style="0" width="11"/>
    <col collapsed="false" customWidth="true" hidden="false" outlineLevel="0" max="7" min="7" style="0" width="30"/>
    <col collapsed="false" customWidth="true" hidden="false" outlineLevel="0" max="8" min="8" style="0" width="7"/>
    <col collapsed="false" customWidth="true" hidden="false" outlineLevel="0" max="15" min="9" style="0" width="10"/>
  </cols>
  <sheetData>
    <row r="1" customFormat="false" ht="17.35" hidden="false" customHeight="false" outlineLevel="0" collapsed="false">
      <c r="A1" s="17" t="s">
        <v>1114</v>
      </c>
    </row>
    <row r="2" customFormat="false" ht="15" hidden="false" customHeight="false" outlineLevel="0" collapsed="false">
      <c r="A2" s="18" t="s">
        <v>80</v>
      </c>
    </row>
    <row r="3" customFormat="false" ht="15" hidden="false" customHeight="false" outlineLevel="0" collapsed="false">
      <c r="A3" s="18" t="s">
        <v>1115</v>
      </c>
    </row>
    <row r="5" customFormat="false" ht="27.75" hidden="false" customHeight="true" outlineLevel="0" collapsed="false">
      <c r="A5" s="47" t="s">
        <v>1116</v>
      </c>
      <c r="B5" s="47" t="s">
        <v>1117</v>
      </c>
      <c r="C5" s="47" t="s">
        <v>1118</v>
      </c>
      <c r="D5" s="47" t="s">
        <v>1119</v>
      </c>
      <c r="E5" s="47" t="s">
        <v>1120</v>
      </c>
      <c r="F5" s="47" t="s">
        <v>5</v>
      </c>
      <c r="G5" s="47" t="s">
        <v>1121</v>
      </c>
      <c r="H5" s="48" t="s">
        <v>1122</v>
      </c>
      <c r="I5" s="48" t="s">
        <v>1123</v>
      </c>
      <c r="J5" s="48" t="s">
        <v>1124</v>
      </c>
      <c r="K5" s="48" t="s">
        <v>1125</v>
      </c>
      <c r="L5" s="48" t="s">
        <v>1126</v>
      </c>
      <c r="M5" s="48" t="s">
        <v>1127</v>
      </c>
      <c r="N5" s="48" t="s">
        <v>1128</v>
      </c>
      <c r="O5" s="48" t="s">
        <v>1129</v>
      </c>
    </row>
    <row r="6" customFormat="false" ht="15" hidden="false" customHeight="true" outlineLevel="0" collapsed="false">
      <c r="A6" s="79" t="s">
        <v>1130</v>
      </c>
      <c r="B6" s="80" t="s">
        <v>192</v>
      </c>
      <c r="C6" s="80" t="s">
        <v>1131</v>
      </c>
      <c r="D6" s="80" t="s">
        <v>1132</v>
      </c>
      <c r="E6" s="80" t="s">
        <v>1133</v>
      </c>
      <c r="F6" s="80" t="s">
        <v>1134</v>
      </c>
      <c r="G6" s="79" t="s">
        <v>1135</v>
      </c>
      <c r="H6" s="81" t="n">
        <v>-1</v>
      </c>
      <c r="I6" s="34" t="n">
        <v>-5</v>
      </c>
    </row>
    <row r="7" customFormat="false" ht="15" hidden="false" customHeight="true" outlineLevel="0" collapsed="false">
      <c r="A7" s="79" t="s">
        <v>1136</v>
      </c>
      <c r="B7" s="80" t="s">
        <v>192</v>
      </c>
      <c r="C7" s="80" t="s">
        <v>1137</v>
      </c>
      <c r="D7" s="80" t="s">
        <v>1138</v>
      </c>
      <c r="E7" s="80" t="s">
        <v>1133</v>
      </c>
      <c r="F7" s="80" t="s">
        <v>1134</v>
      </c>
      <c r="G7" s="79" t="s">
        <v>1139</v>
      </c>
      <c r="H7" s="81" t="n">
        <v>-1</v>
      </c>
      <c r="I7" s="34" t="n">
        <v>-4</v>
      </c>
    </row>
    <row r="8" customFormat="false" ht="15" hidden="false" customHeight="true" outlineLevel="0" collapsed="false">
      <c r="A8" s="79" t="s">
        <v>1140</v>
      </c>
      <c r="B8" s="80" t="s">
        <v>195</v>
      </c>
      <c r="C8" s="80" t="s">
        <v>1131</v>
      </c>
      <c r="D8" s="80" t="s">
        <v>1132</v>
      </c>
      <c r="E8" s="80" t="s">
        <v>1133</v>
      </c>
      <c r="F8" s="80" t="s">
        <v>1134</v>
      </c>
      <c r="G8" s="79" t="s">
        <v>1135</v>
      </c>
      <c r="H8" s="81" t="n">
        <v>-1</v>
      </c>
      <c r="I8" s="34" t="n">
        <v>-3</v>
      </c>
    </row>
    <row r="9" customFormat="false" ht="27" hidden="false" customHeight="true" outlineLevel="0" collapsed="false">
      <c r="A9" s="79" t="s">
        <v>1141</v>
      </c>
      <c r="B9" s="80" t="s">
        <v>192</v>
      </c>
      <c r="C9" s="80" t="s">
        <v>1142</v>
      </c>
      <c r="D9" s="80" t="s">
        <v>1132</v>
      </c>
      <c r="E9" s="80" t="s">
        <v>1143</v>
      </c>
      <c r="F9" s="82" t="s">
        <v>1144</v>
      </c>
      <c r="G9" s="79" t="s">
        <v>1145</v>
      </c>
      <c r="H9" s="81" t="n">
        <v>-1</v>
      </c>
      <c r="M9" s="34" t="n">
        <v>11.5507</v>
      </c>
      <c r="N9" s="34" t="n">
        <v>11.5507</v>
      </c>
      <c r="O9" s="34" t="n">
        <v>11.5507</v>
      </c>
    </row>
    <row r="10" customFormat="false" ht="27" hidden="false" customHeight="true" outlineLevel="0" collapsed="false">
      <c r="A10" s="79" t="s">
        <v>1141</v>
      </c>
      <c r="B10" s="80" t="s">
        <v>195</v>
      </c>
      <c r="C10" s="80" t="s">
        <v>1142</v>
      </c>
      <c r="D10" s="80" t="s">
        <v>1132</v>
      </c>
      <c r="E10" s="80" t="s">
        <v>1143</v>
      </c>
      <c r="F10" s="82" t="s">
        <v>1144</v>
      </c>
      <c r="G10" s="79" t="s">
        <v>1145</v>
      </c>
      <c r="H10" s="81" t="n">
        <v>-1</v>
      </c>
      <c r="M10" s="34" t="n">
        <v>3.22476</v>
      </c>
      <c r="N10" s="34" t="n">
        <v>3.22476</v>
      </c>
      <c r="O10" s="34" t="n">
        <v>3.22476</v>
      </c>
    </row>
    <row r="11" customFormat="false" ht="27" hidden="false" customHeight="true" outlineLevel="0" collapsed="false">
      <c r="A11" s="79" t="s">
        <v>1141</v>
      </c>
      <c r="B11" s="80" t="s">
        <v>198</v>
      </c>
      <c r="C11" s="80" t="s">
        <v>1142</v>
      </c>
      <c r="D11" s="80" t="s">
        <v>1132</v>
      </c>
      <c r="E11" s="80" t="s">
        <v>1143</v>
      </c>
      <c r="F11" s="82" t="s">
        <v>1144</v>
      </c>
      <c r="G11" s="79" t="s">
        <v>1145</v>
      </c>
      <c r="H11" s="81" t="n">
        <v>-1</v>
      </c>
      <c r="M11" s="34" t="n">
        <v>4.3078</v>
      </c>
      <c r="N11" s="34" t="n">
        <v>4.3078</v>
      </c>
      <c r="O11" s="34" t="n">
        <v>4.3078</v>
      </c>
    </row>
    <row r="12" customFormat="false" ht="27" hidden="false" customHeight="true" outlineLevel="0" collapsed="false">
      <c r="A12" s="79" t="s">
        <v>1141</v>
      </c>
      <c r="B12" s="80" t="s">
        <v>323</v>
      </c>
      <c r="C12" s="80" t="s">
        <v>1142</v>
      </c>
      <c r="D12" s="80" t="s">
        <v>1132</v>
      </c>
      <c r="E12" s="80" t="s">
        <v>1143</v>
      </c>
      <c r="F12" s="82" t="s">
        <v>1144</v>
      </c>
      <c r="G12" s="79" t="s">
        <v>1145</v>
      </c>
      <c r="H12" s="81" t="n">
        <v>-1</v>
      </c>
      <c r="M12" s="34" t="n">
        <v>3.374</v>
      </c>
      <c r="N12" s="34" t="n">
        <v>3.374</v>
      </c>
      <c r="O12" s="34" t="n">
        <v>3.374</v>
      </c>
    </row>
    <row r="13" customFormat="false" ht="27" hidden="false" customHeight="true" outlineLevel="0" collapsed="false">
      <c r="A13" s="79" t="s">
        <v>1141</v>
      </c>
      <c r="B13" s="80" t="s">
        <v>225</v>
      </c>
      <c r="C13" s="80" t="s">
        <v>1142</v>
      </c>
      <c r="D13" s="80" t="s">
        <v>1132</v>
      </c>
      <c r="E13" s="80" t="s">
        <v>1143</v>
      </c>
      <c r="F13" s="82" t="s">
        <v>1144</v>
      </c>
      <c r="G13" s="79" t="s">
        <v>1145</v>
      </c>
      <c r="H13" s="81" t="n">
        <v>-1</v>
      </c>
      <c r="M13" s="34" t="n">
        <v>6.84862</v>
      </c>
      <c r="N13" s="34" t="n">
        <v>6.84862</v>
      </c>
      <c r="O13" s="34" t="n">
        <v>6.84862</v>
      </c>
    </row>
    <row r="14" customFormat="false" ht="27" hidden="false" customHeight="true" outlineLevel="0" collapsed="false">
      <c r="A14" s="79" t="s">
        <v>1146</v>
      </c>
      <c r="B14" s="80" t="s">
        <v>189</v>
      </c>
      <c r="C14" s="80" t="s">
        <v>1131</v>
      </c>
      <c r="D14" s="80" t="s">
        <v>1105</v>
      </c>
      <c r="E14" s="80" t="s">
        <v>1143</v>
      </c>
      <c r="F14" s="82" t="s">
        <v>1144</v>
      </c>
      <c r="G14" s="79" t="s">
        <v>1147</v>
      </c>
      <c r="H14" s="81" t="n">
        <v>-1</v>
      </c>
      <c r="I14" s="34" t="n">
        <v>-10</v>
      </c>
    </row>
    <row r="15" customFormat="false" ht="15" hidden="false" customHeight="true" outlineLevel="0" collapsed="false">
      <c r="A15" s="79" t="s">
        <v>1148</v>
      </c>
      <c r="B15" s="80" t="s">
        <v>204</v>
      </c>
      <c r="C15" s="80" t="s">
        <v>1142</v>
      </c>
      <c r="D15" s="80" t="s">
        <v>1138</v>
      </c>
      <c r="E15" s="80" t="s">
        <v>1143</v>
      </c>
      <c r="F15" s="82" t="s">
        <v>1144</v>
      </c>
      <c r="G15" s="79" t="s">
        <v>1149</v>
      </c>
      <c r="H15" s="81" t="n">
        <v>-1</v>
      </c>
      <c r="J15" s="34" t="n">
        <v>3</v>
      </c>
      <c r="K15" s="34" t="n">
        <v>3</v>
      </c>
      <c r="L15" s="34" t="n">
        <v>3</v>
      </c>
    </row>
    <row r="16" customFormat="false" ht="15" hidden="false" customHeight="true" outlineLevel="0" collapsed="false">
      <c r="A16" s="79" t="s">
        <v>1150</v>
      </c>
      <c r="B16" s="80" t="s">
        <v>314</v>
      </c>
      <c r="C16" s="80" t="s">
        <v>1142</v>
      </c>
      <c r="D16" s="80" t="s">
        <v>1106</v>
      </c>
      <c r="E16" s="80" t="s">
        <v>1133</v>
      </c>
      <c r="F16" s="80" t="s">
        <v>1134</v>
      </c>
      <c r="G16" s="79" t="s">
        <v>1151</v>
      </c>
      <c r="H16" s="81" t="n">
        <v>1</v>
      </c>
      <c r="J16" s="34" t="n">
        <v>-29.65</v>
      </c>
      <c r="K16" s="34" t="n">
        <v>-29.65</v>
      </c>
      <c r="L16" s="34" t="n">
        <v>-29.65</v>
      </c>
    </row>
    <row r="17" customFormat="false" ht="15" hidden="false" customHeight="true" outlineLevel="0" collapsed="false">
      <c r="A17" s="79" t="s">
        <v>1152</v>
      </c>
      <c r="B17" s="80" t="s">
        <v>314</v>
      </c>
      <c r="C17" s="80" t="s">
        <v>1142</v>
      </c>
      <c r="D17" s="80" t="s">
        <v>1153</v>
      </c>
      <c r="E17" s="80" t="s">
        <v>1143</v>
      </c>
      <c r="F17" s="82" t="s">
        <v>1144</v>
      </c>
      <c r="G17" s="79" t="s">
        <v>1154</v>
      </c>
      <c r="H17" s="81" t="n">
        <v>1</v>
      </c>
      <c r="J17" s="34" t="n">
        <v>22.2375</v>
      </c>
      <c r="K17" s="34" t="n">
        <v>22.2375</v>
      </c>
      <c r="L17" s="34" t="n">
        <v>22.2375</v>
      </c>
    </row>
    <row r="18" customFormat="false" ht="15" hidden="false" customHeight="true" outlineLevel="0" collapsed="false">
      <c r="A18" s="79" t="s">
        <v>1155</v>
      </c>
      <c r="B18" s="80" t="s">
        <v>230</v>
      </c>
      <c r="C18" s="80" t="s">
        <v>1099</v>
      </c>
      <c r="D18" s="80" t="s">
        <v>1156</v>
      </c>
      <c r="E18" s="80" t="s">
        <v>1133</v>
      </c>
      <c r="F18" s="80" t="s">
        <v>1134</v>
      </c>
      <c r="G18" s="79" t="s">
        <v>1157</v>
      </c>
      <c r="H18" s="81" t="n">
        <v>-1</v>
      </c>
      <c r="J18" s="34" t="n">
        <v>30</v>
      </c>
      <c r="K18" s="34" t="n">
        <v>45</v>
      </c>
    </row>
    <row r="19" customFormat="false" ht="27" hidden="false" customHeight="true" outlineLevel="0" collapsed="false">
      <c r="A19" s="79" t="s">
        <v>1158</v>
      </c>
      <c r="B19" s="80" t="s">
        <v>201</v>
      </c>
      <c r="C19" s="80" t="s">
        <v>1142</v>
      </c>
      <c r="D19" s="80" t="s">
        <v>1159</v>
      </c>
      <c r="E19" s="80" t="s">
        <v>1160</v>
      </c>
      <c r="F19" s="82" t="s">
        <v>1144</v>
      </c>
      <c r="G19" s="79" t="s">
        <v>1161</v>
      </c>
      <c r="H19" s="81" t="n">
        <v>-1</v>
      </c>
      <c r="N19" s="34" t="n">
        <v>1</v>
      </c>
      <c r="O19" s="34" t="n">
        <v>1</v>
      </c>
    </row>
    <row r="20" customFormat="false" ht="15" hidden="false" customHeight="true" outlineLevel="0" collapsed="false">
      <c r="A20" s="79" t="s">
        <v>1162</v>
      </c>
      <c r="B20" s="80" t="s">
        <v>242</v>
      </c>
      <c r="C20" s="80" t="s">
        <v>1099</v>
      </c>
      <c r="D20" s="80" t="s">
        <v>1138</v>
      </c>
      <c r="E20" s="80" t="s">
        <v>1143</v>
      </c>
      <c r="F20" s="80" t="s">
        <v>1134</v>
      </c>
      <c r="G20" s="79" t="s">
        <v>1149</v>
      </c>
      <c r="H20" s="81" t="n">
        <v>-1</v>
      </c>
      <c r="L20" s="34" t="n">
        <v>18</v>
      </c>
      <c r="M20" s="34" t="n">
        <v>25</v>
      </c>
    </row>
    <row r="21" customFormat="false" ht="15" hidden="false" customHeight="false" outlineLevel="0" collapsed="false">
      <c r="A21" s="5" t="s">
        <v>1163</v>
      </c>
      <c r="I21" s="37" t="n">
        <f aca="false">SUMPRODUCT($H$6:$H$20,I6:I20)</f>
        <v>22</v>
      </c>
      <c r="J21" s="37" t="n">
        <f aca="false">SUMPRODUCT($H$6:$H$20,J6:J20)</f>
        <v>-40.4125</v>
      </c>
      <c r="K21" s="37" t="n">
        <f aca="false">SUMPRODUCT($H$6:$H$20,K6:K20)</f>
        <v>-55.4125</v>
      </c>
      <c r="L21" s="37" t="n">
        <f aca="false">SUMPRODUCT($H$6:$H$20,L6:L20)</f>
        <v>-28.4125</v>
      </c>
      <c r="M21" s="37" t="n">
        <f aca="false">SUMPRODUCT($H$6:$H$20,M6:M20)</f>
        <v>-54.30588</v>
      </c>
      <c r="N21" s="37" t="n">
        <f aca="false">SUMPRODUCT($H$6:$H$20,N6:N20)</f>
        <v>-30.30588</v>
      </c>
      <c r="O21" s="37" t="n">
        <f aca="false">SUMPRODUCT($H$6:$H$20,O6:O20)</f>
        <v>-30.30588</v>
      </c>
    </row>
    <row r="22" customFormat="false" ht="15" hidden="false" customHeight="false" outlineLevel="0" collapsed="false">
      <c r="A22" s="38" t="s">
        <v>1164</v>
      </c>
      <c r="I22" s="83" t="n">
        <v>22</v>
      </c>
      <c r="J22" s="83" t="n">
        <v>-40.4125</v>
      </c>
      <c r="K22" s="83" t="n">
        <v>-55.4125</v>
      </c>
      <c r="L22" s="83" t="n">
        <v>-28.4125</v>
      </c>
      <c r="M22" s="83" t="n">
        <v>-54.30588</v>
      </c>
      <c r="N22" s="83" t="n">
        <v>-30.30588</v>
      </c>
      <c r="O22" s="83" t="n">
        <v>-30.30588</v>
      </c>
    </row>
    <row r="23" customFormat="false" ht="15" hidden="false" customHeight="false" outlineLevel="0" collapsed="false">
      <c r="A23" s="38" t="s">
        <v>176</v>
      </c>
      <c r="I23" s="39" t="str">
        <f aca="false">IF(ROUND(I21-I22,4)=0,"✓","✗")</f>
        <v>✓</v>
      </c>
      <c r="J23" s="39" t="str">
        <f aca="false">IF(ROUND(J21-J22,4)=0,"✓","✗")</f>
        <v>✓</v>
      </c>
      <c r="K23" s="39" t="str">
        <f aca="false">IF(ROUND(K21-K22,4)=0,"✓","✗")</f>
        <v>✓</v>
      </c>
      <c r="L23" s="39" t="str">
        <f aca="false">IF(ROUND(L21-L22,4)=0,"✓","✗")</f>
        <v>✓</v>
      </c>
      <c r="M23" s="39" t="str">
        <f aca="false">IF(ROUND(M21-M22,4)=0,"✓","✗")</f>
        <v>✓</v>
      </c>
      <c r="N23" s="39" t="str">
        <f aca="false">IF(ROUND(N21-N22,4)=0,"✓","✗")</f>
        <v>✓</v>
      </c>
      <c r="O23" s="39" t="str">
        <f aca="false">IF(ROUND(O21-O22,4)=0,"✓","✗")</f>
        <v>✓</v>
      </c>
    </row>
    <row r="24" customFormat="false" ht="15" hidden="false" customHeight="false" outlineLevel="0" collapsed="false">
      <c r="A24" s="22" t="s">
        <v>1165</v>
      </c>
      <c r="I24" s="84" t="n">
        <f aca="false">I21</f>
        <v>22</v>
      </c>
    </row>
    <row r="27" customFormat="false" ht="18" hidden="false" customHeight="true" outlineLevel="0" collapsed="false">
      <c r="A27" s="3" t="s">
        <v>1166</v>
      </c>
      <c r="B27" s="4"/>
      <c r="C27" s="4"/>
      <c r="D27" s="4"/>
      <c r="E27" s="4"/>
      <c r="F27" s="4"/>
      <c r="G27" s="4"/>
      <c r="H27" s="4"/>
      <c r="I27" s="4"/>
      <c r="J27" s="4"/>
      <c r="K27" s="4"/>
      <c r="L27" s="4"/>
      <c r="M27" s="4"/>
      <c r="N27" s="4"/>
    </row>
    <row r="28" customFormat="false" ht="15" hidden="false" customHeight="false" outlineLevel="0" collapsed="false">
      <c r="A28" s="11" t="s">
        <v>1167</v>
      </c>
      <c r="B28" s="85" t="n">
        <v>0.9</v>
      </c>
    </row>
    <row r="29" customFormat="false" ht="15" hidden="false" customHeight="false" outlineLevel="0" collapsed="false">
      <c r="A29" s="11" t="s">
        <v>1168</v>
      </c>
      <c r="B29" s="85" t="n">
        <v>0.25</v>
      </c>
      <c r="C29" s="18" t="s">
        <v>1169</v>
      </c>
    </row>
    <row r="31" customFormat="false" ht="27.75" hidden="false" customHeight="true" outlineLevel="0" collapsed="false">
      <c r="A31" s="47" t="s">
        <v>1170</v>
      </c>
      <c r="B31" s="47" t="s">
        <v>1117</v>
      </c>
      <c r="C31" s="47" t="s">
        <v>1119</v>
      </c>
      <c r="D31" s="48" t="s">
        <v>1171</v>
      </c>
      <c r="E31" s="48" t="s">
        <v>1172</v>
      </c>
      <c r="F31" s="48" t="s">
        <v>1173</v>
      </c>
      <c r="G31" s="47" t="s">
        <v>1174</v>
      </c>
      <c r="H31" s="47" t="s">
        <v>1175</v>
      </c>
      <c r="I31" s="47" t="s">
        <v>1176</v>
      </c>
      <c r="J31" s="4"/>
      <c r="K31" s="4"/>
      <c r="L31" s="47" t="s">
        <v>1177</v>
      </c>
    </row>
    <row r="32" customFormat="false" ht="25.5" hidden="false" customHeight="true" outlineLevel="0" collapsed="false">
      <c r="A32" s="79" t="s">
        <v>1178</v>
      </c>
      <c r="B32" s="79" t="s">
        <v>198</v>
      </c>
      <c r="C32" s="80" t="s">
        <v>1132</v>
      </c>
      <c r="D32" s="34" t="n">
        <v>5</v>
      </c>
      <c r="E32" s="34" t="n">
        <v>5.14081</v>
      </c>
      <c r="F32" s="86" t="n">
        <f aca="false">IF(D32=0,0,E32/D32)</f>
        <v>1.028162</v>
      </c>
      <c r="G32" s="5" t="str">
        <f aca="false">IF(F32&gt;=$B$28,"Realized",IF(F32&gt;=$B$29,"Partly realized","Missed"))</f>
        <v>Realized</v>
      </c>
      <c r="H32" s="18" t="s">
        <v>1179</v>
      </c>
      <c r="I32" s="80" t="s">
        <v>1084</v>
      </c>
    </row>
    <row r="33" customFormat="false" ht="25.5" hidden="false" customHeight="true" outlineLevel="0" collapsed="false">
      <c r="A33" s="79" t="s">
        <v>1180</v>
      </c>
      <c r="B33" s="79" t="s">
        <v>230</v>
      </c>
      <c r="C33" s="80" t="s">
        <v>1156</v>
      </c>
      <c r="D33" s="34" t="n">
        <v>-55</v>
      </c>
      <c r="E33" s="34" t="n">
        <v>-55</v>
      </c>
      <c r="F33" s="86" t="n">
        <f aca="false">IF(D33=0,0,E33/D33)</f>
        <v>1</v>
      </c>
      <c r="G33" s="5" t="str">
        <f aca="false">IF(F33&gt;=$B$28,"Realized",IF(F33&gt;=$B$29,"Partly realized","Missed"))</f>
        <v>Realized</v>
      </c>
      <c r="H33" s="18" t="s">
        <v>1179</v>
      </c>
      <c r="I33" s="80" t="s">
        <v>1181</v>
      </c>
    </row>
    <row r="34" customFormat="false" ht="25.5" hidden="false" customHeight="true" outlineLevel="0" collapsed="false">
      <c r="A34" s="79" t="s">
        <v>1182</v>
      </c>
      <c r="B34" s="79" t="s">
        <v>315</v>
      </c>
      <c r="C34" s="80" t="s">
        <v>1183</v>
      </c>
      <c r="D34" s="34" t="n">
        <v>-60</v>
      </c>
      <c r="E34" s="34" t="n">
        <v>-60</v>
      </c>
      <c r="F34" s="86" t="n">
        <f aca="false">IF(D34=0,0,E34/D34)</f>
        <v>1</v>
      </c>
      <c r="G34" s="5" t="str">
        <f aca="false">IF(F34&gt;=$B$28,"Realized",IF(F34&gt;=$B$29,"Partly realized","Missed"))</f>
        <v>Realized</v>
      </c>
      <c r="H34" s="18" t="s">
        <v>1179</v>
      </c>
      <c r="I34" s="80" t="s">
        <v>1184</v>
      </c>
    </row>
    <row r="35" customFormat="false" ht="25.5" hidden="false" customHeight="true" outlineLevel="0" collapsed="false">
      <c r="A35" s="79" t="s">
        <v>1185</v>
      </c>
      <c r="B35" s="79" t="s">
        <v>314</v>
      </c>
      <c r="C35" s="80" t="s">
        <v>1153</v>
      </c>
      <c r="D35" s="34" t="n">
        <v>50</v>
      </c>
      <c r="E35" s="34" t="n">
        <v>44.475</v>
      </c>
      <c r="F35" s="86" t="n">
        <f aca="false">IF(D35=0,0,E35/D35)</f>
        <v>0.8895</v>
      </c>
      <c r="G35" s="5" t="str">
        <f aca="false">IF(F35&gt;=$B$28,"Realized",IF(F35&gt;=$B$29,"Partly realized","Missed"))</f>
        <v>Partly realized</v>
      </c>
      <c r="H35" s="18" t="s">
        <v>1186</v>
      </c>
      <c r="I35" s="80" t="s">
        <v>1187</v>
      </c>
      <c r="L35" s="79" t="s">
        <v>1188</v>
      </c>
    </row>
    <row r="36" customFormat="false" ht="25.5" hidden="false" customHeight="true" outlineLevel="0" collapsed="false">
      <c r="A36" s="79" t="s">
        <v>1189</v>
      </c>
      <c r="B36" s="79" t="s">
        <v>242</v>
      </c>
      <c r="C36" s="80" t="s">
        <v>1138</v>
      </c>
      <c r="D36" s="34" t="n">
        <v>-8</v>
      </c>
      <c r="E36" s="34" t="n">
        <v>-5</v>
      </c>
      <c r="F36" s="86" t="n">
        <f aca="false">IF(D36=0,0,E36/D36)</f>
        <v>0.625</v>
      </c>
      <c r="G36" s="5" t="str">
        <f aca="false">IF(F36&gt;=$B$28,"Realized",IF(F36&gt;=$B$29,"Partly realized","Missed"))</f>
        <v>Partly realized</v>
      </c>
      <c r="H36" s="18" t="s">
        <v>1186</v>
      </c>
      <c r="I36" s="80" t="s">
        <v>1190</v>
      </c>
      <c r="L36" s="79" t="s">
        <v>1191</v>
      </c>
    </row>
    <row r="37" customFormat="false" ht="25.5" hidden="false" customHeight="true" outlineLevel="0" collapsed="false">
      <c r="A37" s="79" t="s">
        <v>1192</v>
      </c>
      <c r="B37" s="79" t="s">
        <v>201</v>
      </c>
      <c r="C37" s="80" t="s">
        <v>1159</v>
      </c>
      <c r="D37" s="34" t="n">
        <v>-3</v>
      </c>
      <c r="E37" s="34" t="n">
        <v>0</v>
      </c>
      <c r="F37" s="86" t="n">
        <f aca="false">IF(D37=0,0,E37/D37)</f>
        <v>-0</v>
      </c>
      <c r="G37" s="5" t="str">
        <f aca="false">IF(F37&gt;=$B$28,"Realized",IF(F37&gt;=$B$29,"Partly realized","Missed"))</f>
        <v>Missed</v>
      </c>
      <c r="H37" s="18" t="s">
        <v>1193</v>
      </c>
      <c r="I37" s="80" t="s">
        <v>1194</v>
      </c>
      <c r="L37" s="79" t="s">
        <v>1195</v>
      </c>
    </row>
    <row r="38" customFormat="false" ht="25.5" hidden="false" customHeight="true" outlineLevel="0" collapsed="false">
      <c r="A38" s="79" t="s">
        <v>1196</v>
      </c>
      <c r="B38" s="79" t="s">
        <v>225</v>
      </c>
      <c r="C38" s="80" t="s">
        <v>1153</v>
      </c>
      <c r="D38" s="34" t="n">
        <v>13</v>
      </c>
      <c r="E38" s="34" t="n">
        <v>12.99</v>
      </c>
      <c r="F38" s="86" t="n">
        <f aca="false">IF(D38=0,0,E38/D38)</f>
        <v>0.999230769230769</v>
      </c>
      <c r="G38" s="5" t="str">
        <f aca="false">IF(F38&gt;=$B$28,"Realized",IF(F38&gt;=$B$29,"Partly realized","Missed"))</f>
        <v>Realized</v>
      </c>
      <c r="H38" s="18" t="s">
        <v>1179</v>
      </c>
      <c r="I38" s="80" t="s">
        <v>1093</v>
      </c>
    </row>
    <row r="39" customFormat="false" ht="25.5" hidden="false" customHeight="true" outlineLevel="0" collapsed="false">
      <c r="A39" s="79" t="s">
        <v>1197</v>
      </c>
      <c r="B39" s="79" t="s">
        <v>230</v>
      </c>
      <c r="C39" s="80" t="s">
        <v>1156</v>
      </c>
      <c r="D39" s="34" t="n">
        <v>-3</v>
      </c>
      <c r="E39" s="34" t="n">
        <v>3</v>
      </c>
      <c r="F39" s="86" t="n">
        <f aca="false">IF(D39=0,0,E39/D39)</f>
        <v>-1</v>
      </c>
      <c r="G39" s="5" t="str">
        <f aca="false">IF(F39&gt;=$B$28,"Realized",IF(F39&gt;=$B$29,"Partly realized","Missed"))</f>
        <v>Missed</v>
      </c>
      <c r="H39" s="18" t="s">
        <v>1193</v>
      </c>
      <c r="I39" s="80" t="s">
        <v>1198</v>
      </c>
      <c r="L39" s="79" t="s">
        <v>1199</v>
      </c>
    </row>
    <row r="40" customFormat="false" ht="15" hidden="false" customHeight="false" outlineLevel="0" collapsed="false">
      <c r="A40" s="38" t="s">
        <v>1200</v>
      </c>
      <c r="G40" s="8" t="str">
        <f aca="false">IF(SUMPRODUCT(--(G32:G39&lt;&gt;H32:H39))=0,"✓","✗")</f>
        <v>✓</v>
      </c>
    </row>
    <row r="42" customFormat="false" ht="15" hidden="false" customHeight="false" outlineLevel="0" collapsed="false">
      <c r="A42" s="28" t="s">
        <v>1179</v>
      </c>
      <c r="B42" s="11" t="n">
        <f aca="false">COUNTIF(G32:G39,"Realized")</f>
        <v>4</v>
      </c>
    </row>
    <row r="43" customFormat="false" ht="15" hidden="false" customHeight="false" outlineLevel="0" collapsed="false">
      <c r="A43" s="28" t="s">
        <v>1186</v>
      </c>
      <c r="B43" s="11" t="n">
        <f aca="false">COUNTIF(G32:G39,"Partly realized")</f>
        <v>2</v>
      </c>
    </row>
    <row r="44" customFormat="false" ht="15" hidden="false" customHeight="false" outlineLevel="0" collapsed="false">
      <c r="A44" s="28" t="s">
        <v>1193</v>
      </c>
      <c r="B44" s="11" t="n">
        <f aca="false">COUNTIF(G32:G39,"Missed")</f>
        <v>2</v>
      </c>
    </row>
    <row r="45" customFormat="false" ht="15" hidden="false" customHeight="false" outlineLevel="0" collapsed="false">
      <c r="A45" s="5" t="s">
        <v>1201</v>
      </c>
      <c r="B45" s="87" t="n">
        <f aca="false">1-SUMPRODUCT(ABS(E32:E39-D32:D39))/SUMPRODUCT(ABS(D32:D39))</f>
        <v>0.910275076142132</v>
      </c>
    </row>
    <row r="47" customFormat="false" ht="15" hidden="false" customHeight="false" outlineLevel="0" collapsed="false">
      <c r="A47" s="22" t="s">
        <v>1202</v>
      </c>
      <c r="B47" s="23" t="s">
        <v>1203</v>
      </c>
      <c r="C47" s="23" t="s">
        <v>1179</v>
      </c>
      <c r="D47" s="23" t="s">
        <v>1204</v>
      </c>
      <c r="E47" s="23" t="s">
        <v>1193</v>
      </c>
      <c r="F47" s="23" t="s">
        <v>1205</v>
      </c>
    </row>
    <row r="48" customFormat="false" ht="15" hidden="false" customHeight="false" outlineLevel="0" collapsed="false">
      <c r="A48" s="28" t="s">
        <v>1138</v>
      </c>
      <c r="B48" s="11" t="n">
        <f aca="false">COUNTIF($C$32:$C$39,A48)</f>
        <v>1</v>
      </c>
      <c r="C48" s="11" t="n">
        <f aca="false">COUNTIFS($C$32:$C$39,A48,$G$32:$G$39,"Realized")</f>
        <v>0</v>
      </c>
      <c r="D48" s="11" t="n">
        <f aca="false">COUNTIFS($C$32:$C$39,A48,$G$32:$G$39,"Partly realized")</f>
        <v>1</v>
      </c>
      <c r="E48" s="11" t="n">
        <f aca="false">COUNTIFS($C$32:$C$39,A48,$G$32:$G$39,"Missed")</f>
        <v>0</v>
      </c>
      <c r="F48" s="88" t="n">
        <f aca="false">1-SUMPRODUCT(($C$32:$C$39=A48)*ABS($E$32:$E$39-$D$32:$D$39))/SUMPRODUCT(($C$32:$C$39=A48)*ABS($D$32:$D$39))</f>
        <v>0.625</v>
      </c>
    </row>
    <row r="49" customFormat="false" ht="15" hidden="false" customHeight="false" outlineLevel="0" collapsed="false">
      <c r="A49" s="28" t="s">
        <v>1159</v>
      </c>
      <c r="B49" s="11" t="n">
        <f aca="false">COUNTIF($C$32:$C$39,A49)</f>
        <v>1</v>
      </c>
      <c r="C49" s="11" t="n">
        <f aca="false">COUNTIFS($C$32:$C$39,A49,$G$32:$G$39,"Realized")</f>
        <v>0</v>
      </c>
      <c r="D49" s="11" t="n">
        <f aca="false">COUNTIFS($C$32:$C$39,A49,$G$32:$G$39,"Partly realized")</f>
        <v>0</v>
      </c>
      <c r="E49" s="11" t="n">
        <f aca="false">COUNTIFS($C$32:$C$39,A49,$G$32:$G$39,"Missed")</f>
        <v>1</v>
      </c>
      <c r="F49" s="88" t="n">
        <f aca="false">1-SUMPRODUCT(($C$32:$C$39=A49)*ABS($E$32:$E$39-$D$32:$D$39))/SUMPRODUCT(($C$32:$C$39=A49)*ABS($D$32:$D$39))</f>
        <v>0</v>
      </c>
    </row>
    <row r="50" customFormat="false" ht="15" hidden="false" customHeight="false" outlineLevel="0" collapsed="false">
      <c r="A50" s="28" t="s">
        <v>1132</v>
      </c>
      <c r="B50" s="11" t="n">
        <f aca="false">COUNTIF($C$32:$C$39,A50)</f>
        <v>1</v>
      </c>
      <c r="C50" s="11" t="n">
        <f aca="false">COUNTIFS($C$32:$C$39,A50,$G$32:$G$39,"Realized")</f>
        <v>1</v>
      </c>
      <c r="D50" s="11" t="n">
        <f aca="false">COUNTIFS($C$32:$C$39,A50,$G$32:$G$39,"Partly realized")</f>
        <v>0</v>
      </c>
      <c r="E50" s="11" t="n">
        <f aca="false">COUNTIFS($C$32:$C$39,A50,$G$32:$G$39,"Missed")</f>
        <v>0</v>
      </c>
      <c r="F50" s="88" t="n">
        <f aca="false">1-SUMPRODUCT(($C$32:$C$39=A50)*ABS($E$32:$E$39-$D$32:$D$39))/SUMPRODUCT(($C$32:$C$39=A50)*ABS($D$32:$D$39))</f>
        <v>0.971838</v>
      </c>
    </row>
    <row r="51" customFormat="false" ht="15" hidden="false" customHeight="false" outlineLevel="0" collapsed="false">
      <c r="A51" s="28" t="s">
        <v>1156</v>
      </c>
      <c r="B51" s="11" t="n">
        <f aca="false">COUNTIF($C$32:$C$39,A51)</f>
        <v>2</v>
      </c>
      <c r="C51" s="11" t="n">
        <f aca="false">COUNTIFS($C$32:$C$39,A51,$G$32:$G$39,"Realized")</f>
        <v>1</v>
      </c>
      <c r="D51" s="11" t="n">
        <f aca="false">COUNTIFS($C$32:$C$39,A51,$G$32:$G$39,"Partly realized")</f>
        <v>0</v>
      </c>
      <c r="E51" s="11" t="n">
        <f aca="false">COUNTIFS($C$32:$C$39,A51,$G$32:$G$39,"Missed")</f>
        <v>1</v>
      </c>
      <c r="F51" s="88" t="n">
        <f aca="false">1-SUMPRODUCT(($C$32:$C$39=A51)*ABS($E$32:$E$39-$D$32:$D$39))/SUMPRODUCT(($C$32:$C$39=A51)*ABS($D$32:$D$39))</f>
        <v>0.896551724137931</v>
      </c>
    </row>
    <row r="52" customFormat="false" ht="15" hidden="false" customHeight="false" outlineLevel="0" collapsed="false">
      <c r="A52" s="28" t="s">
        <v>1183</v>
      </c>
      <c r="B52" s="11" t="n">
        <f aca="false">COUNTIF($C$32:$C$39,A52)</f>
        <v>1</v>
      </c>
      <c r="C52" s="11" t="n">
        <f aca="false">COUNTIFS($C$32:$C$39,A52,$G$32:$G$39,"Realized")</f>
        <v>1</v>
      </c>
      <c r="D52" s="11" t="n">
        <f aca="false">COUNTIFS($C$32:$C$39,A52,$G$32:$G$39,"Partly realized")</f>
        <v>0</v>
      </c>
      <c r="E52" s="11" t="n">
        <f aca="false">COUNTIFS($C$32:$C$39,A52,$G$32:$G$39,"Missed")</f>
        <v>0</v>
      </c>
      <c r="F52" s="88" t="n">
        <f aca="false">1-SUMPRODUCT(($C$32:$C$39=A52)*ABS($E$32:$E$39-$D$32:$D$39))/SUMPRODUCT(($C$32:$C$39=A52)*ABS($D$32:$D$39))</f>
        <v>1</v>
      </c>
    </row>
    <row r="53" customFormat="false" ht="15" hidden="false" customHeight="false" outlineLevel="0" collapsed="false">
      <c r="A53" s="28" t="s">
        <v>1153</v>
      </c>
      <c r="B53" s="11" t="n">
        <f aca="false">COUNTIF($C$32:$C$39,A53)</f>
        <v>2</v>
      </c>
      <c r="C53" s="11" t="n">
        <f aca="false">COUNTIFS($C$32:$C$39,A53,$G$32:$G$39,"Realized")</f>
        <v>1</v>
      </c>
      <c r="D53" s="11" t="n">
        <f aca="false">COUNTIFS($C$32:$C$39,A53,$G$32:$G$39,"Partly realized")</f>
        <v>1</v>
      </c>
      <c r="E53" s="11" t="n">
        <f aca="false">COUNTIFS($C$32:$C$39,A53,$G$32:$G$39,"Missed")</f>
        <v>0</v>
      </c>
      <c r="F53" s="88" t="n">
        <f aca="false">1-SUMPRODUCT(($C$32:$C$39=A53)*ABS($E$32:$E$39-$D$32:$D$39))/SUMPRODUCT(($C$32:$C$39=A53)*ABS($D$32:$D$39))</f>
        <v>0.912142857142857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8" min="2" style="0" width="13"/>
  </cols>
  <sheetData>
    <row r="1" customFormat="false" ht="17.35" hidden="false" customHeight="false" outlineLevel="0" collapsed="false">
      <c r="A1" s="17" t="s">
        <v>1206</v>
      </c>
    </row>
    <row r="2" customFormat="false" ht="15" hidden="false" customHeight="false" outlineLevel="0" collapsed="false">
      <c r="A2" s="18" t="s">
        <v>80</v>
      </c>
    </row>
    <row r="3" customFormat="false" ht="15" hidden="false" customHeight="false" outlineLevel="0" collapsed="false">
      <c r="A3" s="18" t="s">
        <v>1207</v>
      </c>
    </row>
    <row r="5" customFormat="false" ht="30" hidden="false" customHeight="true" outlineLevel="0" collapsed="false">
      <c r="A5" s="40" t="s">
        <v>1208</v>
      </c>
      <c r="B5" s="89" t="s">
        <v>25</v>
      </c>
      <c r="C5" s="89" t="s">
        <v>29</v>
      </c>
      <c r="D5" s="89" t="s">
        <v>31</v>
      </c>
      <c r="E5" s="89" t="s">
        <v>33</v>
      </c>
      <c r="F5" s="89" t="s">
        <v>132</v>
      </c>
      <c r="G5" s="89" t="s">
        <v>133</v>
      </c>
      <c r="H5" s="89" t="s">
        <v>134</v>
      </c>
    </row>
    <row r="6" customFormat="false" ht="18" hidden="false" customHeight="true" outlineLevel="0" collapsed="false">
      <c r="A6" s="44" t="s">
        <v>1209</v>
      </c>
      <c r="B6" s="45"/>
      <c r="C6" s="45"/>
      <c r="D6" s="45"/>
      <c r="E6" s="45"/>
      <c r="F6" s="45"/>
      <c r="G6" s="45"/>
      <c r="H6" s="45"/>
    </row>
    <row r="7" customFormat="false" ht="15" hidden="false" customHeight="false" outlineLevel="0" collapsed="false">
      <c r="A7" s="11" t="s">
        <v>1210</v>
      </c>
      <c r="B7" s="13" t="s">
        <v>182</v>
      </c>
      <c r="C7" s="13" t="s">
        <v>182</v>
      </c>
      <c r="D7" s="13" t="s">
        <v>182</v>
      </c>
      <c r="E7" s="13" t="s">
        <v>182</v>
      </c>
      <c r="F7" s="13" t="s">
        <v>182</v>
      </c>
      <c r="G7" s="13" t="s">
        <v>182</v>
      </c>
      <c r="H7" s="13" t="s">
        <v>182</v>
      </c>
    </row>
    <row r="8" customFormat="false" ht="15" hidden="false" customHeight="false" outlineLevel="0" collapsed="false">
      <c r="A8" s="11" t="s">
        <v>1211</v>
      </c>
      <c r="B8" s="13" t="s">
        <v>182</v>
      </c>
      <c r="C8" s="13" t="s">
        <v>182</v>
      </c>
      <c r="D8" s="13" t="s">
        <v>182</v>
      </c>
      <c r="E8" s="13" t="s">
        <v>182</v>
      </c>
      <c r="F8" s="13" t="s">
        <v>182</v>
      </c>
      <c r="G8" s="13" t="s">
        <v>182</v>
      </c>
      <c r="H8" s="13" t="s">
        <v>182</v>
      </c>
    </row>
    <row r="9" customFormat="false" ht="15" hidden="false" customHeight="false" outlineLevel="0" collapsed="false">
      <c r="A9" s="11" t="s">
        <v>1212</v>
      </c>
      <c r="B9" s="13" t="s">
        <v>182</v>
      </c>
      <c r="C9" s="13" t="s">
        <v>182</v>
      </c>
      <c r="D9" s="13" t="s">
        <v>182</v>
      </c>
      <c r="E9" s="13" t="s">
        <v>182</v>
      </c>
      <c r="F9" s="13" t="s">
        <v>182</v>
      </c>
      <c r="G9" s="13" t="s">
        <v>182</v>
      </c>
      <c r="H9" s="13" t="s">
        <v>182</v>
      </c>
    </row>
    <row r="10" customFormat="false" ht="15" hidden="false" customHeight="false" outlineLevel="0" collapsed="false">
      <c r="A10" s="11" t="s">
        <v>1213</v>
      </c>
      <c r="B10" s="13" t="s">
        <v>182</v>
      </c>
      <c r="C10" s="13" t="s">
        <v>182</v>
      </c>
      <c r="D10" s="13" t="s">
        <v>182</v>
      </c>
      <c r="E10" s="13" t="s">
        <v>182</v>
      </c>
      <c r="F10" s="13" t="s">
        <v>182</v>
      </c>
      <c r="G10" s="13" t="s">
        <v>182</v>
      </c>
      <c r="H10" s="13" t="s">
        <v>182</v>
      </c>
    </row>
    <row r="11" customFormat="false" ht="15" hidden="false" customHeight="false" outlineLevel="0" collapsed="false">
      <c r="A11" s="11" t="s">
        <v>1214</v>
      </c>
      <c r="B11" s="13" t="s">
        <v>182</v>
      </c>
      <c r="C11" s="13" t="s">
        <v>182</v>
      </c>
      <c r="D11" s="13" t="s">
        <v>182</v>
      </c>
      <c r="E11" s="13" t="s">
        <v>182</v>
      </c>
      <c r="F11" s="13" t="s">
        <v>182</v>
      </c>
      <c r="G11" s="13" t="s">
        <v>182</v>
      </c>
      <c r="H11" s="13" t="s">
        <v>182</v>
      </c>
    </row>
    <row r="12" customFormat="false" ht="15" hidden="false" customHeight="false" outlineLevel="0" collapsed="false">
      <c r="A12" s="11" t="s">
        <v>1215</v>
      </c>
      <c r="B12" s="13" t="s">
        <v>182</v>
      </c>
      <c r="C12" s="13" t="s">
        <v>182</v>
      </c>
      <c r="D12" s="13" t="s">
        <v>182</v>
      </c>
      <c r="E12" s="13" t="s">
        <v>182</v>
      </c>
      <c r="F12" s="90" t="s">
        <v>1216</v>
      </c>
      <c r="G12" s="90" t="s">
        <v>1216</v>
      </c>
      <c r="H12" s="90" t="s">
        <v>1216</v>
      </c>
    </row>
    <row r="13" customFormat="false" ht="15" hidden="false" customHeight="false" outlineLevel="0" collapsed="false">
      <c r="A13" s="11" t="s">
        <v>1217</v>
      </c>
      <c r="B13" s="13" t="s">
        <v>182</v>
      </c>
      <c r="C13" s="13" t="s">
        <v>182</v>
      </c>
      <c r="D13" s="13" t="s">
        <v>182</v>
      </c>
      <c r="E13" s="13" t="s">
        <v>182</v>
      </c>
      <c r="F13" s="90" t="s">
        <v>1216</v>
      </c>
      <c r="G13" s="90" t="s">
        <v>1216</v>
      </c>
      <c r="H13" s="90" t="s">
        <v>1216</v>
      </c>
    </row>
    <row r="14" customFormat="false" ht="18" hidden="false" customHeight="true" outlineLevel="0" collapsed="false">
      <c r="A14" s="44" t="s">
        <v>1218</v>
      </c>
      <c r="B14" s="45"/>
      <c r="C14" s="45"/>
      <c r="D14" s="45"/>
      <c r="E14" s="45"/>
      <c r="F14" s="45"/>
      <c r="G14" s="45"/>
      <c r="H14" s="45"/>
    </row>
    <row r="15" customFormat="false" ht="15" hidden="false" customHeight="false" outlineLevel="0" collapsed="false">
      <c r="A15" s="11" t="s">
        <v>1219</v>
      </c>
      <c r="B15" s="13" t="str">
        <f aca="false">IF(COUNTIF(MoM!J:J,"✗")=0,"✓","✗")</f>
        <v>✓</v>
      </c>
      <c r="C15" s="13" t="str">
        <f aca="false">IF(COUNTIF(QoQ!J:J,"✗")=0,"✓","✗")</f>
        <v>✓</v>
      </c>
      <c r="D15" s="13" t="str">
        <f aca="false">IF(COUNTIF(YoY!J:J,"✗")=0,"✓","✗")</f>
        <v>✓</v>
      </c>
      <c r="E15" s="13" t="str">
        <f aca="false">IF(COUNTIF(YTD!J:J,"✗")=0,"✓","✗")</f>
        <v>✓</v>
      </c>
      <c r="F15" s="13" t="str">
        <f aca="false">IF(COUNTIF('Budget M'!J:J,"✗")=0,"✓","✗")</f>
        <v>✓</v>
      </c>
      <c r="G15" s="13" t="str">
        <f aca="false">IF(COUNTIF('Budget YTD'!J:J,"✗")=0,"✓","✗")</f>
        <v>✓</v>
      </c>
      <c r="H15" s="13" t="str">
        <f aca="false">IF(COUNTIF('Forecast M'!J:J,"✗")=0,"✓","✗")</f>
        <v>✓</v>
      </c>
    </row>
    <row r="16" customFormat="false" ht="15" hidden="false" customHeight="false" outlineLevel="0" collapsed="false">
      <c r="A16" s="11" t="s">
        <v>1220</v>
      </c>
      <c r="B16" s="13" t="str">
        <f aca="false">IF(COUNTIFS('Line data'!$B$2:$B$924,"MoM",'Line data'!$S$2:$S$924,"✗")=0,"✓","✗")</f>
        <v>✓</v>
      </c>
      <c r="C16" s="13" t="str">
        <f aca="false">IF(COUNTIFS('Line data'!$B$2:$B$924,"QoQ",'Line data'!$S$2:$S$924,"✗")=0,"✓","✗")</f>
        <v>✓</v>
      </c>
      <c r="D16" s="13" t="str">
        <f aca="false">IF(COUNTIFS('Line data'!$B$2:$B$924,"YoY",'Line data'!$S$2:$S$924,"✗")=0,"✓","✗")</f>
        <v>✓</v>
      </c>
      <c r="E16" s="13" t="str">
        <f aca="false">IF(COUNTIFS('Line data'!$B$2:$B$924,"YTD",'Line data'!$S$2:$S$924,"✗")=0,"✓","✗")</f>
        <v>✓</v>
      </c>
      <c r="F16" s="13" t="str">
        <f aca="false">IF(COUNTIFS('Line data'!$B$2:$B$924,"vs Budget (month)",'Line data'!$S$2:$S$924,"✗")=0,"✓","✗")</f>
        <v>✓</v>
      </c>
      <c r="G16" s="13" t="str">
        <f aca="false">IF(COUNTIFS('Line data'!$B$2:$B$924,"vs Budget (YTD)",'Line data'!$S$2:$S$924,"✗")=0,"✓","✗")</f>
        <v>✓</v>
      </c>
      <c r="H16" s="13" t="str">
        <f aca="false">IF(COUNTIFS('Line data'!$B$2:$B$924,"vs Forecast 7+5 (month)",'Line data'!$S$2:$S$924,"✗")=0,"✓","✗")</f>
        <v>✓</v>
      </c>
    </row>
    <row r="17" customFormat="false" ht="15" hidden="false" customHeight="false" outlineLevel="0" collapsed="false">
      <c r="A17" s="11" t="s">
        <v>1221</v>
      </c>
      <c r="B17" s="13" t="str">
        <f aca="false">'Executive summary'!E23</f>
        <v>✓</v>
      </c>
      <c r="C17" s="13" t="str">
        <f aca="false">'Executive summary'!E44</f>
        <v>✓</v>
      </c>
      <c r="D17" s="13" t="str">
        <f aca="false">'Executive summary'!E65</f>
        <v>✓</v>
      </c>
      <c r="E17" s="13" t="str">
        <f aca="false">'Executive summary'!E86</f>
        <v>✓</v>
      </c>
      <c r="F17" s="13" t="str">
        <f aca="false">'Executive summary'!E107</f>
        <v>✓</v>
      </c>
      <c r="G17" s="13" t="str">
        <f aca="false">'Executive summary'!E128</f>
        <v>✓</v>
      </c>
      <c r="H17" s="13" t="str">
        <f aca="false">'Executive summary'!E149</f>
        <v>✓</v>
      </c>
    </row>
    <row r="18" customFormat="false" ht="15" hidden="false" customHeight="false" outlineLevel="0" collapsed="false">
      <c r="A18" s="11" t="s">
        <v>1222</v>
      </c>
      <c r="B18" s="13" t="str">
        <f aca="false">'NI walk'!B16</f>
        <v>✓</v>
      </c>
      <c r="C18" s="13" t="str">
        <f aca="false">'NI walk'!C16</f>
        <v>✓</v>
      </c>
      <c r="D18" s="13" t="str">
        <f aca="false">'NI walk'!D16</f>
        <v>✓</v>
      </c>
      <c r="E18" s="13" t="str">
        <f aca="false">'NI walk'!E16</f>
        <v>✓</v>
      </c>
      <c r="F18" s="13" t="str">
        <f aca="false">'NI walk'!F16</f>
        <v>✓</v>
      </c>
      <c r="G18" s="13" t="str">
        <f aca="false">'NI walk'!G16</f>
        <v>✓</v>
      </c>
      <c r="H18" s="13" t="str">
        <f aca="false">'NI walk'!H16</f>
        <v>✓</v>
      </c>
    </row>
    <row r="19" customFormat="false" ht="15" hidden="false" customHeight="false" outlineLevel="0" collapsed="false">
      <c r="A19" s="11" t="s">
        <v>1223</v>
      </c>
      <c r="B19" s="13" t="str">
        <f aca="false">'NI walk'!B30</f>
        <v>✓</v>
      </c>
      <c r="C19" s="13" t="str">
        <f aca="false">'NI walk'!C30</f>
        <v>✓</v>
      </c>
      <c r="D19" s="13" t="str">
        <f aca="false">'NI walk'!D30</f>
        <v>✓</v>
      </c>
      <c r="E19" s="13" t="str">
        <f aca="false">'NI walk'!E30</f>
        <v>✓</v>
      </c>
      <c r="F19" s="13" t="str">
        <f aca="false">'NI walk'!F30</f>
        <v>✓</v>
      </c>
      <c r="G19" s="13" t="str">
        <f aca="false">'NI walk'!G30</f>
        <v>✓</v>
      </c>
      <c r="H19" s="13" t="str">
        <f aca="false">'NI walk'!H30</f>
        <v>✓</v>
      </c>
    </row>
    <row r="20" customFormat="false" ht="18" hidden="false" customHeight="true" outlineLevel="0" collapsed="false">
      <c r="A20" s="44" t="s">
        <v>1224</v>
      </c>
      <c r="B20" s="45"/>
      <c r="C20" s="45"/>
      <c r="D20" s="45"/>
      <c r="E20" s="45"/>
      <c r="F20" s="45"/>
      <c r="G20" s="45"/>
      <c r="H20" s="45"/>
    </row>
    <row r="21" customFormat="false" ht="15" hidden="false" customHeight="false" outlineLevel="0" collapsed="false">
      <c r="A21" s="11" t="s">
        <v>1225</v>
      </c>
      <c r="B21" s="13" t="str">
        <f aca="false">'Labor bridge'!C15</f>
        <v>✓</v>
      </c>
    </row>
    <row r="22" customFormat="false" ht="15" hidden="false" customHeight="false" outlineLevel="0" collapsed="false">
      <c r="A22" s="11" t="s">
        <v>1226</v>
      </c>
      <c r="B22" s="13" t="str">
        <f aca="false">'Labor bridge'!O24</f>
        <v>✓</v>
      </c>
    </row>
    <row r="23" customFormat="false" ht="15" hidden="false" customHeight="false" outlineLevel="0" collapsed="false">
      <c r="A23" s="11" t="s">
        <v>1227</v>
      </c>
      <c r="B23" s="13" t="str">
        <f aca="false">'Labor bridge'!C37</f>
        <v>✓</v>
      </c>
    </row>
    <row r="24" customFormat="false" ht="15" hidden="false" customHeight="false" outlineLevel="0" collapsed="false">
      <c r="A24" s="11" t="s">
        <v>1228</v>
      </c>
      <c r="B24" s="13" t="str">
        <f aca="false">'Labor bridge'!O46</f>
        <v>✓</v>
      </c>
    </row>
    <row r="25" customFormat="false" ht="15" hidden="false" customHeight="false" outlineLevel="0" collapsed="false">
      <c r="A25" s="11" t="s">
        <v>1229</v>
      </c>
      <c r="B25" s="13" t="str">
        <f aca="false">IF(COUNTIF('Watch list'!I23:O23,"✗")=0,"✓","✗")</f>
        <v>✓</v>
      </c>
    </row>
    <row r="26" customFormat="false" ht="15" hidden="false" customHeight="false" outlineLevel="0" collapsed="false">
      <c r="A26" s="11" t="s">
        <v>1230</v>
      </c>
      <c r="B26" s="13" t="str">
        <f aca="false">'Watch list'!G40</f>
        <v>✓</v>
      </c>
    </row>
    <row r="28" customFormat="false" ht="15" hidden="false" customHeight="false" outlineLevel="0" collapsed="false">
      <c r="A28" s="91" t="s">
        <v>1231</v>
      </c>
      <c r="B28" s="92" t="str">
        <f aca="false">IF(COUNTIF(B7:H26,"✗")=0,"✓ All pass","✗ Check the rows above")</f>
        <v>✓ All pass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9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3" min="3" style="0" width="30"/>
    <col collapsed="false" customWidth="true" hidden="false" outlineLevel="0" max="4" min="4" style="0" width="6"/>
    <col collapsed="false" customWidth="true" hidden="false" outlineLevel="0" max="5" min="5" style="0" width="30"/>
    <col collapsed="false" customWidth="true" hidden="false" outlineLevel="0" max="6" min="6" style="0" width="40"/>
    <col collapsed="false" customWidth="true" hidden="false" outlineLevel="0" max="7" min="7" style="0" width="6"/>
    <col collapsed="false" customWidth="true" hidden="false" outlineLevel="0" max="11" min="8" style="0" width="11"/>
    <col collapsed="false" customWidth="true" hidden="false" outlineLevel="0" max="12" min="12" style="0" width="90"/>
    <col collapsed="false" customWidth="true" hidden="false" outlineLevel="0" max="13" min="13" style="0" width="16"/>
    <col collapsed="false" customWidth="true" hidden="false" outlineLevel="0" max="14" min="14" style="0" width="8"/>
    <col collapsed="false" customWidth="true" hidden="false" outlineLevel="0" max="15" min="15" style="0" width="10"/>
    <col collapsed="false" customWidth="true" hidden="false" outlineLevel="0" max="18" min="16" style="0" width="11"/>
    <col collapsed="false" customWidth="true" hidden="false" outlineLevel="0" max="19" min="19" style="0" width="8"/>
  </cols>
  <sheetData>
    <row r="1" customFormat="false" ht="35.05" hidden="false" customHeight="false" outlineLevel="0" collapsed="false">
      <c r="A1" s="47" t="s">
        <v>1232</v>
      </c>
      <c r="B1" s="47" t="s">
        <v>20</v>
      </c>
      <c r="C1" s="47" t="s">
        <v>1233</v>
      </c>
      <c r="D1" s="47" t="s">
        <v>1234</v>
      </c>
      <c r="E1" s="47" t="s">
        <v>1235</v>
      </c>
      <c r="F1" s="47" t="s">
        <v>173</v>
      </c>
      <c r="G1" s="47" t="s">
        <v>1236</v>
      </c>
      <c r="H1" s="47" t="s">
        <v>1237</v>
      </c>
      <c r="I1" s="47" t="s">
        <v>1238</v>
      </c>
      <c r="J1" s="47" t="s">
        <v>1239</v>
      </c>
      <c r="K1" s="47" t="s">
        <v>1240</v>
      </c>
      <c r="L1" s="47" t="s">
        <v>75</v>
      </c>
      <c r="M1" s="47" t="s">
        <v>1121</v>
      </c>
      <c r="N1" s="47" t="s">
        <v>1241</v>
      </c>
      <c r="O1" s="47" t="s">
        <v>1242</v>
      </c>
      <c r="P1" s="47" t="s">
        <v>1243</v>
      </c>
      <c r="Q1" s="47" t="s">
        <v>1244</v>
      </c>
      <c r="R1" s="47" t="s">
        <v>1245</v>
      </c>
      <c r="S1" s="47" t="s">
        <v>1246</v>
      </c>
    </row>
    <row r="2" customFormat="false" ht="15" hidden="false" customHeight="false" outlineLevel="0" collapsed="false">
      <c r="A2" s="11" t="s">
        <v>1247</v>
      </c>
      <c r="B2" s="11" t="s">
        <v>25</v>
      </c>
      <c r="C2" s="11" t="s">
        <v>26</v>
      </c>
      <c r="D2" s="11" t="s">
        <v>1248</v>
      </c>
      <c r="E2" s="11" t="s">
        <v>1249</v>
      </c>
      <c r="F2" s="11" t="s">
        <v>153</v>
      </c>
      <c r="G2" s="11" t="n">
        <v>0</v>
      </c>
      <c r="H2" s="34" t="n">
        <v>1800</v>
      </c>
      <c r="I2" s="34" t="n">
        <v>1776.527</v>
      </c>
      <c r="J2" s="34" t="n">
        <v>23.473</v>
      </c>
      <c r="K2" s="34" t="n">
        <v>23.5</v>
      </c>
      <c r="L2" s="11" t="s">
        <v>179</v>
      </c>
      <c r="M2" s="11" t="s">
        <v>1250</v>
      </c>
      <c r="N2" s="11" t="s">
        <v>1251</v>
      </c>
      <c r="O2" s="11" t="s">
        <v>1252</v>
      </c>
      <c r="P2" s="11" t="s">
        <v>1253</v>
      </c>
      <c r="Q2" s="25" t="n">
        <f aca="false">SUMIFS('Commentary drivers'!$D:$D,'Commentary drivers'!$A:$A,A2)</f>
        <v>23.473</v>
      </c>
      <c r="R2" s="25" t="n">
        <f aca="false">SUMIFS('Commentary drivers'!$E:$E,'Commentary drivers'!$A:$A,A2)</f>
        <v>23.5</v>
      </c>
      <c r="S2" s="49" t="str">
        <f aca="false">IF(AND(ROUND(Q2-J2,4)=0,ROUND(R2-K2,1)=0),"✓","✗")</f>
        <v>✓</v>
      </c>
    </row>
    <row r="3" customFormat="false" ht="15" hidden="false" customHeight="false" outlineLevel="0" collapsed="false">
      <c r="A3" s="11" t="s">
        <v>1254</v>
      </c>
      <c r="B3" s="11" t="s">
        <v>25</v>
      </c>
      <c r="C3" s="11" t="s">
        <v>26</v>
      </c>
      <c r="D3" s="11" t="s">
        <v>1248</v>
      </c>
      <c r="E3" s="11" t="s">
        <v>1255</v>
      </c>
      <c r="F3" s="11" t="s">
        <v>154</v>
      </c>
      <c r="G3" s="11" t="n">
        <v>0</v>
      </c>
      <c r="H3" s="34" t="n">
        <v>200</v>
      </c>
      <c r="I3" s="34" t="n">
        <v>215</v>
      </c>
      <c r="J3" s="34" t="n">
        <v>-15</v>
      </c>
      <c r="K3" s="34" t="n">
        <v>-15</v>
      </c>
      <c r="L3" s="11" t="s">
        <v>183</v>
      </c>
      <c r="M3" s="11" t="s">
        <v>1250</v>
      </c>
      <c r="N3" s="11" t="s">
        <v>1251</v>
      </c>
      <c r="O3" s="11" t="s">
        <v>1252</v>
      </c>
      <c r="P3" s="11" t="s">
        <v>1253</v>
      </c>
      <c r="Q3" s="25" t="n">
        <f aca="false">SUMIFS('Commentary drivers'!$D:$D,'Commentary drivers'!$A:$A,A3)</f>
        <v>-15</v>
      </c>
      <c r="R3" s="25" t="n">
        <f aca="false">SUMIFS('Commentary drivers'!$E:$E,'Commentary drivers'!$A:$A,A3)</f>
        <v>-15</v>
      </c>
      <c r="S3" s="49" t="str">
        <f aca="false">IF(AND(ROUND(Q3-J3,4)=0,ROUND(R3-K3,1)=0),"✓","✗")</f>
        <v>✓</v>
      </c>
    </row>
    <row r="4" customFormat="false" ht="15" hidden="false" customHeight="false" outlineLevel="0" collapsed="false">
      <c r="A4" s="11" t="s">
        <v>1256</v>
      </c>
      <c r="B4" s="11" t="s">
        <v>25</v>
      </c>
      <c r="C4" s="11" t="s">
        <v>26</v>
      </c>
      <c r="D4" s="11" t="s">
        <v>1248</v>
      </c>
      <c r="E4" s="11" t="s">
        <v>1257</v>
      </c>
      <c r="F4" s="11" t="s">
        <v>91</v>
      </c>
      <c r="G4" s="11" t="n">
        <v>0</v>
      </c>
      <c r="H4" s="34" t="n">
        <v>2000</v>
      </c>
      <c r="I4" s="34" t="n">
        <v>1991.527</v>
      </c>
      <c r="J4" s="34" t="n">
        <v>8.473</v>
      </c>
      <c r="K4" s="34" t="n">
        <v>8.5</v>
      </c>
      <c r="L4" s="11" t="s">
        <v>185</v>
      </c>
      <c r="M4" s="11" t="s">
        <v>1250</v>
      </c>
      <c r="N4" s="11" t="s">
        <v>1251</v>
      </c>
      <c r="O4" s="11" t="s">
        <v>1252</v>
      </c>
      <c r="P4" s="11" t="s">
        <v>1253</v>
      </c>
      <c r="Q4" s="25" t="n">
        <f aca="false">SUMIFS('Commentary drivers'!$D:$D,'Commentary drivers'!$A:$A,A4)</f>
        <v>8.473</v>
      </c>
      <c r="R4" s="25" t="n">
        <f aca="false">SUMIFS('Commentary drivers'!$E:$E,'Commentary drivers'!$A:$A,A4)</f>
        <v>8.5</v>
      </c>
      <c r="S4" s="49" t="str">
        <f aca="false">IF(AND(ROUND(Q4-J4,4)=0,ROUND(R4-K4,1)=0),"✓","✗")</f>
        <v>✓</v>
      </c>
    </row>
    <row r="5" customFormat="false" ht="15" hidden="false" customHeight="false" outlineLevel="0" collapsed="false">
      <c r="A5" s="11" t="s">
        <v>1258</v>
      </c>
      <c r="B5" s="11" t="s">
        <v>25</v>
      </c>
      <c r="C5" s="11" t="s">
        <v>26</v>
      </c>
      <c r="D5" s="11" t="s">
        <v>1248</v>
      </c>
      <c r="E5" s="11" t="s">
        <v>1259</v>
      </c>
      <c r="F5" s="11" t="s">
        <v>155</v>
      </c>
      <c r="G5" s="11" t="n">
        <v>0</v>
      </c>
      <c r="H5" s="34" t="n">
        <v>540</v>
      </c>
      <c r="I5" s="34" t="n">
        <v>514.38718</v>
      </c>
      <c r="J5" s="34" t="n">
        <v>25.61282</v>
      </c>
      <c r="K5" s="34" t="n">
        <v>25.6</v>
      </c>
      <c r="L5" s="11" t="s">
        <v>187</v>
      </c>
      <c r="M5" s="11" t="s">
        <v>1250</v>
      </c>
      <c r="N5" s="11" t="s">
        <v>1251</v>
      </c>
      <c r="O5" s="11" t="s">
        <v>1252</v>
      </c>
      <c r="P5" s="11" t="s">
        <v>1253</v>
      </c>
      <c r="Q5" s="25" t="n">
        <f aca="false">SUMIFS('Commentary drivers'!$D:$D,'Commentary drivers'!$A:$A,A5)</f>
        <v>25.61282</v>
      </c>
      <c r="R5" s="25" t="n">
        <f aca="false">SUMIFS('Commentary drivers'!$E:$E,'Commentary drivers'!$A:$A,A5)</f>
        <v>25.6</v>
      </c>
      <c r="S5" s="49" t="str">
        <f aca="false">IF(AND(ROUND(Q5-J5,4)=0,ROUND(R5-K5,1)=0),"✓","✗")</f>
        <v>✓</v>
      </c>
    </row>
    <row r="6" customFormat="false" ht="15" hidden="false" customHeight="false" outlineLevel="0" collapsed="false">
      <c r="A6" s="11" t="s">
        <v>1260</v>
      </c>
      <c r="B6" s="11" t="s">
        <v>25</v>
      </c>
      <c r="C6" s="11" t="s">
        <v>26</v>
      </c>
      <c r="D6" s="11" t="s">
        <v>1248</v>
      </c>
      <c r="E6" s="11" t="s">
        <v>1261</v>
      </c>
      <c r="F6" s="11" t="s">
        <v>189</v>
      </c>
      <c r="G6" s="11" t="n">
        <v>1</v>
      </c>
      <c r="H6" s="34" t="n">
        <v>140</v>
      </c>
      <c r="I6" s="34" t="n">
        <v>136</v>
      </c>
      <c r="J6" s="34" t="n">
        <v>4</v>
      </c>
      <c r="K6" s="34" t="n">
        <v>4</v>
      </c>
      <c r="L6" s="11" t="s">
        <v>190</v>
      </c>
      <c r="M6" s="11" t="s">
        <v>1250</v>
      </c>
      <c r="N6" s="11" t="s">
        <v>1262</v>
      </c>
      <c r="O6" s="11"/>
      <c r="P6" s="11"/>
      <c r="Q6" s="25" t="n">
        <f aca="false">SUMIFS('Commentary drivers'!$D:$D,'Commentary drivers'!$A:$A,A6)</f>
        <v>4</v>
      </c>
      <c r="R6" s="25" t="n">
        <f aca="false">SUMIFS('Commentary drivers'!$E:$E,'Commentary drivers'!$A:$A,A6)</f>
        <v>4</v>
      </c>
      <c r="S6" s="49" t="str">
        <f aca="false">IF(AND(ROUND(Q6-J6,4)=0,ROUND(R6-K6,1)=0),"✓","✗")</f>
        <v>✓</v>
      </c>
    </row>
    <row r="7" customFormat="false" ht="15" hidden="false" customHeight="false" outlineLevel="0" collapsed="false">
      <c r="A7" s="11" t="s">
        <v>1263</v>
      </c>
      <c r="B7" s="11" t="s">
        <v>25</v>
      </c>
      <c r="C7" s="11" t="s">
        <v>26</v>
      </c>
      <c r="D7" s="11" t="s">
        <v>1248</v>
      </c>
      <c r="E7" s="11" t="s">
        <v>1264</v>
      </c>
      <c r="F7" s="11" t="s">
        <v>192</v>
      </c>
      <c r="G7" s="11" t="n">
        <v>1</v>
      </c>
      <c r="H7" s="34" t="n">
        <v>100</v>
      </c>
      <c r="I7" s="34" t="n">
        <v>93.01775</v>
      </c>
      <c r="J7" s="34" t="n">
        <v>6.98225</v>
      </c>
      <c r="K7" s="34" t="n">
        <v>7</v>
      </c>
      <c r="L7" s="11" t="s">
        <v>193</v>
      </c>
      <c r="M7" s="11" t="s">
        <v>1250</v>
      </c>
      <c r="N7" s="11" t="s">
        <v>1262</v>
      </c>
      <c r="O7" s="11"/>
      <c r="P7" s="11"/>
      <c r="Q7" s="25" t="n">
        <f aca="false">SUMIFS('Commentary drivers'!$D:$D,'Commentary drivers'!$A:$A,A7)</f>
        <v>6.98225</v>
      </c>
      <c r="R7" s="25" t="n">
        <f aca="false">SUMIFS('Commentary drivers'!$E:$E,'Commentary drivers'!$A:$A,A7)</f>
        <v>7</v>
      </c>
      <c r="S7" s="49" t="str">
        <f aca="false">IF(AND(ROUND(Q7-J7,4)=0,ROUND(R7-K7,1)=0),"✓","✗")</f>
        <v>✓</v>
      </c>
    </row>
    <row r="8" customFormat="false" ht="15" hidden="false" customHeight="false" outlineLevel="0" collapsed="false">
      <c r="A8" s="11" t="s">
        <v>1265</v>
      </c>
      <c r="B8" s="11" t="s">
        <v>25</v>
      </c>
      <c r="C8" s="11" t="s">
        <v>26</v>
      </c>
      <c r="D8" s="11" t="s">
        <v>1248</v>
      </c>
      <c r="E8" s="11" t="s">
        <v>1266</v>
      </c>
      <c r="F8" s="11" t="s">
        <v>195</v>
      </c>
      <c r="G8" s="11" t="n">
        <v>1</v>
      </c>
      <c r="H8" s="34" t="n">
        <v>84</v>
      </c>
      <c r="I8" s="34" t="n">
        <v>88.5871</v>
      </c>
      <c r="J8" s="34" t="n">
        <v>-4.5871</v>
      </c>
      <c r="K8" s="34" t="n">
        <v>-4.6</v>
      </c>
      <c r="L8" s="11" t="s">
        <v>196</v>
      </c>
      <c r="M8" s="11" t="s">
        <v>1250</v>
      </c>
      <c r="N8" s="11" t="s">
        <v>1262</v>
      </c>
      <c r="O8" s="11"/>
      <c r="P8" s="11"/>
      <c r="Q8" s="25" t="n">
        <f aca="false">SUMIFS('Commentary drivers'!$D:$D,'Commentary drivers'!$A:$A,A8)</f>
        <v>-4.5871</v>
      </c>
      <c r="R8" s="25" t="n">
        <f aca="false">SUMIFS('Commentary drivers'!$E:$E,'Commentary drivers'!$A:$A,A8)</f>
        <v>-4.6</v>
      </c>
      <c r="S8" s="49" t="str">
        <f aca="false">IF(AND(ROUND(Q8-J8,4)=0,ROUND(R8-K8,1)=0),"✓","✗")</f>
        <v>✓</v>
      </c>
    </row>
    <row r="9" customFormat="false" ht="15" hidden="false" customHeight="false" outlineLevel="0" collapsed="false">
      <c r="A9" s="11" t="s">
        <v>1267</v>
      </c>
      <c r="B9" s="11" t="s">
        <v>25</v>
      </c>
      <c r="C9" s="11" t="s">
        <v>26</v>
      </c>
      <c r="D9" s="11" t="s">
        <v>1248</v>
      </c>
      <c r="E9" s="11" t="s">
        <v>1268</v>
      </c>
      <c r="F9" s="11" t="s">
        <v>198</v>
      </c>
      <c r="G9" s="11" t="n">
        <v>1</v>
      </c>
      <c r="H9" s="34" t="n">
        <v>160</v>
      </c>
      <c r="I9" s="34" t="n">
        <v>144.269</v>
      </c>
      <c r="J9" s="34" t="n">
        <v>15.731</v>
      </c>
      <c r="K9" s="34" t="n">
        <v>15.7</v>
      </c>
      <c r="L9" s="11" t="s">
        <v>199</v>
      </c>
      <c r="M9" s="11" t="s">
        <v>1250</v>
      </c>
      <c r="N9" s="11" t="s">
        <v>1251</v>
      </c>
      <c r="O9" s="11" t="s">
        <v>1252</v>
      </c>
      <c r="P9" s="11" t="s">
        <v>1253</v>
      </c>
      <c r="Q9" s="25" t="n">
        <f aca="false">SUMIFS('Commentary drivers'!$D:$D,'Commentary drivers'!$A:$A,A9)</f>
        <v>15.731</v>
      </c>
      <c r="R9" s="25" t="n">
        <f aca="false">SUMIFS('Commentary drivers'!$E:$E,'Commentary drivers'!$A:$A,A9)</f>
        <v>15.7</v>
      </c>
      <c r="S9" s="49" t="str">
        <f aca="false">IF(AND(ROUND(Q9-J9,4)=0,ROUND(R9-K9,1)=0),"✓","✗")</f>
        <v>✓</v>
      </c>
    </row>
    <row r="10" customFormat="false" ht="15" hidden="false" customHeight="false" outlineLevel="0" collapsed="false">
      <c r="A10" s="11" t="s">
        <v>1269</v>
      </c>
      <c r="B10" s="11" t="s">
        <v>25</v>
      </c>
      <c r="C10" s="11" t="s">
        <v>26</v>
      </c>
      <c r="D10" s="11" t="s">
        <v>1248</v>
      </c>
      <c r="E10" s="11" t="s">
        <v>1270</v>
      </c>
      <c r="F10" s="11" t="s">
        <v>201</v>
      </c>
      <c r="G10" s="11" t="n">
        <v>1</v>
      </c>
      <c r="H10" s="34" t="n">
        <v>16</v>
      </c>
      <c r="I10" s="34" t="n">
        <v>13.68</v>
      </c>
      <c r="J10" s="34" t="n">
        <v>2.32</v>
      </c>
      <c r="K10" s="34" t="n">
        <v>2.3</v>
      </c>
      <c r="L10" s="11" t="s">
        <v>202</v>
      </c>
      <c r="M10" s="11" t="s">
        <v>1250</v>
      </c>
      <c r="N10" s="11" t="s">
        <v>1262</v>
      </c>
      <c r="O10" s="11"/>
      <c r="P10" s="11"/>
      <c r="Q10" s="25" t="n">
        <f aca="false">SUMIFS('Commentary drivers'!$D:$D,'Commentary drivers'!$A:$A,A10)</f>
        <v>2.32</v>
      </c>
      <c r="R10" s="25" t="n">
        <f aca="false">SUMIFS('Commentary drivers'!$E:$E,'Commentary drivers'!$A:$A,A10)</f>
        <v>2.3</v>
      </c>
      <c r="S10" s="49" t="str">
        <f aca="false">IF(AND(ROUND(Q10-J10,4)=0,ROUND(R10-K10,1)=0),"✓","✗")</f>
        <v>✓</v>
      </c>
    </row>
    <row r="11" customFormat="false" ht="15" hidden="false" customHeight="false" outlineLevel="0" collapsed="false">
      <c r="A11" s="11" t="s">
        <v>1271</v>
      </c>
      <c r="B11" s="11" t="s">
        <v>25</v>
      </c>
      <c r="C11" s="11" t="s">
        <v>26</v>
      </c>
      <c r="D11" s="11" t="s">
        <v>1248</v>
      </c>
      <c r="E11" s="11" t="s">
        <v>1272</v>
      </c>
      <c r="F11" s="11" t="s">
        <v>204</v>
      </c>
      <c r="G11" s="11" t="n">
        <v>1</v>
      </c>
      <c r="H11" s="34" t="n">
        <v>20</v>
      </c>
      <c r="I11" s="34" t="n">
        <v>19.33333</v>
      </c>
      <c r="J11" s="34" t="n">
        <v>0.66667</v>
      </c>
      <c r="K11" s="34" t="n">
        <v>0.7</v>
      </c>
      <c r="L11" s="11" t="s">
        <v>205</v>
      </c>
      <c r="M11" s="11" t="s">
        <v>1250</v>
      </c>
      <c r="N11" s="11" t="s">
        <v>1262</v>
      </c>
      <c r="O11" s="11"/>
      <c r="P11" s="11"/>
      <c r="Q11" s="25" t="n">
        <f aca="false">SUMIFS('Commentary drivers'!$D:$D,'Commentary drivers'!$A:$A,A11)</f>
        <v>0.66667</v>
      </c>
      <c r="R11" s="25" t="n">
        <f aca="false">SUMIFS('Commentary drivers'!$E:$E,'Commentary drivers'!$A:$A,A11)</f>
        <v>0.7</v>
      </c>
      <c r="S11" s="49" t="str">
        <f aca="false">IF(AND(ROUND(Q11-J11,4)=0,ROUND(R11-K11,1)=0),"✓","✗")</f>
        <v>✓</v>
      </c>
    </row>
    <row r="12" customFormat="false" ht="15" hidden="false" customHeight="false" outlineLevel="0" collapsed="false">
      <c r="A12" s="11" t="s">
        <v>1273</v>
      </c>
      <c r="B12" s="11" t="s">
        <v>25</v>
      </c>
      <c r="C12" s="11" t="s">
        <v>26</v>
      </c>
      <c r="D12" s="11" t="s">
        <v>1248</v>
      </c>
      <c r="E12" s="11" t="s">
        <v>1274</v>
      </c>
      <c r="F12" s="11" t="s">
        <v>207</v>
      </c>
      <c r="G12" s="11" t="n">
        <v>1</v>
      </c>
      <c r="H12" s="34" t="n">
        <v>20</v>
      </c>
      <c r="I12" s="34" t="n">
        <v>19.5</v>
      </c>
      <c r="J12" s="34" t="n">
        <v>0.5</v>
      </c>
      <c r="K12" s="34" t="n">
        <v>0.5</v>
      </c>
      <c r="L12" s="11" t="s">
        <v>208</v>
      </c>
      <c r="M12" s="11" t="s">
        <v>1250</v>
      </c>
      <c r="N12" s="11" t="s">
        <v>1262</v>
      </c>
      <c r="O12" s="11"/>
      <c r="P12" s="11"/>
      <c r="Q12" s="25" t="n">
        <f aca="false">SUMIFS('Commentary drivers'!$D:$D,'Commentary drivers'!$A:$A,A12)</f>
        <v>0.5</v>
      </c>
      <c r="R12" s="25" t="n">
        <f aca="false">SUMIFS('Commentary drivers'!$E:$E,'Commentary drivers'!$A:$A,A12)</f>
        <v>0.5</v>
      </c>
      <c r="S12" s="49" t="str">
        <f aca="false">IF(AND(ROUND(Q12-J12,4)=0,ROUND(R12-K12,1)=0),"✓","✗")</f>
        <v>✓</v>
      </c>
    </row>
    <row r="13" customFormat="false" ht="15" hidden="false" customHeight="false" outlineLevel="0" collapsed="false">
      <c r="A13" s="11" t="s">
        <v>1275</v>
      </c>
      <c r="B13" s="11" t="s">
        <v>25</v>
      </c>
      <c r="C13" s="11" t="s">
        <v>26</v>
      </c>
      <c r="D13" s="11" t="s">
        <v>1248</v>
      </c>
      <c r="E13" s="11" t="s">
        <v>1276</v>
      </c>
      <c r="F13" s="11" t="s">
        <v>156</v>
      </c>
      <c r="G13" s="11" t="n">
        <v>0</v>
      </c>
      <c r="H13" s="34" t="n">
        <v>120</v>
      </c>
      <c r="I13" s="34" t="n">
        <v>119.112</v>
      </c>
      <c r="J13" s="34" t="n">
        <v>0.888</v>
      </c>
      <c r="K13" s="34" t="n">
        <v>0.9</v>
      </c>
      <c r="L13" s="11" t="s">
        <v>209</v>
      </c>
      <c r="M13" s="11" t="s">
        <v>1250</v>
      </c>
      <c r="N13" s="11" t="s">
        <v>1262</v>
      </c>
      <c r="O13" s="11"/>
      <c r="P13" s="11"/>
      <c r="Q13" s="25" t="n">
        <f aca="false">SUMIFS('Commentary drivers'!$D:$D,'Commentary drivers'!$A:$A,A13)</f>
        <v>0.888</v>
      </c>
      <c r="R13" s="25" t="n">
        <f aca="false">SUMIFS('Commentary drivers'!$E:$E,'Commentary drivers'!$A:$A,A13)</f>
        <v>0.9</v>
      </c>
      <c r="S13" s="49" t="str">
        <f aca="false">IF(AND(ROUND(Q13-J13,4)=0,ROUND(R13-K13,1)=0),"✓","✗")</f>
        <v>✓</v>
      </c>
    </row>
    <row r="14" customFormat="false" ht="15" hidden="false" customHeight="false" outlineLevel="0" collapsed="false">
      <c r="A14" s="11" t="s">
        <v>1277</v>
      </c>
      <c r="B14" s="11" t="s">
        <v>25</v>
      </c>
      <c r="C14" s="11" t="s">
        <v>26</v>
      </c>
      <c r="D14" s="11" t="s">
        <v>1248</v>
      </c>
      <c r="E14" s="11" t="s">
        <v>1278</v>
      </c>
      <c r="F14" s="11" t="s">
        <v>101</v>
      </c>
      <c r="G14" s="11" t="n">
        <v>0</v>
      </c>
      <c r="H14" s="34" t="n">
        <v>660</v>
      </c>
      <c r="I14" s="34" t="n">
        <v>633.49918</v>
      </c>
      <c r="J14" s="34" t="n">
        <v>26.50082</v>
      </c>
      <c r="K14" s="34" t="n">
        <v>26.5</v>
      </c>
      <c r="L14" s="11" t="s">
        <v>211</v>
      </c>
      <c r="M14" s="11" t="s">
        <v>1250</v>
      </c>
      <c r="N14" s="11" t="s">
        <v>1251</v>
      </c>
      <c r="O14" s="11" t="s">
        <v>1252</v>
      </c>
      <c r="P14" s="11" t="s">
        <v>1253</v>
      </c>
      <c r="Q14" s="25" t="n">
        <f aca="false">SUMIFS('Commentary drivers'!$D:$D,'Commentary drivers'!$A:$A,A14)</f>
        <v>26.50082</v>
      </c>
      <c r="R14" s="25" t="n">
        <f aca="false">SUMIFS('Commentary drivers'!$E:$E,'Commentary drivers'!$A:$A,A14)</f>
        <v>26.5</v>
      </c>
      <c r="S14" s="49" t="str">
        <f aca="false">IF(AND(ROUND(Q14-J14,4)=0,ROUND(R14-K14,1)=0),"✓","✗")</f>
        <v>✓</v>
      </c>
    </row>
    <row r="15" customFormat="false" ht="15" hidden="false" customHeight="false" outlineLevel="0" collapsed="false">
      <c r="A15" s="11" t="s">
        <v>1279</v>
      </c>
      <c r="B15" s="11" t="s">
        <v>25</v>
      </c>
      <c r="C15" s="11" t="s">
        <v>26</v>
      </c>
      <c r="D15" s="11" t="s">
        <v>1248</v>
      </c>
      <c r="E15" s="11" t="s">
        <v>1280</v>
      </c>
      <c r="F15" s="11" t="s">
        <v>92</v>
      </c>
      <c r="G15" s="11" t="n">
        <v>0</v>
      </c>
      <c r="H15" s="34" t="n">
        <v>1340</v>
      </c>
      <c r="I15" s="34" t="n">
        <v>1358.02782</v>
      </c>
      <c r="J15" s="34" t="n">
        <v>-18.02782</v>
      </c>
      <c r="K15" s="34" t="n">
        <v>-18</v>
      </c>
      <c r="L15" s="11" t="s">
        <v>213</v>
      </c>
      <c r="M15" s="11" t="s">
        <v>1250</v>
      </c>
      <c r="N15" s="11" t="s">
        <v>1251</v>
      </c>
      <c r="O15" s="11" t="s">
        <v>1252</v>
      </c>
      <c r="P15" s="11" t="s">
        <v>1253</v>
      </c>
      <c r="Q15" s="25" t="n">
        <f aca="false">SUMIFS('Commentary drivers'!$D:$D,'Commentary drivers'!$A:$A,A15)</f>
        <v>-18.02782</v>
      </c>
      <c r="R15" s="25" t="n">
        <f aca="false">SUMIFS('Commentary drivers'!$E:$E,'Commentary drivers'!$A:$A,A15)</f>
        <v>-18</v>
      </c>
      <c r="S15" s="49" t="str">
        <f aca="false">IF(AND(ROUND(Q15-J15,4)=0,ROUND(R15-K15,1)=0),"✓","✗")</f>
        <v>✓</v>
      </c>
    </row>
    <row r="16" customFormat="false" ht="15" hidden="false" customHeight="false" outlineLevel="0" collapsed="false">
      <c r="A16" s="11" t="s">
        <v>1281</v>
      </c>
      <c r="B16" s="11" t="s">
        <v>25</v>
      </c>
      <c r="C16" s="11" t="s">
        <v>26</v>
      </c>
      <c r="D16" s="11" t="s">
        <v>1248</v>
      </c>
      <c r="E16" s="11" t="s">
        <v>1282</v>
      </c>
      <c r="F16" s="11" t="s">
        <v>157</v>
      </c>
      <c r="G16" s="11" t="n">
        <v>0</v>
      </c>
      <c r="H16" s="34" t="n">
        <v>414</v>
      </c>
      <c r="I16" s="34" t="n">
        <v>392.43658</v>
      </c>
      <c r="J16" s="34" t="n">
        <v>21.56342</v>
      </c>
      <c r="K16" s="34" t="n">
        <v>21.6</v>
      </c>
      <c r="L16" s="11" t="s">
        <v>215</v>
      </c>
      <c r="M16" s="11" t="s">
        <v>1250</v>
      </c>
      <c r="N16" s="11" t="s">
        <v>1251</v>
      </c>
      <c r="O16" s="11" t="s">
        <v>1252</v>
      </c>
      <c r="P16" s="11" t="s">
        <v>1253</v>
      </c>
      <c r="Q16" s="25" t="n">
        <f aca="false">SUMIFS('Commentary drivers'!$D:$D,'Commentary drivers'!$A:$A,A16)</f>
        <v>21.56342</v>
      </c>
      <c r="R16" s="25" t="n">
        <f aca="false">SUMIFS('Commentary drivers'!$E:$E,'Commentary drivers'!$A:$A,A16)</f>
        <v>21.6</v>
      </c>
      <c r="S16" s="49" t="str">
        <f aca="false">IF(AND(ROUND(Q16-J16,4)=0,ROUND(R16-K16,1)=0),"✓","✗")</f>
        <v>✓</v>
      </c>
    </row>
    <row r="17" customFormat="false" ht="15" hidden="false" customHeight="false" outlineLevel="0" collapsed="false">
      <c r="A17" s="11" t="s">
        <v>1283</v>
      </c>
      <c r="B17" s="11" t="s">
        <v>25</v>
      </c>
      <c r="C17" s="11" t="s">
        <v>26</v>
      </c>
      <c r="D17" s="11" t="s">
        <v>1248</v>
      </c>
      <c r="E17" s="11" t="s">
        <v>1284</v>
      </c>
      <c r="F17" s="11" t="s">
        <v>192</v>
      </c>
      <c r="G17" s="11" t="n">
        <v>1</v>
      </c>
      <c r="H17" s="34" t="n">
        <v>300</v>
      </c>
      <c r="I17" s="34" t="n">
        <v>279.05325</v>
      </c>
      <c r="J17" s="34" t="n">
        <v>20.94675</v>
      </c>
      <c r="K17" s="34" t="n">
        <v>20.9</v>
      </c>
      <c r="L17" s="11" t="s">
        <v>217</v>
      </c>
      <c r="M17" s="11" t="s">
        <v>1250</v>
      </c>
      <c r="N17" s="11" t="s">
        <v>1251</v>
      </c>
      <c r="O17" s="11" t="s">
        <v>1252</v>
      </c>
      <c r="P17" s="11" t="s">
        <v>1253</v>
      </c>
      <c r="Q17" s="25" t="n">
        <f aca="false">SUMIFS('Commentary drivers'!$D:$D,'Commentary drivers'!$A:$A,A17)</f>
        <v>20.94675</v>
      </c>
      <c r="R17" s="25" t="n">
        <f aca="false">SUMIFS('Commentary drivers'!$E:$E,'Commentary drivers'!$A:$A,A17)</f>
        <v>20.9</v>
      </c>
      <c r="S17" s="49" t="str">
        <f aca="false">IF(AND(ROUND(Q17-J17,4)=0,ROUND(R17-K17,1)=0),"✓","✗")</f>
        <v>✓</v>
      </c>
    </row>
    <row r="18" customFormat="false" ht="15" hidden="false" customHeight="false" outlineLevel="0" collapsed="false">
      <c r="A18" s="11" t="s">
        <v>1285</v>
      </c>
      <c r="B18" s="11" t="s">
        <v>25</v>
      </c>
      <c r="C18" s="11" t="s">
        <v>26</v>
      </c>
      <c r="D18" s="11" t="s">
        <v>1248</v>
      </c>
      <c r="E18" s="11" t="s">
        <v>1286</v>
      </c>
      <c r="F18" s="11" t="s">
        <v>189</v>
      </c>
      <c r="G18" s="11" t="n">
        <v>1</v>
      </c>
      <c r="H18" s="34" t="n">
        <v>40</v>
      </c>
      <c r="I18" s="34" t="n">
        <v>42</v>
      </c>
      <c r="J18" s="34" t="n">
        <v>-2</v>
      </c>
      <c r="K18" s="34" t="n">
        <v>-2</v>
      </c>
      <c r="L18" s="11" t="s">
        <v>219</v>
      </c>
      <c r="M18" s="11" t="s">
        <v>1250</v>
      </c>
      <c r="N18" s="11" t="s">
        <v>1262</v>
      </c>
      <c r="O18" s="11"/>
      <c r="P18" s="11"/>
      <c r="Q18" s="25" t="n">
        <f aca="false">SUMIFS('Commentary drivers'!$D:$D,'Commentary drivers'!$A:$A,A18)</f>
        <v>-2</v>
      </c>
      <c r="R18" s="25" t="n">
        <f aca="false">SUMIFS('Commentary drivers'!$E:$E,'Commentary drivers'!$A:$A,A18)</f>
        <v>-2</v>
      </c>
      <c r="S18" s="49" t="str">
        <f aca="false">IF(AND(ROUND(Q18-J18,4)=0,ROUND(R18-K18,1)=0),"✓","✗")</f>
        <v>✓</v>
      </c>
    </row>
    <row r="19" customFormat="false" ht="15" hidden="false" customHeight="false" outlineLevel="0" collapsed="false">
      <c r="A19" s="11" t="s">
        <v>1287</v>
      </c>
      <c r="B19" s="11" t="s">
        <v>25</v>
      </c>
      <c r="C19" s="11" t="s">
        <v>26</v>
      </c>
      <c r="D19" s="11" t="s">
        <v>1248</v>
      </c>
      <c r="E19" s="11" t="s">
        <v>1288</v>
      </c>
      <c r="F19" s="11" t="s">
        <v>201</v>
      </c>
      <c r="G19" s="11" t="n">
        <v>1</v>
      </c>
      <c r="H19" s="34" t="n">
        <v>24</v>
      </c>
      <c r="I19" s="34" t="n">
        <v>22.8</v>
      </c>
      <c r="J19" s="34" t="n">
        <v>1.2</v>
      </c>
      <c r="K19" s="34" t="n">
        <v>1.2</v>
      </c>
      <c r="L19" s="11" t="s">
        <v>220</v>
      </c>
      <c r="M19" s="11" t="s">
        <v>1250</v>
      </c>
      <c r="N19" s="11" t="s">
        <v>1262</v>
      </c>
      <c r="O19" s="11"/>
      <c r="P19" s="11"/>
      <c r="Q19" s="25" t="n">
        <f aca="false">SUMIFS('Commentary drivers'!$D:$D,'Commentary drivers'!$A:$A,A19)</f>
        <v>1.2</v>
      </c>
      <c r="R19" s="25" t="n">
        <f aca="false">SUMIFS('Commentary drivers'!$E:$E,'Commentary drivers'!$A:$A,A19)</f>
        <v>1.2</v>
      </c>
      <c r="S19" s="49" t="str">
        <f aca="false">IF(AND(ROUND(Q19-J19,4)=0,ROUND(R19-K19,1)=0),"✓","✗")</f>
        <v>✓</v>
      </c>
    </row>
    <row r="20" customFormat="false" ht="15" hidden="false" customHeight="false" outlineLevel="0" collapsed="false">
      <c r="A20" s="11" t="s">
        <v>1289</v>
      </c>
      <c r="B20" s="11" t="s">
        <v>25</v>
      </c>
      <c r="C20" s="11" t="s">
        <v>26</v>
      </c>
      <c r="D20" s="11" t="s">
        <v>1248</v>
      </c>
      <c r="E20" s="11" t="s">
        <v>1290</v>
      </c>
      <c r="F20" s="11" t="s">
        <v>204</v>
      </c>
      <c r="G20" s="11" t="n">
        <v>1</v>
      </c>
      <c r="H20" s="34" t="n">
        <v>20</v>
      </c>
      <c r="I20" s="34" t="n">
        <v>19.33333</v>
      </c>
      <c r="J20" s="34" t="n">
        <v>0.66667</v>
      </c>
      <c r="K20" s="34" t="n">
        <v>0.7</v>
      </c>
      <c r="L20" s="11" t="s">
        <v>205</v>
      </c>
      <c r="M20" s="11" t="s">
        <v>1250</v>
      </c>
      <c r="N20" s="11" t="s">
        <v>1262</v>
      </c>
      <c r="O20" s="11"/>
      <c r="P20" s="11"/>
      <c r="Q20" s="25" t="n">
        <f aca="false">SUMIFS('Commentary drivers'!$D:$D,'Commentary drivers'!$A:$A,A20)</f>
        <v>0.66667</v>
      </c>
      <c r="R20" s="25" t="n">
        <f aca="false">SUMIFS('Commentary drivers'!$E:$E,'Commentary drivers'!$A:$A,A20)</f>
        <v>0.7</v>
      </c>
      <c r="S20" s="49" t="str">
        <f aca="false">IF(AND(ROUND(Q20-J20,4)=0,ROUND(R20-K20,1)=0),"✓","✗")</f>
        <v>✓</v>
      </c>
    </row>
    <row r="21" customFormat="false" ht="15" hidden="false" customHeight="false" outlineLevel="0" collapsed="false">
      <c r="A21" s="11" t="s">
        <v>1291</v>
      </c>
      <c r="B21" s="11" t="s">
        <v>25</v>
      </c>
      <c r="C21" s="11" t="s">
        <v>26</v>
      </c>
      <c r="D21" s="11" t="s">
        <v>1248</v>
      </c>
      <c r="E21" s="11" t="s">
        <v>1292</v>
      </c>
      <c r="F21" s="11" t="s">
        <v>207</v>
      </c>
      <c r="G21" s="11" t="n">
        <v>1</v>
      </c>
      <c r="H21" s="34" t="n">
        <v>30</v>
      </c>
      <c r="I21" s="34" t="n">
        <v>29.25</v>
      </c>
      <c r="J21" s="34" t="n">
        <v>0.75</v>
      </c>
      <c r="K21" s="34" t="n">
        <v>0.8</v>
      </c>
      <c r="L21" s="11" t="s">
        <v>222</v>
      </c>
      <c r="M21" s="11" t="s">
        <v>1250</v>
      </c>
      <c r="N21" s="11" t="s">
        <v>1262</v>
      </c>
      <c r="O21" s="11"/>
      <c r="P21" s="11"/>
      <c r="Q21" s="25" t="n">
        <f aca="false">SUMIFS('Commentary drivers'!$D:$D,'Commentary drivers'!$A:$A,A21)</f>
        <v>0.75</v>
      </c>
      <c r="R21" s="25" t="n">
        <f aca="false">SUMIFS('Commentary drivers'!$E:$E,'Commentary drivers'!$A:$A,A21)</f>
        <v>0.8</v>
      </c>
      <c r="S21" s="49" t="str">
        <f aca="false">IF(AND(ROUND(Q21-J21,4)=0,ROUND(R21-K21,1)=0),"✓","✗")</f>
        <v>✓</v>
      </c>
    </row>
    <row r="22" customFormat="false" ht="15" hidden="false" customHeight="false" outlineLevel="0" collapsed="false">
      <c r="A22" s="11" t="s">
        <v>1293</v>
      </c>
      <c r="B22" s="11" t="s">
        <v>25</v>
      </c>
      <c r="C22" s="11" t="s">
        <v>26</v>
      </c>
      <c r="D22" s="11" t="s">
        <v>1248</v>
      </c>
      <c r="E22" s="11" t="s">
        <v>1294</v>
      </c>
      <c r="F22" s="11" t="s">
        <v>158</v>
      </c>
      <c r="G22" s="11" t="n">
        <v>0</v>
      </c>
      <c r="H22" s="34" t="n">
        <v>490</v>
      </c>
      <c r="I22" s="34" t="n">
        <v>505.77357</v>
      </c>
      <c r="J22" s="34" t="n">
        <v>-15.77357</v>
      </c>
      <c r="K22" s="34" t="n">
        <v>-15.8</v>
      </c>
      <c r="L22" s="11" t="s">
        <v>223</v>
      </c>
      <c r="M22" s="11" t="s">
        <v>1250</v>
      </c>
      <c r="N22" s="11" t="s">
        <v>1251</v>
      </c>
      <c r="O22" s="11" t="s">
        <v>1252</v>
      </c>
      <c r="P22" s="11" t="s">
        <v>1253</v>
      </c>
      <c r="Q22" s="25" t="n">
        <f aca="false">SUMIFS('Commentary drivers'!$D:$D,'Commentary drivers'!$A:$A,A22)</f>
        <v>-15.77357</v>
      </c>
      <c r="R22" s="25" t="n">
        <f aca="false">SUMIFS('Commentary drivers'!$E:$E,'Commentary drivers'!$A:$A,A22)</f>
        <v>-15.8</v>
      </c>
      <c r="S22" s="49" t="str">
        <f aca="false">IF(AND(ROUND(Q22-J22,4)=0,ROUND(R22-K22,1)=0),"✓","✗")</f>
        <v>✓</v>
      </c>
    </row>
    <row r="23" customFormat="false" ht="15" hidden="false" customHeight="false" outlineLevel="0" collapsed="false">
      <c r="A23" s="11" t="s">
        <v>1295</v>
      </c>
      <c r="B23" s="11" t="s">
        <v>25</v>
      </c>
      <c r="C23" s="11" t="s">
        <v>26</v>
      </c>
      <c r="D23" s="11" t="s">
        <v>1248</v>
      </c>
      <c r="E23" s="11" t="s">
        <v>1296</v>
      </c>
      <c r="F23" s="11" t="s">
        <v>225</v>
      </c>
      <c r="G23" s="11" t="n">
        <v>1</v>
      </c>
      <c r="H23" s="34" t="n">
        <v>240</v>
      </c>
      <c r="I23" s="34" t="n">
        <v>225.321</v>
      </c>
      <c r="J23" s="34" t="n">
        <v>14.679</v>
      </c>
      <c r="K23" s="34" t="n">
        <v>14.7</v>
      </c>
      <c r="L23" s="11" t="s">
        <v>226</v>
      </c>
      <c r="M23" s="11" t="s">
        <v>1250</v>
      </c>
      <c r="N23" s="11" t="s">
        <v>1251</v>
      </c>
      <c r="O23" s="11" t="s">
        <v>1252</v>
      </c>
      <c r="P23" s="11" t="s">
        <v>1253</v>
      </c>
      <c r="Q23" s="25" t="n">
        <f aca="false">SUMIFS('Commentary drivers'!$D:$D,'Commentary drivers'!$A:$A,A23)</f>
        <v>14.679</v>
      </c>
      <c r="R23" s="25" t="n">
        <f aca="false">SUMIFS('Commentary drivers'!$E:$E,'Commentary drivers'!$A:$A,A23)</f>
        <v>14.7</v>
      </c>
      <c r="S23" s="49" t="str">
        <f aca="false">IF(AND(ROUND(Q23-J23,4)=0,ROUND(R23-K23,1)=0),"✓","✗")</f>
        <v>✓</v>
      </c>
    </row>
    <row r="24" customFormat="false" ht="15" hidden="false" customHeight="false" outlineLevel="0" collapsed="false">
      <c r="A24" s="11" t="s">
        <v>1297</v>
      </c>
      <c r="B24" s="11" t="s">
        <v>25</v>
      </c>
      <c r="C24" s="11" t="s">
        <v>26</v>
      </c>
      <c r="D24" s="11" t="s">
        <v>1248</v>
      </c>
      <c r="E24" s="11" t="s">
        <v>1298</v>
      </c>
      <c r="F24" s="11" t="s">
        <v>195</v>
      </c>
      <c r="G24" s="11" t="n">
        <v>1</v>
      </c>
      <c r="H24" s="34" t="n">
        <v>36</v>
      </c>
      <c r="I24" s="34" t="n">
        <v>37.9659</v>
      </c>
      <c r="J24" s="34" t="n">
        <v>-1.9659</v>
      </c>
      <c r="K24" s="34" t="n">
        <v>-2</v>
      </c>
      <c r="L24" s="11" t="s">
        <v>228</v>
      </c>
      <c r="M24" s="11" t="s">
        <v>1250</v>
      </c>
      <c r="N24" s="11" t="s">
        <v>1262</v>
      </c>
      <c r="O24" s="11"/>
      <c r="P24" s="11"/>
      <c r="Q24" s="25" t="n">
        <f aca="false">SUMIFS('Commentary drivers'!$D:$D,'Commentary drivers'!$A:$A,A24)</f>
        <v>-1.9659</v>
      </c>
      <c r="R24" s="25" t="n">
        <f aca="false">SUMIFS('Commentary drivers'!$E:$E,'Commentary drivers'!$A:$A,A24)</f>
        <v>-2</v>
      </c>
      <c r="S24" s="49" t="str">
        <f aca="false">IF(AND(ROUND(Q24-J24,4)=0,ROUND(R24-K24,1)=0),"✓","✗")</f>
        <v>✓</v>
      </c>
    </row>
    <row r="25" customFormat="false" ht="15" hidden="false" customHeight="false" outlineLevel="0" collapsed="false">
      <c r="A25" s="11" t="s">
        <v>1299</v>
      </c>
      <c r="B25" s="11" t="s">
        <v>25</v>
      </c>
      <c r="C25" s="11" t="s">
        <v>26</v>
      </c>
      <c r="D25" s="11" t="s">
        <v>1248</v>
      </c>
      <c r="E25" s="11" t="s">
        <v>1300</v>
      </c>
      <c r="F25" s="11" t="s">
        <v>230</v>
      </c>
      <c r="G25" s="11" t="n">
        <v>1</v>
      </c>
      <c r="H25" s="34" t="n">
        <v>100</v>
      </c>
      <c r="I25" s="34" t="n">
        <v>140</v>
      </c>
      <c r="J25" s="34" t="n">
        <v>-40</v>
      </c>
      <c r="K25" s="34" t="n">
        <v>-40</v>
      </c>
      <c r="L25" s="11" t="s">
        <v>231</v>
      </c>
      <c r="M25" s="11" t="s">
        <v>1250</v>
      </c>
      <c r="N25" s="11" t="s">
        <v>1251</v>
      </c>
      <c r="O25" s="11" t="s">
        <v>1252</v>
      </c>
      <c r="P25" s="11" t="s">
        <v>1253</v>
      </c>
      <c r="Q25" s="25" t="n">
        <f aca="false">SUMIFS('Commentary drivers'!$D:$D,'Commentary drivers'!$A:$A,A25)</f>
        <v>-40</v>
      </c>
      <c r="R25" s="25" t="n">
        <f aca="false">SUMIFS('Commentary drivers'!$E:$E,'Commentary drivers'!$A:$A,A25)</f>
        <v>-40</v>
      </c>
      <c r="S25" s="49" t="str">
        <f aca="false">IF(AND(ROUND(Q25-J25,4)=0,ROUND(R25-K25,1)=0),"✓","✗")</f>
        <v>✓</v>
      </c>
    </row>
    <row r="26" customFormat="false" ht="15" hidden="false" customHeight="false" outlineLevel="0" collapsed="false">
      <c r="A26" s="11" t="s">
        <v>1301</v>
      </c>
      <c r="B26" s="11" t="s">
        <v>25</v>
      </c>
      <c r="C26" s="11" t="s">
        <v>26</v>
      </c>
      <c r="D26" s="11" t="s">
        <v>1248</v>
      </c>
      <c r="E26" s="11" t="s">
        <v>1302</v>
      </c>
      <c r="F26" s="11" t="s">
        <v>233</v>
      </c>
      <c r="G26" s="11" t="n">
        <v>1</v>
      </c>
      <c r="H26" s="34" t="n">
        <v>40</v>
      </c>
      <c r="I26" s="34" t="n">
        <v>39</v>
      </c>
      <c r="J26" s="34" t="n">
        <v>1</v>
      </c>
      <c r="K26" s="34" t="n">
        <v>1</v>
      </c>
      <c r="L26" s="11" t="s">
        <v>234</v>
      </c>
      <c r="M26" s="11" t="s">
        <v>1250</v>
      </c>
      <c r="N26" s="11" t="s">
        <v>1262</v>
      </c>
      <c r="O26" s="11"/>
      <c r="P26" s="11"/>
      <c r="Q26" s="25" t="n">
        <f aca="false">SUMIFS('Commentary drivers'!$D:$D,'Commentary drivers'!$A:$A,A26)</f>
        <v>1</v>
      </c>
      <c r="R26" s="25" t="n">
        <f aca="false">SUMIFS('Commentary drivers'!$E:$E,'Commentary drivers'!$A:$A,A26)</f>
        <v>1</v>
      </c>
      <c r="S26" s="49" t="str">
        <f aca="false">IF(AND(ROUND(Q26-J26,4)=0,ROUND(R26-K26,1)=0),"✓","✗")</f>
        <v>✓</v>
      </c>
    </row>
    <row r="27" customFormat="false" ht="15" hidden="false" customHeight="false" outlineLevel="0" collapsed="false">
      <c r="A27" s="11" t="s">
        <v>1303</v>
      </c>
      <c r="B27" s="11" t="s">
        <v>25</v>
      </c>
      <c r="C27" s="11" t="s">
        <v>26</v>
      </c>
      <c r="D27" s="11" t="s">
        <v>1248</v>
      </c>
      <c r="E27" s="11" t="s">
        <v>1304</v>
      </c>
      <c r="F27" s="11" t="s">
        <v>189</v>
      </c>
      <c r="G27" s="11" t="n">
        <v>1</v>
      </c>
      <c r="H27" s="34" t="n">
        <v>20</v>
      </c>
      <c r="I27" s="34" t="n">
        <v>10</v>
      </c>
      <c r="J27" s="34" t="n">
        <v>10</v>
      </c>
      <c r="K27" s="34" t="n">
        <v>10</v>
      </c>
      <c r="L27" s="11" t="s">
        <v>235</v>
      </c>
      <c r="M27" s="11" t="s">
        <v>1250</v>
      </c>
      <c r="N27" s="11" t="s">
        <v>1251</v>
      </c>
      <c r="O27" s="11" t="s">
        <v>1252</v>
      </c>
      <c r="P27" s="11" t="s">
        <v>1253</v>
      </c>
      <c r="Q27" s="25" t="n">
        <f aca="false">SUMIFS('Commentary drivers'!$D:$D,'Commentary drivers'!$A:$A,A27)</f>
        <v>10</v>
      </c>
      <c r="R27" s="25" t="n">
        <f aca="false">SUMIFS('Commentary drivers'!$E:$E,'Commentary drivers'!$A:$A,A27)</f>
        <v>10</v>
      </c>
      <c r="S27" s="49" t="str">
        <f aca="false">IF(AND(ROUND(Q27-J27,4)=0,ROUND(R27-K27,1)=0),"✓","✗")</f>
        <v>✓</v>
      </c>
    </row>
    <row r="28" customFormat="false" ht="15" hidden="false" customHeight="false" outlineLevel="0" collapsed="false">
      <c r="A28" s="11" t="s">
        <v>1305</v>
      </c>
      <c r="B28" s="11" t="s">
        <v>25</v>
      </c>
      <c r="C28" s="11" t="s">
        <v>26</v>
      </c>
      <c r="D28" s="11" t="s">
        <v>1248</v>
      </c>
      <c r="E28" s="11" t="s">
        <v>1306</v>
      </c>
      <c r="F28" s="11" t="s">
        <v>201</v>
      </c>
      <c r="G28" s="11" t="n">
        <v>1</v>
      </c>
      <c r="H28" s="34" t="n">
        <v>24</v>
      </c>
      <c r="I28" s="34" t="n">
        <v>24.32</v>
      </c>
      <c r="J28" s="34" t="n">
        <v>-0.32</v>
      </c>
      <c r="K28" s="34" t="n">
        <v>-0.3</v>
      </c>
      <c r="L28" s="11" t="s">
        <v>237</v>
      </c>
      <c r="M28" s="11" t="s">
        <v>1250</v>
      </c>
      <c r="N28" s="11" t="s">
        <v>1262</v>
      </c>
      <c r="O28" s="11"/>
      <c r="P28" s="11"/>
      <c r="Q28" s="25" t="n">
        <f aca="false">SUMIFS('Commentary drivers'!$D:$D,'Commentary drivers'!$A:$A,A28)</f>
        <v>-0.32</v>
      </c>
      <c r="R28" s="25" t="n">
        <f aca="false">SUMIFS('Commentary drivers'!$E:$E,'Commentary drivers'!$A:$A,A28)</f>
        <v>-0.3</v>
      </c>
      <c r="S28" s="49" t="str">
        <f aca="false">IF(AND(ROUND(Q28-J28,4)=0,ROUND(R28-K28,1)=0),"✓","✗")</f>
        <v>✓</v>
      </c>
    </row>
    <row r="29" customFormat="false" ht="15" hidden="false" customHeight="false" outlineLevel="0" collapsed="false">
      <c r="A29" s="11" t="s">
        <v>1307</v>
      </c>
      <c r="B29" s="11" t="s">
        <v>25</v>
      </c>
      <c r="C29" s="11" t="s">
        <v>26</v>
      </c>
      <c r="D29" s="11" t="s">
        <v>1248</v>
      </c>
      <c r="E29" s="11" t="s">
        <v>1308</v>
      </c>
      <c r="F29" s="11" t="s">
        <v>204</v>
      </c>
      <c r="G29" s="11" t="n">
        <v>1</v>
      </c>
      <c r="H29" s="34" t="n">
        <v>10</v>
      </c>
      <c r="I29" s="34" t="n">
        <v>9.66667</v>
      </c>
      <c r="J29" s="34" t="n">
        <v>0.33333</v>
      </c>
      <c r="K29" s="34" t="n">
        <v>0.3</v>
      </c>
      <c r="L29" s="11" t="s">
        <v>238</v>
      </c>
      <c r="M29" s="11" t="s">
        <v>1250</v>
      </c>
      <c r="N29" s="11" t="s">
        <v>1262</v>
      </c>
      <c r="O29" s="11"/>
      <c r="P29" s="11"/>
      <c r="Q29" s="25" t="n">
        <f aca="false">SUMIFS('Commentary drivers'!$D:$D,'Commentary drivers'!$A:$A,A29)</f>
        <v>0.33333</v>
      </c>
      <c r="R29" s="25" t="n">
        <f aca="false">SUMIFS('Commentary drivers'!$E:$E,'Commentary drivers'!$A:$A,A29)</f>
        <v>0.3</v>
      </c>
      <c r="S29" s="49" t="str">
        <f aca="false">IF(AND(ROUND(Q29-J29,4)=0,ROUND(R29-K29,1)=0),"✓","✗")</f>
        <v>✓</v>
      </c>
    </row>
    <row r="30" customFormat="false" ht="15" hidden="false" customHeight="false" outlineLevel="0" collapsed="false">
      <c r="A30" s="11" t="s">
        <v>1309</v>
      </c>
      <c r="B30" s="11" t="s">
        <v>25</v>
      </c>
      <c r="C30" s="11" t="s">
        <v>26</v>
      </c>
      <c r="D30" s="11" t="s">
        <v>1248</v>
      </c>
      <c r="E30" s="11" t="s">
        <v>1310</v>
      </c>
      <c r="F30" s="11" t="s">
        <v>207</v>
      </c>
      <c r="G30" s="11" t="n">
        <v>1</v>
      </c>
      <c r="H30" s="34" t="n">
        <v>20</v>
      </c>
      <c r="I30" s="34" t="n">
        <v>19.5</v>
      </c>
      <c r="J30" s="34" t="n">
        <v>0.5</v>
      </c>
      <c r="K30" s="34" t="n">
        <v>0.5</v>
      </c>
      <c r="L30" s="11" t="s">
        <v>208</v>
      </c>
      <c r="M30" s="11" t="s">
        <v>1250</v>
      </c>
      <c r="N30" s="11" t="s">
        <v>1262</v>
      </c>
      <c r="O30" s="11"/>
      <c r="P30" s="11"/>
      <c r="Q30" s="25" t="n">
        <f aca="false">SUMIFS('Commentary drivers'!$D:$D,'Commentary drivers'!$A:$A,A30)</f>
        <v>0.5</v>
      </c>
      <c r="R30" s="25" t="n">
        <f aca="false">SUMIFS('Commentary drivers'!$E:$E,'Commentary drivers'!$A:$A,A30)</f>
        <v>0.5</v>
      </c>
      <c r="S30" s="49" t="str">
        <f aca="false">IF(AND(ROUND(Q30-J30,4)=0,ROUND(R30-K30,1)=0),"✓","✗")</f>
        <v>✓</v>
      </c>
    </row>
    <row r="31" customFormat="false" ht="15" hidden="false" customHeight="false" outlineLevel="0" collapsed="false">
      <c r="A31" s="11" t="s">
        <v>1311</v>
      </c>
      <c r="B31" s="11" t="s">
        <v>25</v>
      </c>
      <c r="C31" s="11" t="s">
        <v>26</v>
      </c>
      <c r="D31" s="11" t="s">
        <v>1248</v>
      </c>
      <c r="E31" s="11" t="s">
        <v>1312</v>
      </c>
      <c r="F31" s="11" t="s">
        <v>159</v>
      </c>
      <c r="G31" s="11" t="n">
        <v>0</v>
      </c>
      <c r="H31" s="34" t="n">
        <v>216</v>
      </c>
      <c r="I31" s="34" t="n">
        <v>206.61667</v>
      </c>
      <c r="J31" s="34" t="n">
        <v>9.38333</v>
      </c>
      <c r="K31" s="34" t="n">
        <v>9.4</v>
      </c>
      <c r="L31" s="11" t="s">
        <v>240</v>
      </c>
      <c r="M31" s="11" t="s">
        <v>1250</v>
      </c>
      <c r="N31" s="11" t="s">
        <v>1251</v>
      </c>
      <c r="O31" s="11" t="s">
        <v>1252</v>
      </c>
      <c r="P31" s="11" t="s">
        <v>1253</v>
      </c>
      <c r="Q31" s="25" t="n">
        <f aca="false">SUMIFS('Commentary drivers'!$D:$D,'Commentary drivers'!$A:$A,A31)</f>
        <v>9.38333</v>
      </c>
      <c r="R31" s="25" t="n">
        <f aca="false">SUMIFS('Commentary drivers'!$E:$E,'Commentary drivers'!$A:$A,A31)</f>
        <v>9.4</v>
      </c>
      <c r="S31" s="49" t="str">
        <f aca="false">IF(AND(ROUND(Q31-J31,4)=0,ROUND(R31-K31,1)=0),"✓","✗")</f>
        <v>✓</v>
      </c>
    </row>
    <row r="32" customFormat="false" ht="15" hidden="false" customHeight="false" outlineLevel="0" collapsed="false">
      <c r="A32" s="11" t="s">
        <v>1313</v>
      </c>
      <c r="B32" s="11" t="s">
        <v>25</v>
      </c>
      <c r="C32" s="11" t="s">
        <v>26</v>
      </c>
      <c r="D32" s="11" t="s">
        <v>1248</v>
      </c>
      <c r="E32" s="11" t="s">
        <v>1314</v>
      </c>
      <c r="F32" s="11" t="s">
        <v>242</v>
      </c>
      <c r="G32" s="11" t="n">
        <v>1</v>
      </c>
      <c r="H32" s="34" t="n">
        <v>180</v>
      </c>
      <c r="I32" s="34" t="n">
        <v>172</v>
      </c>
      <c r="J32" s="34" t="n">
        <v>8</v>
      </c>
      <c r="K32" s="34" t="n">
        <v>8</v>
      </c>
      <c r="L32" s="11" t="s">
        <v>243</v>
      </c>
      <c r="M32" s="11" t="s">
        <v>1315</v>
      </c>
      <c r="N32" s="11" t="s">
        <v>1262</v>
      </c>
      <c r="O32" s="11"/>
      <c r="P32" s="11"/>
      <c r="Q32" s="25" t="n">
        <f aca="false">SUMIFS('Commentary drivers'!$D:$D,'Commentary drivers'!$A:$A,A32)</f>
        <v>8</v>
      </c>
      <c r="R32" s="25" t="n">
        <f aca="false">SUMIFS('Commentary drivers'!$E:$E,'Commentary drivers'!$A:$A,A32)</f>
        <v>8</v>
      </c>
      <c r="S32" s="49" t="str">
        <f aca="false">IF(AND(ROUND(Q32-J32,4)=0,ROUND(R32-K32,1)=0),"✓","✗")</f>
        <v>✓</v>
      </c>
    </row>
    <row r="33" customFormat="false" ht="15" hidden="false" customHeight="false" outlineLevel="0" collapsed="false">
      <c r="A33" s="11" t="s">
        <v>1316</v>
      </c>
      <c r="B33" s="11" t="s">
        <v>25</v>
      </c>
      <c r="C33" s="11" t="s">
        <v>26</v>
      </c>
      <c r="D33" s="11" t="s">
        <v>1248</v>
      </c>
      <c r="E33" s="11" t="s">
        <v>1317</v>
      </c>
      <c r="F33" s="11" t="s">
        <v>201</v>
      </c>
      <c r="G33" s="11" t="n">
        <v>1</v>
      </c>
      <c r="H33" s="34" t="n">
        <v>16</v>
      </c>
      <c r="I33" s="34" t="n">
        <v>15.2</v>
      </c>
      <c r="J33" s="34" t="n">
        <v>0.8</v>
      </c>
      <c r="K33" s="34" t="n">
        <v>0.8</v>
      </c>
      <c r="L33" s="11" t="s">
        <v>245</v>
      </c>
      <c r="M33" s="11" t="s">
        <v>1250</v>
      </c>
      <c r="N33" s="11" t="s">
        <v>1262</v>
      </c>
      <c r="O33" s="11"/>
      <c r="P33" s="11"/>
      <c r="Q33" s="25" t="n">
        <f aca="false">SUMIFS('Commentary drivers'!$D:$D,'Commentary drivers'!$A:$A,A33)</f>
        <v>0.8</v>
      </c>
      <c r="R33" s="25" t="n">
        <f aca="false">SUMIFS('Commentary drivers'!$E:$E,'Commentary drivers'!$A:$A,A33)</f>
        <v>0.8</v>
      </c>
      <c r="S33" s="49" t="str">
        <f aca="false">IF(AND(ROUND(Q33-J33,4)=0,ROUND(R33-K33,1)=0),"✓","✗")</f>
        <v>✓</v>
      </c>
    </row>
    <row r="34" customFormat="false" ht="15" hidden="false" customHeight="false" outlineLevel="0" collapsed="false">
      <c r="A34" s="11" t="s">
        <v>1318</v>
      </c>
      <c r="B34" s="11" t="s">
        <v>25</v>
      </c>
      <c r="C34" s="11" t="s">
        <v>26</v>
      </c>
      <c r="D34" s="11" t="s">
        <v>1248</v>
      </c>
      <c r="E34" s="11" t="s">
        <v>1319</v>
      </c>
      <c r="F34" s="11" t="s">
        <v>204</v>
      </c>
      <c r="G34" s="11" t="n">
        <v>1</v>
      </c>
      <c r="H34" s="34" t="n">
        <v>10</v>
      </c>
      <c r="I34" s="34" t="n">
        <v>9.66667</v>
      </c>
      <c r="J34" s="34" t="n">
        <v>0.33333</v>
      </c>
      <c r="K34" s="34" t="n">
        <v>0.3</v>
      </c>
      <c r="L34" s="11" t="s">
        <v>238</v>
      </c>
      <c r="M34" s="11" t="s">
        <v>1250</v>
      </c>
      <c r="N34" s="11" t="s">
        <v>1262</v>
      </c>
      <c r="O34" s="11"/>
      <c r="P34" s="11"/>
      <c r="Q34" s="25" t="n">
        <f aca="false">SUMIFS('Commentary drivers'!$D:$D,'Commentary drivers'!$A:$A,A34)</f>
        <v>0.33333</v>
      </c>
      <c r="R34" s="25" t="n">
        <f aca="false">SUMIFS('Commentary drivers'!$E:$E,'Commentary drivers'!$A:$A,A34)</f>
        <v>0.3</v>
      </c>
      <c r="S34" s="49" t="str">
        <f aca="false">IF(AND(ROUND(Q34-J34,4)=0,ROUND(R34-K34,1)=0),"✓","✗")</f>
        <v>✓</v>
      </c>
    </row>
    <row r="35" customFormat="false" ht="15" hidden="false" customHeight="false" outlineLevel="0" collapsed="false">
      <c r="A35" s="11" t="s">
        <v>1320</v>
      </c>
      <c r="B35" s="11" t="s">
        <v>25</v>
      </c>
      <c r="C35" s="11" t="s">
        <v>26</v>
      </c>
      <c r="D35" s="11" t="s">
        <v>1248</v>
      </c>
      <c r="E35" s="11" t="s">
        <v>1321</v>
      </c>
      <c r="F35" s="11" t="s">
        <v>207</v>
      </c>
      <c r="G35" s="11" t="n">
        <v>1</v>
      </c>
      <c r="H35" s="34" t="n">
        <v>10</v>
      </c>
      <c r="I35" s="34" t="n">
        <v>9.75</v>
      </c>
      <c r="J35" s="34" t="n">
        <v>0.25</v>
      </c>
      <c r="K35" s="34" t="n">
        <v>0.3</v>
      </c>
      <c r="L35" s="11" t="s">
        <v>246</v>
      </c>
      <c r="M35" s="11" t="s">
        <v>1250</v>
      </c>
      <c r="N35" s="11" t="s">
        <v>1262</v>
      </c>
      <c r="O35" s="11"/>
      <c r="P35" s="11"/>
      <c r="Q35" s="25" t="n">
        <f aca="false">SUMIFS('Commentary drivers'!$D:$D,'Commentary drivers'!$A:$A,A35)</f>
        <v>0.25</v>
      </c>
      <c r="R35" s="25" t="n">
        <f aca="false">SUMIFS('Commentary drivers'!$E:$E,'Commentary drivers'!$A:$A,A35)</f>
        <v>0.3</v>
      </c>
      <c r="S35" s="49" t="str">
        <f aca="false">IF(AND(ROUND(Q35-J35,4)=0,ROUND(R35-K35,1)=0),"✓","✗")</f>
        <v>✓</v>
      </c>
    </row>
    <row r="36" customFormat="false" ht="15" hidden="false" customHeight="false" outlineLevel="0" collapsed="false">
      <c r="A36" s="11" t="s">
        <v>1322</v>
      </c>
      <c r="B36" s="11" t="s">
        <v>25</v>
      </c>
      <c r="C36" s="11" t="s">
        <v>26</v>
      </c>
      <c r="D36" s="11" t="s">
        <v>1248</v>
      </c>
      <c r="E36" s="11" t="s">
        <v>1323</v>
      </c>
      <c r="F36" s="11" t="s">
        <v>95</v>
      </c>
      <c r="G36" s="11" t="n">
        <v>0</v>
      </c>
      <c r="H36" s="34" t="n">
        <v>1120</v>
      </c>
      <c r="I36" s="34" t="n">
        <v>1104.82682</v>
      </c>
      <c r="J36" s="34" t="n">
        <v>15.17318</v>
      </c>
      <c r="K36" s="34" t="n">
        <v>15.2</v>
      </c>
      <c r="L36" s="11" t="s">
        <v>247</v>
      </c>
      <c r="M36" s="11" t="s">
        <v>1250</v>
      </c>
      <c r="N36" s="11" t="s">
        <v>1251</v>
      </c>
      <c r="O36" s="11" t="s">
        <v>1252</v>
      </c>
      <c r="P36" s="11" t="s">
        <v>1253</v>
      </c>
      <c r="Q36" s="25" t="n">
        <f aca="false">SUMIFS('Commentary drivers'!$D:$D,'Commentary drivers'!$A:$A,A36)</f>
        <v>15.17318</v>
      </c>
      <c r="R36" s="25" t="n">
        <f aca="false">SUMIFS('Commentary drivers'!$E:$E,'Commentary drivers'!$A:$A,A36)</f>
        <v>15.2</v>
      </c>
      <c r="S36" s="49" t="str">
        <f aca="false">IF(AND(ROUND(Q36-J36,4)=0,ROUND(R36-K36,1)=0),"✓","✗")</f>
        <v>✓</v>
      </c>
    </row>
    <row r="37" customFormat="false" ht="15" hidden="false" customHeight="false" outlineLevel="0" collapsed="false">
      <c r="A37" s="11" t="s">
        <v>1324</v>
      </c>
      <c r="B37" s="11" t="s">
        <v>25</v>
      </c>
      <c r="C37" s="11" t="s">
        <v>26</v>
      </c>
      <c r="D37" s="11" t="s">
        <v>1248</v>
      </c>
      <c r="E37" s="11" t="s">
        <v>1325</v>
      </c>
      <c r="F37" s="11" t="s">
        <v>96</v>
      </c>
      <c r="G37" s="11" t="n">
        <v>0</v>
      </c>
      <c r="H37" s="34" t="n">
        <v>220</v>
      </c>
      <c r="I37" s="34" t="n">
        <v>253.201</v>
      </c>
      <c r="J37" s="34" t="n">
        <v>-33.201</v>
      </c>
      <c r="K37" s="34" t="n">
        <v>-33.2</v>
      </c>
      <c r="L37" s="11" t="s">
        <v>249</v>
      </c>
      <c r="M37" s="11" t="s">
        <v>1250</v>
      </c>
      <c r="N37" s="11" t="s">
        <v>1251</v>
      </c>
      <c r="O37" s="11" t="s">
        <v>1252</v>
      </c>
      <c r="P37" s="11" t="s">
        <v>1253</v>
      </c>
      <c r="Q37" s="25" t="n">
        <f aca="false">SUMIFS('Commentary drivers'!$D:$D,'Commentary drivers'!$A:$A,A37)</f>
        <v>-33.201</v>
      </c>
      <c r="R37" s="25" t="n">
        <f aca="false">SUMIFS('Commentary drivers'!$E:$E,'Commentary drivers'!$A:$A,A37)</f>
        <v>-33.2</v>
      </c>
      <c r="S37" s="49" t="str">
        <f aca="false">IF(AND(ROUND(Q37-J37,4)=0,ROUND(R37-K37,1)=0),"✓","✗")</f>
        <v>✓</v>
      </c>
    </row>
    <row r="38" customFormat="false" ht="15" hidden="false" customHeight="false" outlineLevel="0" collapsed="false">
      <c r="A38" s="11" t="s">
        <v>1326</v>
      </c>
      <c r="B38" s="11" t="s">
        <v>25</v>
      </c>
      <c r="C38" s="11" t="s">
        <v>26</v>
      </c>
      <c r="D38" s="11" t="s">
        <v>1248</v>
      </c>
      <c r="E38" s="11" t="s">
        <v>1327</v>
      </c>
      <c r="F38" s="11" t="s">
        <v>160</v>
      </c>
      <c r="G38" s="11" t="n">
        <v>0</v>
      </c>
      <c r="H38" s="34" t="n">
        <v>10</v>
      </c>
      <c r="I38" s="34" t="n">
        <v>11</v>
      </c>
      <c r="J38" s="34" t="n">
        <v>-1</v>
      </c>
      <c r="K38" s="34" t="n">
        <v>-1</v>
      </c>
      <c r="L38" s="11" t="s">
        <v>251</v>
      </c>
      <c r="M38" s="11" t="s">
        <v>1250</v>
      </c>
      <c r="N38" s="11" t="s">
        <v>1262</v>
      </c>
      <c r="O38" s="11"/>
      <c r="P38" s="11"/>
      <c r="Q38" s="25" t="n">
        <f aca="false">SUMIFS('Commentary drivers'!$D:$D,'Commentary drivers'!$A:$A,A38)</f>
        <v>-1</v>
      </c>
      <c r="R38" s="25" t="n">
        <f aca="false">SUMIFS('Commentary drivers'!$E:$E,'Commentary drivers'!$A:$A,A38)</f>
        <v>-1</v>
      </c>
      <c r="S38" s="49" t="str">
        <f aca="false">IF(AND(ROUND(Q38-J38,4)=0,ROUND(R38-K38,1)=0),"✓","✗")</f>
        <v>✓</v>
      </c>
    </row>
    <row r="39" customFormat="false" ht="15" hidden="false" customHeight="false" outlineLevel="0" collapsed="false">
      <c r="A39" s="11" t="s">
        <v>1328</v>
      </c>
      <c r="B39" s="11" t="s">
        <v>25</v>
      </c>
      <c r="C39" s="11" t="s">
        <v>26</v>
      </c>
      <c r="D39" s="11" t="s">
        <v>1248</v>
      </c>
      <c r="E39" s="11" t="s">
        <v>1329</v>
      </c>
      <c r="F39" s="11" t="s">
        <v>161</v>
      </c>
      <c r="G39" s="11" t="n">
        <v>0</v>
      </c>
      <c r="H39" s="34" t="n">
        <v>30</v>
      </c>
      <c r="I39" s="34" t="n">
        <v>30</v>
      </c>
      <c r="J39" s="34" t="n">
        <v>0</v>
      </c>
      <c r="K39" s="34" t="n">
        <v>0</v>
      </c>
      <c r="L39" s="11" t="s">
        <v>252</v>
      </c>
      <c r="M39" s="11" t="s">
        <v>1250</v>
      </c>
      <c r="N39" s="11" t="s">
        <v>1262</v>
      </c>
      <c r="O39" s="11"/>
      <c r="P39" s="11"/>
      <c r="Q39" s="25" t="n">
        <f aca="false">SUMIFS('Commentary drivers'!$D:$D,'Commentary drivers'!$A:$A,A39)</f>
        <v>0</v>
      </c>
      <c r="R39" s="25" t="n">
        <f aca="false">SUMIFS('Commentary drivers'!$E:$E,'Commentary drivers'!$A:$A,A39)</f>
        <v>0</v>
      </c>
      <c r="S39" s="49" t="str">
        <f aca="false">IF(AND(ROUND(Q39-J39,4)=0,ROUND(R39-K39,1)=0),"✓","✗")</f>
        <v>✓</v>
      </c>
    </row>
    <row r="40" customFormat="false" ht="15" hidden="false" customHeight="false" outlineLevel="0" collapsed="false">
      <c r="A40" s="11" t="s">
        <v>1330</v>
      </c>
      <c r="B40" s="11" t="s">
        <v>25</v>
      </c>
      <c r="C40" s="11" t="s">
        <v>26</v>
      </c>
      <c r="D40" s="11" t="s">
        <v>1248</v>
      </c>
      <c r="E40" s="11" t="s">
        <v>1331</v>
      </c>
      <c r="F40" s="11" t="s">
        <v>162</v>
      </c>
      <c r="G40" s="11" t="n">
        <v>0</v>
      </c>
      <c r="H40" s="34" t="n">
        <v>200</v>
      </c>
      <c r="I40" s="34" t="n">
        <v>234.201</v>
      </c>
      <c r="J40" s="34" t="n">
        <v>-34.201</v>
      </c>
      <c r="K40" s="34" t="n">
        <v>-34.2</v>
      </c>
      <c r="L40" s="11" t="s">
        <v>253</v>
      </c>
      <c r="M40" s="11" t="s">
        <v>1250</v>
      </c>
      <c r="N40" s="11" t="s">
        <v>1251</v>
      </c>
      <c r="O40" s="11" t="s">
        <v>1252</v>
      </c>
      <c r="P40" s="11" t="s">
        <v>1253</v>
      </c>
      <c r="Q40" s="25" t="n">
        <f aca="false">SUMIFS('Commentary drivers'!$D:$D,'Commentary drivers'!$A:$A,A40)</f>
        <v>-34.201</v>
      </c>
      <c r="R40" s="25" t="n">
        <f aca="false">SUMIFS('Commentary drivers'!$E:$E,'Commentary drivers'!$A:$A,A40)</f>
        <v>-34.2</v>
      </c>
      <c r="S40" s="49" t="str">
        <f aca="false">IF(AND(ROUND(Q40-J40,4)=0,ROUND(R40-K40,1)=0),"✓","✗")</f>
        <v>✓</v>
      </c>
    </row>
    <row r="41" customFormat="false" ht="15" hidden="false" customHeight="false" outlineLevel="0" collapsed="false">
      <c r="A41" s="11" t="s">
        <v>1332</v>
      </c>
      <c r="B41" s="11" t="s">
        <v>25</v>
      </c>
      <c r="C41" s="11" t="s">
        <v>26</v>
      </c>
      <c r="D41" s="11" t="s">
        <v>1248</v>
      </c>
      <c r="E41" s="11" t="s">
        <v>1333</v>
      </c>
      <c r="F41" s="11" t="s">
        <v>126</v>
      </c>
      <c r="G41" s="11" t="n">
        <v>0</v>
      </c>
      <c r="H41" s="34" t="n">
        <v>40</v>
      </c>
      <c r="I41" s="34" t="n">
        <v>35</v>
      </c>
      <c r="J41" s="34" t="n">
        <v>5</v>
      </c>
      <c r="K41" s="34" t="n">
        <v>5</v>
      </c>
      <c r="L41" s="11" t="s">
        <v>254</v>
      </c>
      <c r="M41" s="11" t="s">
        <v>1250</v>
      </c>
      <c r="N41" s="11" t="s">
        <v>1251</v>
      </c>
      <c r="O41" s="11" t="s">
        <v>1252</v>
      </c>
      <c r="P41" s="11" t="s">
        <v>1253</v>
      </c>
      <c r="Q41" s="25" t="n">
        <f aca="false">SUMIFS('Commentary drivers'!$D:$D,'Commentary drivers'!$A:$A,A41)</f>
        <v>5</v>
      </c>
      <c r="R41" s="25" t="n">
        <f aca="false">SUMIFS('Commentary drivers'!$E:$E,'Commentary drivers'!$A:$A,A41)</f>
        <v>5</v>
      </c>
      <c r="S41" s="49" t="str">
        <f aca="false">IF(AND(ROUND(Q41-J41,4)=0,ROUND(R41-K41,1)=0),"✓","✗")</f>
        <v>✓</v>
      </c>
    </row>
    <row r="42" customFormat="false" ht="15" hidden="false" customHeight="false" outlineLevel="0" collapsed="false">
      <c r="A42" s="11" t="s">
        <v>1334</v>
      </c>
      <c r="B42" s="11" t="s">
        <v>25</v>
      </c>
      <c r="C42" s="11" t="s">
        <v>26</v>
      </c>
      <c r="D42" s="11" t="s">
        <v>1248</v>
      </c>
      <c r="E42" s="11" t="s">
        <v>1335</v>
      </c>
      <c r="F42" s="11" t="s">
        <v>97</v>
      </c>
      <c r="G42" s="11" t="n">
        <v>0</v>
      </c>
      <c r="H42" s="34" t="n">
        <v>160</v>
      </c>
      <c r="I42" s="34" t="n">
        <v>199.201</v>
      </c>
      <c r="J42" s="34" t="n">
        <v>-39.201</v>
      </c>
      <c r="K42" s="34" t="n">
        <v>-39.2</v>
      </c>
      <c r="L42" s="11" t="s">
        <v>255</v>
      </c>
      <c r="M42" s="11" t="s">
        <v>1250</v>
      </c>
      <c r="N42" s="11" t="s">
        <v>1251</v>
      </c>
      <c r="O42" s="11" t="s">
        <v>1252</v>
      </c>
      <c r="P42" s="11" t="s">
        <v>1253</v>
      </c>
      <c r="Q42" s="25" t="n">
        <f aca="false">SUMIFS('Commentary drivers'!$D:$D,'Commentary drivers'!$A:$A,A42)</f>
        <v>-39.201</v>
      </c>
      <c r="R42" s="25" t="n">
        <f aca="false">SUMIFS('Commentary drivers'!$E:$E,'Commentary drivers'!$A:$A,A42)</f>
        <v>-39.2</v>
      </c>
      <c r="S42" s="49" t="str">
        <f aca="false">IF(AND(ROUND(Q42-J42,4)=0,ROUND(R42-K42,1)=0),"✓","✗")</f>
        <v>✓</v>
      </c>
    </row>
    <row r="43" customFormat="false" ht="15" hidden="false" customHeight="false" outlineLevel="0" collapsed="false">
      <c r="A43" s="11" t="s">
        <v>1336</v>
      </c>
      <c r="B43" s="11" t="s">
        <v>25</v>
      </c>
      <c r="C43" s="11" t="s">
        <v>26</v>
      </c>
      <c r="D43" s="11" t="s">
        <v>1337</v>
      </c>
      <c r="E43" s="11" t="s">
        <v>1338</v>
      </c>
      <c r="F43" s="11" t="s">
        <v>153</v>
      </c>
      <c r="G43" s="11" t="n">
        <v>0</v>
      </c>
      <c r="H43" s="34" t="n">
        <v>1800</v>
      </c>
      <c r="I43" s="34" t="n">
        <v>1776.527</v>
      </c>
      <c r="J43" s="34" t="n">
        <v>23.473</v>
      </c>
      <c r="K43" s="34" t="n">
        <v>23.5</v>
      </c>
      <c r="L43" s="11" t="s">
        <v>179</v>
      </c>
      <c r="M43" s="11" t="s">
        <v>1250</v>
      </c>
      <c r="N43" s="11" t="s">
        <v>1251</v>
      </c>
      <c r="O43" s="11" t="s">
        <v>1252</v>
      </c>
      <c r="P43" s="11" t="s">
        <v>1253</v>
      </c>
      <c r="Q43" s="25" t="n">
        <f aca="false">SUMIFS('Commentary drivers'!$D:$D,'Commentary drivers'!$A:$A,A43)</f>
        <v>23.473</v>
      </c>
      <c r="R43" s="25" t="n">
        <f aca="false">SUMIFS('Commentary drivers'!$E:$E,'Commentary drivers'!$A:$A,A43)</f>
        <v>23.5</v>
      </c>
      <c r="S43" s="49" t="str">
        <f aca="false">IF(AND(ROUND(Q43-J43,4)=0,ROUND(R43-K43,1)=0),"✓","✗")</f>
        <v>✓</v>
      </c>
    </row>
    <row r="44" customFormat="false" ht="15" hidden="false" customHeight="false" outlineLevel="0" collapsed="false">
      <c r="A44" s="11" t="s">
        <v>1339</v>
      </c>
      <c r="B44" s="11" t="s">
        <v>25</v>
      </c>
      <c r="C44" s="11" t="s">
        <v>26</v>
      </c>
      <c r="D44" s="11" t="s">
        <v>1337</v>
      </c>
      <c r="E44" s="11" t="s">
        <v>1340</v>
      </c>
      <c r="F44" s="11" t="s">
        <v>154</v>
      </c>
      <c r="G44" s="11" t="n">
        <v>0</v>
      </c>
      <c r="H44" s="34" t="n">
        <v>200</v>
      </c>
      <c r="I44" s="34" t="n">
        <v>215</v>
      </c>
      <c r="J44" s="34" t="n">
        <v>-15</v>
      </c>
      <c r="K44" s="34" t="n">
        <v>-15</v>
      </c>
      <c r="L44" s="11" t="s">
        <v>183</v>
      </c>
      <c r="M44" s="11" t="s">
        <v>1250</v>
      </c>
      <c r="N44" s="11" t="s">
        <v>1251</v>
      </c>
      <c r="O44" s="11" t="s">
        <v>1252</v>
      </c>
      <c r="P44" s="11" t="s">
        <v>1253</v>
      </c>
      <c r="Q44" s="25" t="n">
        <f aca="false">SUMIFS('Commentary drivers'!$D:$D,'Commentary drivers'!$A:$A,A44)</f>
        <v>-15</v>
      </c>
      <c r="R44" s="25" t="n">
        <f aca="false">SUMIFS('Commentary drivers'!$E:$E,'Commentary drivers'!$A:$A,A44)</f>
        <v>-15</v>
      </c>
      <c r="S44" s="49" t="str">
        <f aca="false">IF(AND(ROUND(Q44-J44,4)=0,ROUND(R44-K44,1)=0),"✓","✗")</f>
        <v>✓</v>
      </c>
    </row>
    <row r="45" customFormat="false" ht="15" hidden="false" customHeight="false" outlineLevel="0" collapsed="false">
      <c r="A45" s="11" t="s">
        <v>1341</v>
      </c>
      <c r="B45" s="11" t="s">
        <v>25</v>
      </c>
      <c r="C45" s="11" t="s">
        <v>26</v>
      </c>
      <c r="D45" s="11" t="s">
        <v>1337</v>
      </c>
      <c r="E45" s="11" t="s">
        <v>1342</v>
      </c>
      <c r="F45" s="11" t="s">
        <v>91</v>
      </c>
      <c r="G45" s="11" t="n">
        <v>0</v>
      </c>
      <c r="H45" s="34" t="n">
        <v>2000</v>
      </c>
      <c r="I45" s="34" t="n">
        <v>1991.527</v>
      </c>
      <c r="J45" s="34" t="n">
        <v>8.473</v>
      </c>
      <c r="K45" s="34" t="n">
        <v>8.5</v>
      </c>
      <c r="L45" s="11" t="s">
        <v>185</v>
      </c>
      <c r="M45" s="11" t="s">
        <v>1250</v>
      </c>
      <c r="N45" s="11" t="s">
        <v>1251</v>
      </c>
      <c r="O45" s="11" t="s">
        <v>1252</v>
      </c>
      <c r="P45" s="11" t="s">
        <v>1253</v>
      </c>
      <c r="Q45" s="25" t="n">
        <f aca="false">SUMIFS('Commentary drivers'!$D:$D,'Commentary drivers'!$A:$A,A45)</f>
        <v>8.473</v>
      </c>
      <c r="R45" s="25" t="n">
        <f aca="false">SUMIFS('Commentary drivers'!$E:$E,'Commentary drivers'!$A:$A,A45)</f>
        <v>8.5</v>
      </c>
      <c r="S45" s="49" t="str">
        <f aca="false">IF(AND(ROUND(Q45-J45,4)=0,ROUND(R45-K45,1)=0),"✓","✗")</f>
        <v>✓</v>
      </c>
    </row>
    <row r="46" customFormat="false" ht="15" hidden="false" customHeight="false" outlineLevel="0" collapsed="false">
      <c r="A46" s="11" t="s">
        <v>1343</v>
      </c>
      <c r="B46" s="11" t="s">
        <v>25</v>
      </c>
      <c r="C46" s="11" t="s">
        <v>26</v>
      </c>
      <c r="D46" s="11" t="s">
        <v>1337</v>
      </c>
      <c r="E46" s="11" t="s">
        <v>1344</v>
      </c>
      <c r="F46" s="11" t="s">
        <v>164</v>
      </c>
      <c r="G46" s="11" t="n">
        <v>0</v>
      </c>
      <c r="H46" s="34" t="n">
        <v>544</v>
      </c>
      <c r="I46" s="34" t="n">
        <v>518.18718</v>
      </c>
      <c r="J46" s="34" t="n">
        <v>25.81282</v>
      </c>
      <c r="K46" s="34" t="n">
        <v>25.8</v>
      </c>
      <c r="L46" s="11" t="s">
        <v>256</v>
      </c>
      <c r="M46" s="11" t="s">
        <v>1250</v>
      </c>
      <c r="N46" s="11" t="s">
        <v>1251</v>
      </c>
      <c r="O46" s="11" t="s">
        <v>1252</v>
      </c>
      <c r="P46" s="11" t="s">
        <v>1253</v>
      </c>
      <c r="Q46" s="25" t="n">
        <f aca="false">SUMIFS('Commentary drivers'!$D:$D,'Commentary drivers'!$A:$A,A46)</f>
        <v>25.81282</v>
      </c>
      <c r="R46" s="25" t="n">
        <f aca="false">SUMIFS('Commentary drivers'!$E:$E,'Commentary drivers'!$A:$A,A46)</f>
        <v>25.8</v>
      </c>
      <c r="S46" s="49" t="str">
        <f aca="false">IF(AND(ROUND(Q46-J46,4)=0,ROUND(R46-K46,1)=0),"✓","✗")</f>
        <v>✓</v>
      </c>
    </row>
    <row r="47" customFormat="false" ht="15" hidden="false" customHeight="false" outlineLevel="0" collapsed="false">
      <c r="A47" s="11" t="s">
        <v>1345</v>
      </c>
      <c r="B47" s="11" t="s">
        <v>25</v>
      </c>
      <c r="C47" s="11" t="s">
        <v>26</v>
      </c>
      <c r="D47" s="11" t="s">
        <v>1337</v>
      </c>
      <c r="E47" s="11" t="s">
        <v>1346</v>
      </c>
      <c r="F47" s="11" t="s">
        <v>257</v>
      </c>
      <c r="G47" s="11" t="n">
        <v>1</v>
      </c>
      <c r="H47" s="34" t="n">
        <v>140</v>
      </c>
      <c r="I47" s="34" t="n">
        <v>136</v>
      </c>
      <c r="J47" s="34" t="n">
        <v>4</v>
      </c>
      <c r="K47" s="34" t="n">
        <v>4</v>
      </c>
      <c r="L47" s="11" t="s">
        <v>258</v>
      </c>
      <c r="M47" s="11" t="s">
        <v>1250</v>
      </c>
      <c r="N47" s="11" t="s">
        <v>1262</v>
      </c>
      <c r="O47" s="11"/>
      <c r="P47" s="11"/>
      <c r="Q47" s="25" t="n">
        <f aca="false">SUMIFS('Commentary drivers'!$D:$D,'Commentary drivers'!$A:$A,A47)</f>
        <v>4</v>
      </c>
      <c r="R47" s="25" t="n">
        <f aca="false">SUMIFS('Commentary drivers'!$E:$E,'Commentary drivers'!$A:$A,A47)</f>
        <v>4</v>
      </c>
      <c r="S47" s="49" t="str">
        <f aca="false">IF(AND(ROUND(Q47-J47,4)=0,ROUND(R47-K47,1)=0),"✓","✗")</f>
        <v>✓</v>
      </c>
    </row>
    <row r="48" customFormat="false" ht="15" hidden="false" customHeight="false" outlineLevel="0" collapsed="false">
      <c r="A48" s="11" t="s">
        <v>1347</v>
      </c>
      <c r="B48" s="11" t="s">
        <v>25</v>
      </c>
      <c r="C48" s="11" t="s">
        <v>26</v>
      </c>
      <c r="D48" s="11" t="s">
        <v>1337</v>
      </c>
      <c r="E48" s="11" t="s">
        <v>1348</v>
      </c>
      <c r="F48" s="11" t="s">
        <v>259</v>
      </c>
      <c r="G48" s="11" t="n">
        <v>1</v>
      </c>
      <c r="H48" s="34" t="n">
        <v>100</v>
      </c>
      <c r="I48" s="34" t="n">
        <v>93.01775</v>
      </c>
      <c r="J48" s="34" t="n">
        <v>6.98225</v>
      </c>
      <c r="K48" s="34" t="n">
        <v>7</v>
      </c>
      <c r="L48" s="11" t="s">
        <v>260</v>
      </c>
      <c r="M48" s="11" t="s">
        <v>1250</v>
      </c>
      <c r="N48" s="11" t="s">
        <v>1262</v>
      </c>
      <c r="O48" s="11"/>
      <c r="P48" s="11"/>
      <c r="Q48" s="25" t="n">
        <f aca="false">SUMIFS('Commentary drivers'!$D:$D,'Commentary drivers'!$A:$A,A48)</f>
        <v>6.98225</v>
      </c>
      <c r="R48" s="25" t="n">
        <f aca="false">SUMIFS('Commentary drivers'!$E:$E,'Commentary drivers'!$A:$A,A48)</f>
        <v>7</v>
      </c>
      <c r="S48" s="49" t="str">
        <f aca="false">IF(AND(ROUND(Q48-J48,4)=0,ROUND(R48-K48,1)=0),"✓","✗")</f>
        <v>✓</v>
      </c>
    </row>
    <row r="49" customFormat="false" ht="15" hidden="false" customHeight="false" outlineLevel="0" collapsed="false">
      <c r="A49" s="11" t="s">
        <v>1349</v>
      </c>
      <c r="B49" s="11" t="s">
        <v>25</v>
      </c>
      <c r="C49" s="11" t="s">
        <v>26</v>
      </c>
      <c r="D49" s="11" t="s">
        <v>1337</v>
      </c>
      <c r="E49" s="11" t="s">
        <v>1350</v>
      </c>
      <c r="F49" s="11" t="s">
        <v>261</v>
      </c>
      <c r="G49" s="11" t="n">
        <v>1</v>
      </c>
      <c r="H49" s="34" t="n">
        <v>160</v>
      </c>
      <c r="I49" s="34" t="n">
        <v>144.269</v>
      </c>
      <c r="J49" s="34" t="n">
        <v>15.731</v>
      </c>
      <c r="K49" s="34" t="n">
        <v>15.7</v>
      </c>
      <c r="L49" s="11" t="s">
        <v>262</v>
      </c>
      <c r="M49" s="11" t="s">
        <v>1250</v>
      </c>
      <c r="N49" s="11" t="s">
        <v>1251</v>
      </c>
      <c r="O49" s="11" t="s">
        <v>1252</v>
      </c>
      <c r="P49" s="11" t="s">
        <v>1253</v>
      </c>
      <c r="Q49" s="25" t="n">
        <f aca="false">SUMIFS('Commentary drivers'!$D:$D,'Commentary drivers'!$A:$A,A49)</f>
        <v>15.731</v>
      </c>
      <c r="R49" s="25" t="n">
        <f aca="false">SUMIFS('Commentary drivers'!$E:$E,'Commentary drivers'!$A:$A,A49)</f>
        <v>15.7</v>
      </c>
      <c r="S49" s="49" t="str">
        <f aca="false">IF(AND(ROUND(Q49-J49,4)=0,ROUND(R49-K49,1)=0),"✓","✗")</f>
        <v>✓</v>
      </c>
    </row>
    <row r="50" customFormat="false" ht="15" hidden="false" customHeight="false" outlineLevel="0" collapsed="false">
      <c r="A50" s="11" t="s">
        <v>1351</v>
      </c>
      <c r="B50" s="11" t="s">
        <v>25</v>
      </c>
      <c r="C50" s="11" t="s">
        <v>26</v>
      </c>
      <c r="D50" s="11" t="s">
        <v>1337</v>
      </c>
      <c r="E50" s="11" t="s">
        <v>1352</v>
      </c>
      <c r="F50" s="11" t="s">
        <v>263</v>
      </c>
      <c r="G50" s="11" t="n">
        <v>1</v>
      </c>
      <c r="H50" s="34" t="n">
        <v>84</v>
      </c>
      <c r="I50" s="34" t="n">
        <v>88.5871</v>
      </c>
      <c r="J50" s="34" t="n">
        <v>-4.5871</v>
      </c>
      <c r="K50" s="34" t="n">
        <v>-4.6</v>
      </c>
      <c r="L50" s="11" t="s">
        <v>264</v>
      </c>
      <c r="M50" s="11" t="s">
        <v>1250</v>
      </c>
      <c r="N50" s="11" t="s">
        <v>1262</v>
      </c>
      <c r="O50" s="11"/>
      <c r="P50" s="11"/>
      <c r="Q50" s="25" t="n">
        <f aca="false">SUMIFS('Commentary drivers'!$D:$D,'Commentary drivers'!$A:$A,A50)</f>
        <v>-4.5871</v>
      </c>
      <c r="R50" s="25" t="n">
        <f aca="false">SUMIFS('Commentary drivers'!$E:$E,'Commentary drivers'!$A:$A,A50)</f>
        <v>-4.6</v>
      </c>
      <c r="S50" s="49" t="str">
        <f aca="false">IF(AND(ROUND(Q50-J50,4)=0,ROUND(R50-K50,1)=0),"✓","✗")</f>
        <v>✓</v>
      </c>
    </row>
    <row r="51" customFormat="false" ht="15" hidden="false" customHeight="false" outlineLevel="0" collapsed="false">
      <c r="A51" s="11" t="s">
        <v>1353</v>
      </c>
      <c r="B51" s="11" t="s">
        <v>25</v>
      </c>
      <c r="C51" s="11" t="s">
        <v>26</v>
      </c>
      <c r="D51" s="11" t="s">
        <v>1337</v>
      </c>
      <c r="E51" s="11" t="s">
        <v>1354</v>
      </c>
      <c r="F51" s="11" t="s">
        <v>265</v>
      </c>
      <c r="G51" s="11" t="n">
        <v>1</v>
      </c>
      <c r="H51" s="34" t="n">
        <v>20</v>
      </c>
      <c r="I51" s="34" t="n">
        <v>17.48</v>
      </c>
      <c r="J51" s="34" t="n">
        <v>2.52</v>
      </c>
      <c r="K51" s="34" t="n">
        <v>2.5</v>
      </c>
      <c r="L51" s="11" t="s">
        <v>266</v>
      </c>
      <c r="M51" s="11" t="s">
        <v>1250</v>
      </c>
      <c r="N51" s="11" t="s">
        <v>1251</v>
      </c>
      <c r="O51" s="11" t="s">
        <v>1252</v>
      </c>
      <c r="P51" s="11" t="s">
        <v>1253</v>
      </c>
      <c r="Q51" s="25" t="n">
        <f aca="false">SUMIFS('Commentary drivers'!$D:$D,'Commentary drivers'!$A:$A,A51)</f>
        <v>2.52</v>
      </c>
      <c r="R51" s="25" t="n">
        <f aca="false">SUMIFS('Commentary drivers'!$E:$E,'Commentary drivers'!$A:$A,A51)</f>
        <v>2.5</v>
      </c>
      <c r="S51" s="49" t="str">
        <f aca="false">IF(AND(ROUND(Q51-J51,4)=0,ROUND(R51-K51,1)=0),"✓","✗")</f>
        <v>✓</v>
      </c>
    </row>
    <row r="52" customFormat="false" ht="15" hidden="false" customHeight="false" outlineLevel="0" collapsed="false">
      <c r="A52" s="11" t="s">
        <v>1355</v>
      </c>
      <c r="B52" s="11" t="s">
        <v>25</v>
      </c>
      <c r="C52" s="11" t="s">
        <v>26</v>
      </c>
      <c r="D52" s="11" t="s">
        <v>1337</v>
      </c>
      <c r="E52" s="11" t="s">
        <v>1356</v>
      </c>
      <c r="F52" s="11" t="s">
        <v>267</v>
      </c>
      <c r="G52" s="11" t="n">
        <v>1</v>
      </c>
      <c r="H52" s="34" t="n">
        <v>20</v>
      </c>
      <c r="I52" s="34" t="n">
        <v>19.33333</v>
      </c>
      <c r="J52" s="34" t="n">
        <v>0.66667</v>
      </c>
      <c r="K52" s="34" t="n">
        <v>0.7</v>
      </c>
      <c r="L52" s="11" t="s">
        <v>268</v>
      </c>
      <c r="M52" s="11" t="s">
        <v>1250</v>
      </c>
      <c r="N52" s="11" t="s">
        <v>1262</v>
      </c>
      <c r="O52" s="11"/>
      <c r="P52" s="11"/>
      <c r="Q52" s="25" t="n">
        <f aca="false">SUMIFS('Commentary drivers'!$D:$D,'Commentary drivers'!$A:$A,A52)</f>
        <v>0.66667</v>
      </c>
      <c r="R52" s="25" t="n">
        <f aca="false">SUMIFS('Commentary drivers'!$E:$E,'Commentary drivers'!$A:$A,A52)</f>
        <v>0.7</v>
      </c>
      <c r="S52" s="49" t="str">
        <f aca="false">IF(AND(ROUND(Q52-J52,4)=0,ROUND(R52-K52,1)=0),"✓","✗")</f>
        <v>✓</v>
      </c>
    </row>
    <row r="53" customFormat="false" ht="15" hidden="false" customHeight="false" outlineLevel="0" collapsed="false">
      <c r="A53" s="11" t="s">
        <v>1357</v>
      </c>
      <c r="B53" s="11" t="s">
        <v>25</v>
      </c>
      <c r="C53" s="11" t="s">
        <v>26</v>
      </c>
      <c r="D53" s="11" t="s">
        <v>1337</v>
      </c>
      <c r="E53" s="11" t="s">
        <v>1358</v>
      </c>
      <c r="F53" s="11" t="s">
        <v>269</v>
      </c>
      <c r="G53" s="11" t="n">
        <v>1</v>
      </c>
      <c r="H53" s="34" t="n">
        <v>20</v>
      </c>
      <c r="I53" s="34" t="n">
        <v>19.5</v>
      </c>
      <c r="J53" s="34" t="n">
        <v>0.5</v>
      </c>
      <c r="K53" s="34" t="n">
        <v>0.5</v>
      </c>
      <c r="L53" s="11" t="s">
        <v>270</v>
      </c>
      <c r="M53" s="11" t="s">
        <v>1250</v>
      </c>
      <c r="N53" s="11" t="s">
        <v>1262</v>
      </c>
      <c r="O53" s="11"/>
      <c r="P53" s="11"/>
      <c r="Q53" s="25" t="n">
        <f aca="false">SUMIFS('Commentary drivers'!$D:$D,'Commentary drivers'!$A:$A,A53)</f>
        <v>0.5</v>
      </c>
      <c r="R53" s="25" t="n">
        <f aca="false">SUMIFS('Commentary drivers'!$E:$E,'Commentary drivers'!$A:$A,A53)</f>
        <v>0.5</v>
      </c>
      <c r="S53" s="49" t="str">
        <f aca="false">IF(AND(ROUND(Q53-J53,4)=0,ROUND(R53-K53,1)=0),"✓","✗")</f>
        <v>✓</v>
      </c>
    </row>
    <row r="54" customFormat="false" ht="15" hidden="false" customHeight="false" outlineLevel="0" collapsed="false">
      <c r="A54" s="11" t="s">
        <v>1359</v>
      </c>
      <c r="B54" s="11" t="s">
        <v>25</v>
      </c>
      <c r="C54" s="11" t="s">
        <v>26</v>
      </c>
      <c r="D54" s="11" t="s">
        <v>1337</v>
      </c>
      <c r="E54" s="11" t="s">
        <v>1360</v>
      </c>
      <c r="F54" s="11" t="s">
        <v>165</v>
      </c>
      <c r="G54" s="11" t="n">
        <v>0</v>
      </c>
      <c r="H54" s="34" t="n">
        <v>120</v>
      </c>
      <c r="I54" s="34" t="n">
        <v>119.112</v>
      </c>
      <c r="J54" s="34" t="n">
        <v>0.888</v>
      </c>
      <c r="K54" s="34" t="n">
        <v>0.9</v>
      </c>
      <c r="L54" s="11" t="s">
        <v>271</v>
      </c>
      <c r="M54" s="11" t="s">
        <v>1250</v>
      </c>
      <c r="N54" s="11" t="s">
        <v>1251</v>
      </c>
      <c r="O54" s="11" t="s">
        <v>1252</v>
      </c>
      <c r="P54" s="11" t="s">
        <v>1253</v>
      </c>
      <c r="Q54" s="25" t="n">
        <f aca="false">SUMIFS('Commentary drivers'!$D:$D,'Commentary drivers'!$A:$A,A54)</f>
        <v>0.888</v>
      </c>
      <c r="R54" s="25" t="n">
        <f aca="false">SUMIFS('Commentary drivers'!$E:$E,'Commentary drivers'!$A:$A,A54)</f>
        <v>0.9</v>
      </c>
      <c r="S54" s="49" t="str">
        <f aca="false">IF(AND(ROUND(Q54-J54,4)=0,ROUND(R54-K54,1)=0),"✓","✗")</f>
        <v>✓</v>
      </c>
    </row>
    <row r="55" customFormat="false" ht="15" hidden="false" customHeight="false" outlineLevel="0" collapsed="false">
      <c r="A55" s="11" t="s">
        <v>1361</v>
      </c>
      <c r="B55" s="11" t="s">
        <v>25</v>
      </c>
      <c r="C55" s="11" t="s">
        <v>26</v>
      </c>
      <c r="D55" s="11" t="s">
        <v>1337</v>
      </c>
      <c r="E55" s="11" t="s">
        <v>1362</v>
      </c>
      <c r="F55" s="11" t="s">
        <v>272</v>
      </c>
      <c r="G55" s="11" t="n">
        <v>1</v>
      </c>
      <c r="H55" s="34" t="n">
        <v>120</v>
      </c>
      <c r="I55" s="34" t="n">
        <v>119.112</v>
      </c>
      <c r="J55" s="34" t="n">
        <v>0.888</v>
      </c>
      <c r="K55" s="34" t="n">
        <v>0.9</v>
      </c>
      <c r="L55" s="11" t="s">
        <v>273</v>
      </c>
      <c r="M55" s="11" t="s">
        <v>1250</v>
      </c>
      <c r="N55" s="11" t="s">
        <v>1262</v>
      </c>
      <c r="O55" s="11"/>
      <c r="P55" s="11"/>
      <c r="Q55" s="25" t="n">
        <f aca="false">SUMIFS('Commentary drivers'!$D:$D,'Commentary drivers'!$A:$A,A55)</f>
        <v>0.888</v>
      </c>
      <c r="R55" s="25" t="n">
        <f aca="false">SUMIFS('Commentary drivers'!$E:$E,'Commentary drivers'!$A:$A,A55)</f>
        <v>0.9</v>
      </c>
      <c r="S55" s="49" t="str">
        <f aca="false">IF(AND(ROUND(Q55-J55,4)=0,ROUND(R55-K55,1)=0),"✓","✗")</f>
        <v>✓</v>
      </c>
    </row>
    <row r="56" customFormat="false" ht="15" hidden="false" customHeight="false" outlineLevel="0" collapsed="false">
      <c r="A56" s="11" t="s">
        <v>1363</v>
      </c>
      <c r="B56" s="11" t="s">
        <v>25</v>
      </c>
      <c r="C56" s="11" t="s">
        <v>26</v>
      </c>
      <c r="D56" s="11" t="s">
        <v>1337</v>
      </c>
      <c r="E56" s="11" t="s">
        <v>1364</v>
      </c>
      <c r="F56" s="11" t="s">
        <v>166</v>
      </c>
      <c r="G56" s="11" t="n">
        <v>0</v>
      </c>
      <c r="H56" s="34" t="n">
        <v>664</v>
      </c>
      <c r="I56" s="34" t="n">
        <v>637.29918</v>
      </c>
      <c r="J56" s="34" t="n">
        <v>26.70082</v>
      </c>
      <c r="K56" s="34" t="n">
        <v>26.7</v>
      </c>
      <c r="L56" s="11" t="s">
        <v>274</v>
      </c>
      <c r="M56" s="11" t="s">
        <v>1250</v>
      </c>
      <c r="N56" s="11" t="s">
        <v>1251</v>
      </c>
      <c r="O56" s="11" t="s">
        <v>1252</v>
      </c>
      <c r="P56" s="11" t="s">
        <v>1253</v>
      </c>
      <c r="Q56" s="25" t="n">
        <f aca="false">SUMIFS('Commentary drivers'!$D:$D,'Commentary drivers'!$A:$A,A56)</f>
        <v>26.70082</v>
      </c>
      <c r="R56" s="25" t="n">
        <f aca="false">SUMIFS('Commentary drivers'!$E:$E,'Commentary drivers'!$A:$A,A56)</f>
        <v>26.7</v>
      </c>
      <c r="S56" s="49" t="str">
        <f aca="false">IF(AND(ROUND(Q56-J56,4)=0,ROUND(R56-K56,1)=0),"✓","✗")</f>
        <v>✓</v>
      </c>
    </row>
    <row r="57" customFormat="false" ht="15" hidden="false" customHeight="false" outlineLevel="0" collapsed="false">
      <c r="A57" s="11" t="s">
        <v>1365</v>
      </c>
      <c r="B57" s="11" t="s">
        <v>25</v>
      </c>
      <c r="C57" s="11" t="s">
        <v>26</v>
      </c>
      <c r="D57" s="11" t="s">
        <v>1337</v>
      </c>
      <c r="E57" s="11" t="s">
        <v>1366</v>
      </c>
      <c r="F57" s="11" t="s">
        <v>167</v>
      </c>
      <c r="G57" s="11" t="n">
        <v>0</v>
      </c>
      <c r="H57" s="34" t="n">
        <v>1336</v>
      </c>
      <c r="I57" s="34" t="n">
        <v>1354.22782</v>
      </c>
      <c r="J57" s="34" t="n">
        <v>-18.22782</v>
      </c>
      <c r="K57" s="34" t="n">
        <v>-18.2</v>
      </c>
      <c r="L57" s="11" t="s">
        <v>275</v>
      </c>
      <c r="M57" s="11" t="s">
        <v>1250</v>
      </c>
      <c r="N57" s="11" t="s">
        <v>1251</v>
      </c>
      <c r="O57" s="11" t="s">
        <v>1252</v>
      </c>
      <c r="P57" s="11" t="s">
        <v>1253</v>
      </c>
      <c r="Q57" s="25" t="n">
        <f aca="false">SUMIFS('Commentary drivers'!$D:$D,'Commentary drivers'!$A:$A,A57)</f>
        <v>-18.22782</v>
      </c>
      <c r="R57" s="25" t="n">
        <f aca="false">SUMIFS('Commentary drivers'!$E:$E,'Commentary drivers'!$A:$A,A57)</f>
        <v>-18.2</v>
      </c>
      <c r="S57" s="49" t="str">
        <f aca="false">IF(AND(ROUND(Q57-J57,4)=0,ROUND(R57-K57,1)=0),"✓","✗")</f>
        <v>✓</v>
      </c>
    </row>
    <row r="58" customFormat="false" ht="15" hidden="false" customHeight="false" outlineLevel="0" collapsed="false">
      <c r="A58" s="11" t="s">
        <v>1367</v>
      </c>
      <c r="B58" s="11" t="s">
        <v>25</v>
      </c>
      <c r="C58" s="11" t="s">
        <v>26</v>
      </c>
      <c r="D58" s="11" t="s">
        <v>1337</v>
      </c>
      <c r="E58" s="11" t="s">
        <v>1368</v>
      </c>
      <c r="F58" s="11" t="s">
        <v>168</v>
      </c>
      <c r="G58" s="11" t="n">
        <v>0</v>
      </c>
      <c r="H58" s="34" t="n">
        <v>436</v>
      </c>
      <c r="I58" s="34" t="n">
        <v>452.2869</v>
      </c>
      <c r="J58" s="34" t="n">
        <v>-16.2869</v>
      </c>
      <c r="K58" s="34" t="n">
        <v>-16.3</v>
      </c>
      <c r="L58" s="11" t="s">
        <v>276</v>
      </c>
      <c r="M58" s="11" t="s">
        <v>1250</v>
      </c>
      <c r="N58" s="11" t="s">
        <v>1251</v>
      </c>
      <c r="O58" s="11" t="s">
        <v>1252</v>
      </c>
      <c r="P58" s="11" t="s">
        <v>1253</v>
      </c>
      <c r="Q58" s="25" t="n">
        <f aca="false">SUMIFS('Commentary drivers'!$D:$D,'Commentary drivers'!$A:$A,A58)</f>
        <v>-16.2869</v>
      </c>
      <c r="R58" s="25" t="n">
        <f aca="false">SUMIFS('Commentary drivers'!$E:$E,'Commentary drivers'!$A:$A,A58)</f>
        <v>-16.3</v>
      </c>
      <c r="S58" s="49" t="str">
        <f aca="false">IF(AND(ROUND(Q58-J58,4)=0,ROUND(R58-K58,1)=0),"✓","✗")</f>
        <v>✓</v>
      </c>
    </row>
    <row r="59" customFormat="false" ht="15" hidden="false" customHeight="false" outlineLevel="0" collapsed="false">
      <c r="A59" s="11" t="s">
        <v>1369</v>
      </c>
      <c r="B59" s="11" t="s">
        <v>25</v>
      </c>
      <c r="C59" s="11" t="s">
        <v>26</v>
      </c>
      <c r="D59" s="11" t="s">
        <v>1337</v>
      </c>
      <c r="E59" s="11" t="s">
        <v>1370</v>
      </c>
      <c r="F59" s="11" t="s">
        <v>278</v>
      </c>
      <c r="G59" s="11" t="n">
        <v>1</v>
      </c>
      <c r="H59" s="34" t="n">
        <v>240</v>
      </c>
      <c r="I59" s="34" t="n">
        <v>225.321</v>
      </c>
      <c r="J59" s="34" t="n">
        <v>14.679</v>
      </c>
      <c r="K59" s="34" t="n">
        <v>14.7</v>
      </c>
      <c r="L59" s="11" t="s">
        <v>279</v>
      </c>
      <c r="M59" s="11" t="s">
        <v>1250</v>
      </c>
      <c r="N59" s="11" t="s">
        <v>1251</v>
      </c>
      <c r="O59" s="11" t="s">
        <v>1252</v>
      </c>
      <c r="P59" s="11" t="s">
        <v>1253</v>
      </c>
      <c r="Q59" s="25" t="n">
        <f aca="false">SUMIFS('Commentary drivers'!$D:$D,'Commentary drivers'!$A:$A,A59)</f>
        <v>14.679</v>
      </c>
      <c r="R59" s="25" t="n">
        <f aca="false">SUMIFS('Commentary drivers'!$E:$E,'Commentary drivers'!$A:$A,A59)</f>
        <v>14.7</v>
      </c>
      <c r="S59" s="49" t="str">
        <f aca="false">IF(AND(ROUND(Q59-J59,4)=0,ROUND(R59-K59,1)=0),"✓","✗")</f>
        <v>✓</v>
      </c>
    </row>
    <row r="60" customFormat="false" ht="15" hidden="false" customHeight="false" outlineLevel="0" collapsed="false">
      <c r="A60" s="11" t="s">
        <v>1371</v>
      </c>
      <c r="B60" s="11" t="s">
        <v>25</v>
      </c>
      <c r="C60" s="11" t="s">
        <v>26</v>
      </c>
      <c r="D60" s="11" t="s">
        <v>1337</v>
      </c>
      <c r="E60" s="11" t="s">
        <v>1372</v>
      </c>
      <c r="F60" s="11" t="s">
        <v>280</v>
      </c>
      <c r="G60" s="11" t="n">
        <v>1</v>
      </c>
      <c r="H60" s="34" t="n">
        <v>36</v>
      </c>
      <c r="I60" s="34" t="n">
        <v>37.9659</v>
      </c>
      <c r="J60" s="34" t="n">
        <v>-1.9659</v>
      </c>
      <c r="K60" s="34" t="n">
        <v>-2</v>
      </c>
      <c r="L60" s="11" t="s">
        <v>281</v>
      </c>
      <c r="M60" s="11" t="s">
        <v>1250</v>
      </c>
      <c r="N60" s="11" t="s">
        <v>1262</v>
      </c>
      <c r="O60" s="11"/>
      <c r="P60" s="11"/>
      <c r="Q60" s="25" t="n">
        <f aca="false">SUMIFS('Commentary drivers'!$D:$D,'Commentary drivers'!$A:$A,A60)</f>
        <v>-1.9659</v>
      </c>
      <c r="R60" s="25" t="n">
        <f aca="false">SUMIFS('Commentary drivers'!$E:$E,'Commentary drivers'!$A:$A,A60)</f>
        <v>-2</v>
      </c>
      <c r="S60" s="49" t="str">
        <f aca="false">IF(AND(ROUND(Q60-J60,4)=0,ROUND(R60-K60,1)=0),"✓","✗")</f>
        <v>✓</v>
      </c>
    </row>
    <row r="61" customFormat="false" ht="15" hidden="false" customHeight="false" outlineLevel="0" collapsed="false">
      <c r="A61" s="11" t="s">
        <v>1373</v>
      </c>
      <c r="B61" s="11" t="s">
        <v>25</v>
      </c>
      <c r="C61" s="11" t="s">
        <v>26</v>
      </c>
      <c r="D61" s="11" t="s">
        <v>1337</v>
      </c>
      <c r="E61" s="11" t="s">
        <v>1374</v>
      </c>
      <c r="F61" s="11" t="s">
        <v>282</v>
      </c>
      <c r="G61" s="11" t="n">
        <v>1</v>
      </c>
      <c r="H61" s="34" t="n">
        <v>100</v>
      </c>
      <c r="I61" s="34" t="n">
        <v>140</v>
      </c>
      <c r="J61" s="34" t="n">
        <v>-40</v>
      </c>
      <c r="K61" s="34" t="n">
        <v>-40</v>
      </c>
      <c r="L61" s="11" t="s">
        <v>283</v>
      </c>
      <c r="M61" s="11" t="s">
        <v>1250</v>
      </c>
      <c r="N61" s="11" t="s">
        <v>1251</v>
      </c>
      <c r="O61" s="11" t="s">
        <v>1252</v>
      </c>
      <c r="P61" s="11" t="s">
        <v>1253</v>
      </c>
      <c r="Q61" s="25" t="n">
        <f aca="false">SUMIFS('Commentary drivers'!$D:$D,'Commentary drivers'!$A:$A,A61)</f>
        <v>-40</v>
      </c>
      <c r="R61" s="25" t="n">
        <f aca="false">SUMIFS('Commentary drivers'!$E:$E,'Commentary drivers'!$A:$A,A61)</f>
        <v>-40</v>
      </c>
      <c r="S61" s="49" t="str">
        <f aca="false">IF(AND(ROUND(Q61-J61,4)=0,ROUND(R61-K61,1)=0),"✓","✗")</f>
        <v>✓</v>
      </c>
    </row>
    <row r="62" customFormat="false" ht="15" hidden="false" customHeight="false" outlineLevel="0" collapsed="false">
      <c r="A62" s="11" t="s">
        <v>1375</v>
      </c>
      <c r="B62" s="11" t="s">
        <v>25</v>
      </c>
      <c r="C62" s="11" t="s">
        <v>26</v>
      </c>
      <c r="D62" s="11" t="s">
        <v>1337</v>
      </c>
      <c r="E62" s="11" t="s">
        <v>1376</v>
      </c>
      <c r="F62" s="11" t="s">
        <v>284</v>
      </c>
      <c r="G62" s="11" t="n">
        <v>1</v>
      </c>
      <c r="H62" s="34" t="n">
        <v>40</v>
      </c>
      <c r="I62" s="34" t="n">
        <v>39</v>
      </c>
      <c r="J62" s="34" t="n">
        <v>1</v>
      </c>
      <c r="K62" s="34" t="n">
        <v>1</v>
      </c>
      <c r="L62" s="11" t="s">
        <v>285</v>
      </c>
      <c r="M62" s="11" t="s">
        <v>1250</v>
      </c>
      <c r="N62" s="11" t="s">
        <v>1262</v>
      </c>
      <c r="O62" s="11"/>
      <c r="P62" s="11"/>
      <c r="Q62" s="25" t="n">
        <f aca="false">SUMIFS('Commentary drivers'!$D:$D,'Commentary drivers'!$A:$A,A62)</f>
        <v>1</v>
      </c>
      <c r="R62" s="25" t="n">
        <f aca="false">SUMIFS('Commentary drivers'!$E:$E,'Commentary drivers'!$A:$A,A62)</f>
        <v>1</v>
      </c>
      <c r="S62" s="49" t="str">
        <f aca="false">IF(AND(ROUND(Q62-J62,4)=0,ROUND(R62-K62,1)=0),"✓","✗")</f>
        <v>✓</v>
      </c>
    </row>
    <row r="63" customFormat="false" ht="15" hidden="false" customHeight="false" outlineLevel="0" collapsed="false">
      <c r="A63" s="11" t="s">
        <v>1377</v>
      </c>
      <c r="B63" s="11" t="s">
        <v>25</v>
      </c>
      <c r="C63" s="11" t="s">
        <v>26</v>
      </c>
      <c r="D63" s="11" t="s">
        <v>1337</v>
      </c>
      <c r="E63" s="11" t="s">
        <v>1378</v>
      </c>
      <c r="F63" s="11" t="s">
        <v>286</v>
      </c>
      <c r="G63" s="11" t="n">
        <v>1</v>
      </c>
      <c r="H63" s="34" t="n">
        <v>20</v>
      </c>
      <c r="I63" s="34" t="n">
        <v>10</v>
      </c>
      <c r="J63" s="34" t="n">
        <v>10</v>
      </c>
      <c r="K63" s="34" t="n">
        <v>10</v>
      </c>
      <c r="L63" s="11" t="s">
        <v>287</v>
      </c>
      <c r="M63" s="11" t="s">
        <v>1250</v>
      </c>
      <c r="N63" s="11" t="s">
        <v>1251</v>
      </c>
      <c r="O63" s="11" t="s">
        <v>1252</v>
      </c>
      <c r="P63" s="11" t="s">
        <v>1253</v>
      </c>
      <c r="Q63" s="25" t="n">
        <f aca="false">SUMIFS('Commentary drivers'!$D:$D,'Commentary drivers'!$A:$A,A63)</f>
        <v>10</v>
      </c>
      <c r="R63" s="25" t="n">
        <f aca="false">SUMIFS('Commentary drivers'!$E:$E,'Commentary drivers'!$A:$A,A63)</f>
        <v>10</v>
      </c>
      <c r="S63" s="49" t="str">
        <f aca="false">IF(AND(ROUND(Q63-J63,4)=0,ROUND(R63-K63,1)=0),"✓","✗")</f>
        <v>✓</v>
      </c>
    </row>
    <row r="64" customFormat="false" ht="15" hidden="false" customHeight="false" outlineLevel="0" collapsed="false">
      <c r="A64" s="11" t="s">
        <v>1379</v>
      </c>
      <c r="B64" s="11" t="s">
        <v>25</v>
      </c>
      <c r="C64" s="11" t="s">
        <v>26</v>
      </c>
      <c r="D64" s="11" t="s">
        <v>1337</v>
      </c>
      <c r="E64" s="11" t="s">
        <v>1380</v>
      </c>
      <c r="F64" s="11" t="s">
        <v>169</v>
      </c>
      <c r="G64" s="11" t="n">
        <v>0</v>
      </c>
      <c r="H64" s="34" t="n">
        <v>900</v>
      </c>
      <c r="I64" s="34" t="n">
        <v>901.94092</v>
      </c>
      <c r="J64" s="34" t="n">
        <v>-1.94092</v>
      </c>
      <c r="K64" s="34" t="n">
        <v>-1.9</v>
      </c>
      <c r="L64" s="11" t="s">
        <v>288</v>
      </c>
      <c r="M64" s="11" t="s">
        <v>1250</v>
      </c>
      <c r="N64" s="11" t="s">
        <v>1251</v>
      </c>
      <c r="O64" s="11" t="s">
        <v>1252</v>
      </c>
      <c r="P64" s="11" t="s">
        <v>1253</v>
      </c>
      <c r="Q64" s="25" t="n">
        <f aca="false">SUMIFS('Commentary drivers'!$D:$D,'Commentary drivers'!$A:$A,A64)</f>
        <v>-1.94092</v>
      </c>
      <c r="R64" s="25" t="n">
        <f aca="false">SUMIFS('Commentary drivers'!$E:$E,'Commentary drivers'!$A:$A,A64)</f>
        <v>-1.9</v>
      </c>
      <c r="S64" s="49" t="str">
        <f aca="false">IF(AND(ROUND(Q64-J64,4)=0,ROUND(R64-K64,1)=0),"✓","✗")</f>
        <v>✓</v>
      </c>
    </row>
    <row r="65" customFormat="false" ht="15" hidden="false" customHeight="false" outlineLevel="0" collapsed="false">
      <c r="A65" s="11" t="s">
        <v>1381</v>
      </c>
      <c r="B65" s="11" t="s">
        <v>25</v>
      </c>
      <c r="C65" s="11" t="s">
        <v>26</v>
      </c>
      <c r="D65" s="11" t="s">
        <v>1337</v>
      </c>
      <c r="E65" s="11" t="s">
        <v>1382</v>
      </c>
      <c r="F65" s="11" t="s">
        <v>170</v>
      </c>
      <c r="G65" s="11" t="n">
        <v>0</v>
      </c>
      <c r="H65" s="34" t="n">
        <v>60</v>
      </c>
      <c r="I65" s="34" t="n">
        <v>59.18667</v>
      </c>
      <c r="J65" s="34" t="n">
        <v>0.81333</v>
      </c>
      <c r="K65" s="34" t="n">
        <v>0.8</v>
      </c>
      <c r="L65" s="11" t="s">
        <v>290</v>
      </c>
      <c r="M65" s="11" t="s">
        <v>1250</v>
      </c>
      <c r="N65" s="11" t="s">
        <v>1251</v>
      </c>
      <c r="O65" s="11" t="s">
        <v>1252</v>
      </c>
      <c r="P65" s="11" t="s">
        <v>1253</v>
      </c>
      <c r="Q65" s="25" t="n">
        <f aca="false">SUMIFS('Commentary drivers'!$D:$D,'Commentary drivers'!$A:$A,A65)</f>
        <v>0.81333</v>
      </c>
      <c r="R65" s="25" t="n">
        <f aca="false">SUMIFS('Commentary drivers'!$E:$E,'Commentary drivers'!$A:$A,A65)</f>
        <v>0.8</v>
      </c>
      <c r="S65" s="49" t="str">
        <f aca="false">IF(AND(ROUND(Q65-J65,4)=0,ROUND(R65-K65,1)=0),"✓","✗")</f>
        <v>✓</v>
      </c>
    </row>
    <row r="66" customFormat="false" ht="15" hidden="false" customHeight="false" outlineLevel="0" collapsed="false">
      <c r="A66" s="11" t="s">
        <v>1383</v>
      </c>
      <c r="B66" s="11" t="s">
        <v>25</v>
      </c>
      <c r="C66" s="11" t="s">
        <v>26</v>
      </c>
      <c r="D66" s="11" t="s">
        <v>1337</v>
      </c>
      <c r="E66" s="11" t="s">
        <v>1384</v>
      </c>
      <c r="F66" s="11" t="s">
        <v>265</v>
      </c>
      <c r="G66" s="11" t="n">
        <v>1</v>
      </c>
      <c r="H66" s="34" t="n">
        <v>30</v>
      </c>
      <c r="I66" s="34" t="n">
        <v>30.02</v>
      </c>
      <c r="J66" s="34" t="n">
        <v>-0.02</v>
      </c>
      <c r="K66" s="34" t="n">
        <v>0</v>
      </c>
      <c r="L66" s="11" t="s">
        <v>292</v>
      </c>
      <c r="M66" s="11" t="s">
        <v>1250</v>
      </c>
      <c r="N66" s="11" t="s">
        <v>1262</v>
      </c>
      <c r="O66" s="11"/>
      <c r="P66" s="11"/>
      <c r="Q66" s="25" t="n">
        <f aca="false">SUMIFS('Commentary drivers'!$D:$D,'Commentary drivers'!$A:$A,A66)</f>
        <v>-0.02</v>
      </c>
      <c r="R66" s="25" t="n">
        <f aca="false">SUMIFS('Commentary drivers'!$E:$E,'Commentary drivers'!$A:$A,A66)</f>
        <v>0</v>
      </c>
      <c r="S66" s="49" t="str">
        <f aca="false">IF(AND(ROUND(Q66-J66,4)=0,ROUND(R66-K66,1)=0),"✓","✗")</f>
        <v>✓</v>
      </c>
    </row>
    <row r="67" customFormat="false" ht="15" hidden="false" customHeight="false" outlineLevel="0" collapsed="false">
      <c r="A67" s="11" t="s">
        <v>1385</v>
      </c>
      <c r="B67" s="11" t="s">
        <v>25</v>
      </c>
      <c r="C67" s="11" t="s">
        <v>26</v>
      </c>
      <c r="D67" s="11" t="s">
        <v>1337</v>
      </c>
      <c r="E67" s="11" t="s">
        <v>1386</v>
      </c>
      <c r="F67" s="11" t="s">
        <v>267</v>
      </c>
      <c r="G67" s="11" t="n">
        <v>1</v>
      </c>
      <c r="H67" s="34" t="n">
        <v>10</v>
      </c>
      <c r="I67" s="34" t="n">
        <v>9.66667</v>
      </c>
      <c r="J67" s="34" t="n">
        <v>0.33333</v>
      </c>
      <c r="K67" s="34" t="n">
        <v>0.3</v>
      </c>
      <c r="L67" s="11" t="s">
        <v>294</v>
      </c>
      <c r="M67" s="11" t="s">
        <v>1250</v>
      </c>
      <c r="N67" s="11" t="s">
        <v>1262</v>
      </c>
      <c r="O67" s="11"/>
      <c r="P67" s="11"/>
      <c r="Q67" s="25" t="n">
        <f aca="false">SUMIFS('Commentary drivers'!$D:$D,'Commentary drivers'!$A:$A,A67)</f>
        <v>0.33333</v>
      </c>
      <c r="R67" s="25" t="n">
        <f aca="false">SUMIFS('Commentary drivers'!$E:$E,'Commentary drivers'!$A:$A,A67)</f>
        <v>0.3</v>
      </c>
      <c r="S67" s="49" t="str">
        <f aca="false">IF(AND(ROUND(Q67-J67,4)=0,ROUND(R67-K67,1)=0),"✓","✗")</f>
        <v>✓</v>
      </c>
    </row>
    <row r="68" customFormat="false" ht="15" hidden="false" customHeight="false" outlineLevel="0" collapsed="false">
      <c r="A68" s="11" t="s">
        <v>1387</v>
      </c>
      <c r="B68" s="11" t="s">
        <v>25</v>
      </c>
      <c r="C68" s="11" t="s">
        <v>26</v>
      </c>
      <c r="D68" s="11" t="s">
        <v>1337</v>
      </c>
      <c r="E68" s="11" t="s">
        <v>1388</v>
      </c>
      <c r="F68" s="11" t="s">
        <v>269</v>
      </c>
      <c r="G68" s="11" t="n">
        <v>1</v>
      </c>
      <c r="H68" s="34" t="n">
        <v>20</v>
      </c>
      <c r="I68" s="34" t="n">
        <v>19.5</v>
      </c>
      <c r="J68" s="34" t="n">
        <v>0.5</v>
      </c>
      <c r="K68" s="34" t="n">
        <v>0.5</v>
      </c>
      <c r="L68" s="11" t="s">
        <v>270</v>
      </c>
      <c r="M68" s="11" t="s">
        <v>1250</v>
      </c>
      <c r="N68" s="11" t="s">
        <v>1262</v>
      </c>
      <c r="O68" s="11"/>
      <c r="P68" s="11"/>
      <c r="Q68" s="25" t="n">
        <f aca="false">SUMIFS('Commentary drivers'!$D:$D,'Commentary drivers'!$A:$A,A68)</f>
        <v>0.5</v>
      </c>
      <c r="R68" s="25" t="n">
        <f aca="false">SUMIFS('Commentary drivers'!$E:$E,'Commentary drivers'!$A:$A,A68)</f>
        <v>0.5</v>
      </c>
      <c r="S68" s="49" t="str">
        <f aca="false">IF(AND(ROUND(Q68-J68,4)=0,ROUND(R68-K68,1)=0),"✓","✗")</f>
        <v>✓</v>
      </c>
    </row>
    <row r="69" customFormat="false" ht="15" hidden="false" customHeight="false" outlineLevel="0" collapsed="false">
      <c r="A69" s="11" t="s">
        <v>1389</v>
      </c>
      <c r="B69" s="11" t="s">
        <v>25</v>
      </c>
      <c r="C69" s="11" t="s">
        <v>26</v>
      </c>
      <c r="D69" s="11" t="s">
        <v>1337</v>
      </c>
      <c r="E69" s="11" t="s">
        <v>1390</v>
      </c>
      <c r="F69" s="11" t="s">
        <v>157</v>
      </c>
      <c r="G69" s="11" t="n">
        <v>0</v>
      </c>
      <c r="H69" s="34" t="n">
        <v>420</v>
      </c>
      <c r="I69" s="34" t="n">
        <v>398.13658</v>
      </c>
      <c r="J69" s="34" t="n">
        <v>21.86342</v>
      </c>
      <c r="K69" s="34" t="n">
        <v>21.9</v>
      </c>
      <c r="L69" s="11" t="s">
        <v>295</v>
      </c>
      <c r="M69" s="11" t="s">
        <v>1250</v>
      </c>
      <c r="N69" s="11" t="s">
        <v>1251</v>
      </c>
      <c r="O69" s="11" t="s">
        <v>1252</v>
      </c>
      <c r="P69" s="11" t="s">
        <v>1253</v>
      </c>
      <c r="Q69" s="25" t="n">
        <f aca="false">SUMIFS('Commentary drivers'!$D:$D,'Commentary drivers'!$A:$A,A69)</f>
        <v>21.86342</v>
      </c>
      <c r="R69" s="25" t="n">
        <f aca="false">SUMIFS('Commentary drivers'!$E:$E,'Commentary drivers'!$A:$A,A69)</f>
        <v>21.9</v>
      </c>
      <c r="S69" s="49" t="str">
        <f aca="false">IF(AND(ROUND(Q69-J69,4)=0,ROUND(R69-K69,1)=0),"✓","✗")</f>
        <v>✓</v>
      </c>
    </row>
    <row r="70" customFormat="false" ht="15" hidden="false" customHeight="false" outlineLevel="0" collapsed="false">
      <c r="A70" s="11" t="s">
        <v>1391</v>
      </c>
      <c r="B70" s="11" t="s">
        <v>25</v>
      </c>
      <c r="C70" s="11" t="s">
        <v>26</v>
      </c>
      <c r="D70" s="11" t="s">
        <v>1337</v>
      </c>
      <c r="E70" s="11" t="s">
        <v>1392</v>
      </c>
      <c r="F70" s="11" t="s">
        <v>296</v>
      </c>
      <c r="G70" s="11" t="n">
        <v>1</v>
      </c>
      <c r="H70" s="34" t="n">
        <v>300</v>
      </c>
      <c r="I70" s="34" t="n">
        <v>279.05325</v>
      </c>
      <c r="J70" s="34" t="n">
        <v>20.94675</v>
      </c>
      <c r="K70" s="34" t="n">
        <v>20.9</v>
      </c>
      <c r="L70" s="11" t="s">
        <v>297</v>
      </c>
      <c r="M70" s="11" t="s">
        <v>1250</v>
      </c>
      <c r="N70" s="11" t="s">
        <v>1251</v>
      </c>
      <c r="O70" s="11" t="s">
        <v>1252</v>
      </c>
      <c r="P70" s="11" t="s">
        <v>1253</v>
      </c>
      <c r="Q70" s="25" t="n">
        <f aca="false">SUMIFS('Commentary drivers'!$D:$D,'Commentary drivers'!$A:$A,A70)</f>
        <v>20.94675</v>
      </c>
      <c r="R70" s="25" t="n">
        <f aca="false">SUMIFS('Commentary drivers'!$E:$E,'Commentary drivers'!$A:$A,A70)</f>
        <v>20.9</v>
      </c>
      <c r="S70" s="49" t="str">
        <f aca="false">IF(AND(ROUND(Q70-J70,4)=0,ROUND(R70-K70,1)=0),"✓","✗")</f>
        <v>✓</v>
      </c>
    </row>
    <row r="71" customFormat="false" ht="15" hidden="false" customHeight="false" outlineLevel="0" collapsed="false">
      <c r="A71" s="11" t="s">
        <v>1393</v>
      </c>
      <c r="B71" s="11" t="s">
        <v>25</v>
      </c>
      <c r="C71" s="11" t="s">
        <v>26</v>
      </c>
      <c r="D71" s="11" t="s">
        <v>1337</v>
      </c>
      <c r="E71" s="11" t="s">
        <v>1394</v>
      </c>
      <c r="F71" s="11" t="s">
        <v>298</v>
      </c>
      <c r="G71" s="11" t="n">
        <v>1</v>
      </c>
      <c r="H71" s="34" t="n">
        <v>40</v>
      </c>
      <c r="I71" s="34" t="n">
        <v>42</v>
      </c>
      <c r="J71" s="34" t="n">
        <v>-2</v>
      </c>
      <c r="K71" s="34" t="n">
        <v>-2</v>
      </c>
      <c r="L71" s="11" t="s">
        <v>299</v>
      </c>
      <c r="M71" s="11" t="s">
        <v>1250</v>
      </c>
      <c r="N71" s="11" t="s">
        <v>1262</v>
      </c>
      <c r="O71" s="11"/>
      <c r="P71" s="11"/>
      <c r="Q71" s="25" t="n">
        <f aca="false">SUMIFS('Commentary drivers'!$D:$D,'Commentary drivers'!$A:$A,A71)</f>
        <v>-2</v>
      </c>
      <c r="R71" s="25" t="n">
        <f aca="false">SUMIFS('Commentary drivers'!$E:$E,'Commentary drivers'!$A:$A,A71)</f>
        <v>-2</v>
      </c>
      <c r="S71" s="49" t="str">
        <f aca="false">IF(AND(ROUND(Q71-J71,4)=0,ROUND(R71-K71,1)=0),"✓","✗")</f>
        <v>✓</v>
      </c>
    </row>
    <row r="72" customFormat="false" ht="15" hidden="false" customHeight="false" outlineLevel="0" collapsed="false">
      <c r="A72" s="11" t="s">
        <v>1395</v>
      </c>
      <c r="B72" s="11" t="s">
        <v>25</v>
      </c>
      <c r="C72" s="11" t="s">
        <v>26</v>
      </c>
      <c r="D72" s="11" t="s">
        <v>1337</v>
      </c>
      <c r="E72" s="11" t="s">
        <v>1396</v>
      </c>
      <c r="F72" s="11" t="s">
        <v>265</v>
      </c>
      <c r="G72" s="11" t="n">
        <v>1</v>
      </c>
      <c r="H72" s="34" t="n">
        <v>30</v>
      </c>
      <c r="I72" s="34" t="n">
        <v>28.5</v>
      </c>
      <c r="J72" s="34" t="n">
        <v>1.5</v>
      </c>
      <c r="K72" s="34" t="n">
        <v>1.5</v>
      </c>
      <c r="L72" s="11" t="s">
        <v>300</v>
      </c>
      <c r="M72" s="11" t="s">
        <v>1250</v>
      </c>
      <c r="N72" s="11" t="s">
        <v>1262</v>
      </c>
      <c r="O72" s="11"/>
      <c r="P72" s="11"/>
      <c r="Q72" s="25" t="n">
        <f aca="false">SUMIFS('Commentary drivers'!$D:$D,'Commentary drivers'!$A:$A,A72)</f>
        <v>1.5</v>
      </c>
      <c r="R72" s="25" t="n">
        <f aca="false">SUMIFS('Commentary drivers'!$E:$E,'Commentary drivers'!$A:$A,A72)</f>
        <v>1.5</v>
      </c>
      <c r="S72" s="49" t="str">
        <f aca="false">IF(AND(ROUND(Q72-J72,4)=0,ROUND(R72-K72,1)=0),"✓","✗")</f>
        <v>✓</v>
      </c>
    </row>
    <row r="73" customFormat="false" ht="15" hidden="false" customHeight="false" outlineLevel="0" collapsed="false">
      <c r="A73" s="11" t="s">
        <v>1397</v>
      </c>
      <c r="B73" s="11" t="s">
        <v>25</v>
      </c>
      <c r="C73" s="11" t="s">
        <v>26</v>
      </c>
      <c r="D73" s="11" t="s">
        <v>1337</v>
      </c>
      <c r="E73" s="11" t="s">
        <v>1398</v>
      </c>
      <c r="F73" s="11" t="s">
        <v>267</v>
      </c>
      <c r="G73" s="11" t="n">
        <v>1</v>
      </c>
      <c r="H73" s="34" t="n">
        <v>20</v>
      </c>
      <c r="I73" s="34" t="n">
        <v>19.33333</v>
      </c>
      <c r="J73" s="34" t="n">
        <v>0.66667</v>
      </c>
      <c r="K73" s="34" t="n">
        <v>0.7</v>
      </c>
      <c r="L73" s="11" t="s">
        <v>268</v>
      </c>
      <c r="M73" s="11" t="s">
        <v>1250</v>
      </c>
      <c r="N73" s="11" t="s">
        <v>1262</v>
      </c>
      <c r="O73" s="11"/>
      <c r="P73" s="11"/>
      <c r="Q73" s="25" t="n">
        <f aca="false">SUMIFS('Commentary drivers'!$D:$D,'Commentary drivers'!$A:$A,A73)</f>
        <v>0.66667</v>
      </c>
      <c r="R73" s="25" t="n">
        <f aca="false">SUMIFS('Commentary drivers'!$E:$E,'Commentary drivers'!$A:$A,A73)</f>
        <v>0.7</v>
      </c>
      <c r="S73" s="49" t="str">
        <f aca="false">IF(AND(ROUND(Q73-J73,4)=0,ROUND(R73-K73,1)=0),"✓","✗")</f>
        <v>✓</v>
      </c>
    </row>
    <row r="74" customFormat="false" ht="15" hidden="false" customHeight="false" outlineLevel="0" collapsed="false">
      <c r="A74" s="11" t="s">
        <v>1399</v>
      </c>
      <c r="B74" s="11" t="s">
        <v>25</v>
      </c>
      <c r="C74" s="11" t="s">
        <v>26</v>
      </c>
      <c r="D74" s="11" t="s">
        <v>1337</v>
      </c>
      <c r="E74" s="11" t="s">
        <v>1400</v>
      </c>
      <c r="F74" s="11" t="s">
        <v>269</v>
      </c>
      <c r="G74" s="11" t="n">
        <v>1</v>
      </c>
      <c r="H74" s="34" t="n">
        <v>30</v>
      </c>
      <c r="I74" s="34" t="n">
        <v>29.25</v>
      </c>
      <c r="J74" s="34" t="n">
        <v>0.75</v>
      </c>
      <c r="K74" s="34" t="n">
        <v>0.8</v>
      </c>
      <c r="L74" s="11" t="s">
        <v>301</v>
      </c>
      <c r="M74" s="11" t="s">
        <v>1250</v>
      </c>
      <c r="N74" s="11" t="s">
        <v>1262</v>
      </c>
      <c r="O74" s="11"/>
      <c r="P74" s="11"/>
      <c r="Q74" s="25" t="n">
        <f aca="false">SUMIFS('Commentary drivers'!$D:$D,'Commentary drivers'!$A:$A,A74)</f>
        <v>0.75</v>
      </c>
      <c r="R74" s="25" t="n">
        <f aca="false">SUMIFS('Commentary drivers'!$E:$E,'Commentary drivers'!$A:$A,A74)</f>
        <v>0.8</v>
      </c>
      <c r="S74" s="49" t="str">
        <f aca="false">IF(AND(ROUND(Q74-J74,4)=0,ROUND(R74-K74,1)=0),"✓","✗")</f>
        <v>✓</v>
      </c>
    </row>
    <row r="75" customFormat="false" ht="15" hidden="false" customHeight="false" outlineLevel="0" collapsed="false">
      <c r="A75" s="11" t="s">
        <v>1401</v>
      </c>
      <c r="B75" s="11" t="s">
        <v>25</v>
      </c>
      <c r="C75" s="11" t="s">
        <v>26</v>
      </c>
      <c r="D75" s="11" t="s">
        <v>1337</v>
      </c>
      <c r="E75" s="11" t="s">
        <v>1402</v>
      </c>
      <c r="F75" s="11" t="s">
        <v>159</v>
      </c>
      <c r="G75" s="11" t="n">
        <v>0</v>
      </c>
      <c r="H75" s="34" t="n">
        <v>200</v>
      </c>
      <c r="I75" s="34" t="n">
        <v>191.41667</v>
      </c>
      <c r="J75" s="34" t="n">
        <v>8.58333</v>
      </c>
      <c r="K75" s="34" t="n">
        <v>8.6</v>
      </c>
      <c r="L75" s="11" t="s">
        <v>302</v>
      </c>
      <c r="M75" s="11" t="s">
        <v>1250</v>
      </c>
      <c r="N75" s="11" t="s">
        <v>1251</v>
      </c>
      <c r="O75" s="11" t="s">
        <v>1252</v>
      </c>
      <c r="P75" s="11" t="s">
        <v>1253</v>
      </c>
      <c r="Q75" s="25" t="n">
        <f aca="false">SUMIFS('Commentary drivers'!$D:$D,'Commentary drivers'!$A:$A,A75)</f>
        <v>8.58333</v>
      </c>
      <c r="R75" s="25" t="n">
        <f aca="false">SUMIFS('Commentary drivers'!$E:$E,'Commentary drivers'!$A:$A,A75)</f>
        <v>8.6</v>
      </c>
      <c r="S75" s="49" t="str">
        <f aca="false">IF(AND(ROUND(Q75-J75,4)=0,ROUND(R75-K75,1)=0),"✓","✗")</f>
        <v>✓</v>
      </c>
    </row>
    <row r="76" customFormat="false" ht="15" hidden="false" customHeight="false" outlineLevel="0" collapsed="false">
      <c r="A76" s="11" t="s">
        <v>1403</v>
      </c>
      <c r="B76" s="11" t="s">
        <v>25</v>
      </c>
      <c r="C76" s="11" t="s">
        <v>26</v>
      </c>
      <c r="D76" s="11" t="s">
        <v>1337</v>
      </c>
      <c r="E76" s="11" t="s">
        <v>1404</v>
      </c>
      <c r="F76" s="11" t="s">
        <v>304</v>
      </c>
      <c r="G76" s="11" t="n">
        <v>1</v>
      </c>
      <c r="H76" s="34" t="n">
        <v>180</v>
      </c>
      <c r="I76" s="34" t="n">
        <v>172</v>
      </c>
      <c r="J76" s="34" t="n">
        <v>8</v>
      </c>
      <c r="K76" s="34" t="n">
        <v>8</v>
      </c>
      <c r="L76" s="11" t="s">
        <v>305</v>
      </c>
      <c r="M76" s="11" t="s">
        <v>1315</v>
      </c>
      <c r="N76" s="11" t="s">
        <v>1262</v>
      </c>
      <c r="O76" s="11"/>
      <c r="P76" s="11"/>
      <c r="Q76" s="25" t="n">
        <f aca="false">SUMIFS('Commentary drivers'!$D:$D,'Commentary drivers'!$A:$A,A76)</f>
        <v>8</v>
      </c>
      <c r="R76" s="25" t="n">
        <f aca="false">SUMIFS('Commentary drivers'!$E:$E,'Commentary drivers'!$A:$A,A76)</f>
        <v>8</v>
      </c>
      <c r="S76" s="49" t="str">
        <f aca="false">IF(AND(ROUND(Q76-J76,4)=0,ROUND(R76-K76,1)=0),"✓","✗")</f>
        <v>✓</v>
      </c>
    </row>
    <row r="77" customFormat="false" ht="15" hidden="false" customHeight="false" outlineLevel="0" collapsed="false">
      <c r="A77" s="11" t="s">
        <v>1405</v>
      </c>
      <c r="B77" s="11" t="s">
        <v>25</v>
      </c>
      <c r="C77" s="11" t="s">
        <v>26</v>
      </c>
      <c r="D77" s="11" t="s">
        <v>1337</v>
      </c>
      <c r="E77" s="11" t="s">
        <v>1406</v>
      </c>
      <c r="F77" s="11" t="s">
        <v>267</v>
      </c>
      <c r="G77" s="11" t="n">
        <v>1</v>
      </c>
      <c r="H77" s="34" t="n">
        <v>10</v>
      </c>
      <c r="I77" s="34" t="n">
        <v>9.66667</v>
      </c>
      <c r="J77" s="34" t="n">
        <v>0.33333</v>
      </c>
      <c r="K77" s="34" t="n">
        <v>0.3</v>
      </c>
      <c r="L77" s="11" t="s">
        <v>294</v>
      </c>
      <c r="M77" s="11" t="s">
        <v>1250</v>
      </c>
      <c r="N77" s="11" t="s">
        <v>1262</v>
      </c>
      <c r="O77" s="11"/>
      <c r="P77" s="11"/>
      <c r="Q77" s="25" t="n">
        <f aca="false">SUMIFS('Commentary drivers'!$D:$D,'Commentary drivers'!$A:$A,A77)</f>
        <v>0.33333</v>
      </c>
      <c r="R77" s="25" t="n">
        <f aca="false">SUMIFS('Commentary drivers'!$E:$E,'Commentary drivers'!$A:$A,A77)</f>
        <v>0.3</v>
      </c>
      <c r="S77" s="49" t="str">
        <f aca="false">IF(AND(ROUND(Q77-J77,4)=0,ROUND(R77-K77,1)=0),"✓","✗")</f>
        <v>✓</v>
      </c>
    </row>
    <row r="78" customFormat="false" ht="15" hidden="false" customHeight="false" outlineLevel="0" collapsed="false">
      <c r="A78" s="11" t="s">
        <v>1407</v>
      </c>
      <c r="B78" s="11" t="s">
        <v>25</v>
      </c>
      <c r="C78" s="11" t="s">
        <v>26</v>
      </c>
      <c r="D78" s="11" t="s">
        <v>1337</v>
      </c>
      <c r="E78" s="11" t="s">
        <v>1408</v>
      </c>
      <c r="F78" s="11" t="s">
        <v>269</v>
      </c>
      <c r="G78" s="11" t="n">
        <v>1</v>
      </c>
      <c r="H78" s="34" t="n">
        <v>10</v>
      </c>
      <c r="I78" s="34" t="n">
        <v>9.75</v>
      </c>
      <c r="J78" s="34" t="n">
        <v>0.25</v>
      </c>
      <c r="K78" s="34" t="n">
        <v>0.3</v>
      </c>
      <c r="L78" s="11" t="s">
        <v>306</v>
      </c>
      <c r="M78" s="11" t="s">
        <v>1250</v>
      </c>
      <c r="N78" s="11" t="s">
        <v>1262</v>
      </c>
      <c r="O78" s="11"/>
      <c r="P78" s="11"/>
      <c r="Q78" s="25" t="n">
        <f aca="false">SUMIFS('Commentary drivers'!$D:$D,'Commentary drivers'!$A:$A,A78)</f>
        <v>0.25</v>
      </c>
      <c r="R78" s="25" t="n">
        <f aca="false">SUMIFS('Commentary drivers'!$E:$E,'Commentary drivers'!$A:$A,A78)</f>
        <v>0.3</v>
      </c>
      <c r="S78" s="49" t="str">
        <f aca="false">IF(AND(ROUND(Q78-J78,4)=0,ROUND(R78-K78,1)=0),"✓","✗")</f>
        <v>✓</v>
      </c>
    </row>
    <row r="79" customFormat="false" ht="15" hidden="false" customHeight="false" outlineLevel="0" collapsed="false">
      <c r="A79" s="11" t="s">
        <v>1409</v>
      </c>
      <c r="B79" s="11" t="s">
        <v>25</v>
      </c>
      <c r="C79" s="11" t="s">
        <v>26</v>
      </c>
      <c r="D79" s="11" t="s">
        <v>1337</v>
      </c>
      <c r="E79" s="11" t="s">
        <v>1410</v>
      </c>
      <c r="F79" s="11" t="s">
        <v>171</v>
      </c>
      <c r="G79" s="11" t="n">
        <v>0</v>
      </c>
      <c r="H79" s="34" t="n">
        <v>680</v>
      </c>
      <c r="I79" s="34" t="n">
        <v>648.73992</v>
      </c>
      <c r="J79" s="34" t="n">
        <v>31.26008</v>
      </c>
      <c r="K79" s="34" t="n">
        <v>31.3</v>
      </c>
      <c r="L79" s="11" t="s">
        <v>307</v>
      </c>
      <c r="M79" s="11" t="s">
        <v>1250</v>
      </c>
      <c r="N79" s="11" t="s">
        <v>1251</v>
      </c>
      <c r="O79" s="11" t="s">
        <v>1252</v>
      </c>
      <c r="P79" s="11" t="s">
        <v>1253</v>
      </c>
      <c r="Q79" s="25" t="n">
        <f aca="false">SUMIFS('Commentary drivers'!$D:$D,'Commentary drivers'!$A:$A,A79)</f>
        <v>31.26008</v>
      </c>
      <c r="R79" s="25" t="n">
        <f aca="false">SUMIFS('Commentary drivers'!$E:$E,'Commentary drivers'!$A:$A,A79)</f>
        <v>31.3</v>
      </c>
      <c r="S79" s="49" t="str">
        <f aca="false">IF(AND(ROUND(Q79-J79,4)=0,ROUND(R79-K79,1)=0),"✓","✗")</f>
        <v>✓</v>
      </c>
    </row>
    <row r="80" customFormat="false" ht="15" hidden="false" customHeight="false" outlineLevel="0" collapsed="false">
      <c r="A80" s="11" t="s">
        <v>1411</v>
      </c>
      <c r="B80" s="11" t="s">
        <v>25</v>
      </c>
      <c r="C80" s="11" t="s">
        <v>26</v>
      </c>
      <c r="D80" s="11" t="s">
        <v>1337</v>
      </c>
      <c r="E80" s="11" t="s">
        <v>1412</v>
      </c>
      <c r="F80" s="11" t="s">
        <v>96</v>
      </c>
      <c r="G80" s="11" t="n">
        <v>0</v>
      </c>
      <c r="H80" s="34" t="n">
        <v>220</v>
      </c>
      <c r="I80" s="34" t="n">
        <v>253.201</v>
      </c>
      <c r="J80" s="34" t="n">
        <v>-33.201</v>
      </c>
      <c r="K80" s="34" t="n">
        <v>-33.2</v>
      </c>
      <c r="L80" s="11" t="s">
        <v>309</v>
      </c>
      <c r="M80" s="11" t="s">
        <v>1250</v>
      </c>
      <c r="N80" s="11" t="s">
        <v>1251</v>
      </c>
      <c r="O80" s="11" t="s">
        <v>1252</v>
      </c>
      <c r="P80" s="11" t="s">
        <v>1253</v>
      </c>
      <c r="Q80" s="25" t="n">
        <f aca="false">SUMIFS('Commentary drivers'!$D:$D,'Commentary drivers'!$A:$A,A80)</f>
        <v>-33.201</v>
      </c>
      <c r="R80" s="25" t="n">
        <f aca="false">SUMIFS('Commentary drivers'!$E:$E,'Commentary drivers'!$A:$A,A80)</f>
        <v>-33.2</v>
      </c>
      <c r="S80" s="49" t="str">
        <f aca="false">IF(AND(ROUND(Q80-J80,4)=0,ROUND(R80-K80,1)=0),"✓","✗")</f>
        <v>✓</v>
      </c>
    </row>
    <row r="81" customFormat="false" ht="15" hidden="false" customHeight="false" outlineLevel="0" collapsed="false">
      <c r="A81" s="11" t="s">
        <v>1413</v>
      </c>
      <c r="B81" s="11" t="s">
        <v>25</v>
      </c>
      <c r="C81" s="11" t="s">
        <v>26</v>
      </c>
      <c r="D81" s="11" t="s">
        <v>1337</v>
      </c>
      <c r="E81" s="11" t="s">
        <v>1414</v>
      </c>
      <c r="F81" s="11" t="s">
        <v>160</v>
      </c>
      <c r="G81" s="11" t="n">
        <v>0</v>
      </c>
      <c r="H81" s="34" t="n">
        <v>10</v>
      </c>
      <c r="I81" s="34" t="n">
        <v>11</v>
      </c>
      <c r="J81" s="34" t="n">
        <v>-1</v>
      </c>
      <c r="K81" s="34" t="n">
        <v>-1</v>
      </c>
      <c r="L81" s="11" t="s">
        <v>251</v>
      </c>
      <c r="M81" s="11" t="s">
        <v>1250</v>
      </c>
      <c r="N81" s="11" t="s">
        <v>1262</v>
      </c>
      <c r="O81" s="11"/>
      <c r="P81" s="11"/>
      <c r="Q81" s="25" t="n">
        <f aca="false">SUMIFS('Commentary drivers'!$D:$D,'Commentary drivers'!$A:$A,A81)</f>
        <v>-1</v>
      </c>
      <c r="R81" s="25" t="n">
        <f aca="false">SUMIFS('Commentary drivers'!$E:$E,'Commentary drivers'!$A:$A,A81)</f>
        <v>-1</v>
      </c>
      <c r="S81" s="49" t="str">
        <f aca="false">IF(AND(ROUND(Q81-J81,4)=0,ROUND(R81-K81,1)=0),"✓","✗")</f>
        <v>✓</v>
      </c>
    </row>
    <row r="82" customFormat="false" ht="15" hidden="false" customHeight="false" outlineLevel="0" collapsed="false">
      <c r="A82" s="11" t="s">
        <v>1415</v>
      </c>
      <c r="B82" s="11" t="s">
        <v>25</v>
      </c>
      <c r="C82" s="11" t="s">
        <v>26</v>
      </c>
      <c r="D82" s="11" t="s">
        <v>1337</v>
      </c>
      <c r="E82" s="11" t="s">
        <v>1416</v>
      </c>
      <c r="F82" s="11" t="s">
        <v>161</v>
      </c>
      <c r="G82" s="11" t="n">
        <v>0</v>
      </c>
      <c r="H82" s="34" t="n">
        <v>30</v>
      </c>
      <c r="I82" s="34" t="n">
        <v>30</v>
      </c>
      <c r="J82" s="34" t="n">
        <v>0</v>
      </c>
      <c r="K82" s="34" t="n">
        <v>0</v>
      </c>
      <c r="L82" s="11" t="s">
        <v>252</v>
      </c>
      <c r="M82" s="11" t="s">
        <v>1250</v>
      </c>
      <c r="N82" s="11" t="s">
        <v>1262</v>
      </c>
      <c r="O82" s="11"/>
      <c r="P82" s="11"/>
      <c r="Q82" s="25" t="n">
        <f aca="false">SUMIFS('Commentary drivers'!$D:$D,'Commentary drivers'!$A:$A,A82)</f>
        <v>0</v>
      </c>
      <c r="R82" s="25" t="n">
        <f aca="false">SUMIFS('Commentary drivers'!$E:$E,'Commentary drivers'!$A:$A,A82)</f>
        <v>0</v>
      </c>
      <c r="S82" s="49" t="str">
        <f aca="false">IF(AND(ROUND(Q82-J82,4)=0,ROUND(R82-K82,1)=0),"✓","✗")</f>
        <v>✓</v>
      </c>
    </row>
    <row r="83" customFormat="false" ht="15" hidden="false" customHeight="false" outlineLevel="0" collapsed="false">
      <c r="A83" s="11" t="s">
        <v>1417</v>
      </c>
      <c r="B83" s="11" t="s">
        <v>25</v>
      </c>
      <c r="C83" s="11" t="s">
        <v>26</v>
      </c>
      <c r="D83" s="11" t="s">
        <v>1337</v>
      </c>
      <c r="E83" s="11" t="s">
        <v>1418</v>
      </c>
      <c r="F83" s="11" t="s">
        <v>126</v>
      </c>
      <c r="G83" s="11" t="n">
        <v>0</v>
      </c>
      <c r="H83" s="34" t="n">
        <v>40</v>
      </c>
      <c r="I83" s="34" t="n">
        <v>35</v>
      </c>
      <c r="J83" s="34" t="n">
        <v>5</v>
      </c>
      <c r="K83" s="34" t="n">
        <v>5</v>
      </c>
      <c r="L83" s="11" t="s">
        <v>254</v>
      </c>
      <c r="M83" s="11" t="s">
        <v>1250</v>
      </c>
      <c r="N83" s="11" t="s">
        <v>1251</v>
      </c>
      <c r="O83" s="11" t="s">
        <v>1252</v>
      </c>
      <c r="P83" s="11" t="s">
        <v>1253</v>
      </c>
      <c r="Q83" s="25" t="n">
        <f aca="false">SUMIFS('Commentary drivers'!$D:$D,'Commentary drivers'!$A:$A,A83)</f>
        <v>5</v>
      </c>
      <c r="R83" s="25" t="n">
        <f aca="false">SUMIFS('Commentary drivers'!$E:$E,'Commentary drivers'!$A:$A,A83)</f>
        <v>5</v>
      </c>
      <c r="S83" s="49" t="str">
        <f aca="false">IF(AND(ROUND(Q83-J83,4)=0,ROUND(R83-K83,1)=0),"✓","✗")</f>
        <v>✓</v>
      </c>
    </row>
    <row r="84" customFormat="false" ht="15" hidden="false" customHeight="false" outlineLevel="0" collapsed="false">
      <c r="A84" s="11" t="s">
        <v>1419</v>
      </c>
      <c r="B84" s="11" t="s">
        <v>25</v>
      </c>
      <c r="C84" s="11" t="s">
        <v>26</v>
      </c>
      <c r="D84" s="11" t="s">
        <v>1337</v>
      </c>
      <c r="E84" s="11" t="s">
        <v>1420</v>
      </c>
      <c r="F84" s="11" t="s">
        <v>97</v>
      </c>
      <c r="G84" s="11" t="n">
        <v>0</v>
      </c>
      <c r="H84" s="34" t="n">
        <v>160</v>
      </c>
      <c r="I84" s="34" t="n">
        <v>199.201</v>
      </c>
      <c r="J84" s="34" t="n">
        <v>-39.201</v>
      </c>
      <c r="K84" s="34" t="n">
        <v>-39.2</v>
      </c>
      <c r="L84" s="11" t="s">
        <v>310</v>
      </c>
      <c r="M84" s="11" t="s">
        <v>1250</v>
      </c>
      <c r="N84" s="11" t="s">
        <v>1251</v>
      </c>
      <c r="O84" s="11" t="s">
        <v>1252</v>
      </c>
      <c r="P84" s="11" t="s">
        <v>1253</v>
      </c>
      <c r="Q84" s="25" t="n">
        <f aca="false">SUMIFS('Commentary drivers'!$D:$D,'Commentary drivers'!$A:$A,A84)</f>
        <v>-39.201</v>
      </c>
      <c r="R84" s="25" t="n">
        <f aca="false">SUMIFS('Commentary drivers'!$E:$E,'Commentary drivers'!$A:$A,A84)</f>
        <v>-39.2</v>
      </c>
      <c r="S84" s="49" t="str">
        <f aca="false">IF(AND(ROUND(Q84-J84,4)=0,ROUND(R84-K84,1)=0),"✓","✗")</f>
        <v>✓</v>
      </c>
    </row>
    <row r="85" customFormat="false" ht="15" hidden="false" customHeight="false" outlineLevel="0" collapsed="false">
      <c r="A85" s="11" t="s">
        <v>1421</v>
      </c>
      <c r="B85" s="11" t="s">
        <v>25</v>
      </c>
      <c r="C85" s="11" t="s">
        <v>26</v>
      </c>
      <c r="D85" s="11" t="s">
        <v>1422</v>
      </c>
      <c r="E85" s="11" t="s">
        <v>1423</v>
      </c>
      <c r="F85" s="11" t="s">
        <v>312</v>
      </c>
      <c r="G85" s="11" t="n">
        <v>0</v>
      </c>
      <c r="H85" s="34" t="n">
        <v>2000</v>
      </c>
      <c r="I85" s="34" t="n">
        <v>1991.527</v>
      </c>
      <c r="J85" s="34" t="n">
        <v>8.473</v>
      </c>
      <c r="K85" s="34" t="n">
        <v>8.5</v>
      </c>
      <c r="L85" s="11" t="s">
        <v>313</v>
      </c>
      <c r="M85" s="11" t="s">
        <v>1250</v>
      </c>
      <c r="N85" s="11" t="s">
        <v>1251</v>
      </c>
      <c r="O85" s="11" t="s">
        <v>1252</v>
      </c>
      <c r="P85" s="11" t="s">
        <v>1253</v>
      </c>
      <c r="Q85" s="25" t="n">
        <f aca="false">SUMIFS('Commentary drivers'!$D:$D,'Commentary drivers'!$A:$A,A85)</f>
        <v>8.473</v>
      </c>
      <c r="R85" s="25" t="n">
        <f aca="false">SUMIFS('Commentary drivers'!$E:$E,'Commentary drivers'!$A:$A,A85)</f>
        <v>8.5</v>
      </c>
      <c r="S85" s="49" t="str">
        <f aca="false">IF(AND(ROUND(Q85-J85,4)=0,ROUND(R85-K85,1)=0),"✓","✗")</f>
        <v>✓</v>
      </c>
    </row>
    <row r="86" customFormat="false" ht="15" hidden="false" customHeight="false" outlineLevel="0" collapsed="false">
      <c r="A86" s="11" t="s">
        <v>1424</v>
      </c>
      <c r="B86" s="11" t="s">
        <v>25</v>
      </c>
      <c r="C86" s="11" t="s">
        <v>26</v>
      </c>
      <c r="D86" s="11" t="s">
        <v>1422</v>
      </c>
      <c r="E86" s="11" t="s">
        <v>1425</v>
      </c>
      <c r="F86" s="11" t="s">
        <v>314</v>
      </c>
      <c r="G86" s="11" t="n">
        <v>1</v>
      </c>
      <c r="H86" s="34" t="n">
        <v>1800</v>
      </c>
      <c r="I86" s="34" t="n">
        <v>1776.527</v>
      </c>
      <c r="J86" s="34" t="n">
        <v>23.473</v>
      </c>
      <c r="K86" s="34" t="n">
        <v>23.5</v>
      </c>
      <c r="L86" s="11" t="s">
        <v>179</v>
      </c>
      <c r="M86" s="11" t="s">
        <v>1250</v>
      </c>
      <c r="N86" s="11" t="s">
        <v>1251</v>
      </c>
      <c r="O86" s="11" t="s">
        <v>1252</v>
      </c>
      <c r="P86" s="11" t="s">
        <v>1253</v>
      </c>
      <c r="Q86" s="25" t="n">
        <f aca="false">SUMIFS('Commentary drivers'!$D:$D,'Commentary drivers'!$A:$A,A86)</f>
        <v>23.473</v>
      </c>
      <c r="R86" s="25" t="n">
        <f aca="false">SUMIFS('Commentary drivers'!$E:$E,'Commentary drivers'!$A:$A,A86)</f>
        <v>23.5</v>
      </c>
      <c r="S86" s="49" t="str">
        <f aca="false">IF(AND(ROUND(Q86-J86,4)=0,ROUND(R86-K86,1)=0),"✓","✗")</f>
        <v>✓</v>
      </c>
    </row>
    <row r="87" customFormat="false" ht="15" hidden="false" customHeight="false" outlineLevel="0" collapsed="false">
      <c r="A87" s="11" t="s">
        <v>1426</v>
      </c>
      <c r="B87" s="11" t="s">
        <v>25</v>
      </c>
      <c r="C87" s="11" t="s">
        <v>26</v>
      </c>
      <c r="D87" s="11" t="s">
        <v>1422</v>
      </c>
      <c r="E87" s="11" t="s">
        <v>1427</v>
      </c>
      <c r="F87" s="11" t="s">
        <v>315</v>
      </c>
      <c r="G87" s="11" t="n">
        <v>1</v>
      </c>
      <c r="H87" s="34" t="n">
        <v>200</v>
      </c>
      <c r="I87" s="34" t="n">
        <v>215</v>
      </c>
      <c r="J87" s="34" t="n">
        <v>-15</v>
      </c>
      <c r="K87" s="34" t="n">
        <v>-15</v>
      </c>
      <c r="L87" s="11" t="s">
        <v>183</v>
      </c>
      <c r="M87" s="11" t="s">
        <v>1250</v>
      </c>
      <c r="N87" s="11" t="s">
        <v>1251</v>
      </c>
      <c r="O87" s="11" t="s">
        <v>1252</v>
      </c>
      <c r="P87" s="11" t="s">
        <v>1253</v>
      </c>
      <c r="Q87" s="25" t="n">
        <f aca="false">SUMIFS('Commentary drivers'!$D:$D,'Commentary drivers'!$A:$A,A87)</f>
        <v>-15</v>
      </c>
      <c r="R87" s="25" t="n">
        <f aca="false">SUMIFS('Commentary drivers'!$E:$E,'Commentary drivers'!$A:$A,A87)</f>
        <v>-15</v>
      </c>
      <c r="S87" s="49" t="str">
        <f aca="false">IF(AND(ROUND(Q87-J87,4)=0,ROUND(R87-K87,1)=0),"✓","✗")</f>
        <v>✓</v>
      </c>
    </row>
    <row r="88" customFormat="false" ht="15" hidden="false" customHeight="false" outlineLevel="0" collapsed="false">
      <c r="A88" s="11" t="s">
        <v>1428</v>
      </c>
      <c r="B88" s="11" t="s">
        <v>25</v>
      </c>
      <c r="C88" s="11" t="s">
        <v>26</v>
      </c>
      <c r="D88" s="11" t="s">
        <v>1422</v>
      </c>
      <c r="E88" s="11" t="s">
        <v>1429</v>
      </c>
      <c r="F88" s="11" t="s">
        <v>316</v>
      </c>
      <c r="G88" s="11" t="n">
        <v>0</v>
      </c>
      <c r="H88" s="34" t="n">
        <v>1040</v>
      </c>
      <c r="I88" s="34" t="n">
        <v>987.326</v>
      </c>
      <c r="J88" s="34" t="n">
        <v>52.674</v>
      </c>
      <c r="K88" s="34" t="n">
        <v>52.7</v>
      </c>
      <c r="L88" s="11" t="s">
        <v>317</v>
      </c>
      <c r="M88" s="11" t="s">
        <v>1250</v>
      </c>
      <c r="N88" s="11" t="s">
        <v>1251</v>
      </c>
      <c r="O88" s="11" t="s">
        <v>1252</v>
      </c>
      <c r="P88" s="11" t="s">
        <v>1253</v>
      </c>
      <c r="Q88" s="25" t="n">
        <f aca="false">SUMIFS('Commentary drivers'!$D:$D,'Commentary drivers'!$A:$A,A88)</f>
        <v>52.674</v>
      </c>
      <c r="R88" s="25" t="n">
        <f aca="false">SUMIFS('Commentary drivers'!$E:$E,'Commentary drivers'!$A:$A,A88)</f>
        <v>52.7</v>
      </c>
      <c r="S88" s="49" t="str">
        <f aca="false">IF(AND(ROUND(Q88-J88,4)=0,ROUND(R88-K88,1)=0),"✓","✗")</f>
        <v>✓</v>
      </c>
    </row>
    <row r="89" customFormat="false" ht="15" hidden="false" customHeight="false" outlineLevel="0" collapsed="false">
      <c r="A89" s="11" t="s">
        <v>1430</v>
      </c>
      <c r="B89" s="11" t="s">
        <v>25</v>
      </c>
      <c r="C89" s="11" t="s">
        <v>26</v>
      </c>
      <c r="D89" s="11" t="s">
        <v>1422</v>
      </c>
      <c r="E89" s="11" t="s">
        <v>1431</v>
      </c>
      <c r="F89" s="11" t="s">
        <v>192</v>
      </c>
      <c r="G89" s="11" t="n">
        <v>1</v>
      </c>
      <c r="H89" s="34" t="n">
        <v>400</v>
      </c>
      <c r="I89" s="34" t="n">
        <v>372.071</v>
      </c>
      <c r="J89" s="34" t="n">
        <v>27.929</v>
      </c>
      <c r="K89" s="34" t="n">
        <v>27.9</v>
      </c>
      <c r="L89" s="11" t="s">
        <v>319</v>
      </c>
      <c r="M89" s="11" t="s">
        <v>1250</v>
      </c>
      <c r="N89" s="11" t="s">
        <v>1251</v>
      </c>
      <c r="O89" s="11" t="s">
        <v>1252</v>
      </c>
      <c r="P89" s="11" t="s">
        <v>1253</v>
      </c>
      <c r="Q89" s="25" t="n">
        <f aca="false">SUMIFS('Commentary drivers'!$D:$D,'Commentary drivers'!$A:$A,A89)</f>
        <v>27.929</v>
      </c>
      <c r="R89" s="25" t="n">
        <f aca="false">SUMIFS('Commentary drivers'!$E:$E,'Commentary drivers'!$A:$A,A89)</f>
        <v>27.9</v>
      </c>
      <c r="S89" s="49" t="str">
        <f aca="false">IF(AND(ROUND(Q89-J89,4)=0,ROUND(R89-K89,1)=0),"✓","✗")</f>
        <v>✓</v>
      </c>
    </row>
    <row r="90" customFormat="false" ht="15" hidden="false" customHeight="false" outlineLevel="0" collapsed="false">
      <c r="A90" s="11" t="s">
        <v>1432</v>
      </c>
      <c r="B90" s="11" t="s">
        <v>25</v>
      </c>
      <c r="C90" s="11" t="s">
        <v>26</v>
      </c>
      <c r="D90" s="11" t="s">
        <v>1422</v>
      </c>
      <c r="E90" s="11" t="s">
        <v>1433</v>
      </c>
      <c r="F90" s="11" t="s">
        <v>195</v>
      </c>
      <c r="G90" s="11" t="n">
        <v>1</v>
      </c>
      <c r="H90" s="34" t="n">
        <v>120</v>
      </c>
      <c r="I90" s="34" t="n">
        <v>126.553</v>
      </c>
      <c r="J90" s="34" t="n">
        <v>-6.553</v>
      </c>
      <c r="K90" s="34" t="n">
        <v>-6.6</v>
      </c>
      <c r="L90" s="11" t="s">
        <v>321</v>
      </c>
      <c r="M90" s="11" t="s">
        <v>1250</v>
      </c>
      <c r="N90" s="11" t="s">
        <v>1262</v>
      </c>
      <c r="O90" s="11"/>
      <c r="P90" s="11"/>
      <c r="Q90" s="25" t="n">
        <f aca="false">SUMIFS('Commentary drivers'!$D:$D,'Commentary drivers'!$A:$A,A90)</f>
        <v>-6.553</v>
      </c>
      <c r="R90" s="25" t="n">
        <f aca="false">SUMIFS('Commentary drivers'!$E:$E,'Commentary drivers'!$A:$A,A90)</f>
        <v>-6.6</v>
      </c>
      <c r="S90" s="49" t="str">
        <f aca="false">IF(AND(ROUND(Q90-J90,4)=0,ROUND(R90-K90,1)=0),"✓","✗")</f>
        <v>✓</v>
      </c>
    </row>
    <row r="91" customFormat="false" ht="15" hidden="false" customHeight="false" outlineLevel="0" collapsed="false">
      <c r="A91" s="11" t="s">
        <v>1434</v>
      </c>
      <c r="B91" s="11" t="s">
        <v>25</v>
      </c>
      <c r="C91" s="11" t="s">
        <v>26</v>
      </c>
      <c r="D91" s="11" t="s">
        <v>1422</v>
      </c>
      <c r="E91" s="11" t="s">
        <v>1435</v>
      </c>
      <c r="F91" s="11" t="s">
        <v>198</v>
      </c>
      <c r="G91" s="11" t="n">
        <v>1</v>
      </c>
      <c r="H91" s="34" t="n">
        <v>160</v>
      </c>
      <c r="I91" s="34" t="n">
        <v>144.269</v>
      </c>
      <c r="J91" s="34" t="n">
        <v>15.731</v>
      </c>
      <c r="K91" s="34" t="n">
        <v>15.7</v>
      </c>
      <c r="L91" s="11" t="s">
        <v>199</v>
      </c>
      <c r="M91" s="11" t="s">
        <v>1250</v>
      </c>
      <c r="N91" s="11" t="s">
        <v>1251</v>
      </c>
      <c r="O91" s="11" t="s">
        <v>1252</v>
      </c>
      <c r="P91" s="11" t="s">
        <v>1253</v>
      </c>
      <c r="Q91" s="25" t="n">
        <f aca="false">SUMIFS('Commentary drivers'!$D:$D,'Commentary drivers'!$A:$A,A91)</f>
        <v>15.731</v>
      </c>
      <c r="R91" s="25" t="n">
        <f aca="false">SUMIFS('Commentary drivers'!$E:$E,'Commentary drivers'!$A:$A,A91)</f>
        <v>15.7</v>
      </c>
      <c r="S91" s="49" t="str">
        <f aca="false">IF(AND(ROUND(Q91-J91,4)=0,ROUND(R91-K91,1)=0),"✓","✗")</f>
        <v>✓</v>
      </c>
    </row>
    <row r="92" customFormat="false" ht="15" hidden="false" customHeight="false" outlineLevel="0" collapsed="false">
      <c r="A92" s="11" t="s">
        <v>1436</v>
      </c>
      <c r="B92" s="11" t="s">
        <v>25</v>
      </c>
      <c r="C92" s="11" t="s">
        <v>26</v>
      </c>
      <c r="D92" s="11" t="s">
        <v>1422</v>
      </c>
      <c r="E92" s="11" t="s">
        <v>1437</v>
      </c>
      <c r="F92" s="11" t="s">
        <v>323</v>
      </c>
      <c r="G92" s="11" t="n">
        <v>1</v>
      </c>
      <c r="H92" s="34" t="n">
        <v>120</v>
      </c>
      <c r="I92" s="34" t="n">
        <v>119.112</v>
      </c>
      <c r="J92" s="34" t="n">
        <v>0.888</v>
      </c>
      <c r="K92" s="34" t="n">
        <v>0.9</v>
      </c>
      <c r="L92" s="11" t="s">
        <v>324</v>
      </c>
      <c r="M92" s="11" t="s">
        <v>1250</v>
      </c>
      <c r="N92" s="11" t="s">
        <v>1262</v>
      </c>
      <c r="O92" s="11"/>
      <c r="P92" s="11"/>
      <c r="Q92" s="25" t="n">
        <f aca="false">SUMIFS('Commentary drivers'!$D:$D,'Commentary drivers'!$A:$A,A92)</f>
        <v>0.888</v>
      </c>
      <c r="R92" s="25" t="n">
        <f aca="false">SUMIFS('Commentary drivers'!$E:$E,'Commentary drivers'!$A:$A,A92)</f>
        <v>0.9</v>
      </c>
      <c r="S92" s="49" t="str">
        <f aca="false">IF(AND(ROUND(Q92-J92,4)=0,ROUND(R92-K92,1)=0),"✓","✗")</f>
        <v>✓</v>
      </c>
    </row>
    <row r="93" customFormat="false" ht="15" hidden="false" customHeight="false" outlineLevel="0" collapsed="false">
      <c r="A93" s="11" t="s">
        <v>1438</v>
      </c>
      <c r="B93" s="11" t="s">
        <v>25</v>
      </c>
      <c r="C93" s="11" t="s">
        <v>26</v>
      </c>
      <c r="D93" s="11" t="s">
        <v>1422</v>
      </c>
      <c r="E93" s="11" t="s">
        <v>1439</v>
      </c>
      <c r="F93" s="11" t="s">
        <v>225</v>
      </c>
      <c r="G93" s="11" t="n">
        <v>1</v>
      </c>
      <c r="H93" s="34" t="n">
        <v>240</v>
      </c>
      <c r="I93" s="34" t="n">
        <v>225.321</v>
      </c>
      <c r="J93" s="34" t="n">
        <v>14.679</v>
      </c>
      <c r="K93" s="34" t="n">
        <v>14.7</v>
      </c>
      <c r="L93" s="11" t="s">
        <v>226</v>
      </c>
      <c r="M93" s="11" t="s">
        <v>1250</v>
      </c>
      <c r="N93" s="11" t="s">
        <v>1251</v>
      </c>
      <c r="O93" s="11" t="s">
        <v>1252</v>
      </c>
      <c r="P93" s="11" t="s">
        <v>1253</v>
      </c>
      <c r="Q93" s="25" t="n">
        <f aca="false">SUMIFS('Commentary drivers'!$D:$D,'Commentary drivers'!$A:$A,A93)</f>
        <v>14.679</v>
      </c>
      <c r="R93" s="25" t="n">
        <f aca="false">SUMIFS('Commentary drivers'!$E:$E,'Commentary drivers'!$A:$A,A93)</f>
        <v>14.7</v>
      </c>
      <c r="S93" s="49" t="str">
        <f aca="false">IF(AND(ROUND(Q93-J93,4)=0,ROUND(R93-K93,1)=0),"✓","✗")</f>
        <v>✓</v>
      </c>
    </row>
    <row r="94" customFormat="false" ht="15" hidden="false" customHeight="false" outlineLevel="0" collapsed="false">
      <c r="A94" s="11" t="s">
        <v>1440</v>
      </c>
      <c r="B94" s="11" t="s">
        <v>25</v>
      </c>
      <c r="C94" s="11" t="s">
        <v>26</v>
      </c>
      <c r="D94" s="11" t="s">
        <v>1422</v>
      </c>
      <c r="E94" s="11" t="s">
        <v>1441</v>
      </c>
      <c r="F94" s="11" t="s">
        <v>325</v>
      </c>
      <c r="G94" s="11" t="n">
        <v>0</v>
      </c>
      <c r="H94" s="34" t="n">
        <v>280</v>
      </c>
      <c r="I94" s="34" t="n">
        <v>264</v>
      </c>
      <c r="J94" s="34" t="n">
        <v>16</v>
      </c>
      <c r="K94" s="34" t="n">
        <v>16</v>
      </c>
      <c r="L94" s="11" t="s">
        <v>326</v>
      </c>
      <c r="M94" s="11" t="s">
        <v>1250</v>
      </c>
      <c r="N94" s="11" t="s">
        <v>1251</v>
      </c>
      <c r="O94" s="11" t="s">
        <v>1252</v>
      </c>
      <c r="P94" s="11" t="s">
        <v>1253</v>
      </c>
      <c r="Q94" s="25" t="n">
        <f aca="false">SUMIFS('Commentary drivers'!$D:$D,'Commentary drivers'!$A:$A,A94)</f>
        <v>16</v>
      </c>
      <c r="R94" s="25" t="n">
        <f aca="false">SUMIFS('Commentary drivers'!$E:$E,'Commentary drivers'!$A:$A,A94)</f>
        <v>16</v>
      </c>
      <c r="S94" s="49" t="str">
        <f aca="false">IF(AND(ROUND(Q94-J94,4)=0,ROUND(R94-K94,1)=0),"✓","✗")</f>
        <v>✓</v>
      </c>
    </row>
    <row r="95" customFormat="false" ht="15" hidden="false" customHeight="false" outlineLevel="0" collapsed="false">
      <c r="A95" s="11" t="s">
        <v>1442</v>
      </c>
      <c r="B95" s="11" t="s">
        <v>25</v>
      </c>
      <c r="C95" s="11" t="s">
        <v>26</v>
      </c>
      <c r="D95" s="11" t="s">
        <v>1422</v>
      </c>
      <c r="E95" s="11" t="s">
        <v>1443</v>
      </c>
      <c r="F95" s="11" t="s">
        <v>189</v>
      </c>
      <c r="G95" s="11" t="n">
        <v>1</v>
      </c>
      <c r="H95" s="34" t="n">
        <v>200</v>
      </c>
      <c r="I95" s="34" t="n">
        <v>188</v>
      </c>
      <c r="J95" s="34" t="n">
        <v>12</v>
      </c>
      <c r="K95" s="34" t="n">
        <v>12</v>
      </c>
      <c r="L95" s="11" t="s">
        <v>328</v>
      </c>
      <c r="M95" s="11" t="s">
        <v>1250</v>
      </c>
      <c r="N95" s="11" t="s">
        <v>1251</v>
      </c>
      <c r="O95" s="11" t="s">
        <v>1252</v>
      </c>
      <c r="P95" s="11" t="s">
        <v>1253</v>
      </c>
      <c r="Q95" s="25" t="n">
        <f aca="false">SUMIFS('Commentary drivers'!$D:$D,'Commentary drivers'!$A:$A,A95)</f>
        <v>12</v>
      </c>
      <c r="R95" s="25" t="n">
        <f aca="false">SUMIFS('Commentary drivers'!$E:$E,'Commentary drivers'!$A:$A,A95)</f>
        <v>12</v>
      </c>
      <c r="S95" s="49" t="str">
        <f aca="false">IF(AND(ROUND(Q95-J95,4)=0,ROUND(R95-K95,1)=0),"✓","✗")</f>
        <v>✓</v>
      </c>
    </row>
    <row r="96" customFormat="false" ht="15" hidden="false" customHeight="false" outlineLevel="0" collapsed="false">
      <c r="A96" s="11" t="s">
        <v>1444</v>
      </c>
      <c r="B96" s="11" t="s">
        <v>25</v>
      </c>
      <c r="C96" s="11" t="s">
        <v>26</v>
      </c>
      <c r="D96" s="11" t="s">
        <v>1422</v>
      </c>
      <c r="E96" s="11" t="s">
        <v>1445</v>
      </c>
      <c r="F96" s="11" t="s">
        <v>201</v>
      </c>
      <c r="G96" s="11" t="n">
        <v>1</v>
      </c>
      <c r="H96" s="34" t="n">
        <v>80</v>
      </c>
      <c r="I96" s="34" t="n">
        <v>76</v>
      </c>
      <c r="J96" s="34" t="n">
        <v>4</v>
      </c>
      <c r="K96" s="34" t="n">
        <v>4</v>
      </c>
      <c r="L96" s="11" t="s">
        <v>329</v>
      </c>
      <c r="M96" s="11" t="s">
        <v>1250</v>
      </c>
      <c r="N96" s="11" t="s">
        <v>1262</v>
      </c>
      <c r="O96" s="11"/>
      <c r="P96" s="11"/>
      <c r="Q96" s="25" t="n">
        <f aca="false">SUMIFS('Commentary drivers'!$D:$D,'Commentary drivers'!$A:$A,A96)</f>
        <v>4</v>
      </c>
      <c r="R96" s="25" t="n">
        <f aca="false">SUMIFS('Commentary drivers'!$E:$E,'Commentary drivers'!$A:$A,A96)</f>
        <v>4</v>
      </c>
      <c r="S96" s="49" t="str">
        <f aca="false">IF(AND(ROUND(Q96-J96,4)=0,ROUND(R96-K96,1)=0),"✓","✗")</f>
        <v>✓</v>
      </c>
    </row>
    <row r="97" customFormat="false" ht="15" hidden="false" customHeight="false" outlineLevel="0" collapsed="false">
      <c r="A97" s="11" t="s">
        <v>1446</v>
      </c>
      <c r="B97" s="11" t="s">
        <v>25</v>
      </c>
      <c r="C97" s="11" t="s">
        <v>26</v>
      </c>
      <c r="D97" s="11" t="s">
        <v>1422</v>
      </c>
      <c r="E97" s="11" t="s">
        <v>1447</v>
      </c>
      <c r="F97" s="11" t="s">
        <v>331</v>
      </c>
      <c r="G97" s="11" t="n">
        <v>0</v>
      </c>
      <c r="H97" s="34" t="n">
        <v>280</v>
      </c>
      <c r="I97" s="34" t="n">
        <v>312</v>
      </c>
      <c r="J97" s="34" t="n">
        <v>-32</v>
      </c>
      <c r="K97" s="34" t="n">
        <v>-32</v>
      </c>
      <c r="L97" s="11" t="s">
        <v>332</v>
      </c>
      <c r="M97" s="11" t="s">
        <v>1250</v>
      </c>
      <c r="N97" s="11" t="s">
        <v>1251</v>
      </c>
      <c r="O97" s="11" t="s">
        <v>1252</v>
      </c>
      <c r="P97" s="11" t="s">
        <v>1253</v>
      </c>
      <c r="Q97" s="25" t="n">
        <f aca="false">SUMIFS('Commentary drivers'!$D:$D,'Commentary drivers'!$A:$A,A97)</f>
        <v>-32</v>
      </c>
      <c r="R97" s="25" t="n">
        <f aca="false">SUMIFS('Commentary drivers'!$E:$E,'Commentary drivers'!$A:$A,A97)</f>
        <v>-32</v>
      </c>
      <c r="S97" s="49" t="str">
        <f aca="false">IF(AND(ROUND(Q97-J97,4)=0,ROUND(R97-K97,1)=0),"✓","✗")</f>
        <v>✓</v>
      </c>
    </row>
    <row r="98" customFormat="false" ht="15" hidden="false" customHeight="false" outlineLevel="0" collapsed="false">
      <c r="A98" s="11" t="s">
        <v>1448</v>
      </c>
      <c r="B98" s="11" t="s">
        <v>25</v>
      </c>
      <c r="C98" s="11" t="s">
        <v>26</v>
      </c>
      <c r="D98" s="11" t="s">
        <v>1422</v>
      </c>
      <c r="E98" s="11" t="s">
        <v>1449</v>
      </c>
      <c r="F98" s="11" t="s">
        <v>230</v>
      </c>
      <c r="G98" s="11" t="n">
        <v>1</v>
      </c>
      <c r="H98" s="34" t="n">
        <v>100</v>
      </c>
      <c r="I98" s="34" t="n">
        <v>140</v>
      </c>
      <c r="J98" s="34" t="n">
        <v>-40</v>
      </c>
      <c r="K98" s="34" t="n">
        <v>-40</v>
      </c>
      <c r="L98" s="11" t="s">
        <v>231</v>
      </c>
      <c r="M98" s="11" t="s">
        <v>1250</v>
      </c>
      <c r="N98" s="11" t="s">
        <v>1251</v>
      </c>
      <c r="O98" s="11" t="s">
        <v>1252</v>
      </c>
      <c r="P98" s="11" t="s">
        <v>1253</v>
      </c>
      <c r="Q98" s="25" t="n">
        <f aca="false">SUMIFS('Commentary drivers'!$D:$D,'Commentary drivers'!$A:$A,A98)</f>
        <v>-40</v>
      </c>
      <c r="R98" s="25" t="n">
        <f aca="false">SUMIFS('Commentary drivers'!$E:$E,'Commentary drivers'!$A:$A,A98)</f>
        <v>-40</v>
      </c>
      <c r="S98" s="49" t="str">
        <f aca="false">IF(AND(ROUND(Q98-J98,4)=0,ROUND(R98-K98,1)=0),"✓","✗")</f>
        <v>✓</v>
      </c>
    </row>
    <row r="99" customFormat="false" ht="15" hidden="false" customHeight="false" outlineLevel="0" collapsed="false">
      <c r="A99" s="11" t="s">
        <v>1450</v>
      </c>
      <c r="B99" s="11" t="s">
        <v>25</v>
      </c>
      <c r="C99" s="11" t="s">
        <v>26</v>
      </c>
      <c r="D99" s="11" t="s">
        <v>1422</v>
      </c>
      <c r="E99" s="11" t="s">
        <v>1451</v>
      </c>
      <c r="F99" s="11" t="s">
        <v>242</v>
      </c>
      <c r="G99" s="11" t="n">
        <v>1</v>
      </c>
      <c r="H99" s="34" t="n">
        <v>180</v>
      </c>
      <c r="I99" s="34" t="n">
        <v>172</v>
      </c>
      <c r="J99" s="34" t="n">
        <v>8</v>
      </c>
      <c r="K99" s="34" t="n">
        <v>8</v>
      </c>
      <c r="L99" s="11" t="s">
        <v>243</v>
      </c>
      <c r="M99" s="11" t="s">
        <v>1315</v>
      </c>
      <c r="N99" s="11" t="s">
        <v>1251</v>
      </c>
      <c r="O99" s="11" t="s">
        <v>1252</v>
      </c>
      <c r="P99" s="11" t="s">
        <v>1253</v>
      </c>
      <c r="Q99" s="25" t="n">
        <f aca="false">SUMIFS('Commentary drivers'!$D:$D,'Commentary drivers'!$A:$A,A99)</f>
        <v>8</v>
      </c>
      <c r="R99" s="25" t="n">
        <f aca="false">SUMIFS('Commentary drivers'!$E:$E,'Commentary drivers'!$A:$A,A99)</f>
        <v>8</v>
      </c>
      <c r="S99" s="49" t="str">
        <f aca="false">IF(AND(ROUND(Q99-J99,4)=0,ROUND(R99-K99,1)=0),"✓","✗")</f>
        <v>✓</v>
      </c>
    </row>
    <row r="100" customFormat="false" ht="15" hidden="false" customHeight="false" outlineLevel="0" collapsed="false">
      <c r="A100" s="11" t="s">
        <v>1452</v>
      </c>
      <c r="B100" s="11" t="s">
        <v>25</v>
      </c>
      <c r="C100" s="11" t="s">
        <v>26</v>
      </c>
      <c r="D100" s="11" t="s">
        <v>1422</v>
      </c>
      <c r="E100" s="11" t="s">
        <v>1453</v>
      </c>
      <c r="F100" s="11" t="s">
        <v>334</v>
      </c>
      <c r="G100" s="11" t="n">
        <v>0</v>
      </c>
      <c r="H100" s="34" t="n">
        <v>180</v>
      </c>
      <c r="I100" s="34" t="n">
        <v>175</v>
      </c>
      <c r="J100" s="34" t="n">
        <v>5</v>
      </c>
      <c r="K100" s="34" t="n">
        <v>5</v>
      </c>
      <c r="L100" s="11" t="s">
        <v>335</v>
      </c>
      <c r="M100" s="11" t="s">
        <v>1250</v>
      </c>
      <c r="N100" s="11" t="s">
        <v>1251</v>
      </c>
      <c r="O100" s="11" t="s">
        <v>1252</v>
      </c>
      <c r="P100" s="11" t="s">
        <v>1253</v>
      </c>
      <c r="Q100" s="25" t="n">
        <f aca="false">SUMIFS('Commentary drivers'!$D:$D,'Commentary drivers'!$A:$A,A100)</f>
        <v>5</v>
      </c>
      <c r="R100" s="25" t="n">
        <f aca="false">SUMIFS('Commentary drivers'!$E:$E,'Commentary drivers'!$A:$A,A100)</f>
        <v>5</v>
      </c>
      <c r="S100" s="49" t="str">
        <f aca="false">IF(AND(ROUND(Q100-J100,4)=0,ROUND(R100-K100,1)=0),"✓","✗")</f>
        <v>✓</v>
      </c>
    </row>
    <row r="101" customFormat="false" ht="15" hidden="false" customHeight="false" outlineLevel="0" collapsed="false">
      <c r="A101" s="11" t="s">
        <v>1454</v>
      </c>
      <c r="B101" s="11" t="s">
        <v>25</v>
      </c>
      <c r="C101" s="11" t="s">
        <v>26</v>
      </c>
      <c r="D101" s="11" t="s">
        <v>1422</v>
      </c>
      <c r="E101" s="11" t="s">
        <v>1455</v>
      </c>
      <c r="F101" s="11" t="s">
        <v>233</v>
      </c>
      <c r="G101" s="11" t="n">
        <v>1</v>
      </c>
      <c r="H101" s="34" t="n">
        <v>40</v>
      </c>
      <c r="I101" s="34" t="n">
        <v>39</v>
      </c>
      <c r="J101" s="34" t="n">
        <v>1</v>
      </c>
      <c r="K101" s="34" t="n">
        <v>1</v>
      </c>
      <c r="L101" s="11" t="s">
        <v>234</v>
      </c>
      <c r="M101" s="11" t="s">
        <v>1250</v>
      </c>
      <c r="N101" s="11" t="s">
        <v>1262</v>
      </c>
      <c r="O101" s="11"/>
      <c r="P101" s="11"/>
      <c r="Q101" s="25" t="n">
        <f aca="false">SUMIFS('Commentary drivers'!$D:$D,'Commentary drivers'!$A:$A,A101)</f>
        <v>1</v>
      </c>
      <c r="R101" s="25" t="n">
        <f aca="false">SUMIFS('Commentary drivers'!$E:$E,'Commentary drivers'!$A:$A,A101)</f>
        <v>1</v>
      </c>
      <c r="S101" s="49" t="str">
        <f aca="false">IF(AND(ROUND(Q101-J101,4)=0,ROUND(R101-K101,1)=0),"✓","✗")</f>
        <v>✓</v>
      </c>
    </row>
    <row r="102" customFormat="false" ht="15" hidden="false" customHeight="false" outlineLevel="0" collapsed="false">
      <c r="A102" s="11" t="s">
        <v>1456</v>
      </c>
      <c r="B102" s="11" t="s">
        <v>25</v>
      </c>
      <c r="C102" s="11" t="s">
        <v>26</v>
      </c>
      <c r="D102" s="11" t="s">
        <v>1422</v>
      </c>
      <c r="E102" s="11" t="s">
        <v>1457</v>
      </c>
      <c r="F102" s="11" t="s">
        <v>204</v>
      </c>
      <c r="G102" s="11" t="n">
        <v>1</v>
      </c>
      <c r="H102" s="34" t="n">
        <v>60</v>
      </c>
      <c r="I102" s="34" t="n">
        <v>58</v>
      </c>
      <c r="J102" s="34" t="n">
        <v>2</v>
      </c>
      <c r="K102" s="34" t="n">
        <v>2</v>
      </c>
      <c r="L102" s="11" t="s">
        <v>337</v>
      </c>
      <c r="M102" s="11" t="s">
        <v>1250</v>
      </c>
      <c r="N102" s="11" t="s">
        <v>1262</v>
      </c>
      <c r="O102" s="11"/>
      <c r="P102" s="11"/>
      <c r="Q102" s="25" t="n">
        <f aca="false">SUMIFS('Commentary drivers'!$D:$D,'Commentary drivers'!$A:$A,A102)</f>
        <v>2</v>
      </c>
      <c r="R102" s="25" t="n">
        <f aca="false">SUMIFS('Commentary drivers'!$E:$E,'Commentary drivers'!$A:$A,A102)</f>
        <v>2</v>
      </c>
      <c r="S102" s="49" t="str">
        <f aca="false">IF(AND(ROUND(Q102-J102,4)=0,ROUND(R102-K102,1)=0),"✓","✗")</f>
        <v>✓</v>
      </c>
    </row>
    <row r="103" customFormat="false" ht="15" hidden="false" customHeight="false" outlineLevel="0" collapsed="false">
      <c r="A103" s="11" t="s">
        <v>1458</v>
      </c>
      <c r="B103" s="11" t="s">
        <v>25</v>
      </c>
      <c r="C103" s="11" t="s">
        <v>26</v>
      </c>
      <c r="D103" s="11" t="s">
        <v>1422</v>
      </c>
      <c r="E103" s="11" t="s">
        <v>1459</v>
      </c>
      <c r="F103" s="11" t="s">
        <v>207</v>
      </c>
      <c r="G103" s="11" t="n">
        <v>1</v>
      </c>
      <c r="H103" s="34" t="n">
        <v>80</v>
      </c>
      <c r="I103" s="34" t="n">
        <v>78</v>
      </c>
      <c r="J103" s="34" t="n">
        <v>2</v>
      </c>
      <c r="K103" s="34" t="n">
        <v>2</v>
      </c>
      <c r="L103" s="11" t="s">
        <v>338</v>
      </c>
      <c r="M103" s="11" t="s">
        <v>1250</v>
      </c>
      <c r="N103" s="11" t="s">
        <v>1262</v>
      </c>
      <c r="O103" s="11"/>
      <c r="P103" s="11"/>
      <c r="Q103" s="25" t="n">
        <f aca="false">SUMIFS('Commentary drivers'!$D:$D,'Commentary drivers'!$A:$A,A103)</f>
        <v>2</v>
      </c>
      <c r="R103" s="25" t="n">
        <f aca="false">SUMIFS('Commentary drivers'!$E:$E,'Commentary drivers'!$A:$A,A103)</f>
        <v>2</v>
      </c>
      <c r="S103" s="49" t="str">
        <f aca="false">IF(AND(ROUND(Q103-J103,4)=0,ROUND(R103-K103,1)=0),"✓","✗")</f>
        <v>✓</v>
      </c>
    </row>
    <row r="104" customFormat="false" ht="15" hidden="false" customHeight="false" outlineLevel="0" collapsed="false">
      <c r="A104" s="11" t="s">
        <v>1460</v>
      </c>
      <c r="B104" s="11" t="s">
        <v>25</v>
      </c>
      <c r="C104" s="11" t="s">
        <v>26</v>
      </c>
      <c r="D104" s="11" t="s">
        <v>1422</v>
      </c>
      <c r="E104" s="11" t="s">
        <v>1461</v>
      </c>
      <c r="F104" s="11" t="s">
        <v>339</v>
      </c>
      <c r="G104" s="11" t="n">
        <v>0</v>
      </c>
      <c r="H104" s="34" t="n">
        <v>1780</v>
      </c>
      <c r="I104" s="34" t="n">
        <v>1738.326</v>
      </c>
      <c r="J104" s="34" t="n">
        <v>41.674</v>
      </c>
      <c r="K104" s="34" t="n">
        <v>41.7</v>
      </c>
      <c r="L104" s="11" t="s">
        <v>340</v>
      </c>
      <c r="M104" s="11" t="s">
        <v>1250</v>
      </c>
      <c r="N104" s="11" t="s">
        <v>1251</v>
      </c>
      <c r="O104" s="11" t="s">
        <v>1252</v>
      </c>
      <c r="P104" s="11" t="s">
        <v>1253</v>
      </c>
      <c r="Q104" s="25" t="n">
        <f aca="false">SUMIFS('Commentary drivers'!$D:$D,'Commentary drivers'!$A:$A,A104)</f>
        <v>41.674</v>
      </c>
      <c r="R104" s="25" t="n">
        <f aca="false">SUMIFS('Commentary drivers'!$E:$E,'Commentary drivers'!$A:$A,A104)</f>
        <v>41.7</v>
      </c>
      <c r="S104" s="49" t="str">
        <f aca="false">IF(AND(ROUND(Q104-J104,4)=0,ROUND(R104-K104,1)=0),"✓","✗")</f>
        <v>✓</v>
      </c>
    </row>
    <row r="105" customFormat="false" ht="15" hidden="false" customHeight="false" outlineLevel="0" collapsed="false">
      <c r="A105" s="11" t="s">
        <v>1462</v>
      </c>
      <c r="B105" s="11" t="s">
        <v>25</v>
      </c>
      <c r="C105" s="11" t="s">
        <v>26</v>
      </c>
      <c r="D105" s="11" t="s">
        <v>1422</v>
      </c>
      <c r="E105" s="11" t="s">
        <v>1463</v>
      </c>
      <c r="F105" s="11" t="s">
        <v>96</v>
      </c>
      <c r="G105" s="11" t="n">
        <v>0</v>
      </c>
      <c r="H105" s="34" t="n">
        <v>220</v>
      </c>
      <c r="I105" s="34" t="n">
        <v>253.201</v>
      </c>
      <c r="J105" s="34" t="n">
        <v>-33.201</v>
      </c>
      <c r="K105" s="34" t="n">
        <v>-33.2</v>
      </c>
      <c r="L105" s="11" t="s">
        <v>342</v>
      </c>
      <c r="M105" s="11" t="s">
        <v>1250</v>
      </c>
      <c r="N105" s="11" t="s">
        <v>1251</v>
      </c>
      <c r="O105" s="11" t="s">
        <v>1252</v>
      </c>
      <c r="P105" s="11" t="s">
        <v>1253</v>
      </c>
      <c r="Q105" s="25" t="n">
        <f aca="false">SUMIFS('Commentary drivers'!$D:$D,'Commentary drivers'!$A:$A,A105)</f>
        <v>-33.201</v>
      </c>
      <c r="R105" s="25" t="n">
        <f aca="false">SUMIFS('Commentary drivers'!$E:$E,'Commentary drivers'!$A:$A,A105)</f>
        <v>-33.2</v>
      </c>
      <c r="S105" s="49" t="str">
        <f aca="false">IF(AND(ROUND(Q105-J105,4)=0,ROUND(R105-K105,1)=0),"✓","✗")</f>
        <v>✓</v>
      </c>
    </row>
    <row r="106" customFormat="false" ht="15" hidden="false" customHeight="false" outlineLevel="0" collapsed="false">
      <c r="A106" s="11" t="s">
        <v>1464</v>
      </c>
      <c r="B106" s="11" t="s">
        <v>25</v>
      </c>
      <c r="C106" s="11" t="s">
        <v>26</v>
      </c>
      <c r="D106" s="11" t="s">
        <v>1422</v>
      </c>
      <c r="E106" s="11" t="s">
        <v>1465</v>
      </c>
      <c r="F106" s="11" t="s">
        <v>343</v>
      </c>
      <c r="G106" s="11" t="n">
        <v>0</v>
      </c>
      <c r="H106" s="34" t="n">
        <v>-20</v>
      </c>
      <c r="I106" s="34" t="n">
        <v>-19</v>
      </c>
      <c r="J106" s="34" t="n">
        <v>-1</v>
      </c>
      <c r="K106" s="34" t="n">
        <v>-1</v>
      </c>
      <c r="L106" s="11" t="s">
        <v>344</v>
      </c>
      <c r="M106" s="11" t="s">
        <v>1250</v>
      </c>
      <c r="N106" s="11" t="s">
        <v>1251</v>
      </c>
      <c r="O106" s="11" t="s">
        <v>1252</v>
      </c>
      <c r="P106" s="11" t="s">
        <v>1253</v>
      </c>
      <c r="Q106" s="25" t="n">
        <f aca="false">SUMIFS('Commentary drivers'!$D:$D,'Commentary drivers'!$A:$A,A106)</f>
        <v>-1</v>
      </c>
      <c r="R106" s="25" t="n">
        <f aca="false">SUMIFS('Commentary drivers'!$E:$E,'Commentary drivers'!$A:$A,A106)</f>
        <v>-1</v>
      </c>
      <c r="S106" s="49" t="str">
        <f aca="false">IF(AND(ROUND(Q106-J106,4)=0,ROUND(R106-K106,1)=0),"✓","✗")</f>
        <v>✓</v>
      </c>
    </row>
    <row r="107" customFormat="false" ht="15" hidden="false" customHeight="false" outlineLevel="0" collapsed="false">
      <c r="A107" s="11" t="s">
        <v>1466</v>
      </c>
      <c r="B107" s="11" t="s">
        <v>25</v>
      </c>
      <c r="C107" s="11" t="s">
        <v>26</v>
      </c>
      <c r="D107" s="11" t="s">
        <v>1422</v>
      </c>
      <c r="E107" s="11" t="s">
        <v>1467</v>
      </c>
      <c r="F107" s="11" t="s">
        <v>345</v>
      </c>
      <c r="G107" s="11" t="n">
        <v>1</v>
      </c>
      <c r="H107" s="34" t="n">
        <v>10</v>
      </c>
      <c r="I107" s="34" t="n">
        <v>11</v>
      </c>
      <c r="J107" s="34" t="n">
        <v>-1</v>
      </c>
      <c r="K107" s="34" t="n">
        <v>-1</v>
      </c>
      <c r="L107" s="11" t="s">
        <v>251</v>
      </c>
      <c r="M107" s="11" t="s">
        <v>1250</v>
      </c>
      <c r="N107" s="11" t="s">
        <v>1262</v>
      </c>
      <c r="O107" s="11"/>
      <c r="P107" s="11"/>
      <c r="Q107" s="25" t="n">
        <f aca="false">SUMIFS('Commentary drivers'!$D:$D,'Commentary drivers'!$A:$A,A107)</f>
        <v>-1</v>
      </c>
      <c r="R107" s="25" t="n">
        <f aca="false">SUMIFS('Commentary drivers'!$E:$E,'Commentary drivers'!$A:$A,A107)</f>
        <v>-1</v>
      </c>
      <c r="S107" s="49" t="str">
        <f aca="false">IF(AND(ROUND(Q107-J107,4)=0,ROUND(R107-K107,1)=0),"✓","✗")</f>
        <v>✓</v>
      </c>
    </row>
    <row r="108" customFormat="false" ht="15" hidden="false" customHeight="false" outlineLevel="0" collapsed="false">
      <c r="A108" s="11" t="s">
        <v>1468</v>
      </c>
      <c r="B108" s="11" t="s">
        <v>25</v>
      </c>
      <c r="C108" s="11" t="s">
        <v>26</v>
      </c>
      <c r="D108" s="11" t="s">
        <v>1422</v>
      </c>
      <c r="E108" s="11" t="s">
        <v>1469</v>
      </c>
      <c r="F108" s="11" t="s">
        <v>346</v>
      </c>
      <c r="G108" s="11" t="n">
        <v>1</v>
      </c>
      <c r="H108" s="34" t="n">
        <v>30</v>
      </c>
      <c r="I108" s="34" t="n">
        <v>30</v>
      </c>
      <c r="J108" s="34" t="n">
        <v>0</v>
      </c>
      <c r="K108" s="34" t="n">
        <v>0</v>
      </c>
      <c r="L108" s="11" t="s">
        <v>252</v>
      </c>
      <c r="M108" s="11" t="s">
        <v>1250</v>
      </c>
      <c r="N108" s="11" t="s">
        <v>1262</v>
      </c>
      <c r="O108" s="11"/>
      <c r="P108" s="11"/>
      <c r="Q108" s="25" t="n">
        <f aca="false">SUMIFS('Commentary drivers'!$D:$D,'Commentary drivers'!$A:$A,A108)</f>
        <v>0</v>
      </c>
      <c r="R108" s="25" t="n">
        <f aca="false">SUMIFS('Commentary drivers'!$E:$E,'Commentary drivers'!$A:$A,A108)</f>
        <v>0</v>
      </c>
      <c r="S108" s="49" t="str">
        <f aca="false">IF(AND(ROUND(Q108-J108,4)=0,ROUND(R108-K108,1)=0),"✓","✗")</f>
        <v>✓</v>
      </c>
    </row>
    <row r="109" customFormat="false" ht="15" hidden="false" customHeight="false" outlineLevel="0" collapsed="false">
      <c r="A109" s="11" t="s">
        <v>1470</v>
      </c>
      <c r="B109" s="11" t="s">
        <v>25</v>
      </c>
      <c r="C109" s="11" t="s">
        <v>26</v>
      </c>
      <c r="D109" s="11" t="s">
        <v>1422</v>
      </c>
      <c r="E109" s="11" t="s">
        <v>1471</v>
      </c>
      <c r="F109" s="11" t="s">
        <v>347</v>
      </c>
      <c r="G109" s="11" t="n">
        <v>0</v>
      </c>
      <c r="H109" s="34" t="n">
        <v>40</v>
      </c>
      <c r="I109" s="34" t="n">
        <v>35</v>
      </c>
      <c r="J109" s="34" t="n">
        <v>5</v>
      </c>
      <c r="K109" s="34" t="n">
        <v>5</v>
      </c>
      <c r="L109" s="11" t="s">
        <v>254</v>
      </c>
      <c r="M109" s="11" t="s">
        <v>1250</v>
      </c>
      <c r="N109" s="11" t="s">
        <v>1251</v>
      </c>
      <c r="O109" s="11" t="s">
        <v>1252</v>
      </c>
      <c r="P109" s="11" t="s">
        <v>1253</v>
      </c>
      <c r="Q109" s="25" t="n">
        <f aca="false">SUMIFS('Commentary drivers'!$D:$D,'Commentary drivers'!$A:$A,A109)</f>
        <v>5</v>
      </c>
      <c r="R109" s="25" t="n">
        <f aca="false">SUMIFS('Commentary drivers'!$E:$E,'Commentary drivers'!$A:$A,A109)</f>
        <v>5</v>
      </c>
      <c r="S109" s="49" t="str">
        <f aca="false">IF(AND(ROUND(Q109-J109,4)=0,ROUND(R109-K109,1)=0),"✓","✗")</f>
        <v>✓</v>
      </c>
    </row>
    <row r="110" customFormat="false" ht="15" hidden="false" customHeight="false" outlineLevel="0" collapsed="false">
      <c r="A110" s="11" t="s">
        <v>1472</v>
      </c>
      <c r="B110" s="11" t="s">
        <v>25</v>
      </c>
      <c r="C110" s="11" t="s">
        <v>26</v>
      </c>
      <c r="D110" s="11" t="s">
        <v>1422</v>
      </c>
      <c r="E110" s="11" t="s">
        <v>1473</v>
      </c>
      <c r="F110" s="11" t="s">
        <v>97</v>
      </c>
      <c r="G110" s="11" t="n">
        <v>0</v>
      </c>
      <c r="H110" s="34" t="n">
        <v>160</v>
      </c>
      <c r="I110" s="34" t="n">
        <v>199.201</v>
      </c>
      <c r="J110" s="34" t="n">
        <v>-39.201</v>
      </c>
      <c r="K110" s="34" t="n">
        <v>-39.2</v>
      </c>
      <c r="L110" s="11" t="s">
        <v>348</v>
      </c>
      <c r="M110" s="11" t="s">
        <v>1250</v>
      </c>
      <c r="N110" s="11" t="s">
        <v>1251</v>
      </c>
      <c r="O110" s="11" t="s">
        <v>1252</v>
      </c>
      <c r="P110" s="11" t="s">
        <v>1253</v>
      </c>
      <c r="Q110" s="25" t="n">
        <f aca="false">SUMIFS('Commentary drivers'!$D:$D,'Commentary drivers'!$A:$A,A110)</f>
        <v>-39.201</v>
      </c>
      <c r="R110" s="25" t="n">
        <f aca="false">SUMIFS('Commentary drivers'!$E:$E,'Commentary drivers'!$A:$A,A110)</f>
        <v>-39.2</v>
      </c>
      <c r="S110" s="49" t="str">
        <f aca="false">IF(AND(ROUND(Q110-J110,4)=0,ROUND(R110-K110,1)=0),"✓","✗")</f>
        <v>✓</v>
      </c>
    </row>
    <row r="111" customFormat="false" ht="15" hidden="false" customHeight="false" outlineLevel="0" collapsed="false">
      <c r="A111" s="11" t="s">
        <v>1474</v>
      </c>
      <c r="B111" s="11" t="s">
        <v>25</v>
      </c>
      <c r="C111" s="11" t="s">
        <v>26</v>
      </c>
      <c r="D111" s="11" t="s">
        <v>1475</v>
      </c>
      <c r="E111" s="11" t="s">
        <v>1476</v>
      </c>
      <c r="F111" s="11" t="s">
        <v>351</v>
      </c>
      <c r="G111" s="11" t="n">
        <v>0</v>
      </c>
      <c r="H111" s="34" t="n">
        <v>18786.54644</v>
      </c>
      <c r="I111" s="34" t="n">
        <v>19520.33228</v>
      </c>
      <c r="J111" s="34" t="n">
        <v>-733.78584</v>
      </c>
      <c r="K111" s="34" t="n">
        <v>-733.8</v>
      </c>
      <c r="L111" s="11" t="s">
        <v>352</v>
      </c>
      <c r="M111" s="11" t="s">
        <v>1250</v>
      </c>
      <c r="N111" s="11" t="s">
        <v>1251</v>
      </c>
      <c r="O111" s="11" t="s">
        <v>1252</v>
      </c>
      <c r="P111" s="11" t="s">
        <v>1253</v>
      </c>
      <c r="Q111" s="25" t="n">
        <f aca="false">SUMIFS('Commentary drivers'!$D:$D,'Commentary drivers'!$A:$A,A111)</f>
        <v>-733.78584</v>
      </c>
      <c r="R111" s="25" t="n">
        <f aca="false">SUMIFS('Commentary drivers'!$E:$E,'Commentary drivers'!$A:$A,A111)</f>
        <v>-733.8</v>
      </c>
      <c r="S111" s="49" t="str">
        <f aca="false">IF(AND(ROUND(Q111-J111,4)=0,ROUND(R111-K111,1)=0),"✓","✗")</f>
        <v>✓</v>
      </c>
    </row>
    <row r="112" customFormat="false" ht="15" hidden="false" customHeight="false" outlineLevel="0" collapsed="false">
      <c r="A112" s="11" t="s">
        <v>1477</v>
      </c>
      <c r="B112" s="11" t="s">
        <v>25</v>
      </c>
      <c r="C112" s="11" t="s">
        <v>26</v>
      </c>
      <c r="D112" s="11" t="s">
        <v>1475</v>
      </c>
      <c r="E112" s="11" t="s">
        <v>1478</v>
      </c>
      <c r="F112" s="11" t="s">
        <v>353</v>
      </c>
      <c r="G112" s="11" t="n">
        <v>1</v>
      </c>
      <c r="H112" s="34" t="n">
        <v>14474.18299</v>
      </c>
      <c r="I112" s="34" t="n">
        <v>13488.57023</v>
      </c>
      <c r="J112" s="34" t="n">
        <v>985.61276</v>
      </c>
      <c r="K112" s="34" t="n">
        <v>985.6</v>
      </c>
      <c r="L112" s="11" t="s">
        <v>354</v>
      </c>
      <c r="M112" s="11" t="s">
        <v>1250</v>
      </c>
      <c r="N112" s="11" t="s">
        <v>1251</v>
      </c>
      <c r="O112" s="11" t="s">
        <v>1252</v>
      </c>
      <c r="P112" s="11" t="s">
        <v>1253</v>
      </c>
      <c r="Q112" s="25" t="n">
        <f aca="false">SUMIFS('Commentary drivers'!$D:$D,'Commentary drivers'!$A:$A,A112)</f>
        <v>985.61276</v>
      </c>
      <c r="R112" s="25" t="n">
        <f aca="false">SUMIFS('Commentary drivers'!$E:$E,'Commentary drivers'!$A:$A,A112)</f>
        <v>985.6</v>
      </c>
      <c r="S112" s="49" t="str">
        <f aca="false">IF(AND(ROUND(Q112-J112,4)=0,ROUND(R112-K112,1)=0),"✓","✗")</f>
        <v>✓</v>
      </c>
    </row>
    <row r="113" customFormat="false" ht="15" hidden="false" customHeight="false" outlineLevel="0" collapsed="false">
      <c r="A113" s="11" t="s">
        <v>1479</v>
      </c>
      <c r="B113" s="11" t="s">
        <v>25</v>
      </c>
      <c r="C113" s="11" t="s">
        <v>26</v>
      </c>
      <c r="D113" s="11" t="s">
        <v>1475</v>
      </c>
      <c r="E113" s="11" t="s">
        <v>1480</v>
      </c>
      <c r="F113" s="11" t="s">
        <v>355</v>
      </c>
      <c r="G113" s="11" t="n">
        <v>1</v>
      </c>
      <c r="H113" s="34" t="n">
        <v>2872.86345</v>
      </c>
      <c r="I113" s="34" t="n">
        <v>4561.26205</v>
      </c>
      <c r="J113" s="34" t="n">
        <v>-1688.3986</v>
      </c>
      <c r="K113" s="34" t="n">
        <v>-1688.4</v>
      </c>
      <c r="L113" s="11" t="s">
        <v>356</v>
      </c>
      <c r="M113" s="11" t="s">
        <v>1250</v>
      </c>
      <c r="N113" s="11" t="s">
        <v>1251</v>
      </c>
      <c r="O113" s="11" t="s">
        <v>1252</v>
      </c>
      <c r="P113" s="11" t="s">
        <v>1253</v>
      </c>
      <c r="Q113" s="25" t="n">
        <f aca="false">SUMIFS('Commentary drivers'!$D:$D,'Commentary drivers'!$A:$A,A113)</f>
        <v>-1688.3986</v>
      </c>
      <c r="R113" s="25" t="n">
        <f aca="false">SUMIFS('Commentary drivers'!$E:$E,'Commentary drivers'!$A:$A,A113)</f>
        <v>-1688.4</v>
      </c>
      <c r="S113" s="49" t="str">
        <f aca="false">IF(AND(ROUND(Q113-J113,4)=0,ROUND(R113-K113,1)=0),"✓","✗")</f>
        <v>✓</v>
      </c>
    </row>
    <row r="114" customFormat="false" ht="15" hidden="false" customHeight="false" outlineLevel="0" collapsed="false">
      <c r="A114" s="11" t="s">
        <v>1481</v>
      </c>
      <c r="B114" s="11" t="s">
        <v>25</v>
      </c>
      <c r="C114" s="11" t="s">
        <v>26</v>
      </c>
      <c r="D114" s="11" t="s">
        <v>1475</v>
      </c>
      <c r="E114" s="11" t="s">
        <v>1482</v>
      </c>
      <c r="F114" s="11" t="s">
        <v>357</v>
      </c>
      <c r="G114" s="11" t="n">
        <v>1</v>
      </c>
      <c r="H114" s="34" t="n">
        <v>184</v>
      </c>
      <c r="I114" s="34" t="n">
        <v>230</v>
      </c>
      <c r="J114" s="34" t="n">
        <v>-46</v>
      </c>
      <c r="K114" s="34" t="n">
        <v>-46</v>
      </c>
      <c r="L114" s="11" t="s">
        <v>358</v>
      </c>
      <c r="M114" s="11" t="s">
        <v>1250</v>
      </c>
      <c r="N114" s="11" t="s">
        <v>1251</v>
      </c>
      <c r="O114" s="11" t="s">
        <v>1252</v>
      </c>
      <c r="P114" s="11" t="s">
        <v>1253</v>
      </c>
      <c r="Q114" s="25" t="n">
        <f aca="false">SUMIFS('Commentary drivers'!$D:$D,'Commentary drivers'!$A:$A,A114)</f>
        <v>-46</v>
      </c>
      <c r="R114" s="25" t="n">
        <f aca="false">SUMIFS('Commentary drivers'!$E:$E,'Commentary drivers'!$A:$A,A114)</f>
        <v>-46</v>
      </c>
      <c r="S114" s="49" t="str">
        <f aca="false">IF(AND(ROUND(Q114-J114,4)=0,ROUND(R114-K114,1)=0),"✓","✗")</f>
        <v>✓</v>
      </c>
    </row>
    <row r="115" customFormat="false" ht="15" hidden="false" customHeight="false" outlineLevel="0" collapsed="false">
      <c r="A115" s="11" t="s">
        <v>1483</v>
      </c>
      <c r="B115" s="11" t="s">
        <v>25</v>
      </c>
      <c r="C115" s="11" t="s">
        <v>26</v>
      </c>
      <c r="D115" s="11" t="s">
        <v>1475</v>
      </c>
      <c r="E115" s="11" t="s">
        <v>1484</v>
      </c>
      <c r="F115" s="11" t="s">
        <v>359</v>
      </c>
      <c r="G115" s="11" t="n">
        <v>1</v>
      </c>
      <c r="H115" s="34" t="n">
        <v>1255.5</v>
      </c>
      <c r="I115" s="34" t="n">
        <v>1240.5</v>
      </c>
      <c r="J115" s="34" t="n">
        <v>15</v>
      </c>
      <c r="K115" s="34" t="n">
        <v>15</v>
      </c>
      <c r="L115" s="11" t="s">
        <v>360</v>
      </c>
      <c r="M115" s="11" t="s">
        <v>1250</v>
      </c>
      <c r="N115" s="11" t="s">
        <v>1262</v>
      </c>
      <c r="O115" s="11"/>
      <c r="P115" s="11"/>
      <c r="Q115" s="25" t="n">
        <f aca="false">SUMIFS('Commentary drivers'!$D:$D,'Commentary drivers'!$A:$A,A115)</f>
        <v>15</v>
      </c>
      <c r="R115" s="25" t="n">
        <f aca="false">SUMIFS('Commentary drivers'!$E:$E,'Commentary drivers'!$A:$A,A115)</f>
        <v>15</v>
      </c>
      <c r="S115" s="49" t="str">
        <f aca="false">IF(AND(ROUND(Q115-J115,4)=0,ROUND(R115-K115,1)=0),"✓","✗")</f>
        <v>✓</v>
      </c>
    </row>
    <row r="116" customFormat="false" ht="15" hidden="false" customHeight="false" outlineLevel="0" collapsed="false">
      <c r="A116" s="11" t="s">
        <v>1485</v>
      </c>
      <c r="B116" s="11" t="s">
        <v>25</v>
      </c>
      <c r="C116" s="11" t="s">
        <v>26</v>
      </c>
      <c r="D116" s="11" t="s">
        <v>1475</v>
      </c>
      <c r="E116" s="11" t="s">
        <v>1486</v>
      </c>
      <c r="F116" s="11" t="s">
        <v>361</v>
      </c>
      <c r="G116" s="11" t="n">
        <v>0</v>
      </c>
      <c r="H116" s="34" t="n">
        <v>1236</v>
      </c>
      <c r="I116" s="34" t="n">
        <v>1263</v>
      </c>
      <c r="J116" s="34" t="n">
        <v>-27</v>
      </c>
      <c r="K116" s="34" t="n">
        <v>-27</v>
      </c>
      <c r="L116" s="11" t="s">
        <v>362</v>
      </c>
      <c r="M116" s="11" t="s">
        <v>1250</v>
      </c>
      <c r="N116" s="11" t="s">
        <v>1251</v>
      </c>
      <c r="O116" s="11" t="s">
        <v>1252</v>
      </c>
      <c r="P116" s="11" t="s">
        <v>1253</v>
      </c>
      <c r="Q116" s="25" t="n">
        <f aca="false">SUMIFS('Commentary drivers'!$D:$D,'Commentary drivers'!$A:$A,A116)</f>
        <v>-27</v>
      </c>
      <c r="R116" s="25" t="n">
        <f aca="false">SUMIFS('Commentary drivers'!$E:$E,'Commentary drivers'!$A:$A,A116)</f>
        <v>-27</v>
      </c>
      <c r="S116" s="49" t="str">
        <f aca="false">IF(AND(ROUND(Q116-J116,4)=0,ROUND(R116-K116,1)=0),"✓","✗")</f>
        <v>✓</v>
      </c>
    </row>
    <row r="117" customFormat="false" ht="15" hidden="false" customHeight="false" outlineLevel="0" collapsed="false">
      <c r="A117" s="11" t="s">
        <v>1487</v>
      </c>
      <c r="B117" s="11" t="s">
        <v>25</v>
      </c>
      <c r="C117" s="11" t="s">
        <v>26</v>
      </c>
      <c r="D117" s="11" t="s">
        <v>1475</v>
      </c>
      <c r="E117" s="11" t="s">
        <v>1488</v>
      </c>
      <c r="F117" s="11" t="s">
        <v>363</v>
      </c>
      <c r="G117" s="11" t="n">
        <v>1</v>
      </c>
      <c r="H117" s="34" t="n">
        <v>1236</v>
      </c>
      <c r="I117" s="34" t="n">
        <v>1263</v>
      </c>
      <c r="J117" s="34" t="n">
        <v>-27</v>
      </c>
      <c r="K117" s="34" t="n">
        <v>-27</v>
      </c>
      <c r="L117" s="11" t="s">
        <v>364</v>
      </c>
      <c r="M117" s="11" t="s">
        <v>1250</v>
      </c>
      <c r="N117" s="11" t="s">
        <v>1251</v>
      </c>
      <c r="O117" s="11" t="s">
        <v>1252</v>
      </c>
      <c r="P117" s="11" t="s">
        <v>1253</v>
      </c>
      <c r="Q117" s="25" t="n">
        <f aca="false">SUMIFS('Commentary drivers'!$D:$D,'Commentary drivers'!$A:$A,A117)</f>
        <v>-27</v>
      </c>
      <c r="R117" s="25" t="n">
        <f aca="false">SUMIFS('Commentary drivers'!$E:$E,'Commentary drivers'!$A:$A,A117)</f>
        <v>-27</v>
      </c>
      <c r="S117" s="49" t="str">
        <f aca="false">IF(AND(ROUND(Q117-J117,4)=0,ROUND(R117-K117,1)=0),"✓","✗")</f>
        <v>✓</v>
      </c>
    </row>
    <row r="118" customFormat="false" ht="15" hidden="false" customHeight="false" outlineLevel="0" collapsed="false">
      <c r="A118" s="11" t="s">
        <v>1489</v>
      </c>
      <c r="B118" s="11" t="s">
        <v>25</v>
      </c>
      <c r="C118" s="11" t="s">
        <v>26</v>
      </c>
      <c r="D118" s="11" t="s">
        <v>1475</v>
      </c>
      <c r="E118" s="11" t="s">
        <v>1490</v>
      </c>
      <c r="F118" s="11" t="s">
        <v>365</v>
      </c>
      <c r="G118" s="11" t="n">
        <v>0</v>
      </c>
      <c r="H118" s="34" t="n">
        <v>20022.54644</v>
      </c>
      <c r="I118" s="34" t="n">
        <v>20783.33228</v>
      </c>
      <c r="J118" s="34" t="n">
        <v>-760.78584</v>
      </c>
      <c r="K118" s="34" t="n">
        <v>-760.8</v>
      </c>
      <c r="L118" s="11" t="s">
        <v>366</v>
      </c>
      <c r="M118" s="11" t="s">
        <v>1250</v>
      </c>
      <c r="N118" s="11" t="s">
        <v>1251</v>
      </c>
      <c r="O118" s="11" t="s">
        <v>1252</v>
      </c>
      <c r="P118" s="11" t="s">
        <v>1253</v>
      </c>
      <c r="Q118" s="25" t="n">
        <f aca="false">SUMIFS('Commentary drivers'!$D:$D,'Commentary drivers'!$A:$A,A118)</f>
        <v>-760.78584</v>
      </c>
      <c r="R118" s="25" t="n">
        <f aca="false">SUMIFS('Commentary drivers'!$E:$E,'Commentary drivers'!$A:$A,A118)</f>
        <v>-760.8</v>
      </c>
      <c r="S118" s="49" t="str">
        <f aca="false">IF(AND(ROUND(Q118-J118,4)=0,ROUND(R118-K118,1)=0),"✓","✗")</f>
        <v>✓</v>
      </c>
    </row>
    <row r="119" customFormat="false" ht="15" hidden="false" customHeight="false" outlineLevel="0" collapsed="false">
      <c r="A119" s="11" t="s">
        <v>1491</v>
      </c>
      <c r="B119" s="11" t="s">
        <v>25</v>
      </c>
      <c r="C119" s="11" t="s">
        <v>26</v>
      </c>
      <c r="D119" s="11" t="s">
        <v>1475</v>
      </c>
      <c r="E119" s="11" t="s">
        <v>1492</v>
      </c>
      <c r="F119" s="11" t="s">
        <v>367</v>
      </c>
      <c r="G119" s="11" t="n">
        <v>0</v>
      </c>
      <c r="H119" s="34" t="n">
        <v>1620.78044</v>
      </c>
      <c r="I119" s="34" t="n">
        <v>2627.56628</v>
      </c>
      <c r="J119" s="34" t="n">
        <v>-1006.78584</v>
      </c>
      <c r="K119" s="34" t="n">
        <v>-1006.8</v>
      </c>
      <c r="L119" s="11" t="s">
        <v>368</v>
      </c>
      <c r="M119" s="11" t="s">
        <v>1250</v>
      </c>
      <c r="N119" s="11" t="s">
        <v>1251</v>
      </c>
      <c r="O119" s="11" t="s">
        <v>1252</v>
      </c>
      <c r="P119" s="11" t="s">
        <v>1253</v>
      </c>
      <c r="Q119" s="25" t="n">
        <f aca="false">SUMIFS('Commentary drivers'!$D:$D,'Commentary drivers'!$A:$A,A119)</f>
        <v>-1006.78584</v>
      </c>
      <c r="R119" s="25" t="n">
        <f aca="false">SUMIFS('Commentary drivers'!$E:$E,'Commentary drivers'!$A:$A,A119)</f>
        <v>-1006.8</v>
      </c>
      <c r="S119" s="49" t="str">
        <f aca="false">IF(AND(ROUND(Q119-J119,4)=0,ROUND(R119-K119,1)=0),"✓","✗")</f>
        <v>✓</v>
      </c>
    </row>
    <row r="120" customFormat="false" ht="15" hidden="false" customHeight="false" outlineLevel="0" collapsed="false">
      <c r="A120" s="11" t="s">
        <v>1493</v>
      </c>
      <c r="B120" s="11" t="s">
        <v>25</v>
      </c>
      <c r="C120" s="11" t="s">
        <v>26</v>
      </c>
      <c r="D120" s="11" t="s">
        <v>1475</v>
      </c>
      <c r="E120" s="11" t="s">
        <v>1494</v>
      </c>
      <c r="F120" s="11" t="s">
        <v>369</v>
      </c>
      <c r="G120" s="11" t="n">
        <v>1</v>
      </c>
      <c r="H120" s="34" t="n">
        <v>349</v>
      </c>
      <c r="I120" s="34" t="n">
        <v>307</v>
      </c>
      <c r="J120" s="34" t="n">
        <v>42</v>
      </c>
      <c r="K120" s="34" t="n">
        <v>42</v>
      </c>
      <c r="L120" s="11" t="s">
        <v>370</v>
      </c>
      <c r="M120" s="11" t="s">
        <v>1250</v>
      </c>
      <c r="N120" s="11" t="s">
        <v>1251</v>
      </c>
      <c r="O120" s="11" t="s">
        <v>1252</v>
      </c>
      <c r="P120" s="11" t="s">
        <v>1253</v>
      </c>
      <c r="Q120" s="25" t="n">
        <f aca="false">SUMIFS('Commentary drivers'!$D:$D,'Commentary drivers'!$A:$A,A120)</f>
        <v>42</v>
      </c>
      <c r="R120" s="25" t="n">
        <f aca="false">SUMIFS('Commentary drivers'!$E:$E,'Commentary drivers'!$A:$A,A120)</f>
        <v>42</v>
      </c>
      <c r="S120" s="49" t="str">
        <f aca="false">IF(AND(ROUND(Q120-J120,4)=0,ROUND(R120-K120,1)=0),"✓","✗")</f>
        <v>✓</v>
      </c>
    </row>
    <row r="121" customFormat="false" ht="15" hidden="false" customHeight="false" outlineLevel="0" collapsed="false">
      <c r="A121" s="11" t="s">
        <v>1495</v>
      </c>
      <c r="B121" s="11" t="s">
        <v>25</v>
      </c>
      <c r="C121" s="11" t="s">
        <v>26</v>
      </c>
      <c r="D121" s="11" t="s">
        <v>1475</v>
      </c>
      <c r="E121" s="11" t="s">
        <v>1496</v>
      </c>
      <c r="F121" s="11" t="s">
        <v>371</v>
      </c>
      <c r="G121" s="11" t="n">
        <v>1</v>
      </c>
      <c r="H121" s="34" t="n">
        <v>152.49244</v>
      </c>
      <c r="I121" s="34" t="n">
        <v>167.23428</v>
      </c>
      <c r="J121" s="34" t="n">
        <v>-14.74184</v>
      </c>
      <c r="K121" s="34" t="n">
        <v>-14.7</v>
      </c>
      <c r="L121" s="11" t="s">
        <v>372</v>
      </c>
      <c r="M121" s="11" t="s">
        <v>1250</v>
      </c>
      <c r="N121" s="11" t="s">
        <v>1262</v>
      </c>
      <c r="O121" s="11"/>
      <c r="P121" s="11"/>
      <c r="Q121" s="25" t="n">
        <f aca="false">SUMIFS('Commentary drivers'!$D:$D,'Commentary drivers'!$A:$A,A121)</f>
        <v>-14.74184</v>
      </c>
      <c r="R121" s="25" t="n">
        <f aca="false">SUMIFS('Commentary drivers'!$E:$E,'Commentary drivers'!$A:$A,A121)</f>
        <v>-14.7</v>
      </c>
      <c r="S121" s="49" t="str">
        <f aca="false">IF(AND(ROUND(Q121-J121,4)=0,ROUND(R121-K121,1)=0),"✓","✗")</f>
        <v>✓</v>
      </c>
    </row>
    <row r="122" customFormat="false" ht="15" hidden="false" customHeight="false" outlineLevel="0" collapsed="false">
      <c r="A122" s="11" t="s">
        <v>1497</v>
      </c>
      <c r="B122" s="11" t="s">
        <v>25</v>
      </c>
      <c r="C122" s="11" t="s">
        <v>26</v>
      </c>
      <c r="D122" s="11" t="s">
        <v>1475</v>
      </c>
      <c r="E122" s="11" t="s">
        <v>1498</v>
      </c>
      <c r="F122" s="11" t="s">
        <v>373</v>
      </c>
      <c r="G122" s="11" t="n">
        <v>1</v>
      </c>
      <c r="H122" s="34" t="n">
        <v>1119.288</v>
      </c>
      <c r="I122" s="34" t="n">
        <v>2153.332</v>
      </c>
      <c r="J122" s="34" t="n">
        <v>-1034.044</v>
      </c>
      <c r="K122" s="34" t="n">
        <v>-1034</v>
      </c>
      <c r="L122" s="11" t="s">
        <v>374</v>
      </c>
      <c r="M122" s="11" t="s">
        <v>1250</v>
      </c>
      <c r="N122" s="11" t="s">
        <v>1251</v>
      </c>
      <c r="O122" s="11" t="s">
        <v>1252</v>
      </c>
      <c r="P122" s="11" t="s">
        <v>1253</v>
      </c>
      <c r="Q122" s="25" t="n">
        <f aca="false">SUMIFS('Commentary drivers'!$D:$D,'Commentary drivers'!$A:$A,A122)</f>
        <v>-1034.044</v>
      </c>
      <c r="R122" s="25" t="n">
        <f aca="false">SUMIFS('Commentary drivers'!$E:$E,'Commentary drivers'!$A:$A,A122)</f>
        <v>-1034</v>
      </c>
      <c r="S122" s="49" t="str">
        <f aca="false">IF(AND(ROUND(Q122-J122,4)=0,ROUND(R122-K122,1)=0),"✓","✗")</f>
        <v>✓</v>
      </c>
    </row>
    <row r="123" customFormat="false" ht="15" hidden="false" customHeight="false" outlineLevel="0" collapsed="false">
      <c r="A123" s="11" t="s">
        <v>1499</v>
      </c>
      <c r="B123" s="11" t="s">
        <v>25</v>
      </c>
      <c r="C123" s="11" t="s">
        <v>26</v>
      </c>
      <c r="D123" s="11" t="s">
        <v>1475</v>
      </c>
      <c r="E123" s="11" t="s">
        <v>1500</v>
      </c>
      <c r="F123" s="11" t="s">
        <v>375</v>
      </c>
      <c r="G123" s="11" t="n">
        <v>0</v>
      </c>
      <c r="H123" s="34" t="n">
        <v>4582.5</v>
      </c>
      <c r="I123" s="34" t="n">
        <v>4576.5</v>
      </c>
      <c r="J123" s="34" t="n">
        <v>6</v>
      </c>
      <c r="K123" s="34" t="n">
        <v>6</v>
      </c>
      <c r="L123" s="11" t="s">
        <v>376</v>
      </c>
      <c r="M123" s="11" t="s">
        <v>1250</v>
      </c>
      <c r="N123" s="11" t="s">
        <v>1251</v>
      </c>
      <c r="O123" s="11" t="s">
        <v>1252</v>
      </c>
      <c r="P123" s="11" t="s">
        <v>1253</v>
      </c>
      <c r="Q123" s="25" t="n">
        <f aca="false">SUMIFS('Commentary drivers'!$D:$D,'Commentary drivers'!$A:$A,A123)</f>
        <v>6</v>
      </c>
      <c r="R123" s="25" t="n">
        <f aca="false">SUMIFS('Commentary drivers'!$E:$E,'Commentary drivers'!$A:$A,A123)</f>
        <v>6</v>
      </c>
      <c r="S123" s="49" t="str">
        <f aca="false">IF(AND(ROUND(Q123-J123,4)=0,ROUND(R123-K123,1)=0),"✓","✗")</f>
        <v>✓</v>
      </c>
    </row>
    <row r="124" customFormat="false" ht="15" hidden="false" customHeight="false" outlineLevel="0" collapsed="false">
      <c r="A124" s="11" t="s">
        <v>1501</v>
      </c>
      <c r="B124" s="11" t="s">
        <v>25</v>
      </c>
      <c r="C124" s="11" t="s">
        <v>26</v>
      </c>
      <c r="D124" s="11" t="s">
        <v>1475</v>
      </c>
      <c r="E124" s="11" t="s">
        <v>1502</v>
      </c>
      <c r="F124" s="11" t="s">
        <v>377</v>
      </c>
      <c r="G124" s="11" t="n">
        <v>1</v>
      </c>
      <c r="H124" s="34" t="n">
        <v>382.5</v>
      </c>
      <c r="I124" s="34" t="n">
        <v>376.5</v>
      </c>
      <c r="J124" s="34" t="n">
        <v>6</v>
      </c>
      <c r="K124" s="34" t="n">
        <v>6</v>
      </c>
      <c r="L124" s="11" t="s">
        <v>378</v>
      </c>
      <c r="M124" s="11" t="s">
        <v>1250</v>
      </c>
      <c r="N124" s="11" t="s">
        <v>1262</v>
      </c>
      <c r="O124" s="11"/>
      <c r="P124" s="11"/>
      <c r="Q124" s="25" t="n">
        <f aca="false">SUMIFS('Commentary drivers'!$D:$D,'Commentary drivers'!$A:$A,A124)</f>
        <v>6</v>
      </c>
      <c r="R124" s="25" t="n">
        <f aca="false">SUMIFS('Commentary drivers'!$E:$E,'Commentary drivers'!$A:$A,A124)</f>
        <v>6</v>
      </c>
      <c r="S124" s="49" t="str">
        <f aca="false">IF(AND(ROUND(Q124-J124,4)=0,ROUND(R124-K124,1)=0),"✓","✗")</f>
        <v>✓</v>
      </c>
    </row>
    <row r="125" customFormat="false" ht="15" hidden="false" customHeight="false" outlineLevel="0" collapsed="false">
      <c r="A125" s="11" t="s">
        <v>1503</v>
      </c>
      <c r="B125" s="11" t="s">
        <v>25</v>
      </c>
      <c r="C125" s="11" t="s">
        <v>26</v>
      </c>
      <c r="D125" s="11" t="s">
        <v>1475</v>
      </c>
      <c r="E125" s="11" t="s">
        <v>1504</v>
      </c>
      <c r="F125" s="11" t="s">
        <v>379</v>
      </c>
      <c r="G125" s="11" t="n">
        <v>1</v>
      </c>
      <c r="H125" s="34" t="n">
        <v>4200</v>
      </c>
      <c r="I125" s="34" t="n">
        <v>4200</v>
      </c>
      <c r="J125" s="34" t="n">
        <v>0</v>
      </c>
      <c r="K125" s="34" t="n">
        <v>0</v>
      </c>
      <c r="L125" s="11" t="s">
        <v>380</v>
      </c>
      <c r="M125" s="11" t="s">
        <v>1250</v>
      </c>
      <c r="N125" s="11" t="s">
        <v>1262</v>
      </c>
      <c r="O125" s="11"/>
      <c r="P125" s="11"/>
      <c r="Q125" s="25" t="n">
        <f aca="false">SUMIFS('Commentary drivers'!$D:$D,'Commentary drivers'!$A:$A,A125)</f>
        <v>0</v>
      </c>
      <c r="R125" s="25" t="n">
        <f aca="false">SUMIFS('Commentary drivers'!$E:$E,'Commentary drivers'!$A:$A,A125)</f>
        <v>0</v>
      </c>
      <c r="S125" s="49" t="str">
        <f aca="false">IF(AND(ROUND(Q125-J125,4)=0,ROUND(R125-K125,1)=0),"✓","✗")</f>
        <v>✓</v>
      </c>
    </row>
    <row r="126" customFormat="false" ht="15" hidden="false" customHeight="false" outlineLevel="0" collapsed="false">
      <c r="A126" s="11" t="s">
        <v>1505</v>
      </c>
      <c r="B126" s="11" t="s">
        <v>25</v>
      </c>
      <c r="C126" s="11" t="s">
        <v>26</v>
      </c>
      <c r="D126" s="11" t="s">
        <v>1475</v>
      </c>
      <c r="E126" s="11" t="s">
        <v>1506</v>
      </c>
      <c r="F126" s="11" t="s">
        <v>381</v>
      </c>
      <c r="G126" s="11" t="n">
        <v>0</v>
      </c>
      <c r="H126" s="34" t="n">
        <v>6203.28044</v>
      </c>
      <c r="I126" s="34" t="n">
        <v>7204.06628</v>
      </c>
      <c r="J126" s="34" t="n">
        <v>-1000.78584</v>
      </c>
      <c r="K126" s="34" t="n">
        <v>-1000.8</v>
      </c>
      <c r="L126" s="11" t="s">
        <v>382</v>
      </c>
      <c r="M126" s="11" t="s">
        <v>1250</v>
      </c>
      <c r="N126" s="11" t="s">
        <v>1251</v>
      </c>
      <c r="O126" s="11" t="s">
        <v>1252</v>
      </c>
      <c r="P126" s="11" t="s">
        <v>1253</v>
      </c>
      <c r="Q126" s="25" t="n">
        <f aca="false">SUMIFS('Commentary drivers'!$D:$D,'Commentary drivers'!$A:$A,A126)</f>
        <v>-1000.78584</v>
      </c>
      <c r="R126" s="25" t="n">
        <f aca="false">SUMIFS('Commentary drivers'!$E:$E,'Commentary drivers'!$A:$A,A126)</f>
        <v>-1000.8</v>
      </c>
      <c r="S126" s="49" t="str">
        <f aca="false">IF(AND(ROUND(Q126-J126,4)=0,ROUND(R126-K126,1)=0),"✓","✗")</f>
        <v>✓</v>
      </c>
    </row>
    <row r="127" customFormat="false" ht="15" hidden="false" customHeight="false" outlineLevel="0" collapsed="false">
      <c r="A127" s="11" t="s">
        <v>1507</v>
      </c>
      <c r="B127" s="11" t="s">
        <v>25</v>
      </c>
      <c r="C127" s="11" t="s">
        <v>26</v>
      </c>
      <c r="D127" s="11" t="s">
        <v>1475</v>
      </c>
      <c r="E127" s="11" t="s">
        <v>1508</v>
      </c>
      <c r="F127" s="11" t="s">
        <v>383</v>
      </c>
      <c r="G127" s="11" t="n">
        <v>0</v>
      </c>
      <c r="H127" s="34" t="n">
        <v>13819.266</v>
      </c>
      <c r="I127" s="34" t="n">
        <v>13579.266</v>
      </c>
      <c r="J127" s="34" t="n">
        <v>240</v>
      </c>
      <c r="K127" s="34" t="n">
        <v>240</v>
      </c>
      <c r="L127" s="11" t="s">
        <v>384</v>
      </c>
      <c r="M127" s="11" t="s">
        <v>1250</v>
      </c>
      <c r="N127" s="11" t="s">
        <v>1251</v>
      </c>
      <c r="O127" s="11" t="s">
        <v>1252</v>
      </c>
      <c r="P127" s="11" t="s">
        <v>1253</v>
      </c>
      <c r="Q127" s="25" t="n">
        <f aca="false">SUMIFS('Commentary drivers'!$D:$D,'Commentary drivers'!$A:$A,A127)</f>
        <v>240</v>
      </c>
      <c r="R127" s="25" t="n">
        <f aca="false">SUMIFS('Commentary drivers'!$E:$E,'Commentary drivers'!$A:$A,A127)</f>
        <v>240</v>
      </c>
      <c r="S127" s="49" t="str">
        <f aca="false">IF(AND(ROUND(Q127-J127,4)=0,ROUND(R127-K127,1)=0),"✓","✗")</f>
        <v>✓</v>
      </c>
    </row>
    <row r="128" customFormat="false" ht="15" hidden="false" customHeight="false" outlineLevel="0" collapsed="false">
      <c r="A128" s="11" t="s">
        <v>1509</v>
      </c>
      <c r="B128" s="11" t="s">
        <v>25</v>
      </c>
      <c r="C128" s="11" t="s">
        <v>26</v>
      </c>
      <c r="D128" s="11" t="s">
        <v>1475</v>
      </c>
      <c r="E128" s="11" t="s">
        <v>1510</v>
      </c>
      <c r="F128" s="11" t="s">
        <v>385</v>
      </c>
      <c r="G128" s="11" t="n">
        <v>1</v>
      </c>
      <c r="H128" s="34" t="n">
        <v>13346</v>
      </c>
      <c r="I128" s="34" t="n">
        <v>13266</v>
      </c>
      <c r="J128" s="34" t="n">
        <v>80</v>
      </c>
      <c r="K128" s="34" t="n">
        <v>80</v>
      </c>
      <c r="L128" s="11" t="s">
        <v>386</v>
      </c>
      <c r="M128" s="11" t="s">
        <v>1250</v>
      </c>
      <c r="N128" s="11" t="s">
        <v>1251</v>
      </c>
      <c r="O128" s="11" t="s">
        <v>1252</v>
      </c>
      <c r="P128" s="11" t="s">
        <v>1253</v>
      </c>
      <c r="Q128" s="25" t="n">
        <f aca="false">SUMIFS('Commentary drivers'!$D:$D,'Commentary drivers'!$A:$A,A128)</f>
        <v>80</v>
      </c>
      <c r="R128" s="25" t="n">
        <f aca="false">SUMIFS('Commentary drivers'!$E:$E,'Commentary drivers'!$A:$A,A128)</f>
        <v>80</v>
      </c>
      <c r="S128" s="49" t="str">
        <f aca="false">IF(AND(ROUND(Q128-J128,4)=0,ROUND(R128-K128,1)=0),"✓","✗")</f>
        <v>✓</v>
      </c>
    </row>
    <row r="129" customFormat="false" ht="15" hidden="false" customHeight="false" outlineLevel="0" collapsed="false">
      <c r="A129" s="11" t="s">
        <v>1511</v>
      </c>
      <c r="B129" s="11" t="s">
        <v>25</v>
      </c>
      <c r="C129" s="11" t="s">
        <v>26</v>
      </c>
      <c r="D129" s="11" t="s">
        <v>1475</v>
      </c>
      <c r="E129" s="11" t="s">
        <v>1512</v>
      </c>
      <c r="F129" s="11" t="s">
        <v>387</v>
      </c>
      <c r="G129" s="11" t="n">
        <v>1</v>
      </c>
      <c r="H129" s="34" t="n">
        <v>473.266</v>
      </c>
      <c r="I129" s="34" t="n">
        <v>313.266</v>
      </c>
      <c r="J129" s="34" t="n">
        <v>160</v>
      </c>
      <c r="K129" s="34" t="n">
        <v>160</v>
      </c>
      <c r="L129" s="11" t="s">
        <v>388</v>
      </c>
      <c r="M129" s="11" t="s">
        <v>1250</v>
      </c>
      <c r="N129" s="11" t="s">
        <v>1251</v>
      </c>
      <c r="O129" s="11" t="s">
        <v>1252</v>
      </c>
      <c r="P129" s="11" t="s">
        <v>1253</v>
      </c>
      <c r="Q129" s="25" t="n">
        <f aca="false">SUMIFS('Commentary drivers'!$D:$D,'Commentary drivers'!$A:$A,A129)</f>
        <v>160</v>
      </c>
      <c r="R129" s="25" t="n">
        <f aca="false">SUMIFS('Commentary drivers'!$E:$E,'Commentary drivers'!$A:$A,A129)</f>
        <v>160</v>
      </c>
      <c r="S129" s="49" t="str">
        <f aca="false">IF(AND(ROUND(Q129-J129,4)=0,ROUND(R129-K129,1)=0),"✓","✗")</f>
        <v>✓</v>
      </c>
    </row>
    <row r="130" customFormat="false" ht="15" hidden="false" customHeight="false" outlineLevel="0" collapsed="false">
      <c r="A130" s="11" t="s">
        <v>1513</v>
      </c>
      <c r="B130" s="11" t="s">
        <v>25</v>
      </c>
      <c r="C130" s="11" t="s">
        <v>26</v>
      </c>
      <c r="D130" s="11" t="s">
        <v>1475</v>
      </c>
      <c r="E130" s="11" t="s">
        <v>1514</v>
      </c>
      <c r="F130" s="11" t="s">
        <v>389</v>
      </c>
      <c r="G130" s="11" t="n">
        <v>0</v>
      </c>
      <c r="H130" s="34" t="n">
        <v>20022.54644</v>
      </c>
      <c r="I130" s="34" t="n">
        <v>20783.33228</v>
      </c>
      <c r="J130" s="34" t="n">
        <v>-760.78584</v>
      </c>
      <c r="K130" s="34" t="n">
        <v>-760.8</v>
      </c>
      <c r="L130" s="11" t="s">
        <v>390</v>
      </c>
      <c r="M130" s="11" t="s">
        <v>1250</v>
      </c>
      <c r="N130" s="11" t="s">
        <v>1251</v>
      </c>
      <c r="O130" s="11" t="s">
        <v>1252</v>
      </c>
      <c r="P130" s="11" t="s">
        <v>1253</v>
      </c>
      <c r="Q130" s="25" t="n">
        <f aca="false">SUMIFS('Commentary drivers'!$D:$D,'Commentary drivers'!$A:$A,A130)</f>
        <v>-760.78584</v>
      </c>
      <c r="R130" s="25" t="n">
        <f aca="false">SUMIFS('Commentary drivers'!$E:$E,'Commentary drivers'!$A:$A,A130)</f>
        <v>-760.8</v>
      </c>
      <c r="S130" s="49" t="str">
        <f aca="false">IF(AND(ROUND(Q130-J130,4)=0,ROUND(R130-K130,1)=0),"✓","✗")</f>
        <v>✓</v>
      </c>
    </row>
    <row r="131" customFormat="false" ht="15" hidden="false" customHeight="false" outlineLevel="0" collapsed="false">
      <c r="A131" s="11" t="s">
        <v>1515</v>
      </c>
      <c r="B131" s="11" t="s">
        <v>25</v>
      </c>
      <c r="C131" s="11" t="s">
        <v>26</v>
      </c>
      <c r="D131" s="11" t="s">
        <v>1516</v>
      </c>
      <c r="E131" s="11" t="s">
        <v>1517</v>
      </c>
      <c r="F131" s="11" t="s">
        <v>97</v>
      </c>
      <c r="G131" s="11" t="n">
        <v>0</v>
      </c>
      <c r="H131" s="34" t="n">
        <v>160</v>
      </c>
      <c r="I131" s="34" t="n">
        <v>199.201</v>
      </c>
      <c r="J131" s="34" t="n">
        <v>-39.201</v>
      </c>
      <c r="K131" s="34" t="n">
        <v>-39.2</v>
      </c>
      <c r="L131" s="11" t="s">
        <v>392</v>
      </c>
      <c r="M131" s="11" t="s">
        <v>1250</v>
      </c>
      <c r="N131" s="11" t="s">
        <v>1251</v>
      </c>
      <c r="O131" s="11" t="s">
        <v>1252</v>
      </c>
      <c r="P131" s="11" t="s">
        <v>1253</v>
      </c>
      <c r="Q131" s="25" t="n">
        <f aca="false">SUMIFS('Commentary drivers'!$D:$D,'Commentary drivers'!$A:$A,A131)</f>
        <v>-39.201</v>
      </c>
      <c r="R131" s="25" t="n">
        <f aca="false">SUMIFS('Commentary drivers'!$E:$E,'Commentary drivers'!$A:$A,A131)</f>
        <v>-39.2</v>
      </c>
      <c r="S131" s="49" t="str">
        <f aca="false">IF(AND(ROUND(Q131-J131,4)=0,ROUND(R131-K131,1)=0),"✓","✗")</f>
        <v>✓</v>
      </c>
    </row>
    <row r="132" customFormat="false" ht="15" hidden="false" customHeight="false" outlineLevel="0" collapsed="false">
      <c r="A132" s="11" t="s">
        <v>1518</v>
      </c>
      <c r="B132" s="11" t="s">
        <v>25</v>
      </c>
      <c r="C132" s="11" t="s">
        <v>26</v>
      </c>
      <c r="D132" s="11" t="s">
        <v>1516</v>
      </c>
      <c r="E132" s="11" t="s">
        <v>1519</v>
      </c>
      <c r="F132" s="11" t="s">
        <v>393</v>
      </c>
      <c r="G132" s="11" t="n">
        <v>0</v>
      </c>
      <c r="H132" s="34" t="n">
        <v>186</v>
      </c>
      <c r="I132" s="34" t="n">
        <v>180</v>
      </c>
      <c r="J132" s="34" t="n">
        <v>6</v>
      </c>
      <c r="K132" s="34" t="n">
        <v>6</v>
      </c>
      <c r="L132" s="11" t="s">
        <v>394</v>
      </c>
      <c r="M132" s="11" t="s">
        <v>1250</v>
      </c>
      <c r="N132" s="11" t="s">
        <v>1251</v>
      </c>
      <c r="O132" s="11" t="s">
        <v>1252</v>
      </c>
      <c r="P132" s="11" t="s">
        <v>1253</v>
      </c>
      <c r="Q132" s="25" t="n">
        <f aca="false">SUMIFS('Commentary drivers'!$D:$D,'Commentary drivers'!$A:$A,A132)</f>
        <v>6</v>
      </c>
      <c r="R132" s="25" t="n">
        <f aca="false">SUMIFS('Commentary drivers'!$E:$E,'Commentary drivers'!$A:$A,A132)</f>
        <v>6</v>
      </c>
      <c r="S132" s="49" t="str">
        <f aca="false">IF(AND(ROUND(Q132-J132,4)=0,ROUND(R132-K132,1)=0),"✓","✗")</f>
        <v>✓</v>
      </c>
    </row>
    <row r="133" customFormat="false" ht="15" hidden="false" customHeight="false" outlineLevel="0" collapsed="false">
      <c r="A133" s="11" t="s">
        <v>1520</v>
      </c>
      <c r="B133" s="11" t="s">
        <v>25</v>
      </c>
      <c r="C133" s="11" t="s">
        <v>26</v>
      </c>
      <c r="D133" s="11" t="s">
        <v>1516</v>
      </c>
      <c r="E133" s="11" t="s">
        <v>1521</v>
      </c>
      <c r="F133" s="11" t="s">
        <v>395</v>
      </c>
      <c r="G133" s="11" t="n">
        <v>1</v>
      </c>
      <c r="H133" s="34" t="n">
        <v>60</v>
      </c>
      <c r="I133" s="34" t="n">
        <v>58</v>
      </c>
      <c r="J133" s="34" t="n">
        <v>2</v>
      </c>
      <c r="K133" s="34" t="n">
        <v>2</v>
      </c>
      <c r="L133" s="11" t="s">
        <v>396</v>
      </c>
      <c r="M133" s="11" t="s">
        <v>1250</v>
      </c>
      <c r="N133" s="11" t="s">
        <v>1262</v>
      </c>
      <c r="O133" s="11"/>
      <c r="P133" s="11"/>
      <c r="Q133" s="25" t="n">
        <f aca="false">SUMIFS('Commentary drivers'!$D:$D,'Commentary drivers'!$A:$A,A133)</f>
        <v>2</v>
      </c>
      <c r="R133" s="25" t="n">
        <f aca="false">SUMIFS('Commentary drivers'!$E:$E,'Commentary drivers'!$A:$A,A133)</f>
        <v>2</v>
      </c>
      <c r="S133" s="49" t="str">
        <f aca="false">IF(AND(ROUND(Q133-J133,4)=0,ROUND(R133-K133,1)=0),"✓","✗")</f>
        <v>✓</v>
      </c>
    </row>
    <row r="134" customFormat="false" ht="15" hidden="false" customHeight="false" outlineLevel="0" collapsed="false">
      <c r="A134" s="11" t="s">
        <v>1522</v>
      </c>
      <c r="B134" s="11" t="s">
        <v>25</v>
      </c>
      <c r="C134" s="11" t="s">
        <v>26</v>
      </c>
      <c r="D134" s="11" t="s">
        <v>1516</v>
      </c>
      <c r="E134" s="11" t="s">
        <v>1523</v>
      </c>
      <c r="F134" s="11" t="s">
        <v>397</v>
      </c>
      <c r="G134" s="11" t="n">
        <v>1</v>
      </c>
      <c r="H134" s="34" t="n">
        <v>80</v>
      </c>
      <c r="I134" s="34" t="n">
        <v>78</v>
      </c>
      <c r="J134" s="34" t="n">
        <v>2</v>
      </c>
      <c r="K134" s="34" t="n">
        <v>2</v>
      </c>
      <c r="L134" s="11" t="s">
        <v>398</v>
      </c>
      <c r="M134" s="11" t="s">
        <v>1250</v>
      </c>
      <c r="N134" s="11" t="s">
        <v>1262</v>
      </c>
      <c r="O134" s="11"/>
      <c r="P134" s="11"/>
      <c r="Q134" s="25" t="n">
        <f aca="false">SUMIFS('Commentary drivers'!$D:$D,'Commentary drivers'!$A:$A,A134)</f>
        <v>2</v>
      </c>
      <c r="R134" s="25" t="n">
        <f aca="false">SUMIFS('Commentary drivers'!$E:$E,'Commentary drivers'!$A:$A,A134)</f>
        <v>2</v>
      </c>
      <c r="S134" s="49" t="str">
        <f aca="false">IF(AND(ROUND(Q134-J134,4)=0,ROUND(R134-K134,1)=0),"✓","✗")</f>
        <v>✓</v>
      </c>
    </row>
    <row r="135" customFormat="false" ht="15" hidden="false" customHeight="false" outlineLevel="0" collapsed="false">
      <c r="A135" s="11" t="s">
        <v>1524</v>
      </c>
      <c r="B135" s="11" t="s">
        <v>25</v>
      </c>
      <c r="C135" s="11" t="s">
        <v>26</v>
      </c>
      <c r="D135" s="11" t="s">
        <v>1516</v>
      </c>
      <c r="E135" s="11" t="s">
        <v>1525</v>
      </c>
      <c r="F135" s="11" t="s">
        <v>399</v>
      </c>
      <c r="G135" s="11" t="n">
        <v>1</v>
      </c>
      <c r="H135" s="34" t="n">
        <v>40</v>
      </c>
      <c r="I135" s="34" t="n">
        <v>39</v>
      </c>
      <c r="J135" s="34" t="n">
        <v>1</v>
      </c>
      <c r="K135" s="34" t="n">
        <v>1</v>
      </c>
      <c r="L135" s="11" t="s">
        <v>400</v>
      </c>
      <c r="M135" s="11" t="s">
        <v>1250</v>
      </c>
      <c r="N135" s="11" t="s">
        <v>1262</v>
      </c>
      <c r="O135" s="11"/>
      <c r="P135" s="11"/>
      <c r="Q135" s="25" t="n">
        <f aca="false">SUMIFS('Commentary drivers'!$D:$D,'Commentary drivers'!$A:$A,A135)</f>
        <v>1</v>
      </c>
      <c r="R135" s="25" t="n">
        <f aca="false">SUMIFS('Commentary drivers'!$E:$E,'Commentary drivers'!$A:$A,A135)</f>
        <v>1</v>
      </c>
      <c r="S135" s="49" t="str">
        <f aca="false">IF(AND(ROUND(Q135-J135,4)=0,ROUND(R135-K135,1)=0),"✓","✗")</f>
        <v>✓</v>
      </c>
    </row>
    <row r="136" customFormat="false" ht="15" hidden="false" customHeight="false" outlineLevel="0" collapsed="false">
      <c r="A136" s="11" t="s">
        <v>1526</v>
      </c>
      <c r="B136" s="11" t="s">
        <v>25</v>
      </c>
      <c r="C136" s="11" t="s">
        <v>26</v>
      </c>
      <c r="D136" s="11" t="s">
        <v>1516</v>
      </c>
      <c r="E136" s="11" t="s">
        <v>1527</v>
      </c>
      <c r="F136" s="11" t="s">
        <v>401</v>
      </c>
      <c r="G136" s="11" t="n">
        <v>1</v>
      </c>
      <c r="H136" s="34" t="n">
        <v>6</v>
      </c>
      <c r="I136" s="34" t="n">
        <v>5</v>
      </c>
      <c r="J136" s="34" t="n">
        <v>1</v>
      </c>
      <c r="K136" s="34" t="n">
        <v>1</v>
      </c>
      <c r="L136" s="11" t="s">
        <v>402</v>
      </c>
      <c r="M136" s="11" t="s">
        <v>1250</v>
      </c>
      <c r="N136" s="11" t="s">
        <v>1262</v>
      </c>
      <c r="O136" s="11"/>
      <c r="P136" s="11"/>
      <c r="Q136" s="25" t="n">
        <f aca="false">SUMIFS('Commentary drivers'!$D:$D,'Commentary drivers'!$A:$A,A136)</f>
        <v>1</v>
      </c>
      <c r="R136" s="25" t="n">
        <f aca="false">SUMIFS('Commentary drivers'!$E:$E,'Commentary drivers'!$A:$A,A136)</f>
        <v>1</v>
      </c>
      <c r="S136" s="49" t="str">
        <f aca="false">IF(AND(ROUND(Q136-J136,4)=0,ROUND(R136-K136,1)=0),"✓","✗")</f>
        <v>✓</v>
      </c>
    </row>
    <row r="137" customFormat="false" ht="15" hidden="false" customHeight="false" outlineLevel="0" collapsed="false">
      <c r="A137" s="11" t="s">
        <v>1528</v>
      </c>
      <c r="B137" s="11" t="s">
        <v>25</v>
      </c>
      <c r="C137" s="11" t="s">
        <v>26</v>
      </c>
      <c r="D137" s="11" t="s">
        <v>1516</v>
      </c>
      <c r="E137" s="11" t="s">
        <v>1529</v>
      </c>
      <c r="F137" s="11" t="s">
        <v>403</v>
      </c>
      <c r="G137" s="11" t="n">
        <v>0</v>
      </c>
      <c r="H137" s="34" t="n">
        <v>672.61276</v>
      </c>
      <c r="I137" s="34" t="n">
        <v>-889.49035</v>
      </c>
      <c r="J137" s="34" t="n">
        <v>1562.10311</v>
      </c>
      <c r="K137" s="34" t="n">
        <v>1562.1</v>
      </c>
      <c r="L137" s="11" t="s">
        <v>404</v>
      </c>
      <c r="M137" s="11" t="s">
        <v>1250</v>
      </c>
      <c r="N137" s="11" t="s">
        <v>1251</v>
      </c>
      <c r="O137" s="11" t="s">
        <v>1252</v>
      </c>
      <c r="P137" s="11" t="s">
        <v>1253</v>
      </c>
      <c r="Q137" s="25" t="n">
        <f aca="false">SUMIFS('Commentary drivers'!$D:$D,'Commentary drivers'!$A:$A,A137)</f>
        <v>1562.10311</v>
      </c>
      <c r="R137" s="25" t="n">
        <f aca="false">SUMIFS('Commentary drivers'!$E:$E,'Commentary drivers'!$A:$A,A137)</f>
        <v>1562.1</v>
      </c>
      <c r="S137" s="49" t="str">
        <f aca="false">IF(AND(ROUND(Q137-J137,4)=0,ROUND(R137-K137,1)=0),"✓","✗")</f>
        <v>✓</v>
      </c>
    </row>
    <row r="138" customFormat="false" ht="15" hidden="false" customHeight="false" outlineLevel="0" collapsed="false">
      <c r="A138" s="11" t="s">
        <v>1530</v>
      </c>
      <c r="B138" s="11" t="s">
        <v>25</v>
      </c>
      <c r="C138" s="11" t="s">
        <v>26</v>
      </c>
      <c r="D138" s="11" t="s">
        <v>1516</v>
      </c>
      <c r="E138" s="11" t="s">
        <v>1531</v>
      </c>
      <c r="F138" s="11" t="s">
        <v>405</v>
      </c>
      <c r="G138" s="11" t="n">
        <v>1</v>
      </c>
      <c r="H138" s="34" t="n">
        <v>1688.3986</v>
      </c>
      <c r="I138" s="34" t="n">
        <v>-3160.43175</v>
      </c>
      <c r="J138" s="34" t="n">
        <v>4848.83035</v>
      </c>
      <c r="K138" s="34" t="n">
        <v>4848.8</v>
      </c>
      <c r="L138" s="11" t="s">
        <v>406</v>
      </c>
      <c r="M138" s="11" t="s">
        <v>1250</v>
      </c>
      <c r="N138" s="11" t="s">
        <v>1251</v>
      </c>
      <c r="O138" s="11" t="s">
        <v>1252</v>
      </c>
      <c r="P138" s="11" t="s">
        <v>1253</v>
      </c>
      <c r="Q138" s="25" t="n">
        <f aca="false">SUMIFS('Commentary drivers'!$D:$D,'Commentary drivers'!$A:$A,A138)</f>
        <v>4848.83035</v>
      </c>
      <c r="R138" s="25" t="n">
        <f aca="false">SUMIFS('Commentary drivers'!$E:$E,'Commentary drivers'!$A:$A,A138)</f>
        <v>4848.8</v>
      </c>
      <c r="S138" s="49" t="str">
        <f aca="false">IF(AND(ROUND(Q138-J138,4)=0,ROUND(R138-K138,1)=0),"✓","✗")</f>
        <v>✓</v>
      </c>
    </row>
    <row r="139" customFormat="false" ht="15" hidden="false" customHeight="false" outlineLevel="0" collapsed="false">
      <c r="A139" s="11" t="s">
        <v>1532</v>
      </c>
      <c r="B139" s="11" t="s">
        <v>25</v>
      </c>
      <c r="C139" s="11" t="s">
        <v>26</v>
      </c>
      <c r="D139" s="11" t="s">
        <v>1516</v>
      </c>
      <c r="E139" s="11" t="s">
        <v>1533</v>
      </c>
      <c r="F139" s="11" t="s">
        <v>407</v>
      </c>
      <c r="G139" s="11" t="n">
        <v>1</v>
      </c>
      <c r="H139" s="34" t="n">
        <v>46</v>
      </c>
      <c r="I139" s="34" t="n">
        <v>46</v>
      </c>
      <c r="J139" s="34" t="n">
        <v>0</v>
      </c>
      <c r="K139" s="34" t="n">
        <v>0</v>
      </c>
      <c r="L139" s="11" t="s">
        <v>408</v>
      </c>
      <c r="M139" s="11" t="s">
        <v>1250</v>
      </c>
      <c r="N139" s="11" t="s">
        <v>1262</v>
      </c>
      <c r="O139" s="11"/>
      <c r="P139" s="11"/>
      <c r="Q139" s="25" t="n">
        <f aca="false">SUMIFS('Commentary drivers'!$D:$D,'Commentary drivers'!$A:$A,A139)</f>
        <v>0</v>
      </c>
      <c r="R139" s="25" t="n">
        <f aca="false">SUMIFS('Commentary drivers'!$E:$E,'Commentary drivers'!$A:$A,A139)</f>
        <v>0</v>
      </c>
      <c r="S139" s="49" t="str">
        <f aca="false">IF(AND(ROUND(Q139-J139,4)=0,ROUND(R139-K139,1)=0),"✓","✗")</f>
        <v>✓</v>
      </c>
    </row>
    <row r="140" customFormat="false" ht="15" hidden="false" customHeight="false" outlineLevel="0" collapsed="false">
      <c r="A140" s="11" t="s">
        <v>1534</v>
      </c>
      <c r="B140" s="11" t="s">
        <v>25</v>
      </c>
      <c r="C140" s="11" t="s">
        <v>26</v>
      </c>
      <c r="D140" s="11" t="s">
        <v>1516</v>
      </c>
      <c r="E140" s="11" t="s">
        <v>1535</v>
      </c>
      <c r="F140" s="11" t="s">
        <v>409</v>
      </c>
      <c r="G140" s="11" t="n">
        <v>1</v>
      </c>
      <c r="H140" s="34" t="n">
        <v>-55</v>
      </c>
      <c r="I140" s="34" t="n">
        <v>-40</v>
      </c>
      <c r="J140" s="34" t="n">
        <v>-15</v>
      </c>
      <c r="K140" s="34" t="n">
        <v>-15</v>
      </c>
      <c r="L140" s="11" t="s">
        <v>410</v>
      </c>
      <c r="M140" s="11" t="s">
        <v>1250</v>
      </c>
      <c r="N140" s="11" t="s">
        <v>1251</v>
      </c>
      <c r="O140" s="11" t="s">
        <v>1252</v>
      </c>
      <c r="P140" s="11" t="s">
        <v>1253</v>
      </c>
      <c r="Q140" s="25" t="n">
        <f aca="false">SUMIFS('Commentary drivers'!$D:$D,'Commentary drivers'!$A:$A,A140)</f>
        <v>-15</v>
      </c>
      <c r="R140" s="25" t="n">
        <f aca="false">SUMIFS('Commentary drivers'!$E:$E,'Commentary drivers'!$A:$A,A140)</f>
        <v>-15</v>
      </c>
      <c r="S140" s="49" t="str">
        <f aca="false">IF(AND(ROUND(Q140-J140,4)=0,ROUND(R140-K140,1)=0),"✓","✗")</f>
        <v>✓</v>
      </c>
    </row>
    <row r="141" customFormat="false" ht="15" hidden="false" customHeight="false" outlineLevel="0" collapsed="false">
      <c r="A141" s="11" t="s">
        <v>1536</v>
      </c>
      <c r="B141" s="11" t="s">
        <v>25</v>
      </c>
      <c r="C141" s="11" t="s">
        <v>26</v>
      </c>
      <c r="D141" s="11" t="s">
        <v>1516</v>
      </c>
      <c r="E141" s="11" t="s">
        <v>1537</v>
      </c>
      <c r="F141" s="11" t="s">
        <v>411</v>
      </c>
      <c r="G141" s="11" t="n">
        <v>1</v>
      </c>
      <c r="H141" s="34" t="n">
        <v>42</v>
      </c>
      <c r="I141" s="34" t="n">
        <v>3</v>
      </c>
      <c r="J141" s="34" t="n">
        <v>39</v>
      </c>
      <c r="K141" s="34" t="n">
        <v>39</v>
      </c>
      <c r="L141" s="11" t="s">
        <v>412</v>
      </c>
      <c r="M141" s="11" t="s">
        <v>1250</v>
      </c>
      <c r="N141" s="11" t="s">
        <v>1251</v>
      </c>
      <c r="O141" s="11" t="s">
        <v>1252</v>
      </c>
      <c r="P141" s="11" t="s">
        <v>1253</v>
      </c>
      <c r="Q141" s="25" t="n">
        <f aca="false">SUMIFS('Commentary drivers'!$D:$D,'Commentary drivers'!$A:$A,A141)</f>
        <v>39</v>
      </c>
      <c r="R141" s="25" t="n">
        <f aca="false">SUMIFS('Commentary drivers'!$E:$E,'Commentary drivers'!$A:$A,A141)</f>
        <v>39</v>
      </c>
      <c r="S141" s="49" t="str">
        <f aca="false">IF(AND(ROUND(Q141-J141,4)=0,ROUND(R141-K141,1)=0),"✓","✗")</f>
        <v>✓</v>
      </c>
    </row>
    <row r="142" customFormat="false" ht="15" hidden="false" customHeight="false" outlineLevel="0" collapsed="false">
      <c r="A142" s="11" t="s">
        <v>1538</v>
      </c>
      <c r="B142" s="11" t="s">
        <v>25</v>
      </c>
      <c r="C142" s="11" t="s">
        <v>26</v>
      </c>
      <c r="D142" s="11" t="s">
        <v>1516</v>
      </c>
      <c r="E142" s="11" t="s">
        <v>1539</v>
      </c>
      <c r="F142" s="11" t="s">
        <v>413</v>
      </c>
      <c r="G142" s="11" t="n">
        <v>1</v>
      </c>
      <c r="H142" s="34" t="n">
        <v>-14.74184</v>
      </c>
      <c r="I142" s="34" t="n">
        <v>108.6094</v>
      </c>
      <c r="J142" s="34" t="n">
        <v>-123.35124</v>
      </c>
      <c r="K142" s="34" t="n">
        <v>-123.4</v>
      </c>
      <c r="L142" s="11" t="s">
        <v>414</v>
      </c>
      <c r="M142" s="11" t="s">
        <v>1250</v>
      </c>
      <c r="N142" s="11" t="s">
        <v>1251</v>
      </c>
      <c r="O142" s="11" t="s">
        <v>1252</v>
      </c>
      <c r="P142" s="11" t="s">
        <v>1253</v>
      </c>
      <c r="Q142" s="25" t="n">
        <f aca="false">SUMIFS('Commentary drivers'!$D:$D,'Commentary drivers'!$A:$A,A142)</f>
        <v>-123.35124</v>
      </c>
      <c r="R142" s="25" t="n">
        <f aca="false">SUMIFS('Commentary drivers'!$E:$E,'Commentary drivers'!$A:$A,A142)</f>
        <v>-123.4</v>
      </c>
      <c r="S142" s="49" t="str">
        <f aca="false">IF(AND(ROUND(Q142-J142,4)=0,ROUND(R142-K142,1)=0),"✓","✗")</f>
        <v>✓</v>
      </c>
    </row>
    <row r="143" customFormat="false" ht="15" hidden="false" customHeight="false" outlineLevel="0" collapsed="false">
      <c r="A143" s="11" t="s">
        <v>1540</v>
      </c>
      <c r="B143" s="11" t="s">
        <v>25</v>
      </c>
      <c r="C143" s="11" t="s">
        <v>26</v>
      </c>
      <c r="D143" s="11" t="s">
        <v>1516</v>
      </c>
      <c r="E143" s="11" t="s">
        <v>1541</v>
      </c>
      <c r="F143" s="11" t="s">
        <v>415</v>
      </c>
      <c r="G143" s="11" t="n">
        <v>1</v>
      </c>
      <c r="H143" s="34" t="n">
        <v>-1034.044</v>
      </c>
      <c r="I143" s="34" t="n">
        <v>2153.332</v>
      </c>
      <c r="J143" s="34" t="n">
        <v>-3187.376</v>
      </c>
      <c r="K143" s="34" t="n">
        <v>-3187.4</v>
      </c>
      <c r="L143" s="11" t="s">
        <v>416</v>
      </c>
      <c r="M143" s="11" t="s">
        <v>1250</v>
      </c>
      <c r="N143" s="11" t="s">
        <v>1251</v>
      </c>
      <c r="O143" s="11" t="s">
        <v>1252</v>
      </c>
      <c r="P143" s="11" t="s">
        <v>1253</v>
      </c>
      <c r="Q143" s="25" t="n">
        <f aca="false">SUMIFS('Commentary drivers'!$D:$D,'Commentary drivers'!$A:$A,A143)</f>
        <v>-3187.376</v>
      </c>
      <c r="R143" s="25" t="n">
        <f aca="false">SUMIFS('Commentary drivers'!$E:$E,'Commentary drivers'!$A:$A,A143)</f>
        <v>-3187.4</v>
      </c>
      <c r="S143" s="49" t="str">
        <f aca="false">IF(AND(ROUND(Q143-J143,4)=0,ROUND(R143-K143,1)=0),"✓","✗")</f>
        <v>✓</v>
      </c>
    </row>
    <row r="144" customFormat="false" ht="15" hidden="false" customHeight="false" outlineLevel="0" collapsed="false">
      <c r="A144" s="11" t="s">
        <v>1542</v>
      </c>
      <c r="B144" s="11" t="s">
        <v>25</v>
      </c>
      <c r="C144" s="11" t="s">
        <v>26</v>
      </c>
      <c r="D144" s="11" t="s">
        <v>1516</v>
      </c>
      <c r="E144" s="11" t="s">
        <v>1543</v>
      </c>
      <c r="F144" s="11" t="s">
        <v>417</v>
      </c>
      <c r="G144" s="11" t="n">
        <v>0</v>
      </c>
      <c r="H144" s="34" t="n">
        <v>1018.61276</v>
      </c>
      <c r="I144" s="34" t="n">
        <v>-510.28935</v>
      </c>
      <c r="J144" s="34" t="n">
        <v>1528.90211</v>
      </c>
      <c r="K144" s="34" t="n">
        <v>1528.9</v>
      </c>
      <c r="L144" s="11" t="s">
        <v>418</v>
      </c>
      <c r="M144" s="11" t="s">
        <v>1250</v>
      </c>
      <c r="N144" s="11" t="s">
        <v>1251</v>
      </c>
      <c r="O144" s="11" t="s">
        <v>1252</v>
      </c>
      <c r="P144" s="11" t="s">
        <v>1253</v>
      </c>
      <c r="Q144" s="25" t="n">
        <f aca="false">SUMIFS('Commentary drivers'!$D:$D,'Commentary drivers'!$A:$A,A144)</f>
        <v>1528.90211</v>
      </c>
      <c r="R144" s="25" t="n">
        <f aca="false">SUMIFS('Commentary drivers'!$E:$E,'Commentary drivers'!$A:$A,A144)</f>
        <v>1528.9</v>
      </c>
      <c r="S144" s="49" t="str">
        <f aca="false">IF(AND(ROUND(Q144-J144,4)=0,ROUND(R144-K144,1)=0),"✓","✗")</f>
        <v>✓</v>
      </c>
    </row>
    <row r="145" customFormat="false" ht="15" hidden="false" customHeight="false" outlineLevel="0" collapsed="false">
      <c r="A145" s="11" t="s">
        <v>1544</v>
      </c>
      <c r="B145" s="11" t="s">
        <v>25</v>
      </c>
      <c r="C145" s="11" t="s">
        <v>26</v>
      </c>
      <c r="D145" s="11" t="s">
        <v>1516</v>
      </c>
      <c r="E145" s="11" t="s">
        <v>1545</v>
      </c>
      <c r="F145" s="11" t="s">
        <v>419</v>
      </c>
      <c r="G145" s="11" t="n">
        <v>0</v>
      </c>
      <c r="H145" s="34" t="n">
        <v>-33</v>
      </c>
      <c r="I145" s="34" t="n">
        <v>-173</v>
      </c>
      <c r="J145" s="34" t="n">
        <v>140</v>
      </c>
      <c r="K145" s="34" t="n">
        <v>140</v>
      </c>
      <c r="L145" s="11" t="s">
        <v>420</v>
      </c>
      <c r="M145" s="11" t="s">
        <v>1250</v>
      </c>
      <c r="N145" s="11" t="s">
        <v>1251</v>
      </c>
      <c r="O145" s="11" t="s">
        <v>1252</v>
      </c>
      <c r="P145" s="11" t="s">
        <v>1253</v>
      </c>
      <c r="Q145" s="25" t="n">
        <f aca="false">SUMIFS('Commentary drivers'!$D:$D,'Commentary drivers'!$A:$A,A145)</f>
        <v>140</v>
      </c>
      <c r="R145" s="25" t="n">
        <f aca="false">SUMIFS('Commentary drivers'!$E:$E,'Commentary drivers'!$A:$A,A145)</f>
        <v>140</v>
      </c>
      <c r="S145" s="49" t="str">
        <f aca="false">IF(AND(ROUND(Q145-J145,4)=0,ROUND(R145-K145,1)=0),"✓","✗")</f>
        <v>✓</v>
      </c>
    </row>
    <row r="146" customFormat="false" ht="15" hidden="false" customHeight="false" outlineLevel="0" collapsed="false">
      <c r="A146" s="11" t="s">
        <v>1546</v>
      </c>
      <c r="B146" s="11" t="s">
        <v>25</v>
      </c>
      <c r="C146" s="11" t="s">
        <v>26</v>
      </c>
      <c r="D146" s="11" t="s">
        <v>1516</v>
      </c>
      <c r="E146" s="11" t="s">
        <v>1547</v>
      </c>
      <c r="F146" s="11" t="s">
        <v>421</v>
      </c>
      <c r="G146" s="11" t="n">
        <v>1</v>
      </c>
      <c r="H146" s="34" t="n">
        <v>-33</v>
      </c>
      <c r="I146" s="34" t="n">
        <v>-173</v>
      </c>
      <c r="J146" s="34" t="n">
        <v>140</v>
      </c>
      <c r="K146" s="34" t="n">
        <v>140</v>
      </c>
      <c r="L146" s="11" t="s">
        <v>422</v>
      </c>
      <c r="M146" s="11" t="s">
        <v>1250</v>
      </c>
      <c r="N146" s="11" t="s">
        <v>1251</v>
      </c>
      <c r="O146" s="11" t="s">
        <v>1252</v>
      </c>
      <c r="P146" s="11" t="s">
        <v>1253</v>
      </c>
      <c r="Q146" s="25" t="n">
        <f aca="false">SUMIFS('Commentary drivers'!$D:$D,'Commentary drivers'!$A:$A,A146)</f>
        <v>140</v>
      </c>
      <c r="R146" s="25" t="n">
        <f aca="false">SUMIFS('Commentary drivers'!$E:$E,'Commentary drivers'!$A:$A,A146)</f>
        <v>140</v>
      </c>
      <c r="S146" s="49" t="str">
        <f aca="false">IF(AND(ROUND(Q146-J146,4)=0,ROUND(R146-K146,1)=0),"✓","✗")</f>
        <v>✓</v>
      </c>
    </row>
    <row r="147" customFormat="false" ht="15" hidden="false" customHeight="false" outlineLevel="0" collapsed="false">
      <c r="A147" s="11" t="s">
        <v>1548</v>
      </c>
      <c r="B147" s="11" t="s">
        <v>25</v>
      </c>
      <c r="C147" s="11" t="s">
        <v>26</v>
      </c>
      <c r="D147" s="11" t="s">
        <v>1516</v>
      </c>
      <c r="E147" s="11" t="s">
        <v>1549</v>
      </c>
      <c r="F147" s="11" t="s">
        <v>423</v>
      </c>
      <c r="G147" s="11" t="n">
        <v>0</v>
      </c>
      <c r="H147" s="34" t="n">
        <v>0</v>
      </c>
      <c r="I147" s="34" t="n">
        <v>0</v>
      </c>
      <c r="J147" s="34" t="n">
        <v>0</v>
      </c>
      <c r="K147" s="34" t="n">
        <v>0</v>
      </c>
      <c r="L147" s="11" t="s">
        <v>424</v>
      </c>
      <c r="M147" s="11" t="s">
        <v>1250</v>
      </c>
      <c r="N147" s="11" t="s">
        <v>1262</v>
      </c>
      <c r="O147" s="11"/>
      <c r="P147" s="11"/>
      <c r="Q147" s="25" t="n">
        <f aca="false">SUMIFS('Commentary drivers'!$D:$D,'Commentary drivers'!$A:$A,A147)</f>
        <v>0</v>
      </c>
      <c r="R147" s="25" t="n">
        <f aca="false">SUMIFS('Commentary drivers'!$E:$E,'Commentary drivers'!$A:$A,A147)</f>
        <v>0</v>
      </c>
      <c r="S147" s="49" t="str">
        <f aca="false">IF(AND(ROUND(Q147-J147,4)=0,ROUND(R147-K147,1)=0),"✓","✗")</f>
        <v>✓</v>
      </c>
    </row>
    <row r="148" customFormat="false" ht="15" hidden="false" customHeight="false" outlineLevel="0" collapsed="false">
      <c r="A148" s="11" t="s">
        <v>1550</v>
      </c>
      <c r="B148" s="11" t="s">
        <v>25</v>
      </c>
      <c r="C148" s="11" t="s">
        <v>26</v>
      </c>
      <c r="D148" s="11" t="s">
        <v>1516</v>
      </c>
      <c r="E148" s="11" t="s">
        <v>1551</v>
      </c>
      <c r="F148" s="11" t="s">
        <v>425</v>
      </c>
      <c r="G148" s="11" t="n">
        <v>1</v>
      </c>
      <c r="H148" s="34" t="n">
        <v>0</v>
      </c>
      <c r="I148" s="34" t="n">
        <v>0</v>
      </c>
      <c r="J148" s="34" t="n">
        <v>0</v>
      </c>
      <c r="K148" s="34" t="n">
        <v>0</v>
      </c>
      <c r="L148" s="11" t="s">
        <v>426</v>
      </c>
      <c r="M148" s="11" t="s">
        <v>1250</v>
      </c>
      <c r="N148" s="11" t="s">
        <v>1262</v>
      </c>
      <c r="O148" s="11"/>
      <c r="P148" s="11"/>
      <c r="Q148" s="25" t="n">
        <f aca="false">SUMIFS('Commentary drivers'!$D:$D,'Commentary drivers'!$A:$A,A148)</f>
        <v>0</v>
      </c>
      <c r="R148" s="25" t="n">
        <f aca="false">SUMIFS('Commentary drivers'!$E:$E,'Commentary drivers'!$A:$A,A148)</f>
        <v>0</v>
      </c>
      <c r="S148" s="49" t="str">
        <f aca="false">IF(AND(ROUND(Q148-J148,4)=0,ROUND(R148-K148,1)=0),"✓","✗")</f>
        <v>✓</v>
      </c>
    </row>
    <row r="149" customFormat="false" ht="15" hidden="false" customHeight="false" outlineLevel="0" collapsed="false">
      <c r="A149" s="11" t="s">
        <v>1552</v>
      </c>
      <c r="B149" s="11" t="s">
        <v>25</v>
      </c>
      <c r="C149" s="11" t="s">
        <v>26</v>
      </c>
      <c r="D149" s="11" t="s">
        <v>1516</v>
      </c>
      <c r="E149" s="11" t="s">
        <v>1553</v>
      </c>
      <c r="F149" s="11" t="s">
        <v>427</v>
      </c>
      <c r="G149" s="11" t="n">
        <v>1</v>
      </c>
      <c r="H149" s="34" t="n">
        <v>0</v>
      </c>
      <c r="I149" s="34" t="n">
        <v>0</v>
      </c>
      <c r="J149" s="34" t="n">
        <v>0</v>
      </c>
      <c r="K149" s="34" t="n">
        <v>0</v>
      </c>
      <c r="L149" s="11" t="s">
        <v>428</v>
      </c>
      <c r="M149" s="11" t="s">
        <v>1250</v>
      </c>
      <c r="N149" s="11" t="s">
        <v>1262</v>
      </c>
      <c r="O149" s="11"/>
      <c r="P149" s="11"/>
      <c r="Q149" s="25" t="n">
        <f aca="false">SUMIFS('Commentary drivers'!$D:$D,'Commentary drivers'!$A:$A,A149)</f>
        <v>0</v>
      </c>
      <c r="R149" s="25" t="n">
        <f aca="false">SUMIFS('Commentary drivers'!$E:$E,'Commentary drivers'!$A:$A,A149)</f>
        <v>0</v>
      </c>
      <c r="S149" s="49" t="str">
        <f aca="false">IF(AND(ROUND(Q149-J149,4)=0,ROUND(R149-K149,1)=0),"✓","✗")</f>
        <v>✓</v>
      </c>
    </row>
    <row r="150" customFormat="false" ht="15" hidden="false" customHeight="false" outlineLevel="0" collapsed="false">
      <c r="A150" s="11" t="s">
        <v>1554</v>
      </c>
      <c r="B150" s="11" t="s">
        <v>25</v>
      </c>
      <c r="C150" s="11" t="s">
        <v>26</v>
      </c>
      <c r="D150" s="11" t="s">
        <v>1516</v>
      </c>
      <c r="E150" s="11" t="s">
        <v>1555</v>
      </c>
      <c r="F150" s="11" t="s">
        <v>429</v>
      </c>
      <c r="G150" s="11" t="n">
        <v>0</v>
      </c>
      <c r="H150" s="34" t="n">
        <v>985.61276</v>
      </c>
      <c r="I150" s="34" t="n">
        <v>-683.28935</v>
      </c>
      <c r="J150" s="34" t="n">
        <v>1668.90211</v>
      </c>
      <c r="K150" s="34" t="n">
        <v>1668.9</v>
      </c>
      <c r="L150" s="11" t="s">
        <v>430</v>
      </c>
      <c r="M150" s="11" t="s">
        <v>1250</v>
      </c>
      <c r="N150" s="11" t="s">
        <v>1251</v>
      </c>
      <c r="O150" s="11" t="s">
        <v>1252</v>
      </c>
      <c r="P150" s="11" t="s">
        <v>1253</v>
      </c>
      <c r="Q150" s="25" t="n">
        <f aca="false">SUMIFS('Commentary drivers'!$D:$D,'Commentary drivers'!$A:$A,A150)</f>
        <v>1668.90211</v>
      </c>
      <c r="R150" s="25" t="n">
        <f aca="false">SUMIFS('Commentary drivers'!$E:$E,'Commentary drivers'!$A:$A,A150)</f>
        <v>1668.9</v>
      </c>
      <c r="S150" s="49" t="str">
        <f aca="false">IF(AND(ROUND(Q150-J150,4)=0,ROUND(R150-K150,1)=0),"✓","✗")</f>
        <v>✓</v>
      </c>
    </row>
    <row r="151" customFormat="false" ht="15" hidden="false" customHeight="false" outlineLevel="0" collapsed="false">
      <c r="A151" s="11" t="s">
        <v>1556</v>
      </c>
      <c r="B151" s="11" t="s">
        <v>29</v>
      </c>
      <c r="C151" s="11" t="s">
        <v>30</v>
      </c>
      <c r="D151" s="11" t="s">
        <v>1248</v>
      </c>
      <c r="E151" s="11" t="s">
        <v>1249</v>
      </c>
      <c r="F151" s="11" t="s">
        <v>153</v>
      </c>
      <c r="G151" s="11" t="n">
        <v>0</v>
      </c>
      <c r="H151" s="34" t="n">
        <v>3576.527</v>
      </c>
      <c r="I151" s="34" t="n">
        <v>3444.337</v>
      </c>
      <c r="J151" s="34" t="n">
        <v>132.19</v>
      </c>
      <c r="K151" s="34" t="n">
        <v>132.2</v>
      </c>
      <c r="L151" s="11" t="s">
        <v>433</v>
      </c>
      <c r="M151" s="11" t="s">
        <v>1250</v>
      </c>
      <c r="N151" s="11" t="s">
        <v>1251</v>
      </c>
      <c r="O151" s="11" t="s">
        <v>1252</v>
      </c>
      <c r="P151" s="11" t="s">
        <v>1557</v>
      </c>
      <c r="Q151" s="25" t="n">
        <f aca="false">SUMIFS('Commentary drivers'!$D:$D,'Commentary drivers'!$A:$A,A151)</f>
        <v>132.19</v>
      </c>
      <c r="R151" s="25" t="n">
        <f aca="false">SUMIFS('Commentary drivers'!$E:$E,'Commentary drivers'!$A:$A,A151)</f>
        <v>132.2</v>
      </c>
      <c r="S151" s="49" t="str">
        <f aca="false">IF(AND(ROUND(Q151-J151,4)=0,ROUND(R151-K151,1)=0),"✓","✗")</f>
        <v>✓</v>
      </c>
    </row>
    <row r="152" customFormat="false" ht="15" hidden="false" customHeight="false" outlineLevel="0" collapsed="false">
      <c r="A152" s="11" t="s">
        <v>1558</v>
      </c>
      <c r="B152" s="11" t="s">
        <v>29</v>
      </c>
      <c r="C152" s="11" t="s">
        <v>30</v>
      </c>
      <c r="D152" s="11" t="s">
        <v>1248</v>
      </c>
      <c r="E152" s="11" t="s">
        <v>1255</v>
      </c>
      <c r="F152" s="11" t="s">
        <v>154</v>
      </c>
      <c r="G152" s="11" t="n">
        <v>0</v>
      </c>
      <c r="H152" s="34" t="n">
        <v>415</v>
      </c>
      <c r="I152" s="34" t="n">
        <v>280</v>
      </c>
      <c r="J152" s="34" t="n">
        <v>135</v>
      </c>
      <c r="K152" s="34" t="n">
        <v>135</v>
      </c>
      <c r="L152" s="11" t="s">
        <v>435</v>
      </c>
      <c r="M152" s="11" t="s">
        <v>1250</v>
      </c>
      <c r="N152" s="11" t="s">
        <v>1251</v>
      </c>
      <c r="O152" s="11" t="s">
        <v>1252</v>
      </c>
      <c r="P152" s="11" t="s">
        <v>1557</v>
      </c>
      <c r="Q152" s="25" t="n">
        <f aca="false">SUMIFS('Commentary drivers'!$D:$D,'Commentary drivers'!$A:$A,A152)</f>
        <v>135</v>
      </c>
      <c r="R152" s="25" t="n">
        <f aca="false">SUMIFS('Commentary drivers'!$E:$E,'Commentary drivers'!$A:$A,A152)</f>
        <v>135</v>
      </c>
      <c r="S152" s="49" t="str">
        <f aca="false">IF(AND(ROUND(Q152-J152,4)=0,ROUND(R152-K152,1)=0),"✓","✗")</f>
        <v>✓</v>
      </c>
    </row>
    <row r="153" customFormat="false" ht="15" hidden="false" customHeight="false" outlineLevel="0" collapsed="false">
      <c r="A153" s="11" t="s">
        <v>1559</v>
      </c>
      <c r="B153" s="11" t="s">
        <v>29</v>
      </c>
      <c r="C153" s="11" t="s">
        <v>30</v>
      </c>
      <c r="D153" s="11" t="s">
        <v>1248</v>
      </c>
      <c r="E153" s="11" t="s">
        <v>1257</v>
      </c>
      <c r="F153" s="11" t="s">
        <v>91</v>
      </c>
      <c r="G153" s="11" t="n">
        <v>0</v>
      </c>
      <c r="H153" s="34" t="n">
        <v>3991.527</v>
      </c>
      <c r="I153" s="34" t="n">
        <v>3724.337</v>
      </c>
      <c r="J153" s="34" t="n">
        <v>267.19</v>
      </c>
      <c r="K153" s="34" t="n">
        <v>267.2</v>
      </c>
      <c r="L153" s="11" t="s">
        <v>436</v>
      </c>
      <c r="M153" s="11" t="s">
        <v>1250</v>
      </c>
      <c r="N153" s="11" t="s">
        <v>1251</v>
      </c>
      <c r="O153" s="11" t="s">
        <v>1252</v>
      </c>
      <c r="P153" s="11" t="s">
        <v>1557</v>
      </c>
      <c r="Q153" s="25" t="n">
        <f aca="false">SUMIFS('Commentary drivers'!$D:$D,'Commentary drivers'!$A:$A,A153)</f>
        <v>267.19</v>
      </c>
      <c r="R153" s="25" t="n">
        <f aca="false">SUMIFS('Commentary drivers'!$E:$E,'Commentary drivers'!$A:$A,A153)</f>
        <v>267.2</v>
      </c>
      <c r="S153" s="49" t="str">
        <f aca="false">IF(AND(ROUND(Q153-J153,4)=0,ROUND(R153-K153,1)=0),"✓","✗")</f>
        <v>✓</v>
      </c>
    </row>
    <row r="154" customFormat="false" ht="15" hidden="false" customHeight="false" outlineLevel="0" collapsed="false">
      <c r="A154" s="11" t="s">
        <v>1560</v>
      </c>
      <c r="B154" s="11" t="s">
        <v>29</v>
      </c>
      <c r="C154" s="11" t="s">
        <v>30</v>
      </c>
      <c r="D154" s="11" t="s">
        <v>1248</v>
      </c>
      <c r="E154" s="11" t="s">
        <v>1259</v>
      </c>
      <c r="F154" s="11" t="s">
        <v>155</v>
      </c>
      <c r="G154" s="11" t="n">
        <v>0</v>
      </c>
      <c r="H154" s="34" t="n">
        <v>1054.38718</v>
      </c>
      <c r="I154" s="34" t="n">
        <v>998.65073</v>
      </c>
      <c r="J154" s="34" t="n">
        <v>55.73645</v>
      </c>
      <c r="K154" s="34" t="n">
        <v>55.7</v>
      </c>
      <c r="L154" s="11" t="s">
        <v>437</v>
      </c>
      <c r="M154" s="11" t="s">
        <v>1250</v>
      </c>
      <c r="N154" s="11" t="s">
        <v>1251</v>
      </c>
      <c r="O154" s="11" t="s">
        <v>1252</v>
      </c>
      <c r="P154" s="11" t="s">
        <v>1557</v>
      </c>
      <c r="Q154" s="25" t="n">
        <f aca="false">SUMIFS('Commentary drivers'!$D:$D,'Commentary drivers'!$A:$A,A154)</f>
        <v>55.73645</v>
      </c>
      <c r="R154" s="25" t="n">
        <f aca="false">SUMIFS('Commentary drivers'!$E:$E,'Commentary drivers'!$A:$A,A154)</f>
        <v>55.7</v>
      </c>
      <c r="S154" s="49" t="str">
        <f aca="false">IF(AND(ROUND(Q154-J154,4)=0,ROUND(R154-K154,1)=0),"✓","✗")</f>
        <v>✓</v>
      </c>
    </row>
    <row r="155" customFormat="false" ht="15" hidden="false" customHeight="false" outlineLevel="0" collapsed="false">
      <c r="A155" s="11" t="s">
        <v>1561</v>
      </c>
      <c r="B155" s="11" t="s">
        <v>29</v>
      </c>
      <c r="C155" s="11" t="s">
        <v>30</v>
      </c>
      <c r="D155" s="11" t="s">
        <v>1248</v>
      </c>
      <c r="E155" s="11" t="s">
        <v>1261</v>
      </c>
      <c r="F155" s="11" t="s">
        <v>189</v>
      </c>
      <c r="G155" s="11" t="n">
        <v>1</v>
      </c>
      <c r="H155" s="34" t="n">
        <v>276</v>
      </c>
      <c r="I155" s="34" t="n">
        <v>249.1</v>
      </c>
      <c r="J155" s="34" t="n">
        <v>26.9</v>
      </c>
      <c r="K155" s="34" t="n">
        <v>26.9</v>
      </c>
      <c r="L155" s="11" t="s">
        <v>438</v>
      </c>
      <c r="M155" s="11" t="s">
        <v>1250</v>
      </c>
      <c r="N155" s="11" t="s">
        <v>1251</v>
      </c>
      <c r="O155" s="11" t="s">
        <v>1252</v>
      </c>
      <c r="P155" s="11" t="s">
        <v>1557</v>
      </c>
      <c r="Q155" s="25" t="n">
        <f aca="false">SUMIFS('Commentary drivers'!$D:$D,'Commentary drivers'!$A:$A,A155)</f>
        <v>26.9</v>
      </c>
      <c r="R155" s="25" t="n">
        <f aca="false">SUMIFS('Commentary drivers'!$E:$E,'Commentary drivers'!$A:$A,A155)</f>
        <v>26.9</v>
      </c>
      <c r="S155" s="49" t="str">
        <f aca="false">IF(AND(ROUND(Q155-J155,4)=0,ROUND(R155-K155,1)=0),"✓","✗")</f>
        <v>✓</v>
      </c>
    </row>
    <row r="156" customFormat="false" ht="15" hidden="false" customHeight="false" outlineLevel="0" collapsed="false">
      <c r="A156" s="11" t="s">
        <v>1562</v>
      </c>
      <c r="B156" s="11" t="s">
        <v>29</v>
      </c>
      <c r="C156" s="11" t="s">
        <v>30</v>
      </c>
      <c r="D156" s="11" t="s">
        <v>1248</v>
      </c>
      <c r="E156" s="11" t="s">
        <v>1264</v>
      </c>
      <c r="F156" s="11" t="s">
        <v>192</v>
      </c>
      <c r="G156" s="11" t="n">
        <v>1</v>
      </c>
      <c r="H156" s="34" t="n">
        <v>193.01775</v>
      </c>
      <c r="I156" s="34" t="n">
        <v>183.071</v>
      </c>
      <c r="J156" s="34" t="n">
        <v>9.94675</v>
      </c>
      <c r="K156" s="34" t="n">
        <v>9.9</v>
      </c>
      <c r="L156" s="11" t="s">
        <v>439</v>
      </c>
      <c r="M156" s="11" t="s">
        <v>1250</v>
      </c>
      <c r="N156" s="11" t="s">
        <v>1262</v>
      </c>
      <c r="O156" s="11"/>
      <c r="P156" s="11"/>
      <c r="Q156" s="25" t="n">
        <f aca="false">SUMIFS('Commentary drivers'!$D:$D,'Commentary drivers'!$A:$A,A156)</f>
        <v>9.94675</v>
      </c>
      <c r="R156" s="25" t="n">
        <f aca="false">SUMIFS('Commentary drivers'!$E:$E,'Commentary drivers'!$A:$A,A156)</f>
        <v>9.9</v>
      </c>
      <c r="S156" s="49" t="str">
        <f aca="false">IF(AND(ROUND(Q156-J156,4)=0,ROUND(R156-K156,1)=0),"✓","✗")</f>
        <v>✓</v>
      </c>
    </row>
    <row r="157" customFormat="false" ht="15" hidden="false" customHeight="false" outlineLevel="0" collapsed="false">
      <c r="A157" s="11" t="s">
        <v>1563</v>
      </c>
      <c r="B157" s="11" t="s">
        <v>29</v>
      </c>
      <c r="C157" s="11" t="s">
        <v>30</v>
      </c>
      <c r="D157" s="11" t="s">
        <v>1248</v>
      </c>
      <c r="E157" s="11" t="s">
        <v>1266</v>
      </c>
      <c r="F157" s="11" t="s">
        <v>195</v>
      </c>
      <c r="G157" s="11" t="n">
        <v>1</v>
      </c>
      <c r="H157" s="34" t="n">
        <v>172.5871</v>
      </c>
      <c r="I157" s="34" t="n">
        <v>177.8784</v>
      </c>
      <c r="J157" s="34" t="n">
        <v>-5.2913</v>
      </c>
      <c r="K157" s="34" t="n">
        <v>-5.3</v>
      </c>
      <c r="L157" s="11" t="s">
        <v>440</v>
      </c>
      <c r="M157" s="11" t="s">
        <v>1250</v>
      </c>
      <c r="N157" s="11" t="s">
        <v>1262</v>
      </c>
      <c r="O157" s="11"/>
      <c r="P157" s="11"/>
      <c r="Q157" s="25" t="n">
        <f aca="false">SUMIFS('Commentary drivers'!$D:$D,'Commentary drivers'!$A:$A,A157)</f>
        <v>-5.2913</v>
      </c>
      <c r="R157" s="25" t="n">
        <f aca="false">SUMIFS('Commentary drivers'!$E:$E,'Commentary drivers'!$A:$A,A157)</f>
        <v>-5.3</v>
      </c>
      <c r="S157" s="49" t="str">
        <f aca="false">IF(AND(ROUND(Q157-J157,4)=0,ROUND(R157-K157,1)=0),"✓","✗")</f>
        <v>✓</v>
      </c>
    </row>
    <row r="158" customFormat="false" ht="15" hidden="false" customHeight="false" outlineLevel="0" collapsed="false">
      <c r="A158" s="11" t="s">
        <v>1564</v>
      </c>
      <c r="B158" s="11" t="s">
        <v>29</v>
      </c>
      <c r="C158" s="11" t="s">
        <v>30</v>
      </c>
      <c r="D158" s="11" t="s">
        <v>1248</v>
      </c>
      <c r="E158" s="11" t="s">
        <v>1268</v>
      </c>
      <c r="F158" s="11" t="s">
        <v>198</v>
      </c>
      <c r="G158" s="11" t="n">
        <v>1</v>
      </c>
      <c r="H158" s="34" t="n">
        <v>304.269</v>
      </c>
      <c r="I158" s="34" t="n">
        <v>289.652</v>
      </c>
      <c r="J158" s="34" t="n">
        <v>14.617</v>
      </c>
      <c r="K158" s="34" t="n">
        <v>14.6</v>
      </c>
      <c r="L158" s="11" t="s">
        <v>441</v>
      </c>
      <c r="M158" s="11" t="s">
        <v>1250</v>
      </c>
      <c r="N158" s="11" t="s">
        <v>1251</v>
      </c>
      <c r="O158" s="11" t="s">
        <v>1252</v>
      </c>
      <c r="P158" s="11" t="s">
        <v>1557</v>
      </c>
      <c r="Q158" s="25" t="n">
        <f aca="false">SUMIFS('Commentary drivers'!$D:$D,'Commentary drivers'!$A:$A,A158)</f>
        <v>14.617</v>
      </c>
      <c r="R158" s="25" t="n">
        <f aca="false">SUMIFS('Commentary drivers'!$E:$E,'Commentary drivers'!$A:$A,A158)</f>
        <v>14.6</v>
      </c>
      <c r="S158" s="49" t="str">
        <f aca="false">IF(AND(ROUND(Q158-J158,4)=0,ROUND(R158-K158,1)=0),"✓","✗")</f>
        <v>✓</v>
      </c>
    </row>
    <row r="159" customFormat="false" ht="15" hidden="false" customHeight="false" outlineLevel="0" collapsed="false">
      <c r="A159" s="11" t="s">
        <v>1565</v>
      </c>
      <c r="B159" s="11" t="s">
        <v>29</v>
      </c>
      <c r="C159" s="11" t="s">
        <v>30</v>
      </c>
      <c r="D159" s="11" t="s">
        <v>1248</v>
      </c>
      <c r="E159" s="11" t="s">
        <v>1270</v>
      </c>
      <c r="F159" s="11" t="s">
        <v>201</v>
      </c>
      <c r="G159" s="11" t="n">
        <v>1</v>
      </c>
      <c r="H159" s="34" t="n">
        <v>29.68</v>
      </c>
      <c r="I159" s="34" t="n">
        <v>24.616</v>
      </c>
      <c r="J159" s="34" t="n">
        <v>5.064</v>
      </c>
      <c r="K159" s="34" t="n">
        <v>5.1</v>
      </c>
      <c r="L159" s="11" t="s">
        <v>442</v>
      </c>
      <c r="M159" s="11" t="s">
        <v>1250</v>
      </c>
      <c r="N159" s="11" t="s">
        <v>1251</v>
      </c>
      <c r="O159" s="11" t="s">
        <v>1252</v>
      </c>
      <c r="P159" s="11" t="s">
        <v>1557</v>
      </c>
      <c r="Q159" s="25" t="n">
        <f aca="false">SUMIFS('Commentary drivers'!$D:$D,'Commentary drivers'!$A:$A,A159)</f>
        <v>5.064</v>
      </c>
      <c r="R159" s="25" t="n">
        <f aca="false">SUMIFS('Commentary drivers'!$E:$E,'Commentary drivers'!$A:$A,A159)</f>
        <v>5.1</v>
      </c>
      <c r="S159" s="49" t="str">
        <f aca="false">IF(AND(ROUND(Q159-J159,4)=0,ROUND(R159-K159,1)=0),"✓","✗")</f>
        <v>✓</v>
      </c>
    </row>
    <row r="160" customFormat="false" ht="15" hidden="false" customHeight="false" outlineLevel="0" collapsed="false">
      <c r="A160" s="11" t="s">
        <v>1566</v>
      </c>
      <c r="B160" s="11" t="s">
        <v>29</v>
      </c>
      <c r="C160" s="11" t="s">
        <v>30</v>
      </c>
      <c r="D160" s="11" t="s">
        <v>1248</v>
      </c>
      <c r="E160" s="11" t="s">
        <v>1272</v>
      </c>
      <c r="F160" s="11" t="s">
        <v>204</v>
      </c>
      <c r="G160" s="11" t="n">
        <v>1</v>
      </c>
      <c r="H160" s="34" t="n">
        <v>39.33333</v>
      </c>
      <c r="I160" s="34" t="n">
        <v>37.33333</v>
      </c>
      <c r="J160" s="34" t="n">
        <v>2</v>
      </c>
      <c r="K160" s="34" t="n">
        <v>2</v>
      </c>
      <c r="L160" s="11" t="s">
        <v>443</v>
      </c>
      <c r="M160" s="11" t="s">
        <v>1250</v>
      </c>
      <c r="N160" s="11" t="s">
        <v>1262</v>
      </c>
      <c r="O160" s="11"/>
      <c r="P160" s="11"/>
      <c r="Q160" s="25" t="n">
        <f aca="false">SUMIFS('Commentary drivers'!$D:$D,'Commentary drivers'!$A:$A,A160)</f>
        <v>2</v>
      </c>
      <c r="R160" s="25" t="n">
        <f aca="false">SUMIFS('Commentary drivers'!$E:$E,'Commentary drivers'!$A:$A,A160)</f>
        <v>2</v>
      </c>
      <c r="S160" s="49" t="str">
        <f aca="false">IF(AND(ROUND(Q160-J160,4)=0,ROUND(R160-K160,1)=0),"✓","✗")</f>
        <v>✓</v>
      </c>
    </row>
    <row r="161" customFormat="false" ht="15" hidden="false" customHeight="false" outlineLevel="0" collapsed="false">
      <c r="A161" s="11" t="s">
        <v>1567</v>
      </c>
      <c r="B161" s="11" t="s">
        <v>29</v>
      </c>
      <c r="C161" s="11" t="s">
        <v>30</v>
      </c>
      <c r="D161" s="11" t="s">
        <v>1248</v>
      </c>
      <c r="E161" s="11" t="s">
        <v>1274</v>
      </c>
      <c r="F161" s="11" t="s">
        <v>207</v>
      </c>
      <c r="G161" s="11" t="n">
        <v>1</v>
      </c>
      <c r="H161" s="34" t="n">
        <v>39.5</v>
      </c>
      <c r="I161" s="34" t="n">
        <v>37</v>
      </c>
      <c r="J161" s="34" t="n">
        <v>2.5</v>
      </c>
      <c r="K161" s="34" t="n">
        <v>2.5</v>
      </c>
      <c r="L161" s="11" t="s">
        <v>444</v>
      </c>
      <c r="M161" s="11" t="s">
        <v>1250</v>
      </c>
      <c r="N161" s="11" t="s">
        <v>1262</v>
      </c>
      <c r="O161" s="11"/>
      <c r="P161" s="11"/>
      <c r="Q161" s="25" t="n">
        <f aca="false">SUMIFS('Commentary drivers'!$D:$D,'Commentary drivers'!$A:$A,A161)</f>
        <v>2.5</v>
      </c>
      <c r="R161" s="25" t="n">
        <f aca="false">SUMIFS('Commentary drivers'!$E:$E,'Commentary drivers'!$A:$A,A161)</f>
        <v>2.5</v>
      </c>
      <c r="S161" s="49" t="str">
        <f aca="false">IF(AND(ROUND(Q161-J161,4)=0,ROUND(R161-K161,1)=0),"✓","✗")</f>
        <v>✓</v>
      </c>
    </row>
    <row r="162" customFormat="false" ht="15" hidden="false" customHeight="false" outlineLevel="0" collapsed="false">
      <c r="A162" s="11" t="s">
        <v>1568</v>
      </c>
      <c r="B162" s="11" t="s">
        <v>29</v>
      </c>
      <c r="C162" s="11" t="s">
        <v>30</v>
      </c>
      <c r="D162" s="11" t="s">
        <v>1248</v>
      </c>
      <c r="E162" s="11" t="s">
        <v>1276</v>
      </c>
      <c r="F162" s="11" t="s">
        <v>156</v>
      </c>
      <c r="G162" s="11" t="n">
        <v>0</v>
      </c>
      <c r="H162" s="34" t="n">
        <v>239.112</v>
      </c>
      <c r="I162" s="34" t="n">
        <v>239.188</v>
      </c>
      <c r="J162" s="34" t="n">
        <v>-0.076</v>
      </c>
      <c r="K162" s="34" t="n">
        <v>-0.1</v>
      </c>
      <c r="L162" s="11" t="s">
        <v>445</v>
      </c>
      <c r="M162" s="11" t="s">
        <v>1250</v>
      </c>
      <c r="N162" s="11" t="s">
        <v>1262</v>
      </c>
      <c r="O162" s="11"/>
      <c r="P162" s="11"/>
      <c r="Q162" s="25" t="n">
        <f aca="false">SUMIFS('Commentary drivers'!$D:$D,'Commentary drivers'!$A:$A,A162)</f>
        <v>-0.076</v>
      </c>
      <c r="R162" s="25" t="n">
        <f aca="false">SUMIFS('Commentary drivers'!$E:$E,'Commentary drivers'!$A:$A,A162)</f>
        <v>-0.1</v>
      </c>
      <c r="S162" s="49" t="str">
        <f aca="false">IF(AND(ROUND(Q162-J162,4)=0,ROUND(R162-K162,1)=0),"✓","✗")</f>
        <v>✓</v>
      </c>
    </row>
    <row r="163" customFormat="false" ht="15" hidden="false" customHeight="false" outlineLevel="0" collapsed="false">
      <c r="A163" s="11" t="s">
        <v>1569</v>
      </c>
      <c r="B163" s="11" t="s">
        <v>29</v>
      </c>
      <c r="C163" s="11" t="s">
        <v>30</v>
      </c>
      <c r="D163" s="11" t="s">
        <v>1248</v>
      </c>
      <c r="E163" s="11" t="s">
        <v>1278</v>
      </c>
      <c r="F163" s="11" t="s">
        <v>101</v>
      </c>
      <c r="G163" s="11" t="n">
        <v>0</v>
      </c>
      <c r="H163" s="34" t="n">
        <v>1293.49918</v>
      </c>
      <c r="I163" s="34" t="n">
        <v>1237.83873</v>
      </c>
      <c r="J163" s="34" t="n">
        <v>55.66045</v>
      </c>
      <c r="K163" s="34" t="n">
        <v>55.7</v>
      </c>
      <c r="L163" s="11" t="s">
        <v>446</v>
      </c>
      <c r="M163" s="11" t="s">
        <v>1250</v>
      </c>
      <c r="N163" s="11" t="s">
        <v>1251</v>
      </c>
      <c r="O163" s="11" t="s">
        <v>1252</v>
      </c>
      <c r="P163" s="11" t="s">
        <v>1557</v>
      </c>
      <c r="Q163" s="25" t="n">
        <f aca="false">SUMIFS('Commentary drivers'!$D:$D,'Commentary drivers'!$A:$A,A163)</f>
        <v>55.66045</v>
      </c>
      <c r="R163" s="25" t="n">
        <f aca="false">SUMIFS('Commentary drivers'!$E:$E,'Commentary drivers'!$A:$A,A163)</f>
        <v>55.7</v>
      </c>
      <c r="S163" s="49" t="str">
        <f aca="false">IF(AND(ROUND(Q163-J163,4)=0,ROUND(R163-K163,1)=0),"✓","✗")</f>
        <v>✓</v>
      </c>
    </row>
    <row r="164" customFormat="false" ht="15" hidden="false" customHeight="false" outlineLevel="0" collapsed="false">
      <c r="A164" s="11" t="s">
        <v>1570</v>
      </c>
      <c r="B164" s="11" t="s">
        <v>29</v>
      </c>
      <c r="C164" s="11" t="s">
        <v>30</v>
      </c>
      <c r="D164" s="11" t="s">
        <v>1248</v>
      </c>
      <c r="E164" s="11" t="s">
        <v>1280</v>
      </c>
      <c r="F164" s="11" t="s">
        <v>92</v>
      </c>
      <c r="G164" s="11" t="n">
        <v>0</v>
      </c>
      <c r="H164" s="34" t="n">
        <v>2698.02782</v>
      </c>
      <c r="I164" s="34" t="n">
        <v>2486.49827</v>
      </c>
      <c r="J164" s="34" t="n">
        <v>211.52955</v>
      </c>
      <c r="K164" s="34" t="n">
        <v>211.5</v>
      </c>
      <c r="L164" s="11" t="s">
        <v>447</v>
      </c>
      <c r="M164" s="11" t="s">
        <v>1250</v>
      </c>
      <c r="N164" s="11" t="s">
        <v>1251</v>
      </c>
      <c r="O164" s="11" t="s">
        <v>1252</v>
      </c>
      <c r="P164" s="11" t="s">
        <v>1557</v>
      </c>
      <c r="Q164" s="25" t="n">
        <f aca="false">SUMIFS('Commentary drivers'!$D:$D,'Commentary drivers'!$A:$A,A164)</f>
        <v>211.52955</v>
      </c>
      <c r="R164" s="25" t="n">
        <f aca="false">SUMIFS('Commentary drivers'!$E:$E,'Commentary drivers'!$A:$A,A164)</f>
        <v>211.5</v>
      </c>
      <c r="S164" s="49" t="str">
        <f aca="false">IF(AND(ROUND(Q164-J164,4)=0,ROUND(R164-K164,1)=0),"✓","✗")</f>
        <v>✓</v>
      </c>
    </row>
    <row r="165" customFormat="false" ht="15" hidden="false" customHeight="false" outlineLevel="0" collapsed="false">
      <c r="A165" s="11" t="s">
        <v>1571</v>
      </c>
      <c r="B165" s="11" t="s">
        <v>29</v>
      </c>
      <c r="C165" s="11" t="s">
        <v>30</v>
      </c>
      <c r="D165" s="11" t="s">
        <v>1248</v>
      </c>
      <c r="E165" s="11" t="s">
        <v>1282</v>
      </c>
      <c r="F165" s="11" t="s">
        <v>157</v>
      </c>
      <c r="G165" s="11" t="n">
        <v>0</v>
      </c>
      <c r="H165" s="34" t="n">
        <v>806.43658</v>
      </c>
      <c r="I165" s="34" t="n">
        <v>761.48631</v>
      </c>
      <c r="J165" s="34" t="n">
        <v>44.95027</v>
      </c>
      <c r="K165" s="34" t="n">
        <v>45</v>
      </c>
      <c r="L165" s="11" t="s">
        <v>448</v>
      </c>
      <c r="M165" s="11" t="s">
        <v>1250</v>
      </c>
      <c r="N165" s="11" t="s">
        <v>1251</v>
      </c>
      <c r="O165" s="11" t="s">
        <v>1252</v>
      </c>
      <c r="P165" s="11" t="s">
        <v>1557</v>
      </c>
      <c r="Q165" s="25" t="n">
        <f aca="false">SUMIFS('Commentary drivers'!$D:$D,'Commentary drivers'!$A:$A,A165)</f>
        <v>44.95027</v>
      </c>
      <c r="R165" s="25" t="n">
        <f aca="false">SUMIFS('Commentary drivers'!$E:$E,'Commentary drivers'!$A:$A,A165)</f>
        <v>45</v>
      </c>
      <c r="S165" s="49" t="str">
        <f aca="false">IF(AND(ROUND(Q165-J165,4)=0,ROUND(R165-K165,1)=0),"✓","✗")</f>
        <v>✓</v>
      </c>
    </row>
    <row r="166" customFormat="false" ht="15" hidden="false" customHeight="false" outlineLevel="0" collapsed="false">
      <c r="A166" s="11" t="s">
        <v>1572</v>
      </c>
      <c r="B166" s="11" t="s">
        <v>29</v>
      </c>
      <c r="C166" s="11" t="s">
        <v>30</v>
      </c>
      <c r="D166" s="11" t="s">
        <v>1248</v>
      </c>
      <c r="E166" s="11" t="s">
        <v>1284</v>
      </c>
      <c r="F166" s="11" t="s">
        <v>192</v>
      </c>
      <c r="G166" s="11" t="n">
        <v>1</v>
      </c>
      <c r="H166" s="34" t="n">
        <v>579.05325</v>
      </c>
      <c r="I166" s="34" t="n">
        <v>549.213</v>
      </c>
      <c r="J166" s="34" t="n">
        <v>29.84025</v>
      </c>
      <c r="K166" s="34" t="n">
        <v>29.8</v>
      </c>
      <c r="L166" s="11" t="s">
        <v>449</v>
      </c>
      <c r="M166" s="11" t="s">
        <v>1250</v>
      </c>
      <c r="N166" s="11" t="s">
        <v>1251</v>
      </c>
      <c r="O166" s="11" t="s">
        <v>1252</v>
      </c>
      <c r="P166" s="11" t="s">
        <v>1557</v>
      </c>
      <c r="Q166" s="25" t="n">
        <f aca="false">SUMIFS('Commentary drivers'!$D:$D,'Commentary drivers'!$A:$A,A166)</f>
        <v>29.84025</v>
      </c>
      <c r="R166" s="25" t="n">
        <f aca="false">SUMIFS('Commentary drivers'!$E:$E,'Commentary drivers'!$A:$A,A166)</f>
        <v>29.8</v>
      </c>
      <c r="S166" s="49" t="str">
        <f aca="false">IF(AND(ROUND(Q166-J166,4)=0,ROUND(R166-K166,1)=0),"✓","✗")</f>
        <v>✓</v>
      </c>
    </row>
    <row r="167" customFormat="false" ht="15" hidden="false" customHeight="false" outlineLevel="0" collapsed="false">
      <c r="A167" s="11" t="s">
        <v>1573</v>
      </c>
      <c r="B167" s="11" t="s">
        <v>29</v>
      </c>
      <c r="C167" s="11" t="s">
        <v>30</v>
      </c>
      <c r="D167" s="11" t="s">
        <v>1248</v>
      </c>
      <c r="E167" s="11" t="s">
        <v>1286</v>
      </c>
      <c r="F167" s="11" t="s">
        <v>189</v>
      </c>
      <c r="G167" s="11" t="n">
        <v>1</v>
      </c>
      <c r="H167" s="34" t="n">
        <v>82</v>
      </c>
      <c r="I167" s="34" t="n">
        <v>76</v>
      </c>
      <c r="J167" s="34" t="n">
        <v>6</v>
      </c>
      <c r="K167" s="34" t="n">
        <v>6</v>
      </c>
      <c r="L167" s="11" t="s">
        <v>450</v>
      </c>
      <c r="M167" s="11" t="s">
        <v>1250</v>
      </c>
      <c r="N167" s="11" t="s">
        <v>1262</v>
      </c>
      <c r="O167" s="11"/>
      <c r="P167" s="11"/>
      <c r="Q167" s="25" t="n">
        <f aca="false">SUMIFS('Commentary drivers'!$D:$D,'Commentary drivers'!$A:$A,A167)</f>
        <v>6</v>
      </c>
      <c r="R167" s="25" t="n">
        <f aca="false">SUMIFS('Commentary drivers'!$E:$E,'Commentary drivers'!$A:$A,A167)</f>
        <v>6</v>
      </c>
      <c r="S167" s="49" t="str">
        <f aca="false">IF(AND(ROUND(Q167-J167,4)=0,ROUND(R167-K167,1)=0),"✓","✗")</f>
        <v>✓</v>
      </c>
    </row>
    <row r="168" customFormat="false" ht="15" hidden="false" customHeight="false" outlineLevel="0" collapsed="false">
      <c r="A168" s="11" t="s">
        <v>1574</v>
      </c>
      <c r="B168" s="11" t="s">
        <v>29</v>
      </c>
      <c r="C168" s="11" t="s">
        <v>30</v>
      </c>
      <c r="D168" s="11" t="s">
        <v>1248</v>
      </c>
      <c r="E168" s="11" t="s">
        <v>1288</v>
      </c>
      <c r="F168" s="11" t="s">
        <v>201</v>
      </c>
      <c r="G168" s="11" t="n">
        <v>1</v>
      </c>
      <c r="H168" s="34" t="n">
        <v>46.8</v>
      </c>
      <c r="I168" s="34" t="n">
        <v>43.44</v>
      </c>
      <c r="J168" s="34" t="n">
        <v>3.36</v>
      </c>
      <c r="K168" s="34" t="n">
        <v>3.4</v>
      </c>
      <c r="L168" s="11" t="s">
        <v>451</v>
      </c>
      <c r="M168" s="11" t="s">
        <v>1250</v>
      </c>
      <c r="N168" s="11" t="s">
        <v>1262</v>
      </c>
      <c r="O168" s="11"/>
      <c r="P168" s="11"/>
      <c r="Q168" s="25" t="n">
        <f aca="false">SUMIFS('Commentary drivers'!$D:$D,'Commentary drivers'!$A:$A,A168)</f>
        <v>3.36</v>
      </c>
      <c r="R168" s="25" t="n">
        <f aca="false">SUMIFS('Commentary drivers'!$E:$E,'Commentary drivers'!$A:$A,A168)</f>
        <v>3.4</v>
      </c>
      <c r="S168" s="49" t="str">
        <f aca="false">IF(AND(ROUND(Q168-J168,4)=0,ROUND(R168-K168,1)=0),"✓","✗")</f>
        <v>✓</v>
      </c>
    </row>
    <row r="169" customFormat="false" ht="15" hidden="false" customHeight="false" outlineLevel="0" collapsed="false">
      <c r="A169" s="11" t="s">
        <v>1575</v>
      </c>
      <c r="B169" s="11" t="s">
        <v>29</v>
      </c>
      <c r="C169" s="11" t="s">
        <v>30</v>
      </c>
      <c r="D169" s="11" t="s">
        <v>1248</v>
      </c>
      <c r="E169" s="11" t="s">
        <v>1290</v>
      </c>
      <c r="F169" s="11" t="s">
        <v>204</v>
      </c>
      <c r="G169" s="11" t="n">
        <v>1</v>
      </c>
      <c r="H169" s="34" t="n">
        <v>39.33333</v>
      </c>
      <c r="I169" s="34" t="n">
        <v>37.33333</v>
      </c>
      <c r="J169" s="34" t="n">
        <v>2</v>
      </c>
      <c r="K169" s="34" t="n">
        <v>2</v>
      </c>
      <c r="L169" s="11" t="s">
        <v>443</v>
      </c>
      <c r="M169" s="11" t="s">
        <v>1250</v>
      </c>
      <c r="N169" s="11" t="s">
        <v>1262</v>
      </c>
      <c r="O169" s="11"/>
      <c r="P169" s="11"/>
      <c r="Q169" s="25" t="n">
        <f aca="false">SUMIFS('Commentary drivers'!$D:$D,'Commentary drivers'!$A:$A,A169)</f>
        <v>2</v>
      </c>
      <c r="R169" s="25" t="n">
        <f aca="false">SUMIFS('Commentary drivers'!$E:$E,'Commentary drivers'!$A:$A,A169)</f>
        <v>2</v>
      </c>
      <c r="S169" s="49" t="str">
        <f aca="false">IF(AND(ROUND(Q169-J169,4)=0,ROUND(R169-K169,1)=0),"✓","✗")</f>
        <v>✓</v>
      </c>
    </row>
    <row r="170" customFormat="false" ht="15" hidden="false" customHeight="false" outlineLevel="0" collapsed="false">
      <c r="A170" s="11" t="s">
        <v>1576</v>
      </c>
      <c r="B170" s="11" t="s">
        <v>29</v>
      </c>
      <c r="C170" s="11" t="s">
        <v>30</v>
      </c>
      <c r="D170" s="11" t="s">
        <v>1248</v>
      </c>
      <c r="E170" s="11" t="s">
        <v>1292</v>
      </c>
      <c r="F170" s="11" t="s">
        <v>207</v>
      </c>
      <c r="G170" s="11" t="n">
        <v>1</v>
      </c>
      <c r="H170" s="34" t="n">
        <v>59.25</v>
      </c>
      <c r="I170" s="34" t="n">
        <v>55.49998</v>
      </c>
      <c r="J170" s="34" t="n">
        <v>3.75002</v>
      </c>
      <c r="K170" s="34" t="n">
        <v>3.8</v>
      </c>
      <c r="L170" s="11" t="s">
        <v>452</v>
      </c>
      <c r="M170" s="11" t="s">
        <v>1250</v>
      </c>
      <c r="N170" s="11" t="s">
        <v>1262</v>
      </c>
      <c r="O170" s="11"/>
      <c r="P170" s="11"/>
      <c r="Q170" s="25" t="n">
        <f aca="false">SUMIFS('Commentary drivers'!$D:$D,'Commentary drivers'!$A:$A,A170)</f>
        <v>3.75002</v>
      </c>
      <c r="R170" s="25" t="n">
        <f aca="false">SUMIFS('Commentary drivers'!$E:$E,'Commentary drivers'!$A:$A,A170)</f>
        <v>3.8</v>
      </c>
      <c r="S170" s="49" t="str">
        <f aca="false">IF(AND(ROUND(Q170-J170,4)=0,ROUND(R170-K170,1)=0),"✓","✗")</f>
        <v>✓</v>
      </c>
    </row>
    <row r="171" customFormat="false" ht="15" hidden="false" customHeight="false" outlineLevel="0" collapsed="false">
      <c r="A171" s="11" t="s">
        <v>1577</v>
      </c>
      <c r="B171" s="11" t="s">
        <v>29</v>
      </c>
      <c r="C171" s="11" t="s">
        <v>30</v>
      </c>
      <c r="D171" s="11" t="s">
        <v>1248</v>
      </c>
      <c r="E171" s="11" t="s">
        <v>1294</v>
      </c>
      <c r="F171" s="11" t="s">
        <v>158</v>
      </c>
      <c r="G171" s="11" t="n">
        <v>0</v>
      </c>
      <c r="H171" s="34" t="n">
        <v>995.77357</v>
      </c>
      <c r="I171" s="34" t="n">
        <v>843.08027</v>
      </c>
      <c r="J171" s="34" t="n">
        <v>152.6933</v>
      </c>
      <c r="K171" s="34" t="n">
        <v>152.7</v>
      </c>
      <c r="L171" s="11" t="s">
        <v>453</v>
      </c>
      <c r="M171" s="11" t="s">
        <v>1250</v>
      </c>
      <c r="N171" s="11" t="s">
        <v>1251</v>
      </c>
      <c r="O171" s="11" t="s">
        <v>1252</v>
      </c>
      <c r="P171" s="11" t="s">
        <v>1557</v>
      </c>
      <c r="Q171" s="25" t="n">
        <f aca="false">SUMIFS('Commentary drivers'!$D:$D,'Commentary drivers'!$A:$A,A171)</f>
        <v>152.6933</v>
      </c>
      <c r="R171" s="25" t="n">
        <f aca="false">SUMIFS('Commentary drivers'!$E:$E,'Commentary drivers'!$A:$A,A171)</f>
        <v>152.7</v>
      </c>
      <c r="S171" s="49" t="str">
        <f aca="false">IF(AND(ROUND(Q171-J171,4)=0,ROUND(R171-K171,1)=0),"✓","✗")</f>
        <v>✓</v>
      </c>
    </row>
    <row r="172" customFormat="false" ht="15" hidden="false" customHeight="false" outlineLevel="0" collapsed="false">
      <c r="A172" s="11" t="s">
        <v>1578</v>
      </c>
      <c r="B172" s="11" t="s">
        <v>29</v>
      </c>
      <c r="C172" s="11" t="s">
        <v>30</v>
      </c>
      <c r="D172" s="11" t="s">
        <v>1248</v>
      </c>
      <c r="E172" s="11" t="s">
        <v>1296</v>
      </c>
      <c r="F172" s="11" t="s">
        <v>225</v>
      </c>
      <c r="G172" s="11" t="n">
        <v>1</v>
      </c>
      <c r="H172" s="34" t="n">
        <v>465.321</v>
      </c>
      <c r="I172" s="34" t="n">
        <v>418.346</v>
      </c>
      <c r="J172" s="34" t="n">
        <v>46.975</v>
      </c>
      <c r="K172" s="34" t="n">
        <v>47</v>
      </c>
      <c r="L172" s="11" t="s">
        <v>454</v>
      </c>
      <c r="M172" s="11" t="s">
        <v>1250</v>
      </c>
      <c r="N172" s="11" t="s">
        <v>1251</v>
      </c>
      <c r="O172" s="11" t="s">
        <v>1252</v>
      </c>
      <c r="P172" s="11" t="s">
        <v>1557</v>
      </c>
      <c r="Q172" s="25" t="n">
        <f aca="false">SUMIFS('Commentary drivers'!$D:$D,'Commentary drivers'!$A:$A,A172)</f>
        <v>46.975</v>
      </c>
      <c r="R172" s="25" t="n">
        <f aca="false">SUMIFS('Commentary drivers'!$E:$E,'Commentary drivers'!$A:$A,A172)</f>
        <v>47</v>
      </c>
      <c r="S172" s="49" t="str">
        <f aca="false">IF(AND(ROUND(Q172-J172,4)=0,ROUND(R172-K172,1)=0),"✓","✗")</f>
        <v>✓</v>
      </c>
    </row>
    <row r="173" customFormat="false" ht="15" hidden="false" customHeight="false" outlineLevel="0" collapsed="false">
      <c r="A173" s="11" t="s">
        <v>1579</v>
      </c>
      <c r="B173" s="11" t="s">
        <v>29</v>
      </c>
      <c r="C173" s="11" t="s">
        <v>30</v>
      </c>
      <c r="D173" s="11" t="s">
        <v>1248</v>
      </c>
      <c r="E173" s="11" t="s">
        <v>1298</v>
      </c>
      <c r="F173" s="11" t="s">
        <v>195</v>
      </c>
      <c r="G173" s="11" t="n">
        <v>1</v>
      </c>
      <c r="H173" s="34" t="n">
        <v>73.9659</v>
      </c>
      <c r="I173" s="34" t="n">
        <v>76.2336</v>
      </c>
      <c r="J173" s="34" t="n">
        <v>-2.2677</v>
      </c>
      <c r="K173" s="34" t="n">
        <v>-2.3</v>
      </c>
      <c r="L173" s="11" t="s">
        <v>455</v>
      </c>
      <c r="M173" s="11" t="s">
        <v>1250</v>
      </c>
      <c r="N173" s="11" t="s">
        <v>1262</v>
      </c>
      <c r="O173" s="11"/>
      <c r="P173" s="11"/>
      <c r="Q173" s="25" t="n">
        <f aca="false">SUMIFS('Commentary drivers'!$D:$D,'Commentary drivers'!$A:$A,A173)</f>
        <v>-2.2677</v>
      </c>
      <c r="R173" s="25" t="n">
        <f aca="false">SUMIFS('Commentary drivers'!$E:$E,'Commentary drivers'!$A:$A,A173)</f>
        <v>-2.3</v>
      </c>
      <c r="S173" s="49" t="str">
        <f aca="false">IF(AND(ROUND(Q173-J173,4)=0,ROUND(R173-K173,1)=0),"✓","✗")</f>
        <v>✓</v>
      </c>
    </row>
    <row r="174" customFormat="false" ht="15" hidden="false" customHeight="false" outlineLevel="0" collapsed="false">
      <c r="A174" s="11" t="s">
        <v>1580</v>
      </c>
      <c r="B174" s="11" t="s">
        <v>29</v>
      </c>
      <c r="C174" s="11" t="s">
        <v>30</v>
      </c>
      <c r="D174" s="11" t="s">
        <v>1248</v>
      </c>
      <c r="E174" s="11" t="s">
        <v>1300</v>
      </c>
      <c r="F174" s="11" t="s">
        <v>230</v>
      </c>
      <c r="G174" s="11" t="n">
        <v>1</v>
      </c>
      <c r="H174" s="34" t="n">
        <v>240</v>
      </c>
      <c r="I174" s="34" t="n">
        <v>154.55</v>
      </c>
      <c r="J174" s="34" t="n">
        <v>85.45</v>
      </c>
      <c r="K174" s="34" t="n">
        <v>85.5</v>
      </c>
      <c r="L174" s="11" t="s">
        <v>456</v>
      </c>
      <c r="M174" s="11" t="s">
        <v>1250</v>
      </c>
      <c r="N174" s="11" t="s">
        <v>1251</v>
      </c>
      <c r="O174" s="11" t="s">
        <v>1252</v>
      </c>
      <c r="P174" s="11" t="s">
        <v>1557</v>
      </c>
      <c r="Q174" s="25" t="n">
        <f aca="false">SUMIFS('Commentary drivers'!$D:$D,'Commentary drivers'!$A:$A,A174)</f>
        <v>85.45</v>
      </c>
      <c r="R174" s="25" t="n">
        <f aca="false">SUMIFS('Commentary drivers'!$E:$E,'Commentary drivers'!$A:$A,A174)</f>
        <v>85.5</v>
      </c>
      <c r="S174" s="49" t="str">
        <f aca="false">IF(AND(ROUND(Q174-J174,4)=0,ROUND(R174-K174,1)=0),"✓","✗")</f>
        <v>✓</v>
      </c>
    </row>
    <row r="175" customFormat="false" ht="15" hidden="false" customHeight="false" outlineLevel="0" collapsed="false">
      <c r="A175" s="11" t="s">
        <v>1581</v>
      </c>
      <c r="B175" s="11" t="s">
        <v>29</v>
      </c>
      <c r="C175" s="11" t="s">
        <v>30</v>
      </c>
      <c r="D175" s="11" t="s">
        <v>1248</v>
      </c>
      <c r="E175" s="11" t="s">
        <v>1302</v>
      </c>
      <c r="F175" s="11" t="s">
        <v>233</v>
      </c>
      <c r="G175" s="11" t="n">
        <v>1</v>
      </c>
      <c r="H175" s="34" t="n">
        <v>79</v>
      </c>
      <c r="I175" s="34" t="n">
        <v>72.5</v>
      </c>
      <c r="J175" s="34" t="n">
        <v>6.5</v>
      </c>
      <c r="K175" s="34" t="n">
        <v>6.5</v>
      </c>
      <c r="L175" s="11" t="s">
        <v>457</v>
      </c>
      <c r="M175" s="11" t="s">
        <v>1250</v>
      </c>
      <c r="N175" s="11" t="s">
        <v>1262</v>
      </c>
      <c r="O175" s="11"/>
      <c r="P175" s="11"/>
      <c r="Q175" s="25" t="n">
        <f aca="false">SUMIFS('Commentary drivers'!$D:$D,'Commentary drivers'!$A:$A,A175)</f>
        <v>6.5</v>
      </c>
      <c r="R175" s="25" t="n">
        <f aca="false">SUMIFS('Commentary drivers'!$E:$E,'Commentary drivers'!$A:$A,A175)</f>
        <v>6.5</v>
      </c>
      <c r="S175" s="49" t="str">
        <f aca="false">IF(AND(ROUND(Q175-J175,4)=0,ROUND(R175-K175,1)=0),"✓","✗")</f>
        <v>✓</v>
      </c>
    </row>
    <row r="176" customFormat="false" ht="15" hidden="false" customHeight="false" outlineLevel="0" collapsed="false">
      <c r="A176" s="11" t="s">
        <v>1582</v>
      </c>
      <c r="B176" s="11" t="s">
        <v>29</v>
      </c>
      <c r="C176" s="11" t="s">
        <v>30</v>
      </c>
      <c r="D176" s="11" t="s">
        <v>1248</v>
      </c>
      <c r="E176" s="11" t="s">
        <v>1304</v>
      </c>
      <c r="F176" s="11" t="s">
        <v>189</v>
      </c>
      <c r="G176" s="11" t="n">
        <v>1</v>
      </c>
      <c r="H176" s="34" t="n">
        <v>30</v>
      </c>
      <c r="I176" s="34" t="n">
        <v>18</v>
      </c>
      <c r="J176" s="34" t="n">
        <v>12</v>
      </c>
      <c r="K176" s="34" t="n">
        <v>12</v>
      </c>
      <c r="L176" s="11" t="s">
        <v>458</v>
      </c>
      <c r="M176" s="11" t="s">
        <v>1250</v>
      </c>
      <c r="N176" s="11" t="s">
        <v>1251</v>
      </c>
      <c r="O176" s="11" t="s">
        <v>1252</v>
      </c>
      <c r="P176" s="11" t="s">
        <v>1557</v>
      </c>
      <c r="Q176" s="25" t="n">
        <f aca="false">SUMIFS('Commentary drivers'!$D:$D,'Commentary drivers'!$A:$A,A176)</f>
        <v>12</v>
      </c>
      <c r="R176" s="25" t="n">
        <f aca="false">SUMIFS('Commentary drivers'!$E:$E,'Commentary drivers'!$A:$A,A176)</f>
        <v>12</v>
      </c>
      <c r="S176" s="49" t="str">
        <f aca="false">IF(AND(ROUND(Q176-J176,4)=0,ROUND(R176-K176,1)=0),"✓","✗")</f>
        <v>✓</v>
      </c>
    </row>
    <row r="177" customFormat="false" ht="15" hidden="false" customHeight="false" outlineLevel="0" collapsed="false">
      <c r="A177" s="11" t="s">
        <v>1583</v>
      </c>
      <c r="B177" s="11" t="s">
        <v>29</v>
      </c>
      <c r="C177" s="11" t="s">
        <v>30</v>
      </c>
      <c r="D177" s="11" t="s">
        <v>1248</v>
      </c>
      <c r="E177" s="11" t="s">
        <v>1306</v>
      </c>
      <c r="F177" s="11" t="s">
        <v>201</v>
      </c>
      <c r="G177" s="11" t="n">
        <v>1</v>
      </c>
      <c r="H177" s="34" t="n">
        <v>48.32</v>
      </c>
      <c r="I177" s="34" t="n">
        <v>47.784</v>
      </c>
      <c r="J177" s="34" t="n">
        <v>0.536</v>
      </c>
      <c r="K177" s="34" t="n">
        <v>0.5</v>
      </c>
      <c r="L177" s="11" t="s">
        <v>459</v>
      </c>
      <c r="M177" s="11" t="s">
        <v>1250</v>
      </c>
      <c r="N177" s="11" t="s">
        <v>1262</v>
      </c>
      <c r="O177" s="11"/>
      <c r="P177" s="11"/>
      <c r="Q177" s="25" t="n">
        <f aca="false">SUMIFS('Commentary drivers'!$D:$D,'Commentary drivers'!$A:$A,A177)</f>
        <v>0.536</v>
      </c>
      <c r="R177" s="25" t="n">
        <f aca="false">SUMIFS('Commentary drivers'!$E:$E,'Commentary drivers'!$A:$A,A177)</f>
        <v>0.5</v>
      </c>
      <c r="S177" s="49" t="str">
        <f aca="false">IF(AND(ROUND(Q177-J177,4)=0,ROUND(R177-K177,1)=0),"✓","✗")</f>
        <v>✓</v>
      </c>
    </row>
    <row r="178" customFormat="false" ht="15" hidden="false" customHeight="false" outlineLevel="0" collapsed="false">
      <c r="A178" s="11" t="s">
        <v>1584</v>
      </c>
      <c r="B178" s="11" t="s">
        <v>29</v>
      </c>
      <c r="C178" s="11" t="s">
        <v>30</v>
      </c>
      <c r="D178" s="11" t="s">
        <v>1248</v>
      </c>
      <c r="E178" s="11" t="s">
        <v>1308</v>
      </c>
      <c r="F178" s="11" t="s">
        <v>204</v>
      </c>
      <c r="G178" s="11" t="n">
        <v>1</v>
      </c>
      <c r="H178" s="34" t="n">
        <v>19.66667</v>
      </c>
      <c r="I178" s="34" t="n">
        <v>18.66667</v>
      </c>
      <c r="J178" s="34" t="n">
        <v>1</v>
      </c>
      <c r="K178" s="34" t="n">
        <v>1</v>
      </c>
      <c r="L178" s="11" t="s">
        <v>460</v>
      </c>
      <c r="M178" s="11" t="s">
        <v>1250</v>
      </c>
      <c r="N178" s="11" t="s">
        <v>1262</v>
      </c>
      <c r="O178" s="11"/>
      <c r="P178" s="11"/>
      <c r="Q178" s="25" t="n">
        <f aca="false">SUMIFS('Commentary drivers'!$D:$D,'Commentary drivers'!$A:$A,A178)</f>
        <v>1</v>
      </c>
      <c r="R178" s="25" t="n">
        <f aca="false">SUMIFS('Commentary drivers'!$E:$E,'Commentary drivers'!$A:$A,A178)</f>
        <v>1</v>
      </c>
      <c r="S178" s="49" t="str">
        <f aca="false">IF(AND(ROUND(Q178-J178,4)=0,ROUND(R178-K178,1)=0),"✓","✗")</f>
        <v>✓</v>
      </c>
    </row>
    <row r="179" customFormat="false" ht="15" hidden="false" customHeight="false" outlineLevel="0" collapsed="false">
      <c r="A179" s="11" t="s">
        <v>1585</v>
      </c>
      <c r="B179" s="11" t="s">
        <v>29</v>
      </c>
      <c r="C179" s="11" t="s">
        <v>30</v>
      </c>
      <c r="D179" s="11" t="s">
        <v>1248</v>
      </c>
      <c r="E179" s="11" t="s">
        <v>1310</v>
      </c>
      <c r="F179" s="11" t="s">
        <v>207</v>
      </c>
      <c r="G179" s="11" t="n">
        <v>1</v>
      </c>
      <c r="H179" s="34" t="n">
        <v>39.5</v>
      </c>
      <c r="I179" s="34" t="n">
        <v>37</v>
      </c>
      <c r="J179" s="34" t="n">
        <v>2.5</v>
      </c>
      <c r="K179" s="34" t="n">
        <v>2.5</v>
      </c>
      <c r="L179" s="11" t="s">
        <v>444</v>
      </c>
      <c r="M179" s="11" t="s">
        <v>1250</v>
      </c>
      <c r="N179" s="11" t="s">
        <v>1262</v>
      </c>
      <c r="O179" s="11"/>
      <c r="P179" s="11"/>
      <c r="Q179" s="25" t="n">
        <f aca="false">SUMIFS('Commentary drivers'!$D:$D,'Commentary drivers'!$A:$A,A179)</f>
        <v>2.5</v>
      </c>
      <c r="R179" s="25" t="n">
        <f aca="false">SUMIFS('Commentary drivers'!$E:$E,'Commentary drivers'!$A:$A,A179)</f>
        <v>2.5</v>
      </c>
      <c r="S179" s="49" t="str">
        <f aca="false">IF(AND(ROUND(Q179-J179,4)=0,ROUND(R179-K179,1)=0),"✓","✗")</f>
        <v>✓</v>
      </c>
    </row>
    <row r="180" customFormat="false" ht="15" hidden="false" customHeight="false" outlineLevel="0" collapsed="false">
      <c r="A180" s="11" t="s">
        <v>1586</v>
      </c>
      <c r="B180" s="11" t="s">
        <v>29</v>
      </c>
      <c r="C180" s="11" t="s">
        <v>30</v>
      </c>
      <c r="D180" s="11" t="s">
        <v>1248</v>
      </c>
      <c r="E180" s="11" t="s">
        <v>1312</v>
      </c>
      <c r="F180" s="11" t="s">
        <v>159</v>
      </c>
      <c r="G180" s="11" t="n">
        <v>0</v>
      </c>
      <c r="H180" s="34" t="n">
        <v>422.61667</v>
      </c>
      <c r="I180" s="34" t="n">
        <v>372.72669</v>
      </c>
      <c r="J180" s="34" t="n">
        <v>49.88998</v>
      </c>
      <c r="K180" s="34" t="n">
        <v>49.9</v>
      </c>
      <c r="L180" s="11" t="s">
        <v>461</v>
      </c>
      <c r="M180" s="11" t="s">
        <v>1250</v>
      </c>
      <c r="N180" s="11" t="s">
        <v>1251</v>
      </c>
      <c r="O180" s="11" t="s">
        <v>1252</v>
      </c>
      <c r="P180" s="11" t="s">
        <v>1557</v>
      </c>
      <c r="Q180" s="25" t="n">
        <f aca="false">SUMIFS('Commentary drivers'!$D:$D,'Commentary drivers'!$A:$A,A180)</f>
        <v>49.88998</v>
      </c>
      <c r="R180" s="25" t="n">
        <f aca="false">SUMIFS('Commentary drivers'!$E:$E,'Commentary drivers'!$A:$A,A180)</f>
        <v>49.9</v>
      </c>
      <c r="S180" s="49" t="str">
        <f aca="false">IF(AND(ROUND(Q180-J180,4)=0,ROUND(R180-K180,1)=0),"✓","✗")</f>
        <v>✓</v>
      </c>
    </row>
    <row r="181" customFormat="false" ht="15" hidden="false" customHeight="false" outlineLevel="0" collapsed="false">
      <c r="A181" s="11" t="s">
        <v>1587</v>
      </c>
      <c r="B181" s="11" t="s">
        <v>29</v>
      </c>
      <c r="C181" s="11" t="s">
        <v>30</v>
      </c>
      <c r="D181" s="11" t="s">
        <v>1248</v>
      </c>
      <c r="E181" s="11" t="s">
        <v>1314</v>
      </c>
      <c r="F181" s="11" t="s">
        <v>242</v>
      </c>
      <c r="G181" s="11" t="n">
        <v>1</v>
      </c>
      <c r="H181" s="34" t="n">
        <v>352</v>
      </c>
      <c r="I181" s="34" t="n">
        <v>306.6</v>
      </c>
      <c r="J181" s="34" t="n">
        <v>45.4</v>
      </c>
      <c r="K181" s="34" t="n">
        <v>45.4</v>
      </c>
      <c r="L181" s="11" t="s">
        <v>462</v>
      </c>
      <c r="M181" s="11" t="s">
        <v>1315</v>
      </c>
      <c r="N181" s="11" t="s">
        <v>1251</v>
      </c>
      <c r="O181" s="11" t="s">
        <v>1252</v>
      </c>
      <c r="P181" s="11" t="s">
        <v>1557</v>
      </c>
      <c r="Q181" s="25" t="n">
        <f aca="false">SUMIFS('Commentary drivers'!$D:$D,'Commentary drivers'!$A:$A,A181)</f>
        <v>45.4</v>
      </c>
      <c r="R181" s="25" t="n">
        <f aca="false">SUMIFS('Commentary drivers'!$E:$E,'Commentary drivers'!$A:$A,A181)</f>
        <v>45.4</v>
      </c>
      <c r="S181" s="49" t="str">
        <f aca="false">IF(AND(ROUND(Q181-J181,4)=0,ROUND(R181-K181,1)=0),"✓","✗")</f>
        <v>✓</v>
      </c>
    </row>
    <row r="182" customFormat="false" ht="15" hidden="false" customHeight="false" outlineLevel="0" collapsed="false">
      <c r="A182" s="11" t="s">
        <v>1588</v>
      </c>
      <c r="B182" s="11" t="s">
        <v>29</v>
      </c>
      <c r="C182" s="11" t="s">
        <v>30</v>
      </c>
      <c r="D182" s="11" t="s">
        <v>1248</v>
      </c>
      <c r="E182" s="11" t="s">
        <v>1317</v>
      </c>
      <c r="F182" s="11" t="s">
        <v>201</v>
      </c>
      <c r="G182" s="11" t="n">
        <v>1</v>
      </c>
      <c r="H182" s="34" t="n">
        <v>31.2</v>
      </c>
      <c r="I182" s="34" t="n">
        <v>28.96</v>
      </c>
      <c r="J182" s="34" t="n">
        <v>2.24</v>
      </c>
      <c r="K182" s="34" t="n">
        <v>2.2</v>
      </c>
      <c r="L182" s="11" t="s">
        <v>463</v>
      </c>
      <c r="M182" s="11" t="s">
        <v>1250</v>
      </c>
      <c r="N182" s="11" t="s">
        <v>1262</v>
      </c>
      <c r="O182" s="11"/>
      <c r="P182" s="11"/>
      <c r="Q182" s="25" t="n">
        <f aca="false">SUMIFS('Commentary drivers'!$D:$D,'Commentary drivers'!$A:$A,A182)</f>
        <v>2.24</v>
      </c>
      <c r="R182" s="25" t="n">
        <f aca="false">SUMIFS('Commentary drivers'!$E:$E,'Commentary drivers'!$A:$A,A182)</f>
        <v>2.2</v>
      </c>
      <c r="S182" s="49" t="str">
        <f aca="false">IF(AND(ROUND(Q182-J182,4)=0,ROUND(R182-K182,1)=0),"✓","✗")</f>
        <v>✓</v>
      </c>
    </row>
    <row r="183" customFormat="false" ht="15" hidden="false" customHeight="false" outlineLevel="0" collapsed="false">
      <c r="A183" s="11" t="s">
        <v>1589</v>
      </c>
      <c r="B183" s="11" t="s">
        <v>29</v>
      </c>
      <c r="C183" s="11" t="s">
        <v>30</v>
      </c>
      <c r="D183" s="11" t="s">
        <v>1248</v>
      </c>
      <c r="E183" s="11" t="s">
        <v>1319</v>
      </c>
      <c r="F183" s="11" t="s">
        <v>204</v>
      </c>
      <c r="G183" s="11" t="n">
        <v>1</v>
      </c>
      <c r="H183" s="34" t="n">
        <v>19.66667</v>
      </c>
      <c r="I183" s="34" t="n">
        <v>18.66667</v>
      </c>
      <c r="J183" s="34" t="n">
        <v>1</v>
      </c>
      <c r="K183" s="34" t="n">
        <v>1</v>
      </c>
      <c r="L183" s="11" t="s">
        <v>460</v>
      </c>
      <c r="M183" s="11" t="s">
        <v>1250</v>
      </c>
      <c r="N183" s="11" t="s">
        <v>1262</v>
      </c>
      <c r="O183" s="11"/>
      <c r="P183" s="11"/>
      <c r="Q183" s="25" t="n">
        <f aca="false">SUMIFS('Commentary drivers'!$D:$D,'Commentary drivers'!$A:$A,A183)</f>
        <v>1</v>
      </c>
      <c r="R183" s="25" t="n">
        <f aca="false">SUMIFS('Commentary drivers'!$E:$E,'Commentary drivers'!$A:$A,A183)</f>
        <v>1</v>
      </c>
      <c r="S183" s="49" t="str">
        <f aca="false">IF(AND(ROUND(Q183-J183,4)=0,ROUND(R183-K183,1)=0),"✓","✗")</f>
        <v>✓</v>
      </c>
    </row>
    <row r="184" customFormat="false" ht="15" hidden="false" customHeight="false" outlineLevel="0" collapsed="false">
      <c r="A184" s="11" t="s">
        <v>1590</v>
      </c>
      <c r="B184" s="11" t="s">
        <v>29</v>
      </c>
      <c r="C184" s="11" t="s">
        <v>30</v>
      </c>
      <c r="D184" s="11" t="s">
        <v>1248</v>
      </c>
      <c r="E184" s="11" t="s">
        <v>1321</v>
      </c>
      <c r="F184" s="11" t="s">
        <v>207</v>
      </c>
      <c r="G184" s="11" t="n">
        <v>1</v>
      </c>
      <c r="H184" s="34" t="n">
        <v>19.75</v>
      </c>
      <c r="I184" s="34" t="n">
        <v>18.50002</v>
      </c>
      <c r="J184" s="34" t="n">
        <v>1.24998</v>
      </c>
      <c r="K184" s="34" t="n">
        <v>1.2</v>
      </c>
      <c r="L184" s="11" t="s">
        <v>464</v>
      </c>
      <c r="M184" s="11" t="s">
        <v>1250</v>
      </c>
      <c r="N184" s="11" t="s">
        <v>1262</v>
      </c>
      <c r="O184" s="11"/>
      <c r="P184" s="11"/>
      <c r="Q184" s="25" t="n">
        <f aca="false">SUMIFS('Commentary drivers'!$D:$D,'Commentary drivers'!$A:$A,A184)</f>
        <v>1.24998</v>
      </c>
      <c r="R184" s="25" t="n">
        <f aca="false">SUMIFS('Commentary drivers'!$E:$E,'Commentary drivers'!$A:$A,A184)</f>
        <v>1.2</v>
      </c>
      <c r="S184" s="49" t="str">
        <f aca="false">IF(AND(ROUND(Q184-J184,4)=0,ROUND(R184-K184,1)=0),"✓","✗")</f>
        <v>✓</v>
      </c>
    </row>
    <row r="185" customFormat="false" ht="15" hidden="false" customHeight="false" outlineLevel="0" collapsed="false">
      <c r="A185" s="11" t="s">
        <v>1591</v>
      </c>
      <c r="B185" s="11" t="s">
        <v>29</v>
      </c>
      <c r="C185" s="11" t="s">
        <v>30</v>
      </c>
      <c r="D185" s="11" t="s">
        <v>1248</v>
      </c>
      <c r="E185" s="11" t="s">
        <v>1323</v>
      </c>
      <c r="F185" s="11" t="s">
        <v>95</v>
      </c>
      <c r="G185" s="11" t="n">
        <v>0</v>
      </c>
      <c r="H185" s="34" t="n">
        <v>2224.82682</v>
      </c>
      <c r="I185" s="34" t="n">
        <v>1977.29327</v>
      </c>
      <c r="J185" s="34" t="n">
        <v>247.53355</v>
      </c>
      <c r="K185" s="34" t="n">
        <v>247.5</v>
      </c>
      <c r="L185" s="11" t="s">
        <v>465</v>
      </c>
      <c r="M185" s="11" t="s">
        <v>1250</v>
      </c>
      <c r="N185" s="11" t="s">
        <v>1251</v>
      </c>
      <c r="O185" s="11" t="s">
        <v>1252</v>
      </c>
      <c r="P185" s="11" t="s">
        <v>1557</v>
      </c>
      <c r="Q185" s="25" t="n">
        <f aca="false">SUMIFS('Commentary drivers'!$D:$D,'Commentary drivers'!$A:$A,A185)</f>
        <v>247.53355</v>
      </c>
      <c r="R185" s="25" t="n">
        <f aca="false">SUMIFS('Commentary drivers'!$E:$E,'Commentary drivers'!$A:$A,A185)</f>
        <v>247.5</v>
      </c>
      <c r="S185" s="49" t="str">
        <f aca="false">IF(AND(ROUND(Q185-J185,4)=0,ROUND(R185-K185,1)=0),"✓","✗")</f>
        <v>✓</v>
      </c>
    </row>
    <row r="186" customFormat="false" ht="15" hidden="false" customHeight="false" outlineLevel="0" collapsed="false">
      <c r="A186" s="11" t="s">
        <v>1592</v>
      </c>
      <c r="B186" s="11" t="s">
        <v>29</v>
      </c>
      <c r="C186" s="11" t="s">
        <v>30</v>
      </c>
      <c r="D186" s="11" t="s">
        <v>1248</v>
      </c>
      <c r="E186" s="11" t="s">
        <v>1325</v>
      </c>
      <c r="F186" s="11" t="s">
        <v>96</v>
      </c>
      <c r="G186" s="11" t="n">
        <v>0</v>
      </c>
      <c r="H186" s="34" t="n">
        <v>473.201</v>
      </c>
      <c r="I186" s="34" t="n">
        <v>509.205</v>
      </c>
      <c r="J186" s="34" t="n">
        <v>-36.004</v>
      </c>
      <c r="K186" s="34" t="n">
        <v>-36</v>
      </c>
      <c r="L186" s="11" t="s">
        <v>466</v>
      </c>
      <c r="M186" s="11" t="s">
        <v>1250</v>
      </c>
      <c r="N186" s="11" t="s">
        <v>1251</v>
      </c>
      <c r="O186" s="11" t="s">
        <v>1252</v>
      </c>
      <c r="P186" s="11" t="s">
        <v>1557</v>
      </c>
      <c r="Q186" s="25" t="n">
        <f aca="false">SUMIFS('Commentary drivers'!$D:$D,'Commentary drivers'!$A:$A,A186)</f>
        <v>-36.004</v>
      </c>
      <c r="R186" s="25" t="n">
        <f aca="false">SUMIFS('Commentary drivers'!$E:$E,'Commentary drivers'!$A:$A,A186)</f>
        <v>-36</v>
      </c>
      <c r="S186" s="49" t="str">
        <f aca="false">IF(AND(ROUND(Q186-J186,4)=0,ROUND(R186-K186,1)=0),"✓","✗")</f>
        <v>✓</v>
      </c>
    </row>
    <row r="187" customFormat="false" ht="15" hidden="false" customHeight="false" outlineLevel="0" collapsed="false">
      <c r="A187" s="11" t="s">
        <v>1593</v>
      </c>
      <c r="B187" s="11" t="s">
        <v>29</v>
      </c>
      <c r="C187" s="11" t="s">
        <v>30</v>
      </c>
      <c r="D187" s="11" t="s">
        <v>1248</v>
      </c>
      <c r="E187" s="11" t="s">
        <v>1327</v>
      </c>
      <c r="F187" s="11" t="s">
        <v>160</v>
      </c>
      <c r="G187" s="11" t="n">
        <v>0</v>
      </c>
      <c r="H187" s="34" t="n">
        <v>21</v>
      </c>
      <c r="I187" s="34" t="n">
        <v>22.5</v>
      </c>
      <c r="J187" s="34" t="n">
        <v>-1.5</v>
      </c>
      <c r="K187" s="34" t="n">
        <v>-1.5</v>
      </c>
      <c r="L187" s="11" t="s">
        <v>467</v>
      </c>
      <c r="M187" s="11" t="s">
        <v>1250</v>
      </c>
      <c r="N187" s="11" t="s">
        <v>1262</v>
      </c>
      <c r="O187" s="11"/>
      <c r="P187" s="11"/>
      <c r="Q187" s="25" t="n">
        <f aca="false">SUMIFS('Commentary drivers'!$D:$D,'Commentary drivers'!$A:$A,A187)</f>
        <v>-1.5</v>
      </c>
      <c r="R187" s="25" t="n">
        <f aca="false">SUMIFS('Commentary drivers'!$E:$E,'Commentary drivers'!$A:$A,A187)</f>
        <v>-1.5</v>
      </c>
      <c r="S187" s="49" t="str">
        <f aca="false">IF(AND(ROUND(Q187-J187,4)=0,ROUND(R187-K187,1)=0),"✓","✗")</f>
        <v>✓</v>
      </c>
    </row>
    <row r="188" customFormat="false" ht="15" hidden="false" customHeight="false" outlineLevel="0" collapsed="false">
      <c r="A188" s="11" t="s">
        <v>1594</v>
      </c>
      <c r="B188" s="11" t="s">
        <v>29</v>
      </c>
      <c r="C188" s="11" t="s">
        <v>30</v>
      </c>
      <c r="D188" s="11" t="s">
        <v>1248</v>
      </c>
      <c r="E188" s="11" t="s">
        <v>1329</v>
      </c>
      <c r="F188" s="11" t="s">
        <v>161</v>
      </c>
      <c r="G188" s="11" t="n">
        <v>0</v>
      </c>
      <c r="H188" s="34" t="n">
        <v>60</v>
      </c>
      <c r="I188" s="34" t="n">
        <v>60.5</v>
      </c>
      <c r="J188" s="34" t="n">
        <v>-0.5</v>
      </c>
      <c r="K188" s="34" t="n">
        <v>-0.5</v>
      </c>
      <c r="L188" s="11" t="s">
        <v>468</v>
      </c>
      <c r="M188" s="11" t="s">
        <v>1250</v>
      </c>
      <c r="N188" s="11" t="s">
        <v>1262</v>
      </c>
      <c r="O188" s="11"/>
      <c r="P188" s="11"/>
      <c r="Q188" s="25" t="n">
        <f aca="false">SUMIFS('Commentary drivers'!$D:$D,'Commentary drivers'!$A:$A,A188)</f>
        <v>-0.5</v>
      </c>
      <c r="R188" s="25" t="n">
        <f aca="false">SUMIFS('Commentary drivers'!$E:$E,'Commentary drivers'!$A:$A,A188)</f>
        <v>-0.5</v>
      </c>
      <c r="S188" s="49" t="str">
        <f aca="false">IF(AND(ROUND(Q188-J188,4)=0,ROUND(R188-K188,1)=0),"✓","✗")</f>
        <v>✓</v>
      </c>
    </row>
    <row r="189" customFormat="false" ht="15" hidden="false" customHeight="false" outlineLevel="0" collapsed="false">
      <c r="A189" s="11" t="s">
        <v>1595</v>
      </c>
      <c r="B189" s="11" t="s">
        <v>29</v>
      </c>
      <c r="C189" s="11" t="s">
        <v>30</v>
      </c>
      <c r="D189" s="11" t="s">
        <v>1248</v>
      </c>
      <c r="E189" s="11" t="s">
        <v>1331</v>
      </c>
      <c r="F189" s="11" t="s">
        <v>162</v>
      </c>
      <c r="G189" s="11" t="n">
        <v>0</v>
      </c>
      <c r="H189" s="34" t="n">
        <v>434.201</v>
      </c>
      <c r="I189" s="34" t="n">
        <v>471.205</v>
      </c>
      <c r="J189" s="34" t="n">
        <v>-37.004</v>
      </c>
      <c r="K189" s="34" t="n">
        <v>-37</v>
      </c>
      <c r="L189" s="11" t="s">
        <v>469</v>
      </c>
      <c r="M189" s="11" t="s">
        <v>1250</v>
      </c>
      <c r="N189" s="11" t="s">
        <v>1251</v>
      </c>
      <c r="O189" s="11" t="s">
        <v>1252</v>
      </c>
      <c r="P189" s="11" t="s">
        <v>1557</v>
      </c>
      <c r="Q189" s="25" t="n">
        <f aca="false">SUMIFS('Commentary drivers'!$D:$D,'Commentary drivers'!$A:$A,A189)</f>
        <v>-37.004</v>
      </c>
      <c r="R189" s="25" t="n">
        <f aca="false">SUMIFS('Commentary drivers'!$E:$E,'Commentary drivers'!$A:$A,A189)</f>
        <v>-37</v>
      </c>
      <c r="S189" s="49" t="str">
        <f aca="false">IF(AND(ROUND(Q189-J189,4)=0,ROUND(R189-K189,1)=0),"✓","✗")</f>
        <v>✓</v>
      </c>
    </row>
    <row r="190" customFormat="false" ht="15" hidden="false" customHeight="false" outlineLevel="0" collapsed="false">
      <c r="A190" s="11" t="s">
        <v>1596</v>
      </c>
      <c r="B190" s="11" t="s">
        <v>29</v>
      </c>
      <c r="C190" s="11" t="s">
        <v>30</v>
      </c>
      <c r="D190" s="11" t="s">
        <v>1248</v>
      </c>
      <c r="E190" s="11" t="s">
        <v>1333</v>
      </c>
      <c r="F190" s="11" t="s">
        <v>126</v>
      </c>
      <c r="G190" s="11" t="n">
        <v>0</v>
      </c>
      <c r="H190" s="34" t="n">
        <v>75</v>
      </c>
      <c r="I190" s="34" t="n">
        <v>63.5</v>
      </c>
      <c r="J190" s="34" t="n">
        <v>11.5</v>
      </c>
      <c r="K190" s="34" t="n">
        <v>11.5</v>
      </c>
      <c r="L190" s="11" t="s">
        <v>470</v>
      </c>
      <c r="M190" s="11" t="s">
        <v>1250</v>
      </c>
      <c r="N190" s="11" t="s">
        <v>1251</v>
      </c>
      <c r="O190" s="11" t="s">
        <v>1252</v>
      </c>
      <c r="P190" s="11" t="s">
        <v>1557</v>
      </c>
      <c r="Q190" s="25" t="n">
        <f aca="false">SUMIFS('Commentary drivers'!$D:$D,'Commentary drivers'!$A:$A,A190)</f>
        <v>11.5</v>
      </c>
      <c r="R190" s="25" t="n">
        <f aca="false">SUMIFS('Commentary drivers'!$E:$E,'Commentary drivers'!$A:$A,A190)</f>
        <v>11.5</v>
      </c>
      <c r="S190" s="49" t="str">
        <f aca="false">IF(AND(ROUND(Q190-J190,4)=0,ROUND(R190-K190,1)=0),"✓","✗")</f>
        <v>✓</v>
      </c>
    </row>
    <row r="191" customFormat="false" ht="15" hidden="false" customHeight="false" outlineLevel="0" collapsed="false">
      <c r="A191" s="11" t="s">
        <v>1597</v>
      </c>
      <c r="B191" s="11" t="s">
        <v>29</v>
      </c>
      <c r="C191" s="11" t="s">
        <v>30</v>
      </c>
      <c r="D191" s="11" t="s">
        <v>1248</v>
      </c>
      <c r="E191" s="11" t="s">
        <v>1335</v>
      </c>
      <c r="F191" s="11" t="s">
        <v>97</v>
      </c>
      <c r="G191" s="11" t="n">
        <v>0</v>
      </c>
      <c r="H191" s="34" t="n">
        <v>359.201</v>
      </c>
      <c r="I191" s="34" t="n">
        <v>407.705</v>
      </c>
      <c r="J191" s="34" t="n">
        <v>-48.504</v>
      </c>
      <c r="K191" s="34" t="n">
        <v>-48.5</v>
      </c>
      <c r="L191" s="11" t="s">
        <v>471</v>
      </c>
      <c r="M191" s="11" t="s">
        <v>1250</v>
      </c>
      <c r="N191" s="11" t="s">
        <v>1251</v>
      </c>
      <c r="O191" s="11" t="s">
        <v>1252</v>
      </c>
      <c r="P191" s="11" t="s">
        <v>1557</v>
      </c>
      <c r="Q191" s="25" t="n">
        <f aca="false">SUMIFS('Commentary drivers'!$D:$D,'Commentary drivers'!$A:$A,A191)</f>
        <v>-48.504</v>
      </c>
      <c r="R191" s="25" t="n">
        <f aca="false">SUMIFS('Commentary drivers'!$E:$E,'Commentary drivers'!$A:$A,A191)</f>
        <v>-48.5</v>
      </c>
      <c r="S191" s="49" t="str">
        <f aca="false">IF(AND(ROUND(Q191-J191,4)=0,ROUND(R191-K191,1)=0),"✓","✗")</f>
        <v>✓</v>
      </c>
    </row>
    <row r="192" customFormat="false" ht="15" hidden="false" customHeight="false" outlineLevel="0" collapsed="false">
      <c r="A192" s="11" t="s">
        <v>1598</v>
      </c>
      <c r="B192" s="11" t="s">
        <v>29</v>
      </c>
      <c r="C192" s="11" t="s">
        <v>30</v>
      </c>
      <c r="D192" s="11" t="s">
        <v>1337</v>
      </c>
      <c r="E192" s="11" t="s">
        <v>1338</v>
      </c>
      <c r="F192" s="11" t="s">
        <v>153</v>
      </c>
      <c r="G192" s="11" t="n">
        <v>0</v>
      </c>
      <c r="H192" s="34" t="n">
        <v>3576.527</v>
      </c>
      <c r="I192" s="34" t="n">
        <v>3444.337</v>
      </c>
      <c r="J192" s="34" t="n">
        <v>132.19</v>
      </c>
      <c r="K192" s="34" t="n">
        <v>132.2</v>
      </c>
      <c r="L192" s="11" t="s">
        <v>433</v>
      </c>
      <c r="M192" s="11" t="s">
        <v>1250</v>
      </c>
      <c r="N192" s="11" t="s">
        <v>1251</v>
      </c>
      <c r="O192" s="11" t="s">
        <v>1252</v>
      </c>
      <c r="P192" s="11" t="s">
        <v>1557</v>
      </c>
      <c r="Q192" s="25" t="n">
        <f aca="false">SUMIFS('Commentary drivers'!$D:$D,'Commentary drivers'!$A:$A,A192)</f>
        <v>132.19</v>
      </c>
      <c r="R192" s="25" t="n">
        <f aca="false">SUMIFS('Commentary drivers'!$E:$E,'Commentary drivers'!$A:$A,A192)</f>
        <v>132.2</v>
      </c>
      <c r="S192" s="49" t="str">
        <f aca="false">IF(AND(ROUND(Q192-J192,4)=0,ROUND(R192-K192,1)=0),"✓","✗")</f>
        <v>✓</v>
      </c>
    </row>
    <row r="193" customFormat="false" ht="15" hidden="false" customHeight="false" outlineLevel="0" collapsed="false">
      <c r="A193" s="11" t="s">
        <v>1599</v>
      </c>
      <c r="B193" s="11" t="s">
        <v>29</v>
      </c>
      <c r="C193" s="11" t="s">
        <v>30</v>
      </c>
      <c r="D193" s="11" t="s">
        <v>1337</v>
      </c>
      <c r="E193" s="11" t="s">
        <v>1340</v>
      </c>
      <c r="F193" s="11" t="s">
        <v>154</v>
      </c>
      <c r="G193" s="11" t="n">
        <v>0</v>
      </c>
      <c r="H193" s="34" t="n">
        <v>415</v>
      </c>
      <c r="I193" s="34" t="n">
        <v>280</v>
      </c>
      <c r="J193" s="34" t="n">
        <v>135</v>
      </c>
      <c r="K193" s="34" t="n">
        <v>135</v>
      </c>
      <c r="L193" s="11" t="s">
        <v>435</v>
      </c>
      <c r="M193" s="11" t="s">
        <v>1250</v>
      </c>
      <c r="N193" s="11" t="s">
        <v>1251</v>
      </c>
      <c r="O193" s="11" t="s">
        <v>1252</v>
      </c>
      <c r="P193" s="11" t="s">
        <v>1557</v>
      </c>
      <c r="Q193" s="25" t="n">
        <f aca="false">SUMIFS('Commentary drivers'!$D:$D,'Commentary drivers'!$A:$A,A193)</f>
        <v>135</v>
      </c>
      <c r="R193" s="25" t="n">
        <f aca="false">SUMIFS('Commentary drivers'!$E:$E,'Commentary drivers'!$A:$A,A193)</f>
        <v>135</v>
      </c>
      <c r="S193" s="49" t="str">
        <f aca="false">IF(AND(ROUND(Q193-J193,4)=0,ROUND(R193-K193,1)=0),"✓","✗")</f>
        <v>✓</v>
      </c>
    </row>
    <row r="194" customFormat="false" ht="15" hidden="false" customHeight="false" outlineLevel="0" collapsed="false">
      <c r="A194" s="11" t="s">
        <v>1600</v>
      </c>
      <c r="B194" s="11" t="s">
        <v>29</v>
      </c>
      <c r="C194" s="11" t="s">
        <v>30</v>
      </c>
      <c r="D194" s="11" t="s">
        <v>1337</v>
      </c>
      <c r="E194" s="11" t="s">
        <v>1342</v>
      </c>
      <c r="F194" s="11" t="s">
        <v>91</v>
      </c>
      <c r="G194" s="11" t="n">
        <v>0</v>
      </c>
      <c r="H194" s="34" t="n">
        <v>3991.527</v>
      </c>
      <c r="I194" s="34" t="n">
        <v>3724.337</v>
      </c>
      <c r="J194" s="34" t="n">
        <v>267.19</v>
      </c>
      <c r="K194" s="34" t="n">
        <v>267.2</v>
      </c>
      <c r="L194" s="11" t="s">
        <v>436</v>
      </c>
      <c r="M194" s="11" t="s">
        <v>1250</v>
      </c>
      <c r="N194" s="11" t="s">
        <v>1251</v>
      </c>
      <c r="O194" s="11" t="s">
        <v>1252</v>
      </c>
      <c r="P194" s="11" t="s">
        <v>1557</v>
      </c>
      <c r="Q194" s="25" t="n">
        <f aca="false">SUMIFS('Commentary drivers'!$D:$D,'Commentary drivers'!$A:$A,A194)</f>
        <v>267.19</v>
      </c>
      <c r="R194" s="25" t="n">
        <f aca="false">SUMIFS('Commentary drivers'!$E:$E,'Commentary drivers'!$A:$A,A194)</f>
        <v>267.2</v>
      </c>
      <c r="S194" s="49" t="str">
        <f aca="false">IF(AND(ROUND(Q194-J194,4)=0,ROUND(R194-K194,1)=0),"✓","✗")</f>
        <v>✓</v>
      </c>
    </row>
    <row r="195" customFormat="false" ht="15" hidden="false" customHeight="false" outlineLevel="0" collapsed="false">
      <c r="A195" s="11" t="s">
        <v>1601</v>
      </c>
      <c r="B195" s="11" t="s">
        <v>29</v>
      </c>
      <c r="C195" s="11" t="s">
        <v>30</v>
      </c>
      <c r="D195" s="11" t="s">
        <v>1337</v>
      </c>
      <c r="E195" s="11" t="s">
        <v>1344</v>
      </c>
      <c r="F195" s="11" t="s">
        <v>164</v>
      </c>
      <c r="G195" s="11" t="n">
        <v>0</v>
      </c>
      <c r="H195" s="34" t="n">
        <v>1062.18718</v>
      </c>
      <c r="I195" s="34" t="n">
        <v>1005.89073</v>
      </c>
      <c r="J195" s="34" t="n">
        <v>56.29645</v>
      </c>
      <c r="K195" s="34" t="n">
        <v>56.3</v>
      </c>
      <c r="L195" s="11" t="s">
        <v>472</v>
      </c>
      <c r="M195" s="11" t="s">
        <v>1250</v>
      </c>
      <c r="N195" s="11" t="s">
        <v>1251</v>
      </c>
      <c r="O195" s="11" t="s">
        <v>1252</v>
      </c>
      <c r="P195" s="11" t="s">
        <v>1557</v>
      </c>
      <c r="Q195" s="25" t="n">
        <f aca="false">SUMIFS('Commentary drivers'!$D:$D,'Commentary drivers'!$A:$A,A195)</f>
        <v>56.29645</v>
      </c>
      <c r="R195" s="25" t="n">
        <f aca="false">SUMIFS('Commentary drivers'!$E:$E,'Commentary drivers'!$A:$A,A195)</f>
        <v>56.3</v>
      </c>
      <c r="S195" s="49" t="str">
        <f aca="false">IF(AND(ROUND(Q195-J195,4)=0,ROUND(R195-K195,1)=0),"✓","✗")</f>
        <v>✓</v>
      </c>
    </row>
    <row r="196" customFormat="false" ht="15" hidden="false" customHeight="false" outlineLevel="0" collapsed="false">
      <c r="A196" s="11" t="s">
        <v>1602</v>
      </c>
      <c r="B196" s="11" t="s">
        <v>29</v>
      </c>
      <c r="C196" s="11" t="s">
        <v>30</v>
      </c>
      <c r="D196" s="11" t="s">
        <v>1337</v>
      </c>
      <c r="E196" s="11" t="s">
        <v>1346</v>
      </c>
      <c r="F196" s="11" t="s">
        <v>257</v>
      </c>
      <c r="G196" s="11" t="n">
        <v>1</v>
      </c>
      <c r="H196" s="34" t="n">
        <v>276</v>
      </c>
      <c r="I196" s="34" t="n">
        <v>249.1</v>
      </c>
      <c r="J196" s="34" t="n">
        <v>26.9</v>
      </c>
      <c r="K196" s="34" t="n">
        <v>26.9</v>
      </c>
      <c r="L196" s="11" t="s">
        <v>473</v>
      </c>
      <c r="M196" s="11" t="s">
        <v>1250</v>
      </c>
      <c r="N196" s="11" t="s">
        <v>1251</v>
      </c>
      <c r="O196" s="11" t="s">
        <v>1252</v>
      </c>
      <c r="P196" s="11" t="s">
        <v>1557</v>
      </c>
      <c r="Q196" s="25" t="n">
        <f aca="false">SUMIFS('Commentary drivers'!$D:$D,'Commentary drivers'!$A:$A,A196)</f>
        <v>26.9</v>
      </c>
      <c r="R196" s="25" t="n">
        <f aca="false">SUMIFS('Commentary drivers'!$E:$E,'Commentary drivers'!$A:$A,A196)</f>
        <v>26.9</v>
      </c>
      <c r="S196" s="49" t="str">
        <f aca="false">IF(AND(ROUND(Q196-J196,4)=0,ROUND(R196-K196,1)=0),"✓","✗")</f>
        <v>✓</v>
      </c>
    </row>
    <row r="197" customFormat="false" ht="15" hidden="false" customHeight="false" outlineLevel="0" collapsed="false">
      <c r="A197" s="11" t="s">
        <v>1603</v>
      </c>
      <c r="B197" s="11" t="s">
        <v>29</v>
      </c>
      <c r="C197" s="11" t="s">
        <v>30</v>
      </c>
      <c r="D197" s="11" t="s">
        <v>1337</v>
      </c>
      <c r="E197" s="11" t="s">
        <v>1348</v>
      </c>
      <c r="F197" s="11" t="s">
        <v>259</v>
      </c>
      <c r="G197" s="11" t="n">
        <v>1</v>
      </c>
      <c r="H197" s="34" t="n">
        <v>193.01775</v>
      </c>
      <c r="I197" s="34" t="n">
        <v>183.071</v>
      </c>
      <c r="J197" s="34" t="n">
        <v>9.94675</v>
      </c>
      <c r="K197" s="34" t="n">
        <v>9.9</v>
      </c>
      <c r="L197" s="11" t="s">
        <v>474</v>
      </c>
      <c r="M197" s="11" t="s">
        <v>1250</v>
      </c>
      <c r="N197" s="11" t="s">
        <v>1262</v>
      </c>
      <c r="O197" s="11"/>
      <c r="P197" s="11"/>
      <c r="Q197" s="25" t="n">
        <f aca="false">SUMIFS('Commentary drivers'!$D:$D,'Commentary drivers'!$A:$A,A197)</f>
        <v>9.94675</v>
      </c>
      <c r="R197" s="25" t="n">
        <f aca="false">SUMIFS('Commentary drivers'!$E:$E,'Commentary drivers'!$A:$A,A197)</f>
        <v>9.9</v>
      </c>
      <c r="S197" s="49" t="str">
        <f aca="false">IF(AND(ROUND(Q197-J197,4)=0,ROUND(R197-K197,1)=0),"✓","✗")</f>
        <v>✓</v>
      </c>
    </row>
    <row r="198" customFormat="false" ht="15" hidden="false" customHeight="false" outlineLevel="0" collapsed="false">
      <c r="A198" s="11" t="s">
        <v>1604</v>
      </c>
      <c r="B198" s="11" t="s">
        <v>29</v>
      </c>
      <c r="C198" s="11" t="s">
        <v>30</v>
      </c>
      <c r="D198" s="11" t="s">
        <v>1337</v>
      </c>
      <c r="E198" s="11" t="s">
        <v>1350</v>
      </c>
      <c r="F198" s="11" t="s">
        <v>261</v>
      </c>
      <c r="G198" s="11" t="n">
        <v>1</v>
      </c>
      <c r="H198" s="34" t="n">
        <v>304.269</v>
      </c>
      <c r="I198" s="34" t="n">
        <v>289.652</v>
      </c>
      <c r="J198" s="34" t="n">
        <v>14.617</v>
      </c>
      <c r="K198" s="34" t="n">
        <v>14.6</v>
      </c>
      <c r="L198" s="11" t="s">
        <v>475</v>
      </c>
      <c r="M198" s="11" t="s">
        <v>1250</v>
      </c>
      <c r="N198" s="11" t="s">
        <v>1251</v>
      </c>
      <c r="O198" s="11" t="s">
        <v>1252</v>
      </c>
      <c r="P198" s="11" t="s">
        <v>1557</v>
      </c>
      <c r="Q198" s="25" t="n">
        <f aca="false">SUMIFS('Commentary drivers'!$D:$D,'Commentary drivers'!$A:$A,A198)</f>
        <v>14.617</v>
      </c>
      <c r="R198" s="25" t="n">
        <f aca="false">SUMIFS('Commentary drivers'!$E:$E,'Commentary drivers'!$A:$A,A198)</f>
        <v>14.6</v>
      </c>
      <c r="S198" s="49" t="str">
        <f aca="false">IF(AND(ROUND(Q198-J198,4)=0,ROUND(R198-K198,1)=0),"✓","✗")</f>
        <v>✓</v>
      </c>
    </row>
    <row r="199" customFormat="false" ht="15" hidden="false" customHeight="false" outlineLevel="0" collapsed="false">
      <c r="A199" s="11" t="s">
        <v>1605</v>
      </c>
      <c r="B199" s="11" t="s">
        <v>29</v>
      </c>
      <c r="C199" s="11" t="s">
        <v>30</v>
      </c>
      <c r="D199" s="11" t="s">
        <v>1337</v>
      </c>
      <c r="E199" s="11" t="s">
        <v>1352</v>
      </c>
      <c r="F199" s="11" t="s">
        <v>263</v>
      </c>
      <c r="G199" s="11" t="n">
        <v>1</v>
      </c>
      <c r="H199" s="34" t="n">
        <v>172.5871</v>
      </c>
      <c r="I199" s="34" t="n">
        <v>177.8784</v>
      </c>
      <c r="J199" s="34" t="n">
        <v>-5.2913</v>
      </c>
      <c r="K199" s="34" t="n">
        <v>-5.3</v>
      </c>
      <c r="L199" s="11" t="s">
        <v>476</v>
      </c>
      <c r="M199" s="11" t="s">
        <v>1250</v>
      </c>
      <c r="N199" s="11" t="s">
        <v>1262</v>
      </c>
      <c r="O199" s="11"/>
      <c r="P199" s="11"/>
      <c r="Q199" s="25" t="n">
        <f aca="false">SUMIFS('Commentary drivers'!$D:$D,'Commentary drivers'!$A:$A,A199)</f>
        <v>-5.2913</v>
      </c>
      <c r="R199" s="25" t="n">
        <f aca="false">SUMIFS('Commentary drivers'!$E:$E,'Commentary drivers'!$A:$A,A199)</f>
        <v>-5.3</v>
      </c>
      <c r="S199" s="49" t="str">
        <f aca="false">IF(AND(ROUND(Q199-J199,4)=0,ROUND(R199-K199,1)=0),"✓","✗")</f>
        <v>✓</v>
      </c>
    </row>
    <row r="200" customFormat="false" ht="15" hidden="false" customHeight="false" outlineLevel="0" collapsed="false">
      <c r="A200" s="11" t="s">
        <v>1606</v>
      </c>
      <c r="B200" s="11" t="s">
        <v>29</v>
      </c>
      <c r="C200" s="11" t="s">
        <v>30</v>
      </c>
      <c r="D200" s="11" t="s">
        <v>1337</v>
      </c>
      <c r="E200" s="11" t="s">
        <v>1354</v>
      </c>
      <c r="F200" s="11" t="s">
        <v>265</v>
      </c>
      <c r="G200" s="11" t="n">
        <v>1</v>
      </c>
      <c r="H200" s="34" t="n">
        <v>37.48</v>
      </c>
      <c r="I200" s="34" t="n">
        <v>31.856</v>
      </c>
      <c r="J200" s="34" t="n">
        <v>5.624</v>
      </c>
      <c r="K200" s="34" t="n">
        <v>5.6</v>
      </c>
      <c r="L200" s="11" t="s">
        <v>477</v>
      </c>
      <c r="M200" s="11" t="s">
        <v>1250</v>
      </c>
      <c r="N200" s="11" t="s">
        <v>1251</v>
      </c>
      <c r="O200" s="11" t="s">
        <v>1252</v>
      </c>
      <c r="P200" s="11" t="s">
        <v>1557</v>
      </c>
      <c r="Q200" s="25" t="n">
        <f aca="false">SUMIFS('Commentary drivers'!$D:$D,'Commentary drivers'!$A:$A,A200)</f>
        <v>5.624</v>
      </c>
      <c r="R200" s="25" t="n">
        <f aca="false">SUMIFS('Commentary drivers'!$E:$E,'Commentary drivers'!$A:$A,A200)</f>
        <v>5.6</v>
      </c>
      <c r="S200" s="49" t="str">
        <f aca="false">IF(AND(ROUND(Q200-J200,4)=0,ROUND(R200-K200,1)=0),"✓","✗")</f>
        <v>✓</v>
      </c>
    </row>
    <row r="201" customFormat="false" ht="15" hidden="false" customHeight="false" outlineLevel="0" collapsed="false">
      <c r="A201" s="11" t="s">
        <v>1607</v>
      </c>
      <c r="B201" s="11" t="s">
        <v>29</v>
      </c>
      <c r="C201" s="11" t="s">
        <v>30</v>
      </c>
      <c r="D201" s="11" t="s">
        <v>1337</v>
      </c>
      <c r="E201" s="11" t="s">
        <v>1356</v>
      </c>
      <c r="F201" s="11" t="s">
        <v>267</v>
      </c>
      <c r="G201" s="11" t="n">
        <v>1</v>
      </c>
      <c r="H201" s="34" t="n">
        <v>39.33333</v>
      </c>
      <c r="I201" s="34" t="n">
        <v>37.33333</v>
      </c>
      <c r="J201" s="34" t="n">
        <v>2</v>
      </c>
      <c r="K201" s="34" t="n">
        <v>2</v>
      </c>
      <c r="L201" s="11" t="s">
        <v>478</v>
      </c>
      <c r="M201" s="11" t="s">
        <v>1250</v>
      </c>
      <c r="N201" s="11" t="s">
        <v>1262</v>
      </c>
      <c r="O201" s="11"/>
      <c r="P201" s="11"/>
      <c r="Q201" s="25" t="n">
        <f aca="false">SUMIFS('Commentary drivers'!$D:$D,'Commentary drivers'!$A:$A,A201)</f>
        <v>2</v>
      </c>
      <c r="R201" s="25" t="n">
        <f aca="false">SUMIFS('Commentary drivers'!$E:$E,'Commentary drivers'!$A:$A,A201)</f>
        <v>2</v>
      </c>
      <c r="S201" s="49" t="str">
        <f aca="false">IF(AND(ROUND(Q201-J201,4)=0,ROUND(R201-K201,1)=0),"✓","✗")</f>
        <v>✓</v>
      </c>
    </row>
    <row r="202" customFormat="false" ht="15" hidden="false" customHeight="false" outlineLevel="0" collapsed="false">
      <c r="A202" s="11" t="s">
        <v>1608</v>
      </c>
      <c r="B202" s="11" t="s">
        <v>29</v>
      </c>
      <c r="C202" s="11" t="s">
        <v>30</v>
      </c>
      <c r="D202" s="11" t="s">
        <v>1337</v>
      </c>
      <c r="E202" s="11" t="s">
        <v>1358</v>
      </c>
      <c r="F202" s="11" t="s">
        <v>269</v>
      </c>
      <c r="G202" s="11" t="n">
        <v>1</v>
      </c>
      <c r="H202" s="34" t="n">
        <v>39.5</v>
      </c>
      <c r="I202" s="34" t="n">
        <v>37</v>
      </c>
      <c r="J202" s="34" t="n">
        <v>2.5</v>
      </c>
      <c r="K202" s="34" t="n">
        <v>2.5</v>
      </c>
      <c r="L202" s="11" t="s">
        <v>479</v>
      </c>
      <c r="M202" s="11" t="s">
        <v>1250</v>
      </c>
      <c r="N202" s="11" t="s">
        <v>1262</v>
      </c>
      <c r="O202" s="11"/>
      <c r="P202" s="11"/>
      <c r="Q202" s="25" t="n">
        <f aca="false">SUMIFS('Commentary drivers'!$D:$D,'Commentary drivers'!$A:$A,A202)</f>
        <v>2.5</v>
      </c>
      <c r="R202" s="25" t="n">
        <f aca="false">SUMIFS('Commentary drivers'!$E:$E,'Commentary drivers'!$A:$A,A202)</f>
        <v>2.5</v>
      </c>
      <c r="S202" s="49" t="str">
        <f aca="false">IF(AND(ROUND(Q202-J202,4)=0,ROUND(R202-K202,1)=0),"✓","✗")</f>
        <v>✓</v>
      </c>
    </row>
    <row r="203" customFormat="false" ht="15" hidden="false" customHeight="false" outlineLevel="0" collapsed="false">
      <c r="A203" s="11" t="s">
        <v>1609</v>
      </c>
      <c r="B203" s="11" t="s">
        <v>29</v>
      </c>
      <c r="C203" s="11" t="s">
        <v>30</v>
      </c>
      <c r="D203" s="11" t="s">
        <v>1337</v>
      </c>
      <c r="E203" s="11" t="s">
        <v>1360</v>
      </c>
      <c r="F203" s="11" t="s">
        <v>165</v>
      </c>
      <c r="G203" s="11" t="n">
        <v>0</v>
      </c>
      <c r="H203" s="34" t="n">
        <v>239.112</v>
      </c>
      <c r="I203" s="34" t="n">
        <v>239.188</v>
      </c>
      <c r="J203" s="34" t="n">
        <v>-0.076</v>
      </c>
      <c r="K203" s="34" t="n">
        <v>-0.1</v>
      </c>
      <c r="L203" s="11" t="s">
        <v>480</v>
      </c>
      <c r="M203" s="11" t="s">
        <v>1250</v>
      </c>
      <c r="N203" s="11" t="s">
        <v>1251</v>
      </c>
      <c r="O203" s="11" t="s">
        <v>1252</v>
      </c>
      <c r="P203" s="11" t="s">
        <v>1557</v>
      </c>
      <c r="Q203" s="25" t="n">
        <f aca="false">SUMIFS('Commentary drivers'!$D:$D,'Commentary drivers'!$A:$A,A203)</f>
        <v>-0.076</v>
      </c>
      <c r="R203" s="25" t="n">
        <f aca="false">SUMIFS('Commentary drivers'!$E:$E,'Commentary drivers'!$A:$A,A203)</f>
        <v>-0.1</v>
      </c>
      <c r="S203" s="49" t="str">
        <f aca="false">IF(AND(ROUND(Q203-J203,4)=0,ROUND(R203-K203,1)=0),"✓","✗")</f>
        <v>✓</v>
      </c>
    </row>
    <row r="204" customFormat="false" ht="15" hidden="false" customHeight="false" outlineLevel="0" collapsed="false">
      <c r="A204" s="11" t="s">
        <v>1610</v>
      </c>
      <c r="B204" s="11" t="s">
        <v>29</v>
      </c>
      <c r="C204" s="11" t="s">
        <v>30</v>
      </c>
      <c r="D204" s="11" t="s">
        <v>1337</v>
      </c>
      <c r="E204" s="11" t="s">
        <v>1362</v>
      </c>
      <c r="F204" s="11" t="s">
        <v>272</v>
      </c>
      <c r="G204" s="11" t="n">
        <v>1</v>
      </c>
      <c r="H204" s="34" t="n">
        <v>239.112</v>
      </c>
      <c r="I204" s="34" t="n">
        <v>239.188</v>
      </c>
      <c r="J204" s="34" t="n">
        <v>-0.076</v>
      </c>
      <c r="K204" s="34" t="n">
        <v>-0.1</v>
      </c>
      <c r="L204" s="11" t="s">
        <v>481</v>
      </c>
      <c r="M204" s="11" t="s">
        <v>1250</v>
      </c>
      <c r="N204" s="11" t="s">
        <v>1262</v>
      </c>
      <c r="O204" s="11"/>
      <c r="P204" s="11"/>
      <c r="Q204" s="25" t="n">
        <f aca="false">SUMIFS('Commentary drivers'!$D:$D,'Commentary drivers'!$A:$A,A204)</f>
        <v>-0.076</v>
      </c>
      <c r="R204" s="25" t="n">
        <f aca="false">SUMIFS('Commentary drivers'!$E:$E,'Commentary drivers'!$A:$A,A204)</f>
        <v>-0.1</v>
      </c>
      <c r="S204" s="49" t="str">
        <f aca="false">IF(AND(ROUND(Q204-J204,4)=0,ROUND(R204-K204,1)=0),"✓","✗")</f>
        <v>✓</v>
      </c>
    </row>
    <row r="205" customFormat="false" ht="15" hidden="false" customHeight="false" outlineLevel="0" collapsed="false">
      <c r="A205" s="11" t="s">
        <v>1611</v>
      </c>
      <c r="B205" s="11" t="s">
        <v>29</v>
      </c>
      <c r="C205" s="11" t="s">
        <v>30</v>
      </c>
      <c r="D205" s="11" t="s">
        <v>1337</v>
      </c>
      <c r="E205" s="11" t="s">
        <v>1364</v>
      </c>
      <c r="F205" s="11" t="s">
        <v>166</v>
      </c>
      <c r="G205" s="11" t="n">
        <v>0</v>
      </c>
      <c r="H205" s="34" t="n">
        <v>1301.29918</v>
      </c>
      <c r="I205" s="34" t="n">
        <v>1245.07873</v>
      </c>
      <c r="J205" s="34" t="n">
        <v>56.22045</v>
      </c>
      <c r="K205" s="34" t="n">
        <v>56.2</v>
      </c>
      <c r="L205" s="11" t="s">
        <v>482</v>
      </c>
      <c r="M205" s="11" t="s">
        <v>1250</v>
      </c>
      <c r="N205" s="11" t="s">
        <v>1251</v>
      </c>
      <c r="O205" s="11" t="s">
        <v>1252</v>
      </c>
      <c r="P205" s="11" t="s">
        <v>1557</v>
      </c>
      <c r="Q205" s="25" t="n">
        <f aca="false">SUMIFS('Commentary drivers'!$D:$D,'Commentary drivers'!$A:$A,A205)</f>
        <v>56.22045</v>
      </c>
      <c r="R205" s="25" t="n">
        <f aca="false">SUMIFS('Commentary drivers'!$E:$E,'Commentary drivers'!$A:$A,A205)</f>
        <v>56.2</v>
      </c>
      <c r="S205" s="49" t="str">
        <f aca="false">IF(AND(ROUND(Q205-J205,4)=0,ROUND(R205-K205,1)=0),"✓","✗")</f>
        <v>✓</v>
      </c>
    </row>
    <row r="206" customFormat="false" ht="15" hidden="false" customHeight="false" outlineLevel="0" collapsed="false">
      <c r="A206" s="11" t="s">
        <v>1612</v>
      </c>
      <c r="B206" s="11" t="s">
        <v>29</v>
      </c>
      <c r="C206" s="11" t="s">
        <v>30</v>
      </c>
      <c r="D206" s="11" t="s">
        <v>1337</v>
      </c>
      <c r="E206" s="11" t="s">
        <v>1366</v>
      </c>
      <c r="F206" s="11" t="s">
        <v>167</v>
      </c>
      <c r="G206" s="11" t="n">
        <v>0</v>
      </c>
      <c r="H206" s="34" t="n">
        <v>2690.22782</v>
      </c>
      <c r="I206" s="34" t="n">
        <v>2479.25827</v>
      </c>
      <c r="J206" s="34" t="n">
        <v>210.96955</v>
      </c>
      <c r="K206" s="34" t="n">
        <v>211</v>
      </c>
      <c r="L206" s="11" t="s">
        <v>483</v>
      </c>
      <c r="M206" s="11" t="s">
        <v>1250</v>
      </c>
      <c r="N206" s="11" t="s">
        <v>1251</v>
      </c>
      <c r="O206" s="11" t="s">
        <v>1252</v>
      </c>
      <c r="P206" s="11" t="s">
        <v>1557</v>
      </c>
      <c r="Q206" s="25" t="n">
        <f aca="false">SUMIFS('Commentary drivers'!$D:$D,'Commentary drivers'!$A:$A,A206)</f>
        <v>210.96955</v>
      </c>
      <c r="R206" s="25" t="n">
        <f aca="false">SUMIFS('Commentary drivers'!$E:$E,'Commentary drivers'!$A:$A,A206)</f>
        <v>211</v>
      </c>
      <c r="S206" s="49" t="str">
        <f aca="false">IF(AND(ROUND(Q206-J206,4)=0,ROUND(R206-K206,1)=0),"✓","✗")</f>
        <v>✓</v>
      </c>
    </row>
    <row r="207" customFormat="false" ht="15" hidden="false" customHeight="false" outlineLevel="0" collapsed="false">
      <c r="A207" s="11" t="s">
        <v>1613</v>
      </c>
      <c r="B207" s="11" t="s">
        <v>29</v>
      </c>
      <c r="C207" s="11" t="s">
        <v>30</v>
      </c>
      <c r="D207" s="11" t="s">
        <v>1337</v>
      </c>
      <c r="E207" s="11" t="s">
        <v>1368</v>
      </c>
      <c r="F207" s="11" t="s">
        <v>168</v>
      </c>
      <c r="G207" s="11" t="n">
        <v>0</v>
      </c>
      <c r="H207" s="34" t="n">
        <v>888.2869</v>
      </c>
      <c r="I207" s="34" t="n">
        <v>739.6296</v>
      </c>
      <c r="J207" s="34" t="n">
        <v>148.6573</v>
      </c>
      <c r="K207" s="34" t="n">
        <v>148.7</v>
      </c>
      <c r="L207" s="11" t="s">
        <v>484</v>
      </c>
      <c r="M207" s="11" t="s">
        <v>1250</v>
      </c>
      <c r="N207" s="11" t="s">
        <v>1251</v>
      </c>
      <c r="O207" s="11" t="s">
        <v>1252</v>
      </c>
      <c r="P207" s="11" t="s">
        <v>1557</v>
      </c>
      <c r="Q207" s="25" t="n">
        <f aca="false">SUMIFS('Commentary drivers'!$D:$D,'Commentary drivers'!$A:$A,A207)</f>
        <v>148.6573</v>
      </c>
      <c r="R207" s="25" t="n">
        <f aca="false">SUMIFS('Commentary drivers'!$E:$E,'Commentary drivers'!$A:$A,A207)</f>
        <v>148.7</v>
      </c>
      <c r="S207" s="49" t="str">
        <f aca="false">IF(AND(ROUND(Q207-J207,4)=0,ROUND(R207-K207,1)=0),"✓","✗")</f>
        <v>✓</v>
      </c>
    </row>
    <row r="208" customFormat="false" ht="15" hidden="false" customHeight="false" outlineLevel="0" collapsed="false">
      <c r="A208" s="11" t="s">
        <v>1614</v>
      </c>
      <c r="B208" s="11" t="s">
        <v>29</v>
      </c>
      <c r="C208" s="11" t="s">
        <v>30</v>
      </c>
      <c r="D208" s="11" t="s">
        <v>1337</v>
      </c>
      <c r="E208" s="11" t="s">
        <v>1370</v>
      </c>
      <c r="F208" s="11" t="s">
        <v>278</v>
      </c>
      <c r="G208" s="11" t="n">
        <v>1</v>
      </c>
      <c r="H208" s="34" t="n">
        <v>465.321</v>
      </c>
      <c r="I208" s="34" t="n">
        <v>418.346</v>
      </c>
      <c r="J208" s="34" t="n">
        <v>46.975</v>
      </c>
      <c r="K208" s="34" t="n">
        <v>47</v>
      </c>
      <c r="L208" s="11" t="s">
        <v>485</v>
      </c>
      <c r="M208" s="11" t="s">
        <v>1250</v>
      </c>
      <c r="N208" s="11" t="s">
        <v>1251</v>
      </c>
      <c r="O208" s="11" t="s">
        <v>1252</v>
      </c>
      <c r="P208" s="11" t="s">
        <v>1557</v>
      </c>
      <c r="Q208" s="25" t="n">
        <f aca="false">SUMIFS('Commentary drivers'!$D:$D,'Commentary drivers'!$A:$A,A208)</f>
        <v>46.975</v>
      </c>
      <c r="R208" s="25" t="n">
        <f aca="false">SUMIFS('Commentary drivers'!$E:$E,'Commentary drivers'!$A:$A,A208)</f>
        <v>47</v>
      </c>
      <c r="S208" s="49" t="str">
        <f aca="false">IF(AND(ROUND(Q208-J208,4)=0,ROUND(R208-K208,1)=0),"✓","✗")</f>
        <v>✓</v>
      </c>
    </row>
    <row r="209" customFormat="false" ht="15" hidden="false" customHeight="false" outlineLevel="0" collapsed="false">
      <c r="A209" s="11" t="s">
        <v>1615</v>
      </c>
      <c r="B209" s="11" t="s">
        <v>29</v>
      </c>
      <c r="C209" s="11" t="s">
        <v>30</v>
      </c>
      <c r="D209" s="11" t="s">
        <v>1337</v>
      </c>
      <c r="E209" s="11" t="s">
        <v>1372</v>
      </c>
      <c r="F209" s="11" t="s">
        <v>280</v>
      </c>
      <c r="G209" s="11" t="n">
        <v>1</v>
      </c>
      <c r="H209" s="34" t="n">
        <v>73.9659</v>
      </c>
      <c r="I209" s="34" t="n">
        <v>76.2336</v>
      </c>
      <c r="J209" s="34" t="n">
        <v>-2.2677</v>
      </c>
      <c r="K209" s="34" t="n">
        <v>-2.3</v>
      </c>
      <c r="L209" s="11" t="s">
        <v>486</v>
      </c>
      <c r="M209" s="11" t="s">
        <v>1250</v>
      </c>
      <c r="N209" s="11" t="s">
        <v>1262</v>
      </c>
      <c r="O209" s="11"/>
      <c r="P209" s="11"/>
      <c r="Q209" s="25" t="n">
        <f aca="false">SUMIFS('Commentary drivers'!$D:$D,'Commentary drivers'!$A:$A,A209)</f>
        <v>-2.2677</v>
      </c>
      <c r="R209" s="25" t="n">
        <f aca="false">SUMIFS('Commentary drivers'!$E:$E,'Commentary drivers'!$A:$A,A209)</f>
        <v>-2.3</v>
      </c>
      <c r="S209" s="49" t="str">
        <f aca="false">IF(AND(ROUND(Q209-J209,4)=0,ROUND(R209-K209,1)=0),"✓","✗")</f>
        <v>✓</v>
      </c>
    </row>
    <row r="210" customFormat="false" ht="15" hidden="false" customHeight="false" outlineLevel="0" collapsed="false">
      <c r="A210" s="11" t="s">
        <v>1616</v>
      </c>
      <c r="B210" s="11" t="s">
        <v>29</v>
      </c>
      <c r="C210" s="11" t="s">
        <v>30</v>
      </c>
      <c r="D210" s="11" t="s">
        <v>1337</v>
      </c>
      <c r="E210" s="11" t="s">
        <v>1374</v>
      </c>
      <c r="F210" s="11" t="s">
        <v>282</v>
      </c>
      <c r="G210" s="11" t="n">
        <v>1</v>
      </c>
      <c r="H210" s="34" t="n">
        <v>240</v>
      </c>
      <c r="I210" s="34" t="n">
        <v>154.55</v>
      </c>
      <c r="J210" s="34" t="n">
        <v>85.45</v>
      </c>
      <c r="K210" s="34" t="n">
        <v>85.5</v>
      </c>
      <c r="L210" s="11" t="s">
        <v>487</v>
      </c>
      <c r="M210" s="11" t="s">
        <v>1250</v>
      </c>
      <c r="N210" s="11" t="s">
        <v>1251</v>
      </c>
      <c r="O210" s="11" t="s">
        <v>1252</v>
      </c>
      <c r="P210" s="11" t="s">
        <v>1557</v>
      </c>
      <c r="Q210" s="25" t="n">
        <f aca="false">SUMIFS('Commentary drivers'!$D:$D,'Commentary drivers'!$A:$A,A210)</f>
        <v>85.45</v>
      </c>
      <c r="R210" s="25" t="n">
        <f aca="false">SUMIFS('Commentary drivers'!$E:$E,'Commentary drivers'!$A:$A,A210)</f>
        <v>85.5</v>
      </c>
      <c r="S210" s="49" t="str">
        <f aca="false">IF(AND(ROUND(Q210-J210,4)=0,ROUND(R210-K210,1)=0),"✓","✗")</f>
        <v>✓</v>
      </c>
    </row>
    <row r="211" customFormat="false" ht="15" hidden="false" customHeight="false" outlineLevel="0" collapsed="false">
      <c r="A211" s="11" t="s">
        <v>1617</v>
      </c>
      <c r="B211" s="11" t="s">
        <v>29</v>
      </c>
      <c r="C211" s="11" t="s">
        <v>30</v>
      </c>
      <c r="D211" s="11" t="s">
        <v>1337</v>
      </c>
      <c r="E211" s="11" t="s">
        <v>1376</v>
      </c>
      <c r="F211" s="11" t="s">
        <v>284</v>
      </c>
      <c r="G211" s="11" t="n">
        <v>1</v>
      </c>
      <c r="H211" s="34" t="n">
        <v>79</v>
      </c>
      <c r="I211" s="34" t="n">
        <v>72.5</v>
      </c>
      <c r="J211" s="34" t="n">
        <v>6.5</v>
      </c>
      <c r="K211" s="34" t="n">
        <v>6.5</v>
      </c>
      <c r="L211" s="11" t="s">
        <v>488</v>
      </c>
      <c r="M211" s="11" t="s">
        <v>1250</v>
      </c>
      <c r="N211" s="11" t="s">
        <v>1262</v>
      </c>
      <c r="O211" s="11"/>
      <c r="P211" s="11"/>
      <c r="Q211" s="25" t="n">
        <f aca="false">SUMIFS('Commentary drivers'!$D:$D,'Commentary drivers'!$A:$A,A211)</f>
        <v>6.5</v>
      </c>
      <c r="R211" s="25" t="n">
        <f aca="false">SUMIFS('Commentary drivers'!$E:$E,'Commentary drivers'!$A:$A,A211)</f>
        <v>6.5</v>
      </c>
      <c r="S211" s="49" t="str">
        <f aca="false">IF(AND(ROUND(Q211-J211,4)=0,ROUND(R211-K211,1)=0),"✓","✗")</f>
        <v>✓</v>
      </c>
    </row>
    <row r="212" customFormat="false" ht="15" hidden="false" customHeight="false" outlineLevel="0" collapsed="false">
      <c r="A212" s="11" t="s">
        <v>1618</v>
      </c>
      <c r="B212" s="11" t="s">
        <v>29</v>
      </c>
      <c r="C212" s="11" t="s">
        <v>30</v>
      </c>
      <c r="D212" s="11" t="s">
        <v>1337</v>
      </c>
      <c r="E212" s="11" t="s">
        <v>1378</v>
      </c>
      <c r="F212" s="11" t="s">
        <v>286</v>
      </c>
      <c r="G212" s="11" t="n">
        <v>1</v>
      </c>
      <c r="H212" s="34" t="n">
        <v>30</v>
      </c>
      <c r="I212" s="34" t="n">
        <v>18</v>
      </c>
      <c r="J212" s="34" t="n">
        <v>12</v>
      </c>
      <c r="K212" s="34" t="n">
        <v>12</v>
      </c>
      <c r="L212" s="11" t="s">
        <v>489</v>
      </c>
      <c r="M212" s="11" t="s">
        <v>1250</v>
      </c>
      <c r="N212" s="11" t="s">
        <v>1251</v>
      </c>
      <c r="O212" s="11" t="s">
        <v>1252</v>
      </c>
      <c r="P212" s="11" t="s">
        <v>1557</v>
      </c>
      <c r="Q212" s="25" t="n">
        <f aca="false">SUMIFS('Commentary drivers'!$D:$D,'Commentary drivers'!$A:$A,A212)</f>
        <v>12</v>
      </c>
      <c r="R212" s="25" t="n">
        <f aca="false">SUMIFS('Commentary drivers'!$E:$E,'Commentary drivers'!$A:$A,A212)</f>
        <v>12</v>
      </c>
      <c r="S212" s="49" t="str">
        <f aca="false">IF(AND(ROUND(Q212-J212,4)=0,ROUND(R212-K212,1)=0),"✓","✗")</f>
        <v>✓</v>
      </c>
    </row>
    <row r="213" customFormat="false" ht="15" hidden="false" customHeight="false" outlineLevel="0" collapsed="false">
      <c r="A213" s="11" t="s">
        <v>1619</v>
      </c>
      <c r="B213" s="11" t="s">
        <v>29</v>
      </c>
      <c r="C213" s="11" t="s">
        <v>30</v>
      </c>
      <c r="D213" s="11" t="s">
        <v>1337</v>
      </c>
      <c r="E213" s="11" t="s">
        <v>1380</v>
      </c>
      <c r="F213" s="11" t="s">
        <v>169</v>
      </c>
      <c r="G213" s="11" t="n">
        <v>0</v>
      </c>
      <c r="H213" s="34" t="n">
        <v>1801.94092</v>
      </c>
      <c r="I213" s="34" t="n">
        <v>1739.62867</v>
      </c>
      <c r="J213" s="34" t="n">
        <v>62.31225</v>
      </c>
      <c r="K213" s="34" t="n">
        <v>62.3</v>
      </c>
      <c r="L213" s="11" t="s">
        <v>490</v>
      </c>
      <c r="M213" s="11" t="s">
        <v>1250</v>
      </c>
      <c r="N213" s="11" t="s">
        <v>1251</v>
      </c>
      <c r="O213" s="11" t="s">
        <v>1252</v>
      </c>
      <c r="P213" s="11" t="s">
        <v>1557</v>
      </c>
      <c r="Q213" s="25" t="n">
        <f aca="false">SUMIFS('Commentary drivers'!$D:$D,'Commentary drivers'!$A:$A,A213)</f>
        <v>62.31225</v>
      </c>
      <c r="R213" s="25" t="n">
        <f aca="false">SUMIFS('Commentary drivers'!$E:$E,'Commentary drivers'!$A:$A,A213)</f>
        <v>62.3</v>
      </c>
      <c r="S213" s="49" t="str">
        <f aca="false">IF(AND(ROUND(Q213-J213,4)=0,ROUND(R213-K213,1)=0),"✓","✗")</f>
        <v>✓</v>
      </c>
    </row>
    <row r="214" customFormat="false" ht="15" hidden="false" customHeight="false" outlineLevel="0" collapsed="false">
      <c r="A214" s="11" t="s">
        <v>1620</v>
      </c>
      <c r="B214" s="11" t="s">
        <v>29</v>
      </c>
      <c r="C214" s="11" t="s">
        <v>30</v>
      </c>
      <c r="D214" s="11" t="s">
        <v>1337</v>
      </c>
      <c r="E214" s="11" t="s">
        <v>1382</v>
      </c>
      <c r="F214" s="11" t="s">
        <v>170</v>
      </c>
      <c r="G214" s="11" t="n">
        <v>0</v>
      </c>
      <c r="H214" s="34" t="n">
        <v>119.18667</v>
      </c>
      <c r="I214" s="34" t="n">
        <v>114.31064</v>
      </c>
      <c r="J214" s="34" t="n">
        <v>4.87603</v>
      </c>
      <c r="K214" s="34" t="n">
        <v>4.9</v>
      </c>
      <c r="L214" s="11" t="s">
        <v>491</v>
      </c>
      <c r="M214" s="11" t="s">
        <v>1250</v>
      </c>
      <c r="N214" s="11" t="s">
        <v>1251</v>
      </c>
      <c r="O214" s="11" t="s">
        <v>1252</v>
      </c>
      <c r="P214" s="11" t="s">
        <v>1557</v>
      </c>
      <c r="Q214" s="25" t="n">
        <f aca="false">SUMIFS('Commentary drivers'!$D:$D,'Commentary drivers'!$A:$A,A214)</f>
        <v>4.87603</v>
      </c>
      <c r="R214" s="25" t="n">
        <f aca="false">SUMIFS('Commentary drivers'!$E:$E,'Commentary drivers'!$A:$A,A214)</f>
        <v>4.9</v>
      </c>
      <c r="S214" s="49" t="str">
        <f aca="false">IF(AND(ROUND(Q214-J214,4)=0,ROUND(R214-K214,1)=0),"✓","✗")</f>
        <v>✓</v>
      </c>
    </row>
    <row r="215" customFormat="false" ht="15" hidden="false" customHeight="false" outlineLevel="0" collapsed="false">
      <c r="A215" s="11" t="s">
        <v>1621</v>
      </c>
      <c r="B215" s="11" t="s">
        <v>29</v>
      </c>
      <c r="C215" s="11" t="s">
        <v>30</v>
      </c>
      <c r="D215" s="11" t="s">
        <v>1337</v>
      </c>
      <c r="E215" s="11" t="s">
        <v>1384</v>
      </c>
      <c r="F215" s="11" t="s">
        <v>265</v>
      </c>
      <c r="G215" s="11" t="n">
        <v>1</v>
      </c>
      <c r="H215" s="34" t="n">
        <v>60.02</v>
      </c>
      <c r="I215" s="34" t="n">
        <v>58.64397</v>
      </c>
      <c r="J215" s="34" t="n">
        <v>1.37603</v>
      </c>
      <c r="K215" s="34" t="n">
        <v>1.4</v>
      </c>
      <c r="L215" s="11" t="s">
        <v>492</v>
      </c>
      <c r="M215" s="11" t="s">
        <v>1250</v>
      </c>
      <c r="N215" s="11" t="s">
        <v>1262</v>
      </c>
      <c r="O215" s="11"/>
      <c r="P215" s="11"/>
      <c r="Q215" s="25" t="n">
        <f aca="false">SUMIFS('Commentary drivers'!$D:$D,'Commentary drivers'!$A:$A,A215)</f>
        <v>1.37603</v>
      </c>
      <c r="R215" s="25" t="n">
        <f aca="false">SUMIFS('Commentary drivers'!$E:$E,'Commentary drivers'!$A:$A,A215)</f>
        <v>1.4</v>
      </c>
      <c r="S215" s="49" t="str">
        <f aca="false">IF(AND(ROUND(Q215-J215,4)=0,ROUND(R215-K215,1)=0),"✓","✗")</f>
        <v>✓</v>
      </c>
    </row>
    <row r="216" customFormat="false" ht="15" hidden="false" customHeight="false" outlineLevel="0" collapsed="false">
      <c r="A216" s="11" t="s">
        <v>1622</v>
      </c>
      <c r="B216" s="11" t="s">
        <v>29</v>
      </c>
      <c r="C216" s="11" t="s">
        <v>30</v>
      </c>
      <c r="D216" s="11" t="s">
        <v>1337</v>
      </c>
      <c r="E216" s="11" t="s">
        <v>1386</v>
      </c>
      <c r="F216" s="11" t="s">
        <v>267</v>
      </c>
      <c r="G216" s="11" t="n">
        <v>1</v>
      </c>
      <c r="H216" s="34" t="n">
        <v>19.66667</v>
      </c>
      <c r="I216" s="34" t="n">
        <v>18.66667</v>
      </c>
      <c r="J216" s="34" t="n">
        <v>1</v>
      </c>
      <c r="K216" s="34" t="n">
        <v>1</v>
      </c>
      <c r="L216" s="11" t="s">
        <v>493</v>
      </c>
      <c r="M216" s="11" t="s">
        <v>1250</v>
      </c>
      <c r="N216" s="11" t="s">
        <v>1262</v>
      </c>
      <c r="O216" s="11"/>
      <c r="P216" s="11"/>
      <c r="Q216" s="25" t="n">
        <f aca="false">SUMIFS('Commentary drivers'!$D:$D,'Commentary drivers'!$A:$A,A216)</f>
        <v>1</v>
      </c>
      <c r="R216" s="25" t="n">
        <f aca="false">SUMIFS('Commentary drivers'!$E:$E,'Commentary drivers'!$A:$A,A216)</f>
        <v>1</v>
      </c>
      <c r="S216" s="49" t="str">
        <f aca="false">IF(AND(ROUND(Q216-J216,4)=0,ROUND(R216-K216,1)=0),"✓","✗")</f>
        <v>✓</v>
      </c>
    </row>
    <row r="217" customFormat="false" ht="15" hidden="false" customHeight="false" outlineLevel="0" collapsed="false">
      <c r="A217" s="11" t="s">
        <v>1623</v>
      </c>
      <c r="B217" s="11" t="s">
        <v>29</v>
      </c>
      <c r="C217" s="11" t="s">
        <v>30</v>
      </c>
      <c r="D217" s="11" t="s">
        <v>1337</v>
      </c>
      <c r="E217" s="11" t="s">
        <v>1388</v>
      </c>
      <c r="F217" s="11" t="s">
        <v>269</v>
      </c>
      <c r="G217" s="11" t="n">
        <v>1</v>
      </c>
      <c r="H217" s="34" t="n">
        <v>39.5</v>
      </c>
      <c r="I217" s="34" t="n">
        <v>37</v>
      </c>
      <c r="J217" s="34" t="n">
        <v>2.5</v>
      </c>
      <c r="K217" s="34" t="n">
        <v>2.5</v>
      </c>
      <c r="L217" s="11" t="s">
        <v>479</v>
      </c>
      <c r="M217" s="11" t="s">
        <v>1250</v>
      </c>
      <c r="N217" s="11" t="s">
        <v>1262</v>
      </c>
      <c r="O217" s="11"/>
      <c r="P217" s="11"/>
      <c r="Q217" s="25" t="n">
        <f aca="false">SUMIFS('Commentary drivers'!$D:$D,'Commentary drivers'!$A:$A,A217)</f>
        <v>2.5</v>
      </c>
      <c r="R217" s="25" t="n">
        <f aca="false">SUMIFS('Commentary drivers'!$E:$E,'Commentary drivers'!$A:$A,A217)</f>
        <v>2.5</v>
      </c>
      <c r="S217" s="49" t="str">
        <f aca="false">IF(AND(ROUND(Q217-J217,4)=0,ROUND(R217-K217,1)=0),"✓","✗")</f>
        <v>✓</v>
      </c>
    </row>
    <row r="218" customFormat="false" ht="15" hidden="false" customHeight="false" outlineLevel="0" collapsed="false">
      <c r="A218" s="11" t="s">
        <v>1624</v>
      </c>
      <c r="B218" s="11" t="s">
        <v>29</v>
      </c>
      <c r="C218" s="11" t="s">
        <v>30</v>
      </c>
      <c r="D218" s="11" t="s">
        <v>1337</v>
      </c>
      <c r="E218" s="11" t="s">
        <v>1390</v>
      </c>
      <c r="F218" s="11" t="s">
        <v>157</v>
      </c>
      <c r="G218" s="11" t="n">
        <v>0</v>
      </c>
      <c r="H218" s="34" t="n">
        <v>818.13658</v>
      </c>
      <c r="I218" s="34" t="n">
        <v>772.34634</v>
      </c>
      <c r="J218" s="34" t="n">
        <v>45.79024</v>
      </c>
      <c r="K218" s="34" t="n">
        <v>45.8</v>
      </c>
      <c r="L218" s="11" t="s">
        <v>494</v>
      </c>
      <c r="M218" s="11" t="s">
        <v>1250</v>
      </c>
      <c r="N218" s="11" t="s">
        <v>1251</v>
      </c>
      <c r="O218" s="11" t="s">
        <v>1252</v>
      </c>
      <c r="P218" s="11" t="s">
        <v>1557</v>
      </c>
      <c r="Q218" s="25" t="n">
        <f aca="false">SUMIFS('Commentary drivers'!$D:$D,'Commentary drivers'!$A:$A,A218)</f>
        <v>45.79024</v>
      </c>
      <c r="R218" s="25" t="n">
        <f aca="false">SUMIFS('Commentary drivers'!$E:$E,'Commentary drivers'!$A:$A,A218)</f>
        <v>45.8</v>
      </c>
      <c r="S218" s="49" t="str">
        <f aca="false">IF(AND(ROUND(Q218-J218,4)=0,ROUND(R218-K218,1)=0),"✓","✗")</f>
        <v>✓</v>
      </c>
    </row>
    <row r="219" customFormat="false" ht="15" hidden="false" customHeight="false" outlineLevel="0" collapsed="false">
      <c r="A219" s="11" t="s">
        <v>1625</v>
      </c>
      <c r="B219" s="11" t="s">
        <v>29</v>
      </c>
      <c r="C219" s="11" t="s">
        <v>30</v>
      </c>
      <c r="D219" s="11" t="s">
        <v>1337</v>
      </c>
      <c r="E219" s="11" t="s">
        <v>1392</v>
      </c>
      <c r="F219" s="11" t="s">
        <v>296</v>
      </c>
      <c r="G219" s="11" t="n">
        <v>1</v>
      </c>
      <c r="H219" s="34" t="n">
        <v>579.05325</v>
      </c>
      <c r="I219" s="34" t="n">
        <v>549.213</v>
      </c>
      <c r="J219" s="34" t="n">
        <v>29.84025</v>
      </c>
      <c r="K219" s="34" t="n">
        <v>29.8</v>
      </c>
      <c r="L219" s="11" t="s">
        <v>495</v>
      </c>
      <c r="M219" s="11" t="s">
        <v>1250</v>
      </c>
      <c r="N219" s="11" t="s">
        <v>1251</v>
      </c>
      <c r="O219" s="11" t="s">
        <v>1252</v>
      </c>
      <c r="P219" s="11" t="s">
        <v>1557</v>
      </c>
      <c r="Q219" s="25" t="n">
        <f aca="false">SUMIFS('Commentary drivers'!$D:$D,'Commentary drivers'!$A:$A,A219)</f>
        <v>29.84025</v>
      </c>
      <c r="R219" s="25" t="n">
        <f aca="false">SUMIFS('Commentary drivers'!$E:$E,'Commentary drivers'!$A:$A,A219)</f>
        <v>29.8</v>
      </c>
      <c r="S219" s="49" t="str">
        <f aca="false">IF(AND(ROUND(Q219-J219,4)=0,ROUND(R219-K219,1)=0),"✓","✗")</f>
        <v>✓</v>
      </c>
    </row>
    <row r="220" customFormat="false" ht="15" hidden="false" customHeight="false" outlineLevel="0" collapsed="false">
      <c r="A220" s="11" t="s">
        <v>1626</v>
      </c>
      <c r="B220" s="11" t="s">
        <v>29</v>
      </c>
      <c r="C220" s="11" t="s">
        <v>30</v>
      </c>
      <c r="D220" s="11" t="s">
        <v>1337</v>
      </c>
      <c r="E220" s="11" t="s">
        <v>1394</v>
      </c>
      <c r="F220" s="11" t="s">
        <v>298</v>
      </c>
      <c r="G220" s="11" t="n">
        <v>1</v>
      </c>
      <c r="H220" s="34" t="n">
        <v>82</v>
      </c>
      <c r="I220" s="34" t="n">
        <v>76</v>
      </c>
      <c r="J220" s="34" t="n">
        <v>6</v>
      </c>
      <c r="K220" s="34" t="n">
        <v>6</v>
      </c>
      <c r="L220" s="11" t="s">
        <v>496</v>
      </c>
      <c r="M220" s="11" t="s">
        <v>1250</v>
      </c>
      <c r="N220" s="11" t="s">
        <v>1262</v>
      </c>
      <c r="O220" s="11"/>
      <c r="P220" s="11"/>
      <c r="Q220" s="25" t="n">
        <f aca="false">SUMIFS('Commentary drivers'!$D:$D,'Commentary drivers'!$A:$A,A220)</f>
        <v>6</v>
      </c>
      <c r="R220" s="25" t="n">
        <f aca="false">SUMIFS('Commentary drivers'!$E:$E,'Commentary drivers'!$A:$A,A220)</f>
        <v>6</v>
      </c>
      <c r="S220" s="49" t="str">
        <f aca="false">IF(AND(ROUND(Q220-J220,4)=0,ROUND(R220-K220,1)=0),"✓","✗")</f>
        <v>✓</v>
      </c>
    </row>
    <row r="221" customFormat="false" ht="15" hidden="false" customHeight="false" outlineLevel="0" collapsed="false">
      <c r="A221" s="11" t="s">
        <v>1627</v>
      </c>
      <c r="B221" s="11" t="s">
        <v>29</v>
      </c>
      <c r="C221" s="11" t="s">
        <v>30</v>
      </c>
      <c r="D221" s="11" t="s">
        <v>1337</v>
      </c>
      <c r="E221" s="11" t="s">
        <v>1396</v>
      </c>
      <c r="F221" s="11" t="s">
        <v>265</v>
      </c>
      <c r="G221" s="11" t="n">
        <v>1</v>
      </c>
      <c r="H221" s="34" t="n">
        <v>58.5</v>
      </c>
      <c r="I221" s="34" t="n">
        <v>54.30003</v>
      </c>
      <c r="J221" s="34" t="n">
        <v>4.19997</v>
      </c>
      <c r="K221" s="34" t="n">
        <v>4.2</v>
      </c>
      <c r="L221" s="11" t="s">
        <v>497</v>
      </c>
      <c r="M221" s="11" t="s">
        <v>1250</v>
      </c>
      <c r="N221" s="11" t="s">
        <v>1262</v>
      </c>
      <c r="O221" s="11"/>
      <c r="P221" s="11"/>
      <c r="Q221" s="25" t="n">
        <f aca="false">SUMIFS('Commentary drivers'!$D:$D,'Commentary drivers'!$A:$A,A221)</f>
        <v>4.19997</v>
      </c>
      <c r="R221" s="25" t="n">
        <f aca="false">SUMIFS('Commentary drivers'!$E:$E,'Commentary drivers'!$A:$A,A221)</f>
        <v>4.2</v>
      </c>
      <c r="S221" s="49" t="str">
        <f aca="false">IF(AND(ROUND(Q221-J221,4)=0,ROUND(R221-K221,1)=0),"✓","✗")</f>
        <v>✓</v>
      </c>
    </row>
    <row r="222" customFormat="false" ht="15" hidden="false" customHeight="false" outlineLevel="0" collapsed="false">
      <c r="A222" s="11" t="s">
        <v>1628</v>
      </c>
      <c r="B222" s="11" t="s">
        <v>29</v>
      </c>
      <c r="C222" s="11" t="s">
        <v>30</v>
      </c>
      <c r="D222" s="11" t="s">
        <v>1337</v>
      </c>
      <c r="E222" s="11" t="s">
        <v>1398</v>
      </c>
      <c r="F222" s="11" t="s">
        <v>267</v>
      </c>
      <c r="G222" s="11" t="n">
        <v>1</v>
      </c>
      <c r="H222" s="34" t="n">
        <v>39.33333</v>
      </c>
      <c r="I222" s="34" t="n">
        <v>37.33333</v>
      </c>
      <c r="J222" s="34" t="n">
        <v>2</v>
      </c>
      <c r="K222" s="34" t="n">
        <v>2</v>
      </c>
      <c r="L222" s="11" t="s">
        <v>478</v>
      </c>
      <c r="M222" s="11" t="s">
        <v>1250</v>
      </c>
      <c r="N222" s="11" t="s">
        <v>1262</v>
      </c>
      <c r="O222" s="11"/>
      <c r="P222" s="11"/>
      <c r="Q222" s="25" t="n">
        <f aca="false">SUMIFS('Commentary drivers'!$D:$D,'Commentary drivers'!$A:$A,A222)</f>
        <v>2</v>
      </c>
      <c r="R222" s="25" t="n">
        <f aca="false">SUMIFS('Commentary drivers'!$E:$E,'Commentary drivers'!$A:$A,A222)</f>
        <v>2</v>
      </c>
      <c r="S222" s="49" t="str">
        <f aca="false">IF(AND(ROUND(Q222-J222,4)=0,ROUND(R222-K222,1)=0),"✓","✗")</f>
        <v>✓</v>
      </c>
    </row>
    <row r="223" customFormat="false" ht="15" hidden="false" customHeight="false" outlineLevel="0" collapsed="false">
      <c r="A223" s="11" t="s">
        <v>1629</v>
      </c>
      <c r="B223" s="11" t="s">
        <v>29</v>
      </c>
      <c r="C223" s="11" t="s">
        <v>30</v>
      </c>
      <c r="D223" s="11" t="s">
        <v>1337</v>
      </c>
      <c r="E223" s="11" t="s">
        <v>1400</v>
      </c>
      <c r="F223" s="11" t="s">
        <v>269</v>
      </c>
      <c r="G223" s="11" t="n">
        <v>1</v>
      </c>
      <c r="H223" s="34" t="n">
        <v>59.25</v>
      </c>
      <c r="I223" s="34" t="n">
        <v>55.49998</v>
      </c>
      <c r="J223" s="34" t="n">
        <v>3.75002</v>
      </c>
      <c r="K223" s="34" t="n">
        <v>3.8</v>
      </c>
      <c r="L223" s="11" t="s">
        <v>498</v>
      </c>
      <c r="M223" s="11" t="s">
        <v>1250</v>
      </c>
      <c r="N223" s="11" t="s">
        <v>1262</v>
      </c>
      <c r="O223" s="11"/>
      <c r="P223" s="11"/>
      <c r="Q223" s="25" t="n">
        <f aca="false">SUMIFS('Commentary drivers'!$D:$D,'Commentary drivers'!$A:$A,A223)</f>
        <v>3.75002</v>
      </c>
      <c r="R223" s="25" t="n">
        <f aca="false">SUMIFS('Commentary drivers'!$E:$E,'Commentary drivers'!$A:$A,A223)</f>
        <v>3.8</v>
      </c>
      <c r="S223" s="49" t="str">
        <f aca="false">IF(AND(ROUND(Q223-J223,4)=0,ROUND(R223-K223,1)=0),"✓","✗")</f>
        <v>✓</v>
      </c>
    </row>
    <row r="224" customFormat="false" ht="15" hidden="false" customHeight="false" outlineLevel="0" collapsed="false">
      <c r="A224" s="11" t="s">
        <v>1630</v>
      </c>
      <c r="B224" s="11" t="s">
        <v>29</v>
      </c>
      <c r="C224" s="11" t="s">
        <v>30</v>
      </c>
      <c r="D224" s="11" t="s">
        <v>1337</v>
      </c>
      <c r="E224" s="11" t="s">
        <v>1402</v>
      </c>
      <c r="F224" s="11" t="s">
        <v>159</v>
      </c>
      <c r="G224" s="11" t="n">
        <v>0</v>
      </c>
      <c r="H224" s="34" t="n">
        <v>391.41667</v>
      </c>
      <c r="I224" s="34" t="n">
        <v>343.76669</v>
      </c>
      <c r="J224" s="34" t="n">
        <v>47.64998</v>
      </c>
      <c r="K224" s="34" t="n">
        <v>47.6</v>
      </c>
      <c r="L224" s="11" t="s">
        <v>499</v>
      </c>
      <c r="M224" s="11" t="s">
        <v>1250</v>
      </c>
      <c r="N224" s="11" t="s">
        <v>1251</v>
      </c>
      <c r="O224" s="11" t="s">
        <v>1252</v>
      </c>
      <c r="P224" s="11" t="s">
        <v>1557</v>
      </c>
      <c r="Q224" s="25" t="n">
        <f aca="false">SUMIFS('Commentary drivers'!$D:$D,'Commentary drivers'!$A:$A,A224)</f>
        <v>47.64998</v>
      </c>
      <c r="R224" s="25" t="n">
        <f aca="false">SUMIFS('Commentary drivers'!$E:$E,'Commentary drivers'!$A:$A,A224)</f>
        <v>47.6</v>
      </c>
      <c r="S224" s="49" t="str">
        <f aca="false">IF(AND(ROUND(Q224-J224,4)=0,ROUND(R224-K224,1)=0),"✓","✗")</f>
        <v>✓</v>
      </c>
    </row>
    <row r="225" customFormat="false" ht="15" hidden="false" customHeight="false" outlineLevel="0" collapsed="false">
      <c r="A225" s="11" t="s">
        <v>1631</v>
      </c>
      <c r="B225" s="11" t="s">
        <v>29</v>
      </c>
      <c r="C225" s="11" t="s">
        <v>30</v>
      </c>
      <c r="D225" s="11" t="s">
        <v>1337</v>
      </c>
      <c r="E225" s="11" t="s">
        <v>1404</v>
      </c>
      <c r="F225" s="11" t="s">
        <v>304</v>
      </c>
      <c r="G225" s="11" t="n">
        <v>1</v>
      </c>
      <c r="H225" s="34" t="n">
        <v>352</v>
      </c>
      <c r="I225" s="34" t="n">
        <v>306.6</v>
      </c>
      <c r="J225" s="34" t="n">
        <v>45.4</v>
      </c>
      <c r="K225" s="34" t="n">
        <v>45.4</v>
      </c>
      <c r="L225" s="11" t="s">
        <v>500</v>
      </c>
      <c r="M225" s="11" t="s">
        <v>1315</v>
      </c>
      <c r="N225" s="11" t="s">
        <v>1251</v>
      </c>
      <c r="O225" s="11" t="s">
        <v>1252</v>
      </c>
      <c r="P225" s="11" t="s">
        <v>1557</v>
      </c>
      <c r="Q225" s="25" t="n">
        <f aca="false">SUMIFS('Commentary drivers'!$D:$D,'Commentary drivers'!$A:$A,A225)</f>
        <v>45.4</v>
      </c>
      <c r="R225" s="25" t="n">
        <f aca="false">SUMIFS('Commentary drivers'!$E:$E,'Commentary drivers'!$A:$A,A225)</f>
        <v>45.4</v>
      </c>
      <c r="S225" s="49" t="str">
        <f aca="false">IF(AND(ROUND(Q225-J225,4)=0,ROUND(R225-K225,1)=0),"✓","✗")</f>
        <v>✓</v>
      </c>
    </row>
    <row r="226" customFormat="false" ht="15" hidden="false" customHeight="false" outlineLevel="0" collapsed="false">
      <c r="A226" s="11" t="s">
        <v>1632</v>
      </c>
      <c r="B226" s="11" t="s">
        <v>29</v>
      </c>
      <c r="C226" s="11" t="s">
        <v>30</v>
      </c>
      <c r="D226" s="11" t="s">
        <v>1337</v>
      </c>
      <c r="E226" s="11" t="s">
        <v>1406</v>
      </c>
      <c r="F226" s="11" t="s">
        <v>267</v>
      </c>
      <c r="G226" s="11" t="n">
        <v>1</v>
      </c>
      <c r="H226" s="34" t="n">
        <v>19.66667</v>
      </c>
      <c r="I226" s="34" t="n">
        <v>18.66667</v>
      </c>
      <c r="J226" s="34" t="n">
        <v>1</v>
      </c>
      <c r="K226" s="34" t="n">
        <v>1</v>
      </c>
      <c r="L226" s="11" t="s">
        <v>493</v>
      </c>
      <c r="M226" s="11" t="s">
        <v>1250</v>
      </c>
      <c r="N226" s="11" t="s">
        <v>1262</v>
      </c>
      <c r="O226" s="11"/>
      <c r="P226" s="11"/>
      <c r="Q226" s="25" t="n">
        <f aca="false">SUMIFS('Commentary drivers'!$D:$D,'Commentary drivers'!$A:$A,A226)</f>
        <v>1</v>
      </c>
      <c r="R226" s="25" t="n">
        <f aca="false">SUMIFS('Commentary drivers'!$E:$E,'Commentary drivers'!$A:$A,A226)</f>
        <v>1</v>
      </c>
      <c r="S226" s="49" t="str">
        <f aca="false">IF(AND(ROUND(Q226-J226,4)=0,ROUND(R226-K226,1)=0),"✓","✗")</f>
        <v>✓</v>
      </c>
    </row>
    <row r="227" customFormat="false" ht="15" hidden="false" customHeight="false" outlineLevel="0" collapsed="false">
      <c r="A227" s="11" t="s">
        <v>1633</v>
      </c>
      <c r="B227" s="11" t="s">
        <v>29</v>
      </c>
      <c r="C227" s="11" t="s">
        <v>30</v>
      </c>
      <c r="D227" s="11" t="s">
        <v>1337</v>
      </c>
      <c r="E227" s="11" t="s">
        <v>1408</v>
      </c>
      <c r="F227" s="11" t="s">
        <v>269</v>
      </c>
      <c r="G227" s="11" t="n">
        <v>1</v>
      </c>
      <c r="H227" s="34" t="n">
        <v>19.75</v>
      </c>
      <c r="I227" s="34" t="n">
        <v>18.50002</v>
      </c>
      <c r="J227" s="34" t="n">
        <v>1.24998</v>
      </c>
      <c r="K227" s="34" t="n">
        <v>1.2</v>
      </c>
      <c r="L227" s="11" t="s">
        <v>501</v>
      </c>
      <c r="M227" s="11" t="s">
        <v>1250</v>
      </c>
      <c r="N227" s="11" t="s">
        <v>1262</v>
      </c>
      <c r="O227" s="11"/>
      <c r="P227" s="11"/>
      <c r="Q227" s="25" t="n">
        <f aca="false">SUMIFS('Commentary drivers'!$D:$D,'Commentary drivers'!$A:$A,A227)</f>
        <v>1.24998</v>
      </c>
      <c r="R227" s="25" t="n">
        <f aca="false">SUMIFS('Commentary drivers'!$E:$E,'Commentary drivers'!$A:$A,A227)</f>
        <v>1.2</v>
      </c>
      <c r="S227" s="49" t="str">
        <f aca="false">IF(AND(ROUND(Q227-J227,4)=0,ROUND(R227-K227,1)=0),"✓","✗")</f>
        <v>✓</v>
      </c>
    </row>
    <row r="228" customFormat="false" ht="15" hidden="false" customHeight="false" outlineLevel="0" collapsed="false">
      <c r="A228" s="11" t="s">
        <v>1634</v>
      </c>
      <c r="B228" s="11" t="s">
        <v>29</v>
      </c>
      <c r="C228" s="11" t="s">
        <v>30</v>
      </c>
      <c r="D228" s="11" t="s">
        <v>1337</v>
      </c>
      <c r="E228" s="11" t="s">
        <v>1410</v>
      </c>
      <c r="F228" s="11" t="s">
        <v>171</v>
      </c>
      <c r="G228" s="11" t="n">
        <v>0</v>
      </c>
      <c r="H228" s="34" t="n">
        <v>1328.73992</v>
      </c>
      <c r="I228" s="34" t="n">
        <v>1230.42367</v>
      </c>
      <c r="J228" s="34" t="n">
        <v>98.31625</v>
      </c>
      <c r="K228" s="34" t="n">
        <v>98.3</v>
      </c>
      <c r="L228" s="11" t="s">
        <v>502</v>
      </c>
      <c r="M228" s="11" t="s">
        <v>1250</v>
      </c>
      <c r="N228" s="11" t="s">
        <v>1251</v>
      </c>
      <c r="O228" s="11" t="s">
        <v>1252</v>
      </c>
      <c r="P228" s="11" t="s">
        <v>1557</v>
      </c>
      <c r="Q228" s="25" t="n">
        <f aca="false">SUMIFS('Commentary drivers'!$D:$D,'Commentary drivers'!$A:$A,A228)</f>
        <v>98.31625</v>
      </c>
      <c r="R228" s="25" t="n">
        <f aca="false">SUMIFS('Commentary drivers'!$E:$E,'Commentary drivers'!$A:$A,A228)</f>
        <v>98.3</v>
      </c>
      <c r="S228" s="49" t="str">
        <f aca="false">IF(AND(ROUND(Q228-J228,4)=0,ROUND(R228-K228,1)=0),"✓","✗")</f>
        <v>✓</v>
      </c>
    </row>
    <row r="229" customFormat="false" ht="15" hidden="false" customHeight="false" outlineLevel="0" collapsed="false">
      <c r="A229" s="11" t="s">
        <v>1635</v>
      </c>
      <c r="B229" s="11" t="s">
        <v>29</v>
      </c>
      <c r="C229" s="11" t="s">
        <v>30</v>
      </c>
      <c r="D229" s="11" t="s">
        <v>1337</v>
      </c>
      <c r="E229" s="11" t="s">
        <v>1412</v>
      </c>
      <c r="F229" s="11" t="s">
        <v>96</v>
      </c>
      <c r="G229" s="11" t="n">
        <v>0</v>
      </c>
      <c r="H229" s="34" t="n">
        <v>473.201</v>
      </c>
      <c r="I229" s="34" t="n">
        <v>509.205</v>
      </c>
      <c r="J229" s="34" t="n">
        <v>-36.004</v>
      </c>
      <c r="K229" s="34" t="n">
        <v>-36</v>
      </c>
      <c r="L229" s="11" t="s">
        <v>503</v>
      </c>
      <c r="M229" s="11" t="s">
        <v>1250</v>
      </c>
      <c r="N229" s="11" t="s">
        <v>1251</v>
      </c>
      <c r="O229" s="11" t="s">
        <v>1252</v>
      </c>
      <c r="P229" s="11" t="s">
        <v>1557</v>
      </c>
      <c r="Q229" s="25" t="n">
        <f aca="false">SUMIFS('Commentary drivers'!$D:$D,'Commentary drivers'!$A:$A,A229)</f>
        <v>-36.004</v>
      </c>
      <c r="R229" s="25" t="n">
        <f aca="false">SUMIFS('Commentary drivers'!$E:$E,'Commentary drivers'!$A:$A,A229)</f>
        <v>-36</v>
      </c>
      <c r="S229" s="49" t="str">
        <f aca="false">IF(AND(ROUND(Q229-J229,4)=0,ROUND(R229-K229,1)=0),"✓","✗")</f>
        <v>✓</v>
      </c>
    </row>
    <row r="230" customFormat="false" ht="15" hidden="false" customHeight="false" outlineLevel="0" collapsed="false">
      <c r="A230" s="11" t="s">
        <v>1636</v>
      </c>
      <c r="B230" s="11" t="s">
        <v>29</v>
      </c>
      <c r="C230" s="11" t="s">
        <v>30</v>
      </c>
      <c r="D230" s="11" t="s">
        <v>1337</v>
      </c>
      <c r="E230" s="11" t="s">
        <v>1414</v>
      </c>
      <c r="F230" s="11" t="s">
        <v>160</v>
      </c>
      <c r="G230" s="11" t="n">
        <v>0</v>
      </c>
      <c r="H230" s="34" t="n">
        <v>21</v>
      </c>
      <c r="I230" s="34" t="n">
        <v>22.5</v>
      </c>
      <c r="J230" s="34" t="n">
        <v>-1.5</v>
      </c>
      <c r="K230" s="34" t="n">
        <v>-1.5</v>
      </c>
      <c r="L230" s="11" t="s">
        <v>467</v>
      </c>
      <c r="M230" s="11" t="s">
        <v>1250</v>
      </c>
      <c r="N230" s="11" t="s">
        <v>1262</v>
      </c>
      <c r="O230" s="11"/>
      <c r="P230" s="11"/>
      <c r="Q230" s="25" t="n">
        <f aca="false">SUMIFS('Commentary drivers'!$D:$D,'Commentary drivers'!$A:$A,A230)</f>
        <v>-1.5</v>
      </c>
      <c r="R230" s="25" t="n">
        <f aca="false">SUMIFS('Commentary drivers'!$E:$E,'Commentary drivers'!$A:$A,A230)</f>
        <v>-1.5</v>
      </c>
      <c r="S230" s="49" t="str">
        <f aca="false">IF(AND(ROUND(Q230-J230,4)=0,ROUND(R230-K230,1)=0),"✓","✗")</f>
        <v>✓</v>
      </c>
    </row>
    <row r="231" customFormat="false" ht="15" hidden="false" customHeight="false" outlineLevel="0" collapsed="false">
      <c r="A231" s="11" t="s">
        <v>1637</v>
      </c>
      <c r="B231" s="11" t="s">
        <v>29</v>
      </c>
      <c r="C231" s="11" t="s">
        <v>30</v>
      </c>
      <c r="D231" s="11" t="s">
        <v>1337</v>
      </c>
      <c r="E231" s="11" t="s">
        <v>1416</v>
      </c>
      <c r="F231" s="11" t="s">
        <v>161</v>
      </c>
      <c r="G231" s="11" t="n">
        <v>0</v>
      </c>
      <c r="H231" s="34" t="n">
        <v>60</v>
      </c>
      <c r="I231" s="34" t="n">
        <v>60.5</v>
      </c>
      <c r="J231" s="34" t="n">
        <v>-0.5</v>
      </c>
      <c r="K231" s="34" t="n">
        <v>-0.5</v>
      </c>
      <c r="L231" s="11" t="s">
        <v>468</v>
      </c>
      <c r="M231" s="11" t="s">
        <v>1250</v>
      </c>
      <c r="N231" s="11" t="s">
        <v>1262</v>
      </c>
      <c r="O231" s="11"/>
      <c r="P231" s="11"/>
      <c r="Q231" s="25" t="n">
        <f aca="false">SUMIFS('Commentary drivers'!$D:$D,'Commentary drivers'!$A:$A,A231)</f>
        <v>-0.5</v>
      </c>
      <c r="R231" s="25" t="n">
        <f aca="false">SUMIFS('Commentary drivers'!$E:$E,'Commentary drivers'!$A:$A,A231)</f>
        <v>-0.5</v>
      </c>
      <c r="S231" s="49" t="str">
        <f aca="false">IF(AND(ROUND(Q231-J231,4)=0,ROUND(R231-K231,1)=0),"✓","✗")</f>
        <v>✓</v>
      </c>
    </row>
    <row r="232" customFormat="false" ht="15" hidden="false" customHeight="false" outlineLevel="0" collapsed="false">
      <c r="A232" s="11" t="s">
        <v>1638</v>
      </c>
      <c r="B232" s="11" t="s">
        <v>29</v>
      </c>
      <c r="C232" s="11" t="s">
        <v>30</v>
      </c>
      <c r="D232" s="11" t="s">
        <v>1337</v>
      </c>
      <c r="E232" s="11" t="s">
        <v>1418</v>
      </c>
      <c r="F232" s="11" t="s">
        <v>126</v>
      </c>
      <c r="G232" s="11" t="n">
        <v>0</v>
      </c>
      <c r="H232" s="34" t="n">
        <v>75</v>
      </c>
      <c r="I232" s="34" t="n">
        <v>63.5</v>
      </c>
      <c r="J232" s="34" t="n">
        <v>11.5</v>
      </c>
      <c r="K232" s="34" t="n">
        <v>11.5</v>
      </c>
      <c r="L232" s="11" t="s">
        <v>470</v>
      </c>
      <c r="M232" s="11" t="s">
        <v>1250</v>
      </c>
      <c r="N232" s="11" t="s">
        <v>1251</v>
      </c>
      <c r="O232" s="11" t="s">
        <v>1252</v>
      </c>
      <c r="P232" s="11" t="s">
        <v>1557</v>
      </c>
      <c r="Q232" s="25" t="n">
        <f aca="false">SUMIFS('Commentary drivers'!$D:$D,'Commentary drivers'!$A:$A,A232)</f>
        <v>11.5</v>
      </c>
      <c r="R232" s="25" t="n">
        <f aca="false">SUMIFS('Commentary drivers'!$E:$E,'Commentary drivers'!$A:$A,A232)</f>
        <v>11.5</v>
      </c>
      <c r="S232" s="49" t="str">
        <f aca="false">IF(AND(ROUND(Q232-J232,4)=0,ROUND(R232-K232,1)=0),"✓","✗")</f>
        <v>✓</v>
      </c>
    </row>
    <row r="233" customFormat="false" ht="15" hidden="false" customHeight="false" outlineLevel="0" collapsed="false">
      <c r="A233" s="11" t="s">
        <v>1639</v>
      </c>
      <c r="B233" s="11" t="s">
        <v>29</v>
      </c>
      <c r="C233" s="11" t="s">
        <v>30</v>
      </c>
      <c r="D233" s="11" t="s">
        <v>1337</v>
      </c>
      <c r="E233" s="11" t="s">
        <v>1420</v>
      </c>
      <c r="F233" s="11" t="s">
        <v>97</v>
      </c>
      <c r="G233" s="11" t="n">
        <v>0</v>
      </c>
      <c r="H233" s="34" t="n">
        <v>359.201</v>
      </c>
      <c r="I233" s="34" t="n">
        <v>407.705</v>
      </c>
      <c r="J233" s="34" t="n">
        <v>-48.504</v>
      </c>
      <c r="K233" s="34" t="n">
        <v>-48.5</v>
      </c>
      <c r="L233" s="11" t="s">
        <v>504</v>
      </c>
      <c r="M233" s="11" t="s">
        <v>1250</v>
      </c>
      <c r="N233" s="11" t="s">
        <v>1251</v>
      </c>
      <c r="O233" s="11" t="s">
        <v>1252</v>
      </c>
      <c r="P233" s="11" t="s">
        <v>1557</v>
      </c>
      <c r="Q233" s="25" t="n">
        <f aca="false">SUMIFS('Commentary drivers'!$D:$D,'Commentary drivers'!$A:$A,A233)</f>
        <v>-48.504</v>
      </c>
      <c r="R233" s="25" t="n">
        <f aca="false">SUMIFS('Commentary drivers'!$E:$E,'Commentary drivers'!$A:$A,A233)</f>
        <v>-48.5</v>
      </c>
      <c r="S233" s="49" t="str">
        <f aca="false">IF(AND(ROUND(Q233-J233,4)=0,ROUND(R233-K233,1)=0),"✓","✗")</f>
        <v>✓</v>
      </c>
    </row>
    <row r="234" customFormat="false" ht="15" hidden="false" customHeight="false" outlineLevel="0" collapsed="false">
      <c r="A234" s="11" t="s">
        <v>1640</v>
      </c>
      <c r="B234" s="11" t="s">
        <v>29</v>
      </c>
      <c r="C234" s="11" t="s">
        <v>30</v>
      </c>
      <c r="D234" s="11" t="s">
        <v>1422</v>
      </c>
      <c r="E234" s="11" t="s">
        <v>1423</v>
      </c>
      <c r="F234" s="11" t="s">
        <v>312</v>
      </c>
      <c r="G234" s="11" t="n">
        <v>0</v>
      </c>
      <c r="H234" s="34" t="n">
        <v>3991.527</v>
      </c>
      <c r="I234" s="34" t="n">
        <v>3724.337</v>
      </c>
      <c r="J234" s="34" t="n">
        <v>267.19</v>
      </c>
      <c r="K234" s="34" t="n">
        <v>267.2</v>
      </c>
      <c r="L234" s="11" t="s">
        <v>505</v>
      </c>
      <c r="M234" s="11" t="s">
        <v>1250</v>
      </c>
      <c r="N234" s="11" t="s">
        <v>1251</v>
      </c>
      <c r="O234" s="11" t="s">
        <v>1252</v>
      </c>
      <c r="P234" s="11" t="s">
        <v>1557</v>
      </c>
      <c r="Q234" s="25" t="n">
        <f aca="false">SUMIFS('Commentary drivers'!$D:$D,'Commentary drivers'!$A:$A,A234)</f>
        <v>267.19</v>
      </c>
      <c r="R234" s="25" t="n">
        <f aca="false">SUMIFS('Commentary drivers'!$E:$E,'Commentary drivers'!$A:$A,A234)</f>
        <v>267.2</v>
      </c>
      <c r="S234" s="49" t="str">
        <f aca="false">IF(AND(ROUND(Q234-J234,4)=0,ROUND(R234-K234,1)=0),"✓","✗")</f>
        <v>✓</v>
      </c>
    </row>
    <row r="235" customFormat="false" ht="15" hidden="false" customHeight="false" outlineLevel="0" collapsed="false">
      <c r="A235" s="11" t="s">
        <v>1641</v>
      </c>
      <c r="B235" s="11" t="s">
        <v>29</v>
      </c>
      <c r="C235" s="11" t="s">
        <v>30</v>
      </c>
      <c r="D235" s="11" t="s">
        <v>1422</v>
      </c>
      <c r="E235" s="11" t="s">
        <v>1425</v>
      </c>
      <c r="F235" s="11" t="s">
        <v>314</v>
      </c>
      <c r="G235" s="11" t="n">
        <v>1</v>
      </c>
      <c r="H235" s="34" t="n">
        <v>3576.527</v>
      </c>
      <c r="I235" s="34" t="n">
        <v>3444.337</v>
      </c>
      <c r="J235" s="34" t="n">
        <v>132.19</v>
      </c>
      <c r="K235" s="34" t="n">
        <v>132.2</v>
      </c>
      <c r="L235" s="11" t="s">
        <v>433</v>
      </c>
      <c r="M235" s="11" t="s">
        <v>1250</v>
      </c>
      <c r="N235" s="11" t="s">
        <v>1251</v>
      </c>
      <c r="O235" s="11" t="s">
        <v>1252</v>
      </c>
      <c r="P235" s="11" t="s">
        <v>1557</v>
      </c>
      <c r="Q235" s="25" t="n">
        <f aca="false">SUMIFS('Commentary drivers'!$D:$D,'Commentary drivers'!$A:$A,A235)</f>
        <v>132.19</v>
      </c>
      <c r="R235" s="25" t="n">
        <f aca="false">SUMIFS('Commentary drivers'!$E:$E,'Commentary drivers'!$A:$A,A235)</f>
        <v>132.2</v>
      </c>
      <c r="S235" s="49" t="str">
        <f aca="false">IF(AND(ROUND(Q235-J235,4)=0,ROUND(R235-K235,1)=0),"✓","✗")</f>
        <v>✓</v>
      </c>
    </row>
    <row r="236" customFormat="false" ht="15" hidden="false" customHeight="false" outlineLevel="0" collapsed="false">
      <c r="A236" s="11" t="s">
        <v>1642</v>
      </c>
      <c r="B236" s="11" t="s">
        <v>29</v>
      </c>
      <c r="C236" s="11" t="s">
        <v>30</v>
      </c>
      <c r="D236" s="11" t="s">
        <v>1422</v>
      </c>
      <c r="E236" s="11" t="s">
        <v>1427</v>
      </c>
      <c r="F236" s="11" t="s">
        <v>315</v>
      </c>
      <c r="G236" s="11" t="n">
        <v>1</v>
      </c>
      <c r="H236" s="34" t="n">
        <v>415</v>
      </c>
      <c r="I236" s="34" t="n">
        <v>280</v>
      </c>
      <c r="J236" s="34" t="n">
        <v>135</v>
      </c>
      <c r="K236" s="34" t="n">
        <v>135</v>
      </c>
      <c r="L236" s="11" t="s">
        <v>435</v>
      </c>
      <c r="M236" s="11" t="s">
        <v>1250</v>
      </c>
      <c r="N236" s="11" t="s">
        <v>1251</v>
      </c>
      <c r="O236" s="11" t="s">
        <v>1252</v>
      </c>
      <c r="P236" s="11" t="s">
        <v>1557</v>
      </c>
      <c r="Q236" s="25" t="n">
        <f aca="false">SUMIFS('Commentary drivers'!$D:$D,'Commentary drivers'!$A:$A,A236)</f>
        <v>135</v>
      </c>
      <c r="R236" s="25" t="n">
        <f aca="false">SUMIFS('Commentary drivers'!$E:$E,'Commentary drivers'!$A:$A,A236)</f>
        <v>135</v>
      </c>
      <c r="S236" s="49" t="str">
        <f aca="false">IF(AND(ROUND(Q236-J236,4)=0,ROUND(R236-K236,1)=0),"✓","✗")</f>
        <v>✓</v>
      </c>
    </row>
    <row r="237" customFormat="false" ht="15" hidden="false" customHeight="false" outlineLevel="0" collapsed="false">
      <c r="A237" s="11" t="s">
        <v>1643</v>
      </c>
      <c r="B237" s="11" t="s">
        <v>29</v>
      </c>
      <c r="C237" s="11" t="s">
        <v>30</v>
      </c>
      <c r="D237" s="11" t="s">
        <v>1422</v>
      </c>
      <c r="E237" s="11" t="s">
        <v>1429</v>
      </c>
      <c r="F237" s="11" t="s">
        <v>316</v>
      </c>
      <c r="G237" s="11" t="n">
        <v>0</v>
      </c>
      <c r="H237" s="34" t="n">
        <v>2027.326</v>
      </c>
      <c r="I237" s="34" t="n">
        <v>1933.582</v>
      </c>
      <c r="J237" s="34" t="n">
        <v>93.744</v>
      </c>
      <c r="K237" s="34" t="n">
        <v>93.7</v>
      </c>
      <c r="L237" s="11" t="s">
        <v>506</v>
      </c>
      <c r="M237" s="11" t="s">
        <v>1250</v>
      </c>
      <c r="N237" s="11" t="s">
        <v>1251</v>
      </c>
      <c r="O237" s="11" t="s">
        <v>1252</v>
      </c>
      <c r="P237" s="11" t="s">
        <v>1557</v>
      </c>
      <c r="Q237" s="25" t="n">
        <f aca="false">SUMIFS('Commentary drivers'!$D:$D,'Commentary drivers'!$A:$A,A237)</f>
        <v>93.744</v>
      </c>
      <c r="R237" s="25" t="n">
        <f aca="false">SUMIFS('Commentary drivers'!$E:$E,'Commentary drivers'!$A:$A,A237)</f>
        <v>93.7</v>
      </c>
      <c r="S237" s="49" t="str">
        <f aca="false">IF(AND(ROUND(Q237-J237,4)=0,ROUND(R237-K237,1)=0),"✓","✗")</f>
        <v>✓</v>
      </c>
    </row>
    <row r="238" customFormat="false" ht="15" hidden="false" customHeight="false" outlineLevel="0" collapsed="false">
      <c r="A238" s="11" t="s">
        <v>1644</v>
      </c>
      <c r="B238" s="11" t="s">
        <v>29</v>
      </c>
      <c r="C238" s="11" t="s">
        <v>30</v>
      </c>
      <c r="D238" s="11" t="s">
        <v>1422</v>
      </c>
      <c r="E238" s="11" t="s">
        <v>1431</v>
      </c>
      <c r="F238" s="11" t="s">
        <v>192</v>
      </c>
      <c r="G238" s="11" t="n">
        <v>1</v>
      </c>
      <c r="H238" s="34" t="n">
        <v>772.071</v>
      </c>
      <c r="I238" s="34" t="n">
        <v>732.284</v>
      </c>
      <c r="J238" s="34" t="n">
        <v>39.787</v>
      </c>
      <c r="K238" s="34" t="n">
        <v>39.8</v>
      </c>
      <c r="L238" s="11" t="s">
        <v>507</v>
      </c>
      <c r="M238" s="11" t="s">
        <v>1250</v>
      </c>
      <c r="N238" s="11" t="s">
        <v>1251</v>
      </c>
      <c r="O238" s="11" t="s">
        <v>1252</v>
      </c>
      <c r="P238" s="11" t="s">
        <v>1557</v>
      </c>
      <c r="Q238" s="25" t="n">
        <f aca="false">SUMIFS('Commentary drivers'!$D:$D,'Commentary drivers'!$A:$A,A238)</f>
        <v>39.787</v>
      </c>
      <c r="R238" s="25" t="n">
        <f aca="false">SUMIFS('Commentary drivers'!$E:$E,'Commentary drivers'!$A:$A,A238)</f>
        <v>39.8</v>
      </c>
      <c r="S238" s="49" t="str">
        <f aca="false">IF(AND(ROUND(Q238-J238,4)=0,ROUND(R238-K238,1)=0),"✓","✗")</f>
        <v>✓</v>
      </c>
    </row>
    <row r="239" customFormat="false" ht="15" hidden="false" customHeight="false" outlineLevel="0" collapsed="false">
      <c r="A239" s="11" t="s">
        <v>1645</v>
      </c>
      <c r="B239" s="11" t="s">
        <v>29</v>
      </c>
      <c r="C239" s="11" t="s">
        <v>30</v>
      </c>
      <c r="D239" s="11" t="s">
        <v>1422</v>
      </c>
      <c r="E239" s="11" t="s">
        <v>1433</v>
      </c>
      <c r="F239" s="11" t="s">
        <v>195</v>
      </c>
      <c r="G239" s="11" t="n">
        <v>1</v>
      </c>
      <c r="H239" s="34" t="n">
        <v>246.553</v>
      </c>
      <c r="I239" s="34" t="n">
        <v>254.112</v>
      </c>
      <c r="J239" s="34" t="n">
        <v>-7.559</v>
      </c>
      <c r="K239" s="34" t="n">
        <v>-7.6</v>
      </c>
      <c r="L239" s="11" t="s">
        <v>508</v>
      </c>
      <c r="M239" s="11" t="s">
        <v>1250</v>
      </c>
      <c r="N239" s="11" t="s">
        <v>1262</v>
      </c>
      <c r="O239" s="11"/>
      <c r="P239" s="11"/>
      <c r="Q239" s="25" t="n">
        <f aca="false">SUMIFS('Commentary drivers'!$D:$D,'Commentary drivers'!$A:$A,A239)</f>
        <v>-7.559</v>
      </c>
      <c r="R239" s="25" t="n">
        <f aca="false">SUMIFS('Commentary drivers'!$E:$E,'Commentary drivers'!$A:$A,A239)</f>
        <v>-7.6</v>
      </c>
      <c r="S239" s="49" t="str">
        <f aca="false">IF(AND(ROUND(Q239-J239,4)=0,ROUND(R239-K239,1)=0),"✓","✗")</f>
        <v>✓</v>
      </c>
    </row>
    <row r="240" customFormat="false" ht="15" hidden="false" customHeight="false" outlineLevel="0" collapsed="false">
      <c r="A240" s="11" t="s">
        <v>1646</v>
      </c>
      <c r="B240" s="11" t="s">
        <v>29</v>
      </c>
      <c r="C240" s="11" t="s">
        <v>30</v>
      </c>
      <c r="D240" s="11" t="s">
        <v>1422</v>
      </c>
      <c r="E240" s="11" t="s">
        <v>1435</v>
      </c>
      <c r="F240" s="11" t="s">
        <v>198</v>
      </c>
      <c r="G240" s="11" t="n">
        <v>1</v>
      </c>
      <c r="H240" s="34" t="n">
        <v>304.269</v>
      </c>
      <c r="I240" s="34" t="n">
        <v>289.652</v>
      </c>
      <c r="J240" s="34" t="n">
        <v>14.617</v>
      </c>
      <c r="K240" s="34" t="n">
        <v>14.6</v>
      </c>
      <c r="L240" s="11" t="s">
        <v>441</v>
      </c>
      <c r="M240" s="11" t="s">
        <v>1250</v>
      </c>
      <c r="N240" s="11" t="s">
        <v>1251</v>
      </c>
      <c r="O240" s="11" t="s">
        <v>1252</v>
      </c>
      <c r="P240" s="11" t="s">
        <v>1557</v>
      </c>
      <c r="Q240" s="25" t="n">
        <f aca="false">SUMIFS('Commentary drivers'!$D:$D,'Commentary drivers'!$A:$A,A240)</f>
        <v>14.617</v>
      </c>
      <c r="R240" s="25" t="n">
        <f aca="false">SUMIFS('Commentary drivers'!$E:$E,'Commentary drivers'!$A:$A,A240)</f>
        <v>14.6</v>
      </c>
      <c r="S240" s="49" t="str">
        <f aca="false">IF(AND(ROUND(Q240-J240,4)=0,ROUND(R240-K240,1)=0),"✓","✗")</f>
        <v>✓</v>
      </c>
    </row>
    <row r="241" customFormat="false" ht="15" hidden="false" customHeight="false" outlineLevel="0" collapsed="false">
      <c r="A241" s="11" t="s">
        <v>1647</v>
      </c>
      <c r="B241" s="11" t="s">
        <v>29</v>
      </c>
      <c r="C241" s="11" t="s">
        <v>30</v>
      </c>
      <c r="D241" s="11" t="s">
        <v>1422</v>
      </c>
      <c r="E241" s="11" t="s">
        <v>1437</v>
      </c>
      <c r="F241" s="11" t="s">
        <v>323</v>
      </c>
      <c r="G241" s="11" t="n">
        <v>1</v>
      </c>
      <c r="H241" s="34" t="n">
        <v>239.112</v>
      </c>
      <c r="I241" s="34" t="n">
        <v>239.188</v>
      </c>
      <c r="J241" s="34" t="n">
        <v>-0.076</v>
      </c>
      <c r="K241" s="34" t="n">
        <v>-0.1</v>
      </c>
      <c r="L241" s="11" t="s">
        <v>509</v>
      </c>
      <c r="M241" s="11" t="s">
        <v>1250</v>
      </c>
      <c r="N241" s="11" t="s">
        <v>1262</v>
      </c>
      <c r="O241" s="11"/>
      <c r="P241" s="11"/>
      <c r="Q241" s="25" t="n">
        <f aca="false">SUMIFS('Commentary drivers'!$D:$D,'Commentary drivers'!$A:$A,A241)</f>
        <v>-0.076</v>
      </c>
      <c r="R241" s="25" t="n">
        <f aca="false">SUMIFS('Commentary drivers'!$E:$E,'Commentary drivers'!$A:$A,A241)</f>
        <v>-0.1</v>
      </c>
      <c r="S241" s="49" t="str">
        <f aca="false">IF(AND(ROUND(Q241-J241,4)=0,ROUND(R241-K241,1)=0),"✓","✗")</f>
        <v>✓</v>
      </c>
    </row>
    <row r="242" customFormat="false" ht="15" hidden="false" customHeight="false" outlineLevel="0" collapsed="false">
      <c r="A242" s="11" t="s">
        <v>1648</v>
      </c>
      <c r="B242" s="11" t="s">
        <v>29</v>
      </c>
      <c r="C242" s="11" t="s">
        <v>30</v>
      </c>
      <c r="D242" s="11" t="s">
        <v>1422</v>
      </c>
      <c r="E242" s="11" t="s">
        <v>1439</v>
      </c>
      <c r="F242" s="11" t="s">
        <v>225</v>
      </c>
      <c r="G242" s="11" t="n">
        <v>1</v>
      </c>
      <c r="H242" s="34" t="n">
        <v>465.321</v>
      </c>
      <c r="I242" s="34" t="n">
        <v>418.346</v>
      </c>
      <c r="J242" s="34" t="n">
        <v>46.975</v>
      </c>
      <c r="K242" s="34" t="n">
        <v>47</v>
      </c>
      <c r="L242" s="11" t="s">
        <v>454</v>
      </c>
      <c r="M242" s="11" t="s">
        <v>1250</v>
      </c>
      <c r="N242" s="11" t="s">
        <v>1251</v>
      </c>
      <c r="O242" s="11" t="s">
        <v>1252</v>
      </c>
      <c r="P242" s="11" t="s">
        <v>1557</v>
      </c>
      <c r="Q242" s="25" t="n">
        <f aca="false">SUMIFS('Commentary drivers'!$D:$D,'Commentary drivers'!$A:$A,A242)</f>
        <v>46.975</v>
      </c>
      <c r="R242" s="25" t="n">
        <f aca="false">SUMIFS('Commentary drivers'!$E:$E,'Commentary drivers'!$A:$A,A242)</f>
        <v>47</v>
      </c>
      <c r="S242" s="49" t="str">
        <f aca="false">IF(AND(ROUND(Q242-J242,4)=0,ROUND(R242-K242,1)=0),"✓","✗")</f>
        <v>✓</v>
      </c>
    </row>
    <row r="243" customFormat="false" ht="15" hidden="false" customHeight="false" outlineLevel="0" collapsed="false">
      <c r="A243" s="11" t="s">
        <v>1649</v>
      </c>
      <c r="B243" s="11" t="s">
        <v>29</v>
      </c>
      <c r="C243" s="11" t="s">
        <v>30</v>
      </c>
      <c r="D243" s="11" t="s">
        <v>1422</v>
      </c>
      <c r="E243" s="11" t="s">
        <v>1441</v>
      </c>
      <c r="F243" s="11" t="s">
        <v>325</v>
      </c>
      <c r="G243" s="11" t="n">
        <v>0</v>
      </c>
      <c r="H243" s="34" t="n">
        <v>544</v>
      </c>
      <c r="I243" s="34" t="n">
        <v>487.9</v>
      </c>
      <c r="J243" s="34" t="n">
        <v>56.1</v>
      </c>
      <c r="K243" s="34" t="n">
        <v>56.1</v>
      </c>
      <c r="L243" s="11" t="s">
        <v>510</v>
      </c>
      <c r="M243" s="11" t="s">
        <v>1250</v>
      </c>
      <c r="N243" s="11" t="s">
        <v>1251</v>
      </c>
      <c r="O243" s="11" t="s">
        <v>1252</v>
      </c>
      <c r="P243" s="11" t="s">
        <v>1557</v>
      </c>
      <c r="Q243" s="25" t="n">
        <f aca="false">SUMIFS('Commentary drivers'!$D:$D,'Commentary drivers'!$A:$A,A243)</f>
        <v>56.1</v>
      </c>
      <c r="R243" s="25" t="n">
        <f aca="false">SUMIFS('Commentary drivers'!$E:$E,'Commentary drivers'!$A:$A,A243)</f>
        <v>56.1</v>
      </c>
      <c r="S243" s="49" t="str">
        <f aca="false">IF(AND(ROUND(Q243-J243,4)=0,ROUND(R243-K243,1)=0),"✓","✗")</f>
        <v>✓</v>
      </c>
    </row>
    <row r="244" customFormat="false" ht="15" hidden="false" customHeight="false" outlineLevel="0" collapsed="false">
      <c r="A244" s="11" t="s">
        <v>1650</v>
      </c>
      <c r="B244" s="11" t="s">
        <v>29</v>
      </c>
      <c r="C244" s="11" t="s">
        <v>30</v>
      </c>
      <c r="D244" s="11" t="s">
        <v>1422</v>
      </c>
      <c r="E244" s="11" t="s">
        <v>1443</v>
      </c>
      <c r="F244" s="11" t="s">
        <v>189</v>
      </c>
      <c r="G244" s="11" t="n">
        <v>1</v>
      </c>
      <c r="H244" s="34" t="n">
        <v>388</v>
      </c>
      <c r="I244" s="34" t="n">
        <v>343.1</v>
      </c>
      <c r="J244" s="34" t="n">
        <v>44.9</v>
      </c>
      <c r="K244" s="34" t="n">
        <v>44.9</v>
      </c>
      <c r="L244" s="11" t="s">
        <v>511</v>
      </c>
      <c r="M244" s="11" t="s">
        <v>1250</v>
      </c>
      <c r="N244" s="11" t="s">
        <v>1251</v>
      </c>
      <c r="O244" s="11" t="s">
        <v>1252</v>
      </c>
      <c r="P244" s="11" t="s">
        <v>1557</v>
      </c>
      <c r="Q244" s="25" t="n">
        <f aca="false">SUMIFS('Commentary drivers'!$D:$D,'Commentary drivers'!$A:$A,A244)</f>
        <v>44.9</v>
      </c>
      <c r="R244" s="25" t="n">
        <f aca="false">SUMIFS('Commentary drivers'!$E:$E,'Commentary drivers'!$A:$A,A244)</f>
        <v>44.9</v>
      </c>
      <c r="S244" s="49" t="str">
        <f aca="false">IF(AND(ROUND(Q244-J244,4)=0,ROUND(R244-K244,1)=0),"✓","✗")</f>
        <v>✓</v>
      </c>
    </row>
    <row r="245" customFormat="false" ht="15" hidden="false" customHeight="false" outlineLevel="0" collapsed="false">
      <c r="A245" s="11" t="s">
        <v>1651</v>
      </c>
      <c r="B245" s="11" t="s">
        <v>29</v>
      </c>
      <c r="C245" s="11" t="s">
        <v>30</v>
      </c>
      <c r="D245" s="11" t="s">
        <v>1422</v>
      </c>
      <c r="E245" s="11" t="s">
        <v>1445</v>
      </c>
      <c r="F245" s="11" t="s">
        <v>201</v>
      </c>
      <c r="G245" s="11" t="n">
        <v>1</v>
      </c>
      <c r="H245" s="34" t="n">
        <v>156</v>
      </c>
      <c r="I245" s="34" t="n">
        <v>144.8</v>
      </c>
      <c r="J245" s="34" t="n">
        <v>11.2</v>
      </c>
      <c r="K245" s="34" t="n">
        <v>11.2</v>
      </c>
      <c r="L245" s="11" t="s">
        <v>512</v>
      </c>
      <c r="M245" s="11" t="s">
        <v>1250</v>
      </c>
      <c r="N245" s="11" t="s">
        <v>1251</v>
      </c>
      <c r="O245" s="11" t="s">
        <v>1252</v>
      </c>
      <c r="P245" s="11" t="s">
        <v>1557</v>
      </c>
      <c r="Q245" s="25" t="n">
        <f aca="false">SUMIFS('Commentary drivers'!$D:$D,'Commentary drivers'!$A:$A,A245)</f>
        <v>11.2</v>
      </c>
      <c r="R245" s="25" t="n">
        <f aca="false">SUMIFS('Commentary drivers'!$E:$E,'Commentary drivers'!$A:$A,A245)</f>
        <v>11.2</v>
      </c>
      <c r="S245" s="49" t="str">
        <f aca="false">IF(AND(ROUND(Q245-J245,4)=0,ROUND(R245-K245,1)=0),"✓","✗")</f>
        <v>✓</v>
      </c>
    </row>
    <row r="246" customFormat="false" ht="15" hidden="false" customHeight="false" outlineLevel="0" collapsed="false">
      <c r="A246" s="11" t="s">
        <v>1652</v>
      </c>
      <c r="B246" s="11" t="s">
        <v>29</v>
      </c>
      <c r="C246" s="11" t="s">
        <v>30</v>
      </c>
      <c r="D246" s="11" t="s">
        <v>1422</v>
      </c>
      <c r="E246" s="11" t="s">
        <v>1447</v>
      </c>
      <c r="F246" s="11" t="s">
        <v>331</v>
      </c>
      <c r="G246" s="11" t="n">
        <v>0</v>
      </c>
      <c r="H246" s="34" t="n">
        <v>592</v>
      </c>
      <c r="I246" s="34" t="n">
        <v>461.15</v>
      </c>
      <c r="J246" s="34" t="n">
        <v>130.85</v>
      </c>
      <c r="K246" s="34" t="n">
        <v>130.9</v>
      </c>
      <c r="L246" s="11" t="s">
        <v>513</v>
      </c>
      <c r="M246" s="11" t="s">
        <v>1250</v>
      </c>
      <c r="N246" s="11" t="s">
        <v>1251</v>
      </c>
      <c r="O246" s="11" t="s">
        <v>1252</v>
      </c>
      <c r="P246" s="11" t="s">
        <v>1557</v>
      </c>
      <c r="Q246" s="25" t="n">
        <f aca="false">SUMIFS('Commentary drivers'!$D:$D,'Commentary drivers'!$A:$A,A246)</f>
        <v>130.85</v>
      </c>
      <c r="R246" s="25" t="n">
        <f aca="false">SUMIFS('Commentary drivers'!$E:$E,'Commentary drivers'!$A:$A,A246)</f>
        <v>130.9</v>
      </c>
      <c r="S246" s="49" t="str">
        <f aca="false">IF(AND(ROUND(Q246-J246,4)=0,ROUND(R246-K246,1)=0),"✓","✗")</f>
        <v>✓</v>
      </c>
    </row>
    <row r="247" customFormat="false" ht="15" hidden="false" customHeight="false" outlineLevel="0" collapsed="false">
      <c r="A247" s="11" t="s">
        <v>1653</v>
      </c>
      <c r="B247" s="11" t="s">
        <v>29</v>
      </c>
      <c r="C247" s="11" t="s">
        <v>30</v>
      </c>
      <c r="D247" s="11" t="s">
        <v>1422</v>
      </c>
      <c r="E247" s="11" t="s">
        <v>1449</v>
      </c>
      <c r="F247" s="11" t="s">
        <v>230</v>
      </c>
      <c r="G247" s="11" t="n">
        <v>1</v>
      </c>
      <c r="H247" s="34" t="n">
        <v>240</v>
      </c>
      <c r="I247" s="34" t="n">
        <v>154.55</v>
      </c>
      <c r="J247" s="34" t="n">
        <v>85.45</v>
      </c>
      <c r="K247" s="34" t="n">
        <v>85.5</v>
      </c>
      <c r="L247" s="11" t="s">
        <v>456</v>
      </c>
      <c r="M247" s="11" t="s">
        <v>1250</v>
      </c>
      <c r="N247" s="11" t="s">
        <v>1251</v>
      </c>
      <c r="O247" s="11" t="s">
        <v>1252</v>
      </c>
      <c r="P247" s="11" t="s">
        <v>1557</v>
      </c>
      <c r="Q247" s="25" t="n">
        <f aca="false">SUMIFS('Commentary drivers'!$D:$D,'Commentary drivers'!$A:$A,A247)</f>
        <v>85.45</v>
      </c>
      <c r="R247" s="25" t="n">
        <f aca="false">SUMIFS('Commentary drivers'!$E:$E,'Commentary drivers'!$A:$A,A247)</f>
        <v>85.5</v>
      </c>
      <c r="S247" s="49" t="str">
        <f aca="false">IF(AND(ROUND(Q247-J247,4)=0,ROUND(R247-K247,1)=0),"✓","✗")</f>
        <v>✓</v>
      </c>
    </row>
    <row r="248" customFormat="false" ht="15" hidden="false" customHeight="false" outlineLevel="0" collapsed="false">
      <c r="A248" s="11" t="s">
        <v>1654</v>
      </c>
      <c r="B248" s="11" t="s">
        <v>29</v>
      </c>
      <c r="C248" s="11" t="s">
        <v>30</v>
      </c>
      <c r="D248" s="11" t="s">
        <v>1422</v>
      </c>
      <c r="E248" s="11" t="s">
        <v>1451</v>
      </c>
      <c r="F248" s="11" t="s">
        <v>242</v>
      </c>
      <c r="G248" s="11" t="n">
        <v>1</v>
      </c>
      <c r="H248" s="34" t="n">
        <v>352</v>
      </c>
      <c r="I248" s="34" t="n">
        <v>306.6</v>
      </c>
      <c r="J248" s="34" t="n">
        <v>45.4</v>
      </c>
      <c r="K248" s="34" t="n">
        <v>45.4</v>
      </c>
      <c r="L248" s="11" t="s">
        <v>462</v>
      </c>
      <c r="M248" s="11" t="s">
        <v>1315</v>
      </c>
      <c r="N248" s="11" t="s">
        <v>1251</v>
      </c>
      <c r="O248" s="11" t="s">
        <v>1252</v>
      </c>
      <c r="P248" s="11" t="s">
        <v>1557</v>
      </c>
      <c r="Q248" s="25" t="n">
        <f aca="false">SUMIFS('Commentary drivers'!$D:$D,'Commentary drivers'!$A:$A,A248)</f>
        <v>45.4</v>
      </c>
      <c r="R248" s="25" t="n">
        <f aca="false">SUMIFS('Commentary drivers'!$E:$E,'Commentary drivers'!$A:$A,A248)</f>
        <v>45.4</v>
      </c>
      <c r="S248" s="49" t="str">
        <f aca="false">IF(AND(ROUND(Q248-J248,4)=0,ROUND(R248-K248,1)=0),"✓","✗")</f>
        <v>✓</v>
      </c>
    </row>
    <row r="249" customFormat="false" ht="15" hidden="false" customHeight="false" outlineLevel="0" collapsed="false">
      <c r="A249" s="11" t="s">
        <v>1655</v>
      </c>
      <c r="B249" s="11" t="s">
        <v>29</v>
      </c>
      <c r="C249" s="11" t="s">
        <v>30</v>
      </c>
      <c r="D249" s="11" t="s">
        <v>1422</v>
      </c>
      <c r="E249" s="11" t="s">
        <v>1453</v>
      </c>
      <c r="F249" s="11" t="s">
        <v>334</v>
      </c>
      <c r="G249" s="11" t="n">
        <v>0</v>
      </c>
      <c r="H249" s="34" t="n">
        <v>355</v>
      </c>
      <c r="I249" s="34" t="n">
        <v>332.5</v>
      </c>
      <c r="J249" s="34" t="n">
        <v>22.5</v>
      </c>
      <c r="K249" s="34" t="n">
        <v>22.5</v>
      </c>
      <c r="L249" s="11" t="s">
        <v>514</v>
      </c>
      <c r="M249" s="11" t="s">
        <v>1250</v>
      </c>
      <c r="N249" s="11" t="s">
        <v>1251</v>
      </c>
      <c r="O249" s="11" t="s">
        <v>1252</v>
      </c>
      <c r="P249" s="11" t="s">
        <v>1557</v>
      </c>
      <c r="Q249" s="25" t="n">
        <f aca="false">SUMIFS('Commentary drivers'!$D:$D,'Commentary drivers'!$A:$A,A249)</f>
        <v>22.5</v>
      </c>
      <c r="R249" s="25" t="n">
        <f aca="false">SUMIFS('Commentary drivers'!$E:$E,'Commentary drivers'!$A:$A,A249)</f>
        <v>22.5</v>
      </c>
      <c r="S249" s="49" t="str">
        <f aca="false">IF(AND(ROUND(Q249-J249,4)=0,ROUND(R249-K249,1)=0),"✓","✗")</f>
        <v>✓</v>
      </c>
    </row>
    <row r="250" customFormat="false" ht="15" hidden="false" customHeight="false" outlineLevel="0" collapsed="false">
      <c r="A250" s="11" t="s">
        <v>1656</v>
      </c>
      <c r="B250" s="11" t="s">
        <v>29</v>
      </c>
      <c r="C250" s="11" t="s">
        <v>30</v>
      </c>
      <c r="D250" s="11" t="s">
        <v>1422</v>
      </c>
      <c r="E250" s="11" t="s">
        <v>1455</v>
      </c>
      <c r="F250" s="11" t="s">
        <v>233</v>
      </c>
      <c r="G250" s="11" t="n">
        <v>1</v>
      </c>
      <c r="H250" s="34" t="n">
        <v>79</v>
      </c>
      <c r="I250" s="34" t="n">
        <v>72.5</v>
      </c>
      <c r="J250" s="34" t="n">
        <v>6.5</v>
      </c>
      <c r="K250" s="34" t="n">
        <v>6.5</v>
      </c>
      <c r="L250" s="11" t="s">
        <v>457</v>
      </c>
      <c r="M250" s="11" t="s">
        <v>1250</v>
      </c>
      <c r="N250" s="11" t="s">
        <v>1262</v>
      </c>
      <c r="O250" s="11"/>
      <c r="P250" s="11"/>
      <c r="Q250" s="25" t="n">
        <f aca="false">SUMIFS('Commentary drivers'!$D:$D,'Commentary drivers'!$A:$A,A250)</f>
        <v>6.5</v>
      </c>
      <c r="R250" s="25" t="n">
        <f aca="false">SUMIFS('Commentary drivers'!$E:$E,'Commentary drivers'!$A:$A,A250)</f>
        <v>6.5</v>
      </c>
      <c r="S250" s="49" t="str">
        <f aca="false">IF(AND(ROUND(Q250-J250,4)=0,ROUND(R250-K250,1)=0),"✓","✗")</f>
        <v>✓</v>
      </c>
    </row>
    <row r="251" customFormat="false" ht="15" hidden="false" customHeight="false" outlineLevel="0" collapsed="false">
      <c r="A251" s="11" t="s">
        <v>1657</v>
      </c>
      <c r="B251" s="11" t="s">
        <v>29</v>
      </c>
      <c r="C251" s="11" t="s">
        <v>30</v>
      </c>
      <c r="D251" s="11" t="s">
        <v>1422</v>
      </c>
      <c r="E251" s="11" t="s">
        <v>1457</v>
      </c>
      <c r="F251" s="11" t="s">
        <v>204</v>
      </c>
      <c r="G251" s="11" t="n">
        <v>1</v>
      </c>
      <c r="H251" s="34" t="n">
        <v>118</v>
      </c>
      <c r="I251" s="34" t="n">
        <v>112</v>
      </c>
      <c r="J251" s="34" t="n">
        <v>6</v>
      </c>
      <c r="K251" s="34" t="n">
        <v>6</v>
      </c>
      <c r="L251" s="11" t="s">
        <v>515</v>
      </c>
      <c r="M251" s="11" t="s">
        <v>1250</v>
      </c>
      <c r="N251" s="11" t="s">
        <v>1262</v>
      </c>
      <c r="O251" s="11"/>
      <c r="P251" s="11"/>
      <c r="Q251" s="25" t="n">
        <f aca="false">SUMIFS('Commentary drivers'!$D:$D,'Commentary drivers'!$A:$A,A251)</f>
        <v>6</v>
      </c>
      <c r="R251" s="25" t="n">
        <f aca="false">SUMIFS('Commentary drivers'!$E:$E,'Commentary drivers'!$A:$A,A251)</f>
        <v>6</v>
      </c>
      <c r="S251" s="49" t="str">
        <f aca="false">IF(AND(ROUND(Q251-J251,4)=0,ROUND(R251-K251,1)=0),"✓","✗")</f>
        <v>✓</v>
      </c>
    </row>
    <row r="252" customFormat="false" ht="15" hidden="false" customHeight="false" outlineLevel="0" collapsed="false">
      <c r="A252" s="11" t="s">
        <v>1658</v>
      </c>
      <c r="B252" s="11" t="s">
        <v>29</v>
      </c>
      <c r="C252" s="11" t="s">
        <v>30</v>
      </c>
      <c r="D252" s="11" t="s">
        <v>1422</v>
      </c>
      <c r="E252" s="11" t="s">
        <v>1459</v>
      </c>
      <c r="F252" s="11" t="s">
        <v>207</v>
      </c>
      <c r="G252" s="11" t="n">
        <v>1</v>
      </c>
      <c r="H252" s="34" t="n">
        <v>158</v>
      </c>
      <c r="I252" s="34" t="n">
        <v>148</v>
      </c>
      <c r="J252" s="34" t="n">
        <v>10</v>
      </c>
      <c r="K252" s="34" t="n">
        <v>10</v>
      </c>
      <c r="L252" s="11" t="s">
        <v>516</v>
      </c>
      <c r="M252" s="11" t="s">
        <v>1250</v>
      </c>
      <c r="N252" s="11" t="s">
        <v>1251</v>
      </c>
      <c r="O252" s="11" t="s">
        <v>1252</v>
      </c>
      <c r="P252" s="11" t="s">
        <v>1557</v>
      </c>
      <c r="Q252" s="25" t="n">
        <f aca="false">SUMIFS('Commentary drivers'!$D:$D,'Commentary drivers'!$A:$A,A252)</f>
        <v>10</v>
      </c>
      <c r="R252" s="25" t="n">
        <f aca="false">SUMIFS('Commentary drivers'!$E:$E,'Commentary drivers'!$A:$A,A252)</f>
        <v>10</v>
      </c>
      <c r="S252" s="49" t="str">
        <f aca="false">IF(AND(ROUND(Q252-J252,4)=0,ROUND(R252-K252,1)=0),"✓","✗")</f>
        <v>✓</v>
      </c>
    </row>
    <row r="253" customFormat="false" ht="15" hidden="false" customHeight="false" outlineLevel="0" collapsed="false">
      <c r="A253" s="11" t="s">
        <v>1659</v>
      </c>
      <c r="B253" s="11" t="s">
        <v>29</v>
      </c>
      <c r="C253" s="11" t="s">
        <v>30</v>
      </c>
      <c r="D253" s="11" t="s">
        <v>1422</v>
      </c>
      <c r="E253" s="11" t="s">
        <v>1461</v>
      </c>
      <c r="F253" s="11" t="s">
        <v>339</v>
      </c>
      <c r="G253" s="11" t="n">
        <v>0</v>
      </c>
      <c r="H253" s="34" t="n">
        <v>3518.326</v>
      </c>
      <c r="I253" s="34" t="n">
        <v>3215.132</v>
      </c>
      <c r="J253" s="34" t="n">
        <v>303.194</v>
      </c>
      <c r="K253" s="34" t="n">
        <v>303.2</v>
      </c>
      <c r="L253" s="11" t="s">
        <v>517</v>
      </c>
      <c r="M253" s="11" t="s">
        <v>1250</v>
      </c>
      <c r="N253" s="11" t="s">
        <v>1251</v>
      </c>
      <c r="O253" s="11" t="s">
        <v>1252</v>
      </c>
      <c r="P253" s="11" t="s">
        <v>1557</v>
      </c>
      <c r="Q253" s="25" t="n">
        <f aca="false">SUMIFS('Commentary drivers'!$D:$D,'Commentary drivers'!$A:$A,A253)</f>
        <v>303.194</v>
      </c>
      <c r="R253" s="25" t="n">
        <f aca="false">SUMIFS('Commentary drivers'!$E:$E,'Commentary drivers'!$A:$A,A253)</f>
        <v>303.2</v>
      </c>
      <c r="S253" s="49" t="str">
        <f aca="false">IF(AND(ROUND(Q253-J253,4)=0,ROUND(R253-K253,1)=0),"✓","✗")</f>
        <v>✓</v>
      </c>
    </row>
    <row r="254" customFormat="false" ht="15" hidden="false" customHeight="false" outlineLevel="0" collapsed="false">
      <c r="A254" s="11" t="s">
        <v>1660</v>
      </c>
      <c r="B254" s="11" t="s">
        <v>29</v>
      </c>
      <c r="C254" s="11" t="s">
        <v>30</v>
      </c>
      <c r="D254" s="11" t="s">
        <v>1422</v>
      </c>
      <c r="E254" s="11" t="s">
        <v>1463</v>
      </c>
      <c r="F254" s="11" t="s">
        <v>96</v>
      </c>
      <c r="G254" s="11" t="n">
        <v>0</v>
      </c>
      <c r="H254" s="34" t="n">
        <v>473.201</v>
      </c>
      <c r="I254" s="34" t="n">
        <v>509.205</v>
      </c>
      <c r="J254" s="34" t="n">
        <v>-36.004</v>
      </c>
      <c r="K254" s="34" t="n">
        <v>-36</v>
      </c>
      <c r="L254" s="11" t="s">
        <v>518</v>
      </c>
      <c r="M254" s="11" t="s">
        <v>1250</v>
      </c>
      <c r="N254" s="11" t="s">
        <v>1251</v>
      </c>
      <c r="O254" s="11" t="s">
        <v>1252</v>
      </c>
      <c r="P254" s="11" t="s">
        <v>1557</v>
      </c>
      <c r="Q254" s="25" t="n">
        <f aca="false">SUMIFS('Commentary drivers'!$D:$D,'Commentary drivers'!$A:$A,A254)</f>
        <v>-36.004</v>
      </c>
      <c r="R254" s="25" t="n">
        <f aca="false">SUMIFS('Commentary drivers'!$E:$E,'Commentary drivers'!$A:$A,A254)</f>
        <v>-36</v>
      </c>
      <c r="S254" s="49" t="str">
        <f aca="false">IF(AND(ROUND(Q254-J254,4)=0,ROUND(R254-K254,1)=0),"✓","✗")</f>
        <v>✓</v>
      </c>
    </row>
    <row r="255" customFormat="false" ht="15" hidden="false" customHeight="false" outlineLevel="0" collapsed="false">
      <c r="A255" s="11" t="s">
        <v>1661</v>
      </c>
      <c r="B255" s="11" t="s">
        <v>29</v>
      </c>
      <c r="C255" s="11" t="s">
        <v>30</v>
      </c>
      <c r="D255" s="11" t="s">
        <v>1422</v>
      </c>
      <c r="E255" s="11" t="s">
        <v>1465</v>
      </c>
      <c r="F255" s="11" t="s">
        <v>343</v>
      </c>
      <c r="G255" s="11" t="n">
        <v>0</v>
      </c>
      <c r="H255" s="34" t="n">
        <v>-39</v>
      </c>
      <c r="I255" s="34" t="n">
        <v>-38</v>
      </c>
      <c r="J255" s="34" t="n">
        <v>-1</v>
      </c>
      <c r="K255" s="34" t="n">
        <v>-1</v>
      </c>
      <c r="L255" s="11" t="s">
        <v>519</v>
      </c>
      <c r="M255" s="11" t="s">
        <v>1250</v>
      </c>
      <c r="N255" s="11" t="s">
        <v>1251</v>
      </c>
      <c r="O255" s="11" t="s">
        <v>1252</v>
      </c>
      <c r="P255" s="11" t="s">
        <v>1557</v>
      </c>
      <c r="Q255" s="25" t="n">
        <f aca="false">SUMIFS('Commentary drivers'!$D:$D,'Commentary drivers'!$A:$A,A255)</f>
        <v>-1</v>
      </c>
      <c r="R255" s="25" t="n">
        <f aca="false">SUMIFS('Commentary drivers'!$E:$E,'Commentary drivers'!$A:$A,A255)</f>
        <v>-1</v>
      </c>
      <c r="S255" s="49" t="str">
        <f aca="false">IF(AND(ROUND(Q255-J255,4)=0,ROUND(R255-K255,1)=0),"✓","✗")</f>
        <v>✓</v>
      </c>
    </row>
    <row r="256" customFormat="false" ht="15" hidden="false" customHeight="false" outlineLevel="0" collapsed="false">
      <c r="A256" s="11" t="s">
        <v>1662</v>
      </c>
      <c r="B256" s="11" t="s">
        <v>29</v>
      </c>
      <c r="C256" s="11" t="s">
        <v>30</v>
      </c>
      <c r="D256" s="11" t="s">
        <v>1422</v>
      </c>
      <c r="E256" s="11" t="s">
        <v>1467</v>
      </c>
      <c r="F256" s="11" t="s">
        <v>345</v>
      </c>
      <c r="G256" s="11" t="n">
        <v>1</v>
      </c>
      <c r="H256" s="34" t="n">
        <v>21</v>
      </c>
      <c r="I256" s="34" t="n">
        <v>22.5</v>
      </c>
      <c r="J256" s="34" t="n">
        <v>-1.5</v>
      </c>
      <c r="K256" s="34" t="n">
        <v>-1.5</v>
      </c>
      <c r="L256" s="11" t="s">
        <v>467</v>
      </c>
      <c r="M256" s="11" t="s">
        <v>1250</v>
      </c>
      <c r="N256" s="11" t="s">
        <v>1262</v>
      </c>
      <c r="O256" s="11"/>
      <c r="P256" s="11"/>
      <c r="Q256" s="25" t="n">
        <f aca="false">SUMIFS('Commentary drivers'!$D:$D,'Commentary drivers'!$A:$A,A256)</f>
        <v>-1.5</v>
      </c>
      <c r="R256" s="25" t="n">
        <f aca="false">SUMIFS('Commentary drivers'!$E:$E,'Commentary drivers'!$A:$A,A256)</f>
        <v>-1.5</v>
      </c>
      <c r="S256" s="49" t="str">
        <f aca="false">IF(AND(ROUND(Q256-J256,4)=0,ROUND(R256-K256,1)=0),"✓","✗")</f>
        <v>✓</v>
      </c>
    </row>
    <row r="257" customFormat="false" ht="15" hidden="false" customHeight="false" outlineLevel="0" collapsed="false">
      <c r="A257" s="11" t="s">
        <v>1663</v>
      </c>
      <c r="B257" s="11" t="s">
        <v>29</v>
      </c>
      <c r="C257" s="11" t="s">
        <v>30</v>
      </c>
      <c r="D257" s="11" t="s">
        <v>1422</v>
      </c>
      <c r="E257" s="11" t="s">
        <v>1469</v>
      </c>
      <c r="F257" s="11" t="s">
        <v>346</v>
      </c>
      <c r="G257" s="11" t="n">
        <v>1</v>
      </c>
      <c r="H257" s="34" t="n">
        <v>60</v>
      </c>
      <c r="I257" s="34" t="n">
        <v>60.5</v>
      </c>
      <c r="J257" s="34" t="n">
        <v>-0.5</v>
      </c>
      <c r="K257" s="34" t="n">
        <v>-0.5</v>
      </c>
      <c r="L257" s="11" t="s">
        <v>468</v>
      </c>
      <c r="M257" s="11" t="s">
        <v>1250</v>
      </c>
      <c r="N257" s="11" t="s">
        <v>1262</v>
      </c>
      <c r="O257" s="11"/>
      <c r="P257" s="11"/>
      <c r="Q257" s="25" t="n">
        <f aca="false">SUMIFS('Commentary drivers'!$D:$D,'Commentary drivers'!$A:$A,A257)</f>
        <v>-0.5</v>
      </c>
      <c r="R257" s="25" t="n">
        <f aca="false">SUMIFS('Commentary drivers'!$E:$E,'Commentary drivers'!$A:$A,A257)</f>
        <v>-0.5</v>
      </c>
      <c r="S257" s="49" t="str">
        <f aca="false">IF(AND(ROUND(Q257-J257,4)=0,ROUND(R257-K257,1)=0),"✓","✗")</f>
        <v>✓</v>
      </c>
    </row>
    <row r="258" customFormat="false" ht="15" hidden="false" customHeight="false" outlineLevel="0" collapsed="false">
      <c r="A258" s="11" t="s">
        <v>1664</v>
      </c>
      <c r="B258" s="11" t="s">
        <v>29</v>
      </c>
      <c r="C258" s="11" t="s">
        <v>30</v>
      </c>
      <c r="D258" s="11" t="s">
        <v>1422</v>
      </c>
      <c r="E258" s="11" t="s">
        <v>1471</v>
      </c>
      <c r="F258" s="11" t="s">
        <v>347</v>
      </c>
      <c r="G258" s="11" t="n">
        <v>0</v>
      </c>
      <c r="H258" s="34" t="n">
        <v>75</v>
      </c>
      <c r="I258" s="34" t="n">
        <v>63.5</v>
      </c>
      <c r="J258" s="34" t="n">
        <v>11.5</v>
      </c>
      <c r="K258" s="34" t="n">
        <v>11.5</v>
      </c>
      <c r="L258" s="11" t="s">
        <v>470</v>
      </c>
      <c r="M258" s="11" t="s">
        <v>1250</v>
      </c>
      <c r="N258" s="11" t="s">
        <v>1251</v>
      </c>
      <c r="O258" s="11" t="s">
        <v>1252</v>
      </c>
      <c r="P258" s="11" t="s">
        <v>1557</v>
      </c>
      <c r="Q258" s="25" t="n">
        <f aca="false">SUMIFS('Commentary drivers'!$D:$D,'Commentary drivers'!$A:$A,A258)</f>
        <v>11.5</v>
      </c>
      <c r="R258" s="25" t="n">
        <f aca="false">SUMIFS('Commentary drivers'!$E:$E,'Commentary drivers'!$A:$A,A258)</f>
        <v>11.5</v>
      </c>
      <c r="S258" s="49" t="str">
        <f aca="false">IF(AND(ROUND(Q258-J258,4)=0,ROUND(R258-K258,1)=0),"✓","✗")</f>
        <v>✓</v>
      </c>
    </row>
    <row r="259" customFormat="false" ht="15" hidden="false" customHeight="false" outlineLevel="0" collapsed="false">
      <c r="A259" s="11" t="s">
        <v>1665</v>
      </c>
      <c r="B259" s="11" t="s">
        <v>29</v>
      </c>
      <c r="C259" s="11" t="s">
        <v>30</v>
      </c>
      <c r="D259" s="11" t="s">
        <v>1422</v>
      </c>
      <c r="E259" s="11" t="s">
        <v>1473</v>
      </c>
      <c r="F259" s="11" t="s">
        <v>97</v>
      </c>
      <c r="G259" s="11" t="n">
        <v>0</v>
      </c>
      <c r="H259" s="34" t="n">
        <v>359.201</v>
      </c>
      <c r="I259" s="34" t="n">
        <v>407.705</v>
      </c>
      <c r="J259" s="34" t="n">
        <v>-48.504</v>
      </c>
      <c r="K259" s="34" t="n">
        <v>-48.5</v>
      </c>
      <c r="L259" s="11" t="s">
        <v>520</v>
      </c>
      <c r="M259" s="11" t="s">
        <v>1250</v>
      </c>
      <c r="N259" s="11" t="s">
        <v>1251</v>
      </c>
      <c r="O259" s="11" t="s">
        <v>1252</v>
      </c>
      <c r="P259" s="11" t="s">
        <v>1557</v>
      </c>
      <c r="Q259" s="25" t="n">
        <f aca="false">SUMIFS('Commentary drivers'!$D:$D,'Commentary drivers'!$A:$A,A259)</f>
        <v>-48.504</v>
      </c>
      <c r="R259" s="25" t="n">
        <f aca="false">SUMIFS('Commentary drivers'!$E:$E,'Commentary drivers'!$A:$A,A259)</f>
        <v>-48.5</v>
      </c>
      <c r="S259" s="49" t="str">
        <f aca="false">IF(AND(ROUND(Q259-J259,4)=0,ROUND(R259-K259,1)=0),"✓","✗")</f>
        <v>✓</v>
      </c>
    </row>
    <row r="260" customFormat="false" ht="15" hidden="false" customHeight="false" outlineLevel="0" collapsed="false">
      <c r="A260" s="11" t="s">
        <v>1666</v>
      </c>
      <c r="B260" s="11" t="s">
        <v>29</v>
      </c>
      <c r="C260" s="11" t="s">
        <v>30</v>
      </c>
      <c r="D260" s="11" t="s">
        <v>1475</v>
      </c>
      <c r="E260" s="11" t="s">
        <v>1476</v>
      </c>
      <c r="F260" s="11" t="s">
        <v>351</v>
      </c>
      <c r="G260" s="11" t="n">
        <v>0</v>
      </c>
      <c r="H260" s="34" t="n">
        <v>18786.54644</v>
      </c>
      <c r="I260" s="34" t="n">
        <v>17088.18988</v>
      </c>
      <c r="J260" s="34" t="n">
        <v>1698.35656</v>
      </c>
      <c r="K260" s="34" t="n">
        <v>1698.4</v>
      </c>
      <c r="L260" s="11" t="s">
        <v>522</v>
      </c>
      <c r="M260" s="11" t="s">
        <v>1250</v>
      </c>
      <c r="N260" s="11" t="s">
        <v>1251</v>
      </c>
      <c r="O260" s="11" t="s">
        <v>1252</v>
      </c>
      <c r="P260" s="11" t="s">
        <v>1557</v>
      </c>
      <c r="Q260" s="25" t="n">
        <f aca="false">SUMIFS('Commentary drivers'!$D:$D,'Commentary drivers'!$A:$A,A260)</f>
        <v>1698.35656</v>
      </c>
      <c r="R260" s="25" t="n">
        <f aca="false">SUMIFS('Commentary drivers'!$E:$E,'Commentary drivers'!$A:$A,A260)</f>
        <v>1698.4</v>
      </c>
      <c r="S260" s="49" t="str">
        <f aca="false">IF(AND(ROUND(Q260-J260,4)=0,ROUND(R260-K260,1)=0),"✓","✗")</f>
        <v>✓</v>
      </c>
    </row>
    <row r="261" customFormat="false" ht="15" hidden="false" customHeight="false" outlineLevel="0" collapsed="false">
      <c r="A261" s="11" t="s">
        <v>1667</v>
      </c>
      <c r="B261" s="11" t="s">
        <v>29</v>
      </c>
      <c r="C261" s="11" t="s">
        <v>30</v>
      </c>
      <c r="D261" s="11" t="s">
        <v>1475</v>
      </c>
      <c r="E261" s="11" t="s">
        <v>1478</v>
      </c>
      <c r="F261" s="11" t="s">
        <v>353</v>
      </c>
      <c r="G261" s="11" t="n">
        <v>1</v>
      </c>
      <c r="H261" s="34" t="n">
        <v>14474.18299</v>
      </c>
      <c r="I261" s="34" t="n">
        <v>14171.85958</v>
      </c>
      <c r="J261" s="34" t="n">
        <v>302.32341</v>
      </c>
      <c r="K261" s="34" t="n">
        <v>302.3</v>
      </c>
      <c r="L261" s="11" t="s">
        <v>523</v>
      </c>
      <c r="M261" s="11" t="s">
        <v>1250</v>
      </c>
      <c r="N261" s="11" t="s">
        <v>1251</v>
      </c>
      <c r="O261" s="11" t="s">
        <v>1252</v>
      </c>
      <c r="P261" s="11" t="s">
        <v>1557</v>
      </c>
      <c r="Q261" s="25" t="n">
        <f aca="false">SUMIFS('Commentary drivers'!$D:$D,'Commentary drivers'!$A:$A,A261)</f>
        <v>302.32341</v>
      </c>
      <c r="R261" s="25" t="n">
        <f aca="false">SUMIFS('Commentary drivers'!$E:$E,'Commentary drivers'!$A:$A,A261)</f>
        <v>302.3</v>
      </c>
      <c r="S261" s="49" t="str">
        <f aca="false">IF(AND(ROUND(Q261-J261,4)=0,ROUND(R261-K261,1)=0),"✓","✗")</f>
        <v>✓</v>
      </c>
    </row>
    <row r="262" customFormat="false" ht="15" hidden="false" customHeight="false" outlineLevel="0" collapsed="false">
      <c r="A262" s="11" t="s">
        <v>1668</v>
      </c>
      <c r="B262" s="11" t="s">
        <v>29</v>
      </c>
      <c r="C262" s="11" t="s">
        <v>30</v>
      </c>
      <c r="D262" s="11" t="s">
        <v>1475</v>
      </c>
      <c r="E262" s="11" t="s">
        <v>1480</v>
      </c>
      <c r="F262" s="11" t="s">
        <v>355</v>
      </c>
      <c r="G262" s="11" t="n">
        <v>1</v>
      </c>
      <c r="H262" s="34" t="n">
        <v>2872.86345</v>
      </c>
      <c r="I262" s="34" t="n">
        <v>1400.8303</v>
      </c>
      <c r="J262" s="34" t="n">
        <v>1472.03315</v>
      </c>
      <c r="K262" s="34" t="n">
        <v>1472</v>
      </c>
      <c r="L262" s="11" t="s">
        <v>524</v>
      </c>
      <c r="M262" s="11" t="s">
        <v>1250</v>
      </c>
      <c r="N262" s="11" t="s">
        <v>1251</v>
      </c>
      <c r="O262" s="11" t="s">
        <v>1252</v>
      </c>
      <c r="P262" s="11" t="s">
        <v>1557</v>
      </c>
      <c r="Q262" s="25" t="n">
        <f aca="false">SUMIFS('Commentary drivers'!$D:$D,'Commentary drivers'!$A:$A,A262)</f>
        <v>1472.03315</v>
      </c>
      <c r="R262" s="25" t="n">
        <f aca="false">SUMIFS('Commentary drivers'!$E:$E,'Commentary drivers'!$A:$A,A262)</f>
        <v>1472</v>
      </c>
      <c r="S262" s="49" t="str">
        <f aca="false">IF(AND(ROUND(Q262-J262,4)=0,ROUND(R262-K262,1)=0),"✓","✗")</f>
        <v>✓</v>
      </c>
    </row>
    <row r="263" customFormat="false" ht="15" hidden="false" customHeight="false" outlineLevel="0" collapsed="false">
      <c r="A263" s="11" t="s">
        <v>1669</v>
      </c>
      <c r="B263" s="11" t="s">
        <v>29</v>
      </c>
      <c r="C263" s="11" t="s">
        <v>30</v>
      </c>
      <c r="D263" s="11" t="s">
        <v>1475</v>
      </c>
      <c r="E263" s="11" t="s">
        <v>1482</v>
      </c>
      <c r="F263" s="11" t="s">
        <v>357</v>
      </c>
      <c r="G263" s="11" t="n">
        <v>1</v>
      </c>
      <c r="H263" s="34" t="n">
        <v>184</v>
      </c>
      <c r="I263" s="34" t="n">
        <v>276</v>
      </c>
      <c r="J263" s="34" t="n">
        <v>-92</v>
      </c>
      <c r="K263" s="34" t="n">
        <v>-92</v>
      </c>
      <c r="L263" s="11" t="s">
        <v>525</v>
      </c>
      <c r="M263" s="11" t="s">
        <v>1250</v>
      </c>
      <c r="N263" s="11" t="s">
        <v>1251</v>
      </c>
      <c r="O263" s="11" t="s">
        <v>1252</v>
      </c>
      <c r="P263" s="11" t="s">
        <v>1557</v>
      </c>
      <c r="Q263" s="25" t="n">
        <f aca="false">SUMIFS('Commentary drivers'!$D:$D,'Commentary drivers'!$A:$A,A263)</f>
        <v>-92</v>
      </c>
      <c r="R263" s="25" t="n">
        <f aca="false">SUMIFS('Commentary drivers'!$E:$E,'Commentary drivers'!$A:$A,A263)</f>
        <v>-92</v>
      </c>
      <c r="S263" s="49" t="str">
        <f aca="false">IF(AND(ROUND(Q263-J263,4)=0,ROUND(R263-K263,1)=0),"✓","✗")</f>
        <v>✓</v>
      </c>
    </row>
    <row r="264" customFormat="false" ht="15" hidden="false" customHeight="false" outlineLevel="0" collapsed="false">
      <c r="A264" s="11" t="s">
        <v>1670</v>
      </c>
      <c r="B264" s="11" t="s">
        <v>29</v>
      </c>
      <c r="C264" s="11" t="s">
        <v>30</v>
      </c>
      <c r="D264" s="11" t="s">
        <v>1475</v>
      </c>
      <c r="E264" s="11" t="s">
        <v>1484</v>
      </c>
      <c r="F264" s="11" t="s">
        <v>359</v>
      </c>
      <c r="G264" s="11" t="n">
        <v>1</v>
      </c>
      <c r="H264" s="34" t="n">
        <v>1255.5</v>
      </c>
      <c r="I264" s="34" t="n">
        <v>1239.5</v>
      </c>
      <c r="J264" s="34" t="n">
        <v>16</v>
      </c>
      <c r="K264" s="34" t="n">
        <v>16</v>
      </c>
      <c r="L264" s="11" t="s">
        <v>526</v>
      </c>
      <c r="M264" s="11" t="s">
        <v>1250</v>
      </c>
      <c r="N264" s="11" t="s">
        <v>1262</v>
      </c>
      <c r="O264" s="11"/>
      <c r="P264" s="11"/>
      <c r="Q264" s="25" t="n">
        <f aca="false">SUMIFS('Commentary drivers'!$D:$D,'Commentary drivers'!$A:$A,A264)</f>
        <v>16</v>
      </c>
      <c r="R264" s="25" t="n">
        <f aca="false">SUMIFS('Commentary drivers'!$E:$E,'Commentary drivers'!$A:$A,A264)</f>
        <v>16</v>
      </c>
      <c r="S264" s="49" t="str">
        <f aca="false">IF(AND(ROUND(Q264-J264,4)=0,ROUND(R264-K264,1)=0),"✓","✗")</f>
        <v>✓</v>
      </c>
    </row>
    <row r="265" customFormat="false" ht="15" hidden="false" customHeight="false" outlineLevel="0" collapsed="false">
      <c r="A265" s="11" t="s">
        <v>1671</v>
      </c>
      <c r="B265" s="11" t="s">
        <v>29</v>
      </c>
      <c r="C265" s="11" t="s">
        <v>30</v>
      </c>
      <c r="D265" s="11" t="s">
        <v>1475</v>
      </c>
      <c r="E265" s="11" t="s">
        <v>1486</v>
      </c>
      <c r="F265" s="11" t="s">
        <v>361</v>
      </c>
      <c r="G265" s="11" t="n">
        <v>0</v>
      </c>
      <c r="H265" s="34" t="n">
        <v>1236</v>
      </c>
      <c r="I265" s="34" t="n">
        <v>1148</v>
      </c>
      <c r="J265" s="34" t="n">
        <v>88</v>
      </c>
      <c r="K265" s="34" t="n">
        <v>88</v>
      </c>
      <c r="L265" s="11" t="s">
        <v>527</v>
      </c>
      <c r="M265" s="11" t="s">
        <v>1250</v>
      </c>
      <c r="N265" s="11" t="s">
        <v>1251</v>
      </c>
      <c r="O265" s="11" t="s">
        <v>1252</v>
      </c>
      <c r="P265" s="11" t="s">
        <v>1557</v>
      </c>
      <c r="Q265" s="25" t="n">
        <f aca="false">SUMIFS('Commentary drivers'!$D:$D,'Commentary drivers'!$A:$A,A265)</f>
        <v>88</v>
      </c>
      <c r="R265" s="25" t="n">
        <f aca="false">SUMIFS('Commentary drivers'!$E:$E,'Commentary drivers'!$A:$A,A265)</f>
        <v>88</v>
      </c>
      <c r="S265" s="49" t="str">
        <f aca="false">IF(AND(ROUND(Q265-J265,4)=0,ROUND(R265-K265,1)=0),"✓","✗")</f>
        <v>✓</v>
      </c>
    </row>
    <row r="266" customFormat="false" ht="15" hidden="false" customHeight="false" outlineLevel="0" collapsed="false">
      <c r="A266" s="11" t="s">
        <v>1672</v>
      </c>
      <c r="B266" s="11" t="s">
        <v>29</v>
      </c>
      <c r="C266" s="11" t="s">
        <v>30</v>
      </c>
      <c r="D266" s="11" t="s">
        <v>1475</v>
      </c>
      <c r="E266" s="11" t="s">
        <v>1488</v>
      </c>
      <c r="F266" s="11" t="s">
        <v>363</v>
      </c>
      <c r="G266" s="11" t="n">
        <v>1</v>
      </c>
      <c r="H266" s="34" t="n">
        <v>1236</v>
      </c>
      <c r="I266" s="34" t="n">
        <v>1148</v>
      </c>
      <c r="J266" s="34" t="n">
        <v>88</v>
      </c>
      <c r="K266" s="34" t="n">
        <v>88</v>
      </c>
      <c r="L266" s="11" t="s">
        <v>528</v>
      </c>
      <c r="M266" s="11" t="s">
        <v>1250</v>
      </c>
      <c r="N266" s="11" t="s">
        <v>1251</v>
      </c>
      <c r="O266" s="11" t="s">
        <v>1252</v>
      </c>
      <c r="P266" s="11" t="s">
        <v>1557</v>
      </c>
      <c r="Q266" s="25" t="n">
        <f aca="false">SUMIFS('Commentary drivers'!$D:$D,'Commentary drivers'!$A:$A,A266)</f>
        <v>88</v>
      </c>
      <c r="R266" s="25" t="n">
        <f aca="false">SUMIFS('Commentary drivers'!$E:$E,'Commentary drivers'!$A:$A,A266)</f>
        <v>88</v>
      </c>
      <c r="S266" s="49" t="str">
        <f aca="false">IF(AND(ROUND(Q266-J266,4)=0,ROUND(R266-K266,1)=0),"✓","✗")</f>
        <v>✓</v>
      </c>
    </row>
    <row r="267" customFormat="false" ht="15" hidden="false" customHeight="false" outlineLevel="0" collapsed="false">
      <c r="A267" s="11" t="s">
        <v>1673</v>
      </c>
      <c r="B267" s="11" t="s">
        <v>29</v>
      </c>
      <c r="C267" s="11" t="s">
        <v>30</v>
      </c>
      <c r="D267" s="11" t="s">
        <v>1475</v>
      </c>
      <c r="E267" s="11" t="s">
        <v>1490</v>
      </c>
      <c r="F267" s="11" t="s">
        <v>365</v>
      </c>
      <c r="G267" s="11" t="n">
        <v>0</v>
      </c>
      <c r="H267" s="34" t="n">
        <v>20022.54644</v>
      </c>
      <c r="I267" s="34" t="n">
        <v>18236.18988</v>
      </c>
      <c r="J267" s="34" t="n">
        <v>1786.35656</v>
      </c>
      <c r="K267" s="34" t="n">
        <v>1786.4</v>
      </c>
      <c r="L267" s="11" t="s">
        <v>529</v>
      </c>
      <c r="M267" s="11" t="s">
        <v>1250</v>
      </c>
      <c r="N267" s="11" t="s">
        <v>1251</v>
      </c>
      <c r="O267" s="11" t="s">
        <v>1252</v>
      </c>
      <c r="P267" s="11" t="s">
        <v>1557</v>
      </c>
      <c r="Q267" s="25" t="n">
        <f aca="false">SUMIFS('Commentary drivers'!$D:$D,'Commentary drivers'!$A:$A,A267)</f>
        <v>1786.35656</v>
      </c>
      <c r="R267" s="25" t="n">
        <f aca="false">SUMIFS('Commentary drivers'!$E:$E,'Commentary drivers'!$A:$A,A267)</f>
        <v>1786.4</v>
      </c>
      <c r="S267" s="49" t="str">
        <f aca="false">IF(AND(ROUND(Q267-J267,4)=0,ROUND(R267-K267,1)=0),"✓","✗")</f>
        <v>✓</v>
      </c>
    </row>
    <row r="268" customFormat="false" ht="15" hidden="false" customHeight="false" outlineLevel="0" collapsed="false">
      <c r="A268" s="11" t="s">
        <v>1674</v>
      </c>
      <c r="B268" s="11" t="s">
        <v>29</v>
      </c>
      <c r="C268" s="11" t="s">
        <v>30</v>
      </c>
      <c r="D268" s="11" t="s">
        <v>1475</v>
      </c>
      <c r="E268" s="11" t="s">
        <v>1492</v>
      </c>
      <c r="F268" s="11" t="s">
        <v>367</v>
      </c>
      <c r="G268" s="11" t="n">
        <v>0</v>
      </c>
      <c r="H268" s="34" t="n">
        <v>1620.78044</v>
      </c>
      <c r="I268" s="34" t="n">
        <v>362.62488</v>
      </c>
      <c r="J268" s="34" t="n">
        <v>1258.15556</v>
      </c>
      <c r="K268" s="34" t="n">
        <v>1258.2</v>
      </c>
      <c r="L268" s="11" t="s">
        <v>530</v>
      </c>
      <c r="M268" s="11" t="s">
        <v>1250</v>
      </c>
      <c r="N268" s="11" t="s">
        <v>1251</v>
      </c>
      <c r="O268" s="11" t="s">
        <v>1252</v>
      </c>
      <c r="P268" s="11" t="s">
        <v>1557</v>
      </c>
      <c r="Q268" s="25" t="n">
        <f aca="false">SUMIFS('Commentary drivers'!$D:$D,'Commentary drivers'!$A:$A,A268)</f>
        <v>1258.15556</v>
      </c>
      <c r="R268" s="25" t="n">
        <f aca="false">SUMIFS('Commentary drivers'!$E:$E,'Commentary drivers'!$A:$A,A268)</f>
        <v>1258.2</v>
      </c>
      <c r="S268" s="49" t="str">
        <f aca="false">IF(AND(ROUND(Q268-J268,4)=0,ROUND(R268-K268,1)=0),"✓","✗")</f>
        <v>✓</v>
      </c>
    </row>
    <row r="269" customFormat="false" ht="15" hidden="false" customHeight="false" outlineLevel="0" collapsed="false">
      <c r="A269" s="11" t="s">
        <v>1675</v>
      </c>
      <c r="B269" s="11" t="s">
        <v>29</v>
      </c>
      <c r="C269" s="11" t="s">
        <v>30</v>
      </c>
      <c r="D269" s="11" t="s">
        <v>1475</v>
      </c>
      <c r="E269" s="11" t="s">
        <v>1494</v>
      </c>
      <c r="F269" s="11" t="s">
        <v>369</v>
      </c>
      <c r="G269" s="11" t="n">
        <v>1</v>
      </c>
      <c r="H269" s="34" t="n">
        <v>349</v>
      </c>
      <c r="I269" s="34" t="n">
        <v>304</v>
      </c>
      <c r="J269" s="34" t="n">
        <v>45</v>
      </c>
      <c r="K269" s="34" t="n">
        <v>45</v>
      </c>
      <c r="L269" s="11" t="s">
        <v>531</v>
      </c>
      <c r="M269" s="11" t="s">
        <v>1250</v>
      </c>
      <c r="N269" s="11" t="s">
        <v>1251</v>
      </c>
      <c r="O269" s="11" t="s">
        <v>1252</v>
      </c>
      <c r="P269" s="11" t="s">
        <v>1557</v>
      </c>
      <c r="Q269" s="25" t="n">
        <f aca="false">SUMIFS('Commentary drivers'!$D:$D,'Commentary drivers'!$A:$A,A269)</f>
        <v>45</v>
      </c>
      <c r="R269" s="25" t="n">
        <f aca="false">SUMIFS('Commentary drivers'!$E:$E,'Commentary drivers'!$A:$A,A269)</f>
        <v>45</v>
      </c>
      <c r="S269" s="49" t="str">
        <f aca="false">IF(AND(ROUND(Q269-J269,4)=0,ROUND(R269-K269,1)=0),"✓","✗")</f>
        <v>✓</v>
      </c>
    </row>
    <row r="270" customFormat="false" ht="15" hidden="false" customHeight="false" outlineLevel="0" collapsed="false">
      <c r="A270" s="11" t="s">
        <v>1676</v>
      </c>
      <c r="B270" s="11" t="s">
        <v>29</v>
      </c>
      <c r="C270" s="11" t="s">
        <v>30</v>
      </c>
      <c r="D270" s="11" t="s">
        <v>1475</v>
      </c>
      <c r="E270" s="11" t="s">
        <v>1496</v>
      </c>
      <c r="F270" s="11" t="s">
        <v>371</v>
      </c>
      <c r="G270" s="11" t="n">
        <v>1</v>
      </c>
      <c r="H270" s="34" t="n">
        <v>152.49244</v>
      </c>
      <c r="I270" s="34" t="n">
        <v>58.62488</v>
      </c>
      <c r="J270" s="34" t="n">
        <v>93.86756</v>
      </c>
      <c r="K270" s="34" t="n">
        <v>93.9</v>
      </c>
      <c r="L270" s="11" t="s">
        <v>532</v>
      </c>
      <c r="M270" s="11" t="s">
        <v>1250</v>
      </c>
      <c r="N270" s="11" t="s">
        <v>1251</v>
      </c>
      <c r="O270" s="11" t="s">
        <v>1252</v>
      </c>
      <c r="P270" s="11" t="s">
        <v>1557</v>
      </c>
      <c r="Q270" s="25" t="n">
        <f aca="false">SUMIFS('Commentary drivers'!$D:$D,'Commentary drivers'!$A:$A,A270)</f>
        <v>93.86756</v>
      </c>
      <c r="R270" s="25" t="n">
        <f aca="false">SUMIFS('Commentary drivers'!$E:$E,'Commentary drivers'!$A:$A,A270)</f>
        <v>93.9</v>
      </c>
      <c r="S270" s="49" t="str">
        <f aca="false">IF(AND(ROUND(Q270-J270,4)=0,ROUND(R270-K270,1)=0),"✓","✗")</f>
        <v>✓</v>
      </c>
    </row>
    <row r="271" customFormat="false" ht="15" hidden="false" customHeight="false" outlineLevel="0" collapsed="false">
      <c r="A271" s="11" t="s">
        <v>1677</v>
      </c>
      <c r="B271" s="11" t="s">
        <v>29</v>
      </c>
      <c r="C271" s="11" t="s">
        <v>30</v>
      </c>
      <c r="D271" s="11" t="s">
        <v>1475</v>
      </c>
      <c r="E271" s="11" t="s">
        <v>1498</v>
      </c>
      <c r="F271" s="11" t="s">
        <v>373</v>
      </c>
      <c r="G271" s="11" t="n">
        <v>1</v>
      </c>
      <c r="H271" s="34" t="n">
        <v>1119.288</v>
      </c>
      <c r="I271" s="34" t="n">
        <v>0</v>
      </c>
      <c r="J271" s="34" t="n">
        <v>1119.288</v>
      </c>
      <c r="K271" s="34" t="n">
        <v>1119.3</v>
      </c>
      <c r="L271" s="11" t="s">
        <v>533</v>
      </c>
      <c r="M271" s="11" t="s">
        <v>1250</v>
      </c>
      <c r="N271" s="11" t="s">
        <v>1251</v>
      </c>
      <c r="O271" s="11" t="s">
        <v>1252</v>
      </c>
      <c r="P271" s="11" t="s">
        <v>1557</v>
      </c>
      <c r="Q271" s="25" t="n">
        <f aca="false">SUMIFS('Commentary drivers'!$D:$D,'Commentary drivers'!$A:$A,A271)</f>
        <v>1119.288</v>
      </c>
      <c r="R271" s="25" t="n">
        <f aca="false">SUMIFS('Commentary drivers'!$E:$E,'Commentary drivers'!$A:$A,A271)</f>
        <v>1119.3</v>
      </c>
      <c r="S271" s="49" t="str">
        <f aca="false">IF(AND(ROUND(Q271-J271,4)=0,ROUND(R271-K271,1)=0),"✓","✗")</f>
        <v>✓</v>
      </c>
    </row>
    <row r="272" customFormat="false" ht="15" hidden="false" customHeight="false" outlineLevel="0" collapsed="false">
      <c r="A272" s="11" t="s">
        <v>1678</v>
      </c>
      <c r="B272" s="11" t="s">
        <v>29</v>
      </c>
      <c r="C272" s="11" t="s">
        <v>30</v>
      </c>
      <c r="D272" s="11" t="s">
        <v>1475</v>
      </c>
      <c r="E272" s="11" t="s">
        <v>1500</v>
      </c>
      <c r="F272" s="11" t="s">
        <v>375</v>
      </c>
      <c r="G272" s="11" t="n">
        <v>0</v>
      </c>
      <c r="H272" s="34" t="n">
        <v>4582.5</v>
      </c>
      <c r="I272" s="34" t="n">
        <v>4571.5</v>
      </c>
      <c r="J272" s="34" t="n">
        <v>11</v>
      </c>
      <c r="K272" s="34" t="n">
        <v>11</v>
      </c>
      <c r="L272" s="11" t="s">
        <v>534</v>
      </c>
      <c r="M272" s="11" t="s">
        <v>1250</v>
      </c>
      <c r="N272" s="11" t="s">
        <v>1251</v>
      </c>
      <c r="O272" s="11" t="s">
        <v>1252</v>
      </c>
      <c r="P272" s="11" t="s">
        <v>1557</v>
      </c>
      <c r="Q272" s="25" t="n">
        <f aca="false">SUMIFS('Commentary drivers'!$D:$D,'Commentary drivers'!$A:$A,A272)</f>
        <v>11</v>
      </c>
      <c r="R272" s="25" t="n">
        <f aca="false">SUMIFS('Commentary drivers'!$E:$E,'Commentary drivers'!$A:$A,A272)</f>
        <v>11</v>
      </c>
      <c r="S272" s="49" t="str">
        <f aca="false">IF(AND(ROUND(Q272-J272,4)=0,ROUND(R272-K272,1)=0),"✓","✗")</f>
        <v>✓</v>
      </c>
    </row>
    <row r="273" customFormat="false" ht="15" hidden="false" customHeight="false" outlineLevel="0" collapsed="false">
      <c r="A273" s="11" t="s">
        <v>1679</v>
      </c>
      <c r="B273" s="11" t="s">
        <v>29</v>
      </c>
      <c r="C273" s="11" t="s">
        <v>30</v>
      </c>
      <c r="D273" s="11" t="s">
        <v>1475</v>
      </c>
      <c r="E273" s="11" t="s">
        <v>1502</v>
      </c>
      <c r="F273" s="11" t="s">
        <v>377</v>
      </c>
      <c r="G273" s="11" t="n">
        <v>1</v>
      </c>
      <c r="H273" s="34" t="n">
        <v>382.5</v>
      </c>
      <c r="I273" s="34" t="n">
        <v>371.5</v>
      </c>
      <c r="J273" s="34" t="n">
        <v>11</v>
      </c>
      <c r="K273" s="34" t="n">
        <v>11</v>
      </c>
      <c r="L273" s="11" t="s">
        <v>535</v>
      </c>
      <c r="M273" s="11" t="s">
        <v>1250</v>
      </c>
      <c r="N273" s="11" t="s">
        <v>1262</v>
      </c>
      <c r="O273" s="11"/>
      <c r="P273" s="11"/>
      <c r="Q273" s="25" t="n">
        <f aca="false">SUMIFS('Commentary drivers'!$D:$D,'Commentary drivers'!$A:$A,A273)</f>
        <v>11</v>
      </c>
      <c r="R273" s="25" t="n">
        <f aca="false">SUMIFS('Commentary drivers'!$E:$E,'Commentary drivers'!$A:$A,A273)</f>
        <v>11</v>
      </c>
      <c r="S273" s="49" t="str">
        <f aca="false">IF(AND(ROUND(Q273-J273,4)=0,ROUND(R273-K273,1)=0),"✓","✗")</f>
        <v>✓</v>
      </c>
    </row>
    <row r="274" customFormat="false" ht="15" hidden="false" customHeight="false" outlineLevel="0" collapsed="false">
      <c r="A274" s="11" t="s">
        <v>1680</v>
      </c>
      <c r="B274" s="11" t="s">
        <v>29</v>
      </c>
      <c r="C274" s="11" t="s">
        <v>30</v>
      </c>
      <c r="D274" s="11" t="s">
        <v>1475</v>
      </c>
      <c r="E274" s="11" t="s">
        <v>1504</v>
      </c>
      <c r="F274" s="11" t="s">
        <v>379</v>
      </c>
      <c r="G274" s="11" t="n">
        <v>1</v>
      </c>
      <c r="H274" s="34" t="n">
        <v>4200</v>
      </c>
      <c r="I274" s="34" t="n">
        <v>4200</v>
      </c>
      <c r="J274" s="34" t="n">
        <v>0</v>
      </c>
      <c r="K274" s="34" t="n">
        <v>0</v>
      </c>
      <c r="L274" s="11" t="s">
        <v>536</v>
      </c>
      <c r="M274" s="11" t="s">
        <v>1250</v>
      </c>
      <c r="N274" s="11" t="s">
        <v>1262</v>
      </c>
      <c r="O274" s="11"/>
      <c r="P274" s="11"/>
      <c r="Q274" s="25" t="n">
        <f aca="false">SUMIFS('Commentary drivers'!$D:$D,'Commentary drivers'!$A:$A,A274)</f>
        <v>0</v>
      </c>
      <c r="R274" s="25" t="n">
        <f aca="false">SUMIFS('Commentary drivers'!$E:$E,'Commentary drivers'!$A:$A,A274)</f>
        <v>0</v>
      </c>
      <c r="S274" s="49" t="str">
        <f aca="false">IF(AND(ROUND(Q274-J274,4)=0,ROUND(R274-K274,1)=0),"✓","✗")</f>
        <v>✓</v>
      </c>
    </row>
    <row r="275" customFormat="false" ht="15" hidden="false" customHeight="false" outlineLevel="0" collapsed="false">
      <c r="A275" s="11" t="s">
        <v>1681</v>
      </c>
      <c r="B275" s="11" t="s">
        <v>29</v>
      </c>
      <c r="C275" s="11" t="s">
        <v>30</v>
      </c>
      <c r="D275" s="11" t="s">
        <v>1475</v>
      </c>
      <c r="E275" s="11" t="s">
        <v>1506</v>
      </c>
      <c r="F275" s="11" t="s">
        <v>381</v>
      </c>
      <c r="G275" s="11" t="n">
        <v>0</v>
      </c>
      <c r="H275" s="34" t="n">
        <v>6203.28044</v>
      </c>
      <c r="I275" s="34" t="n">
        <v>4934.12488</v>
      </c>
      <c r="J275" s="34" t="n">
        <v>1269.15556</v>
      </c>
      <c r="K275" s="34" t="n">
        <v>1269.2</v>
      </c>
      <c r="L275" s="11" t="s">
        <v>537</v>
      </c>
      <c r="M275" s="11" t="s">
        <v>1250</v>
      </c>
      <c r="N275" s="11" t="s">
        <v>1251</v>
      </c>
      <c r="O275" s="11" t="s">
        <v>1252</v>
      </c>
      <c r="P275" s="11" t="s">
        <v>1557</v>
      </c>
      <c r="Q275" s="25" t="n">
        <f aca="false">SUMIFS('Commentary drivers'!$D:$D,'Commentary drivers'!$A:$A,A275)</f>
        <v>1269.15556</v>
      </c>
      <c r="R275" s="25" t="n">
        <f aca="false">SUMIFS('Commentary drivers'!$E:$E,'Commentary drivers'!$A:$A,A275)</f>
        <v>1269.2</v>
      </c>
      <c r="S275" s="49" t="str">
        <f aca="false">IF(AND(ROUND(Q275-J275,4)=0,ROUND(R275-K275,1)=0),"✓","✗")</f>
        <v>✓</v>
      </c>
    </row>
    <row r="276" customFormat="false" ht="15" hidden="false" customHeight="false" outlineLevel="0" collapsed="false">
      <c r="A276" s="11" t="s">
        <v>1682</v>
      </c>
      <c r="B276" s="11" t="s">
        <v>29</v>
      </c>
      <c r="C276" s="11" t="s">
        <v>30</v>
      </c>
      <c r="D276" s="11" t="s">
        <v>1475</v>
      </c>
      <c r="E276" s="11" t="s">
        <v>1508</v>
      </c>
      <c r="F276" s="11" t="s">
        <v>383</v>
      </c>
      <c r="G276" s="11" t="n">
        <v>0</v>
      </c>
      <c r="H276" s="34" t="n">
        <v>13819.266</v>
      </c>
      <c r="I276" s="34" t="n">
        <v>13302.065</v>
      </c>
      <c r="J276" s="34" t="n">
        <v>517.201</v>
      </c>
      <c r="K276" s="34" t="n">
        <v>517.2</v>
      </c>
      <c r="L276" s="11" t="s">
        <v>538</v>
      </c>
      <c r="M276" s="11" t="s">
        <v>1250</v>
      </c>
      <c r="N276" s="11" t="s">
        <v>1251</v>
      </c>
      <c r="O276" s="11" t="s">
        <v>1252</v>
      </c>
      <c r="P276" s="11" t="s">
        <v>1557</v>
      </c>
      <c r="Q276" s="25" t="n">
        <f aca="false">SUMIFS('Commentary drivers'!$D:$D,'Commentary drivers'!$A:$A,A276)</f>
        <v>517.201</v>
      </c>
      <c r="R276" s="25" t="n">
        <f aca="false">SUMIFS('Commentary drivers'!$E:$E,'Commentary drivers'!$A:$A,A276)</f>
        <v>517.2</v>
      </c>
      <c r="S276" s="49" t="str">
        <f aca="false">IF(AND(ROUND(Q276-J276,4)=0,ROUND(R276-K276,1)=0),"✓","✗")</f>
        <v>✓</v>
      </c>
    </row>
    <row r="277" customFormat="false" ht="15" hidden="false" customHeight="false" outlineLevel="0" collapsed="false">
      <c r="A277" s="11" t="s">
        <v>1683</v>
      </c>
      <c r="B277" s="11" t="s">
        <v>29</v>
      </c>
      <c r="C277" s="11" t="s">
        <v>30</v>
      </c>
      <c r="D277" s="11" t="s">
        <v>1475</v>
      </c>
      <c r="E277" s="11" t="s">
        <v>1510</v>
      </c>
      <c r="F277" s="11" t="s">
        <v>385</v>
      </c>
      <c r="G277" s="11" t="n">
        <v>1</v>
      </c>
      <c r="H277" s="34" t="n">
        <v>13346</v>
      </c>
      <c r="I277" s="34" t="n">
        <v>13188</v>
      </c>
      <c r="J277" s="34" t="n">
        <v>158</v>
      </c>
      <c r="K277" s="34" t="n">
        <v>158</v>
      </c>
      <c r="L277" s="11" t="s">
        <v>539</v>
      </c>
      <c r="M277" s="11" t="s">
        <v>1250</v>
      </c>
      <c r="N277" s="11" t="s">
        <v>1251</v>
      </c>
      <c r="O277" s="11" t="s">
        <v>1252</v>
      </c>
      <c r="P277" s="11" t="s">
        <v>1557</v>
      </c>
      <c r="Q277" s="25" t="n">
        <f aca="false">SUMIFS('Commentary drivers'!$D:$D,'Commentary drivers'!$A:$A,A277)</f>
        <v>158</v>
      </c>
      <c r="R277" s="25" t="n">
        <f aca="false">SUMIFS('Commentary drivers'!$E:$E,'Commentary drivers'!$A:$A,A277)</f>
        <v>158</v>
      </c>
      <c r="S277" s="49" t="str">
        <f aca="false">IF(AND(ROUND(Q277-J277,4)=0,ROUND(R277-K277,1)=0),"✓","✗")</f>
        <v>✓</v>
      </c>
    </row>
    <row r="278" customFormat="false" ht="15" hidden="false" customHeight="false" outlineLevel="0" collapsed="false">
      <c r="A278" s="11" t="s">
        <v>1684</v>
      </c>
      <c r="B278" s="11" t="s">
        <v>29</v>
      </c>
      <c r="C278" s="11" t="s">
        <v>30</v>
      </c>
      <c r="D278" s="11" t="s">
        <v>1475</v>
      </c>
      <c r="E278" s="11" t="s">
        <v>1512</v>
      </c>
      <c r="F278" s="11" t="s">
        <v>387</v>
      </c>
      <c r="G278" s="11" t="n">
        <v>1</v>
      </c>
      <c r="H278" s="34" t="n">
        <v>473.266</v>
      </c>
      <c r="I278" s="34" t="n">
        <v>114.065</v>
      </c>
      <c r="J278" s="34" t="n">
        <v>359.201</v>
      </c>
      <c r="K278" s="34" t="n">
        <v>359.2</v>
      </c>
      <c r="L278" s="11" t="s">
        <v>540</v>
      </c>
      <c r="M278" s="11" t="s">
        <v>1250</v>
      </c>
      <c r="N278" s="11" t="s">
        <v>1251</v>
      </c>
      <c r="O278" s="11" t="s">
        <v>1252</v>
      </c>
      <c r="P278" s="11" t="s">
        <v>1557</v>
      </c>
      <c r="Q278" s="25" t="n">
        <f aca="false">SUMIFS('Commentary drivers'!$D:$D,'Commentary drivers'!$A:$A,A278)</f>
        <v>359.201</v>
      </c>
      <c r="R278" s="25" t="n">
        <f aca="false">SUMIFS('Commentary drivers'!$E:$E,'Commentary drivers'!$A:$A,A278)</f>
        <v>359.2</v>
      </c>
      <c r="S278" s="49" t="str">
        <f aca="false">IF(AND(ROUND(Q278-J278,4)=0,ROUND(R278-K278,1)=0),"✓","✗")</f>
        <v>✓</v>
      </c>
    </row>
    <row r="279" customFormat="false" ht="15" hidden="false" customHeight="false" outlineLevel="0" collapsed="false">
      <c r="A279" s="11" t="s">
        <v>1685</v>
      </c>
      <c r="B279" s="11" t="s">
        <v>29</v>
      </c>
      <c r="C279" s="11" t="s">
        <v>30</v>
      </c>
      <c r="D279" s="11" t="s">
        <v>1475</v>
      </c>
      <c r="E279" s="11" t="s">
        <v>1514</v>
      </c>
      <c r="F279" s="11" t="s">
        <v>389</v>
      </c>
      <c r="G279" s="11" t="n">
        <v>0</v>
      </c>
      <c r="H279" s="34" t="n">
        <v>20022.54644</v>
      </c>
      <c r="I279" s="34" t="n">
        <v>18236.18988</v>
      </c>
      <c r="J279" s="34" t="n">
        <v>1786.35656</v>
      </c>
      <c r="K279" s="34" t="n">
        <v>1786.4</v>
      </c>
      <c r="L279" s="11" t="s">
        <v>541</v>
      </c>
      <c r="M279" s="11" t="s">
        <v>1250</v>
      </c>
      <c r="N279" s="11" t="s">
        <v>1251</v>
      </c>
      <c r="O279" s="11" t="s">
        <v>1252</v>
      </c>
      <c r="P279" s="11" t="s">
        <v>1557</v>
      </c>
      <c r="Q279" s="25" t="n">
        <f aca="false">SUMIFS('Commentary drivers'!$D:$D,'Commentary drivers'!$A:$A,A279)</f>
        <v>1786.35656</v>
      </c>
      <c r="R279" s="25" t="n">
        <f aca="false">SUMIFS('Commentary drivers'!$E:$E,'Commentary drivers'!$A:$A,A279)</f>
        <v>1786.4</v>
      </c>
      <c r="S279" s="49" t="str">
        <f aca="false">IF(AND(ROUND(Q279-J279,4)=0,ROUND(R279-K279,1)=0),"✓","✗")</f>
        <v>✓</v>
      </c>
    </row>
    <row r="280" customFormat="false" ht="15" hidden="false" customHeight="false" outlineLevel="0" collapsed="false">
      <c r="A280" s="11" t="s">
        <v>1686</v>
      </c>
      <c r="B280" s="11" t="s">
        <v>29</v>
      </c>
      <c r="C280" s="11" t="s">
        <v>30</v>
      </c>
      <c r="D280" s="11" t="s">
        <v>1516</v>
      </c>
      <c r="E280" s="11" t="s">
        <v>1517</v>
      </c>
      <c r="F280" s="11" t="s">
        <v>97</v>
      </c>
      <c r="G280" s="11" t="n">
        <v>0</v>
      </c>
      <c r="H280" s="34" t="n">
        <v>359.201</v>
      </c>
      <c r="I280" s="34" t="n">
        <v>407.705</v>
      </c>
      <c r="J280" s="34" t="n">
        <v>-48.504</v>
      </c>
      <c r="K280" s="34" t="n">
        <v>-48.5</v>
      </c>
      <c r="L280" s="11" t="s">
        <v>542</v>
      </c>
      <c r="M280" s="11" t="s">
        <v>1250</v>
      </c>
      <c r="N280" s="11" t="s">
        <v>1251</v>
      </c>
      <c r="O280" s="11" t="s">
        <v>1252</v>
      </c>
      <c r="P280" s="11" t="s">
        <v>1557</v>
      </c>
      <c r="Q280" s="25" t="n">
        <f aca="false">SUMIFS('Commentary drivers'!$D:$D,'Commentary drivers'!$A:$A,A280)</f>
        <v>-48.504</v>
      </c>
      <c r="R280" s="25" t="n">
        <f aca="false">SUMIFS('Commentary drivers'!$E:$E,'Commentary drivers'!$A:$A,A280)</f>
        <v>-48.5</v>
      </c>
      <c r="S280" s="49" t="str">
        <f aca="false">IF(AND(ROUND(Q280-J280,4)=0,ROUND(R280-K280,1)=0),"✓","✗")</f>
        <v>✓</v>
      </c>
    </row>
    <row r="281" customFormat="false" ht="15" hidden="false" customHeight="false" outlineLevel="0" collapsed="false">
      <c r="A281" s="11" t="s">
        <v>1687</v>
      </c>
      <c r="B281" s="11" t="s">
        <v>29</v>
      </c>
      <c r="C281" s="11" t="s">
        <v>30</v>
      </c>
      <c r="D281" s="11" t="s">
        <v>1516</v>
      </c>
      <c r="E281" s="11" t="s">
        <v>1519</v>
      </c>
      <c r="F281" s="11" t="s">
        <v>393</v>
      </c>
      <c r="G281" s="11" t="n">
        <v>0</v>
      </c>
      <c r="H281" s="34" t="n">
        <v>366</v>
      </c>
      <c r="I281" s="34" t="n">
        <v>342</v>
      </c>
      <c r="J281" s="34" t="n">
        <v>24</v>
      </c>
      <c r="K281" s="34" t="n">
        <v>24</v>
      </c>
      <c r="L281" s="11" t="s">
        <v>543</v>
      </c>
      <c r="M281" s="11" t="s">
        <v>1250</v>
      </c>
      <c r="N281" s="11" t="s">
        <v>1251</v>
      </c>
      <c r="O281" s="11" t="s">
        <v>1252</v>
      </c>
      <c r="P281" s="11" t="s">
        <v>1557</v>
      </c>
      <c r="Q281" s="25" t="n">
        <f aca="false">SUMIFS('Commentary drivers'!$D:$D,'Commentary drivers'!$A:$A,A281)</f>
        <v>24</v>
      </c>
      <c r="R281" s="25" t="n">
        <f aca="false">SUMIFS('Commentary drivers'!$E:$E,'Commentary drivers'!$A:$A,A281)</f>
        <v>24</v>
      </c>
      <c r="S281" s="49" t="str">
        <f aca="false">IF(AND(ROUND(Q281-J281,4)=0,ROUND(R281-K281,1)=0),"✓","✗")</f>
        <v>✓</v>
      </c>
    </row>
    <row r="282" customFormat="false" ht="15" hidden="false" customHeight="false" outlineLevel="0" collapsed="false">
      <c r="A282" s="11" t="s">
        <v>1688</v>
      </c>
      <c r="B282" s="11" t="s">
        <v>29</v>
      </c>
      <c r="C282" s="11" t="s">
        <v>30</v>
      </c>
      <c r="D282" s="11" t="s">
        <v>1516</v>
      </c>
      <c r="E282" s="11" t="s">
        <v>1521</v>
      </c>
      <c r="F282" s="11" t="s">
        <v>395</v>
      </c>
      <c r="G282" s="11" t="n">
        <v>1</v>
      </c>
      <c r="H282" s="34" t="n">
        <v>118</v>
      </c>
      <c r="I282" s="34" t="n">
        <v>112</v>
      </c>
      <c r="J282" s="34" t="n">
        <v>6</v>
      </c>
      <c r="K282" s="34" t="n">
        <v>6</v>
      </c>
      <c r="L282" s="11" t="s">
        <v>544</v>
      </c>
      <c r="M282" s="11" t="s">
        <v>1250</v>
      </c>
      <c r="N282" s="11" t="s">
        <v>1262</v>
      </c>
      <c r="O282" s="11"/>
      <c r="P282" s="11"/>
      <c r="Q282" s="25" t="n">
        <f aca="false">SUMIFS('Commentary drivers'!$D:$D,'Commentary drivers'!$A:$A,A282)</f>
        <v>6</v>
      </c>
      <c r="R282" s="25" t="n">
        <f aca="false">SUMIFS('Commentary drivers'!$E:$E,'Commentary drivers'!$A:$A,A282)</f>
        <v>6</v>
      </c>
      <c r="S282" s="49" t="str">
        <f aca="false">IF(AND(ROUND(Q282-J282,4)=0,ROUND(R282-K282,1)=0),"✓","✗")</f>
        <v>✓</v>
      </c>
    </row>
    <row r="283" customFormat="false" ht="15" hidden="false" customHeight="false" outlineLevel="0" collapsed="false">
      <c r="A283" s="11" t="s">
        <v>1689</v>
      </c>
      <c r="B283" s="11" t="s">
        <v>29</v>
      </c>
      <c r="C283" s="11" t="s">
        <v>30</v>
      </c>
      <c r="D283" s="11" t="s">
        <v>1516</v>
      </c>
      <c r="E283" s="11" t="s">
        <v>1523</v>
      </c>
      <c r="F283" s="11" t="s">
        <v>397</v>
      </c>
      <c r="G283" s="11" t="n">
        <v>1</v>
      </c>
      <c r="H283" s="34" t="n">
        <v>158</v>
      </c>
      <c r="I283" s="34" t="n">
        <v>148</v>
      </c>
      <c r="J283" s="34" t="n">
        <v>10</v>
      </c>
      <c r="K283" s="34" t="n">
        <v>10</v>
      </c>
      <c r="L283" s="11" t="s">
        <v>545</v>
      </c>
      <c r="M283" s="11" t="s">
        <v>1250</v>
      </c>
      <c r="N283" s="11" t="s">
        <v>1262</v>
      </c>
      <c r="O283" s="11"/>
      <c r="P283" s="11"/>
      <c r="Q283" s="25" t="n">
        <f aca="false">SUMIFS('Commentary drivers'!$D:$D,'Commentary drivers'!$A:$A,A283)</f>
        <v>10</v>
      </c>
      <c r="R283" s="25" t="n">
        <f aca="false">SUMIFS('Commentary drivers'!$E:$E,'Commentary drivers'!$A:$A,A283)</f>
        <v>10</v>
      </c>
      <c r="S283" s="49" t="str">
        <f aca="false">IF(AND(ROUND(Q283-J283,4)=0,ROUND(R283-K283,1)=0),"✓","✗")</f>
        <v>✓</v>
      </c>
    </row>
    <row r="284" customFormat="false" ht="15" hidden="false" customHeight="false" outlineLevel="0" collapsed="false">
      <c r="A284" s="11" t="s">
        <v>1690</v>
      </c>
      <c r="B284" s="11" t="s">
        <v>29</v>
      </c>
      <c r="C284" s="11" t="s">
        <v>30</v>
      </c>
      <c r="D284" s="11" t="s">
        <v>1516</v>
      </c>
      <c r="E284" s="11" t="s">
        <v>1525</v>
      </c>
      <c r="F284" s="11" t="s">
        <v>399</v>
      </c>
      <c r="G284" s="11" t="n">
        <v>1</v>
      </c>
      <c r="H284" s="34" t="n">
        <v>79</v>
      </c>
      <c r="I284" s="34" t="n">
        <v>72.5</v>
      </c>
      <c r="J284" s="34" t="n">
        <v>6.5</v>
      </c>
      <c r="K284" s="34" t="n">
        <v>6.5</v>
      </c>
      <c r="L284" s="11" t="s">
        <v>546</v>
      </c>
      <c r="M284" s="11" t="s">
        <v>1250</v>
      </c>
      <c r="N284" s="11" t="s">
        <v>1262</v>
      </c>
      <c r="O284" s="11"/>
      <c r="P284" s="11"/>
      <c r="Q284" s="25" t="n">
        <f aca="false">SUMIFS('Commentary drivers'!$D:$D,'Commentary drivers'!$A:$A,A284)</f>
        <v>6.5</v>
      </c>
      <c r="R284" s="25" t="n">
        <f aca="false">SUMIFS('Commentary drivers'!$E:$E,'Commentary drivers'!$A:$A,A284)</f>
        <v>6.5</v>
      </c>
      <c r="S284" s="49" t="str">
        <f aca="false">IF(AND(ROUND(Q284-J284,4)=0,ROUND(R284-K284,1)=0),"✓","✗")</f>
        <v>✓</v>
      </c>
    </row>
    <row r="285" customFormat="false" ht="15" hidden="false" customHeight="false" outlineLevel="0" collapsed="false">
      <c r="A285" s="11" t="s">
        <v>1691</v>
      </c>
      <c r="B285" s="11" t="s">
        <v>29</v>
      </c>
      <c r="C285" s="11" t="s">
        <v>30</v>
      </c>
      <c r="D285" s="11" t="s">
        <v>1516</v>
      </c>
      <c r="E285" s="11" t="s">
        <v>1527</v>
      </c>
      <c r="F285" s="11" t="s">
        <v>401</v>
      </c>
      <c r="G285" s="11" t="n">
        <v>1</v>
      </c>
      <c r="H285" s="34" t="n">
        <v>11</v>
      </c>
      <c r="I285" s="34" t="n">
        <v>9.5</v>
      </c>
      <c r="J285" s="34" t="n">
        <v>1.5</v>
      </c>
      <c r="K285" s="34" t="n">
        <v>1.5</v>
      </c>
      <c r="L285" s="11" t="s">
        <v>547</v>
      </c>
      <c r="M285" s="11" t="s">
        <v>1250</v>
      </c>
      <c r="N285" s="11" t="s">
        <v>1262</v>
      </c>
      <c r="O285" s="11"/>
      <c r="P285" s="11"/>
      <c r="Q285" s="25" t="n">
        <f aca="false">SUMIFS('Commentary drivers'!$D:$D,'Commentary drivers'!$A:$A,A285)</f>
        <v>1.5</v>
      </c>
      <c r="R285" s="25" t="n">
        <f aca="false">SUMIFS('Commentary drivers'!$E:$E,'Commentary drivers'!$A:$A,A285)</f>
        <v>1.5</v>
      </c>
      <c r="S285" s="49" t="str">
        <f aca="false">IF(AND(ROUND(Q285-J285,4)=0,ROUND(R285-K285,1)=0),"✓","✗")</f>
        <v>✓</v>
      </c>
    </row>
    <row r="286" customFormat="false" ht="15" hidden="false" customHeight="false" outlineLevel="0" collapsed="false">
      <c r="A286" s="11" t="s">
        <v>1692</v>
      </c>
      <c r="B286" s="11" t="s">
        <v>29</v>
      </c>
      <c r="C286" s="11" t="s">
        <v>30</v>
      </c>
      <c r="D286" s="11" t="s">
        <v>1516</v>
      </c>
      <c r="E286" s="11" t="s">
        <v>1529</v>
      </c>
      <c r="F286" s="11" t="s">
        <v>403</v>
      </c>
      <c r="G286" s="11" t="n">
        <v>0</v>
      </c>
      <c r="H286" s="34" t="n">
        <v>-216.87759</v>
      </c>
      <c r="I286" s="34" t="n">
        <v>-266.87655</v>
      </c>
      <c r="J286" s="34" t="n">
        <v>49.99896</v>
      </c>
      <c r="K286" s="34" t="n">
        <v>50</v>
      </c>
      <c r="L286" s="11" t="s">
        <v>548</v>
      </c>
      <c r="M286" s="11" t="s">
        <v>1250</v>
      </c>
      <c r="N286" s="11" t="s">
        <v>1251</v>
      </c>
      <c r="O286" s="11" t="s">
        <v>1252</v>
      </c>
      <c r="P286" s="11" t="s">
        <v>1557</v>
      </c>
      <c r="Q286" s="25" t="n">
        <f aca="false">SUMIFS('Commentary drivers'!$D:$D,'Commentary drivers'!$A:$A,A286)</f>
        <v>49.99896</v>
      </c>
      <c r="R286" s="25" t="n">
        <f aca="false">SUMIFS('Commentary drivers'!$E:$E,'Commentary drivers'!$A:$A,A286)</f>
        <v>50</v>
      </c>
      <c r="S286" s="49" t="str">
        <f aca="false">IF(AND(ROUND(Q286-J286,4)=0,ROUND(R286-K286,1)=0),"✓","✗")</f>
        <v>✓</v>
      </c>
    </row>
    <row r="287" customFormat="false" ht="15" hidden="false" customHeight="false" outlineLevel="0" collapsed="false">
      <c r="A287" s="11" t="s">
        <v>1693</v>
      </c>
      <c r="B287" s="11" t="s">
        <v>29</v>
      </c>
      <c r="C287" s="11" t="s">
        <v>30</v>
      </c>
      <c r="D287" s="11" t="s">
        <v>1516</v>
      </c>
      <c r="E287" s="11" t="s">
        <v>1531</v>
      </c>
      <c r="F287" s="11" t="s">
        <v>405</v>
      </c>
      <c r="G287" s="11" t="n">
        <v>1</v>
      </c>
      <c r="H287" s="34" t="n">
        <v>-1472.03315</v>
      </c>
      <c r="I287" s="34" t="n">
        <v>-1278.81195</v>
      </c>
      <c r="J287" s="34" t="n">
        <v>-193.2212</v>
      </c>
      <c r="K287" s="34" t="n">
        <v>-193.2</v>
      </c>
      <c r="L287" s="11" t="s">
        <v>549</v>
      </c>
      <c r="M287" s="11" t="s">
        <v>1250</v>
      </c>
      <c r="N287" s="11" t="s">
        <v>1251</v>
      </c>
      <c r="O287" s="11" t="s">
        <v>1252</v>
      </c>
      <c r="P287" s="11" t="s">
        <v>1557</v>
      </c>
      <c r="Q287" s="25" t="n">
        <f aca="false">SUMIFS('Commentary drivers'!$D:$D,'Commentary drivers'!$A:$A,A287)</f>
        <v>-193.2212</v>
      </c>
      <c r="R287" s="25" t="n">
        <f aca="false">SUMIFS('Commentary drivers'!$E:$E,'Commentary drivers'!$A:$A,A287)</f>
        <v>-193.2</v>
      </c>
      <c r="S287" s="49" t="str">
        <f aca="false">IF(AND(ROUND(Q287-J287,4)=0,ROUND(R287-K287,1)=0),"✓","✗")</f>
        <v>✓</v>
      </c>
    </row>
    <row r="288" customFormat="false" ht="15" hidden="false" customHeight="false" outlineLevel="0" collapsed="false">
      <c r="A288" s="11" t="s">
        <v>1694</v>
      </c>
      <c r="B288" s="11" t="s">
        <v>29</v>
      </c>
      <c r="C288" s="11" t="s">
        <v>30</v>
      </c>
      <c r="D288" s="11" t="s">
        <v>1516</v>
      </c>
      <c r="E288" s="11" t="s">
        <v>1533</v>
      </c>
      <c r="F288" s="11" t="s">
        <v>407</v>
      </c>
      <c r="G288" s="11" t="n">
        <v>1</v>
      </c>
      <c r="H288" s="34" t="n">
        <v>92</v>
      </c>
      <c r="I288" s="34" t="n">
        <v>88.8</v>
      </c>
      <c r="J288" s="34" t="n">
        <v>3.2</v>
      </c>
      <c r="K288" s="34" t="n">
        <v>3.2</v>
      </c>
      <c r="L288" s="11" t="s">
        <v>550</v>
      </c>
      <c r="M288" s="11" t="s">
        <v>1250</v>
      </c>
      <c r="N288" s="11" t="s">
        <v>1262</v>
      </c>
      <c r="O288" s="11"/>
      <c r="P288" s="11"/>
      <c r="Q288" s="25" t="n">
        <f aca="false">SUMIFS('Commentary drivers'!$D:$D,'Commentary drivers'!$A:$A,A288)</f>
        <v>3.2</v>
      </c>
      <c r="R288" s="25" t="n">
        <f aca="false">SUMIFS('Commentary drivers'!$E:$E,'Commentary drivers'!$A:$A,A288)</f>
        <v>3.2</v>
      </c>
      <c r="S288" s="49" t="str">
        <f aca="false">IF(AND(ROUND(Q288-J288,4)=0,ROUND(R288-K288,1)=0),"✓","✗")</f>
        <v>✓</v>
      </c>
    </row>
    <row r="289" customFormat="false" ht="15" hidden="false" customHeight="false" outlineLevel="0" collapsed="false">
      <c r="A289" s="11" t="s">
        <v>1695</v>
      </c>
      <c r="B289" s="11" t="s">
        <v>29</v>
      </c>
      <c r="C289" s="11" t="s">
        <v>30</v>
      </c>
      <c r="D289" s="11" t="s">
        <v>1516</v>
      </c>
      <c r="E289" s="11" t="s">
        <v>1535</v>
      </c>
      <c r="F289" s="11" t="s">
        <v>409</v>
      </c>
      <c r="G289" s="11" t="n">
        <v>1</v>
      </c>
      <c r="H289" s="34" t="n">
        <v>-95</v>
      </c>
      <c r="I289" s="34" t="n">
        <v>-80</v>
      </c>
      <c r="J289" s="34" t="n">
        <v>-15</v>
      </c>
      <c r="K289" s="34" t="n">
        <v>-15</v>
      </c>
      <c r="L289" s="11" t="s">
        <v>551</v>
      </c>
      <c r="M289" s="11" t="s">
        <v>1250</v>
      </c>
      <c r="N289" s="11" t="s">
        <v>1251</v>
      </c>
      <c r="O289" s="11" t="s">
        <v>1252</v>
      </c>
      <c r="P289" s="11" t="s">
        <v>1557</v>
      </c>
      <c r="Q289" s="25" t="n">
        <f aca="false">SUMIFS('Commentary drivers'!$D:$D,'Commentary drivers'!$A:$A,A289)</f>
        <v>-15</v>
      </c>
      <c r="R289" s="25" t="n">
        <f aca="false">SUMIFS('Commentary drivers'!$E:$E,'Commentary drivers'!$A:$A,A289)</f>
        <v>-15</v>
      </c>
      <c r="S289" s="49" t="str">
        <f aca="false">IF(AND(ROUND(Q289-J289,4)=0,ROUND(R289-K289,1)=0),"✓","✗")</f>
        <v>✓</v>
      </c>
    </row>
    <row r="290" customFormat="false" ht="15" hidden="false" customHeight="false" outlineLevel="0" collapsed="false">
      <c r="A290" s="11" t="s">
        <v>1696</v>
      </c>
      <c r="B290" s="11" t="s">
        <v>29</v>
      </c>
      <c r="C290" s="11" t="s">
        <v>30</v>
      </c>
      <c r="D290" s="11" t="s">
        <v>1516</v>
      </c>
      <c r="E290" s="11" t="s">
        <v>1537</v>
      </c>
      <c r="F290" s="11" t="s">
        <v>411</v>
      </c>
      <c r="G290" s="11" t="n">
        <v>1</v>
      </c>
      <c r="H290" s="34" t="n">
        <v>45</v>
      </c>
      <c r="I290" s="34" t="n">
        <v>13.933</v>
      </c>
      <c r="J290" s="34" t="n">
        <v>31.067</v>
      </c>
      <c r="K290" s="34" t="n">
        <v>31.1</v>
      </c>
      <c r="L290" s="11" t="s">
        <v>552</v>
      </c>
      <c r="M290" s="11" t="s">
        <v>1250</v>
      </c>
      <c r="N290" s="11" t="s">
        <v>1251</v>
      </c>
      <c r="O290" s="11" t="s">
        <v>1252</v>
      </c>
      <c r="P290" s="11" t="s">
        <v>1557</v>
      </c>
      <c r="Q290" s="25" t="n">
        <f aca="false">SUMIFS('Commentary drivers'!$D:$D,'Commentary drivers'!$A:$A,A290)</f>
        <v>31.067</v>
      </c>
      <c r="R290" s="25" t="n">
        <f aca="false">SUMIFS('Commentary drivers'!$E:$E,'Commentary drivers'!$A:$A,A290)</f>
        <v>31.1</v>
      </c>
      <c r="S290" s="49" t="str">
        <f aca="false">IF(AND(ROUND(Q290-J290,4)=0,ROUND(R290-K290,1)=0),"✓","✗")</f>
        <v>✓</v>
      </c>
    </row>
    <row r="291" customFormat="false" ht="15" hidden="false" customHeight="false" outlineLevel="0" collapsed="false">
      <c r="A291" s="11" t="s">
        <v>1697</v>
      </c>
      <c r="B291" s="11" t="s">
        <v>29</v>
      </c>
      <c r="C291" s="11" t="s">
        <v>30</v>
      </c>
      <c r="D291" s="11" t="s">
        <v>1516</v>
      </c>
      <c r="E291" s="11" t="s">
        <v>1539</v>
      </c>
      <c r="F291" s="11" t="s">
        <v>413</v>
      </c>
      <c r="G291" s="11" t="n">
        <v>1</v>
      </c>
      <c r="H291" s="34" t="n">
        <v>93.86756</v>
      </c>
      <c r="I291" s="34" t="n">
        <v>-68.3146</v>
      </c>
      <c r="J291" s="34" t="n">
        <v>162.18216</v>
      </c>
      <c r="K291" s="34" t="n">
        <v>162.2</v>
      </c>
      <c r="L291" s="11" t="s">
        <v>553</v>
      </c>
      <c r="M291" s="11" t="s">
        <v>1250</v>
      </c>
      <c r="N291" s="11" t="s">
        <v>1251</v>
      </c>
      <c r="O291" s="11" t="s">
        <v>1252</v>
      </c>
      <c r="P291" s="11" t="s">
        <v>1557</v>
      </c>
      <c r="Q291" s="25" t="n">
        <f aca="false">SUMIFS('Commentary drivers'!$D:$D,'Commentary drivers'!$A:$A,A291)</f>
        <v>162.18216</v>
      </c>
      <c r="R291" s="25" t="n">
        <f aca="false">SUMIFS('Commentary drivers'!$E:$E,'Commentary drivers'!$A:$A,A291)</f>
        <v>162.2</v>
      </c>
      <c r="S291" s="49" t="str">
        <f aca="false">IF(AND(ROUND(Q291-J291,4)=0,ROUND(R291-K291,1)=0),"✓","✗")</f>
        <v>✓</v>
      </c>
    </row>
    <row r="292" customFormat="false" ht="15" hidden="false" customHeight="false" outlineLevel="0" collapsed="false">
      <c r="A292" s="11" t="s">
        <v>1698</v>
      </c>
      <c r="B292" s="11" t="s">
        <v>29</v>
      </c>
      <c r="C292" s="11" t="s">
        <v>30</v>
      </c>
      <c r="D292" s="11" t="s">
        <v>1516</v>
      </c>
      <c r="E292" s="11" t="s">
        <v>1541</v>
      </c>
      <c r="F292" s="11" t="s">
        <v>415</v>
      </c>
      <c r="G292" s="11" t="n">
        <v>1</v>
      </c>
      <c r="H292" s="34" t="n">
        <v>1119.288</v>
      </c>
      <c r="I292" s="34" t="n">
        <v>1057.517</v>
      </c>
      <c r="J292" s="34" t="n">
        <v>61.771</v>
      </c>
      <c r="K292" s="34" t="n">
        <v>61.8</v>
      </c>
      <c r="L292" s="11" t="s">
        <v>554</v>
      </c>
      <c r="M292" s="11" t="s">
        <v>1250</v>
      </c>
      <c r="N292" s="11" t="s">
        <v>1251</v>
      </c>
      <c r="O292" s="11" t="s">
        <v>1252</v>
      </c>
      <c r="P292" s="11" t="s">
        <v>1557</v>
      </c>
      <c r="Q292" s="25" t="n">
        <f aca="false">SUMIFS('Commentary drivers'!$D:$D,'Commentary drivers'!$A:$A,A292)</f>
        <v>61.771</v>
      </c>
      <c r="R292" s="25" t="n">
        <f aca="false">SUMIFS('Commentary drivers'!$E:$E,'Commentary drivers'!$A:$A,A292)</f>
        <v>61.8</v>
      </c>
      <c r="S292" s="49" t="str">
        <f aca="false">IF(AND(ROUND(Q292-J292,4)=0,ROUND(R292-K292,1)=0),"✓","✗")</f>
        <v>✓</v>
      </c>
    </row>
    <row r="293" customFormat="false" ht="15" hidden="false" customHeight="false" outlineLevel="0" collapsed="false">
      <c r="A293" s="11" t="s">
        <v>1699</v>
      </c>
      <c r="B293" s="11" t="s">
        <v>29</v>
      </c>
      <c r="C293" s="11" t="s">
        <v>30</v>
      </c>
      <c r="D293" s="11" t="s">
        <v>1516</v>
      </c>
      <c r="E293" s="11" t="s">
        <v>1543</v>
      </c>
      <c r="F293" s="11" t="s">
        <v>417</v>
      </c>
      <c r="G293" s="11" t="n">
        <v>0</v>
      </c>
      <c r="H293" s="34" t="n">
        <v>508.32341</v>
      </c>
      <c r="I293" s="34" t="n">
        <v>482.82845</v>
      </c>
      <c r="J293" s="34" t="n">
        <v>25.49496</v>
      </c>
      <c r="K293" s="34" t="n">
        <v>25.5</v>
      </c>
      <c r="L293" s="11" t="s">
        <v>555</v>
      </c>
      <c r="M293" s="11" t="s">
        <v>1250</v>
      </c>
      <c r="N293" s="11" t="s">
        <v>1251</v>
      </c>
      <c r="O293" s="11" t="s">
        <v>1252</v>
      </c>
      <c r="P293" s="11" t="s">
        <v>1557</v>
      </c>
      <c r="Q293" s="25" t="n">
        <f aca="false">SUMIFS('Commentary drivers'!$D:$D,'Commentary drivers'!$A:$A,A293)</f>
        <v>25.49496</v>
      </c>
      <c r="R293" s="25" t="n">
        <f aca="false">SUMIFS('Commentary drivers'!$E:$E,'Commentary drivers'!$A:$A,A293)</f>
        <v>25.5</v>
      </c>
      <c r="S293" s="49" t="str">
        <f aca="false">IF(AND(ROUND(Q293-J293,4)=0,ROUND(R293-K293,1)=0),"✓","✗")</f>
        <v>✓</v>
      </c>
    </row>
    <row r="294" customFormat="false" ht="15" hidden="false" customHeight="false" outlineLevel="0" collapsed="false">
      <c r="A294" s="11" t="s">
        <v>1700</v>
      </c>
      <c r="B294" s="11" t="s">
        <v>29</v>
      </c>
      <c r="C294" s="11" t="s">
        <v>30</v>
      </c>
      <c r="D294" s="11" t="s">
        <v>1516</v>
      </c>
      <c r="E294" s="11" t="s">
        <v>1545</v>
      </c>
      <c r="F294" s="11" t="s">
        <v>419</v>
      </c>
      <c r="G294" s="11" t="n">
        <v>0</v>
      </c>
      <c r="H294" s="34" t="n">
        <v>-206</v>
      </c>
      <c r="I294" s="34" t="n">
        <v>-66</v>
      </c>
      <c r="J294" s="34" t="n">
        <v>-140</v>
      </c>
      <c r="K294" s="34" t="n">
        <v>-140</v>
      </c>
      <c r="L294" s="11" t="s">
        <v>556</v>
      </c>
      <c r="M294" s="11" t="s">
        <v>1250</v>
      </c>
      <c r="N294" s="11" t="s">
        <v>1251</v>
      </c>
      <c r="O294" s="11" t="s">
        <v>1252</v>
      </c>
      <c r="P294" s="11" t="s">
        <v>1557</v>
      </c>
      <c r="Q294" s="25" t="n">
        <f aca="false">SUMIFS('Commentary drivers'!$D:$D,'Commentary drivers'!$A:$A,A294)</f>
        <v>-140</v>
      </c>
      <c r="R294" s="25" t="n">
        <f aca="false">SUMIFS('Commentary drivers'!$E:$E,'Commentary drivers'!$A:$A,A294)</f>
        <v>-140</v>
      </c>
      <c r="S294" s="49" t="str">
        <f aca="false">IF(AND(ROUND(Q294-J294,4)=0,ROUND(R294-K294,1)=0),"✓","✗")</f>
        <v>✓</v>
      </c>
    </row>
    <row r="295" customFormat="false" ht="15" hidden="false" customHeight="false" outlineLevel="0" collapsed="false">
      <c r="A295" s="11" t="s">
        <v>1701</v>
      </c>
      <c r="B295" s="11" t="s">
        <v>29</v>
      </c>
      <c r="C295" s="11" t="s">
        <v>30</v>
      </c>
      <c r="D295" s="11" t="s">
        <v>1516</v>
      </c>
      <c r="E295" s="11" t="s">
        <v>1547</v>
      </c>
      <c r="F295" s="11" t="s">
        <v>421</v>
      </c>
      <c r="G295" s="11" t="n">
        <v>1</v>
      </c>
      <c r="H295" s="34" t="n">
        <v>-206</v>
      </c>
      <c r="I295" s="34" t="n">
        <v>-66</v>
      </c>
      <c r="J295" s="34" t="n">
        <v>-140</v>
      </c>
      <c r="K295" s="34" t="n">
        <v>-140</v>
      </c>
      <c r="L295" s="11" t="s">
        <v>557</v>
      </c>
      <c r="M295" s="11" t="s">
        <v>1250</v>
      </c>
      <c r="N295" s="11" t="s">
        <v>1251</v>
      </c>
      <c r="O295" s="11" t="s">
        <v>1252</v>
      </c>
      <c r="P295" s="11" t="s">
        <v>1557</v>
      </c>
      <c r="Q295" s="25" t="n">
        <f aca="false">SUMIFS('Commentary drivers'!$D:$D,'Commentary drivers'!$A:$A,A295)</f>
        <v>-140</v>
      </c>
      <c r="R295" s="25" t="n">
        <f aca="false">SUMIFS('Commentary drivers'!$E:$E,'Commentary drivers'!$A:$A,A295)</f>
        <v>-140</v>
      </c>
      <c r="S295" s="49" t="str">
        <f aca="false">IF(AND(ROUND(Q295-J295,4)=0,ROUND(R295-K295,1)=0),"✓","✗")</f>
        <v>✓</v>
      </c>
    </row>
    <row r="296" customFormat="false" ht="15" hidden="false" customHeight="false" outlineLevel="0" collapsed="false">
      <c r="A296" s="11" t="s">
        <v>1702</v>
      </c>
      <c r="B296" s="11" t="s">
        <v>29</v>
      </c>
      <c r="C296" s="11" t="s">
        <v>30</v>
      </c>
      <c r="D296" s="11" t="s">
        <v>1516</v>
      </c>
      <c r="E296" s="11" t="s">
        <v>1549</v>
      </c>
      <c r="F296" s="11" t="s">
        <v>423</v>
      </c>
      <c r="G296" s="11" t="n">
        <v>0</v>
      </c>
      <c r="H296" s="34" t="n">
        <v>0</v>
      </c>
      <c r="I296" s="34" t="n">
        <v>12</v>
      </c>
      <c r="J296" s="34" t="n">
        <v>-12</v>
      </c>
      <c r="K296" s="34" t="n">
        <v>-12</v>
      </c>
      <c r="L296" s="11" t="s">
        <v>558</v>
      </c>
      <c r="M296" s="11" t="s">
        <v>1250</v>
      </c>
      <c r="N296" s="11" t="s">
        <v>1251</v>
      </c>
      <c r="O296" s="11" t="s">
        <v>1252</v>
      </c>
      <c r="P296" s="11" t="s">
        <v>1557</v>
      </c>
      <c r="Q296" s="25" t="n">
        <f aca="false">SUMIFS('Commentary drivers'!$D:$D,'Commentary drivers'!$A:$A,A296)</f>
        <v>-12</v>
      </c>
      <c r="R296" s="25" t="n">
        <f aca="false">SUMIFS('Commentary drivers'!$E:$E,'Commentary drivers'!$A:$A,A296)</f>
        <v>-12</v>
      </c>
      <c r="S296" s="49" t="str">
        <f aca="false">IF(AND(ROUND(Q296-J296,4)=0,ROUND(R296-K296,1)=0),"✓","✗")</f>
        <v>✓</v>
      </c>
    </row>
    <row r="297" customFormat="false" ht="15" hidden="false" customHeight="false" outlineLevel="0" collapsed="false">
      <c r="A297" s="11" t="s">
        <v>1703</v>
      </c>
      <c r="B297" s="11" t="s">
        <v>29</v>
      </c>
      <c r="C297" s="11" t="s">
        <v>30</v>
      </c>
      <c r="D297" s="11" t="s">
        <v>1516</v>
      </c>
      <c r="E297" s="11" t="s">
        <v>1551</v>
      </c>
      <c r="F297" s="11" t="s">
        <v>425</v>
      </c>
      <c r="G297" s="11" t="n">
        <v>1</v>
      </c>
      <c r="H297" s="34" t="n">
        <v>0</v>
      </c>
      <c r="I297" s="34" t="n">
        <v>0</v>
      </c>
      <c r="J297" s="34" t="n">
        <v>0</v>
      </c>
      <c r="K297" s="34" t="n">
        <v>0</v>
      </c>
      <c r="L297" s="11" t="s">
        <v>559</v>
      </c>
      <c r="M297" s="11" t="s">
        <v>1250</v>
      </c>
      <c r="N297" s="11" t="s">
        <v>1262</v>
      </c>
      <c r="O297" s="11"/>
      <c r="P297" s="11"/>
      <c r="Q297" s="25" t="n">
        <f aca="false">SUMIFS('Commentary drivers'!$D:$D,'Commentary drivers'!$A:$A,A297)</f>
        <v>0</v>
      </c>
      <c r="R297" s="25" t="n">
        <f aca="false">SUMIFS('Commentary drivers'!$E:$E,'Commentary drivers'!$A:$A,A297)</f>
        <v>0</v>
      </c>
      <c r="S297" s="49" t="str">
        <f aca="false">IF(AND(ROUND(Q297-J297,4)=0,ROUND(R297-K297,1)=0),"✓","✗")</f>
        <v>✓</v>
      </c>
    </row>
    <row r="298" customFormat="false" ht="15" hidden="false" customHeight="false" outlineLevel="0" collapsed="false">
      <c r="A298" s="11" t="s">
        <v>1704</v>
      </c>
      <c r="B298" s="11" t="s">
        <v>29</v>
      </c>
      <c r="C298" s="11" t="s">
        <v>30</v>
      </c>
      <c r="D298" s="11" t="s">
        <v>1516</v>
      </c>
      <c r="E298" s="11" t="s">
        <v>1553</v>
      </c>
      <c r="F298" s="11" t="s">
        <v>427</v>
      </c>
      <c r="G298" s="11" t="n">
        <v>1</v>
      </c>
      <c r="H298" s="34" t="n">
        <v>0</v>
      </c>
      <c r="I298" s="34" t="n">
        <v>12</v>
      </c>
      <c r="J298" s="34" t="n">
        <v>-12</v>
      </c>
      <c r="K298" s="34" t="n">
        <v>-12</v>
      </c>
      <c r="L298" s="11" t="s">
        <v>560</v>
      </c>
      <c r="M298" s="11" t="s">
        <v>1250</v>
      </c>
      <c r="N298" s="11" t="s">
        <v>1251</v>
      </c>
      <c r="O298" s="11" t="s">
        <v>1252</v>
      </c>
      <c r="P298" s="11" t="s">
        <v>1557</v>
      </c>
      <c r="Q298" s="25" t="n">
        <f aca="false">SUMIFS('Commentary drivers'!$D:$D,'Commentary drivers'!$A:$A,A298)</f>
        <v>-12</v>
      </c>
      <c r="R298" s="25" t="n">
        <f aca="false">SUMIFS('Commentary drivers'!$E:$E,'Commentary drivers'!$A:$A,A298)</f>
        <v>-12</v>
      </c>
      <c r="S298" s="49" t="str">
        <f aca="false">IF(AND(ROUND(Q298-J298,4)=0,ROUND(R298-K298,1)=0),"✓","✗")</f>
        <v>✓</v>
      </c>
    </row>
    <row r="299" customFormat="false" ht="15" hidden="false" customHeight="false" outlineLevel="0" collapsed="false">
      <c r="A299" s="11" t="s">
        <v>1705</v>
      </c>
      <c r="B299" s="11" t="s">
        <v>29</v>
      </c>
      <c r="C299" s="11" t="s">
        <v>30</v>
      </c>
      <c r="D299" s="11" t="s">
        <v>1516</v>
      </c>
      <c r="E299" s="11" t="s">
        <v>1555</v>
      </c>
      <c r="F299" s="11" t="s">
        <v>429</v>
      </c>
      <c r="G299" s="11" t="n">
        <v>0</v>
      </c>
      <c r="H299" s="34" t="n">
        <v>302.32341</v>
      </c>
      <c r="I299" s="34" t="n">
        <v>428.82845</v>
      </c>
      <c r="J299" s="34" t="n">
        <v>-126.50504</v>
      </c>
      <c r="K299" s="34" t="n">
        <v>-126.5</v>
      </c>
      <c r="L299" s="11" t="s">
        <v>561</v>
      </c>
      <c r="M299" s="11" t="s">
        <v>1250</v>
      </c>
      <c r="N299" s="11" t="s">
        <v>1251</v>
      </c>
      <c r="O299" s="11" t="s">
        <v>1252</v>
      </c>
      <c r="P299" s="11" t="s">
        <v>1557</v>
      </c>
      <c r="Q299" s="25" t="n">
        <f aca="false">SUMIFS('Commentary drivers'!$D:$D,'Commentary drivers'!$A:$A,A299)</f>
        <v>-126.50504</v>
      </c>
      <c r="R299" s="25" t="n">
        <f aca="false">SUMIFS('Commentary drivers'!$E:$E,'Commentary drivers'!$A:$A,A299)</f>
        <v>-126.5</v>
      </c>
      <c r="S299" s="49" t="str">
        <f aca="false">IF(AND(ROUND(Q299-J299,4)=0,ROUND(R299-K299,1)=0),"✓","✗")</f>
        <v>✓</v>
      </c>
    </row>
    <row r="300" customFormat="false" ht="15" hidden="false" customHeight="false" outlineLevel="0" collapsed="false">
      <c r="A300" s="11" t="s">
        <v>1706</v>
      </c>
      <c r="B300" s="11" t="s">
        <v>31</v>
      </c>
      <c r="C300" s="11" t="s">
        <v>32</v>
      </c>
      <c r="D300" s="11" t="s">
        <v>1248</v>
      </c>
      <c r="E300" s="11" t="s">
        <v>1249</v>
      </c>
      <c r="F300" s="11" t="s">
        <v>153</v>
      </c>
      <c r="G300" s="11" t="n">
        <v>0</v>
      </c>
      <c r="H300" s="34" t="n">
        <v>1800</v>
      </c>
      <c r="I300" s="34" t="n">
        <v>1493.619</v>
      </c>
      <c r="J300" s="34" t="n">
        <v>306.381</v>
      </c>
      <c r="K300" s="34" t="n">
        <v>306.4</v>
      </c>
      <c r="L300" s="11" t="s">
        <v>563</v>
      </c>
      <c r="M300" s="11" t="s">
        <v>1250</v>
      </c>
      <c r="N300" s="11" t="s">
        <v>1251</v>
      </c>
      <c r="O300" s="11" t="s">
        <v>1252</v>
      </c>
      <c r="P300" s="11" t="s">
        <v>1557</v>
      </c>
      <c r="Q300" s="25" t="n">
        <f aca="false">SUMIFS('Commentary drivers'!$D:$D,'Commentary drivers'!$A:$A,A300)</f>
        <v>306.381</v>
      </c>
      <c r="R300" s="25" t="n">
        <f aca="false">SUMIFS('Commentary drivers'!$E:$E,'Commentary drivers'!$A:$A,A300)</f>
        <v>306.4</v>
      </c>
      <c r="S300" s="49" t="str">
        <f aca="false">IF(AND(ROUND(Q300-J300,4)=0,ROUND(R300-K300,1)=0),"✓","✗")</f>
        <v>✓</v>
      </c>
    </row>
    <row r="301" customFormat="false" ht="15" hidden="false" customHeight="false" outlineLevel="0" collapsed="false">
      <c r="A301" s="11" t="s">
        <v>1707</v>
      </c>
      <c r="B301" s="11" t="s">
        <v>31</v>
      </c>
      <c r="C301" s="11" t="s">
        <v>32</v>
      </c>
      <c r="D301" s="11" t="s">
        <v>1248</v>
      </c>
      <c r="E301" s="11" t="s">
        <v>1255</v>
      </c>
      <c r="F301" s="11" t="s">
        <v>154</v>
      </c>
      <c r="G301" s="11" t="n">
        <v>0</v>
      </c>
      <c r="H301" s="34" t="n">
        <v>200</v>
      </c>
      <c r="I301" s="34" t="n">
        <v>130</v>
      </c>
      <c r="J301" s="34" t="n">
        <v>70</v>
      </c>
      <c r="K301" s="34" t="n">
        <v>70</v>
      </c>
      <c r="L301" s="11" t="s">
        <v>564</v>
      </c>
      <c r="M301" s="11" t="s">
        <v>1250</v>
      </c>
      <c r="N301" s="11" t="s">
        <v>1251</v>
      </c>
      <c r="O301" s="11" t="s">
        <v>1252</v>
      </c>
      <c r="P301" s="11" t="s">
        <v>1557</v>
      </c>
      <c r="Q301" s="25" t="n">
        <f aca="false">SUMIFS('Commentary drivers'!$D:$D,'Commentary drivers'!$A:$A,A301)</f>
        <v>70</v>
      </c>
      <c r="R301" s="25" t="n">
        <f aca="false">SUMIFS('Commentary drivers'!$E:$E,'Commentary drivers'!$A:$A,A301)</f>
        <v>70</v>
      </c>
      <c r="S301" s="49" t="str">
        <f aca="false">IF(AND(ROUND(Q301-J301,4)=0,ROUND(R301-K301,1)=0),"✓","✗")</f>
        <v>✓</v>
      </c>
    </row>
    <row r="302" customFormat="false" ht="15" hidden="false" customHeight="false" outlineLevel="0" collapsed="false">
      <c r="A302" s="11" t="s">
        <v>1708</v>
      </c>
      <c r="B302" s="11" t="s">
        <v>31</v>
      </c>
      <c r="C302" s="11" t="s">
        <v>32</v>
      </c>
      <c r="D302" s="11" t="s">
        <v>1248</v>
      </c>
      <c r="E302" s="11" t="s">
        <v>1257</v>
      </c>
      <c r="F302" s="11" t="s">
        <v>91</v>
      </c>
      <c r="G302" s="11" t="n">
        <v>0</v>
      </c>
      <c r="H302" s="34" t="n">
        <v>2000</v>
      </c>
      <c r="I302" s="34" t="n">
        <v>1623.619</v>
      </c>
      <c r="J302" s="34" t="n">
        <v>376.381</v>
      </c>
      <c r="K302" s="34" t="n">
        <v>376.4</v>
      </c>
      <c r="L302" s="11" t="s">
        <v>565</v>
      </c>
      <c r="M302" s="11" t="s">
        <v>1250</v>
      </c>
      <c r="N302" s="11" t="s">
        <v>1251</v>
      </c>
      <c r="O302" s="11" t="s">
        <v>1252</v>
      </c>
      <c r="P302" s="11" t="s">
        <v>1557</v>
      </c>
      <c r="Q302" s="25" t="n">
        <f aca="false">SUMIFS('Commentary drivers'!$D:$D,'Commentary drivers'!$A:$A,A302)</f>
        <v>376.381</v>
      </c>
      <c r="R302" s="25" t="n">
        <f aca="false">SUMIFS('Commentary drivers'!$E:$E,'Commentary drivers'!$A:$A,A302)</f>
        <v>376.4</v>
      </c>
      <c r="S302" s="49" t="str">
        <f aca="false">IF(AND(ROUND(Q302-J302,4)=0,ROUND(R302-K302,1)=0),"✓","✗")</f>
        <v>✓</v>
      </c>
    </row>
    <row r="303" customFormat="false" ht="15" hidden="false" customHeight="false" outlineLevel="0" collapsed="false">
      <c r="A303" s="11" t="s">
        <v>1709</v>
      </c>
      <c r="B303" s="11" t="s">
        <v>31</v>
      </c>
      <c r="C303" s="11" t="s">
        <v>32</v>
      </c>
      <c r="D303" s="11" t="s">
        <v>1248</v>
      </c>
      <c r="E303" s="11" t="s">
        <v>1259</v>
      </c>
      <c r="F303" s="11" t="s">
        <v>155</v>
      </c>
      <c r="G303" s="11" t="n">
        <v>0</v>
      </c>
      <c r="H303" s="34" t="n">
        <v>540</v>
      </c>
      <c r="I303" s="34" t="n">
        <v>411.46718</v>
      </c>
      <c r="J303" s="34" t="n">
        <v>128.53282</v>
      </c>
      <c r="K303" s="34" t="n">
        <v>128.5</v>
      </c>
      <c r="L303" s="11" t="s">
        <v>566</v>
      </c>
      <c r="M303" s="11" t="s">
        <v>1250</v>
      </c>
      <c r="N303" s="11" t="s">
        <v>1251</v>
      </c>
      <c r="O303" s="11" t="s">
        <v>1252</v>
      </c>
      <c r="P303" s="11" t="s">
        <v>1557</v>
      </c>
      <c r="Q303" s="25" t="n">
        <f aca="false">SUMIFS('Commentary drivers'!$D:$D,'Commentary drivers'!$A:$A,A303)</f>
        <v>128.53282</v>
      </c>
      <c r="R303" s="25" t="n">
        <f aca="false">SUMIFS('Commentary drivers'!$E:$E,'Commentary drivers'!$A:$A,A303)</f>
        <v>128.5</v>
      </c>
      <c r="S303" s="49" t="str">
        <f aca="false">IF(AND(ROUND(Q303-J303,4)=0,ROUND(R303-K303,1)=0),"✓","✗")</f>
        <v>✓</v>
      </c>
    </row>
    <row r="304" customFormat="false" ht="15" hidden="false" customHeight="false" outlineLevel="0" collapsed="false">
      <c r="A304" s="11" t="s">
        <v>1710</v>
      </c>
      <c r="B304" s="11" t="s">
        <v>31</v>
      </c>
      <c r="C304" s="11" t="s">
        <v>32</v>
      </c>
      <c r="D304" s="11" t="s">
        <v>1248</v>
      </c>
      <c r="E304" s="11" t="s">
        <v>1261</v>
      </c>
      <c r="F304" s="11" t="s">
        <v>189</v>
      </c>
      <c r="G304" s="11" t="n">
        <v>1</v>
      </c>
      <c r="H304" s="34" t="n">
        <v>140</v>
      </c>
      <c r="I304" s="34" t="n">
        <v>101</v>
      </c>
      <c r="J304" s="34" t="n">
        <v>39</v>
      </c>
      <c r="K304" s="34" t="n">
        <v>39</v>
      </c>
      <c r="L304" s="11" t="s">
        <v>567</v>
      </c>
      <c r="M304" s="11" t="s">
        <v>1250</v>
      </c>
      <c r="N304" s="11" t="s">
        <v>1251</v>
      </c>
      <c r="O304" s="11" t="s">
        <v>1252</v>
      </c>
      <c r="P304" s="11" t="s">
        <v>1557</v>
      </c>
      <c r="Q304" s="25" t="n">
        <f aca="false">SUMIFS('Commentary drivers'!$D:$D,'Commentary drivers'!$A:$A,A304)</f>
        <v>39</v>
      </c>
      <c r="R304" s="25" t="n">
        <f aca="false">SUMIFS('Commentary drivers'!$E:$E,'Commentary drivers'!$A:$A,A304)</f>
        <v>39</v>
      </c>
      <c r="S304" s="49" t="str">
        <f aca="false">IF(AND(ROUND(Q304-J304,4)=0,ROUND(R304-K304,1)=0),"✓","✗")</f>
        <v>✓</v>
      </c>
    </row>
    <row r="305" customFormat="false" ht="15" hidden="false" customHeight="false" outlineLevel="0" collapsed="false">
      <c r="A305" s="11" t="s">
        <v>1711</v>
      </c>
      <c r="B305" s="11" t="s">
        <v>31</v>
      </c>
      <c r="C305" s="11" t="s">
        <v>32</v>
      </c>
      <c r="D305" s="11" t="s">
        <v>1248</v>
      </c>
      <c r="E305" s="11" t="s">
        <v>1264</v>
      </c>
      <c r="F305" s="11" t="s">
        <v>192</v>
      </c>
      <c r="G305" s="11" t="n">
        <v>1</v>
      </c>
      <c r="H305" s="34" t="n">
        <v>100</v>
      </c>
      <c r="I305" s="34" t="n">
        <v>74.87275</v>
      </c>
      <c r="J305" s="34" t="n">
        <v>25.12725</v>
      </c>
      <c r="K305" s="34" t="n">
        <v>25.1</v>
      </c>
      <c r="L305" s="11" t="s">
        <v>568</v>
      </c>
      <c r="M305" s="11" t="s">
        <v>1250</v>
      </c>
      <c r="N305" s="11" t="s">
        <v>1251</v>
      </c>
      <c r="O305" s="11" t="s">
        <v>1252</v>
      </c>
      <c r="P305" s="11" t="s">
        <v>1557</v>
      </c>
      <c r="Q305" s="25" t="n">
        <f aca="false">SUMIFS('Commentary drivers'!$D:$D,'Commentary drivers'!$A:$A,A305)</f>
        <v>25.12725</v>
      </c>
      <c r="R305" s="25" t="n">
        <f aca="false">SUMIFS('Commentary drivers'!$E:$E,'Commentary drivers'!$A:$A,A305)</f>
        <v>25.1</v>
      </c>
      <c r="S305" s="49" t="str">
        <f aca="false">IF(AND(ROUND(Q305-J305,4)=0,ROUND(R305-K305,1)=0),"✓","✗")</f>
        <v>✓</v>
      </c>
    </row>
    <row r="306" customFormat="false" ht="15" hidden="false" customHeight="false" outlineLevel="0" collapsed="false">
      <c r="A306" s="11" t="s">
        <v>1712</v>
      </c>
      <c r="B306" s="11" t="s">
        <v>31</v>
      </c>
      <c r="C306" s="11" t="s">
        <v>32</v>
      </c>
      <c r="D306" s="11" t="s">
        <v>1248</v>
      </c>
      <c r="E306" s="11" t="s">
        <v>1266</v>
      </c>
      <c r="F306" s="11" t="s">
        <v>195</v>
      </c>
      <c r="G306" s="11" t="n">
        <v>1</v>
      </c>
      <c r="H306" s="34" t="n">
        <v>84</v>
      </c>
      <c r="I306" s="34" t="n">
        <v>71.3881</v>
      </c>
      <c r="J306" s="34" t="n">
        <v>12.6119</v>
      </c>
      <c r="K306" s="34" t="n">
        <v>12.6</v>
      </c>
      <c r="L306" s="11" t="s">
        <v>569</v>
      </c>
      <c r="M306" s="11" t="s">
        <v>1250</v>
      </c>
      <c r="N306" s="11" t="s">
        <v>1251</v>
      </c>
      <c r="O306" s="11" t="s">
        <v>1252</v>
      </c>
      <c r="P306" s="11" t="s">
        <v>1557</v>
      </c>
      <c r="Q306" s="25" t="n">
        <f aca="false">SUMIFS('Commentary drivers'!$D:$D,'Commentary drivers'!$A:$A,A306)</f>
        <v>12.6119</v>
      </c>
      <c r="R306" s="25" t="n">
        <f aca="false">SUMIFS('Commentary drivers'!$E:$E,'Commentary drivers'!$A:$A,A306)</f>
        <v>12.6</v>
      </c>
      <c r="S306" s="49" t="str">
        <f aca="false">IF(AND(ROUND(Q306-J306,4)=0,ROUND(R306-K306,1)=0),"✓","✗")</f>
        <v>✓</v>
      </c>
    </row>
    <row r="307" customFormat="false" ht="15" hidden="false" customHeight="false" outlineLevel="0" collapsed="false">
      <c r="A307" s="11" t="s">
        <v>1713</v>
      </c>
      <c r="B307" s="11" t="s">
        <v>31</v>
      </c>
      <c r="C307" s="11" t="s">
        <v>32</v>
      </c>
      <c r="D307" s="11" t="s">
        <v>1248</v>
      </c>
      <c r="E307" s="11" t="s">
        <v>1268</v>
      </c>
      <c r="F307" s="11" t="s">
        <v>198</v>
      </c>
      <c r="G307" s="11" t="n">
        <v>1</v>
      </c>
      <c r="H307" s="34" t="n">
        <v>160</v>
      </c>
      <c r="I307" s="34" t="n">
        <v>122.183</v>
      </c>
      <c r="J307" s="34" t="n">
        <v>37.817</v>
      </c>
      <c r="K307" s="34" t="n">
        <v>37.8</v>
      </c>
      <c r="L307" s="11" t="s">
        <v>570</v>
      </c>
      <c r="M307" s="11" t="s">
        <v>1250</v>
      </c>
      <c r="N307" s="11" t="s">
        <v>1251</v>
      </c>
      <c r="O307" s="11" t="s">
        <v>1252</v>
      </c>
      <c r="P307" s="11" t="s">
        <v>1557</v>
      </c>
      <c r="Q307" s="25" t="n">
        <f aca="false">SUMIFS('Commentary drivers'!$D:$D,'Commentary drivers'!$A:$A,A307)</f>
        <v>37.817</v>
      </c>
      <c r="R307" s="25" t="n">
        <f aca="false">SUMIFS('Commentary drivers'!$E:$E,'Commentary drivers'!$A:$A,A307)</f>
        <v>37.8</v>
      </c>
      <c r="S307" s="49" t="str">
        <f aca="false">IF(AND(ROUND(Q307-J307,4)=0,ROUND(R307-K307,1)=0),"✓","✗")</f>
        <v>✓</v>
      </c>
    </row>
    <row r="308" customFormat="false" ht="15" hidden="false" customHeight="false" outlineLevel="0" collapsed="false">
      <c r="A308" s="11" t="s">
        <v>1714</v>
      </c>
      <c r="B308" s="11" t="s">
        <v>31</v>
      </c>
      <c r="C308" s="11" t="s">
        <v>32</v>
      </c>
      <c r="D308" s="11" t="s">
        <v>1248</v>
      </c>
      <c r="E308" s="11" t="s">
        <v>1270</v>
      </c>
      <c r="F308" s="11" t="s">
        <v>201</v>
      </c>
      <c r="G308" s="11" t="n">
        <v>1</v>
      </c>
      <c r="H308" s="34" t="n">
        <v>16</v>
      </c>
      <c r="I308" s="34" t="n">
        <v>9.44</v>
      </c>
      <c r="J308" s="34" t="n">
        <v>6.56</v>
      </c>
      <c r="K308" s="34" t="n">
        <v>6.6</v>
      </c>
      <c r="L308" s="11" t="s">
        <v>571</v>
      </c>
      <c r="M308" s="11" t="s">
        <v>1250</v>
      </c>
      <c r="N308" s="11" t="s">
        <v>1251</v>
      </c>
      <c r="O308" s="11" t="s">
        <v>1252</v>
      </c>
      <c r="P308" s="11" t="s">
        <v>1557</v>
      </c>
      <c r="Q308" s="25" t="n">
        <f aca="false">SUMIFS('Commentary drivers'!$D:$D,'Commentary drivers'!$A:$A,A308)</f>
        <v>6.56</v>
      </c>
      <c r="R308" s="25" t="n">
        <f aca="false">SUMIFS('Commentary drivers'!$E:$E,'Commentary drivers'!$A:$A,A308)</f>
        <v>6.6</v>
      </c>
      <c r="S308" s="49" t="str">
        <f aca="false">IF(AND(ROUND(Q308-J308,4)=0,ROUND(R308-K308,1)=0),"✓","✗")</f>
        <v>✓</v>
      </c>
    </row>
    <row r="309" customFormat="false" ht="15" hidden="false" customHeight="false" outlineLevel="0" collapsed="false">
      <c r="A309" s="11" t="s">
        <v>1715</v>
      </c>
      <c r="B309" s="11" t="s">
        <v>31</v>
      </c>
      <c r="C309" s="11" t="s">
        <v>32</v>
      </c>
      <c r="D309" s="11" t="s">
        <v>1248</v>
      </c>
      <c r="E309" s="11" t="s">
        <v>1272</v>
      </c>
      <c r="F309" s="11" t="s">
        <v>204</v>
      </c>
      <c r="G309" s="11" t="n">
        <v>1</v>
      </c>
      <c r="H309" s="34" t="n">
        <v>20</v>
      </c>
      <c r="I309" s="34" t="n">
        <v>16.33333</v>
      </c>
      <c r="J309" s="34" t="n">
        <v>3.66667</v>
      </c>
      <c r="K309" s="34" t="n">
        <v>3.7</v>
      </c>
      <c r="L309" s="11" t="s">
        <v>572</v>
      </c>
      <c r="M309" s="11" t="s">
        <v>1250</v>
      </c>
      <c r="N309" s="11" t="s">
        <v>1251</v>
      </c>
      <c r="O309" s="11" t="s">
        <v>1252</v>
      </c>
      <c r="P309" s="11" t="s">
        <v>1557</v>
      </c>
      <c r="Q309" s="25" t="n">
        <f aca="false">SUMIFS('Commentary drivers'!$D:$D,'Commentary drivers'!$A:$A,A309)</f>
        <v>3.66667</v>
      </c>
      <c r="R309" s="25" t="n">
        <f aca="false">SUMIFS('Commentary drivers'!$E:$E,'Commentary drivers'!$A:$A,A309)</f>
        <v>3.7</v>
      </c>
      <c r="S309" s="49" t="str">
        <f aca="false">IF(AND(ROUND(Q309-J309,4)=0,ROUND(R309-K309,1)=0),"✓","✗")</f>
        <v>✓</v>
      </c>
    </row>
    <row r="310" customFormat="false" ht="15" hidden="false" customHeight="false" outlineLevel="0" collapsed="false">
      <c r="A310" s="11" t="s">
        <v>1716</v>
      </c>
      <c r="B310" s="11" t="s">
        <v>31</v>
      </c>
      <c r="C310" s="11" t="s">
        <v>32</v>
      </c>
      <c r="D310" s="11" t="s">
        <v>1248</v>
      </c>
      <c r="E310" s="11" t="s">
        <v>1274</v>
      </c>
      <c r="F310" s="11" t="s">
        <v>207</v>
      </c>
      <c r="G310" s="11" t="n">
        <v>1</v>
      </c>
      <c r="H310" s="34" t="n">
        <v>20</v>
      </c>
      <c r="I310" s="34" t="n">
        <v>16.25</v>
      </c>
      <c r="J310" s="34" t="n">
        <v>3.75</v>
      </c>
      <c r="K310" s="34" t="n">
        <v>3.8</v>
      </c>
      <c r="L310" s="11" t="s">
        <v>573</v>
      </c>
      <c r="M310" s="11" t="s">
        <v>1250</v>
      </c>
      <c r="N310" s="11" t="s">
        <v>1251</v>
      </c>
      <c r="O310" s="11" t="s">
        <v>1252</v>
      </c>
      <c r="P310" s="11" t="s">
        <v>1557</v>
      </c>
      <c r="Q310" s="25" t="n">
        <f aca="false">SUMIFS('Commentary drivers'!$D:$D,'Commentary drivers'!$A:$A,A310)</f>
        <v>3.75</v>
      </c>
      <c r="R310" s="25" t="n">
        <f aca="false">SUMIFS('Commentary drivers'!$E:$E,'Commentary drivers'!$A:$A,A310)</f>
        <v>3.8</v>
      </c>
      <c r="S310" s="49" t="str">
        <f aca="false">IF(AND(ROUND(Q310-J310,4)=0,ROUND(R310-K310,1)=0),"✓","✗")</f>
        <v>✓</v>
      </c>
    </row>
    <row r="311" customFormat="false" ht="15" hidden="false" customHeight="false" outlineLevel="0" collapsed="false">
      <c r="A311" s="11" t="s">
        <v>1717</v>
      </c>
      <c r="B311" s="11" t="s">
        <v>31</v>
      </c>
      <c r="C311" s="11" t="s">
        <v>32</v>
      </c>
      <c r="D311" s="11" t="s">
        <v>1248</v>
      </c>
      <c r="E311" s="11" t="s">
        <v>1276</v>
      </c>
      <c r="F311" s="11" t="s">
        <v>156</v>
      </c>
      <c r="G311" s="11" t="n">
        <v>0</v>
      </c>
      <c r="H311" s="34" t="n">
        <v>120</v>
      </c>
      <c r="I311" s="34" t="n">
        <v>103.595</v>
      </c>
      <c r="J311" s="34" t="n">
        <v>16.405</v>
      </c>
      <c r="K311" s="34" t="n">
        <v>16.4</v>
      </c>
      <c r="L311" s="11" t="s">
        <v>574</v>
      </c>
      <c r="M311" s="11" t="s">
        <v>1250</v>
      </c>
      <c r="N311" s="11" t="s">
        <v>1251</v>
      </c>
      <c r="O311" s="11" t="s">
        <v>1252</v>
      </c>
      <c r="P311" s="11" t="s">
        <v>1557</v>
      </c>
      <c r="Q311" s="25" t="n">
        <f aca="false">SUMIFS('Commentary drivers'!$D:$D,'Commentary drivers'!$A:$A,A311)</f>
        <v>16.405</v>
      </c>
      <c r="R311" s="25" t="n">
        <f aca="false">SUMIFS('Commentary drivers'!$E:$E,'Commentary drivers'!$A:$A,A311)</f>
        <v>16.4</v>
      </c>
      <c r="S311" s="49" t="str">
        <f aca="false">IF(AND(ROUND(Q311-J311,4)=0,ROUND(R311-K311,1)=0),"✓","✗")</f>
        <v>✓</v>
      </c>
    </row>
    <row r="312" customFormat="false" ht="15" hidden="false" customHeight="false" outlineLevel="0" collapsed="false">
      <c r="A312" s="11" t="s">
        <v>1718</v>
      </c>
      <c r="B312" s="11" t="s">
        <v>31</v>
      </c>
      <c r="C312" s="11" t="s">
        <v>32</v>
      </c>
      <c r="D312" s="11" t="s">
        <v>1248</v>
      </c>
      <c r="E312" s="11" t="s">
        <v>1278</v>
      </c>
      <c r="F312" s="11" t="s">
        <v>101</v>
      </c>
      <c r="G312" s="11" t="n">
        <v>0</v>
      </c>
      <c r="H312" s="34" t="n">
        <v>660</v>
      </c>
      <c r="I312" s="34" t="n">
        <v>515.06218</v>
      </c>
      <c r="J312" s="34" t="n">
        <v>144.93782</v>
      </c>
      <c r="K312" s="34" t="n">
        <v>144.9</v>
      </c>
      <c r="L312" s="11" t="s">
        <v>575</v>
      </c>
      <c r="M312" s="11" t="s">
        <v>1250</v>
      </c>
      <c r="N312" s="11" t="s">
        <v>1251</v>
      </c>
      <c r="O312" s="11" t="s">
        <v>1252</v>
      </c>
      <c r="P312" s="11" t="s">
        <v>1557</v>
      </c>
      <c r="Q312" s="25" t="n">
        <f aca="false">SUMIFS('Commentary drivers'!$D:$D,'Commentary drivers'!$A:$A,A312)</f>
        <v>144.93782</v>
      </c>
      <c r="R312" s="25" t="n">
        <f aca="false">SUMIFS('Commentary drivers'!$E:$E,'Commentary drivers'!$A:$A,A312)</f>
        <v>144.9</v>
      </c>
      <c r="S312" s="49" t="str">
        <f aca="false">IF(AND(ROUND(Q312-J312,4)=0,ROUND(R312-K312,1)=0),"✓","✗")</f>
        <v>✓</v>
      </c>
    </row>
    <row r="313" customFormat="false" ht="15" hidden="false" customHeight="false" outlineLevel="0" collapsed="false">
      <c r="A313" s="11" t="s">
        <v>1719</v>
      </c>
      <c r="B313" s="11" t="s">
        <v>31</v>
      </c>
      <c r="C313" s="11" t="s">
        <v>32</v>
      </c>
      <c r="D313" s="11" t="s">
        <v>1248</v>
      </c>
      <c r="E313" s="11" t="s">
        <v>1280</v>
      </c>
      <c r="F313" s="11" t="s">
        <v>92</v>
      </c>
      <c r="G313" s="11" t="n">
        <v>0</v>
      </c>
      <c r="H313" s="34" t="n">
        <v>1340</v>
      </c>
      <c r="I313" s="34" t="n">
        <v>1108.55682</v>
      </c>
      <c r="J313" s="34" t="n">
        <v>231.44318</v>
      </c>
      <c r="K313" s="34" t="n">
        <v>231.4</v>
      </c>
      <c r="L313" s="11" t="s">
        <v>576</v>
      </c>
      <c r="M313" s="11" t="s">
        <v>1250</v>
      </c>
      <c r="N313" s="11" t="s">
        <v>1251</v>
      </c>
      <c r="O313" s="11" t="s">
        <v>1252</v>
      </c>
      <c r="P313" s="11" t="s">
        <v>1557</v>
      </c>
      <c r="Q313" s="25" t="n">
        <f aca="false">SUMIFS('Commentary drivers'!$D:$D,'Commentary drivers'!$A:$A,A313)</f>
        <v>231.44318</v>
      </c>
      <c r="R313" s="25" t="n">
        <f aca="false">SUMIFS('Commentary drivers'!$E:$E,'Commentary drivers'!$A:$A,A313)</f>
        <v>231.4</v>
      </c>
      <c r="S313" s="49" t="str">
        <f aca="false">IF(AND(ROUND(Q313-J313,4)=0,ROUND(R313-K313,1)=0),"✓","✗")</f>
        <v>✓</v>
      </c>
    </row>
    <row r="314" customFormat="false" ht="15" hidden="false" customHeight="false" outlineLevel="0" collapsed="false">
      <c r="A314" s="11" t="s">
        <v>1720</v>
      </c>
      <c r="B314" s="11" t="s">
        <v>31</v>
      </c>
      <c r="C314" s="11" t="s">
        <v>32</v>
      </c>
      <c r="D314" s="11" t="s">
        <v>1248</v>
      </c>
      <c r="E314" s="11" t="s">
        <v>1282</v>
      </c>
      <c r="F314" s="11" t="s">
        <v>157</v>
      </c>
      <c r="G314" s="11" t="n">
        <v>0</v>
      </c>
      <c r="H314" s="34" t="n">
        <v>414</v>
      </c>
      <c r="I314" s="34" t="n">
        <v>314.02658</v>
      </c>
      <c r="J314" s="34" t="n">
        <v>99.97342</v>
      </c>
      <c r="K314" s="34" t="n">
        <v>100</v>
      </c>
      <c r="L314" s="11" t="s">
        <v>577</v>
      </c>
      <c r="M314" s="11" t="s">
        <v>1250</v>
      </c>
      <c r="N314" s="11" t="s">
        <v>1251</v>
      </c>
      <c r="O314" s="11" t="s">
        <v>1252</v>
      </c>
      <c r="P314" s="11" t="s">
        <v>1557</v>
      </c>
      <c r="Q314" s="25" t="n">
        <f aca="false">SUMIFS('Commentary drivers'!$D:$D,'Commentary drivers'!$A:$A,A314)</f>
        <v>99.97342</v>
      </c>
      <c r="R314" s="25" t="n">
        <f aca="false">SUMIFS('Commentary drivers'!$E:$E,'Commentary drivers'!$A:$A,A314)</f>
        <v>100</v>
      </c>
      <c r="S314" s="49" t="str">
        <f aca="false">IF(AND(ROUND(Q314-J314,4)=0,ROUND(R314-K314,1)=0),"✓","✗")</f>
        <v>✓</v>
      </c>
    </row>
    <row r="315" customFormat="false" ht="15" hidden="false" customHeight="false" outlineLevel="0" collapsed="false">
      <c r="A315" s="11" t="s">
        <v>1721</v>
      </c>
      <c r="B315" s="11" t="s">
        <v>31</v>
      </c>
      <c r="C315" s="11" t="s">
        <v>32</v>
      </c>
      <c r="D315" s="11" t="s">
        <v>1248</v>
      </c>
      <c r="E315" s="11" t="s">
        <v>1284</v>
      </c>
      <c r="F315" s="11" t="s">
        <v>192</v>
      </c>
      <c r="G315" s="11" t="n">
        <v>1</v>
      </c>
      <c r="H315" s="34" t="n">
        <v>300</v>
      </c>
      <c r="I315" s="34" t="n">
        <v>224.61825</v>
      </c>
      <c r="J315" s="34" t="n">
        <v>75.38175</v>
      </c>
      <c r="K315" s="34" t="n">
        <v>75.4</v>
      </c>
      <c r="L315" s="11" t="s">
        <v>578</v>
      </c>
      <c r="M315" s="11" t="s">
        <v>1250</v>
      </c>
      <c r="N315" s="11" t="s">
        <v>1251</v>
      </c>
      <c r="O315" s="11" t="s">
        <v>1252</v>
      </c>
      <c r="P315" s="11" t="s">
        <v>1557</v>
      </c>
      <c r="Q315" s="25" t="n">
        <f aca="false">SUMIFS('Commentary drivers'!$D:$D,'Commentary drivers'!$A:$A,A315)</f>
        <v>75.38175</v>
      </c>
      <c r="R315" s="25" t="n">
        <f aca="false">SUMIFS('Commentary drivers'!$E:$E,'Commentary drivers'!$A:$A,A315)</f>
        <v>75.4</v>
      </c>
      <c r="S315" s="49" t="str">
        <f aca="false">IF(AND(ROUND(Q315-J315,4)=0,ROUND(R315-K315,1)=0),"✓","✗")</f>
        <v>✓</v>
      </c>
    </row>
    <row r="316" customFormat="false" ht="15" hidden="false" customHeight="false" outlineLevel="0" collapsed="false">
      <c r="A316" s="11" t="s">
        <v>1722</v>
      </c>
      <c r="B316" s="11" t="s">
        <v>31</v>
      </c>
      <c r="C316" s="11" t="s">
        <v>32</v>
      </c>
      <c r="D316" s="11" t="s">
        <v>1248</v>
      </c>
      <c r="E316" s="11" t="s">
        <v>1286</v>
      </c>
      <c r="F316" s="11" t="s">
        <v>189</v>
      </c>
      <c r="G316" s="11" t="n">
        <v>1</v>
      </c>
      <c r="H316" s="34" t="n">
        <v>40</v>
      </c>
      <c r="I316" s="34" t="n">
        <v>31</v>
      </c>
      <c r="J316" s="34" t="n">
        <v>9</v>
      </c>
      <c r="K316" s="34" t="n">
        <v>9</v>
      </c>
      <c r="L316" s="11" t="s">
        <v>579</v>
      </c>
      <c r="M316" s="11" t="s">
        <v>1250</v>
      </c>
      <c r="N316" s="11" t="s">
        <v>1251</v>
      </c>
      <c r="O316" s="11" t="s">
        <v>1252</v>
      </c>
      <c r="P316" s="11" t="s">
        <v>1557</v>
      </c>
      <c r="Q316" s="25" t="n">
        <f aca="false">SUMIFS('Commentary drivers'!$D:$D,'Commentary drivers'!$A:$A,A316)</f>
        <v>9</v>
      </c>
      <c r="R316" s="25" t="n">
        <f aca="false">SUMIFS('Commentary drivers'!$E:$E,'Commentary drivers'!$A:$A,A316)</f>
        <v>9</v>
      </c>
      <c r="S316" s="49" t="str">
        <f aca="false">IF(AND(ROUND(Q316-J316,4)=0,ROUND(R316-K316,1)=0),"✓","✗")</f>
        <v>✓</v>
      </c>
    </row>
    <row r="317" customFormat="false" ht="15" hidden="false" customHeight="false" outlineLevel="0" collapsed="false">
      <c r="A317" s="11" t="s">
        <v>1723</v>
      </c>
      <c r="B317" s="11" t="s">
        <v>31</v>
      </c>
      <c r="C317" s="11" t="s">
        <v>32</v>
      </c>
      <c r="D317" s="11" t="s">
        <v>1248</v>
      </c>
      <c r="E317" s="11" t="s">
        <v>1288</v>
      </c>
      <c r="F317" s="11" t="s">
        <v>201</v>
      </c>
      <c r="G317" s="11" t="n">
        <v>1</v>
      </c>
      <c r="H317" s="34" t="n">
        <v>24</v>
      </c>
      <c r="I317" s="34" t="n">
        <v>17.7</v>
      </c>
      <c r="J317" s="34" t="n">
        <v>6.3</v>
      </c>
      <c r="K317" s="34" t="n">
        <v>6.3</v>
      </c>
      <c r="L317" s="11" t="s">
        <v>580</v>
      </c>
      <c r="M317" s="11" t="s">
        <v>1250</v>
      </c>
      <c r="N317" s="11" t="s">
        <v>1251</v>
      </c>
      <c r="O317" s="11" t="s">
        <v>1252</v>
      </c>
      <c r="P317" s="11" t="s">
        <v>1557</v>
      </c>
      <c r="Q317" s="25" t="n">
        <f aca="false">SUMIFS('Commentary drivers'!$D:$D,'Commentary drivers'!$A:$A,A317)</f>
        <v>6.3</v>
      </c>
      <c r="R317" s="25" t="n">
        <f aca="false">SUMIFS('Commentary drivers'!$E:$E,'Commentary drivers'!$A:$A,A317)</f>
        <v>6.3</v>
      </c>
      <c r="S317" s="49" t="str">
        <f aca="false">IF(AND(ROUND(Q317-J317,4)=0,ROUND(R317-K317,1)=0),"✓","✗")</f>
        <v>✓</v>
      </c>
    </row>
    <row r="318" customFormat="false" ht="15" hidden="false" customHeight="false" outlineLevel="0" collapsed="false">
      <c r="A318" s="11" t="s">
        <v>1724</v>
      </c>
      <c r="B318" s="11" t="s">
        <v>31</v>
      </c>
      <c r="C318" s="11" t="s">
        <v>32</v>
      </c>
      <c r="D318" s="11" t="s">
        <v>1248</v>
      </c>
      <c r="E318" s="11" t="s">
        <v>1290</v>
      </c>
      <c r="F318" s="11" t="s">
        <v>204</v>
      </c>
      <c r="G318" s="11" t="n">
        <v>1</v>
      </c>
      <c r="H318" s="34" t="n">
        <v>20</v>
      </c>
      <c r="I318" s="34" t="n">
        <v>16.33333</v>
      </c>
      <c r="J318" s="34" t="n">
        <v>3.66667</v>
      </c>
      <c r="K318" s="34" t="n">
        <v>3.7</v>
      </c>
      <c r="L318" s="11" t="s">
        <v>572</v>
      </c>
      <c r="M318" s="11" t="s">
        <v>1250</v>
      </c>
      <c r="N318" s="11" t="s">
        <v>1251</v>
      </c>
      <c r="O318" s="11" t="s">
        <v>1252</v>
      </c>
      <c r="P318" s="11" t="s">
        <v>1557</v>
      </c>
      <c r="Q318" s="25" t="n">
        <f aca="false">SUMIFS('Commentary drivers'!$D:$D,'Commentary drivers'!$A:$A,A318)</f>
        <v>3.66667</v>
      </c>
      <c r="R318" s="25" t="n">
        <f aca="false">SUMIFS('Commentary drivers'!$E:$E,'Commentary drivers'!$A:$A,A318)</f>
        <v>3.7</v>
      </c>
      <c r="S318" s="49" t="str">
        <f aca="false">IF(AND(ROUND(Q318-J318,4)=0,ROUND(R318-K318,1)=0),"✓","✗")</f>
        <v>✓</v>
      </c>
    </row>
    <row r="319" customFormat="false" ht="15" hidden="false" customHeight="false" outlineLevel="0" collapsed="false">
      <c r="A319" s="11" t="s">
        <v>1725</v>
      </c>
      <c r="B319" s="11" t="s">
        <v>31</v>
      </c>
      <c r="C319" s="11" t="s">
        <v>32</v>
      </c>
      <c r="D319" s="11" t="s">
        <v>1248</v>
      </c>
      <c r="E319" s="11" t="s">
        <v>1292</v>
      </c>
      <c r="F319" s="11" t="s">
        <v>207</v>
      </c>
      <c r="G319" s="11" t="n">
        <v>1</v>
      </c>
      <c r="H319" s="34" t="n">
        <v>30</v>
      </c>
      <c r="I319" s="34" t="n">
        <v>24.375</v>
      </c>
      <c r="J319" s="34" t="n">
        <v>5.625</v>
      </c>
      <c r="K319" s="34" t="n">
        <v>5.6</v>
      </c>
      <c r="L319" s="11" t="s">
        <v>581</v>
      </c>
      <c r="M319" s="11" t="s">
        <v>1250</v>
      </c>
      <c r="N319" s="11" t="s">
        <v>1251</v>
      </c>
      <c r="O319" s="11" t="s">
        <v>1252</v>
      </c>
      <c r="P319" s="11" t="s">
        <v>1557</v>
      </c>
      <c r="Q319" s="25" t="n">
        <f aca="false">SUMIFS('Commentary drivers'!$D:$D,'Commentary drivers'!$A:$A,A319)</f>
        <v>5.625</v>
      </c>
      <c r="R319" s="25" t="n">
        <f aca="false">SUMIFS('Commentary drivers'!$E:$E,'Commentary drivers'!$A:$A,A319)</f>
        <v>5.6</v>
      </c>
      <c r="S319" s="49" t="str">
        <f aca="false">IF(AND(ROUND(Q319-J319,4)=0,ROUND(R319-K319,1)=0),"✓","✗")</f>
        <v>✓</v>
      </c>
    </row>
    <row r="320" customFormat="false" ht="15" hidden="false" customHeight="false" outlineLevel="0" collapsed="false">
      <c r="A320" s="11" t="s">
        <v>1726</v>
      </c>
      <c r="B320" s="11" t="s">
        <v>31</v>
      </c>
      <c r="C320" s="11" t="s">
        <v>32</v>
      </c>
      <c r="D320" s="11" t="s">
        <v>1248</v>
      </c>
      <c r="E320" s="11" t="s">
        <v>1294</v>
      </c>
      <c r="F320" s="11" t="s">
        <v>158</v>
      </c>
      <c r="G320" s="11" t="n">
        <v>0</v>
      </c>
      <c r="H320" s="34" t="n">
        <v>490</v>
      </c>
      <c r="I320" s="34" t="n">
        <v>342.45357</v>
      </c>
      <c r="J320" s="34" t="n">
        <v>147.54643</v>
      </c>
      <c r="K320" s="34" t="n">
        <v>147.5</v>
      </c>
      <c r="L320" s="11" t="s">
        <v>582</v>
      </c>
      <c r="M320" s="11" t="s">
        <v>1250</v>
      </c>
      <c r="N320" s="11" t="s">
        <v>1251</v>
      </c>
      <c r="O320" s="11" t="s">
        <v>1252</v>
      </c>
      <c r="P320" s="11" t="s">
        <v>1557</v>
      </c>
      <c r="Q320" s="25" t="n">
        <f aca="false">SUMIFS('Commentary drivers'!$D:$D,'Commentary drivers'!$A:$A,A320)</f>
        <v>147.54643</v>
      </c>
      <c r="R320" s="25" t="n">
        <f aca="false">SUMIFS('Commentary drivers'!$E:$E,'Commentary drivers'!$A:$A,A320)</f>
        <v>147.5</v>
      </c>
      <c r="S320" s="49" t="str">
        <f aca="false">IF(AND(ROUND(Q320-J320,4)=0,ROUND(R320-K320,1)=0),"✓","✗")</f>
        <v>✓</v>
      </c>
    </row>
    <row r="321" customFormat="false" ht="15" hidden="false" customHeight="false" outlineLevel="0" collapsed="false">
      <c r="A321" s="11" t="s">
        <v>1727</v>
      </c>
      <c r="B321" s="11" t="s">
        <v>31</v>
      </c>
      <c r="C321" s="11" t="s">
        <v>32</v>
      </c>
      <c r="D321" s="11" t="s">
        <v>1248</v>
      </c>
      <c r="E321" s="11" t="s">
        <v>1296</v>
      </c>
      <c r="F321" s="11" t="s">
        <v>225</v>
      </c>
      <c r="G321" s="11" t="n">
        <v>1</v>
      </c>
      <c r="H321" s="34" t="n">
        <v>240</v>
      </c>
      <c r="I321" s="34" t="n">
        <v>168.927</v>
      </c>
      <c r="J321" s="34" t="n">
        <v>71.073</v>
      </c>
      <c r="K321" s="34" t="n">
        <v>71.1</v>
      </c>
      <c r="L321" s="11" t="s">
        <v>583</v>
      </c>
      <c r="M321" s="11" t="s">
        <v>1250</v>
      </c>
      <c r="N321" s="11" t="s">
        <v>1251</v>
      </c>
      <c r="O321" s="11" t="s">
        <v>1252</v>
      </c>
      <c r="P321" s="11" t="s">
        <v>1557</v>
      </c>
      <c r="Q321" s="25" t="n">
        <f aca="false">SUMIFS('Commentary drivers'!$D:$D,'Commentary drivers'!$A:$A,A321)</f>
        <v>71.073</v>
      </c>
      <c r="R321" s="25" t="n">
        <f aca="false">SUMIFS('Commentary drivers'!$E:$E,'Commentary drivers'!$A:$A,A321)</f>
        <v>71.1</v>
      </c>
      <c r="S321" s="49" t="str">
        <f aca="false">IF(AND(ROUND(Q321-J321,4)=0,ROUND(R321-K321,1)=0),"✓","✗")</f>
        <v>✓</v>
      </c>
    </row>
    <row r="322" customFormat="false" ht="15" hidden="false" customHeight="false" outlineLevel="0" collapsed="false">
      <c r="A322" s="11" t="s">
        <v>1728</v>
      </c>
      <c r="B322" s="11" t="s">
        <v>31</v>
      </c>
      <c r="C322" s="11" t="s">
        <v>32</v>
      </c>
      <c r="D322" s="11" t="s">
        <v>1248</v>
      </c>
      <c r="E322" s="11" t="s">
        <v>1298</v>
      </c>
      <c r="F322" s="11" t="s">
        <v>195</v>
      </c>
      <c r="G322" s="11" t="n">
        <v>1</v>
      </c>
      <c r="H322" s="34" t="n">
        <v>36</v>
      </c>
      <c r="I322" s="34" t="n">
        <v>30.5949</v>
      </c>
      <c r="J322" s="34" t="n">
        <v>5.4051</v>
      </c>
      <c r="K322" s="34" t="n">
        <v>5.4</v>
      </c>
      <c r="L322" s="11" t="s">
        <v>584</v>
      </c>
      <c r="M322" s="11" t="s">
        <v>1250</v>
      </c>
      <c r="N322" s="11" t="s">
        <v>1251</v>
      </c>
      <c r="O322" s="11" t="s">
        <v>1252</v>
      </c>
      <c r="P322" s="11" t="s">
        <v>1557</v>
      </c>
      <c r="Q322" s="25" t="n">
        <f aca="false">SUMIFS('Commentary drivers'!$D:$D,'Commentary drivers'!$A:$A,A322)</f>
        <v>5.4051</v>
      </c>
      <c r="R322" s="25" t="n">
        <f aca="false">SUMIFS('Commentary drivers'!$E:$E,'Commentary drivers'!$A:$A,A322)</f>
        <v>5.4</v>
      </c>
      <c r="S322" s="49" t="str">
        <f aca="false">IF(AND(ROUND(Q322-J322,4)=0,ROUND(R322-K322,1)=0),"✓","✗")</f>
        <v>✓</v>
      </c>
    </row>
    <row r="323" customFormat="false" ht="15" hidden="false" customHeight="false" outlineLevel="0" collapsed="false">
      <c r="A323" s="11" t="s">
        <v>1729</v>
      </c>
      <c r="B323" s="11" t="s">
        <v>31</v>
      </c>
      <c r="C323" s="11" t="s">
        <v>32</v>
      </c>
      <c r="D323" s="11" t="s">
        <v>1248</v>
      </c>
      <c r="E323" s="11" t="s">
        <v>1300</v>
      </c>
      <c r="F323" s="11" t="s">
        <v>230</v>
      </c>
      <c r="G323" s="11" t="n">
        <v>1</v>
      </c>
      <c r="H323" s="34" t="n">
        <v>100</v>
      </c>
      <c r="I323" s="34" t="n">
        <v>68</v>
      </c>
      <c r="J323" s="34" t="n">
        <v>32</v>
      </c>
      <c r="K323" s="34" t="n">
        <v>32</v>
      </c>
      <c r="L323" s="11" t="s">
        <v>585</v>
      </c>
      <c r="M323" s="11" t="s">
        <v>1250</v>
      </c>
      <c r="N323" s="11" t="s">
        <v>1251</v>
      </c>
      <c r="O323" s="11" t="s">
        <v>1252</v>
      </c>
      <c r="P323" s="11" t="s">
        <v>1557</v>
      </c>
      <c r="Q323" s="25" t="n">
        <f aca="false">SUMIFS('Commentary drivers'!$D:$D,'Commentary drivers'!$A:$A,A323)</f>
        <v>32</v>
      </c>
      <c r="R323" s="25" t="n">
        <f aca="false">SUMIFS('Commentary drivers'!$E:$E,'Commentary drivers'!$A:$A,A323)</f>
        <v>32</v>
      </c>
      <c r="S323" s="49" t="str">
        <f aca="false">IF(AND(ROUND(Q323-J323,4)=0,ROUND(R323-K323,1)=0),"✓","✗")</f>
        <v>✓</v>
      </c>
    </row>
    <row r="324" customFormat="false" ht="15" hidden="false" customHeight="false" outlineLevel="0" collapsed="false">
      <c r="A324" s="11" t="s">
        <v>1730</v>
      </c>
      <c r="B324" s="11" t="s">
        <v>31</v>
      </c>
      <c r="C324" s="11" t="s">
        <v>32</v>
      </c>
      <c r="D324" s="11" t="s">
        <v>1248</v>
      </c>
      <c r="E324" s="11" t="s">
        <v>1302</v>
      </c>
      <c r="F324" s="11" t="s">
        <v>233</v>
      </c>
      <c r="G324" s="11" t="n">
        <v>1</v>
      </c>
      <c r="H324" s="34" t="n">
        <v>40</v>
      </c>
      <c r="I324" s="34" t="n">
        <v>23.455</v>
      </c>
      <c r="J324" s="34" t="n">
        <v>16.545</v>
      </c>
      <c r="K324" s="34" t="n">
        <v>16.5</v>
      </c>
      <c r="L324" s="11" t="s">
        <v>586</v>
      </c>
      <c r="M324" s="11" t="s">
        <v>1250</v>
      </c>
      <c r="N324" s="11" t="s">
        <v>1251</v>
      </c>
      <c r="O324" s="11" t="s">
        <v>1252</v>
      </c>
      <c r="P324" s="11" t="s">
        <v>1557</v>
      </c>
      <c r="Q324" s="25" t="n">
        <f aca="false">SUMIFS('Commentary drivers'!$D:$D,'Commentary drivers'!$A:$A,A324)</f>
        <v>16.545</v>
      </c>
      <c r="R324" s="25" t="n">
        <f aca="false">SUMIFS('Commentary drivers'!$E:$E,'Commentary drivers'!$A:$A,A324)</f>
        <v>16.5</v>
      </c>
      <c r="S324" s="49" t="str">
        <f aca="false">IF(AND(ROUND(Q324-J324,4)=0,ROUND(R324-K324,1)=0),"✓","✗")</f>
        <v>✓</v>
      </c>
    </row>
    <row r="325" customFormat="false" ht="15" hidden="false" customHeight="false" outlineLevel="0" collapsed="false">
      <c r="A325" s="11" t="s">
        <v>1731</v>
      </c>
      <c r="B325" s="11" t="s">
        <v>31</v>
      </c>
      <c r="C325" s="11" t="s">
        <v>32</v>
      </c>
      <c r="D325" s="11" t="s">
        <v>1248</v>
      </c>
      <c r="E325" s="11" t="s">
        <v>1304</v>
      </c>
      <c r="F325" s="11" t="s">
        <v>189</v>
      </c>
      <c r="G325" s="11" t="n">
        <v>1</v>
      </c>
      <c r="H325" s="34" t="n">
        <v>20</v>
      </c>
      <c r="I325" s="34" t="n">
        <v>7</v>
      </c>
      <c r="J325" s="34" t="n">
        <v>13</v>
      </c>
      <c r="K325" s="34" t="n">
        <v>13</v>
      </c>
      <c r="L325" s="11" t="s">
        <v>587</v>
      </c>
      <c r="M325" s="11" t="s">
        <v>1250</v>
      </c>
      <c r="N325" s="11" t="s">
        <v>1251</v>
      </c>
      <c r="O325" s="11" t="s">
        <v>1252</v>
      </c>
      <c r="P325" s="11" t="s">
        <v>1557</v>
      </c>
      <c r="Q325" s="25" t="n">
        <f aca="false">SUMIFS('Commentary drivers'!$D:$D,'Commentary drivers'!$A:$A,A325)</f>
        <v>13</v>
      </c>
      <c r="R325" s="25" t="n">
        <f aca="false">SUMIFS('Commentary drivers'!$E:$E,'Commentary drivers'!$A:$A,A325)</f>
        <v>13</v>
      </c>
      <c r="S325" s="49" t="str">
        <f aca="false">IF(AND(ROUND(Q325-J325,4)=0,ROUND(R325-K325,1)=0),"✓","✗")</f>
        <v>✓</v>
      </c>
    </row>
    <row r="326" customFormat="false" ht="15" hidden="false" customHeight="false" outlineLevel="0" collapsed="false">
      <c r="A326" s="11" t="s">
        <v>1732</v>
      </c>
      <c r="B326" s="11" t="s">
        <v>31</v>
      </c>
      <c r="C326" s="11" t="s">
        <v>32</v>
      </c>
      <c r="D326" s="11" t="s">
        <v>1248</v>
      </c>
      <c r="E326" s="11" t="s">
        <v>1306</v>
      </c>
      <c r="F326" s="11" t="s">
        <v>201</v>
      </c>
      <c r="G326" s="11" t="n">
        <v>1</v>
      </c>
      <c r="H326" s="34" t="n">
        <v>24</v>
      </c>
      <c r="I326" s="34" t="n">
        <v>20.06</v>
      </c>
      <c r="J326" s="34" t="n">
        <v>3.94</v>
      </c>
      <c r="K326" s="34" t="n">
        <v>3.9</v>
      </c>
      <c r="L326" s="11" t="s">
        <v>588</v>
      </c>
      <c r="M326" s="11" t="s">
        <v>1250</v>
      </c>
      <c r="N326" s="11" t="s">
        <v>1251</v>
      </c>
      <c r="O326" s="11" t="s">
        <v>1252</v>
      </c>
      <c r="P326" s="11" t="s">
        <v>1557</v>
      </c>
      <c r="Q326" s="25" t="n">
        <f aca="false">SUMIFS('Commentary drivers'!$D:$D,'Commentary drivers'!$A:$A,A326)</f>
        <v>3.94</v>
      </c>
      <c r="R326" s="25" t="n">
        <f aca="false">SUMIFS('Commentary drivers'!$E:$E,'Commentary drivers'!$A:$A,A326)</f>
        <v>3.9</v>
      </c>
      <c r="S326" s="49" t="str">
        <f aca="false">IF(AND(ROUND(Q326-J326,4)=0,ROUND(R326-K326,1)=0),"✓","✗")</f>
        <v>✓</v>
      </c>
    </row>
    <row r="327" customFormat="false" ht="15" hidden="false" customHeight="false" outlineLevel="0" collapsed="false">
      <c r="A327" s="11" t="s">
        <v>1733</v>
      </c>
      <c r="B327" s="11" t="s">
        <v>31</v>
      </c>
      <c r="C327" s="11" t="s">
        <v>32</v>
      </c>
      <c r="D327" s="11" t="s">
        <v>1248</v>
      </c>
      <c r="E327" s="11" t="s">
        <v>1308</v>
      </c>
      <c r="F327" s="11" t="s">
        <v>204</v>
      </c>
      <c r="G327" s="11" t="n">
        <v>1</v>
      </c>
      <c r="H327" s="34" t="n">
        <v>10</v>
      </c>
      <c r="I327" s="34" t="n">
        <v>8.16667</v>
      </c>
      <c r="J327" s="34" t="n">
        <v>1.83333</v>
      </c>
      <c r="K327" s="34" t="n">
        <v>1.8</v>
      </c>
      <c r="L327" s="11" t="s">
        <v>589</v>
      </c>
      <c r="M327" s="11" t="s">
        <v>1250</v>
      </c>
      <c r="N327" s="11" t="s">
        <v>1262</v>
      </c>
      <c r="O327" s="11"/>
      <c r="P327" s="11"/>
      <c r="Q327" s="25" t="n">
        <f aca="false">SUMIFS('Commentary drivers'!$D:$D,'Commentary drivers'!$A:$A,A327)</f>
        <v>1.83333</v>
      </c>
      <c r="R327" s="25" t="n">
        <f aca="false">SUMIFS('Commentary drivers'!$E:$E,'Commentary drivers'!$A:$A,A327)</f>
        <v>1.8</v>
      </c>
      <c r="S327" s="49" t="str">
        <f aca="false">IF(AND(ROUND(Q327-J327,4)=0,ROUND(R327-K327,1)=0),"✓","✗")</f>
        <v>✓</v>
      </c>
    </row>
    <row r="328" customFormat="false" ht="15" hidden="false" customHeight="false" outlineLevel="0" collapsed="false">
      <c r="A328" s="11" t="s">
        <v>1734</v>
      </c>
      <c r="B328" s="11" t="s">
        <v>31</v>
      </c>
      <c r="C328" s="11" t="s">
        <v>32</v>
      </c>
      <c r="D328" s="11" t="s">
        <v>1248</v>
      </c>
      <c r="E328" s="11" t="s">
        <v>1310</v>
      </c>
      <c r="F328" s="11" t="s">
        <v>207</v>
      </c>
      <c r="G328" s="11" t="n">
        <v>1</v>
      </c>
      <c r="H328" s="34" t="n">
        <v>20</v>
      </c>
      <c r="I328" s="34" t="n">
        <v>16.25</v>
      </c>
      <c r="J328" s="34" t="n">
        <v>3.75</v>
      </c>
      <c r="K328" s="34" t="n">
        <v>3.8</v>
      </c>
      <c r="L328" s="11" t="s">
        <v>573</v>
      </c>
      <c r="M328" s="11" t="s">
        <v>1250</v>
      </c>
      <c r="N328" s="11" t="s">
        <v>1251</v>
      </c>
      <c r="O328" s="11" t="s">
        <v>1252</v>
      </c>
      <c r="P328" s="11" t="s">
        <v>1557</v>
      </c>
      <c r="Q328" s="25" t="n">
        <f aca="false">SUMIFS('Commentary drivers'!$D:$D,'Commentary drivers'!$A:$A,A328)</f>
        <v>3.75</v>
      </c>
      <c r="R328" s="25" t="n">
        <f aca="false">SUMIFS('Commentary drivers'!$E:$E,'Commentary drivers'!$A:$A,A328)</f>
        <v>3.8</v>
      </c>
      <c r="S328" s="49" t="str">
        <f aca="false">IF(AND(ROUND(Q328-J328,4)=0,ROUND(R328-K328,1)=0),"✓","✗")</f>
        <v>✓</v>
      </c>
    </row>
    <row r="329" customFormat="false" ht="15" hidden="false" customHeight="false" outlineLevel="0" collapsed="false">
      <c r="A329" s="11" t="s">
        <v>1735</v>
      </c>
      <c r="B329" s="11" t="s">
        <v>31</v>
      </c>
      <c r="C329" s="11" t="s">
        <v>32</v>
      </c>
      <c r="D329" s="11" t="s">
        <v>1248</v>
      </c>
      <c r="E329" s="11" t="s">
        <v>1312</v>
      </c>
      <c r="F329" s="11" t="s">
        <v>159</v>
      </c>
      <c r="G329" s="11" t="n">
        <v>0</v>
      </c>
      <c r="H329" s="34" t="n">
        <v>216</v>
      </c>
      <c r="I329" s="34" t="n">
        <v>163.09167</v>
      </c>
      <c r="J329" s="34" t="n">
        <v>52.90833</v>
      </c>
      <c r="K329" s="34" t="n">
        <v>52.9</v>
      </c>
      <c r="L329" s="11" t="s">
        <v>590</v>
      </c>
      <c r="M329" s="11" t="s">
        <v>1250</v>
      </c>
      <c r="N329" s="11" t="s">
        <v>1251</v>
      </c>
      <c r="O329" s="11" t="s">
        <v>1252</v>
      </c>
      <c r="P329" s="11" t="s">
        <v>1557</v>
      </c>
      <c r="Q329" s="25" t="n">
        <f aca="false">SUMIFS('Commentary drivers'!$D:$D,'Commentary drivers'!$A:$A,A329)</f>
        <v>52.90833</v>
      </c>
      <c r="R329" s="25" t="n">
        <f aca="false">SUMIFS('Commentary drivers'!$E:$E,'Commentary drivers'!$A:$A,A329)</f>
        <v>52.9</v>
      </c>
      <c r="S329" s="49" t="str">
        <f aca="false">IF(AND(ROUND(Q329-J329,4)=0,ROUND(R329-K329,1)=0),"✓","✗")</f>
        <v>✓</v>
      </c>
    </row>
    <row r="330" customFormat="false" ht="15" hidden="false" customHeight="false" outlineLevel="0" collapsed="false">
      <c r="A330" s="11" t="s">
        <v>1736</v>
      </c>
      <c r="B330" s="11" t="s">
        <v>31</v>
      </c>
      <c r="C330" s="11" t="s">
        <v>32</v>
      </c>
      <c r="D330" s="11" t="s">
        <v>1248</v>
      </c>
      <c r="E330" s="11" t="s">
        <v>1314</v>
      </c>
      <c r="F330" s="11" t="s">
        <v>242</v>
      </c>
      <c r="G330" s="11" t="n">
        <v>1</v>
      </c>
      <c r="H330" s="34" t="n">
        <v>180</v>
      </c>
      <c r="I330" s="34" t="n">
        <v>135</v>
      </c>
      <c r="J330" s="34" t="n">
        <v>45</v>
      </c>
      <c r="K330" s="34" t="n">
        <v>45</v>
      </c>
      <c r="L330" s="11" t="s">
        <v>591</v>
      </c>
      <c r="M330" s="11" t="s">
        <v>1315</v>
      </c>
      <c r="N330" s="11" t="s">
        <v>1251</v>
      </c>
      <c r="O330" s="11" t="s">
        <v>1252</v>
      </c>
      <c r="P330" s="11" t="s">
        <v>1557</v>
      </c>
      <c r="Q330" s="25" t="n">
        <f aca="false">SUMIFS('Commentary drivers'!$D:$D,'Commentary drivers'!$A:$A,A330)</f>
        <v>45</v>
      </c>
      <c r="R330" s="25" t="n">
        <f aca="false">SUMIFS('Commentary drivers'!$E:$E,'Commentary drivers'!$A:$A,A330)</f>
        <v>45</v>
      </c>
      <c r="S330" s="49" t="str">
        <f aca="false">IF(AND(ROUND(Q330-J330,4)=0,ROUND(R330-K330,1)=0),"✓","✗")</f>
        <v>✓</v>
      </c>
    </row>
    <row r="331" customFormat="false" ht="15" hidden="false" customHeight="false" outlineLevel="0" collapsed="false">
      <c r="A331" s="11" t="s">
        <v>1737</v>
      </c>
      <c r="B331" s="11" t="s">
        <v>31</v>
      </c>
      <c r="C331" s="11" t="s">
        <v>32</v>
      </c>
      <c r="D331" s="11" t="s">
        <v>1248</v>
      </c>
      <c r="E331" s="11" t="s">
        <v>1317</v>
      </c>
      <c r="F331" s="11" t="s">
        <v>201</v>
      </c>
      <c r="G331" s="11" t="n">
        <v>1</v>
      </c>
      <c r="H331" s="34" t="n">
        <v>16</v>
      </c>
      <c r="I331" s="34" t="n">
        <v>11.8</v>
      </c>
      <c r="J331" s="34" t="n">
        <v>4.2</v>
      </c>
      <c r="K331" s="34" t="n">
        <v>4.2</v>
      </c>
      <c r="L331" s="11" t="s">
        <v>592</v>
      </c>
      <c r="M331" s="11" t="s">
        <v>1250</v>
      </c>
      <c r="N331" s="11" t="s">
        <v>1251</v>
      </c>
      <c r="O331" s="11" t="s">
        <v>1252</v>
      </c>
      <c r="P331" s="11" t="s">
        <v>1557</v>
      </c>
      <c r="Q331" s="25" t="n">
        <f aca="false">SUMIFS('Commentary drivers'!$D:$D,'Commentary drivers'!$A:$A,A331)</f>
        <v>4.2</v>
      </c>
      <c r="R331" s="25" t="n">
        <f aca="false">SUMIFS('Commentary drivers'!$E:$E,'Commentary drivers'!$A:$A,A331)</f>
        <v>4.2</v>
      </c>
      <c r="S331" s="49" t="str">
        <f aca="false">IF(AND(ROUND(Q331-J331,4)=0,ROUND(R331-K331,1)=0),"✓","✗")</f>
        <v>✓</v>
      </c>
    </row>
    <row r="332" customFormat="false" ht="15" hidden="false" customHeight="false" outlineLevel="0" collapsed="false">
      <c r="A332" s="11" t="s">
        <v>1738</v>
      </c>
      <c r="B332" s="11" t="s">
        <v>31</v>
      </c>
      <c r="C332" s="11" t="s">
        <v>32</v>
      </c>
      <c r="D332" s="11" t="s">
        <v>1248</v>
      </c>
      <c r="E332" s="11" t="s">
        <v>1319</v>
      </c>
      <c r="F332" s="11" t="s">
        <v>204</v>
      </c>
      <c r="G332" s="11" t="n">
        <v>1</v>
      </c>
      <c r="H332" s="34" t="n">
        <v>10</v>
      </c>
      <c r="I332" s="34" t="n">
        <v>8.16667</v>
      </c>
      <c r="J332" s="34" t="n">
        <v>1.83333</v>
      </c>
      <c r="K332" s="34" t="n">
        <v>1.8</v>
      </c>
      <c r="L332" s="11" t="s">
        <v>589</v>
      </c>
      <c r="M332" s="11" t="s">
        <v>1250</v>
      </c>
      <c r="N332" s="11" t="s">
        <v>1262</v>
      </c>
      <c r="O332" s="11"/>
      <c r="P332" s="11"/>
      <c r="Q332" s="25" t="n">
        <f aca="false">SUMIFS('Commentary drivers'!$D:$D,'Commentary drivers'!$A:$A,A332)</f>
        <v>1.83333</v>
      </c>
      <c r="R332" s="25" t="n">
        <f aca="false">SUMIFS('Commentary drivers'!$E:$E,'Commentary drivers'!$A:$A,A332)</f>
        <v>1.8</v>
      </c>
      <c r="S332" s="49" t="str">
        <f aca="false">IF(AND(ROUND(Q332-J332,4)=0,ROUND(R332-K332,1)=0),"✓","✗")</f>
        <v>✓</v>
      </c>
    </row>
    <row r="333" customFormat="false" ht="15" hidden="false" customHeight="false" outlineLevel="0" collapsed="false">
      <c r="A333" s="11" t="s">
        <v>1739</v>
      </c>
      <c r="B333" s="11" t="s">
        <v>31</v>
      </c>
      <c r="C333" s="11" t="s">
        <v>32</v>
      </c>
      <c r="D333" s="11" t="s">
        <v>1248</v>
      </c>
      <c r="E333" s="11" t="s">
        <v>1321</v>
      </c>
      <c r="F333" s="11" t="s">
        <v>207</v>
      </c>
      <c r="G333" s="11" t="n">
        <v>1</v>
      </c>
      <c r="H333" s="34" t="n">
        <v>10</v>
      </c>
      <c r="I333" s="34" t="n">
        <v>8.125</v>
      </c>
      <c r="J333" s="34" t="n">
        <v>1.875</v>
      </c>
      <c r="K333" s="34" t="n">
        <v>1.9</v>
      </c>
      <c r="L333" s="11" t="s">
        <v>593</v>
      </c>
      <c r="M333" s="11" t="s">
        <v>1250</v>
      </c>
      <c r="N333" s="11" t="s">
        <v>1262</v>
      </c>
      <c r="O333" s="11"/>
      <c r="P333" s="11"/>
      <c r="Q333" s="25" t="n">
        <f aca="false">SUMIFS('Commentary drivers'!$D:$D,'Commentary drivers'!$A:$A,A333)</f>
        <v>1.875</v>
      </c>
      <c r="R333" s="25" t="n">
        <f aca="false">SUMIFS('Commentary drivers'!$E:$E,'Commentary drivers'!$A:$A,A333)</f>
        <v>1.9</v>
      </c>
      <c r="S333" s="49" t="str">
        <f aca="false">IF(AND(ROUND(Q333-J333,4)=0,ROUND(R333-K333,1)=0),"✓","✗")</f>
        <v>✓</v>
      </c>
    </row>
    <row r="334" customFormat="false" ht="15" hidden="false" customHeight="false" outlineLevel="0" collapsed="false">
      <c r="A334" s="11" t="s">
        <v>1740</v>
      </c>
      <c r="B334" s="11" t="s">
        <v>31</v>
      </c>
      <c r="C334" s="11" t="s">
        <v>32</v>
      </c>
      <c r="D334" s="11" t="s">
        <v>1248</v>
      </c>
      <c r="E334" s="11" t="s">
        <v>1323</v>
      </c>
      <c r="F334" s="11" t="s">
        <v>95</v>
      </c>
      <c r="G334" s="11" t="n">
        <v>0</v>
      </c>
      <c r="H334" s="34" t="n">
        <v>1120</v>
      </c>
      <c r="I334" s="34" t="n">
        <v>819.57182</v>
      </c>
      <c r="J334" s="34" t="n">
        <v>300.42818</v>
      </c>
      <c r="K334" s="34" t="n">
        <v>300.4</v>
      </c>
      <c r="L334" s="11" t="s">
        <v>594</v>
      </c>
      <c r="M334" s="11" t="s">
        <v>1250</v>
      </c>
      <c r="N334" s="11" t="s">
        <v>1251</v>
      </c>
      <c r="O334" s="11" t="s">
        <v>1252</v>
      </c>
      <c r="P334" s="11" t="s">
        <v>1557</v>
      </c>
      <c r="Q334" s="25" t="n">
        <f aca="false">SUMIFS('Commentary drivers'!$D:$D,'Commentary drivers'!$A:$A,A334)</f>
        <v>300.42818</v>
      </c>
      <c r="R334" s="25" t="n">
        <f aca="false">SUMIFS('Commentary drivers'!$E:$E,'Commentary drivers'!$A:$A,A334)</f>
        <v>300.4</v>
      </c>
      <c r="S334" s="49" t="str">
        <f aca="false">IF(AND(ROUND(Q334-J334,4)=0,ROUND(R334-K334,1)=0),"✓","✗")</f>
        <v>✓</v>
      </c>
    </row>
    <row r="335" customFormat="false" ht="15" hidden="false" customHeight="false" outlineLevel="0" collapsed="false">
      <c r="A335" s="11" t="s">
        <v>1741</v>
      </c>
      <c r="B335" s="11" t="s">
        <v>31</v>
      </c>
      <c r="C335" s="11" t="s">
        <v>32</v>
      </c>
      <c r="D335" s="11" t="s">
        <v>1248</v>
      </c>
      <c r="E335" s="11" t="s">
        <v>1325</v>
      </c>
      <c r="F335" s="11" t="s">
        <v>96</v>
      </c>
      <c r="G335" s="11" t="n">
        <v>0</v>
      </c>
      <c r="H335" s="34" t="n">
        <v>220</v>
      </c>
      <c r="I335" s="34" t="n">
        <v>288.985</v>
      </c>
      <c r="J335" s="34" t="n">
        <v>-68.985</v>
      </c>
      <c r="K335" s="34" t="n">
        <v>-69</v>
      </c>
      <c r="L335" s="11" t="s">
        <v>595</v>
      </c>
      <c r="M335" s="11" t="s">
        <v>1250</v>
      </c>
      <c r="N335" s="11" t="s">
        <v>1251</v>
      </c>
      <c r="O335" s="11" t="s">
        <v>1252</v>
      </c>
      <c r="P335" s="11" t="s">
        <v>1557</v>
      </c>
      <c r="Q335" s="25" t="n">
        <f aca="false">SUMIFS('Commentary drivers'!$D:$D,'Commentary drivers'!$A:$A,A335)</f>
        <v>-68.985</v>
      </c>
      <c r="R335" s="25" t="n">
        <f aca="false">SUMIFS('Commentary drivers'!$E:$E,'Commentary drivers'!$A:$A,A335)</f>
        <v>-69</v>
      </c>
      <c r="S335" s="49" t="str">
        <f aca="false">IF(AND(ROUND(Q335-J335,4)=0,ROUND(R335-K335,1)=0),"✓","✗")</f>
        <v>✓</v>
      </c>
    </row>
    <row r="336" customFormat="false" ht="15" hidden="false" customHeight="false" outlineLevel="0" collapsed="false">
      <c r="A336" s="11" t="s">
        <v>1742</v>
      </c>
      <c r="B336" s="11" t="s">
        <v>31</v>
      </c>
      <c r="C336" s="11" t="s">
        <v>32</v>
      </c>
      <c r="D336" s="11" t="s">
        <v>1248</v>
      </c>
      <c r="E336" s="11" t="s">
        <v>1327</v>
      </c>
      <c r="F336" s="11" t="s">
        <v>160</v>
      </c>
      <c r="G336" s="11" t="n">
        <v>0</v>
      </c>
      <c r="H336" s="34" t="n">
        <v>10</v>
      </c>
      <c r="I336" s="34" t="n">
        <v>13</v>
      </c>
      <c r="J336" s="34" t="n">
        <v>-3</v>
      </c>
      <c r="K336" s="34" t="n">
        <v>-3</v>
      </c>
      <c r="L336" s="11" t="s">
        <v>596</v>
      </c>
      <c r="M336" s="11" t="s">
        <v>1250</v>
      </c>
      <c r="N336" s="11" t="s">
        <v>1251</v>
      </c>
      <c r="O336" s="11" t="s">
        <v>1252</v>
      </c>
      <c r="P336" s="11" t="s">
        <v>1557</v>
      </c>
      <c r="Q336" s="25" t="n">
        <f aca="false">SUMIFS('Commentary drivers'!$D:$D,'Commentary drivers'!$A:$A,A336)</f>
        <v>-3</v>
      </c>
      <c r="R336" s="25" t="n">
        <f aca="false">SUMIFS('Commentary drivers'!$E:$E,'Commentary drivers'!$A:$A,A336)</f>
        <v>-3</v>
      </c>
      <c r="S336" s="49" t="str">
        <f aca="false">IF(AND(ROUND(Q336-J336,4)=0,ROUND(R336-K336,1)=0),"✓","✗")</f>
        <v>✓</v>
      </c>
    </row>
    <row r="337" customFormat="false" ht="15" hidden="false" customHeight="false" outlineLevel="0" collapsed="false">
      <c r="A337" s="11" t="s">
        <v>1743</v>
      </c>
      <c r="B337" s="11" t="s">
        <v>31</v>
      </c>
      <c r="C337" s="11" t="s">
        <v>32</v>
      </c>
      <c r="D337" s="11" t="s">
        <v>1248</v>
      </c>
      <c r="E337" s="11" t="s">
        <v>1329</v>
      </c>
      <c r="F337" s="11" t="s">
        <v>161</v>
      </c>
      <c r="G337" s="11" t="n">
        <v>0</v>
      </c>
      <c r="H337" s="34" t="n">
        <v>30</v>
      </c>
      <c r="I337" s="34" t="n">
        <v>32</v>
      </c>
      <c r="J337" s="34" t="n">
        <v>-2</v>
      </c>
      <c r="K337" s="34" t="n">
        <v>-2</v>
      </c>
      <c r="L337" s="11" t="s">
        <v>597</v>
      </c>
      <c r="M337" s="11" t="s">
        <v>1250</v>
      </c>
      <c r="N337" s="11" t="s">
        <v>1262</v>
      </c>
      <c r="O337" s="11"/>
      <c r="P337" s="11"/>
      <c r="Q337" s="25" t="n">
        <f aca="false">SUMIFS('Commentary drivers'!$D:$D,'Commentary drivers'!$A:$A,A337)</f>
        <v>-2</v>
      </c>
      <c r="R337" s="25" t="n">
        <f aca="false">SUMIFS('Commentary drivers'!$E:$E,'Commentary drivers'!$A:$A,A337)</f>
        <v>-2</v>
      </c>
      <c r="S337" s="49" t="str">
        <f aca="false">IF(AND(ROUND(Q337-J337,4)=0,ROUND(R337-K337,1)=0),"✓","✗")</f>
        <v>✓</v>
      </c>
    </row>
    <row r="338" customFormat="false" ht="15" hidden="false" customHeight="false" outlineLevel="0" collapsed="false">
      <c r="A338" s="11" t="s">
        <v>1744</v>
      </c>
      <c r="B338" s="11" t="s">
        <v>31</v>
      </c>
      <c r="C338" s="11" t="s">
        <v>32</v>
      </c>
      <c r="D338" s="11" t="s">
        <v>1248</v>
      </c>
      <c r="E338" s="11" t="s">
        <v>1331</v>
      </c>
      <c r="F338" s="11" t="s">
        <v>162</v>
      </c>
      <c r="G338" s="11" t="n">
        <v>0</v>
      </c>
      <c r="H338" s="34" t="n">
        <v>200</v>
      </c>
      <c r="I338" s="34" t="n">
        <v>269.985</v>
      </c>
      <c r="J338" s="34" t="n">
        <v>-69.985</v>
      </c>
      <c r="K338" s="34" t="n">
        <v>-70</v>
      </c>
      <c r="L338" s="11" t="s">
        <v>598</v>
      </c>
      <c r="M338" s="11" t="s">
        <v>1250</v>
      </c>
      <c r="N338" s="11" t="s">
        <v>1251</v>
      </c>
      <c r="O338" s="11" t="s">
        <v>1252</v>
      </c>
      <c r="P338" s="11" t="s">
        <v>1557</v>
      </c>
      <c r="Q338" s="25" t="n">
        <f aca="false">SUMIFS('Commentary drivers'!$D:$D,'Commentary drivers'!$A:$A,A338)</f>
        <v>-69.985</v>
      </c>
      <c r="R338" s="25" t="n">
        <f aca="false">SUMIFS('Commentary drivers'!$E:$E,'Commentary drivers'!$A:$A,A338)</f>
        <v>-70</v>
      </c>
      <c r="S338" s="49" t="str">
        <f aca="false">IF(AND(ROUND(Q338-J338,4)=0,ROUND(R338-K338,1)=0),"✓","✗")</f>
        <v>✓</v>
      </c>
    </row>
    <row r="339" customFormat="false" ht="15" hidden="false" customHeight="false" outlineLevel="0" collapsed="false">
      <c r="A339" s="11" t="s">
        <v>1745</v>
      </c>
      <c r="B339" s="11" t="s">
        <v>31</v>
      </c>
      <c r="C339" s="11" t="s">
        <v>32</v>
      </c>
      <c r="D339" s="11" t="s">
        <v>1248</v>
      </c>
      <c r="E339" s="11" t="s">
        <v>1333</v>
      </c>
      <c r="F339" s="11" t="s">
        <v>126</v>
      </c>
      <c r="G339" s="11" t="n">
        <v>0</v>
      </c>
      <c r="H339" s="34" t="n">
        <v>40</v>
      </c>
      <c r="I339" s="34" t="n">
        <v>24</v>
      </c>
      <c r="J339" s="34" t="n">
        <v>16</v>
      </c>
      <c r="K339" s="34" t="n">
        <v>16</v>
      </c>
      <c r="L339" s="11" t="s">
        <v>599</v>
      </c>
      <c r="M339" s="11" t="s">
        <v>1250</v>
      </c>
      <c r="N339" s="11" t="s">
        <v>1251</v>
      </c>
      <c r="O339" s="11" t="s">
        <v>1252</v>
      </c>
      <c r="P339" s="11" t="s">
        <v>1557</v>
      </c>
      <c r="Q339" s="25" t="n">
        <f aca="false">SUMIFS('Commentary drivers'!$D:$D,'Commentary drivers'!$A:$A,A339)</f>
        <v>16</v>
      </c>
      <c r="R339" s="25" t="n">
        <f aca="false">SUMIFS('Commentary drivers'!$E:$E,'Commentary drivers'!$A:$A,A339)</f>
        <v>16</v>
      </c>
      <c r="S339" s="49" t="str">
        <f aca="false">IF(AND(ROUND(Q339-J339,4)=0,ROUND(R339-K339,1)=0),"✓","✗")</f>
        <v>✓</v>
      </c>
    </row>
    <row r="340" customFormat="false" ht="15" hidden="false" customHeight="false" outlineLevel="0" collapsed="false">
      <c r="A340" s="11" t="s">
        <v>1746</v>
      </c>
      <c r="B340" s="11" t="s">
        <v>31</v>
      </c>
      <c r="C340" s="11" t="s">
        <v>32</v>
      </c>
      <c r="D340" s="11" t="s">
        <v>1248</v>
      </c>
      <c r="E340" s="11" t="s">
        <v>1335</v>
      </c>
      <c r="F340" s="11" t="s">
        <v>97</v>
      </c>
      <c r="G340" s="11" t="n">
        <v>0</v>
      </c>
      <c r="H340" s="34" t="n">
        <v>160</v>
      </c>
      <c r="I340" s="34" t="n">
        <v>245.985</v>
      </c>
      <c r="J340" s="34" t="n">
        <v>-85.985</v>
      </c>
      <c r="K340" s="34" t="n">
        <v>-86</v>
      </c>
      <c r="L340" s="11" t="s">
        <v>600</v>
      </c>
      <c r="M340" s="11" t="s">
        <v>1250</v>
      </c>
      <c r="N340" s="11" t="s">
        <v>1251</v>
      </c>
      <c r="O340" s="11" t="s">
        <v>1252</v>
      </c>
      <c r="P340" s="11" t="s">
        <v>1557</v>
      </c>
      <c r="Q340" s="25" t="n">
        <f aca="false">SUMIFS('Commentary drivers'!$D:$D,'Commentary drivers'!$A:$A,A340)</f>
        <v>-85.985</v>
      </c>
      <c r="R340" s="25" t="n">
        <f aca="false">SUMIFS('Commentary drivers'!$E:$E,'Commentary drivers'!$A:$A,A340)</f>
        <v>-86</v>
      </c>
      <c r="S340" s="49" t="str">
        <f aca="false">IF(AND(ROUND(Q340-J340,4)=0,ROUND(R340-K340,1)=0),"✓","✗")</f>
        <v>✓</v>
      </c>
    </row>
    <row r="341" customFormat="false" ht="15" hidden="false" customHeight="false" outlineLevel="0" collapsed="false">
      <c r="A341" s="11" t="s">
        <v>1747</v>
      </c>
      <c r="B341" s="11" t="s">
        <v>31</v>
      </c>
      <c r="C341" s="11" t="s">
        <v>32</v>
      </c>
      <c r="D341" s="11" t="s">
        <v>1337</v>
      </c>
      <c r="E341" s="11" t="s">
        <v>1338</v>
      </c>
      <c r="F341" s="11" t="s">
        <v>153</v>
      </c>
      <c r="G341" s="11" t="n">
        <v>0</v>
      </c>
      <c r="H341" s="34" t="n">
        <v>1800</v>
      </c>
      <c r="I341" s="34" t="n">
        <v>1493.619</v>
      </c>
      <c r="J341" s="34" t="n">
        <v>306.381</v>
      </c>
      <c r="K341" s="34" t="n">
        <v>306.4</v>
      </c>
      <c r="L341" s="11" t="s">
        <v>563</v>
      </c>
      <c r="M341" s="11" t="s">
        <v>1250</v>
      </c>
      <c r="N341" s="11" t="s">
        <v>1251</v>
      </c>
      <c r="O341" s="11" t="s">
        <v>1252</v>
      </c>
      <c r="P341" s="11" t="s">
        <v>1557</v>
      </c>
      <c r="Q341" s="25" t="n">
        <f aca="false">SUMIFS('Commentary drivers'!$D:$D,'Commentary drivers'!$A:$A,A341)</f>
        <v>306.381</v>
      </c>
      <c r="R341" s="25" t="n">
        <f aca="false">SUMIFS('Commentary drivers'!$E:$E,'Commentary drivers'!$A:$A,A341)</f>
        <v>306.4</v>
      </c>
      <c r="S341" s="49" t="str">
        <f aca="false">IF(AND(ROUND(Q341-J341,4)=0,ROUND(R341-K341,1)=0),"✓","✗")</f>
        <v>✓</v>
      </c>
    </row>
    <row r="342" customFormat="false" ht="15" hidden="false" customHeight="false" outlineLevel="0" collapsed="false">
      <c r="A342" s="11" t="s">
        <v>1748</v>
      </c>
      <c r="B342" s="11" t="s">
        <v>31</v>
      </c>
      <c r="C342" s="11" t="s">
        <v>32</v>
      </c>
      <c r="D342" s="11" t="s">
        <v>1337</v>
      </c>
      <c r="E342" s="11" t="s">
        <v>1340</v>
      </c>
      <c r="F342" s="11" t="s">
        <v>154</v>
      </c>
      <c r="G342" s="11" t="n">
        <v>0</v>
      </c>
      <c r="H342" s="34" t="n">
        <v>200</v>
      </c>
      <c r="I342" s="34" t="n">
        <v>130</v>
      </c>
      <c r="J342" s="34" t="n">
        <v>70</v>
      </c>
      <c r="K342" s="34" t="n">
        <v>70</v>
      </c>
      <c r="L342" s="11" t="s">
        <v>564</v>
      </c>
      <c r="M342" s="11" t="s">
        <v>1250</v>
      </c>
      <c r="N342" s="11" t="s">
        <v>1251</v>
      </c>
      <c r="O342" s="11" t="s">
        <v>1252</v>
      </c>
      <c r="P342" s="11" t="s">
        <v>1557</v>
      </c>
      <c r="Q342" s="25" t="n">
        <f aca="false">SUMIFS('Commentary drivers'!$D:$D,'Commentary drivers'!$A:$A,A342)</f>
        <v>70</v>
      </c>
      <c r="R342" s="25" t="n">
        <f aca="false">SUMIFS('Commentary drivers'!$E:$E,'Commentary drivers'!$A:$A,A342)</f>
        <v>70</v>
      </c>
      <c r="S342" s="49" t="str">
        <f aca="false">IF(AND(ROUND(Q342-J342,4)=0,ROUND(R342-K342,1)=0),"✓","✗")</f>
        <v>✓</v>
      </c>
    </row>
    <row r="343" customFormat="false" ht="15" hidden="false" customHeight="false" outlineLevel="0" collapsed="false">
      <c r="A343" s="11" t="s">
        <v>1749</v>
      </c>
      <c r="B343" s="11" t="s">
        <v>31</v>
      </c>
      <c r="C343" s="11" t="s">
        <v>32</v>
      </c>
      <c r="D343" s="11" t="s">
        <v>1337</v>
      </c>
      <c r="E343" s="11" t="s">
        <v>1342</v>
      </c>
      <c r="F343" s="11" t="s">
        <v>91</v>
      </c>
      <c r="G343" s="11" t="n">
        <v>0</v>
      </c>
      <c r="H343" s="34" t="n">
        <v>2000</v>
      </c>
      <c r="I343" s="34" t="n">
        <v>1623.619</v>
      </c>
      <c r="J343" s="34" t="n">
        <v>376.381</v>
      </c>
      <c r="K343" s="34" t="n">
        <v>376.4</v>
      </c>
      <c r="L343" s="11" t="s">
        <v>565</v>
      </c>
      <c r="M343" s="11" t="s">
        <v>1250</v>
      </c>
      <c r="N343" s="11" t="s">
        <v>1251</v>
      </c>
      <c r="O343" s="11" t="s">
        <v>1252</v>
      </c>
      <c r="P343" s="11" t="s">
        <v>1557</v>
      </c>
      <c r="Q343" s="25" t="n">
        <f aca="false">SUMIFS('Commentary drivers'!$D:$D,'Commentary drivers'!$A:$A,A343)</f>
        <v>376.381</v>
      </c>
      <c r="R343" s="25" t="n">
        <f aca="false">SUMIFS('Commentary drivers'!$E:$E,'Commentary drivers'!$A:$A,A343)</f>
        <v>376.4</v>
      </c>
      <c r="S343" s="49" t="str">
        <f aca="false">IF(AND(ROUND(Q343-J343,4)=0,ROUND(R343-K343,1)=0),"✓","✗")</f>
        <v>✓</v>
      </c>
    </row>
    <row r="344" customFormat="false" ht="15" hidden="false" customHeight="false" outlineLevel="0" collapsed="false">
      <c r="A344" s="11" t="s">
        <v>1750</v>
      </c>
      <c r="B344" s="11" t="s">
        <v>31</v>
      </c>
      <c r="C344" s="11" t="s">
        <v>32</v>
      </c>
      <c r="D344" s="11" t="s">
        <v>1337</v>
      </c>
      <c r="E344" s="11" t="s">
        <v>1344</v>
      </c>
      <c r="F344" s="11" t="s">
        <v>164</v>
      </c>
      <c r="G344" s="11" t="n">
        <v>0</v>
      </c>
      <c r="H344" s="34" t="n">
        <v>544</v>
      </c>
      <c r="I344" s="34" t="n">
        <v>414.41718</v>
      </c>
      <c r="J344" s="34" t="n">
        <v>129.58282</v>
      </c>
      <c r="K344" s="34" t="n">
        <v>129.6</v>
      </c>
      <c r="L344" s="11" t="s">
        <v>601</v>
      </c>
      <c r="M344" s="11" t="s">
        <v>1250</v>
      </c>
      <c r="N344" s="11" t="s">
        <v>1251</v>
      </c>
      <c r="O344" s="11" t="s">
        <v>1252</v>
      </c>
      <c r="P344" s="11" t="s">
        <v>1557</v>
      </c>
      <c r="Q344" s="25" t="n">
        <f aca="false">SUMIFS('Commentary drivers'!$D:$D,'Commentary drivers'!$A:$A,A344)</f>
        <v>129.58282</v>
      </c>
      <c r="R344" s="25" t="n">
        <f aca="false">SUMIFS('Commentary drivers'!$E:$E,'Commentary drivers'!$A:$A,A344)</f>
        <v>129.6</v>
      </c>
      <c r="S344" s="49" t="str">
        <f aca="false">IF(AND(ROUND(Q344-J344,4)=0,ROUND(R344-K344,1)=0),"✓","✗")</f>
        <v>✓</v>
      </c>
    </row>
    <row r="345" customFormat="false" ht="15" hidden="false" customHeight="false" outlineLevel="0" collapsed="false">
      <c r="A345" s="11" t="s">
        <v>1751</v>
      </c>
      <c r="B345" s="11" t="s">
        <v>31</v>
      </c>
      <c r="C345" s="11" t="s">
        <v>32</v>
      </c>
      <c r="D345" s="11" t="s">
        <v>1337</v>
      </c>
      <c r="E345" s="11" t="s">
        <v>1346</v>
      </c>
      <c r="F345" s="11" t="s">
        <v>257</v>
      </c>
      <c r="G345" s="11" t="n">
        <v>1</v>
      </c>
      <c r="H345" s="34" t="n">
        <v>140</v>
      </c>
      <c r="I345" s="34" t="n">
        <v>101</v>
      </c>
      <c r="J345" s="34" t="n">
        <v>39</v>
      </c>
      <c r="K345" s="34" t="n">
        <v>39</v>
      </c>
      <c r="L345" s="11" t="s">
        <v>602</v>
      </c>
      <c r="M345" s="11" t="s">
        <v>1250</v>
      </c>
      <c r="N345" s="11" t="s">
        <v>1251</v>
      </c>
      <c r="O345" s="11" t="s">
        <v>1252</v>
      </c>
      <c r="P345" s="11" t="s">
        <v>1557</v>
      </c>
      <c r="Q345" s="25" t="n">
        <f aca="false">SUMIFS('Commentary drivers'!$D:$D,'Commentary drivers'!$A:$A,A345)</f>
        <v>39</v>
      </c>
      <c r="R345" s="25" t="n">
        <f aca="false">SUMIFS('Commentary drivers'!$E:$E,'Commentary drivers'!$A:$A,A345)</f>
        <v>39</v>
      </c>
      <c r="S345" s="49" t="str">
        <f aca="false">IF(AND(ROUND(Q345-J345,4)=0,ROUND(R345-K345,1)=0),"✓","✗")</f>
        <v>✓</v>
      </c>
    </row>
    <row r="346" customFormat="false" ht="15" hidden="false" customHeight="false" outlineLevel="0" collapsed="false">
      <c r="A346" s="11" t="s">
        <v>1752</v>
      </c>
      <c r="B346" s="11" t="s">
        <v>31</v>
      </c>
      <c r="C346" s="11" t="s">
        <v>32</v>
      </c>
      <c r="D346" s="11" t="s">
        <v>1337</v>
      </c>
      <c r="E346" s="11" t="s">
        <v>1348</v>
      </c>
      <c r="F346" s="11" t="s">
        <v>259</v>
      </c>
      <c r="G346" s="11" t="n">
        <v>1</v>
      </c>
      <c r="H346" s="34" t="n">
        <v>100</v>
      </c>
      <c r="I346" s="34" t="n">
        <v>74.87275</v>
      </c>
      <c r="J346" s="34" t="n">
        <v>25.12725</v>
      </c>
      <c r="K346" s="34" t="n">
        <v>25.1</v>
      </c>
      <c r="L346" s="11" t="s">
        <v>603</v>
      </c>
      <c r="M346" s="11" t="s">
        <v>1250</v>
      </c>
      <c r="N346" s="11" t="s">
        <v>1251</v>
      </c>
      <c r="O346" s="11" t="s">
        <v>1252</v>
      </c>
      <c r="P346" s="11" t="s">
        <v>1557</v>
      </c>
      <c r="Q346" s="25" t="n">
        <f aca="false">SUMIFS('Commentary drivers'!$D:$D,'Commentary drivers'!$A:$A,A346)</f>
        <v>25.12725</v>
      </c>
      <c r="R346" s="25" t="n">
        <f aca="false">SUMIFS('Commentary drivers'!$E:$E,'Commentary drivers'!$A:$A,A346)</f>
        <v>25.1</v>
      </c>
      <c r="S346" s="49" t="str">
        <f aca="false">IF(AND(ROUND(Q346-J346,4)=0,ROUND(R346-K346,1)=0),"✓","✗")</f>
        <v>✓</v>
      </c>
    </row>
    <row r="347" customFormat="false" ht="15" hidden="false" customHeight="false" outlineLevel="0" collapsed="false">
      <c r="A347" s="11" t="s">
        <v>1753</v>
      </c>
      <c r="B347" s="11" t="s">
        <v>31</v>
      </c>
      <c r="C347" s="11" t="s">
        <v>32</v>
      </c>
      <c r="D347" s="11" t="s">
        <v>1337</v>
      </c>
      <c r="E347" s="11" t="s">
        <v>1350</v>
      </c>
      <c r="F347" s="11" t="s">
        <v>261</v>
      </c>
      <c r="G347" s="11" t="n">
        <v>1</v>
      </c>
      <c r="H347" s="34" t="n">
        <v>160</v>
      </c>
      <c r="I347" s="34" t="n">
        <v>122.183</v>
      </c>
      <c r="J347" s="34" t="n">
        <v>37.817</v>
      </c>
      <c r="K347" s="34" t="n">
        <v>37.8</v>
      </c>
      <c r="L347" s="11" t="s">
        <v>604</v>
      </c>
      <c r="M347" s="11" t="s">
        <v>1250</v>
      </c>
      <c r="N347" s="11" t="s">
        <v>1251</v>
      </c>
      <c r="O347" s="11" t="s">
        <v>1252</v>
      </c>
      <c r="P347" s="11" t="s">
        <v>1557</v>
      </c>
      <c r="Q347" s="25" t="n">
        <f aca="false">SUMIFS('Commentary drivers'!$D:$D,'Commentary drivers'!$A:$A,A347)</f>
        <v>37.817</v>
      </c>
      <c r="R347" s="25" t="n">
        <f aca="false">SUMIFS('Commentary drivers'!$E:$E,'Commentary drivers'!$A:$A,A347)</f>
        <v>37.8</v>
      </c>
      <c r="S347" s="49" t="str">
        <f aca="false">IF(AND(ROUND(Q347-J347,4)=0,ROUND(R347-K347,1)=0),"✓","✗")</f>
        <v>✓</v>
      </c>
    </row>
    <row r="348" customFormat="false" ht="15" hidden="false" customHeight="false" outlineLevel="0" collapsed="false">
      <c r="A348" s="11" t="s">
        <v>1754</v>
      </c>
      <c r="B348" s="11" t="s">
        <v>31</v>
      </c>
      <c r="C348" s="11" t="s">
        <v>32</v>
      </c>
      <c r="D348" s="11" t="s">
        <v>1337</v>
      </c>
      <c r="E348" s="11" t="s">
        <v>1352</v>
      </c>
      <c r="F348" s="11" t="s">
        <v>263</v>
      </c>
      <c r="G348" s="11" t="n">
        <v>1</v>
      </c>
      <c r="H348" s="34" t="n">
        <v>84</v>
      </c>
      <c r="I348" s="34" t="n">
        <v>71.3881</v>
      </c>
      <c r="J348" s="34" t="n">
        <v>12.6119</v>
      </c>
      <c r="K348" s="34" t="n">
        <v>12.6</v>
      </c>
      <c r="L348" s="11" t="s">
        <v>605</v>
      </c>
      <c r="M348" s="11" t="s">
        <v>1250</v>
      </c>
      <c r="N348" s="11" t="s">
        <v>1251</v>
      </c>
      <c r="O348" s="11" t="s">
        <v>1252</v>
      </c>
      <c r="P348" s="11" t="s">
        <v>1557</v>
      </c>
      <c r="Q348" s="25" t="n">
        <f aca="false">SUMIFS('Commentary drivers'!$D:$D,'Commentary drivers'!$A:$A,A348)</f>
        <v>12.6119</v>
      </c>
      <c r="R348" s="25" t="n">
        <f aca="false">SUMIFS('Commentary drivers'!$E:$E,'Commentary drivers'!$A:$A,A348)</f>
        <v>12.6</v>
      </c>
      <c r="S348" s="49" t="str">
        <f aca="false">IF(AND(ROUND(Q348-J348,4)=0,ROUND(R348-K348,1)=0),"✓","✗")</f>
        <v>✓</v>
      </c>
    </row>
    <row r="349" customFormat="false" ht="15" hidden="false" customHeight="false" outlineLevel="0" collapsed="false">
      <c r="A349" s="11" t="s">
        <v>1755</v>
      </c>
      <c r="B349" s="11" t="s">
        <v>31</v>
      </c>
      <c r="C349" s="11" t="s">
        <v>32</v>
      </c>
      <c r="D349" s="11" t="s">
        <v>1337</v>
      </c>
      <c r="E349" s="11" t="s">
        <v>1354</v>
      </c>
      <c r="F349" s="11" t="s">
        <v>265</v>
      </c>
      <c r="G349" s="11" t="n">
        <v>1</v>
      </c>
      <c r="H349" s="34" t="n">
        <v>20</v>
      </c>
      <c r="I349" s="34" t="n">
        <v>12.39</v>
      </c>
      <c r="J349" s="34" t="n">
        <v>7.61</v>
      </c>
      <c r="K349" s="34" t="n">
        <v>7.6</v>
      </c>
      <c r="L349" s="11" t="s">
        <v>606</v>
      </c>
      <c r="M349" s="11" t="s">
        <v>1250</v>
      </c>
      <c r="N349" s="11" t="s">
        <v>1251</v>
      </c>
      <c r="O349" s="11" t="s">
        <v>1252</v>
      </c>
      <c r="P349" s="11" t="s">
        <v>1557</v>
      </c>
      <c r="Q349" s="25" t="n">
        <f aca="false">SUMIFS('Commentary drivers'!$D:$D,'Commentary drivers'!$A:$A,A349)</f>
        <v>7.61</v>
      </c>
      <c r="R349" s="25" t="n">
        <f aca="false">SUMIFS('Commentary drivers'!$E:$E,'Commentary drivers'!$A:$A,A349)</f>
        <v>7.6</v>
      </c>
      <c r="S349" s="49" t="str">
        <f aca="false">IF(AND(ROUND(Q349-J349,4)=0,ROUND(R349-K349,1)=0),"✓","✗")</f>
        <v>✓</v>
      </c>
    </row>
    <row r="350" customFormat="false" ht="15" hidden="false" customHeight="false" outlineLevel="0" collapsed="false">
      <c r="A350" s="11" t="s">
        <v>1756</v>
      </c>
      <c r="B350" s="11" t="s">
        <v>31</v>
      </c>
      <c r="C350" s="11" t="s">
        <v>32</v>
      </c>
      <c r="D350" s="11" t="s">
        <v>1337</v>
      </c>
      <c r="E350" s="11" t="s">
        <v>1356</v>
      </c>
      <c r="F350" s="11" t="s">
        <v>267</v>
      </c>
      <c r="G350" s="11" t="n">
        <v>1</v>
      </c>
      <c r="H350" s="34" t="n">
        <v>20</v>
      </c>
      <c r="I350" s="34" t="n">
        <v>16.33333</v>
      </c>
      <c r="J350" s="34" t="n">
        <v>3.66667</v>
      </c>
      <c r="K350" s="34" t="n">
        <v>3.7</v>
      </c>
      <c r="L350" s="11" t="s">
        <v>607</v>
      </c>
      <c r="M350" s="11" t="s">
        <v>1250</v>
      </c>
      <c r="N350" s="11" t="s">
        <v>1251</v>
      </c>
      <c r="O350" s="11" t="s">
        <v>1252</v>
      </c>
      <c r="P350" s="11" t="s">
        <v>1557</v>
      </c>
      <c r="Q350" s="25" t="n">
        <f aca="false">SUMIFS('Commentary drivers'!$D:$D,'Commentary drivers'!$A:$A,A350)</f>
        <v>3.66667</v>
      </c>
      <c r="R350" s="25" t="n">
        <f aca="false">SUMIFS('Commentary drivers'!$E:$E,'Commentary drivers'!$A:$A,A350)</f>
        <v>3.7</v>
      </c>
      <c r="S350" s="49" t="str">
        <f aca="false">IF(AND(ROUND(Q350-J350,4)=0,ROUND(R350-K350,1)=0),"✓","✗")</f>
        <v>✓</v>
      </c>
    </row>
    <row r="351" customFormat="false" ht="15" hidden="false" customHeight="false" outlineLevel="0" collapsed="false">
      <c r="A351" s="11" t="s">
        <v>1757</v>
      </c>
      <c r="B351" s="11" t="s">
        <v>31</v>
      </c>
      <c r="C351" s="11" t="s">
        <v>32</v>
      </c>
      <c r="D351" s="11" t="s">
        <v>1337</v>
      </c>
      <c r="E351" s="11" t="s">
        <v>1358</v>
      </c>
      <c r="F351" s="11" t="s">
        <v>269</v>
      </c>
      <c r="G351" s="11" t="n">
        <v>1</v>
      </c>
      <c r="H351" s="34" t="n">
        <v>20</v>
      </c>
      <c r="I351" s="34" t="n">
        <v>16.25</v>
      </c>
      <c r="J351" s="34" t="n">
        <v>3.75</v>
      </c>
      <c r="K351" s="34" t="n">
        <v>3.8</v>
      </c>
      <c r="L351" s="11" t="s">
        <v>608</v>
      </c>
      <c r="M351" s="11" t="s">
        <v>1250</v>
      </c>
      <c r="N351" s="11" t="s">
        <v>1251</v>
      </c>
      <c r="O351" s="11" t="s">
        <v>1252</v>
      </c>
      <c r="P351" s="11" t="s">
        <v>1557</v>
      </c>
      <c r="Q351" s="25" t="n">
        <f aca="false">SUMIFS('Commentary drivers'!$D:$D,'Commentary drivers'!$A:$A,A351)</f>
        <v>3.75</v>
      </c>
      <c r="R351" s="25" t="n">
        <f aca="false">SUMIFS('Commentary drivers'!$E:$E,'Commentary drivers'!$A:$A,A351)</f>
        <v>3.8</v>
      </c>
      <c r="S351" s="49" t="str">
        <f aca="false">IF(AND(ROUND(Q351-J351,4)=0,ROUND(R351-K351,1)=0),"✓","✗")</f>
        <v>✓</v>
      </c>
    </row>
    <row r="352" customFormat="false" ht="15" hidden="false" customHeight="false" outlineLevel="0" collapsed="false">
      <c r="A352" s="11" t="s">
        <v>1758</v>
      </c>
      <c r="B352" s="11" t="s">
        <v>31</v>
      </c>
      <c r="C352" s="11" t="s">
        <v>32</v>
      </c>
      <c r="D352" s="11" t="s">
        <v>1337</v>
      </c>
      <c r="E352" s="11" t="s">
        <v>1360</v>
      </c>
      <c r="F352" s="11" t="s">
        <v>165</v>
      </c>
      <c r="G352" s="11" t="n">
        <v>0</v>
      </c>
      <c r="H352" s="34" t="n">
        <v>120</v>
      </c>
      <c r="I352" s="34" t="n">
        <v>103.595</v>
      </c>
      <c r="J352" s="34" t="n">
        <v>16.405</v>
      </c>
      <c r="K352" s="34" t="n">
        <v>16.4</v>
      </c>
      <c r="L352" s="11" t="s">
        <v>609</v>
      </c>
      <c r="M352" s="11" t="s">
        <v>1250</v>
      </c>
      <c r="N352" s="11" t="s">
        <v>1251</v>
      </c>
      <c r="O352" s="11" t="s">
        <v>1252</v>
      </c>
      <c r="P352" s="11" t="s">
        <v>1557</v>
      </c>
      <c r="Q352" s="25" t="n">
        <f aca="false">SUMIFS('Commentary drivers'!$D:$D,'Commentary drivers'!$A:$A,A352)</f>
        <v>16.405</v>
      </c>
      <c r="R352" s="25" t="n">
        <f aca="false">SUMIFS('Commentary drivers'!$E:$E,'Commentary drivers'!$A:$A,A352)</f>
        <v>16.4</v>
      </c>
      <c r="S352" s="49" t="str">
        <f aca="false">IF(AND(ROUND(Q352-J352,4)=0,ROUND(R352-K352,1)=0),"✓","✗")</f>
        <v>✓</v>
      </c>
    </row>
    <row r="353" customFormat="false" ht="15" hidden="false" customHeight="false" outlineLevel="0" collapsed="false">
      <c r="A353" s="11" t="s">
        <v>1759</v>
      </c>
      <c r="B353" s="11" t="s">
        <v>31</v>
      </c>
      <c r="C353" s="11" t="s">
        <v>32</v>
      </c>
      <c r="D353" s="11" t="s">
        <v>1337</v>
      </c>
      <c r="E353" s="11" t="s">
        <v>1362</v>
      </c>
      <c r="F353" s="11" t="s">
        <v>272</v>
      </c>
      <c r="G353" s="11" t="n">
        <v>1</v>
      </c>
      <c r="H353" s="34" t="n">
        <v>120</v>
      </c>
      <c r="I353" s="34" t="n">
        <v>103.595</v>
      </c>
      <c r="J353" s="34" t="n">
        <v>16.405</v>
      </c>
      <c r="K353" s="34" t="n">
        <v>16.4</v>
      </c>
      <c r="L353" s="11" t="s">
        <v>610</v>
      </c>
      <c r="M353" s="11" t="s">
        <v>1250</v>
      </c>
      <c r="N353" s="11" t="s">
        <v>1251</v>
      </c>
      <c r="O353" s="11" t="s">
        <v>1252</v>
      </c>
      <c r="P353" s="11" t="s">
        <v>1557</v>
      </c>
      <c r="Q353" s="25" t="n">
        <f aca="false">SUMIFS('Commentary drivers'!$D:$D,'Commentary drivers'!$A:$A,A353)</f>
        <v>16.405</v>
      </c>
      <c r="R353" s="25" t="n">
        <f aca="false">SUMIFS('Commentary drivers'!$E:$E,'Commentary drivers'!$A:$A,A353)</f>
        <v>16.4</v>
      </c>
      <c r="S353" s="49" t="str">
        <f aca="false">IF(AND(ROUND(Q353-J353,4)=0,ROUND(R353-K353,1)=0),"✓","✗")</f>
        <v>✓</v>
      </c>
    </row>
    <row r="354" customFormat="false" ht="15" hidden="false" customHeight="false" outlineLevel="0" collapsed="false">
      <c r="A354" s="11" t="s">
        <v>1760</v>
      </c>
      <c r="B354" s="11" t="s">
        <v>31</v>
      </c>
      <c r="C354" s="11" t="s">
        <v>32</v>
      </c>
      <c r="D354" s="11" t="s">
        <v>1337</v>
      </c>
      <c r="E354" s="11" t="s">
        <v>1364</v>
      </c>
      <c r="F354" s="11" t="s">
        <v>166</v>
      </c>
      <c r="G354" s="11" t="n">
        <v>0</v>
      </c>
      <c r="H354" s="34" t="n">
        <v>664</v>
      </c>
      <c r="I354" s="34" t="n">
        <v>518.01218</v>
      </c>
      <c r="J354" s="34" t="n">
        <v>145.98782</v>
      </c>
      <c r="K354" s="34" t="n">
        <v>146</v>
      </c>
      <c r="L354" s="11" t="s">
        <v>611</v>
      </c>
      <c r="M354" s="11" t="s">
        <v>1250</v>
      </c>
      <c r="N354" s="11" t="s">
        <v>1251</v>
      </c>
      <c r="O354" s="11" t="s">
        <v>1252</v>
      </c>
      <c r="P354" s="11" t="s">
        <v>1557</v>
      </c>
      <c r="Q354" s="25" t="n">
        <f aca="false">SUMIFS('Commentary drivers'!$D:$D,'Commentary drivers'!$A:$A,A354)</f>
        <v>145.98782</v>
      </c>
      <c r="R354" s="25" t="n">
        <f aca="false">SUMIFS('Commentary drivers'!$E:$E,'Commentary drivers'!$A:$A,A354)</f>
        <v>146</v>
      </c>
      <c r="S354" s="49" t="str">
        <f aca="false">IF(AND(ROUND(Q354-J354,4)=0,ROUND(R354-K354,1)=0),"✓","✗")</f>
        <v>✓</v>
      </c>
    </row>
    <row r="355" customFormat="false" ht="15" hidden="false" customHeight="false" outlineLevel="0" collapsed="false">
      <c r="A355" s="11" t="s">
        <v>1761</v>
      </c>
      <c r="B355" s="11" t="s">
        <v>31</v>
      </c>
      <c r="C355" s="11" t="s">
        <v>32</v>
      </c>
      <c r="D355" s="11" t="s">
        <v>1337</v>
      </c>
      <c r="E355" s="11" t="s">
        <v>1366</v>
      </c>
      <c r="F355" s="11" t="s">
        <v>167</v>
      </c>
      <c r="G355" s="11" t="n">
        <v>0</v>
      </c>
      <c r="H355" s="34" t="n">
        <v>1336</v>
      </c>
      <c r="I355" s="34" t="n">
        <v>1105.60682</v>
      </c>
      <c r="J355" s="34" t="n">
        <v>230.39318</v>
      </c>
      <c r="K355" s="34" t="n">
        <v>230.4</v>
      </c>
      <c r="L355" s="11" t="s">
        <v>612</v>
      </c>
      <c r="M355" s="11" t="s">
        <v>1250</v>
      </c>
      <c r="N355" s="11" t="s">
        <v>1251</v>
      </c>
      <c r="O355" s="11" t="s">
        <v>1252</v>
      </c>
      <c r="P355" s="11" t="s">
        <v>1557</v>
      </c>
      <c r="Q355" s="25" t="n">
        <f aca="false">SUMIFS('Commentary drivers'!$D:$D,'Commentary drivers'!$A:$A,A355)</f>
        <v>230.39318</v>
      </c>
      <c r="R355" s="25" t="n">
        <f aca="false">SUMIFS('Commentary drivers'!$E:$E,'Commentary drivers'!$A:$A,A355)</f>
        <v>230.4</v>
      </c>
      <c r="S355" s="49" t="str">
        <f aca="false">IF(AND(ROUND(Q355-J355,4)=0,ROUND(R355-K355,1)=0),"✓","✗")</f>
        <v>✓</v>
      </c>
    </row>
    <row r="356" customFormat="false" ht="15" hidden="false" customHeight="false" outlineLevel="0" collapsed="false">
      <c r="A356" s="11" t="s">
        <v>1762</v>
      </c>
      <c r="B356" s="11" t="s">
        <v>31</v>
      </c>
      <c r="C356" s="11" t="s">
        <v>32</v>
      </c>
      <c r="D356" s="11" t="s">
        <v>1337</v>
      </c>
      <c r="E356" s="11" t="s">
        <v>1368</v>
      </c>
      <c r="F356" s="11" t="s">
        <v>168</v>
      </c>
      <c r="G356" s="11" t="n">
        <v>0</v>
      </c>
      <c r="H356" s="34" t="n">
        <v>436</v>
      </c>
      <c r="I356" s="34" t="n">
        <v>297.9769</v>
      </c>
      <c r="J356" s="34" t="n">
        <v>138.0231</v>
      </c>
      <c r="K356" s="34" t="n">
        <v>138</v>
      </c>
      <c r="L356" s="11" t="s">
        <v>613</v>
      </c>
      <c r="M356" s="11" t="s">
        <v>1250</v>
      </c>
      <c r="N356" s="11" t="s">
        <v>1251</v>
      </c>
      <c r="O356" s="11" t="s">
        <v>1252</v>
      </c>
      <c r="P356" s="11" t="s">
        <v>1557</v>
      </c>
      <c r="Q356" s="25" t="n">
        <f aca="false">SUMIFS('Commentary drivers'!$D:$D,'Commentary drivers'!$A:$A,A356)</f>
        <v>138.0231</v>
      </c>
      <c r="R356" s="25" t="n">
        <f aca="false">SUMIFS('Commentary drivers'!$E:$E,'Commentary drivers'!$A:$A,A356)</f>
        <v>138</v>
      </c>
      <c r="S356" s="49" t="str">
        <f aca="false">IF(AND(ROUND(Q356-J356,4)=0,ROUND(R356-K356,1)=0),"✓","✗")</f>
        <v>✓</v>
      </c>
    </row>
    <row r="357" customFormat="false" ht="15" hidden="false" customHeight="false" outlineLevel="0" collapsed="false">
      <c r="A357" s="11" t="s">
        <v>1763</v>
      </c>
      <c r="B357" s="11" t="s">
        <v>31</v>
      </c>
      <c r="C357" s="11" t="s">
        <v>32</v>
      </c>
      <c r="D357" s="11" t="s">
        <v>1337</v>
      </c>
      <c r="E357" s="11" t="s">
        <v>1370</v>
      </c>
      <c r="F357" s="11" t="s">
        <v>278</v>
      </c>
      <c r="G357" s="11" t="n">
        <v>1</v>
      </c>
      <c r="H357" s="34" t="n">
        <v>240</v>
      </c>
      <c r="I357" s="34" t="n">
        <v>168.927</v>
      </c>
      <c r="J357" s="34" t="n">
        <v>71.073</v>
      </c>
      <c r="K357" s="34" t="n">
        <v>71.1</v>
      </c>
      <c r="L357" s="11" t="s">
        <v>614</v>
      </c>
      <c r="M357" s="11" t="s">
        <v>1250</v>
      </c>
      <c r="N357" s="11" t="s">
        <v>1251</v>
      </c>
      <c r="O357" s="11" t="s">
        <v>1252</v>
      </c>
      <c r="P357" s="11" t="s">
        <v>1557</v>
      </c>
      <c r="Q357" s="25" t="n">
        <f aca="false">SUMIFS('Commentary drivers'!$D:$D,'Commentary drivers'!$A:$A,A357)</f>
        <v>71.073</v>
      </c>
      <c r="R357" s="25" t="n">
        <f aca="false">SUMIFS('Commentary drivers'!$E:$E,'Commentary drivers'!$A:$A,A357)</f>
        <v>71.1</v>
      </c>
      <c r="S357" s="49" t="str">
        <f aca="false">IF(AND(ROUND(Q357-J357,4)=0,ROUND(R357-K357,1)=0),"✓","✗")</f>
        <v>✓</v>
      </c>
    </row>
    <row r="358" customFormat="false" ht="15" hidden="false" customHeight="false" outlineLevel="0" collapsed="false">
      <c r="A358" s="11" t="s">
        <v>1764</v>
      </c>
      <c r="B358" s="11" t="s">
        <v>31</v>
      </c>
      <c r="C358" s="11" t="s">
        <v>32</v>
      </c>
      <c r="D358" s="11" t="s">
        <v>1337</v>
      </c>
      <c r="E358" s="11" t="s">
        <v>1372</v>
      </c>
      <c r="F358" s="11" t="s">
        <v>280</v>
      </c>
      <c r="G358" s="11" t="n">
        <v>1</v>
      </c>
      <c r="H358" s="34" t="n">
        <v>36</v>
      </c>
      <c r="I358" s="34" t="n">
        <v>30.5949</v>
      </c>
      <c r="J358" s="34" t="n">
        <v>5.4051</v>
      </c>
      <c r="K358" s="34" t="n">
        <v>5.4</v>
      </c>
      <c r="L358" s="11" t="s">
        <v>615</v>
      </c>
      <c r="M358" s="11" t="s">
        <v>1250</v>
      </c>
      <c r="N358" s="11" t="s">
        <v>1251</v>
      </c>
      <c r="O358" s="11" t="s">
        <v>1252</v>
      </c>
      <c r="P358" s="11" t="s">
        <v>1557</v>
      </c>
      <c r="Q358" s="25" t="n">
        <f aca="false">SUMIFS('Commentary drivers'!$D:$D,'Commentary drivers'!$A:$A,A358)</f>
        <v>5.4051</v>
      </c>
      <c r="R358" s="25" t="n">
        <f aca="false">SUMIFS('Commentary drivers'!$E:$E,'Commentary drivers'!$A:$A,A358)</f>
        <v>5.4</v>
      </c>
      <c r="S358" s="49" t="str">
        <f aca="false">IF(AND(ROUND(Q358-J358,4)=0,ROUND(R358-K358,1)=0),"✓","✗")</f>
        <v>✓</v>
      </c>
    </row>
    <row r="359" customFormat="false" ht="15" hidden="false" customHeight="false" outlineLevel="0" collapsed="false">
      <c r="A359" s="11" t="s">
        <v>1765</v>
      </c>
      <c r="B359" s="11" t="s">
        <v>31</v>
      </c>
      <c r="C359" s="11" t="s">
        <v>32</v>
      </c>
      <c r="D359" s="11" t="s">
        <v>1337</v>
      </c>
      <c r="E359" s="11" t="s">
        <v>1374</v>
      </c>
      <c r="F359" s="11" t="s">
        <v>282</v>
      </c>
      <c r="G359" s="11" t="n">
        <v>1</v>
      </c>
      <c r="H359" s="34" t="n">
        <v>100</v>
      </c>
      <c r="I359" s="34" t="n">
        <v>68</v>
      </c>
      <c r="J359" s="34" t="n">
        <v>32</v>
      </c>
      <c r="K359" s="34" t="n">
        <v>32</v>
      </c>
      <c r="L359" s="11" t="s">
        <v>616</v>
      </c>
      <c r="M359" s="11" t="s">
        <v>1250</v>
      </c>
      <c r="N359" s="11" t="s">
        <v>1251</v>
      </c>
      <c r="O359" s="11" t="s">
        <v>1252</v>
      </c>
      <c r="P359" s="11" t="s">
        <v>1557</v>
      </c>
      <c r="Q359" s="25" t="n">
        <f aca="false">SUMIFS('Commentary drivers'!$D:$D,'Commentary drivers'!$A:$A,A359)</f>
        <v>32</v>
      </c>
      <c r="R359" s="25" t="n">
        <f aca="false">SUMIFS('Commentary drivers'!$E:$E,'Commentary drivers'!$A:$A,A359)</f>
        <v>32</v>
      </c>
      <c r="S359" s="49" t="str">
        <f aca="false">IF(AND(ROUND(Q359-J359,4)=0,ROUND(R359-K359,1)=0),"✓","✗")</f>
        <v>✓</v>
      </c>
    </row>
    <row r="360" customFormat="false" ht="15" hidden="false" customHeight="false" outlineLevel="0" collapsed="false">
      <c r="A360" s="11" t="s">
        <v>1766</v>
      </c>
      <c r="B360" s="11" t="s">
        <v>31</v>
      </c>
      <c r="C360" s="11" t="s">
        <v>32</v>
      </c>
      <c r="D360" s="11" t="s">
        <v>1337</v>
      </c>
      <c r="E360" s="11" t="s">
        <v>1376</v>
      </c>
      <c r="F360" s="11" t="s">
        <v>284</v>
      </c>
      <c r="G360" s="11" t="n">
        <v>1</v>
      </c>
      <c r="H360" s="34" t="n">
        <v>40</v>
      </c>
      <c r="I360" s="34" t="n">
        <v>23.455</v>
      </c>
      <c r="J360" s="34" t="n">
        <v>16.545</v>
      </c>
      <c r="K360" s="34" t="n">
        <v>16.5</v>
      </c>
      <c r="L360" s="11" t="s">
        <v>617</v>
      </c>
      <c r="M360" s="11" t="s">
        <v>1250</v>
      </c>
      <c r="N360" s="11" t="s">
        <v>1251</v>
      </c>
      <c r="O360" s="11" t="s">
        <v>1252</v>
      </c>
      <c r="P360" s="11" t="s">
        <v>1557</v>
      </c>
      <c r="Q360" s="25" t="n">
        <f aca="false">SUMIFS('Commentary drivers'!$D:$D,'Commentary drivers'!$A:$A,A360)</f>
        <v>16.545</v>
      </c>
      <c r="R360" s="25" t="n">
        <f aca="false">SUMIFS('Commentary drivers'!$E:$E,'Commentary drivers'!$A:$A,A360)</f>
        <v>16.5</v>
      </c>
      <c r="S360" s="49" t="str">
        <f aca="false">IF(AND(ROUND(Q360-J360,4)=0,ROUND(R360-K360,1)=0),"✓","✗")</f>
        <v>✓</v>
      </c>
    </row>
    <row r="361" customFormat="false" ht="15" hidden="false" customHeight="false" outlineLevel="0" collapsed="false">
      <c r="A361" s="11" t="s">
        <v>1767</v>
      </c>
      <c r="B361" s="11" t="s">
        <v>31</v>
      </c>
      <c r="C361" s="11" t="s">
        <v>32</v>
      </c>
      <c r="D361" s="11" t="s">
        <v>1337</v>
      </c>
      <c r="E361" s="11" t="s">
        <v>1378</v>
      </c>
      <c r="F361" s="11" t="s">
        <v>286</v>
      </c>
      <c r="G361" s="11" t="n">
        <v>1</v>
      </c>
      <c r="H361" s="34" t="n">
        <v>20</v>
      </c>
      <c r="I361" s="34" t="n">
        <v>7</v>
      </c>
      <c r="J361" s="34" t="n">
        <v>13</v>
      </c>
      <c r="K361" s="34" t="n">
        <v>13</v>
      </c>
      <c r="L361" s="11" t="s">
        <v>618</v>
      </c>
      <c r="M361" s="11" t="s">
        <v>1250</v>
      </c>
      <c r="N361" s="11" t="s">
        <v>1251</v>
      </c>
      <c r="O361" s="11" t="s">
        <v>1252</v>
      </c>
      <c r="P361" s="11" t="s">
        <v>1557</v>
      </c>
      <c r="Q361" s="25" t="n">
        <f aca="false">SUMIFS('Commentary drivers'!$D:$D,'Commentary drivers'!$A:$A,A361)</f>
        <v>13</v>
      </c>
      <c r="R361" s="25" t="n">
        <f aca="false">SUMIFS('Commentary drivers'!$E:$E,'Commentary drivers'!$A:$A,A361)</f>
        <v>13</v>
      </c>
      <c r="S361" s="49" t="str">
        <f aca="false">IF(AND(ROUND(Q361-J361,4)=0,ROUND(R361-K361,1)=0),"✓","✗")</f>
        <v>✓</v>
      </c>
    </row>
    <row r="362" customFormat="false" ht="15" hidden="false" customHeight="false" outlineLevel="0" collapsed="false">
      <c r="A362" s="11" t="s">
        <v>1768</v>
      </c>
      <c r="B362" s="11" t="s">
        <v>31</v>
      </c>
      <c r="C362" s="11" t="s">
        <v>32</v>
      </c>
      <c r="D362" s="11" t="s">
        <v>1337</v>
      </c>
      <c r="E362" s="11" t="s">
        <v>1380</v>
      </c>
      <c r="F362" s="11" t="s">
        <v>169</v>
      </c>
      <c r="G362" s="11" t="n">
        <v>0</v>
      </c>
      <c r="H362" s="34" t="n">
        <v>900</v>
      </c>
      <c r="I362" s="34" t="n">
        <v>807.62992</v>
      </c>
      <c r="J362" s="34" t="n">
        <v>92.37008</v>
      </c>
      <c r="K362" s="34" t="n">
        <v>92.4</v>
      </c>
      <c r="L362" s="11" t="s">
        <v>619</v>
      </c>
      <c r="M362" s="11" t="s">
        <v>1250</v>
      </c>
      <c r="N362" s="11" t="s">
        <v>1251</v>
      </c>
      <c r="O362" s="11" t="s">
        <v>1252</v>
      </c>
      <c r="P362" s="11" t="s">
        <v>1557</v>
      </c>
      <c r="Q362" s="25" t="n">
        <f aca="false">SUMIFS('Commentary drivers'!$D:$D,'Commentary drivers'!$A:$A,A362)</f>
        <v>92.37008</v>
      </c>
      <c r="R362" s="25" t="n">
        <f aca="false">SUMIFS('Commentary drivers'!$E:$E,'Commentary drivers'!$A:$A,A362)</f>
        <v>92.4</v>
      </c>
      <c r="S362" s="49" t="str">
        <f aca="false">IF(AND(ROUND(Q362-J362,4)=0,ROUND(R362-K362,1)=0),"✓","✗")</f>
        <v>✓</v>
      </c>
    </row>
    <row r="363" customFormat="false" ht="15" hidden="false" customHeight="false" outlineLevel="0" collapsed="false">
      <c r="A363" s="11" t="s">
        <v>1769</v>
      </c>
      <c r="B363" s="11" t="s">
        <v>31</v>
      </c>
      <c r="C363" s="11" t="s">
        <v>32</v>
      </c>
      <c r="D363" s="11" t="s">
        <v>1337</v>
      </c>
      <c r="E363" s="11" t="s">
        <v>1382</v>
      </c>
      <c r="F363" s="11" t="s">
        <v>170</v>
      </c>
      <c r="G363" s="11" t="n">
        <v>0</v>
      </c>
      <c r="H363" s="34" t="n">
        <v>60</v>
      </c>
      <c r="I363" s="34" t="n">
        <v>48.90167</v>
      </c>
      <c r="J363" s="34" t="n">
        <v>11.09833</v>
      </c>
      <c r="K363" s="34" t="n">
        <v>11.1</v>
      </c>
      <c r="L363" s="11" t="s">
        <v>620</v>
      </c>
      <c r="M363" s="11" t="s">
        <v>1250</v>
      </c>
      <c r="N363" s="11" t="s">
        <v>1251</v>
      </c>
      <c r="O363" s="11" t="s">
        <v>1252</v>
      </c>
      <c r="P363" s="11" t="s">
        <v>1557</v>
      </c>
      <c r="Q363" s="25" t="n">
        <f aca="false">SUMIFS('Commentary drivers'!$D:$D,'Commentary drivers'!$A:$A,A363)</f>
        <v>11.09833</v>
      </c>
      <c r="R363" s="25" t="n">
        <f aca="false">SUMIFS('Commentary drivers'!$E:$E,'Commentary drivers'!$A:$A,A363)</f>
        <v>11.1</v>
      </c>
      <c r="S363" s="49" t="str">
        <f aca="false">IF(AND(ROUND(Q363-J363,4)=0,ROUND(R363-K363,1)=0),"✓","✗")</f>
        <v>✓</v>
      </c>
    </row>
    <row r="364" customFormat="false" ht="15" hidden="false" customHeight="false" outlineLevel="0" collapsed="false">
      <c r="A364" s="11" t="s">
        <v>1770</v>
      </c>
      <c r="B364" s="11" t="s">
        <v>31</v>
      </c>
      <c r="C364" s="11" t="s">
        <v>32</v>
      </c>
      <c r="D364" s="11" t="s">
        <v>1337</v>
      </c>
      <c r="E364" s="11" t="s">
        <v>1384</v>
      </c>
      <c r="F364" s="11" t="s">
        <v>265</v>
      </c>
      <c r="G364" s="11" t="n">
        <v>1</v>
      </c>
      <c r="H364" s="34" t="n">
        <v>30</v>
      </c>
      <c r="I364" s="34" t="n">
        <v>24.485</v>
      </c>
      <c r="J364" s="34" t="n">
        <v>5.515</v>
      </c>
      <c r="K364" s="34" t="n">
        <v>5.5</v>
      </c>
      <c r="L364" s="11" t="s">
        <v>621</v>
      </c>
      <c r="M364" s="11" t="s">
        <v>1250</v>
      </c>
      <c r="N364" s="11" t="s">
        <v>1251</v>
      </c>
      <c r="O364" s="11" t="s">
        <v>1252</v>
      </c>
      <c r="P364" s="11" t="s">
        <v>1557</v>
      </c>
      <c r="Q364" s="25" t="n">
        <f aca="false">SUMIFS('Commentary drivers'!$D:$D,'Commentary drivers'!$A:$A,A364)</f>
        <v>5.515</v>
      </c>
      <c r="R364" s="25" t="n">
        <f aca="false">SUMIFS('Commentary drivers'!$E:$E,'Commentary drivers'!$A:$A,A364)</f>
        <v>5.5</v>
      </c>
      <c r="S364" s="49" t="str">
        <f aca="false">IF(AND(ROUND(Q364-J364,4)=0,ROUND(R364-K364,1)=0),"✓","✗")</f>
        <v>✓</v>
      </c>
    </row>
    <row r="365" customFormat="false" ht="15" hidden="false" customHeight="false" outlineLevel="0" collapsed="false">
      <c r="A365" s="11" t="s">
        <v>1771</v>
      </c>
      <c r="B365" s="11" t="s">
        <v>31</v>
      </c>
      <c r="C365" s="11" t="s">
        <v>32</v>
      </c>
      <c r="D365" s="11" t="s">
        <v>1337</v>
      </c>
      <c r="E365" s="11" t="s">
        <v>1386</v>
      </c>
      <c r="F365" s="11" t="s">
        <v>267</v>
      </c>
      <c r="G365" s="11" t="n">
        <v>1</v>
      </c>
      <c r="H365" s="34" t="n">
        <v>10</v>
      </c>
      <c r="I365" s="34" t="n">
        <v>8.16667</v>
      </c>
      <c r="J365" s="34" t="n">
        <v>1.83333</v>
      </c>
      <c r="K365" s="34" t="n">
        <v>1.8</v>
      </c>
      <c r="L365" s="11" t="s">
        <v>622</v>
      </c>
      <c r="M365" s="11" t="s">
        <v>1250</v>
      </c>
      <c r="N365" s="11" t="s">
        <v>1262</v>
      </c>
      <c r="O365" s="11"/>
      <c r="P365" s="11"/>
      <c r="Q365" s="25" t="n">
        <f aca="false">SUMIFS('Commentary drivers'!$D:$D,'Commentary drivers'!$A:$A,A365)</f>
        <v>1.83333</v>
      </c>
      <c r="R365" s="25" t="n">
        <f aca="false">SUMIFS('Commentary drivers'!$E:$E,'Commentary drivers'!$A:$A,A365)</f>
        <v>1.8</v>
      </c>
      <c r="S365" s="49" t="str">
        <f aca="false">IF(AND(ROUND(Q365-J365,4)=0,ROUND(R365-K365,1)=0),"✓","✗")</f>
        <v>✓</v>
      </c>
    </row>
    <row r="366" customFormat="false" ht="15" hidden="false" customHeight="false" outlineLevel="0" collapsed="false">
      <c r="A366" s="11" t="s">
        <v>1772</v>
      </c>
      <c r="B366" s="11" t="s">
        <v>31</v>
      </c>
      <c r="C366" s="11" t="s">
        <v>32</v>
      </c>
      <c r="D366" s="11" t="s">
        <v>1337</v>
      </c>
      <c r="E366" s="11" t="s">
        <v>1388</v>
      </c>
      <c r="F366" s="11" t="s">
        <v>269</v>
      </c>
      <c r="G366" s="11" t="n">
        <v>1</v>
      </c>
      <c r="H366" s="34" t="n">
        <v>20</v>
      </c>
      <c r="I366" s="34" t="n">
        <v>16.25</v>
      </c>
      <c r="J366" s="34" t="n">
        <v>3.75</v>
      </c>
      <c r="K366" s="34" t="n">
        <v>3.8</v>
      </c>
      <c r="L366" s="11" t="s">
        <v>608</v>
      </c>
      <c r="M366" s="11" t="s">
        <v>1250</v>
      </c>
      <c r="N366" s="11" t="s">
        <v>1251</v>
      </c>
      <c r="O366" s="11" t="s">
        <v>1252</v>
      </c>
      <c r="P366" s="11" t="s">
        <v>1557</v>
      </c>
      <c r="Q366" s="25" t="n">
        <f aca="false">SUMIFS('Commentary drivers'!$D:$D,'Commentary drivers'!$A:$A,A366)</f>
        <v>3.75</v>
      </c>
      <c r="R366" s="25" t="n">
        <f aca="false">SUMIFS('Commentary drivers'!$E:$E,'Commentary drivers'!$A:$A,A366)</f>
        <v>3.8</v>
      </c>
      <c r="S366" s="49" t="str">
        <f aca="false">IF(AND(ROUND(Q366-J366,4)=0,ROUND(R366-K366,1)=0),"✓","✗")</f>
        <v>✓</v>
      </c>
    </row>
    <row r="367" customFormat="false" ht="15" hidden="false" customHeight="false" outlineLevel="0" collapsed="false">
      <c r="A367" s="11" t="s">
        <v>1773</v>
      </c>
      <c r="B367" s="11" t="s">
        <v>31</v>
      </c>
      <c r="C367" s="11" t="s">
        <v>32</v>
      </c>
      <c r="D367" s="11" t="s">
        <v>1337</v>
      </c>
      <c r="E367" s="11" t="s">
        <v>1390</v>
      </c>
      <c r="F367" s="11" t="s">
        <v>157</v>
      </c>
      <c r="G367" s="11" t="n">
        <v>0</v>
      </c>
      <c r="H367" s="34" t="n">
        <v>420</v>
      </c>
      <c r="I367" s="34" t="n">
        <v>318.45158</v>
      </c>
      <c r="J367" s="34" t="n">
        <v>101.54842</v>
      </c>
      <c r="K367" s="34" t="n">
        <v>101.5</v>
      </c>
      <c r="L367" s="11" t="s">
        <v>623</v>
      </c>
      <c r="M367" s="11" t="s">
        <v>1250</v>
      </c>
      <c r="N367" s="11" t="s">
        <v>1251</v>
      </c>
      <c r="O367" s="11" t="s">
        <v>1252</v>
      </c>
      <c r="P367" s="11" t="s">
        <v>1557</v>
      </c>
      <c r="Q367" s="25" t="n">
        <f aca="false">SUMIFS('Commentary drivers'!$D:$D,'Commentary drivers'!$A:$A,A367)</f>
        <v>101.54842</v>
      </c>
      <c r="R367" s="25" t="n">
        <f aca="false">SUMIFS('Commentary drivers'!$E:$E,'Commentary drivers'!$A:$A,A367)</f>
        <v>101.5</v>
      </c>
      <c r="S367" s="49" t="str">
        <f aca="false">IF(AND(ROUND(Q367-J367,4)=0,ROUND(R367-K367,1)=0),"✓","✗")</f>
        <v>✓</v>
      </c>
    </row>
    <row r="368" customFormat="false" ht="15" hidden="false" customHeight="false" outlineLevel="0" collapsed="false">
      <c r="A368" s="11" t="s">
        <v>1774</v>
      </c>
      <c r="B368" s="11" t="s">
        <v>31</v>
      </c>
      <c r="C368" s="11" t="s">
        <v>32</v>
      </c>
      <c r="D368" s="11" t="s">
        <v>1337</v>
      </c>
      <c r="E368" s="11" t="s">
        <v>1392</v>
      </c>
      <c r="F368" s="11" t="s">
        <v>296</v>
      </c>
      <c r="G368" s="11" t="n">
        <v>1</v>
      </c>
      <c r="H368" s="34" t="n">
        <v>300</v>
      </c>
      <c r="I368" s="34" t="n">
        <v>224.61825</v>
      </c>
      <c r="J368" s="34" t="n">
        <v>75.38175</v>
      </c>
      <c r="K368" s="34" t="n">
        <v>75.4</v>
      </c>
      <c r="L368" s="11" t="s">
        <v>624</v>
      </c>
      <c r="M368" s="11" t="s">
        <v>1250</v>
      </c>
      <c r="N368" s="11" t="s">
        <v>1251</v>
      </c>
      <c r="O368" s="11" t="s">
        <v>1252</v>
      </c>
      <c r="P368" s="11" t="s">
        <v>1557</v>
      </c>
      <c r="Q368" s="25" t="n">
        <f aca="false">SUMIFS('Commentary drivers'!$D:$D,'Commentary drivers'!$A:$A,A368)</f>
        <v>75.38175</v>
      </c>
      <c r="R368" s="25" t="n">
        <f aca="false">SUMIFS('Commentary drivers'!$E:$E,'Commentary drivers'!$A:$A,A368)</f>
        <v>75.4</v>
      </c>
      <c r="S368" s="49" t="str">
        <f aca="false">IF(AND(ROUND(Q368-J368,4)=0,ROUND(R368-K368,1)=0),"✓","✗")</f>
        <v>✓</v>
      </c>
    </row>
    <row r="369" customFormat="false" ht="15" hidden="false" customHeight="false" outlineLevel="0" collapsed="false">
      <c r="A369" s="11" t="s">
        <v>1775</v>
      </c>
      <c r="B369" s="11" t="s">
        <v>31</v>
      </c>
      <c r="C369" s="11" t="s">
        <v>32</v>
      </c>
      <c r="D369" s="11" t="s">
        <v>1337</v>
      </c>
      <c r="E369" s="11" t="s">
        <v>1394</v>
      </c>
      <c r="F369" s="11" t="s">
        <v>298</v>
      </c>
      <c r="G369" s="11" t="n">
        <v>1</v>
      </c>
      <c r="H369" s="34" t="n">
        <v>40</v>
      </c>
      <c r="I369" s="34" t="n">
        <v>31</v>
      </c>
      <c r="J369" s="34" t="n">
        <v>9</v>
      </c>
      <c r="K369" s="34" t="n">
        <v>9</v>
      </c>
      <c r="L369" s="11" t="s">
        <v>625</v>
      </c>
      <c r="M369" s="11" t="s">
        <v>1250</v>
      </c>
      <c r="N369" s="11" t="s">
        <v>1251</v>
      </c>
      <c r="O369" s="11" t="s">
        <v>1252</v>
      </c>
      <c r="P369" s="11" t="s">
        <v>1557</v>
      </c>
      <c r="Q369" s="25" t="n">
        <f aca="false">SUMIFS('Commentary drivers'!$D:$D,'Commentary drivers'!$A:$A,A369)</f>
        <v>9</v>
      </c>
      <c r="R369" s="25" t="n">
        <f aca="false">SUMIFS('Commentary drivers'!$E:$E,'Commentary drivers'!$A:$A,A369)</f>
        <v>9</v>
      </c>
      <c r="S369" s="49" t="str">
        <f aca="false">IF(AND(ROUND(Q369-J369,4)=0,ROUND(R369-K369,1)=0),"✓","✗")</f>
        <v>✓</v>
      </c>
    </row>
    <row r="370" customFormat="false" ht="15" hidden="false" customHeight="false" outlineLevel="0" collapsed="false">
      <c r="A370" s="11" t="s">
        <v>1776</v>
      </c>
      <c r="B370" s="11" t="s">
        <v>31</v>
      </c>
      <c r="C370" s="11" t="s">
        <v>32</v>
      </c>
      <c r="D370" s="11" t="s">
        <v>1337</v>
      </c>
      <c r="E370" s="11" t="s">
        <v>1396</v>
      </c>
      <c r="F370" s="11" t="s">
        <v>265</v>
      </c>
      <c r="G370" s="11" t="n">
        <v>1</v>
      </c>
      <c r="H370" s="34" t="n">
        <v>30</v>
      </c>
      <c r="I370" s="34" t="n">
        <v>22.125</v>
      </c>
      <c r="J370" s="34" t="n">
        <v>7.875</v>
      </c>
      <c r="K370" s="34" t="n">
        <v>7.9</v>
      </c>
      <c r="L370" s="11" t="s">
        <v>626</v>
      </c>
      <c r="M370" s="11" t="s">
        <v>1250</v>
      </c>
      <c r="N370" s="11" t="s">
        <v>1251</v>
      </c>
      <c r="O370" s="11" t="s">
        <v>1252</v>
      </c>
      <c r="P370" s="11" t="s">
        <v>1557</v>
      </c>
      <c r="Q370" s="25" t="n">
        <f aca="false">SUMIFS('Commentary drivers'!$D:$D,'Commentary drivers'!$A:$A,A370)</f>
        <v>7.875</v>
      </c>
      <c r="R370" s="25" t="n">
        <f aca="false">SUMIFS('Commentary drivers'!$E:$E,'Commentary drivers'!$A:$A,A370)</f>
        <v>7.9</v>
      </c>
      <c r="S370" s="49" t="str">
        <f aca="false">IF(AND(ROUND(Q370-J370,4)=0,ROUND(R370-K370,1)=0),"✓","✗")</f>
        <v>✓</v>
      </c>
    </row>
    <row r="371" customFormat="false" ht="15" hidden="false" customHeight="false" outlineLevel="0" collapsed="false">
      <c r="A371" s="11" t="s">
        <v>1777</v>
      </c>
      <c r="B371" s="11" t="s">
        <v>31</v>
      </c>
      <c r="C371" s="11" t="s">
        <v>32</v>
      </c>
      <c r="D371" s="11" t="s">
        <v>1337</v>
      </c>
      <c r="E371" s="11" t="s">
        <v>1398</v>
      </c>
      <c r="F371" s="11" t="s">
        <v>267</v>
      </c>
      <c r="G371" s="11" t="n">
        <v>1</v>
      </c>
      <c r="H371" s="34" t="n">
        <v>20</v>
      </c>
      <c r="I371" s="34" t="n">
        <v>16.33333</v>
      </c>
      <c r="J371" s="34" t="n">
        <v>3.66667</v>
      </c>
      <c r="K371" s="34" t="n">
        <v>3.7</v>
      </c>
      <c r="L371" s="11" t="s">
        <v>607</v>
      </c>
      <c r="M371" s="11" t="s">
        <v>1250</v>
      </c>
      <c r="N371" s="11" t="s">
        <v>1251</v>
      </c>
      <c r="O371" s="11" t="s">
        <v>1252</v>
      </c>
      <c r="P371" s="11" t="s">
        <v>1557</v>
      </c>
      <c r="Q371" s="25" t="n">
        <f aca="false">SUMIFS('Commentary drivers'!$D:$D,'Commentary drivers'!$A:$A,A371)</f>
        <v>3.66667</v>
      </c>
      <c r="R371" s="25" t="n">
        <f aca="false">SUMIFS('Commentary drivers'!$E:$E,'Commentary drivers'!$A:$A,A371)</f>
        <v>3.7</v>
      </c>
      <c r="S371" s="49" t="str">
        <f aca="false">IF(AND(ROUND(Q371-J371,4)=0,ROUND(R371-K371,1)=0),"✓","✗")</f>
        <v>✓</v>
      </c>
    </row>
    <row r="372" customFormat="false" ht="15" hidden="false" customHeight="false" outlineLevel="0" collapsed="false">
      <c r="A372" s="11" t="s">
        <v>1778</v>
      </c>
      <c r="B372" s="11" t="s">
        <v>31</v>
      </c>
      <c r="C372" s="11" t="s">
        <v>32</v>
      </c>
      <c r="D372" s="11" t="s">
        <v>1337</v>
      </c>
      <c r="E372" s="11" t="s">
        <v>1400</v>
      </c>
      <c r="F372" s="11" t="s">
        <v>269</v>
      </c>
      <c r="G372" s="11" t="n">
        <v>1</v>
      </c>
      <c r="H372" s="34" t="n">
        <v>30</v>
      </c>
      <c r="I372" s="34" t="n">
        <v>24.375</v>
      </c>
      <c r="J372" s="34" t="n">
        <v>5.625</v>
      </c>
      <c r="K372" s="34" t="n">
        <v>5.6</v>
      </c>
      <c r="L372" s="11" t="s">
        <v>627</v>
      </c>
      <c r="M372" s="11" t="s">
        <v>1250</v>
      </c>
      <c r="N372" s="11" t="s">
        <v>1251</v>
      </c>
      <c r="O372" s="11" t="s">
        <v>1252</v>
      </c>
      <c r="P372" s="11" t="s">
        <v>1557</v>
      </c>
      <c r="Q372" s="25" t="n">
        <f aca="false">SUMIFS('Commentary drivers'!$D:$D,'Commentary drivers'!$A:$A,A372)</f>
        <v>5.625</v>
      </c>
      <c r="R372" s="25" t="n">
        <f aca="false">SUMIFS('Commentary drivers'!$E:$E,'Commentary drivers'!$A:$A,A372)</f>
        <v>5.6</v>
      </c>
      <c r="S372" s="49" t="str">
        <f aca="false">IF(AND(ROUND(Q372-J372,4)=0,ROUND(R372-K372,1)=0),"✓","✗")</f>
        <v>✓</v>
      </c>
    </row>
    <row r="373" customFormat="false" ht="15" hidden="false" customHeight="false" outlineLevel="0" collapsed="false">
      <c r="A373" s="11" t="s">
        <v>1779</v>
      </c>
      <c r="B373" s="11" t="s">
        <v>31</v>
      </c>
      <c r="C373" s="11" t="s">
        <v>32</v>
      </c>
      <c r="D373" s="11" t="s">
        <v>1337</v>
      </c>
      <c r="E373" s="11" t="s">
        <v>1402</v>
      </c>
      <c r="F373" s="11" t="s">
        <v>159</v>
      </c>
      <c r="G373" s="11" t="n">
        <v>0</v>
      </c>
      <c r="H373" s="34" t="n">
        <v>200</v>
      </c>
      <c r="I373" s="34" t="n">
        <v>151.29167</v>
      </c>
      <c r="J373" s="34" t="n">
        <v>48.70833</v>
      </c>
      <c r="K373" s="34" t="n">
        <v>48.7</v>
      </c>
      <c r="L373" s="11" t="s">
        <v>628</v>
      </c>
      <c r="M373" s="11" t="s">
        <v>1250</v>
      </c>
      <c r="N373" s="11" t="s">
        <v>1251</v>
      </c>
      <c r="O373" s="11" t="s">
        <v>1252</v>
      </c>
      <c r="P373" s="11" t="s">
        <v>1557</v>
      </c>
      <c r="Q373" s="25" t="n">
        <f aca="false">SUMIFS('Commentary drivers'!$D:$D,'Commentary drivers'!$A:$A,A373)</f>
        <v>48.70833</v>
      </c>
      <c r="R373" s="25" t="n">
        <f aca="false">SUMIFS('Commentary drivers'!$E:$E,'Commentary drivers'!$A:$A,A373)</f>
        <v>48.7</v>
      </c>
      <c r="S373" s="49" t="str">
        <f aca="false">IF(AND(ROUND(Q373-J373,4)=0,ROUND(R373-K373,1)=0),"✓","✗")</f>
        <v>✓</v>
      </c>
    </row>
    <row r="374" customFormat="false" ht="15" hidden="false" customHeight="false" outlineLevel="0" collapsed="false">
      <c r="A374" s="11" t="s">
        <v>1780</v>
      </c>
      <c r="B374" s="11" t="s">
        <v>31</v>
      </c>
      <c r="C374" s="11" t="s">
        <v>32</v>
      </c>
      <c r="D374" s="11" t="s">
        <v>1337</v>
      </c>
      <c r="E374" s="11" t="s">
        <v>1404</v>
      </c>
      <c r="F374" s="11" t="s">
        <v>304</v>
      </c>
      <c r="G374" s="11" t="n">
        <v>1</v>
      </c>
      <c r="H374" s="34" t="n">
        <v>180</v>
      </c>
      <c r="I374" s="34" t="n">
        <v>135</v>
      </c>
      <c r="J374" s="34" t="n">
        <v>45</v>
      </c>
      <c r="K374" s="34" t="n">
        <v>45</v>
      </c>
      <c r="L374" s="11" t="s">
        <v>629</v>
      </c>
      <c r="M374" s="11" t="s">
        <v>1315</v>
      </c>
      <c r="N374" s="11" t="s">
        <v>1251</v>
      </c>
      <c r="O374" s="11" t="s">
        <v>1252</v>
      </c>
      <c r="P374" s="11" t="s">
        <v>1557</v>
      </c>
      <c r="Q374" s="25" t="n">
        <f aca="false">SUMIFS('Commentary drivers'!$D:$D,'Commentary drivers'!$A:$A,A374)</f>
        <v>45</v>
      </c>
      <c r="R374" s="25" t="n">
        <f aca="false">SUMIFS('Commentary drivers'!$E:$E,'Commentary drivers'!$A:$A,A374)</f>
        <v>45</v>
      </c>
      <c r="S374" s="49" t="str">
        <f aca="false">IF(AND(ROUND(Q374-J374,4)=0,ROUND(R374-K374,1)=0),"✓","✗")</f>
        <v>✓</v>
      </c>
    </row>
    <row r="375" customFormat="false" ht="15" hidden="false" customHeight="false" outlineLevel="0" collapsed="false">
      <c r="A375" s="11" t="s">
        <v>1781</v>
      </c>
      <c r="B375" s="11" t="s">
        <v>31</v>
      </c>
      <c r="C375" s="11" t="s">
        <v>32</v>
      </c>
      <c r="D375" s="11" t="s">
        <v>1337</v>
      </c>
      <c r="E375" s="11" t="s">
        <v>1406</v>
      </c>
      <c r="F375" s="11" t="s">
        <v>267</v>
      </c>
      <c r="G375" s="11" t="n">
        <v>1</v>
      </c>
      <c r="H375" s="34" t="n">
        <v>10</v>
      </c>
      <c r="I375" s="34" t="n">
        <v>8.16667</v>
      </c>
      <c r="J375" s="34" t="n">
        <v>1.83333</v>
      </c>
      <c r="K375" s="34" t="n">
        <v>1.8</v>
      </c>
      <c r="L375" s="11" t="s">
        <v>622</v>
      </c>
      <c r="M375" s="11" t="s">
        <v>1250</v>
      </c>
      <c r="N375" s="11" t="s">
        <v>1262</v>
      </c>
      <c r="O375" s="11"/>
      <c r="P375" s="11"/>
      <c r="Q375" s="25" t="n">
        <f aca="false">SUMIFS('Commentary drivers'!$D:$D,'Commentary drivers'!$A:$A,A375)</f>
        <v>1.83333</v>
      </c>
      <c r="R375" s="25" t="n">
        <f aca="false">SUMIFS('Commentary drivers'!$E:$E,'Commentary drivers'!$A:$A,A375)</f>
        <v>1.8</v>
      </c>
      <c r="S375" s="49" t="str">
        <f aca="false">IF(AND(ROUND(Q375-J375,4)=0,ROUND(R375-K375,1)=0),"✓","✗")</f>
        <v>✓</v>
      </c>
    </row>
    <row r="376" customFormat="false" ht="15" hidden="false" customHeight="false" outlineLevel="0" collapsed="false">
      <c r="A376" s="11" t="s">
        <v>1782</v>
      </c>
      <c r="B376" s="11" t="s">
        <v>31</v>
      </c>
      <c r="C376" s="11" t="s">
        <v>32</v>
      </c>
      <c r="D376" s="11" t="s">
        <v>1337</v>
      </c>
      <c r="E376" s="11" t="s">
        <v>1408</v>
      </c>
      <c r="F376" s="11" t="s">
        <v>269</v>
      </c>
      <c r="G376" s="11" t="n">
        <v>1</v>
      </c>
      <c r="H376" s="34" t="n">
        <v>10</v>
      </c>
      <c r="I376" s="34" t="n">
        <v>8.125</v>
      </c>
      <c r="J376" s="34" t="n">
        <v>1.875</v>
      </c>
      <c r="K376" s="34" t="n">
        <v>1.9</v>
      </c>
      <c r="L376" s="11" t="s">
        <v>630</v>
      </c>
      <c r="M376" s="11" t="s">
        <v>1250</v>
      </c>
      <c r="N376" s="11" t="s">
        <v>1262</v>
      </c>
      <c r="O376" s="11"/>
      <c r="P376" s="11"/>
      <c r="Q376" s="25" t="n">
        <f aca="false">SUMIFS('Commentary drivers'!$D:$D,'Commentary drivers'!$A:$A,A376)</f>
        <v>1.875</v>
      </c>
      <c r="R376" s="25" t="n">
        <f aca="false">SUMIFS('Commentary drivers'!$E:$E,'Commentary drivers'!$A:$A,A376)</f>
        <v>1.9</v>
      </c>
      <c r="S376" s="49" t="str">
        <f aca="false">IF(AND(ROUND(Q376-J376,4)=0,ROUND(R376-K376,1)=0),"✓","✗")</f>
        <v>✓</v>
      </c>
    </row>
    <row r="377" customFormat="false" ht="15" hidden="false" customHeight="false" outlineLevel="0" collapsed="false">
      <c r="A377" s="11" t="s">
        <v>1783</v>
      </c>
      <c r="B377" s="11" t="s">
        <v>31</v>
      </c>
      <c r="C377" s="11" t="s">
        <v>32</v>
      </c>
      <c r="D377" s="11" t="s">
        <v>1337</v>
      </c>
      <c r="E377" s="11" t="s">
        <v>1410</v>
      </c>
      <c r="F377" s="11" t="s">
        <v>171</v>
      </c>
      <c r="G377" s="11" t="n">
        <v>0</v>
      </c>
      <c r="H377" s="34" t="n">
        <v>680</v>
      </c>
      <c r="I377" s="34" t="n">
        <v>518.64492</v>
      </c>
      <c r="J377" s="34" t="n">
        <v>161.35508</v>
      </c>
      <c r="K377" s="34" t="n">
        <v>161.4</v>
      </c>
      <c r="L377" s="11" t="s">
        <v>631</v>
      </c>
      <c r="M377" s="11" t="s">
        <v>1250</v>
      </c>
      <c r="N377" s="11" t="s">
        <v>1251</v>
      </c>
      <c r="O377" s="11" t="s">
        <v>1252</v>
      </c>
      <c r="P377" s="11" t="s">
        <v>1557</v>
      </c>
      <c r="Q377" s="25" t="n">
        <f aca="false">SUMIFS('Commentary drivers'!$D:$D,'Commentary drivers'!$A:$A,A377)</f>
        <v>161.35508</v>
      </c>
      <c r="R377" s="25" t="n">
        <f aca="false">SUMIFS('Commentary drivers'!$E:$E,'Commentary drivers'!$A:$A,A377)</f>
        <v>161.4</v>
      </c>
      <c r="S377" s="49" t="str">
        <f aca="false">IF(AND(ROUND(Q377-J377,4)=0,ROUND(R377-K377,1)=0),"✓","✗")</f>
        <v>✓</v>
      </c>
    </row>
    <row r="378" customFormat="false" ht="15" hidden="false" customHeight="false" outlineLevel="0" collapsed="false">
      <c r="A378" s="11" t="s">
        <v>1784</v>
      </c>
      <c r="B378" s="11" t="s">
        <v>31</v>
      </c>
      <c r="C378" s="11" t="s">
        <v>32</v>
      </c>
      <c r="D378" s="11" t="s">
        <v>1337</v>
      </c>
      <c r="E378" s="11" t="s">
        <v>1412</v>
      </c>
      <c r="F378" s="11" t="s">
        <v>96</v>
      </c>
      <c r="G378" s="11" t="n">
        <v>0</v>
      </c>
      <c r="H378" s="34" t="n">
        <v>220</v>
      </c>
      <c r="I378" s="34" t="n">
        <v>288.985</v>
      </c>
      <c r="J378" s="34" t="n">
        <v>-68.985</v>
      </c>
      <c r="K378" s="34" t="n">
        <v>-69</v>
      </c>
      <c r="L378" s="11" t="s">
        <v>632</v>
      </c>
      <c r="M378" s="11" t="s">
        <v>1250</v>
      </c>
      <c r="N378" s="11" t="s">
        <v>1251</v>
      </c>
      <c r="O378" s="11" t="s">
        <v>1252</v>
      </c>
      <c r="P378" s="11" t="s">
        <v>1557</v>
      </c>
      <c r="Q378" s="25" t="n">
        <f aca="false">SUMIFS('Commentary drivers'!$D:$D,'Commentary drivers'!$A:$A,A378)</f>
        <v>-68.985</v>
      </c>
      <c r="R378" s="25" t="n">
        <f aca="false">SUMIFS('Commentary drivers'!$E:$E,'Commentary drivers'!$A:$A,A378)</f>
        <v>-69</v>
      </c>
      <c r="S378" s="49" t="str">
        <f aca="false">IF(AND(ROUND(Q378-J378,4)=0,ROUND(R378-K378,1)=0),"✓","✗")</f>
        <v>✓</v>
      </c>
    </row>
    <row r="379" customFormat="false" ht="15" hidden="false" customHeight="false" outlineLevel="0" collapsed="false">
      <c r="A379" s="11" t="s">
        <v>1785</v>
      </c>
      <c r="B379" s="11" t="s">
        <v>31</v>
      </c>
      <c r="C379" s="11" t="s">
        <v>32</v>
      </c>
      <c r="D379" s="11" t="s">
        <v>1337</v>
      </c>
      <c r="E379" s="11" t="s">
        <v>1414</v>
      </c>
      <c r="F379" s="11" t="s">
        <v>160</v>
      </c>
      <c r="G379" s="11" t="n">
        <v>0</v>
      </c>
      <c r="H379" s="34" t="n">
        <v>10</v>
      </c>
      <c r="I379" s="34" t="n">
        <v>13</v>
      </c>
      <c r="J379" s="34" t="n">
        <v>-3</v>
      </c>
      <c r="K379" s="34" t="n">
        <v>-3</v>
      </c>
      <c r="L379" s="11" t="s">
        <v>596</v>
      </c>
      <c r="M379" s="11" t="s">
        <v>1250</v>
      </c>
      <c r="N379" s="11" t="s">
        <v>1251</v>
      </c>
      <c r="O379" s="11" t="s">
        <v>1252</v>
      </c>
      <c r="P379" s="11" t="s">
        <v>1557</v>
      </c>
      <c r="Q379" s="25" t="n">
        <f aca="false">SUMIFS('Commentary drivers'!$D:$D,'Commentary drivers'!$A:$A,A379)</f>
        <v>-3</v>
      </c>
      <c r="R379" s="25" t="n">
        <f aca="false">SUMIFS('Commentary drivers'!$E:$E,'Commentary drivers'!$A:$A,A379)</f>
        <v>-3</v>
      </c>
      <c r="S379" s="49" t="str">
        <f aca="false">IF(AND(ROUND(Q379-J379,4)=0,ROUND(R379-K379,1)=0),"✓","✗")</f>
        <v>✓</v>
      </c>
    </row>
    <row r="380" customFormat="false" ht="15" hidden="false" customHeight="false" outlineLevel="0" collapsed="false">
      <c r="A380" s="11" t="s">
        <v>1786</v>
      </c>
      <c r="B380" s="11" t="s">
        <v>31</v>
      </c>
      <c r="C380" s="11" t="s">
        <v>32</v>
      </c>
      <c r="D380" s="11" t="s">
        <v>1337</v>
      </c>
      <c r="E380" s="11" t="s">
        <v>1416</v>
      </c>
      <c r="F380" s="11" t="s">
        <v>161</v>
      </c>
      <c r="G380" s="11" t="n">
        <v>0</v>
      </c>
      <c r="H380" s="34" t="n">
        <v>30</v>
      </c>
      <c r="I380" s="34" t="n">
        <v>32</v>
      </c>
      <c r="J380" s="34" t="n">
        <v>-2</v>
      </c>
      <c r="K380" s="34" t="n">
        <v>-2</v>
      </c>
      <c r="L380" s="11" t="s">
        <v>597</v>
      </c>
      <c r="M380" s="11" t="s">
        <v>1250</v>
      </c>
      <c r="N380" s="11" t="s">
        <v>1262</v>
      </c>
      <c r="O380" s="11"/>
      <c r="P380" s="11"/>
      <c r="Q380" s="25" t="n">
        <f aca="false">SUMIFS('Commentary drivers'!$D:$D,'Commentary drivers'!$A:$A,A380)</f>
        <v>-2</v>
      </c>
      <c r="R380" s="25" t="n">
        <f aca="false">SUMIFS('Commentary drivers'!$E:$E,'Commentary drivers'!$A:$A,A380)</f>
        <v>-2</v>
      </c>
      <c r="S380" s="49" t="str">
        <f aca="false">IF(AND(ROUND(Q380-J380,4)=0,ROUND(R380-K380,1)=0),"✓","✗")</f>
        <v>✓</v>
      </c>
    </row>
    <row r="381" customFormat="false" ht="15" hidden="false" customHeight="false" outlineLevel="0" collapsed="false">
      <c r="A381" s="11" t="s">
        <v>1787</v>
      </c>
      <c r="B381" s="11" t="s">
        <v>31</v>
      </c>
      <c r="C381" s="11" t="s">
        <v>32</v>
      </c>
      <c r="D381" s="11" t="s">
        <v>1337</v>
      </c>
      <c r="E381" s="11" t="s">
        <v>1418</v>
      </c>
      <c r="F381" s="11" t="s">
        <v>126</v>
      </c>
      <c r="G381" s="11" t="n">
        <v>0</v>
      </c>
      <c r="H381" s="34" t="n">
        <v>40</v>
      </c>
      <c r="I381" s="34" t="n">
        <v>24</v>
      </c>
      <c r="J381" s="34" t="n">
        <v>16</v>
      </c>
      <c r="K381" s="34" t="n">
        <v>16</v>
      </c>
      <c r="L381" s="11" t="s">
        <v>599</v>
      </c>
      <c r="M381" s="11" t="s">
        <v>1250</v>
      </c>
      <c r="N381" s="11" t="s">
        <v>1251</v>
      </c>
      <c r="O381" s="11" t="s">
        <v>1252</v>
      </c>
      <c r="P381" s="11" t="s">
        <v>1557</v>
      </c>
      <c r="Q381" s="25" t="n">
        <f aca="false">SUMIFS('Commentary drivers'!$D:$D,'Commentary drivers'!$A:$A,A381)</f>
        <v>16</v>
      </c>
      <c r="R381" s="25" t="n">
        <f aca="false">SUMIFS('Commentary drivers'!$E:$E,'Commentary drivers'!$A:$A,A381)</f>
        <v>16</v>
      </c>
      <c r="S381" s="49" t="str">
        <f aca="false">IF(AND(ROUND(Q381-J381,4)=0,ROUND(R381-K381,1)=0),"✓","✗")</f>
        <v>✓</v>
      </c>
    </row>
    <row r="382" customFormat="false" ht="15" hidden="false" customHeight="false" outlineLevel="0" collapsed="false">
      <c r="A382" s="11" t="s">
        <v>1788</v>
      </c>
      <c r="B382" s="11" t="s">
        <v>31</v>
      </c>
      <c r="C382" s="11" t="s">
        <v>32</v>
      </c>
      <c r="D382" s="11" t="s">
        <v>1337</v>
      </c>
      <c r="E382" s="11" t="s">
        <v>1420</v>
      </c>
      <c r="F382" s="11" t="s">
        <v>97</v>
      </c>
      <c r="G382" s="11" t="n">
        <v>0</v>
      </c>
      <c r="H382" s="34" t="n">
        <v>160</v>
      </c>
      <c r="I382" s="34" t="n">
        <v>245.985</v>
      </c>
      <c r="J382" s="34" t="n">
        <v>-85.985</v>
      </c>
      <c r="K382" s="34" t="n">
        <v>-86</v>
      </c>
      <c r="L382" s="11" t="s">
        <v>633</v>
      </c>
      <c r="M382" s="11" t="s">
        <v>1250</v>
      </c>
      <c r="N382" s="11" t="s">
        <v>1251</v>
      </c>
      <c r="O382" s="11" t="s">
        <v>1252</v>
      </c>
      <c r="P382" s="11" t="s">
        <v>1557</v>
      </c>
      <c r="Q382" s="25" t="n">
        <f aca="false">SUMIFS('Commentary drivers'!$D:$D,'Commentary drivers'!$A:$A,A382)</f>
        <v>-85.985</v>
      </c>
      <c r="R382" s="25" t="n">
        <f aca="false">SUMIFS('Commentary drivers'!$E:$E,'Commentary drivers'!$A:$A,A382)</f>
        <v>-86</v>
      </c>
      <c r="S382" s="49" t="str">
        <f aca="false">IF(AND(ROUND(Q382-J382,4)=0,ROUND(R382-K382,1)=0),"✓","✗")</f>
        <v>✓</v>
      </c>
    </row>
    <row r="383" customFormat="false" ht="15" hidden="false" customHeight="false" outlineLevel="0" collapsed="false">
      <c r="A383" s="11" t="s">
        <v>1789</v>
      </c>
      <c r="B383" s="11" t="s">
        <v>31</v>
      </c>
      <c r="C383" s="11" t="s">
        <v>32</v>
      </c>
      <c r="D383" s="11" t="s">
        <v>1422</v>
      </c>
      <c r="E383" s="11" t="s">
        <v>1423</v>
      </c>
      <c r="F383" s="11" t="s">
        <v>312</v>
      </c>
      <c r="G383" s="11" t="n">
        <v>0</v>
      </c>
      <c r="H383" s="34" t="n">
        <v>2000</v>
      </c>
      <c r="I383" s="34" t="n">
        <v>1623.619</v>
      </c>
      <c r="J383" s="34" t="n">
        <v>376.381</v>
      </c>
      <c r="K383" s="34" t="n">
        <v>376.4</v>
      </c>
      <c r="L383" s="11" t="s">
        <v>634</v>
      </c>
      <c r="M383" s="11" t="s">
        <v>1250</v>
      </c>
      <c r="N383" s="11" t="s">
        <v>1251</v>
      </c>
      <c r="O383" s="11" t="s">
        <v>1252</v>
      </c>
      <c r="P383" s="11" t="s">
        <v>1557</v>
      </c>
      <c r="Q383" s="25" t="n">
        <f aca="false">SUMIFS('Commentary drivers'!$D:$D,'Commentary drivers'!$A:$A,A383)</f>
        <v>376.381</v>
      </c>
      <c r="R383" s="25" t="n">
        <f aca="false">SUMIFS('Commentary drivers'!$E:$E,'Commentary drivers'!$A:$A,A383)</f>
        <v>376.4</v>
      </c>
      <c r="S383" s="49" t="str">
        <f aca="false">IF(AND(ROUND(Q383-J383,4)=0,ROUND(R383-K383,1)=0),"✓","✗")</f>
        <v>✓</v>
      </c>
    </row>
    <row r="384" customFormat="false" ht="15" hidden="false" customHeight="false" outlineLevel="0" collapsed="false">
      <c r="A384" s="11" t="s">
        <v>1790</v>
      </c>
      <c r="B384" s="11" t="s">
        <v>31</v>
      </c>
      <c r="C384" s="11" t="s">
        <v>32</v>
      </c>
      <c r="D384" s="11" t="s">
        <v>1422</v>
      </c>
      <c r="E384" s="11" t="s">
        <v>1425</v>
      </c>
      <c r="F384" s="11" t="s">
        <v>314</v>
      </c>
      <c r="G384" s="11" t="n">
        <v>1</v>
      </c>
      <c r="H384" s="34" t="n">
        <v>1800</v>
      </c>
      <c r="I384" s="34" t="n">
        <v>1493.619</v>
      </c>
      <c r="J384" s="34" t="n">
        <v>306.381</v>
      </c>
      <c r="K384" s="34" t="n">
        <v>306.4</v>
      </c>
      <c r="L384" s="11" t="s">
        <v>563</v>
      </c>
      <c r="M384" s="11" t="s">
        <v>1250</v>
      </c>
      <c r="N384" s="11" t="s">
        <v>1251</v>
      </c>
      <c r="O384" s="11" t="s">
        <v>1252</v>
      </c>
      <c r="P384" s="11" t="s">
        <v>1557</v>
      </c>
      <c r="Q384" s="25" t="n">
        <f aca="false">SUMIFS('Commentary drivers'!$D:$D,'Commentary drivers'!$A:$A,A384)</f>
        <v>306.381</v>
      </c>
      <c r="R384" s="25" t="n">
        <f aca="false">SUMIFS('Commentary drivers'!$E:$E,'Commentary drivers'!$A:$A,A384)</f>
        <v>306.4</v>
      </c>
      <c r="S384" s="49" t="str">
        <f aca="false">IF(AND(ROUND(Q384-J384,4)=0,ROUND(R384-K384,1)=0),"✓","✗")</f>
        <v>✓</v>
      </c>
    </row>
    <row r="385" customFormat="false" ht="15" hidden="false" customHeight="false" outlineLevel="0" collapsed="false">
      <c r="A385" s="11" t="s">
        <v>1791</v>
      </c>
      <c r="B385" s="11" t="s">
        <v>31</v>
      </c>
      <c r="C385" s="11" t="s">
        <v>32</v>
      </c>
      <c r="D385" s="11" t="s">
        <v>1422</v>
      </c>
      <c r="E385" s="11" t="s">
        <v>1427</v>
      </c>
      <c r="F385" s="11" t="s">
        <v>315</v>
      </c>
      <c r="G385" s="11" t="n">
        <v>1</v>
      </c>
      <c r="H385" s="34" t="n">
        <v>200</v>
      </c>
      <c r="I385" s="34" t="n">
        <v>130</v>
      </c>
      <c r="J385" s="34" t="n">
        <v>70</v>
      </c>
      <c r="K385" s="34" t="n">
        <v>70</v>
      </c>
      <c r="L385" s="11" t="s">
        <v>564</v>
      </c>
      <c r="M385" s="11" t="s">
        <v>1250</v>
      </c>
      <c r="N385" s="11" t="s">
        <v>1251</v>
      </c>
      <c r="O385" s="11" t="s">
        <v>1252</v>
      </c>
      <c r="P385" s="11" t="s">
        <v>1557</v>
      </c>
      <c r="Q385" s="25" t="n">
        <f aca="false">SUMIFS('Commentary drivers'!$D:$D,'Commentary drivers'!$A:$A,A385)</f>
        <v>70</v>
      </c>
      <c r="R385" s="25" t="n">
        <f aca="false">SUMIFS('Commentary drivers'!$E:$E,'Commentary drivers'!$A:$A,A385)</f>
        <v>70</v>
      </c>
      <c r="S385" s="49" t="str">
        <f aca="false">IF(AND(ROUND(Q385-J385,4)=0,ROUND(R385-K385,1)=0),"✓","✗")</f>
        <v>✓</v>
      </c>
    </row>
    <row r="386" customFormat="false" ht="15" hidden="false" customHeight="false" outlineLevel="0" collapsed="false">
      <c r="A386" s="11" t="s">
        <v>1792</v>
      </c>
      <c r="B386" s="11" t="s">
        <v>31</v>
      </c>
      <c r="C386" s="11" t="s">
        <v>32</v>
      </c>
      <c r="D386" s="11" t="s">
        <v>1422</v>
      </c>
      <c r="E386" s="11" t="s">
        <v>1429</v>
      </c>
      <c r="F386" s="11" t="s">
        <v>316</v>
      </c>
      <c r="G386" s="11" t="n">
        <v>0</v>
      </c>
      <c r="H386" s="34" t="n">
        <v>1040</v>
      </c>
      <c r="I386" s="34" t="n">
        <v>796.179</v>
      </c>
      <c r="J386" s="34" t="n">
        <v>243.821</v>
      </c>
      <c r="K386" s="34" t="n">
        <v>243.8</v>
      </c>
      <c r="L386" s="11" t="s">
        <v>635</v>
      </c>
      <c r="M386" s="11" t="s">
        <v>1250</v>
      </c>
      <c r="N386" s="11" t="s">
        <v>1251</v>
      </c>
      <c r="O386" s="11" t="s">
        <v>1252</v>
      </c>
      <c r="P386" s="11" t="s">
        <v>1557</v>
      </c>
      <c r="Q386" s="25" t="n">
        <f aca="false">SUMIFS('Commentary drivers'!$D:$D,'Commentary drivers'!$A:$A,A386)</f>
        <v>243.821</v>
      </c>
      <c r="R386" s="25" t="n">
        <f aca="false">SUMIFS('Commentary drivers'!$E:$E,'Commentary drivers'!$A:$A,A386)</f>
        <v>243.8</v>
      </c>
      <c r="S386" s="49" t="str">
        <f aca="false">IF(AND(ROUND(Q386-J386,4)=0,ROUND(R386-K386,1)=0),"✓","✗")</f>
        <v>✓</v>
      </c>
    </row>
    <row r="387" customFormat="false" ht="15" hidden="false" customHeight="false" outlineLevel="0" collapsed="false">
      <c r="A387" s="11" t="s">
        <v>1793</v>
      </c>
      <c r="B387" s="11" t="s">
        <v>31</v>
      </c>
      <c r="C387" s="11" t="s">
        <v>32</v>
      </c>
      <c r="D387" s="11" t="s">
        <v>1422</v>
      </c>
      <c r="E387" s="11" t="s">
        <v>1431</v>
      </c>
      <c r="F387" s="11" t="s">
        <v>192</v>
      </c>
      <c r="G387" s="11" t="n">
        <v>1</v>
      </c>
      <c r="H387" s="34" t="n">
        <v>400</v>
      </c>
      <c r="I387" s="34" t="n">
        <v>299.491</v>
      </c>
      <c r="J387" s="34" t="n">
        <v>100.509</v>
      </c>
      <c r="K387" s="34" t="n">
        <v>100.5</v>
      </c>
      <c r="L387" s="11" t="s">
        <v>636</v>
      </c>
      <c r="M387" s="11" t="s">
        <v>1250</v>
      </c>
      <c r="N387" s="11" t="s">
        <v>1251</v>
      </c>
      <c r="O387" s="11" t="s">
        <v>1252</v>
      </c>
      <c r="P387" s="11" t="s">
        <v>1557</v>
      </c>
      <c r="Q387" s="25" t="n">
        <f aca="false">SUMIFS('Commentary drivers'!$D:$D,'Commentary drivers'!$A:$A,A387)</f>
        <v>100.509</v>
      </c>
      <c r="R387" s="25" t="n">
        <f aca="false">SUMIFS('Commentary drivers'!$E:$E,'Commentary drivers'!$A:$A,A387)</f>
        <v>100.5</v>
      </c>
      <c r="S387" s="49" t="str">
        <f aca="false">IF(AND(ROUND(Q387-J387,4)=0,ROUND(R387-K387,1)=0),"✓","✗")</f>
        <v>✓</v>
      </c>
    </row>
    <row r="388" customFormat="false" ht="15" hidden="false" customHeight="false" outlineLevel="0" collapsed="false">
      <c r="A388" s="11" t="s">
        <v>1794</v>
      </c>
      <c r="B388" s="11" t="s">
        <v>31</v>
      </c>
      <c r="C388" s="11" t="s">
        <v>32</v>
      </c>
      <c r="D388" s="11" t="s">
        <v>1422</v>
      </c>
      <c r="E388" s="11" t="s">
        <v>1433</v>
      </c>
      <c r="F388" s="11" t="s">
        <v>195</v>
      </c>
      <c r="G388" s="11" t="n">
        <v>1</v>
      </c>
      <c r="H388" s="34" t="n">
        <v>120</v>
      </c>
      <c r="I388" s="34" t="n">
        <v>101.983</v>
      </c>
      <c r="J388" s="34" t="n">
        <v>18.017</v>
      </c>
      <c r="K388" s="34" t="n">
        <v>18</v>
      </c>
      <c r="L388" s="11" t="s">
        <v>637</v>
      </c>
      <c r="M388" s="11" t="s">
        <v>1250</v>
      </c>
      <c r="N388" s="11" t="s">
        <v>1251</v>
      </c>
      <c r="O388" s="11" t="s">
        <v>1252</v>
      </c>
      <c r="P388" s="11" t="s">
        <v>1557</v>
      </c>
      <c r="Q388" s="25" t="n">
        <f aca="false">SUMIFS('Commentary drivers'!$D:$D,'Commentary drivers'!$A:$A,A388)</f>
        <v>18.017</v>
      </c>
      <c r="R388" s="25" t="n">
        <f aca="false">SUMIFS('Commentary drivers'!$E:$E,'Commentary drivers'!$A:$A,A388)</f>
        <v>18</v>
      </c>
      <c r="S388" s="49" t="str">
        <f aca="false">IF(AND(ROUND(Q388-J388,4)=0,ROUND(R388-K388,1)=0),"✓","✗")</f>
        <v>✓</v>
      </c>
    </row>
    <row r="389" customFormat="false" ht="15" hidden="false" customHeight="false" outlineLevel="0" collapsed="false">
      <c r="A389" s="11" t="s">
        <v>1795</v>
      </c>
      <c r="B389" s="11" t="s">
        <v>31</v>
      </c>
      <c r="C389" s="11" t="s">
        <v>32</v>
      </c>
      <c r="D389" s="11" t="s">
        <v>1422</v>
      </c>
      <c r="E389" s="11" t="s">
        <v>1435</v>
      </c>
      <c r="F389" s="11" t="s">
        <v>198</v>
      </c>
      <c r="G389" s="11" t="n">
        <v>1</v>
      </c>
      <c r="H389" s="34" t="n">
        <v>160</v>
      </c>
      <c r="I389" s="34" t="n">
        <v>122.183</v>
      </c>
      <c r="J389" s="34" t="n">
        <v>37.817</v>
      </c>
      <c r="K389" s="34" t="n">
        <v>37.8</v>
      </c>
      <c r="L389" s="11" t="s">
        <v>570</v>
      </c>
      <c r="M389" s="11" t="s">
        <v>1250</v>
      </c>
      <c r="N389" s="11" t="s">
        <v>1251</v>
      </c>
      <c r="O389" s="11" t="s">
        <v>1252</v>
      </c>
      <c r="P389" s="11" t="s">
        <v>1557</v>
      </c>
      <c r="Q389" s="25" t="n">
        <f aca="false">SUMIFS('Commentary drivers'!$D:$D,'Commentary drivers'!$A:$A,A389)</f>
        <v>37.817</v>
      </c>
      <c r="R389" s="25" t="n">
        <f aca="false">SUMIFS('Commentary drivers'!$E:$E,'Commentary drivers'!$A:$A,A389)</f>
        <v>37.8</v>
      </c>
      <c r="S389" s="49" t="str">
        <f aca="false">IF(AND(ROUND(Q389-J389,4)=0,ROUND(R389-K389,1)=0),"✓","✗")</f>
        <v>✓</v>
      </c>
    </row>
    <row r="390" customFormat="false" ht="15" hidden="false" customHeight="false" outlineLevel="0" collapsed="false">
      <c r="A390" s="11" t="s">
        <v>1796</v>
      </c>
      <c r="B390" s="11" t="s">
        <v>31</v>
      </c>
      <c r="C390" s="11" t="s">
        <v>32</v>
      </c>
      <c r="D390" s="11" t="s">
        <v>1422</v>
      </c>
      <c r="E390" s="11" t="s">
        <v>1437</v>
      </c>
      <c r="F390" s="11" t="s">
        <v>323</v>
      </c>
      <c r="G390" s="11" t="n">
        <v>1</v>
      </c>
      <c r="H390" s="34" t="n">
        <v>120</v>
      </c>
      <c r="I390" s="34" t="n">
        <v>103.595</v>
      </c>
      <c r="J390" s="34" t="n">
        <v>16.405</v>
      </c>
      <c r="K390" s="34" t="n">
        <v>16.4</v>
      </c>
      <c r="L390" s="11" t="s">
        <v>638</v>
      </c>
      <c r="M390" s="11" t="s">
        <v>1250</v>
      </c>
      <c r="N390" s="11" t="s">
        <v>1251</v>
      </c>
      <c r="O390" s="11" t="s">
        <v>1252</v>
      </c>
      <c r="P390" s="11" t="s">
        <v>1557</v>
      </c>
      <c r="Q390" s="25" t="n">
        <f aca="false">SUMIFS('Commentary drivers'!$D:$D,'Commentary drivers'!$A:$A,A390)</f>
        <v>16.405</v>
      </c>
      <c r="R390" s="25" t="n">
        <f aca="false">SUMIFS('Commentary drivers'!$E:$E,'Commentary drivers'!$A:$A,A390)</f>
        <v>16.4</v>
      </c>
      <c r="S390" s="49" t="str">
        <f aca="false">IF(AND(ROUND(Q390-J390,4)=0,ROUND(R390-K390,1)=0),"✓","✗")</f>
        <v>✓</v>
      </c>
    </row>
    <row r="391" customFormat="false" ht="15" hidden="false" customHeight="false" outlineLevel="0" collapsed="false">
      <c r="A391" s="11" t="s">
        <v>1797</v>
      </c>
      <c r="B391" s="11" t="s">
        <v>31</v>
      </c>
      <c r="C391" s="11" t="s">
        <v>32</v>
      </c>
      <c r="D391" s="11" t="s">
        <v>1422</v>
      </c>
      <c r="E391" s="11" t="s">
        <v>1439</v>
      </c>
      <c r="F391" s="11" t="s">
        <v>225</v>
      </c>
      <c r="G391" s="11" t="n">
        <v>1</v>
      </c>
      <c r="H391" s="34" t="n">
        <v>240</v>
      </c>
      <c r="I391" s="34" t="n">
        <v>168.927</v>
      </c>
      <c r="J391" s="34" t="n">
        <v>71.073</v>
      </c>
      <c r="K391" s="34" t="n">
        <v>71.1</v>
      </c>
      <c r="L391" s="11" t="s">
        <v>583</v>
      </c>
      <c r="M391" s="11" t="s">
        <v>1250</v>
      </c>
      <c r="N391" s="11" t="s">
        <v>1251</v>
      </c>
      <c r="O391" s="11" t="s">
        <v>1252</v>
      </c>
      <c r="P391" s="11" t="s">
        <v>1557</v>
      </c>
      <c r="Q391" s="25" t="n">
        <f aca="false">SUMIFS('Commentary drivers'!$D:$D,'Commentary drivers'!$A:$A,A391)</f>
        <v>71.073</v>
      </c>
      <c r="R391" s="25" t="n">
        <f aca="false">SUMIFS('Commentary drivers'!$E:$E,'Commentary drivers'!$A:$A,A391)</f>
        <v>71.1</v>
      </c>
      <c r="S391" s="49" t="str">
        <f aca="false">IF(AND(ROUND(Q391-J391,4)=0,ROUND(R391-K391,1)=0),"✓","✗")</f>
        <v>✓</v>
      </c>
    </row>
    <row r="392" customFormat="false" ht="15" hidden="false" customHeight="false" outlineLevel="0" collapsed="false">
      <c r="A392" s="11" t="s">
        <v>1798</v>
      </c>
      <c r="B392" s="11" t="s">
        <v>31</v>
      </c>
      <c r="C392" s="11" t="s">
        <v>32</v>
      </c>
      <c r="D392" s="11" t="s">
        <v>1422</v>
      </c>
      <c r="E392" s="11" t="s">
        <v>1441</v>
      </c>
      <c r="F392" s="11" t="s">
        <v>325</v>
      </c>
      <c r="G392" s="11" t="n">
        <v>0</v>
      </c>
      <c r="H392" s="34" t="n">
        <v>280</v>
      </c>
      <c r="I392" s="34" t="n">
        <v>198</v>
      </c>
      <c r="J392" s="34" t="n">
        <v>82</v>
      </c>
      <c r="K392" s="34" t="n">
        <v>82</v>
      </c>
      <c r="L392" s="11" t="s">
        <v>639</v>
      </c>
      <c r="M392" s="11" t="s">
        <v>1250</v>
      </c>
      <c r="N392" s="11" t="s">
        <v>1251</v>
      </c>
      <c r="O392" s="11" t="s">
        <v>1252</v>
      </c>
      <c r="P392" s="11" t="s">
        <v>1557</v>
      </c>
      <c r="Q392" s="25" t="n">
        <f aca="false">SUMIFS('Commentary drivers'!$D:$D,'Commentary drivers'!$A:$A,A392)</f>
        <v>82</v>
      </c>
      <c r="R392" s="25" t="n">
        <f aca="false">SUMIFS('Commentary drivers'!$E:$E,'Commentary drivers'!$A:$A,A392)</f>
        <v>82</v>
      </c>
      <c r="S392" s="49" t="str">
        <f aca="false">IF(AND(ROUND(Q392-J392,4)=0,ROUND(R392-K392,1)=0),"✓","✗")</f>
        <v>✓</v>
      </c>
    </row>
    <row r="393" customFormat="false" ht="15" hidden="false" customHeight="false" outlineLevel="0" collapsed="false">
      <c r="A393" s="11" t="s">
        <v>1799</v>
      </c>
      <c r="B393" s="11" t="s">
        <v>31</v>
      </c>
      <c r="C393" s="11" t="s">
        <v>32</v>
      </c>
      <c r="D393" s="11" t="s">
        <v>1422</v>
      </c>
      <c r="E393" s="11" t="s">
        <v>1443</v>
      </c>
      <c r="F393" s="11" t="s">
        <v>189</v>
      </c>
      <c r="G393" s="11" t="n">
        <v>1</v>
      </c>
      <c r="H393" s="34" t="n">
        <v>200</v>
      </c>
      <c r="I393" s="34" t="n">
        <v>139</v>
      </c>
      <c r="J393" s="34" t="n">
        <v>61</v>
      </c>
      <c r="K393" s="34" t="n">
        <v>61</v>
      </c>
      <c r="L393" s="11" t="s">
        <v>640</v>
      </c>
      <c r="M393" s="11" t="s">
        <v>1250</v>
      </c>
      <c r="N393" s="11" t="s">
        <v>1251</v>
      </c>
      <c r="O393" s="11" t="s">
        <v>1252</v>
      </c>
      <c r="P393" s="11" t="s">
        <v>1557</v>
      </c>
      <c r="Q393" s="25" t="n">
        <f aca="false">SUMIFS('Commentary drivers'!$D:$D,'Commentary drivers'!$A:$A,A393)</f>
        <v>61</v>
      </c>
      <c r="R393" s="25" t="n">
        <f aca="false">SUMIFS('Commentary drivers'!$E:$E,'Commentary drivers'!$A:$A,A393)</f>
        <v>61</v>
      </c>
      <c r="S393" s="49" t="str">
        <f aca="false">IF(AND(ROUND(Q393-J393,4)=0,ROUND(R393-K393,1)=0),"✓","✗")</f>
        <v>✓</v>
      </c>
    </row>
    <row r="394" customFormat="false" ht="15" hidden="false" customHeight="false" outlineLevel="0" collapsed="false">
      <c r="A394" s="11" t="s">
        <v>1800</v>
      </c>
      <c r="B394" s="11" t="s">
        <v>31</v>
      </c>
      <c r="C394" s="11" t="s">
        <v>32</v>
      </c>
      <c r="D394" s="11" t="s">
        <v>1422</v>
      </c>
      <c r="E394" s="11" t="s">
        <v>1445</v>
      </c>
      <c r="F394" s="11" t="s">
        <v>201</v>
      </c>
      <c r="G394" s="11" t="n">
        <v>1</v>
      </c>
      <c r="H394" s="34" t="n">
        <v>80</v>
      </c>
      <c r="I394" s="34" t="n">
        <v>59</v>
      </c>
      <c r="J394" s="34" t="n">
        <v>21</v>
      </c>
      <c r="K394" s="34" t="n">
        <v>21</v>
      </c>
      <c r="L394" s="11" t="s">
        <v>641</v>
      </c>
      <c r="M394" s="11" t="s">
        <v>1250</v>
      </c>
      <c r="N394" s="11" t="s">
        <v>1251</v>
      </c>
      <c r="O394" s="11" t="s">
        <v>1252</v>
      </c>
      <c r="P394" s="11" t="s">
        <v>1557</v>
      </c>
      <c r="Q394" s="25" t="n">
        <f aca="false">SUMIFS('Commentary drivers'!$D:$D,'Commentary drivers'!$A:$A,A394)</f>
        <v>21</v>
      </c>
      <c r="R394" s="25" t="n">
        <f aca="false">SUMIFS('Commentary drivers'!$E:$E,'Commentary drivers'!$A:$A,A394)</f>
        <v>21</v>
      </c>
      <c r="S394" s="49" t="str">
        <f aca="false">IF(AND(ROUND(Q394-J394,4)=0,ROUND(R394-K394,1)=0),"✓","✗")</f>
        <v>✓</v>
      </c>
    </row>
    <row r="395" customFormat="false" ht="15" hidden="false" customHeight="false" outlineLevel="0" collapsed="false">
      <c r="A395" s="11" t="s">
        <v>1801</v>
      </c>
      <c r="B395" s="11" t="s">
        <v>31</v>
      </c>
      <c r="C395" s="11" t="s">
        <v>32</v>
      </c>
      <c r="D395" s="11" t="s">
        <v>1422</v>
      </c>
      <c r="E395" s="11" t="s">
        <v>1447</v>
      </c>
      <c r="F395" s="11" t="s">
        <v>331</v>
      </c>
      <c r="G395" s="11" t="n">
        <v>0</v>
      </c>
      <c r="H395" s="34" t="n">
        <v>280</v>
      </c>
      <c r="I395" s="34" t="n">
        <v>203</v>
      </c>
      <c r="J395" s="34" t="n">
        <v>77</v>
      </c>
      <c r="K395" s="34" t="n">
        <v>77</v>
      </c>
      <c r="L395" s="11" t="s">
        <v>642</v>
      </c>
      <c r="M395" s="11" t="s">
        <v>1250</v>
      </c>
      <c r="N395" s="11" t="s">
        <v>1251</v>
      </c>
      <c r="O395" s="11" t="s">
        <v>1252</v>
      </c>
      <c r="P395" s="11" t="s">
        <v>1557</v>
      </c>
      <c r="Q395" s="25" t="n">
        <f aca="false">SUMIFS('Commentary drivers'!$D:$D,'Commentary drivers'!$A:$A,A395)</f>
        <v>77</v>
      </c>
      <c r="R395" s="25" t="n">
        <f aca="false">SUMIFS('Commentary drivers'!$E:$E,'Commentary drivers'!$A:$A,A395)</f>
        <v>77</v>
      </c>
      <c r="S395" s="49" t="str">
        <f aca="false">IF(AND(ROUND(Q395-J395,4)=0,ROUND(R395-K395,1)=0),"✓","✗")</f>
        <v>✓</v>
      </c>
    </row>
    <row r="396" customFormat="false" ht="15" hidden="false" customHeight="false" outlineLevel="0" collapsed="false">
      <c r="A396" s="11" t="s">
        <v>1802</v>
      </c>
      <c r="B396" s="11" t="s">
        <v>31</v>
      </c>
      <c r="C396" s="11" t="s">
        <v>32</v>
      </c>
      <c r="D396" s="11" t="s">
        <v>1422</v>
      </c>
      <c r="E396" s="11" t="s">
        <v>1449</v>
      </c>
      <c r="F396" s="11" t="s">
        <v>230</v>
      </c>
      <c r="G396" s="11" t="n">
        <v>1</v>
      </c>
      <c r="H396" s="34" t="n">
        <v>100</v>
      </c>
      <c r="I396" s="34" t="n">
        <v>68</v>
      </c>
      <c r="J396" s="34" t="n">
        <v>32</v>
      </c>
      <c r="K396" s="34" t="n">
        <v>32</v>
      </c>
      <c r="L396" s="11" t="s">
        <v>585</v>
      </c>
      <c r="M396" s="11" t="s">
        <v>1250</v>
      </c>
      <c r="N396" s="11" t="s">
        <v>1251</v>
      </c>
      <c r="O396" s="11" t="s">
        <v>1252</v>
      </c>
      <c r="P396" s="11" t="s">
        <v>1557</v>
      </c>
      <c r="Q396" s="25" t="n">
        <f aca="false">SUMIFS('Commentary drivers'!$D:$D,'Commentary drivers'!$A:$A,A396)</f>
        <v>32</v>
      </c>
      <c r="R396" s="25" t="n">
        <f aca="false">SUMIFS('Commentary drivers'!$E:$E,'Commentary drivers'!$A:$A,A396)</f>
        <v>32</v>
      </c>
      <c r="S396" s="49" t="str">
        <f aca="false">IF(AND(ROUND(Q396-J396,4)=0,ROUND(R396-K396,1)=0),"✓","✗")</f>
        <v>✓</v>
      </c>
    </row>
    <row r="397" customFormat="false" ht="15" hidden="false" customHeight="false" outlineLevel="0" collapsed="false">
      <c r="A397" s="11" t="s">
        <v>1803</v>
      </c>
      <c r="B397" s="11" t="s">
        <v>31</v>
      </c>
      <c r="C397" s="11" t="s">
        <v>32</v>
      </c>
      <c r="D397" s="11" t="s">
        <v>1422</v>
      </c>
      <c r="E397" s="11" t="s">
        <v>1451</v>
      </c>
      <c r="F397" s="11" t="s">
        <v>242</v>
      </c>
      <c r="G397" s="11" t="n">
        <v>1</v>
      </c>
      <c r="H397" s="34" t="n">
        <v>180</v>
      </c>
      <c r="I397" s="34" t="n">
        <v>135</v>
      </c>
      <c r="J397" s="34" t="n">
        <v>45</v>
      </c>
      <c r="K397" s="34" t="n">
        <v>45</v>
      </c>
      <c r="L397" s="11" t="s">
        <v>591</v>
      </c>
      <c r="M397" s="11" t="s">
        <v>1315</v>
      </c>
      <c r="N397" s="11" t="s">
        <v>1251</v>
      </c>
      <c r="O397" s="11" t="s">
        <v>1252</v>
      </c>
      <c r="P397" s="11" t="s">
        <v>1557</v>
      </c>
      <c r="Q397" s="25" t="n">
        <f aca="false">SUMIFS('Commentary drivers'!$D:$D,'Commentary drivers'!$A:$A,A397)</f>
        <v>45</v>
      </c>
      <c r="R397" s="25" t="n">
        <f aca="false">SUMIFS('Commentary drivers'!$E:$E,'Commentary drivers'!$A:$A,A397)</f>
        <v>45</v>
      </c>
      <c r="S397" s="49" t="str">
        <f aca="false">IF(AND(ROUND(Q397-J397,4)=0,ROUND(R397-K397,1)=0),"✓","✗")</f>
        <v>✓</v>
      </c>
    </row>
    <row r="398" customFormat="false" ht="15" hidden="false" customHeight="false" outlineLevel="0" collapsed="false">
      <c r="A398" s="11" t="s">
        <v>1804</v>
      </c>
      <c r="B398" s="11" t="s">
        <v>31</v>
      </c>
      <c r="C398" s="11" t="s">
        <v>32</v>
      </c>
      <c r="D398" s="11" t="s">
        <v>1422</v>
      </c>
      <c r="E398" s="11" t="s">
        <v>1453</v>
      </c>
      <c r="F398" s="11" t="s">
        <v>334</v>
      </c>
      <c r="G398" s="11" t="n">
        <v>0</v>
      </c>
      <c r="H398" s="34" t="n">
        <v>180</v>
      </c>
      <c r="I398" s="34" t="n">
        <v>137.455</v>
      </c>
      <c r="J398" s="34" t="n">
        <v>42.545</v>
      </c>
      <c r="K398" s="34" t="n">
        <v>42.5</v>
      </c>
      <c r="L398" s="11" t="s">
        <v>643</v>
      </c>
      <c r="M398" s="11" t="s">
        <v>1250</v>
      </c>
      <c r="N398" s="11" t="s">
        <v>1251</v>
      </c>
      <c r="O398" s="11" t="s">
        <v>1252</v>
      </c>
      <c r="P398" s="11" t="s">
        <v>1557</v>
      </c>
      <c r="Q398" s="25" t="n">
        <f aca="false">SUMIFS('Commentary drivers'!$D:$D,'Commentary drivers'!$A:$A,A398)</f>
        <v>42.545</v>
      </c>
      <c r="R398" s="25" t="n">
        <f aca="false">SUMIFS('Commentary drivers'!$E:$E,'Commentary drivers'!$A:$A,A398)</f>
        <v>42.5</v>
      </c>
      <c r="S398" s="49" t="str">
        <f aca="false">IF(AND(ROUND(Q398-J398,4)=0,ROUND(R398-K398,1)=0),"✓","✗")</f>
        <v>✓</v>
      </c>
    </row>
    <row r="399" customFormat="false" ht="15" hidden="false" customHeight="false" outlineLevel="0" collapsed="false">
      <c r="A399" s="11" t="s">
        <v>1805</v>
      </c>
      <c r="B399" s="11" t="s">
        <v>31</v>
      </c>
      <c r="C399" s="11" t="s">
        <v>32</v>
      </c>
      <c r="D399" s="11" t="s">
        <v>1422</v>
      </c>
      <c r="E399" s="11" t="s">
        <v>1455</v>
      </c>
      <c r="F399" s="11" t="s">
        <v>233</v>
      </c>
      <c r="G399" s="11" t="n">
        <v>1</v>
      </c>
      <c r="H399" s="34" t="n">
        <v>40</v>
      </c>
      <c r="I399" s="34" t="n">
        <v>23.455</v>
      </c>
      <c r="J399" s="34" t="n">
        <v>16.545</v>
      </c>
      <c r="K399" s="34" t="n">
        <v>16.5</v>
      </c>
      <c r="L399" s="11" t="s">
        <v>586</v>
      </c>
      <c r="M399" s="11" t="s">
        <v>1250</v>
      </c>
      <c r="N399" s="11" t="s">
        <v>1251</v>
      </c>
      <c r="O399" s="11" t="s">
        <v>1252</v>
      </c>
      <c r="P399" s="11" t="s">
        <v>1557</v>
      </c>
      <c r="Q399" s="25" t="n">
        <f aca="false">SUMIFS('Commentary drivers'!$D:$D,'Commentary drivers'!$A:$A,A399)</f>
        <v>16.545</v>
      </c>
      <c r="R399" s="25" t="n">
        <f aca="false">SUMIFS('Commentary drivers'!$E:$E,'Commentary drivers'!$A:$A,A399)</f>
        <v>16.5</v>
      </c>
      <c r="S399" s="49" t="str">
        <f aca="false">IF(AND(ROUND(Q399-J399,4)=0,ROUND(R399-K399,1)=0),"✓","✗")</f>
        <v>✓</v>
      </c>
    </row>
    <row r="400" customFormat="false" ht="15" hidden="false" customHeight="false" outlineLevel="0" collapsed="false">
      <c r="A400" s="11" t="s">
        <v>1806</v>
      </c>
      <c r="B400" s="11" t="s">
        <v>31</v>
      </c>
      <c r="C400" s="11" t="s">
        <v>32</v>
      </c>
      <c r="D400" s="11" t="s">
        <v>1422</v>
      </c>
      <c r="E400" s="11" t="s">
        <v>1457</v>
      </c>
      <c r="F400" s="11" t="s">
        <v>204</v>
      </c>
      <c r="G400" s="11" t="n">
        <v>1</v>
      </c>
      <c r="H400" s="34" t="n">
        <v>60</v>
      </c>
      <c r="I400" s="34" t="n">
        <v>49</v>
      </c>
      <c r="J400" s="34" t="n">
        <v>11</v>
      </c>
      <c r="K400" s="34" t="n">
        <v>11</v>
      </c>
      <c r="L400" s="11" t="s">
        <v>644</v>
      </c>
      <c r="M400" s="11" t="s">
        <v>1250</v>
      </c>
      <c r="N400" s="11" t="s">
        <v>1251</v>
      </c>
      <c r="O400" s="11" t="s">
        <v>1252</v>
      </c>
      <c r="P400" s="11" t="s">
        <v>1557</v>
      </c>
      <c r="Q400" s="25" t="n">
        <f aca="false">SUMIFS('Commentary drivers'!$D:$D,'Commentary drivers'!$A:$A,A400)</f>
        <v>11</v>
      </c>
      <c r="R400" s="25" t="n">
        <f aca="false">SUMIFS('Commentary drivers'!$E:$E,'Commentary drivers'!$A:$A,A400)</f>
        <v>11</v>
      </c>
      <c r="S400" s="49" t="str">
        <f aca="false">IF(AND(ROUND(Q400-J400,4)=0,ROUND(R400-K400,1)=0),"✓","✗")</f>
        <v>✓</v>
      </c>
    </row>
    <row r="401" customFormat="false" ht="15" hidden="false" customHeight="false" outlineLevel="0" collapsed="false">
      <c r="A401" s="11" t="s">
        <v>1807</v>
      </c>
      <c r="B401" s="11" t="s">
        <v>31</v>
      </c>
      <c r="C401" s="11" t="s">
        <v>32</v>
      </c>
      <c r="D401" s="11" t="s">
        <v>1422</v>
      </c>
      <c r="E401" s="11" t="s">
        <v>1459</v>
      </c>
      <c r="F401" s="11" t="s">
        <v>207</v>
      </c>
      <c r="G401" s="11" t="n">
        <v>1</v>
      </c>
      <c r="H401" s="34" t="n">
        <v>80</v>
      </c>
      <c r="I401" s="34" t="n">
        <v>65</v>
      </c>
      <c r="J401" s="34" t="n">
        <v>15</v>
      </c>
      <c r="K401" s="34" t="n">
        <v>15</v>
      </c>
      <c r="L401" s="11" t="s">
        <v>645</v>
      </c>
      <c r="M401" s="11" t="s">
        <v>1250</v>
      </c>
      <c r="N401" s="11" t="s">
        <v>1251</v>
      </c>
      <c r="O401" s="11" t="s">
        <v>1252</v>
      </c>
      <c r="P401" s="11" t="s">
        <v>1557</v>
      </c>
      <c r="Q401" s="25" t="n">
        <f aca="false">SUMIFS('Commentary drivers'!$D:$D,'Commentary drivers'!$A:$A,A401)</f>
        <v>15</v>
      </c>
      <c r="R401" s="25" t="n">
        <f aca="false">SUMIFS('Commentary drivers'!$E:$E,'Commentary drivers'!$A:$A,A401)</f>
        <v>15</v>
      </c>
      <c r="S401" s="49" t="str">
        <f aca="false">IF(AND(ROUND(Q401-J401,4)=0,ROUND(R401-K401,1)=0),"✓","✗")</f>
        <v>✓</v>
      </c>
    </row>
    <row r="402" customFormat="false" ht="15" hidden="false" customHeight="false" outlineLevel="0" collapsed="false">
      <c r="A402" s="11" t="s">
        <v>1808</v>
      </c>
      <c r="B402" s="11" t="s">
        <v>31</v>
      </c>
      <c r="C402" s="11" t="s">
        <v>32</v>
      </c>
      <c r="D402" s="11" t="s">
        <v>1422</v>
      </c>
      <c r="E402" s="11" t="s">
        <v>1461</v>
      </c>
      <c r="F402" s="11" t="s">
        <v>339</v>
      </c>
      <c r="G402" s="11" t="n">
        <v>0</v>
      </c>
      <c r="H402" s="34" t="n">
        <v>1780</v>
      </c>
      <c r="I402" s="34" t="n">
        <v>1334.634</v>
      </c>
      <c r="J402" s="34" t="n">
        <v>445.366</v>
      </c>
      <c r="K402" s="34" t="n">
        <v>445.4</v>
      </c>
      <c r="L402" s="11" t="s">
        <v>646</v>
      </c>
      <c r="M402" s="11" t="s">
        <v>1250</v>
      </c>
      <c r="N402" s="11" t="s">
        <v>1251</v>
      </c>
      <c r="O402" s="11" t="s">
        <v>1252</v>
      </c>
      <c r="P402" s="11" t="s">
        <v>1557</v>
      </c>
      <c r="Q402" s="25" t="n">
        <f aca="false">SUMIFS('Commentary drivers'!$D:$D,'Commentary drivers'!$A:$A,A402)</f>
        <v>445.366</v>
      </c>
      <c r="R402" s="25" t="n">
        <f aca="false">SUMIFS('Commentary drivers'!$E:$E,'Commentary drivers'!$A:$A,A402)</f>
        <v>445.4</v>
      </c>
      <c r="S402" s="49" t="str">
        <f aca="false">IF(AND(ROUND(Q402-J402,4)=0,ROUND(R402-K402,1)=0),"✓","✗")</f>
        <v>✓</v>
      </c>
    </row>
    <row r="403" customFormat="false" ht="15" hidden="false" customHeight="false" outlineLevel="0" collapsed="false">
      <c r="A403" s="11" t="s">
        <v>1809</v>
      </c>
      <c r="B403" s="11" t="s">
        <v>31</v>
      </c>
      <c r="C403" s="11" t="s">
        <v>32</v>
      </c>
      <c r="D403" s="11" t="s">
        <v>1422</v>
      </c>
      <c r="E403" s="11" t="s">
        <v>1463</v>
      </c>
      <c r="F403" s="11" t="s">
        <v>96</v>
      </c>
      <c r="G403" s="11" t="n">
        <v>0</v>
      </c>
      <c r="H403" s="34" t="n">
        <v>220</v>
      </c>
      <c r="I403" s="34" t="n">
        <v>288.985</v>
      </c>
      <c r="J403" s="34" t="n">
        <v>-68.985</v>
      </c>
      <c r="K403" s="34" t="n">
        <v>-69</v>
      </c>
      <c r="L403" s="11" t="s">
        <v>647</v>
      </c>
      <c r="M403" s="11" t="s">
        <v>1250</v>
      </c>
      <c r="N403" s="11" t="s">
        <v>1251</v>
      </c>
      <c r="O403" s="11" t="s">
        <v>1252</v>
      </c>
      <c r="P403" s="11" t="s">
        <v>1557</v>
      </c>
      <c r="Q403" s="25" t="n">
        <f aca="false">SUMIFS('Commentary drivers'!$D:$D,'Commentary drivers'!$A:$A,A403)</f>
        <v>-68.985</v>
      </c>
      <c r="R403" s="25" t="n">
        <f aca="false">SUMIFS('Commentary drivers'!$E:$E,'Commentary drivers'!$A:$A,A403)</f>
        <v>-69</v>
      </c>
      <c r="S403" s="49" t="str">
        <f aca="false">IF(AND(ROUND(Q403-J403,4)=0,ROUND(R403-K403,1)=0),"✓","✗")</f>
        <v>✓</v>
      </c>
    </row>
    <row r="404" customFormat="false" ht="15" hidden="false" customHeight="false" outlineLevel="0" collapsed="false">
      <c r="A404" s="11" t="s">
        <v>1810</v>
      </c>
      <c r="B404" s="11" t="s">
        <v>31</v>
      </c>
      <c r="C404" s="11" t="s">
        <v>32</v>
      </c>
      <c r="D404" s="11" t="s">
        <v>1422</v>
      </c>
      <c r="E404" s="11" t="s">
        <v>1465</v>
      </c>
      <c r="F404" s="11" t="s">
        <v>343</v>
      </c>
      <c r="G404" s="11" t="n">
        <v>0</v>
      </c>
      <c r="H404" s="34" t="n">
        <v>-20</v>
      </c>
      <c r="I404" s="34" t="n">
        <v>-19</v>
      </c>
      <c r="J404" s="34" t="n">
        <v>-1</v>
      </c>
      <c r="K404" s="34" t="n">
        <v>-1</v>
      </c>
      <c r="L404" s="11" t="s">
        <v>648</v>
      </c>
      <c r="M404" s="11" t="s">
        <v>1250</v>
      </c>
      <c r="N404" s="11" t="s">
        <v>1251</v>
      </c>
      <c r="O404" s="11" t="s">
        <v>1252</v>
      </c>
      <c r="P404" s="11" t="s">
        <v>1557</v>
      </c>
      <c r="Q404" s="25" t="n">
        <f aca="false">SUMIFS('Commentary drivers'!$D:$D,'Commentary drivers'!$A:$A,A404)</f>
        <v>-1</v>
      </c>
      <c r="R404" s="25" t="n">
        <f aca="false">SUMIFS('Commentary drivers'!$E:$E,'Commentary drivers'!$A:$A,A404)</f>
        <v>-1</v>
      </c>
      <c r="S404" s="49" t="str">
        <f aca="false">IF(AND(ROUND(Q404-J404,4)=0,ROUND(R404-K404,1)=0),"✓","✗")</f>
        <v>✓</v>
      </c>
    </row>
    <row r="405" customFormat="false" ht="15" hidden="false" customHeight="false" outlineLevel="0" collapsed="false">
      <c r="A405" s="11" t="s">
        <v>1811</v>
      </c>
      <c r="B405" s="11" t="s">
        <v>31</v>
      </c>
      <c r="C405" s="11" t="s">
        <v>32</v>
      </c>
      <c r="D405" s="11" t="s">
        <v>1422</v>
      </c>
      <c r="E405" s="11" t="s">
        <v>1467</v>
      </c>
      <c r="F405" s="11" t="s">
        <v>345</v>
      </c>
      <c r="G405" s="11" t="n">
        <v>1</v>
      </c>
      <c r="H405" s="34" t="n">
        <v>10</v>
      </c>
      <c r="I405" s="34" t="n">
        <v>13</v>
      </c>
      <c r="J405" s="34" t="n">
        <v>-3</v>
      </c>
      <c r="K405" s="34" t="n">
        <v>-3</v>
      </c>
      <c r="L405" s="11" t="s">
        <v>596</v>
      </c>
      <c r="M405" s="11" t="s">
        <v>1250</v>
      </c>
      <c r="N405" s="11" t="s">
        <v>1251</v>
      </c>
      <c r="O405" s="11" t="s">
        <v>1252</v>
      </c>
      <c r="P405" s="11" t="s">
        <v>1557</v>
      </c>
      <c r="Q405" s="25" t="n">
        <f aca="false">SUMIFS('Commentary drivers'!$D:$D,'Commentary drivers'!$A:$A,A405)</f>
        <v>-3</v>
      </c>
      <c r="R405" s="25" t="n">
        <f aca="false">SUMIFS('Commentary drivers'!$E:$E,'Commentary drivers'!$A:$A,A405)</f>
        <v>-3</v>
      </c>
      <c r="S405" s="49" t="str">
        <f aca="false">IF(AND(ROUND(Q405-J405,4)=0,ROUND(R405-K405,1)=0),"✓","✗")</f>
        <v>✓</v>
      </c>
    </row>
    <row r="406" customFormat="false" ht="15" hidden="false" customHeight="false" outlineLevel="0" collapsed="false">
      <c r="A406" s="11" t="s">
        <v>1812</v>
      </c>
      <c r="B406" s="11" t="s">
        <v>31</v>
      </c>
      <c r="C406" s="11" t="s">
        <v>32</v>
      </c>
      <c r="D406" s="11" t="s">
        <v>1422</v>
      </c>
      <c r="E406" s="11" t="s">
        <v>1469</v>
      </c>
      <c r="F406" s="11" t="s">
        <v>346</v>
      </c>
      <c r="G406" s="11" t="n">
        <v>1</v>
      </c>
      <c r="H406" s="34" t="n">
        <v>30</v>
      </c>
      <c r="I406" s="34" t="n">
        <v>32</v>
      </c>
      <c r="J406" s="34" t="n">
        <v>-2</v>
      </c>
      <c r="K406" s="34" t="n">
        <v>-2</v>
      </c>
      <c r="L406" s="11" t="s">
        <v>597</v>
      </c>
      <c r="M406" s="11" t="s">
        <v>1250</v>
      </c>
      <c r="N406" s="11" t="s">
        <v>1262</v>
      </c>
      <c r="O406" s="11"/>
      <c r="P406" s="11"/>
      <c r="Q406" s="25" t="n">
        <f aca="false">SUMIFS('Commentary drivers'!$D:$D,'Commentary drivers'!$A:$A,A406)</f>
        <v>-2</v>
      </c>
      <c r="R406" s="25" t="n">
        <f aca="false">SUMIFS('Commentary drivers'!$E:$E,'Commentary drivers'!$A:$A,A406)</f>
        <v>-2</v>
      </c>
      <c r="S406" s="49" t="str">
        <f aca="false">IF(AND(ROUND(Q406-J406,4)=0,ROUND(R406-K406,1)=0),"✓","✗")</f>
        <v>✓</v>
      </c>
    </row>
    <row r="407" customFormat="false" ht="15" hidden="false" customHeight="false" outlineLevel="0" collapsed="false">
      <c r="A407" s="11" t="s">
        <v>1813</v>
      </c>
      <c r="B407" s="11" t="s">
        <v>31</v>
      </c>
      <c r="C407" s="11" t="s">
        <v>32</v>
      </c>
      <c r="D407" s="11" t="s">
        <v>1422</v>
      </c>
      <c r="E407" s="11" t="s">
        <v>1471</v>
      </c>
      <c r="F407" s="11" t="s">
        <v>347</v>
      </c>
      <c r="G407" s="11" t="n">
        <v>0</v>
      </c>
      <c r="H407" s="34" t="n">
        <v>40</v>
      </c>
      <c r="I407" s="34" t="n">
        <v>24</v>
      </c>
      <c r="J407" s="34" t="n">
        <v>16</v>
      </c>
      <c r="K407" s="34" t="n">
        <v>16</v>
      </c>
      <c r="L407" s="11" t="s">
        <v>599</v>
      </c>
      <c r="M407" s="11" t="s">
        <v>1250</v>
      </c>
      <c r="N407" s="11" t="s">
        <v>1251</v>
      </c>
      <c r="O407" s="11" t="s">
        <v>1252</v>
      </c>
      <c r="P407" s="11" t="s">
        <v>1557</v>
      </c>
      <c r="Q407" s="25" t="n">
        <f aca="false">SUMIFS('Commentary drivers'!$D:$D,'Commentary drivers'!$A:$A,A407)</f>
        <v>16</v>
      </c>
      <c r="R407" s="25" t="n">
        <f aca="false">SUMIFS('Commentary drivers'!$E:$E,'Commentary drivers'!$A:$A,A407)</f>
        <v>16</v>
      </c>
      <c r="S407" s="49" t="str">
        <f aca="false">IF(AND(ROUND(Q407-J407,4)=0,ROUND(R407-K407,1)=0),"✓","✗")</f>
        <v>✓</v>
      </c>
    </row>
    <row r="408" customFormat="false" ht="15" hidden="false" customHeight="false" outlineLevel="0" collapsed="false">
      <c r="A408" s="11" t="s">
        <v>1814</v>
      </c>
      <c r="B408" s="11" t="s">
        <v>31</v>
      </c>
      <c r="C408" s="11" t="s">
        <v>32</v>
      </c>
      <c r="D408" s="11" t="s">
        <v>1422</v>
      </c>
      <c r="E408" s="11" t="s">
        <v>1473</v>
      </c>
      <c r="F408" s="11" t="s">
        <v>97</v>
      </c>
      <c r="G408" s="11" t="n">
        <v>0</v>
      </c>
      <c r="H408" s="34" t="n">
        <v>160</v>
      </c>
      <c r="I408" s="34" t="n">
        <v>245.985</v>
      </c>
      <c r="J408" s="34" t="n">
        <v>-85.985</v>
      </c>
      <c r="K408" s="34" t="n">
        <v>-86</v>
      </c>
      <c r="L408" s="11" t="s">
        <v>649</v>
      </c>
      <c r="M408" s="11" t="s">
        <v>1250</v>
      </c>
      <c r="N408" s="11" t="s">
        <v>1251</v>
      </c>
      <c r="O408" s="11" t="s">
        <v>1252</v>
      </c>
      <c r="P408" s="11" t="s">
        <v>1557</v>
      </c>
      <c r="Q408" s="25" t="n">
        <f aca="false">SUMIFS('Commentary drivers'!$D:$D,'Commentary drivers'!$A:$A,A408)</f>
        <v>-85.985</v>
      </c>
      <c r="R408" s="25" t="n">
        <f aca="false">SUMIFS('Commentary drivers'!$E:$E,'Commentary drivers'!$A:$A,A408)</f>
        <v>-86</v>
      </c>
      <c r="S408" s="49" t="str">
        <f aca="false">IF(AND(ROUND(Q408-J408,4)=0,ROUND(R408-K408,1)=0),"✓","✗")</f>
        <v>✓</v>
      </c>
    </row>
    <row r="409" customFormat="false" ht="15" hidden="false" customHeight="false" outlineLevel="0" collapsed="false">
      <c r="A409" s="11" t="s">
        <v>1815</v>
      </c>
      <c r="B409" s="11" t="s">
        <v>31</v>
      </c>
      <c r="C409" s="11" t="s">
        <v>32</v>
      </c>
      <c r="D409" s="11" t="s">
        <v>1475</v>
      </c>
      <c r="E409" s="11" t="s">
        <v>1476</v>
      </c>
      <c r="F409" s="11" t="s">
        <v>351</v>
      </c>
      <c r="G409" s="11" t="n">
        <v>0</v>
      </c>
      <c r="H409" s="34" t="n">
        <v>18786.54644</v>
      </c>
      <c r="I409" s="34" t="n">
        <v>14771.08544</v>
      </c>
      <c r="J409" s="34" t="n">
        <v>4015.461</v>
      </c>
      <c r="K409" s="34" t="n">
        <v>4015.5</v>
      </c>
      <c r="L409" s="11" t="s">
        <v>651</v>
      </c>
      <c r="M409" s="11" t="s">
        <v>1250</v>
      </c>
      <c r="N409" s="11" t="s">
        <v>1251</v>
      </c>
      <c r="O409" s="11" t="s">
        <v>1252</v>
      </c>
      <c r="P409" s="11" t="s">
        <v>1557</v>
      </c>
      <c r="Q409" s="25" t="n">
        <f aca="false">SUMIFS('Commentary drivers'!$D:$D,'Commentary drivers'!$A:$A,A409)</f>
        <v>4015.461</v>
      </c>
      <c r="R409" s="25" t="n">
        <f aca="false">SUMIFS('Commentary drivers'!$E:$E,'Commentary drivers'!$A:$A,A409)</f>
        <v>4015.5</v>
      </c>
      <c r="S409" s="49" t="str">
        <f aca="false">IF(AND(ROUND(Q409-J409,4)=0,ROUND(R409-K409,1)=0),"✓","✗")</f>
        <v>✓</v>
      </c>
    </row>
    <row r="410" customFormat="false" ht="15" hidden="false" customHeight="false" outlineLevel="0" collapsed="false">
      <c r="A410" s="11" t="s">
        <v>1816</v>
      </c>
      <c r="B410" s="11" t="s">
        <v>31</v>
      </c>
      <c r="C410" s="11" t="s">
        <v>32</v>
      </c>
      <c r="D410" s="11" t="s">
        <v>1475</v>
      </c>
      <c r="E410" s="11" t="s">
        <v>1478</v>
      </c>
      <c r="F410" s="11" t="s">
        <v>353</v>
      </c>
      <c r="G410" s="11" t="n">
        <v>1</v>
      </c>
      <c r="H410" s="34" t="n">
        <v>14474.18299</v>
      </c>
      <c r="I410" s="34" t="n">
        <v>11288.38214</v>
      </c>
      <c r="J410" s="34" t="n">
        <v>3185.80085</v>
      </c>
      <c r="K410" s="34" t="n">
        <v>3185.8</v>
      </c>
      <c r="L410" s="11" t="s">
        <v>652</v>
      </c>
      <c r="M410" s="11" t="s">
        <v>1250</v>
      </c>
      <c r="N410" s="11" t="s">
        <v>1251</v>
      </c>
      <c r="O410" s="11" t="s">
        <v>1252</v>
      </c>
      <c r="P410" s="11" t="s">
        <v>1557</v>
      </c>
      <c r="Q410" s="25" t="n">
        <f aca="false">SUMIFS('Commentary drivers'!$D:$D,'Commentary drivers'!$A:$A,A410)</f>
        <v>3185.80085</v>
      </c>
      <c r="R410" s="25" t="n">
        <f aca="false">SUMIFS('Commentary drivers'!$E:$E,'Commentary drivers'!$A:$A,A410)</f>
        <v>3185.8</v>
      </c>
      <c r="S410" s="49" t="str">
        <f aca="false">IF(AND(ROUND(Q410-J410,4)=0,ROUND(R410-K410,1)=0),"✓","✗")</f>
        <v>✓</v>
      </c>
    </row>
    <row r="411" customFormat="false" ht="15" hidden="false" customHeight="false" outlineLevel="0" collapsed="false">
      <c r="A411" s="11" t="s">
        <v>1817</v>
      </c>
      <c r="B411" s="11" t="s">
        <v>31</v>
      </c>
      <c r="C411" s="11" t="s">
        <v>32</v>
      </c>
      <c r="D411" s="11" t="s">
        <v>1475</v>
      </c>
      <c r="E411" s="11" t="s">
        <v>1480</v>
      </c>
      <c r="F411" s="11" t="s">
        <v>355</v>
      </c>
      <c r="G411" s="11" t="n">
        <v>1</v>
      </c>
      <c r="H411" s="34" t="n">
        <v>2872.86345</v>
      </c>
      <c r="I411" s="34" t="n">
        <v>2254.0213</v>
      </c>
      <c r="J411" s="34" t="n">
        <v>618.84215</v>
      </c>
      <c r="K411" s="34" t="n">
        <v>618.8</v>
      </c>
      <c r="L411" s="11" t="s">
        <v>653</v>
      </c>
      <c r="M411" s="11" t="s">
        <v>1250</v>
      </c>
      <c r="N411" s="11" t="s">
        <v>1251</v>
      </c>
      <c r="O411" s="11" t="s">
        <v>1252</v>
      </c>
      <c r="P411" s="11" t="s">
        <v>1557</v>
      </c>
      <c r="Q411" s="25" t="n">
        <f aca="false">SUMIFS('Commentary drivers'!$D:$D,'Commentary drivers'!$A:$A,A411)</f>
        <v>618.84215</v>
      </c>
      <c r="R411" s="25" t="n">
        <f aca="false">SUMIFS('Commentary drivers'!$E:$E,'Commentary drivers'!$A:$A,A411)</f>
        <v>618.799999999999</v>
      </c>
      <c r="S411" s="49" t="str">
        <f aca="false">IF(AND(ROUND(Q411-J411,4)=0,ROUND(R411-K411,1)=0),"✓","✗")</f>
        <v>✓</v>
      </c>
    </row>
    <row r="412" customFormat="false" ht="15" hidden="false" customHeight="false" outlineLevel="0" collapsed="false">
      <c r="A412" s="11" t="s">
        <v>1818</v>
      </c>
      <c r="B412" s="11" t="s">
        <v>31</v>
      </c>
      <c r="C412" s="11" t="s">
        <v>32</v>
      </c>
      <c r="D412" s="11" t="s">
        <v>1475</v>
      </c>
      <c r="E412" s="11" t="s">
        <v>1482</v>
      </c>
      <c r="F412" s="11" t="s">
        <v>357</v>
      </c>
      <c r="G412" s="11" t="n">
        <v>1</v>
      </c>
      <c r="H412" s="34" t="n">
        <v>184</v>
      </c>
      <c r="I412" s="34" t="n">
        <v>151.5</v>
      </c>
      <c r="J412" s="34" t="n">
        <v>32.5</v>
      </c>
      <c r="K412" s="34" t="n">
        <v>32.5</v>
      </c>
      <c r="L412" s="11" t="s">
        <v>654</v>
      </c>
      <c r="M412" s="11" t="s">
        <v>1250</v>
      </c>
      <c r="N412" s="11" t="s">
        <v>1251</v>
      </c>
      <c r="O412" s="11" t="s">
        <v>1252</v>
      </c>
      <c r="P412" s="11" t="s">
        <v>1557</v>
      </c>
      <c r="Q412" s="25" t="n">
        <f aca="false">SUMIFS('Commentary drivers'!$D:$D,'Commentary drivers'!$A:$A,A412)</f>
        <v>32.5</v>
      </c>
      <c r="R412" s="25" t="n">
        <f aca="false">SUMIFS('Commentary drivers'!$E:$E,'Commentary drivers'!$A:$A,A412)</f>
        <v>32.5</v>
      </c>
      <c r="S412" s="49" t="str">
        <f aca="false">IF(AND(ROUND(Q412-J412,4)=0,ROUND(R412-K412,1)=0),"✓","✗")</f>
        <v>✓</v>
      </c>
    </row>
    <row r="413" customFormat="false" ht="15" hidden="false" customHeight="false" outlineLevel="0" collapsed="false">
      <c r="A413" s="11" t="s">
        <v>1819</v>
      </c>
      <c r="B413" s="11" t="s">
        <v>31</v>
      </c>
      <c r="C413" s="11" t="s">
        <v>32</v>
      </c>
      <c r="D413" s="11" t="s">
        <v>1475</v>
      </c>
      <c r="E413" s="11" t="s">
        <v>1484</v>
      </c>
      <c r="F413" s="11" t="s">
        <v>359</v>
      </c>
      <c r="G413" s="11" t="n">
        <v>1</v>
      </c>
      <c r="H413" s="34" t="n">
        <v>1255.5</v>
      </c>
      <c r="I413" s="34" t="n">
        <v>1077.182</v>
      </c>
      <c r="J413" s="34" t="n">
        <v>178.318</v>
      </c>
      <c r="K413" s="34" t="n">
        <v>178.3</v>
      </c>
      <c r="L413" s="11" t="s">
        <v>655</v>
      </c>
      <c r="M413" s="11" t="s">
        <v>1250</v>
      </c>
      <c r="N413" s="11" t="s">
        <v>1251</v>
      </c>
      <c r="O413" s="11" t="s">
        <v>1252</v>
      </c>
      <c r="P413" s="11" t="s">
        <v>1557</v>
      </c>
      <c r="Q413" s="25" t="n">
        <f aca="false">SUMIFS('Commentary drivers'!$D:$D,'Commentary drivers'!$A:$A,A413)</f>
        <v>178.318</v>
      </c>
      <c r="R413" s="25" t="n">
        <f aca="false">SUMIFS('Commentary drivers'!$E:$E,'Commentary drivers'!$A:$A,A413)</f>
        <v>178.3</v>
      </c>
      <c r="S413" s="49" t="str">
        <f aca="false">IF(AND(ROUND(Q413-J413,4)=0,ROUND(R413-K413,1)=0),"✓","✗")</f>
        <v>✓</v>
      </c>
    </row>
    <row r="414" customFormat="false" ht="15" hidden="false" customHeight="false" outlineLevel="0" collapsed="false">
      <c r="A414" s="11" t="s">
        <v>1820</v>
      </c>
      <c r="B414" s="11" t="s">
        <v>31</v>
      </c>
      <c r="C414" s="11" t="s">
        <v>32</v>
      </c>
      <c r="D414" s="11" t="s">
        <v>1475</v>
      </c>
      <c r="E414" s="11" t="s">
        <v>1486</v>
      </c>
      <c r="F414" s="11" t="s">
        <v>361</v>
      </c>
      <c r="G414" s="11" t="n">
        <v>0</v>
      </c>
      <c r="H414" s="34" t="n">
        <v>1236</v>
      </c>
      <c r="I414" s="34" t="n">
        <v>1356</v>
      </c>
      <c r="J414" s="34" t="n">
        <v>-120</v>
      </c>
      <c r="K414" s="34" t="n">
        <v>-120</v>
      </c>
      <c r="L414" s="11" t="s">
        <v>656</v>
      </c>
      <c r="M414" s="11" t="s">
        <v>1250</v>
      </c>
      <c r="N414" s="11" t="s">
        <v>1251</v>
      </c>
      <c r="O414" s="11" t="s">
        <v>1252</v>
      </c>
      <c r="P414" s="11" t="s">
        <v>1557</v>
      </c>
      <c r="Q414" s="25" t="n">
        <f aca="false">SUMIFS('Commentary drivers'!$D:$D,'Commentary drivers'!$A:$A,A414)</f>
        <v>-120</v>
      </c>
      <c r="R414" s="25" t="n">
        <f aca="false">SUMIFS('Commentary drivers'!$E:$E,'Commentary drivers'!$A:$A,A414)</f>
        <v>-120</v>
      </c>
      <c r="S414" s="49" t="str">
        <f aca="false">IF(AND(ROUND(Q414-J414,4)=0,ROUND(R414-K414,1)=0),"✓","✗")</f>
        <v>✓</v>
      </c>
    </row>
    <row r="415" customFormat="false" ht="15" hidden="false" customHeight="false" outlineLevel="0" collapsed="false">
      <c r="A415" s="11" t="s">
        <v>1821</v>
      </c>
      <c r="B415" s="11" t="s">
        <v>31</v>
      </c>
      <c r="C415" s="11" t="s">
        <v>32</v>
      </c>
      <c r="D415" s="11" t="s">
        <v>1475</v>
      </c>
      <c r="E415" s="11" t="s">
        <v>1488</v>
      </c>
      <c r="F415" s="11" t="s">
        <v>363</v>
      </c>
      <c r="G415" s="11" t="n">
        <v>1</v>
      </c>
      <c r="H415" s="34" t="n">
        <v>1236</v>
      </c>
      <c r="I415" s="34" t="n">
        <v>1356</v>
      </c>
      <c r="J415" s="34" t="n">
        <v>-120</v>
      </c>
      <c r="K415" s="34" t="n">
        <v>-120</v>
      </c>
      <c r="L415" s="11" t="s">
        <v>657</v>
      </c>
      <c r="M415" s="11" t="s">
        <v>1250</v>
      </c>
      <c r="N415" s="11" t="s">
        <v>1251</v>
      </c>
      <c r="O415" s="11" t="s">
        <v>1252</v>
      </c>
      <c r="P415" s="11" t="s">
        <v>1557</v>
      </c>
      <c r="Q415" s="25" t="n">
        <f aca="false">SUMIFS('Commentary drivers'!$D:$D,'Commentary drivers'!$A:$A,A415)</f>
        <v>-120</v>
      </c>
      <c r="R415" s="25" t="n">
        <f aca="false">SUMIFS('Commentary drivers'!$E:$E,'Commentary drivers'!$A:$A,A415)</f>
        <v>-120</v>
      </c>
      <c r="S415" s="49" t="str">
        <f aca="false">IF(AND(ROUND(Q415-J415,4)=0,ROUND(R415-K415,1)=0),"✓","✗")</f>
        <v>✓</v>
      </c>
    </row>
    <row r="416" customFormat="false" ht="15" hidden="false" customHeight="false" outlineLevel="0" collapsed="false">
      <c r="A416" s="11" t="s">
        <v>1822</v>
      </c>
      <c r="B416" s="11" t="s">
        <v>31</v>
      </c>
      <c r="C416" s="11" t="s">
        <v>32</v>
      </c>
      <c r="D416" s="11" t="s">
        <v>1475</v>
      </c>
      <c r="E416" s="11" t="s">
        <v>1490</v>
      </c>
      <c r="F416" s="11" t="s">
        <v>365</v>
      </c>
      <c r="G416" s="11" t="n">
        <v>0</v>
      </c>
      <c r="H416" s="34" t="n">
        <v>20022.54644</v>
      </c>
      <c r="I416" s="34" t="n">
        <v>16127.08544</v>
      </c>
      <c r="J416" s="34" t="n">
        <v>3895.461</v>
      </c>
      <c r="K416" s="34" t="n">
        <v>3895.5</v>
      </c>
      <c r="L416" s="11" t="s">
        <v>658</v>
      </c>
      <c r="M416" s="11" t="s">
        <v>1250</v>
      </c>
      <c r="N416" s="11" t="s">
        <v>1251</v>
      </c>
      <c r="O416" s="11" t="s">
        <v>1252</v>
      </c>
      <c r="P416" s="11" t="s">
        <v>1557</v>
      </c>
      <c r="Q416" s="25" t="n">
        <f aca="false">SUMIFS('Commentary drivers'!$D:$D,'Commentary drivers'!$A:$A,A416)</f>
        <v>3895.461</v>
      </c>
      <c r="R416" s="25" t="n">
        <f aca="false">SUMIFS('Commentary drivers'!$E:$E,'Commentary drivers'!$A:$A,A416)</f>
        <v>3895.5</v>
      </c>
      <c r="S416" s="49" t="str">
        <f aca="false">IF(AND(ROUND(Q416-J416,4)=0,ROUND(R416-K416,1)=0),"✓","✗")</f>
        <v>✓</v>
      </c>
    </row>
    <row r="417" customFormat="false" ht="15" hidden="false" customHeight="false" outlineLevel="0" collapsed="false">
      <c r="A417" s="11" t="s">
        <v>1823</v>
      </c>
      <c r="B417" s="11" t="s">
        <v>31</v>
      </c>
      <c r="C417" s="11" t="s">
        <v>32</v>
      </c>
      <c r="D417" s="11" t="s">
        <v>1475</v>
      </c>
      <c r="E417" s="11" t="s">
        <v>1492</v>
      </c>
      <c r="F417" s="11" t="s">
        <v>367</v>
      </c>
      <c r="G417" s="11" t="n">
        <v>0</v>
      </c>
      <c r="H417" s="34" t="n">
        <v>1620.78044</v>
      </c>
      <c r="I417" s="34" t="n">
        <v>1253.39244</v>
      </c>
      <c r="J417" s="34" t="n">
        <v>367.388</v>
      </c>
      <c r="K417" s="34" t="n">
        <v>367.4</v>
      </c>
      <c r="L417" s="11" t="s">
        <v>659</v>
      </c>
      <c r="M417" s="11" t="s">
        <v>1250</v>
      </c>
      <c r="N417" s="11" t="s">
        <v>1251</v>
      </c>
      <c r="O417" s="11" t="s">
        <v>1252</v>
      </c>
      <c r="P417" s="11" t="s">
        <v>1557</v>
      </c>
      <c r="Q417" s="25" t="n">
        <f aca="false">SUMIFS('Commentary drivers'!$D:$D,'Commentary drivers'!$A:$A,A417)</f>
        <v>367.388</v>
      </c>
      <c r="R417" s="25" t="n">
        <f aca="false">SUMIFS('Commentary drivers'!$E:$E,'Commentary drivers'!$A:$A,A417)</f>
        <v>367.400000000001</v>
      </c>
      <c r="S417" s="49" t="str">
        <f aca="false">IF(AND(ROUND(Q417-J417,4)=0,ROUND(R417-K417,1)=0),"✓","✗")</f>
        <v>✓</v>
      </c>
    </row>
    <row r="418" customFormat="false" ht="15" hidden="false" customHeight="false" outlineLevel="0" collapsed="false">
      <c r="A418" s="11" t="s">
        <v>1824</v>
      </c>
      <c r="B418" s="11" t="s">
        <v>31</v>
      </c>
      <c r="C418" s="11" t="s">
        <v>32</v>
      </c>
      <c r="D418" s="11" t="s">
        <v>1475</v>
      </c>
      <c r="E418" s="11" t="s">
        <v>1494</v>
      </c>
      <c r="F418" s="11" t="s">
        <v>369</v>
      </c>
      <c r="G418" s="11" t="n">
        <v>1</v>
      </c>
      <c r="H418" s="34" t="n">
        <v>349</v>
      </c>
      <c r="I418" s="34" t="n">
        <v>240</v>
      </c>
      <c r="J418" s="34" t="n">
        <v>109</v>
      </c>
      <c r="K418" s="34" t="n">
        <v>109</v>
      </c>
      <c r="L418" s="11" t="s">
        <v>660</v>
      </c>
      <c r="M418" s="11" t="s">
        <v>1250</v>
      </c>
      <c r="N418" s="11" t="s">
        <v>1251</v>
      </c>
      <c r="O418" s="11" t="s">
        <v>1252</v>
      </c>
      <c r="P418" s="11" t="s">
        <v>1557</v>
      </c>
      <c r="Q418" s="25" t="n">
        <f aca="false">SUMIFS('Commentary drivers'!$D:$D,'Commentary drivers'!$A:$A,A418)</f>
        <v>109</v>
      </c>
      <c r="R418" s="25" t="n">
        <f aca="false">SUMIFS('Commentary drivers'!$E:$E,'Commentary drivers'!$A:$A,A418)</f>
        <v>109</v>
      </c>
      <c r="S418" s="49" t="str">
        <f aca="false">IF(AND(ROUND(Q418-J418,4)=0,ROUND(R418-K418,1)=0),"✓","✗")</f>
        <v>✓</v>
      </c>
    </row>
    <row r="419" customFormat="false" ht="15" hidden="false" customHeight="false" outlineLevel="0" collapsed="false">
      <c r="A419" s="11" t="s">
        <v>1825</v>
      </c>
      <c r="B419" s="11" t="s">
        <v>31</v>
      </c>
      <c r="C419" s="11" t="s">
        <v>32</v>
      </c>
      <c r="D419" s="11" t="s">
        <v>1475</v>
      </c>
      <c r="E419" s="11" t="s">
        <v>1496</v>
      </c>
      <c r="F419" s="11" t="s">
        <v>371</v>
      </c>
      <c r="G419" s="11" t="n">
        <v>1</v>
      </c>
      <c r="H419" s="34" t="n">
        <v>152.49244</v>
      </c>
      <c r="I419" s="34" t="n">
        <v>90.53544</v>
      </c>
      <c r="J419" s="34" t="n">
        <v>61.957</v>
      </c>
      <c r="K419" s="34" t="n">
        <v>62</v>
      </c>
      <c r="L419" s="11" t="s">
        <v>661</v>
      </c>
      <c r="M419" s="11" t="s">
        <v>1250</v>
      </c>
      <c r="N419" s="11" t="s">
        <v>1251</v>
      </c>
      <c r="O419" s="11" t="s">
        <v>1252</v>
      </c>
      <c r="P419" s="11" t="s">
        <v>1557</v>
      </c>
      <c r="Q419" s="25" t="n">
        <f aca="false">SUMIFS('Commentary drivers'!$D:$D,'Commentary drivers'!$A:$A,A419)</f>
        <v>61.957</v>
      </c>
      <c r="R419" s="25" t="n">
        <f aca="false">SUMIFS('Commentary drivers'!$E:$E,'Commentary drivers'!$A:$A,A419)</f>
        <v>62.0000000000001</v>
      </c>
      <c r="S419" s="49" t="str">
        <f aca="false">IF(AND(ROUND(Q419-J419,4)=0,ROUND(R419-K419,1)=0),"✓","✗")</f>
        <v>✓</v>
      </c>
    </row>
    <row r="420" customFormat="false" ht="15" hidden="false" customHeight="false" outlineLevel="0" collapsed="false">
      <c r="A420" s="11" t="s">
        <v>1826</v>
      </c>
      <c r="B420" s="11" t="s">
        <v>31</v>
      </c>
      <c r="C420" s="11" t="s">
        <v>32</v>
      </c>
      <c r="D420" s="11" t="s">
        <v>1475</v>
      </c>
      <c r="E420" s="11" t="s">
        <v>1498</v>
      </c>
      <c r="F420" s="11" t="s">
        <v>373</v>
      </c>
      <c r="G420" s="11" t="n">
        <v>1</v>
      </c>
      <c r="H420" s="34" t="n">
        <v>1119.288</v>
      </c>
      <c r="I420" s="34" t="n">
        <v>922.857</v>
      </c>
      <c r="J420" s="34" t="n">
        <v>196.431</v>
      </c>
      <c r="K420" s="34" t="n">
        <v>196.4</v>
      </c>
      <c r="L420" s="11" t="s">
        <v>662</v>
      </c>
      <c r="M420" s="11" t="s">
        <v>1250</v>
      </c>
      <c r="N420" s="11" t="s">
        <v>1251</v>
      </c>
      <c r="O420" s="11" t="s">
        <v>1252</v>
      </c>
      <c r="P420" s="11" t="s">
        <v>1557</v>
      </c>
      <c r="Q420" s="25" t="n">
        <f aca="false">SUMIFS('Commentary drivers'!$D:$D,'Commentary drivers'!$A:$A,A420)</f>
        <v>196.431000000001</v>
      </c>
      <c r="R420" s="25" t="n">
        <f aca="false">SUMIFS('Commentary drivers'!$E:$E,'Commentary drivers'!$A:$A,A420)</f>
        <v>196.400000000001</v>
      </c>
      <c r="S420" s="49" t="str">
        <f aca="false">IF(AND(ROUND(Q420-J420,4)=0,ROUND(R420-K420,1)=0),"✓","✗")</f>
        <v>✓</v>
      </c>
    </row>
    <row r="421" customFormat="false" ht="15" hidden="false" customHeight="false" outlineLevel="0" collapsed="false">
      <c r="A421" s="11" t="s">
        <v>1827</v>
      </c>
      <c r="B421" s="11" t="s">
        <v>31</v>
      </c>
      <c r="C421" s="11" t="s">
        <v>32</v>
      </c>
      <c r="D421" s="11" t="s">
        <v>1475</v>
      </c>
      <c r="E421" s="11" t="s">
        <v>1500</v>
      </c>
      <c r="F421" s="11" t="s">
        <v>375</v>
      </c>
      <c r="G421" s="11" t="n">
        <v>0</v>
      </c>
      <c r="H421" s="34" t="n">
        <v>4582.5</v>
      </c>
      <c r="I421" s="34" t="n">
        <v>4928</v>
      </c>
      <c r="J421" s="34" t="n">
        <v>-345.5</v>
      </c>
      <c r="K421" s="34" t="n">
        <v>-345.5</v>
      </c>
      <c r="L421" s="11" t="s">
        <v>663</v>
      </c>
      <c r="M421" s="11" t="s">
        <v>1250</v>
      </c>
      <c r="N421" s="11" t="s">
        <v>1251</v>
      </c>
      <c r="O421" s="11" t="s">
        <v>1252</v>
      </c>
      <c r="P421" s="11" t="s">
        <v>1557</v>
      </c>
      <c r="Q421" s="25" t="n">
        <f aca="false">SUMIFS('Commentary drivers'!$D:$D,'Commentary drivers'!$A:$A,A421)</f>
        <v>-345.5</v>
      </c>
      <c r="R421" s="25" t="n">
        <f aca="false">SUMIFS('Commentary drivers'!$E:$E,'Commentary drivers'!$A:$A,A421)</f>
        <v>-345.5</v>
      </c>
      <c r="S421" s="49" t="str">
        <f aca="false">IF(AND(ROUND(Q421-J421,4)=0,ROUND(R421-K421,1)=0),"✓","✗")</f>
        <v>✓</v>
      </c>
    </row>
    <row r="422" customFormat="false" ht="15" hidden="false" customHeight="false" outlineLevel="0" collapsed="false">
      <c r="A422" s="11" t="s">
        <v>1828</v>
      </c>
      <c r="B422" s="11" t="s">
        <v>31</v>
      </c>
      <c r="C422" s="11" t="s">
        <v>32</v>
      </c>
      <c r="D422" s="11" t="s">
        <v>1475</v>
      </c>
      <c r="E422" s="11" t="s">
        <v>1502</v>
      </c>
      <c r="F422" s="11" t="s">
        <v>377</v>
      </c>
      <c r="G422" s="11" t="n">
        <v>1</v>
      </c>
      <c r="H422" s="34" t="n">
        <v>382.5</v>
      </c>
      <c r="I422" s="34" t="n">
        <v>328</v>
      </c>
      <c r="J422" s="34" t="n">
        <v>54.5</v>
      </c>
      <c r="K422" s="34" t="n">
        <v>54.5</v>
      </c>
      <c r="L422" s="11" t="s">
        <v>664</v>
      </c>
      <c r="M422" s="11" t="s">
        <v>1250</v>
      </c>
      <c r="N422" s="11" t="s">
        <v>1251</v>
      </c>
      <c r="O422" s="11" t="s">
        <v>1252</v>
      </c>
      <c r="P422" s="11" t="s">
        <v>1557</v>
      </c>
      <c r="Q422" s="25" t="n">
        <f aca="false">SUMIFS('Commentary drivers'!$D:$D,'Commentary drivers'!$A:$A,A422)</f>
        <v>54.5</v>
      </c>
      <c r="R422" s="25" t="n">
        <f aca="false">SUMIFS('Commentary drivers'!$E:$E,'Commentary drivers'!$A:$A,A422)</f>
        <v>54.5</v>
      </c>
      <c r="S422" s="49" t="str">
        <f aca="false">IF(AND(ROUND(Q422-J422,4)=0,ROUND(R422-K422,1)=0),"✓","✗")</f>
        <v>✓</v>
      </c>
    </row>
    <row r="423" customFormat="false" ht="15" hidden="false" customHeight="false" outlineLevel="0" collapsed="false">
      <c r="A423" s="11" t="s">
        <v>1829</v>
      </c>
      <c r="B423" s="11" t="s">
        <v>31</v>
      </c>
      <c r="C423" s="11" t="s">
        <v>32</v>
      </c>
      <c r="D423" s="11" t="s">
        <v>1475</v>
      </c>
      <c r="E423" s="11" t="s">
        <v>1504</v>
      </c>
      <c r="F423" s="11" t="s">
        <v>379</v>
      </c>
      <c r="G423" s="11" t="n">
        <v>1</v>
      </c>
      <c r="H423" s="34" t="n">
        <v>4200</v>
      </c>
      <c r="I423" s="34" t="n">
        <v>4600</v>
      </c>
      <c r="J423" s="34" t="n">
        <v>-400</v>
      </c>
      <c r="K423" s="34" t="n">
        <v>-400</v>
      </c>
      <c r="L423" s="11" t="s">
        <v>665</v>
      </c>
      <c r="M423" s="11" t="s">
        <v>1250</v>
      </c>
      <c r="N423" s="11" t="s">
        <v>1251</v>
      </c>
      <c r="O423" s="11" t="s">
        <v>1252</v>
      </c>
      <c r="P423" s="11" t="s">
        <v>1557</v>
      </c>
      <c r="Q423" s="25" t="n">
        <f aca="false">SUMIFS('Commentary drivers'!$D:$D,'Commentary drivers'!$A:$A,A423)</f>
        <v>-400</v>
      </c>
      <c r="R423" s="25" t="n">
        <f aca="false">SUMIFS('Commentary drivers'!$E:$E,'Commentary drivers'!$A:$A,A423)</f>
        <v>-400</v>
      </c>
      <c r="S423" s="49" t="str">
        <f aca="false">IF(AND(ROUND(Q423-J423,4)=0,ROUND(R423-K423,1)=0),"✓","✗")</f>
        <v>✓</v>
      </c>
    </row>
    <row r="424" customFormat="false" ht="15" hidden="false" customHeight="false" outlineLevel="0" collapsed="false">
      <c r="A424" s="11" t="s">
        <v>1830</v>
      </c>
      <c r="B424" s="11" t="s">
        <v>31</v>
      </c>
      <c r="C424" s="11" t="s">
        <v>32</v>
      </c>
      <c r="D424" s="11" t="s">
        <v>1475</v>
      </c>
      <c r="E424" s="11" t="s">
        <v>1506</v>
      </c>
      <c r="F424" s="11" t="s">
        <v>381</v>
      </c>
      <c r="G424" s="11" t="n">
        <v>0</v>
      </c>
      <c r="H424" s="34" t="n">
        <v>6203.28044</v>
      </c>
      <c r="I424" s="34" t="n">
        <v>6181.39244</v>
      </c>
      <c r="J424" s="34" t="n">
        <v>21.888</v>
      </c>
      <c r="K424" s="34" t="n">
        <v>21.9</v>
      </c>
      <c r="L424" s="11" t="s">
        <v>666</v>
      </c>
      <c r="M424" s="11" t="s">
        <v>1250</v>
      </c>
      <c r="N424" s="11" t="s">
        <v>1251</v>
      </c>
      <c r="O424" s="11" t="s">
        <v>1252</v>
      </c>
      <c r="P424" s="11" t="s">
        <v>1557</v>
      </c>
      <c r="Q424" s="25" t="n">
        <f aca="false">SUMIFS('Commentary drivers'!$D:$D,'Commentary drivers'!$A:$A,A424)</f>
        <v>21.888</v>
      </c>
      <c r="R424" s="25" t="n">
        <f aca="false">SUMIFS('Commentary drivers'!$E:$E,'Commentary drivers'!$A:$A,A424)</f>
        <v>21.9</v>
      </c>
      <c r="S424" s="49" t="str">
        <f aca="false">IF(AND(ROUND(Q424-J424,4)=0,ROUND(R424-K424,1)=0),"✓","✗")</f>
        <v>✓</v>
      </c>
    </row>
    <row r="425" customFormat="false" ht="15" hidden="false" customHeight="false" outlineLevel="0" collapsed="false">
      <c r="A425" s="11" t="s">
        <v>1831</v>
      </c>
      <c r="B425" s="11" t="s">
        <v>31</v>
      </c>
      <c r="C425" s="11" t="s">
        <v>32</v>
      </c>
      <c r="D425" s="11" t="s">
        <v>1475</v>
      </c>
      <c r="E425" s="11" t="s">
        <v>1508</v>
      </c>
      <c r="F425" s="11" t="s">
        <v>383</v>
      </c>
      <c r="G425" s="11" t="n">
        <v>0</v>
      </c>
      <c r="H425" s="34" t="n">
        <v>13819.266</v>
      </c>
      <c r="I425" s="34" t="n">
        <v>9945.693</v>
      </c>
      <c r="J425" s="34" t="n">
        <v>3873.573</v>
      </c>
      <c r="K425" s="34" t="n">
        <v>3873.6</v>
      </c>
      <c r="L425" s="11" t="s">
        <v>667</v>
      </c>
      <c r="M425" s="11" t="s">
        <v>1250</v>
      </c>
      <c r="N425" s="11" t="s">
        <v>1251</v>
      </c>
      <c r="O425" s="11" t="s">
        <v>1252</v>
      </c>
      <c r="P425" s="11" t="s">
        <v>1557</v>
      </c>
      <c r="Q425" s="25" t="n">
        <f aca="false">SUMIFS('Commentary drivers'!$D:$D,'Commentary drivers'!$A:$A,A425)</f>
        <v>3873.573</v>
      </c>
      <c r="R425" s="25" t="n">
        <f aca="false">SUMIFS('Commentary drivers'!$E:$E,'Commentary drivers'!$A:$A,A425)</f>
        <v>3873.6</v>
      </c>
      <c r="S425" s="49" t="str">
        <f aca="false">IF(AND(ROUND(Q425-J425,4)=0,ROUND(R425-K425,1)=0),"✓","✗")</f>
        <v>✓</v>
      </c>
    </row>
    <row r="426" customFormat="false" ht="15" hidden="false" customHeight="false" outlineLevel="0" collapsed="false">
      <c r="A426" s="11" t="s">
        <v>1832</v>
      </c>
      <c r="B426" s="11" t="s">
        <v>31</v>
      </c>
      <c r="C426" s="11" t="s">
        <v>32</v>
      </c>
      <c r="D426" s="11" t="s">
        <v>1475</v>
      </c>
      <c r="E426" s="11" t="s">
        <v>1510</v>
      </c>
      <c r="F426" s="11" t="s">
        <v>385</v>
      </c>
      <c r="G426" s="11" t="n">
        <v>1</v>
      </c>
      <c r="H426" s="34" t="n">
        <v>13346</v>
      </c>
      <c r="I426" s="34" t="n">
        <v>12472</v>
      </c>
      <c r="J426" s="34" t="n">
        <v>874</v>
      </c>
      <c r="K426" s="34" t="n">
        <v>874</v>
      </c>
      <c r="L426" s="11" t="s">
        <v>668</v>
      </c>
      <c r="M426" s="11" t="s">
        <v>1250</v>
      </c>
      <c r="N426" s="11" t="s">
        <v>1251</v>
      </c>
      <c r="O426" s="11" t="s">
        <v>1252</v>
      </c>
      <c r="P426" s="11" t="s">
        <v>1557</v>
      </c>
      <c r="Q426" s="25" t="n">
        <f aca="false">SUMIFS('Commentary drivers'!$D:$D,'Commentary drivers'!$A:$A,A426)</f>
        <v>874</v>
      </c>
      <c r="R426" s="25" t="n">
        <f aca="false">SUMIFS('Commentary drivers'!$E:$E,'Commentary drivers'!$A:$A,A426)</f>
        <v>874</v>
      </c>
      <c r="S426" s="49" t="str">
        <f aca="false">IF(AND(ROUND(Q426-J426,4)=0,ROUND(R426-K426,1)=0),"✓","✗")</f>
        <v>✓</v>
      </c>
    </row>
    <row r="427" customFormat="false" ht="15" hidden="false" customHeight="false" outlineLevel="0" collapsed="false">
      <c r="A427" s="11" t="s">
        <v>1833</v>
      </c>
      <c r="B427" s="11" t="s">
        <v>31</v>
      </c>
      <c r="C427" s="11" t="s">
        <v>32</v>
      </c>
      <c r="D427" s="11" t="s">
        <v>1475</v>
      </c>
      <c r="E427" s="11" t="s">
        <v>1512</v>
      </c>
      <c r="F427" s="11" t="s">
        <v>387</v>
      </c>
      <c r="G427" s="11" t="n">
        <v>1</v>
      </c>
      <c r="H427" s="34" t="n">
        <v>473.266</v>
      </c>
      <c r="I427" s="34" t="n">
        <v>-2526.307</v>
      </c>
      <c r="J427" s="34" t="n">
        <v>2999.573</v>
      </c>
      <c r="K427" s="34" t="n">
        <v>2999.6</v>
      </c>
      <c r="L427" s="11" t="s">
        <v>669</v>
      </c>
      <c r="M427" s="11" t="s">
        <v>1250</v>
      </c>
      <c r="N427" s="11" t="s">
        <v>1251</v>
      </c>
      <c r="O427" s="11" t="s">
        <v>1252</v>
      </c>
      <c r="P427" s="11" t="s">
        <v>1557</v>
      </c>
      <c r="Q427" s="25" t="n">
        <f aca="false">SUMIFS('Commentary drivers'!$D:$D,'Commentary drivers'!$A:$A,A427)</f>
        <v>2999.573</v>
      </c>
      <c r="R427" s="25" t="n">
        <f aca="false">SUMIFS('Commentary drivers'!$E:$E,'Commentary drivers'!$A:$A,A427)</f>
        <v>2999.6</v>
      </c>
      <c r="S427" s="49" t="str">
        <f aca="false">IF(AND(ROUND(Q427-J427,4)=0,ROUND(R427-K427,1)=0),"✓","✗")</f>
        <v>✓</v>
      </c>
    </row>
    <row r="428" customFormat="false" ht="15" hidden="false" customHeight="false" outlineLevel="0" collapsed="false">
      <c r="A428" s="11" t="s">
        <v>1834</v>
      </c>
      <c r="B428" s="11" t="s">
        <v>31</v>
      </c>
      <c r="C428" s="11" t="s">
        <v>32</v>
      </c>
      <c r="D428" s="11" t="s">
        <v>1475</v>
      </c>
      <c r="E428" s="11" t="s">
        <v>1514</v>
      </c>
      <c r="F428" s="11" t="s">
        <v>389</v>
      </c>
      <c r="G428" s="11" t="n">
        <v>0</v>
      </c>
      <c r="H428" s="34" t="n">
        <v>20022.54644</v>
      </c>
      <c r="I428" s="34" t="n">
        <v>16127.08544</v>
      </c>
      <c r="J428" s="34" t="n">
        <v>3895.461</v>
      </c>
      <c r="K428" s="34" t="n">
        <v>3895.5</v>
      </c>
      <c r="L428" s="11" t="s">
        <v>670</v>
      </c>
      <c r="M428" s="11" t="s">
        <v>1250</v>
      </c>
      <c r="N428" s="11" t="s">
        <v>1251</v>
      </c>
      <c r="O428" s="11" t="s">
        <v>1252</v>
      </c>
      <c r="P428" s="11" t="s">
        <v>1557</v>
      </c>
      <c r="Q428" s="25" t="n">
        <f aca="false">SUMIFS('Commentary drivers'!$D:$D,'Commentary drivers'!$A:$A,A428)</f>
        <v>3895.461</v>
      </c>
      <c r="R428" s="25" t="n">
        <f aca="false">SUMIFS('Commentary drivers'!$E:$E,'Commentary drivers'!$A:$A,A428)</f>
        <v>3895.5</v>
      </c>
      <c r="S428" s="49" t="str">
        <f aca="false">IF(AND(ROUND(Q428-J428,4)=0,ROUND(R428-K428,1)=0),"✓","✗")</f>
        <v>✓</v>
      </c>
    </row>
    <row r="429" customFormat="false" ht="15" hidden="false" customHeight="false" outlineLevel="0" collapsed="false">
      <c r="A429" s="11" t="s">
        <v>1835</v>
      </c>
      <c r="B429" s="11" t="s">
        <v>31</v>
      </c>
      <c r="C429" s="11" t="s">
        <v>32</v>
      </c>
      <c r="D429" s="11" t="s">
        <v>1516</v>
      </c>
      <c r="E429" s="11" t="s">
        <v>1517</v>
      </c>
      <c r="F429" s="11" t="s">
        <v>97</v>
      </c>
      <c r="G429" s="11" t="n">
        <v>0</v>
      </c>
      <c r="H429" s="34" t="n">
        <v>160</v>
      </c>
      <c r="I429" s="34" t="n">
        <v>245.985</v>
      </c>
      <c r="J429" s="34" t="n">
        <v>-85.985</v>
      </c>
      <c r="K429" s="34" t="n">
        <v>-86</v>
      </c>
      <c r="L429" s="11" t="s">
        <v>671</v>
      </c>
      <c r="M429" s="11" t="s">
        <v>1250</v>
      </c>
      <c r="N429" s="11" t="s">
        <v>1251</v>
      </c>
      <c r="O429" s="11" t="s">
        <v>1252</v>
      </c>
      <c r="P429" s="11" t="s">
        <v>1557</v>
      </c>
      <c r="Q429" s="25" t="n">
        <f aca="false">SUMIFS('Commentary drivers'!$D:$D,'Commentary drivers'!$A:$A,A429)</f>
        <v>-85.985</v>
      </c>
      <c r="R429" s="25" t="n">
        <f aca="false">SUMIFS('Commentary drivers'!$E:$E,'Commentary drivers'!$A:$A,A429)</f>
        <v>-86</v>
      </c>
      <c r="S429" s="49" t="str">
        <f aca="false">IF(AND(ROUND(Q429-J429,4)=0,ROUND(R429-K429,1)=0),"✓","✗")</f>
        <v>✓</v>
      </c>
    </row>
    <row r="430" customFormat="false" ht="15" hidden="false" customHeight="false" outlineLevel="0" collapsed="false">
      <c r="A430" s="11" t="s">
        <v>1836</v>
      </c>
      <c r="B430" s="11" t="s">
        <v>31</v>
      </c>
      <c r="C430" s="11" t="s">
        <v>32</v>
      </c>
      <c r="D430" s="11" t="s">
        <v>1516</v>
      </c>
      <c r="E430" s="11" t="s">
        <v>1519</v>
      </c>
      <c r="F430" s="11" t="s">
        <v>393</v>
      </c>
      <c r="G430" s="11" t="n">
        <v>0</v>
      </c>
      <c r="H430" s="34" t="n">
        <v>186</v>
      </c>
      <c r="I430" s="34" t="n">
        <v>141.455</v>
      </c>
      <c r="J430" s="34" t="n">
        <v>44.545</v>
      </c>
      <c r="K430" s="34" t="n">
        <v>44.5</v>
      </c>
      <c r="L430" s="11" t="s">
        <v>672</v>
      </c>
      <c r="M430" s="11" t="s">
        <v>1250</v>
      </c>
      <c r="N430" s="11" t="s">
        <v>1251</v>
      </c>
      <c r="O430" s="11" t="s">
        <v>1252</v>
      </c>
      <c r="P430" s="11" t="s">
        <v>1557</v>
      </c>
      <c r="Q430" s="25" t="n">
        <f aca="false">SUMIFS('Commentary drivers'!$D:$D,'Commentary drivers'!$A:$A,A430)</f>
        <v>44.545</v>
      </c>
      <c r="R430" s="25" t="n">
        <f aca="false">SUMIFS('Commentary drivers'!$E:$E,'Commentary drivers'!$A:$A,A430)</f>
        <v>44.5</v>
      </c>
      <c r="S430" s="49" t="str">
        <f aca="false">IF(AND(ROUND(Q430-J430,4)=0,ROUND(R430-K430,1)=0),"✓","✗")</f>
        <v>✓</v>
      </c>
    </row>
    <row r="431" customFormat="false" ht="15" hidden="false" customHeight="false" outlineLevel="0" collapsed="false">
      <c r="A431" s="11" t="s">
        <v>1837</v>
      </c>
      <c r="B431" s="11" t="s">
        <v>31</v>
      </c>
      <c r="C431" s="11" t="s">
        <v>32</v>
      </c>
      <c r="D431" s="11" t="s">
        <v>1516</v>
      </c>
      <c r="E431" s="11" t="s">
        <v>1521</v>
      </c>
      <c r="F431" s="11" t="s">
        <v>395</v>
      </c>
      <c r="G431" s="11" t="n">
        <v>1</v>
      </c>
      <c r="H431" s="34" t="n">
        <v>60</v>
      </c>
      <c r="I431" s="34" t="n">
        <v>49</v>
      </c>
      <c r="J431" s="34" t="n">
        <v>11</v>
      </c>
      <c r="K431" s="34" t="n">
        <v>11</v>
      </c>
      <c r="L431" s="11" t="s">
        <v>673</v>
      </c>
      <c r="M431" s="11" t="s">
        <v>1250</v>
      </c>
      <c r="N431" s="11" t="s">
        <v>1251</v>
      </c>
      <c r="O431" s="11" t="s">
        <v>1252</v>
      </c>
      <c r="P431" s="11" t="s">
        <v>1557</v>
      </c>
      <c r="Q431" s="25" t="n">
        <f aca="false">SUMIFS('Commentary drivers'!$D:$D,'Commentary drivers'!$A:$A,A431)</f>
        <v>11</v>
      </c>
      <c r="R431" s="25" t="n">
        <f aca="false">SUMIFS('Commentary drivers'!$E:$E,'Commentary drivers'!$A:$A,A431)</f>
        <v>11</v>
      </c>
      <c r="S431" s="49" t="str">
        <f aca="false">IF(AND(ROUND(Q431-J431,4)=0,ROUND(R431-K431,1)=0),"✓","✗")</f>
        <v>✓</v>
      </c>
    </row>
    <row r="432" customFormat="false" ht="15" hidden="false" customHeight="false" outlineLevel="0" collapsed="false">
      <c r="A432" s="11" t="s">
        <v>1838</v>
      </c>
      <c r="B432" s="11" t="s">
        <v>31</v>
      </c>
      <c r="C432" s="11" t="s">
        <v>32</v>
      </c>
      <c r="D432" s="11" t="s">
        <v>1516</v>
      </c>
      <c r="E432" s="11" t="s">
        <v>1523</v>
      </c>
      <c r="F432" s="11" t="s">
        <v>397</v>
      </c>
      <c r="G432" s="11" t="n">
        <v>1</v>
      </c>
      <c r="H432" s="34" t="n">
        <v>80</v>
      </c>
      <c r="I432" s="34" t="n">
        <v>65</v>
      </c>
      <c r="J432" s="34" t="n">
        <v>15</v>
      </c>
      <c r="K432" s="34" t="n">
        <v>15</v>
      </c>
      <c r="L432" s="11" t="s">
        <v>674</v>
      </c>
      <c r="M432" s="11" t="s">
        <v>1250</v>
      </c>
      <c r="N432" s="11" t="s">
        <v>1251</v>
      </c>
      <c r="O432" s="11" t="s">
        <v>1252</v>
      </c>
      <c r="P432" s="11" t="s">
        <v>1557</v>
      </c>
      <c r="Q432" s="25" t="n">
        <f aca="false">SUMIFS('Commentary drivers'!$D:$D,'Commentary drivers'!$A:$A,A432)</f>
        <v>15</v>
      </c>
      <c r="R432" s="25" t="n">
        <f aca="false">SUMIFS('Commentary drivers'!$E:$E,'Commentary drivers'!$A:$A,A432)</f>
        <v>15</v>
      </c>
      <c r="S432" s="49" t="str">
        <f aca="false">IF(AND(ROUND(Q432-J432,4)=0,ROUND(R432-K432,1)=0),"✓","✗")</f>
        <v>✓</v>
      </c>
    </row>
    <row r="433" customFormat="false" ht="15" hidden="false" customHeight="false" outlineLevel="0" collapsed="false">
      <c r="A433" s="11" t="s">
        <v>1839</v>
      </c>
      <c r="B433" s="11" t="s">
        <v>31</v>
      </c>
      <c r="C433" s="11" t="s">
        <v>32</v>
      </c>
      <c r="D433" s="11" t="s">
        <v>1516</v>
      </c>
      <c r="E433" s="11" t="s">
        <v>1525</v>
      </c>
      <c r="F433" s="11" t="s">
        <v>399</v>
      </c>
      <c r="G433" s="11" t="n">
        <v>1</v>
      </c>
      <c r="H433" s="34" t="n">
        <v>40</v>
      </c>
      <c r="I433" s="34" t="n">
        <v>23.455</v>
      </c>
      <c r="J433" s="34" t="n">
        <v>16.545</v>
      </c>
      <c r="K433" s="34" t="n">
        <v>16.5</v>
      </c>
      <c r="L433" s="11" t="s">
        <v>675</v>
      </c>
      <c r="M433" s="11" t="s">
        <v>1250</v>
      </c>
      <c r="N433" s="11" t="s">
        <v>1251</v>
      </c>
      <c r="O433" s="11" t="s">
        <v>1252</v>
      </c>
      <c r="P433" s="11" t="s">
        <v>1557</v>
      </c>
      <c r="Q433" s="25" t="n">
        <f aca="false">SUMIFS('Commentary drivers'!$D:$D,'Commentary drivers'!$A:$A,A433)</f>
        <v>16.545</v>
      </c>
      <c r="R433" s="25" t="n">
        <f aca="false">SUMIFS('Commentary drivers'!$E:$E,'Commentary drivers'!$A:$A,A433)</f>
        <v>16.5</v>
      </c>
      <c r="S433" s="49" t="str">
        <f aca="false">IF(AND(ROUND(Q433-J433,4)=0,ROUND(R433-K433,1)=0),"✓","✗")</f>
        <v>✓</v>
      </c>
    </row>
    <row r="434" customFormat="false" ht="15" hidden="false" customHeight="false" outlineLevel="0" collapsed="false">
      <c r="A434" s="11" t="s">
        <v>1840</v>
      </c>
      <c r="B434" s="11" t="s">
        <v>31</v>
      </c>
      <c r="C434" s="11" t="s">
        <v>32</v>
      </c>
      <c r="D434" s="11" t="s">
        <v>1516</v>
      </c>
      <c r="E434" s="11" t="s">
        <v>1527</v>
      </c>
      <c r="F434" s="11" t="s">
        <v>401</v>
      </c>
      <c r="G434" s="11" t="n">
        <v>1</v>
      </c>
      <c r="H434" s="34" t="n">
        <v>6</v>
      </c>
      <c r="I434" s="34" t="n">
        <v>4</v>
      </c>
      <c r="J434" s="34" t="n">
        <v>2</v>
      </c>
      <c r="K434" s="34" t="n">
        <v>2</v>
      </c>
      <c r="L434" s="11" t="s">
        <v>676</v>
      </c>
      <c r="M434" s="11" t="s">
        <v>1250</v>
      </c>
      <c r="N434" s="11" t="s">
        <v>1262</v>
      </c>
      <c r="O434" s="11"/>
      <c r="P434" s="11"/>
      <c r="Q434" s="25" t="n">
        <f aca="false">SUMIFS('Commentary drivers'!$D:$D,'Commentary drivers'!$A:$A,A434)</f>
        <v>2</v>
      </c>
      <c r="R434" s="25" t="n">
        <f aca="false">SUMIFS('Commentary drivers'!$E:$E,'Commentary drivers'!$A:$A,A434)</f>
        <v>2</v>
      </c>
      <c r="S434" s="49" t="str">
        <f aca="false">IF(AND(ROUND(Q434-J434,4)=0,ROUND(R434-K434,1)=0),"✓","✗")</f>
        <v>✓</v>
      </c>
    </row>
    <row r="435" customFormat="false" ht="15" hidden="false" customHeight="false" outlineLevel="0" collapsed="false">
      <c r="A435" s="11" t="s">
        <v>1841</v>
      </c>
      <c r="B435" s="11" t="s">
        <v>31</v>
      </c>
      <c r="C435" s="11" t="s">
        <v>32</v>
      </c>
      <c r="D435" s="11" t="s">
        <v>1516</v>
      </c>
      <c r="E435" s="11" t="s">
        <v>1529</v>
      </c>
      <c r="F435" s="11" t="s">
        <v>403</v>
      </c>
      <c r="G435" s="11" t="n">
        <v>0</v>
      </c>
      <c r="H435" s="34" t="n">
        <v>672.61276</v>
      </c>
      <c r="I435" s="34" t="n">
        <v>567.66091</v>
      </c>
      <c r="J435" s="34" t="n">
        <v>104.95185</v>
      </c>
      <c r="K435" s="34" t="n">
        <v>105</v>
      </c>
      <c r="L435" s="11" t="s">
        <v>677</v>
      </c>
      <c r="M435" s="11" t="s">
        <v>1250</v>
      </c>
      <c r="N435" s="11" t="s">
        <v>1251</v>
      </c>
      <c r="O435" s="11" t="s">
        <v>1252</v>
      </c>
      <c r="P435" s="11" t="s">
        <v>1557</v>
      </c>
      <c r="Q435" s="25" t="n">
        <f aca="false">SUMIFS('Commentary drivers'!$D:$D,'Commentary drivers'!$A:$A,A435)</f>
        <v>104.95185</v>
      </c>
      <c r="R435" s="25" t="n">
        <f aca="false">SUMIFS('Commentary drivers'!$E:$E,'Commentary drivers'!$A:$A,A435)</f>
        <v>105</v>
      </c>
      <c r="S435" s="49" t="str">
        <f aca="false">IF(AND(ROUND(Q435-J435,4)=0,ROUND(R435-K435,1)=0),"✓","✗")</f>
        <v>✓</v>
      </c>
    </row>
    <row r="436" customFormat="false" ht="15" hidden="false" customHeight="false" outlineLevel="0" collapsed="false">
      <c r="A436" s="11" t="s">
        <v>1842</v>
      </c>
      <c r="B436" s="11" t="s">
        <v>31</v>
      </c>
      <c r="C436" s="11" t="s">
        <v>32</v>
      </c>
      <c r="D436" s="11" t="s">
        <v>1516</v>
      </c>
      <c r="E436" s="11" t="s">
        <v>1531</v>
      </c>
      <c r="F436" s="11" t="s">
        <v>405</v>
      </c>
      <c r="G436" s="11" t="n">
        <v>1</v>
      </c>
      <c r="H436" s="34" t="n">
        <v>1688.3986</v>
      </c>
      <c r="I436" s="34" t="n">
        <v>1461.89615</v>
      </c>
      <c r="J436" s="34" t="n">
        <v>226.50245</v>
      </c>
      <c r="K436" s="34" t="n">
        <v>226.5</v>
      </c>
      <c r="L436" s="11" t="s">
        <v>678</v>
      </c>
      <c r="M436" s="11" t="s">
        <v>1250</v>
      </c>
      <c r="N436" s="11" t="s">
        <v>1251</v>
      </c>
      <c r="O436" s="11" t="s">
        <v>1252</v>
      </c>
      <c r="P436" s="11" t="s">
        <v>1557</v>
      </c>
      <c r="Q436" s="25" t="n">
        <f aca="false">SUMIFS('Commentary drivers'!$D:$D,'Commentary drivers'!$A:$A,A436)</f>
        <v>226.50245</v>
      </c>
      <c r="R436" s="25" t="n">
        <f aca="false">SUMIFS('Commentary drivers'!$E:$E,'Commentary drivers'!$A:$A,A436)</f>
        <v>226.5</v>
      </c>
      <c r="S436" s="49" t="str">
        <f aca="false">IF(AND(ROUND(Q436-J436,4)=0,ROUND(R436-K436,1)=0),"✓","✗")</f>
        <v>✓</v>
      </c>
    </row>
    <row r="437" customFormat="false" ht="15" hidden="false" customHeight="false" outlineLevel="0" collapsed="false">
      <c r="A437" s="11" t="s">
        <v>1843</v>
      </c>
      <c r="B437" s="11" t="s">
        <v>31</v>
      </c>
      <c r="C437" s="11" t="s">
        <v>32</v>
      </c>
      <c r="D437" s="11" t="s">
        <v>1516</v>
      </c>
      <c r="E437" s="11" t="s">
        <v>1533</v>
      </c>
      <c r="F437" s="11" t="s">
        <v>407</v>
      </c>
      <c r="G437" s="11" t="n">
        <v>1</v>
      </c>
      <c r="H437" s="34" t="n">
        <v>46</v>
      </c>
      <c r="I437" s="34" t="n">
        <v>36</v>
      </c>
      <c r="J437" s="34" t="n">
        <v>10</v>
      </c>
      <c r="K437" s="34" t="n">
        <v>10</v>
      </c>
      <c r="L437" s="11" t="s">
        <v>679</v>
      </c>
      <c r="M437" s="11" t="s">
        <v>1250</v>
      </c>
      <c r="N437" s="11" t="s">
        <v>1251</v>
      </c>
      <c r="O437" s="11" t="s">
        <v>1252</v>
      </c>
      <c r="P437" s="11" t="s">
        <v>1557</v>
      </c>
      <c r="Q437" s="25" t="n">
        <f aca="false">SUMIFS('Commentary drivers'!$D:$D,'Commentary drivers'!$A:$A,A437)</f>
        <v>10</v>
      </c>
      <c r="R437" s="25" t="n">
        <f aca="false">SUMIFS('Commentary drivers'!$E:$E,'Commentary drivers'!$A:$A,A437)</f>
        <v>10</v>
      </c>
      <c r="S437" s="49" t="str">
        <f aca="false">IF(AND(ROUND(Q437-J437,4)=0,ROUND(R437-K437,1)=0),"✓","✗")</f>
        <v>✓</v>
      </c>
    </row>
    <row r="438" customFormat="false" ht="15" hidden="false" customHeight="false" outlineLevel="0" collapsed="false">
      <c r="A438" s="11" t="s">
        <v>1844</v>
      </c>
      <c r="B438" s="11" t="s">
        <v>31</v>
      </c>
      <c r="C438" s="11" t="s">
        <v>32</v>
      </c>
      <c r="D438" s="11" t="s">
        <v>1516</v>
      </c>
      <c r="E438" s="11" t="s">
        <v>1535</v>
      </c>
      <c r="F438" s="11" t="s">
        <v>409</v>
      </c>
      <c r="G438" s="11" t="n">
        <v>1</v>
      </c>
      <c r="H438" s="34" t="n">
        <v>-55</v>
      </c>
      <c r="I438" s="34" t="n">
        <v>-35</v>
      </c>
      <c r="J438" s="34" t="n">
        <v>-20</v>
      </c>
      <c r="K438" s="34" t="n">
        <v>-20</v>
      </c>
      <c r="L438" s="11" t="s">
        <v>680</v>
      </c>
      <c r="M438" s="11" t="s">
        <v>1250</v>
      </c>
      <c r="N438" s="11" t="s">
        <v>1251</v>
      </c>
      <c r="O438" s="11" t="s">
        <v>1252</v>
      </c>
      <c r="P438" s="11" t="s">
        <v>1557</v>
      </c>
      <c r="Q438" s="25" t="n">
        <f aca="false">SUMIFS('Commentary drivers'!$D:$D,'Commentary drivers'!$A:$A,A438)</f>
        <v>-20</v>
      </c>
      <c r="R438" s="25" t="n">
        <f aca="false">SUMIFS('Commentary drivers'!$E:$E,'Commentary drivers'!$A:$A,A438)</f>
        <v>-20</v>
      </c>
      <c r="S438" s="49" t="str">
        <f aca="false">IF(AND(ROUND(Q438-J438,4)=0,ROUND(R438-K438,1)=0),"✓","✗")</f>
        <v>✓</v>
      </c>
    </row>
    <row r="439" customFormat="false" ht="15" hidden="false" customHeight="false" outlineLevel="0" collapsed="false">
      <c r="A439" s="11" t="s">
        <v>1845</v>
      </c>
      <c r="B439" s="11" t="s">
        <v>31</v>
      </c>
      <c r="C439" s="11" t="s">
        <v>32</v>
      </c>
      <c r="D439" s="11" t="s">
        <v>1516</v>
      </c>
      <c r="E439" s="11" t="s">
        <v>1537</v>
      </c>
      <c r="F439" s="11" t="s">
        <v>411</v>
      </c>
      <c r="G439" s="11" t="n">
        <v>1</v>
      </c>
      <c r="H439" s="34" t="n">
        <v>42</v>
      </c>
      <c r="I439" s="34" t="n">
        <v>5.001</v>
      </c>
      <c r="J439" s="34" t="n">
        <v>36.999</v>
      </c>
      <c r="K439" s="34" t="n">
        <v>37</v>
      </c>
      <c r="L439" s="11" t="s">
        <v>681</v>
      </c>
      <c r="M439" s="11" t="s">
        <v>1250</v>
      </c>
      <c r="N439" s="11" t="s">
        <v>1251</v>
      </c>
      <c r="O439" s="11" t="s">
        <v>1252</v>
      </c>
      <c r="P439" s="11" t="s">
        <v>1557</v>
      </c>
      <c r="Q439" s="25" t="n">
        <f aca="false">SUMIFS('Commentary drivers'!$D:$D,'Commentary drivers'!$A:$A,A439)</f>
        <v>36.999</v>
      </c>
      <c r="R439" s="25" t="n">
        <f aca="false">SUMIFS('Commentary drivers'!$E:$E,'Commentary drivers'!$A:$A,A439)</f>
        <v>37</v>
      </c>
      <c r="S439" s="49" t="str">
        <f aca="false">IF(AND(ROUND(Q439-J439,4)=0,ROUND(R439-K439,1)=0),"✓","✗")</f>
        <v>✓</v>
      </c>
    </row>
    <row r="440" customFormat="false" ht="15" hidden="false" customHeight="false" outlineLevel="0" collapsed="false">
      <c r="A440" s="11" t="s">
        <v>1846</v>
      </c>
      <c r="B440" s="11" t="s">
        <v>31</v>
      </c>
      <c r="C440" s="11" t="s">
        <v>32</v>
      </c>
      <c r="D440" s="11" t="s">
        <v>1516</v>
      </c>
      <c r="E440" s="11" t="s">
        <v>1539</v>
      </c>
      <c r="F440" s="11" t="s">
        <v>413</v>
      </c>
      <c r="G440" s="11" t="n">
        <v>1</v>
      </c>
      <c r="H440" s="34" t="n">
        <v>-14.74184</v>
      </c>
      <c r="I440" s="34" t="n">
        <v>22.62076</v>
      </c>
      <c r="J440" s="34" t="n">
        <v>-37.3626</v>
      </c>
      <c r="K440" s="34" t="n">
        <v>-37.4</v>
      </c>
      <c r="L440" s="11" t="s">
        <v>682</v>
      </c>
      <c r="M440" s="11" t="s">
        <v>1250</v>
      </c>
      <c r="N440" s="11" t="s">
        <v>1251</v>
      </c>
      <c r="O440" s="11" t="s">
        <v>1252</v>
      </c>
      <c r="P440" s="11" t="s">
        <v>1557</v>
      </c>
      <c r="Q440" s="25" t="n">
        <f aca="false">SUMIFS('Commentary drivers'!$D:$D,'Commentary drivers'!$A:$A,A440)</f>
        <v>-37.3626</v>
      </c>
      <c r="R440" s="25" t="n">
        <f aca="false">SUMIFS('Commentary drivers'!$E:$E,'Commentary drivers'!$A:$A,A440)</f>
        <v>-37.4</v>
      </c>
      <c r="S440" s="49" t="str">
        <f aca="false">IF(AND(ROUND(Q440-J440,4)=0,ROUND(R440-K440,1)=0),"✓","✗")</f>
        <v>✓</v>
      </c>
    </row>
    <row r="441" customFormat="false" ht="15" hidden="false" customHeight="false" outlineLevel="0" collapsed="false">
      <c r="A441" s="11" t="s">
        <v>1847</v>
      </c>
      <c r="B441" s="11" t="s">
        <v>31</v>
      </c>
      <c r="C441" s="11" t="s">
        <v>32</v>
      </c>
      <c r="D441" s="11" t="s">
        <v>1516</v>
      </c>
      <c r="E441" s="11" t="s">
        <v>1541</v>
      </c>
      <c r="F441" s="11" t="s">
        <v>415</v>
      </c>
      <c r="G441" s="11" t="n">
        <v>1</v>
      </c>
      <c r="H441" s="34" t="n">
        <v>-1034.044</v>
      </c>
      <c r="I441" s="34" t="n">
        <v>-922.857</v>
      </c>
      <c r="J441" s="34" t="n">
        <v>-111.187</v>
      </c>
      <c r="K441" s="34" t="n">
        <v>-111.2</v>
      </c>
      <c r="L441" s="11" t="s">
        <v>683</v>
      </c>
      <c r="M441" s="11" t="s">
        <v>1250</v>
      </c>
      <c r="N441" s="11" t="s">
        <v>1251</v>
      </c>
      <c r="O441" s="11" t="s">
        <v>1252</v>
      </c>
      <c r="P441" s="11" t="s">
        <v>1557</v>
      </c>
      <c r="Q441" s="25" t="n">
        <f aca="false">SUMIFS('Commentary drivers'!$D:$D,'Commentary drivers'!$A:$A,A441)</f>
        <v>-111.187</v>
      </c>
      <c r="R441" s="25" t="n">
        <f aca="false">SUMIFS('Commentary drivers'!$E:$E,'Commentary drivers'!$A:$A,A441)</f>
        <v>-111.2</v>
      </c>
      <c r="S441" s="49" t="str">
        <f aca="false">IF(AND(ROUND(Q441-J441,4)=0,ROUND(R441-K441,1)=0),"✓","✗")</f>
        <v>✓</v>
      </c>
    </row>
    <row r="442" customFormat="false" ht="15" hidden="false" customHeight="false" outlineLevel="0" collapsed="false">
      <c r="A442" s="11" t="s">
        <v>1848</v>
      </c>
      <c r="B442" s="11" t="s">
        <v>31</v>
      </c>
      <c r="C442" s="11" t="s">
        <v>32</v>
      </c>
      <c r="D442" s="11" t="s">
        <v>1516</v>
      </c>
      <c r="E442" s="11" t="s">
        <v>1543</v>
      </c>
      <c r="F442" s="11" t="s">
        <v>417</v>
      </c>
      <c r="G442" s="11" t="n">
        <v>0</v>
      </c>
      <c r="H442" s="34" t="n">
        <v>1018.61276</v>
      </c>
      <c r="I442" s="34" t="n">
        <v>955.10091</v>
      </c>
      <c r="J442" s="34" t="n">
        <v>63.51185</v>
      </c>
      <c r="K442" s="34" t="n">
        <v>63.5</v>
      </c>
      <c r="L442" s="11" t="s">
        <v>684</v>
      </c>
      <c r="M442" s="11" t="s">
        <v>1250</v>
      </c>
      <c r="N442" s="11" t="s">
        <v>1251</v>
      </c>
      <c r="O442" s="11" t="s">
        <v>1252</v>
      </c>
      <c r="P442" s="11" t="s">
        <v>1557</v>
      </c>
      <c r="Q442" s="25" t="n">
        <f aca="false">SUMIFS('Commentary drivers'!$D:$D,'Commentary drivers'!$A:$A,A442)</f>
        <v>63.51185</v>
      </c>
      <c r="R442" s="25" t="n">
        <f aca="false">SUMIFS('Commentary drivers'!$E:$E,'Commentary drivers'!$A:$A,A442)</f>
        <v>63.5</v>
      </c>
      <c r="S442" s="49" t="str">
        <f aca="false">IF(AND(ROUND(Q442-J442,4)=0,ROUND(R442-K442,1)=0),"✓","✗")</f>
        <v>✓</v>
      </c>
    </row>
    <row r="443" customFormat="false" ht="15" hidden="false" customHeight="false" outlineLevel="0" collapsed="false">
      <c r="A443" s="11" t="s">
        <v>1849</v>
      </c>
      <c r="B443" s="11" t="s">
        <v>31</v>
      </c>
      <c r="C443" s="11" t="s">
        <v>32</v>
      </c>
      <c r="D443" s="11" t="s">
        <v>1516</v>
      </c>
      <c r="E443" s="11" t="s">
        <v>1545</v>
      </c>
      <c r="F443" s="11" t="s">
        <v>419</v>
      </c>
      <c r="G443" s="11" t="n">
        <v>0</v>
      </c>
      <c r="H443" s="34" t="n">
        <v>-33</v>
      </c>
      <c r="I443" s="34" t="n">
        <v>-33</v>
      </c>
      <c r="J443" s="34" t="n">
        <v>0</v>
      </c>
      <c r="K443" s="34" t="n">
        <v>0</v>
      </c>
      <c r="L443" s="11" t="s">
        <v>685</v>
      </c>
      <c r="M443" s="11" t="s">
        <v>1250</v>
      </c>
      <c r="N443" s="11" t="s">
        <v>1262</v>
      </c>
      <c r="O443" s="11"/>
      <c r="P443" s="11"/>
      <c r="Q443" s="25" t="n">
        <f aca="false">SUMIFS('Commentary drivers'!$D:$D,'Commentary drivers'!$A:$A,A443)</f>
        <v>0</v>
      </c>
      <c r="R443" s="25" t="n">
        <f aca="false">SUMIFS('Commentary drivers'!$E:$E,'Commentary drivers'!$A:$A,A443)</f>
        <v>0</v>
      </c>
      <c r="S443" s="49" t="str">
        <f aca="false">IF(AND(ROUND(Q443-J443,4)=0,ROUND(R443-K443,1)=0),"✓","✗")</f>
        <v>✓</v>
      </c>
    </row>
    <row r="444" customFormat="false" ht="15" hidden="false" customHeight="false" outlineLevel="0" collapsed="false">
      <c r="A444" s="11" t="s">
        <v>1850</v>
      </c>
      <c r="B444" s="11" t="s">
        <v>31</v>
      </c>
      <c r="C444" s="11" t="s">
        <v>32</v>
      </c>
      <c r="D444" s="11" t="s">
        <v>1516</v>
      </c>
      <c r="E444" s="11" t="s">
        <v>1547</v>
      </c>
      <c r="F444" s="11" t="s">
        <v>421</v>
      </c>
      <c r="G444" s="11" t="n">
        <v>1</v>
      </c>
      <c r="H444" s="34" t="n">
        <v>-33</v>
      </c>
      <c r="I444" s="34" t="n">
        <v>-33</v>
      </c>
      <c r="J444" s="34" t="n">
        <v>0</v>
      </c>
      <c r="K444" s="34" t="n">
        <v>0</v>
      </c>
      <c r="L444" s="11" t="s">
        <v>686</v>
      </c>
      <c r="M444" s="11" t="s">
        <v>1250</v>
      </c>
      <c r="N444" s="11" t="s">
        <v>1262</v>
      </c>
      <c r="O444" s="11"/>
      <c r="P444" s="11"/>
      <c r="Q444" s="25" t="n">
        <f aca="false">SUMIFS('Commentary drivers'!$D:$D,'Commentary drivers'!$A:$A,A444)</f>
        <v>0</v>
      </c>
      <c r="R444" s="25" t="n">
        <f aca="false">SUMIFS('Commentary drivers'!$E:$E,'Commentary drivers'!$A:$A,A444)</f>
        <v>0</v>
      </c>
      <c r="S444" s="49" t="str">
        <f aca="false">IF(AND(ROUND(Q444-J444,4)=0,ROUND(R444-K444,1)=0),"✓","✗")</f>
        <v>✓</v>
      </c>
    </row>
    <row r="445" customFormat="false" ht="15" hidden="false" customHeight="false" outlineLevel="0" collapsed="false">
      <c r="A445" s="11" t="s">
        <v>1851</v>
      </c>
      <c r="B445" s="11" t="s">
        <v>31</v>
      </c>
      <c r="C445" s="11" t="s">
        <v>32</v>
      </c>
      <c r="D445" s="11" t="s">
        <v>1516</v>
      </c>
      <c r="E445" s="11" t="s">
        <v>1549</v>
      </c>
      <c r="F445" s="11" t="s">
        <v>423</v>
      </c>
      <c r="G445" s="11" t="n">
        <v>0</v>
      </c>
      <c r="H445" s="34" t="n">
        <v>0</v>
      </c>
      <c r="I445" s="34" t="n">
        <v>0</v>
      </c>
      <c r="J445" s="34" t="n">
        <v>0</v>
      </c>
      <c r="K445" s="34" t="n">
        <v>0</v>
      </c>
      <c r="L445" s="11" t="s">
        <v>687</v>
      </c>
      <c r="M445" s="11" t="s">
        <v>1250</v>
      </c>
      <c r="N445" s="11" t="s">
        <v>1262</v>
      </c>
      <c r="O445" s="11"/>
      <c r="P445" s="11"/>
      <c r="Q445" s="25" t="n">
        <f aca="false">SUMIFS('Commentary drivers'!$D:$D,'Commentary drivers'!$A:$A,A445)</f>
        <v>0</v>
      </c>
      <c r="R445" s="25" t="n">
        <f aca="false">SUMIFS('Commentary drivers'!$E:$E,'Commentary drivers'!$A:$A,A445)</f>
        <v>0</v>
      </c>
      <c r="S445" s="49" t="str">
        <f aca="false">IF(AND(ROUND(Q445-J445,4)=0,ROUND(R445-K445,1)=0),"✓","✗")</f>
        <v>✓</v>
      </c>
    </row>
    <row r="446" customFormat="false" ht="15" hidden="false" customHeight="false" outlineLevel="0" collapsed="false">
      <c r="A446" s="11" t="s">
        <v>1852</v>
      </c>
      <c r="B446" s="11" t="s">
        <v>31</v>
      </c>
      <c r="C446" s="11" t="s">
        <v>32</v>
      </c>
      <c r="D446" s="11" t="s">
        <v>1516</v>
      </c>
      <c r="E446" s="11" t="s">
        <v>1551</v>
      </c>
      <c r="F446" s="11" t="s">
        <v>425</v>
      </c>
      <c r="G446" s="11" t="n">
        <v>1</v>
      </c>
      <c r="H446" s="34" t="n">
        <v>0</v>
      </c>
      <c r="I446" s="34" t="n">
        <v>0</v>
      </c>
      <c r="J446" s="34" t="n">
        <v>0</v>
      </c>
      <c r="K446" s="34" t="n">
        <v>0</v>
      </c>
      <c r="L446" s="11" t="s">
        <v>688</v>
      </c>
      <c r="M446" s="11" t="s">
        <v>1250</v>
      </c>
      <c r="N446" s="11" t="s">
        <v>1262</v>
      </c>
      <c r="O446" s="11"/>
      <c r="P446" s="11"/>
      <c r="Q446" s="25" t="n">
        <f aca="false">SUMIFS('Commentary drivers'!$D:$D,'Commentary drivers'!$A:$A,A446)</f>
        <v>0</v>
      </c>
      <c r="R446" s="25" t="n">
        <f aca="false">SUMIFS('Commentary drivers'!$E:$E,'Commentary drivers'!$A:$A,A446)</f>
        <v>0</v>
      </c>
      <c r="S446" s="49" t="str">
        <f aca="false">IF(AND(ROUND(Q446-J446,4)=0,ROUND(R446-K446,1)=0),"✓","✗")</f>
        <v>✓</v>
      </c>
    </row>
    <row r="447" customFormat="false" ht="15" hidden="false" customHeight="false" outlineLevel="0" collapsed="false">
      <c r="A447" s="11" t="s">
        <v>1853</v>
      </c>
      <c r="B447" s="11" t="s">
        <v>31</v>
      </c>
      <c r="C447" s="11" t="s">
        <v>32</v>
      </c>
      <c r="D447" s="11" t="s">
        <v>1516</v>
      </c>
      <c r="E447" s="11" t="s">
        <v>1553</v>
      </c>
      <c r="F447" s="11" t="s">
        <v>427</v>
      </c>
      <c r="G447" s="11" t="n">
        <v>1</v>
      </c>
      <c r="H447" s="34" t="n">
        <v>0</v>
      </c>
      <c r="I447" s="34" t="n">
        <v>0</v>
      </c>
      <c r="J447" s="34" t="n">
        <v>0</v>
      </c>
      <c r="K447" s="34" t="n">
        <v>0</v>
      </c>
      <c r="L447" s="11" t="s">
        <v>689</v>
      </c>
      <c r="M447" s="11" t="s">
        <v>1250</v>
      </c>
      <c r="N447" s="11" t="s">
        <v>1262</v>
      </c>
      <c r="O447" s="11"/>
      <c r="P447" s="11"/>
      <c r="Q447" s="25" t="n">
        <f aca="false">SUMIFS('Commentary drivers'!$D:$D,'Commentary drivers'!$A:$A,A447)</f>
        <v>0</v>
      </c>
      <c r="R447" s="25" t="n">
        <f aca="false">SUMIFS('Commentary drivers'!$E:$E,'Commentary drivers'!$A:$A,A447)</f>
        <v>0</v>
      </c>
      <c r="S447" s="49" t="str">
        <f aca="false">IF(AND(ROUND(Q447-J447,4)=0,ROUND(R447-K447,1)=0),"✓","✗")</f>
        <v>✓</v>
      </c>
    </row>
    <row r="448" customFormat="false" ht="15" hidden="false" customHeight="false" outlineLevel="0" collapsed="false">
      <c r="A448" s="11" t="s">
        <v>1854</v>
      </c>
      <c r="B448" s="11" t="s">
        <v>31</v>
      </c>
      <c r="C448" s="11" t="s">
        <v>32</v>
      </c>
      <c r="D448" s="11" t="s">
        <v>1516</v>
      </c>
      <c r="E448" s="11" t="s">
        <v>1555</v>
      </c>
      <c r="F448" s="11" t="s">
        <v>429</v>
      </c>
      <c r="G448" s="11" t="n">
        <v>0</v>
      </c>
      <c r="H448" s="34" t="n">
        <v>985.61276</v>
      </c>
      <c r="I448" s="34" t="n">
        <v>922.10091</v>
      </c>
      <c r="J448" s="34" t="n">
        <v>63.51185</v>
      </c>
      <c r="K448" s="34" t="n">
        <v>63.5</v>
      </c>
      <c r="L448" s="11" t="s">
        <v>690</v>
      </c>
      <c r="M448" s="11" t="s">
        <v>1250</v>
      </c>
      <c r="N448" s="11" t="s">
        <v>1251</v>
      </c>
      <c r="O448" s="11" t="s">
        <v>1252</v>
      </c>
      <c r="P448" s="11" t="s">
        <v>1557</v>
      </c>
      <c r="Q448" s="25" t="n">
        <f aca="false">SUMIFS('Commentary drivers'!$D:$D,'Commentary drivers'!$A:$A,A448)</f>
        <v>63.51185</v>
      </c>
      <c r="R448" s="25" t="n">
        <f aca="false">SUMIFS('Commentary drivers'!$E:$E,'Commentary drivers'!$A:$A,A448)</f>
        <v>63.5</v>
      </c>
      <c r="S448" s="49" t="str">
        <f aca="false">IF(AND(ROUND(Q448-J448,4)=0,ROUND(R448-K448,1)=0),"✓","✗")</f>
        <v>✓</v>
      </c>
    </row>
    <row r="449" customFormat="false" ht="15" hidden="false" customHeight="false" outlineLevel="0" collapsed="false">
      <c r="A449" s="11" t="s">
        <v>1855</v>
      </c>
      <c r="B449" s="11" t="s">
        <v>33</v>
      </c>
      <c r="C449" s="11" t="s">
        <v>34</v>
      </c>
      <c r="D449" s="11" t="s">
        <v>1248</v>
      </c>
      <c r="E449" s="11" t="s">
        <v>1249</v>
      </c>
      <c r="F449" s="11" t="s">
        <v>153</v>
      </c>
      <c r="G449" s="11" t="n">
        <v>0</v>
      </c>
      <c r="H449" s="34" t="n">
        <v>13819.355</v>
      </c>
      <c r="I449" s="34" t="n">
        <v>11123.688</v>
      </c>
      <c r="J449" s="34" t="n">
        <v>2695.667</v>
      </c>
      <c r="K449" s="34" t="n">
        <v>2695.7</v>
      </c>
      <c r="L449" s="11" t="s">
        <v>692</v>
      </c>
      <c r="M449" s="11" t="s">
        <v>1250</v>
      </c>
      <c r="N449" s="11" t="s">
        <v>1251</v>
      </c>
      <c r="O449" s="11" t="s">
        <v>1252</v>
      </c>
      <c r="P449" s="11" t="s">
        <v>1557</v>
      </c>
      <c r="Q449" s="25" t="n">
        <f aca="false">SUMIFS('Commentary drivers'!$D:$D,'Commentary drivers'!$A:$A,A449)</f>
        <v>2695.667</v>
      </c>
      <c r="R449" s="25" t="n">
        <f aca="false">SUMIFS('Commentary drivers'!$E:$E,'Commentary drivers'!$A:$A,A449)</f>
        <v>2695.7</v>
      </c>
      <c r="S449" s="49" t="str">
        <f aca="false">IF(AND(ROUND(Q449-J449,4)=0,ROUND(R449-K449,1)=0),"✓","✗")</f>
        <v>✓</v>
      </c>
    </row>
    <row r="450" customFormat="false" ht="15" hidden="false" customHeight="false" outlineLevel="0" collapsed="false">
      <c r="A450" s="11" t="s">
        <v>1856</v>
      </c>
      <c r="B450" s="11" t="s">
        <v>33</v>
      </c>
      <c r="C450" s="11" t="s">
        <v>34</v>
      </c>
      <c r="D450" s="11" t="s">
        <v>1248</v>
      </c>
      <c r="E450" s="11" t="s">
        <v>1255</v>
      </c>
      <c r="F450" s="11" t="s">
        <v>154</v>
      </c>
      <c r="G450" s="11" t="n">
        <v>0</v>
      </c>
      <c r="H450" s="34" t="n">
        <v>1330</v>
      </c>
      <c r="I450" s="34" t="n">
        <v>890</v>
      </c>
      <c r="J450" s="34" t="n">
        <v>440</v>
      </c>
      <c r="K450" s="34" t="n">
        <v>440</v>
      </c>
      <c r="L450" s="11" t="s">
        <v>693</v>
      </c>
      <c r="M450" s="11" t="s">
        <v>1250</v>
      </c>
      <c r="N450" s="11" t="s">
        <v>1251</v>
      </c>
      <c r="O450" s="11" t="s">
        <v>1252</v>
      </c>
      <c r="P450" s="11" t="s">
        <v>1557</v>
      </c>
      <c r="Q450" s="25" t="n">
        <f aca="false">SUMIFS('Commentary drivers'!$D:$D,'Commentary drivers'!$A:$A,A450)</f>
        <v>440</v>
      </c>
      <c r="R450" s="25" t="n">
        <f aca="false">SUMIFS('Commentary drivers'!$E:$E,'Commentary drivers'!$A:$A,A450)</f>
        <v>440</v>
      </c>
      <c r="S450" s="49" t="str">
        <f aca="false">IF(AND(ROUND(Q450-J450,4)=0,ROUND(R450-K450,1)=0),"✓","✗")</f>
        <v>✓</v>
      </c>
    </row>
    <row r="451" customFormat="false" ht="15" hidden="false" customHeight="false" outlineLevel="0" collapsed="false">
      <c r="A451" s="11" t="s">
        <v>1857</v>
      </c>
      <c r="B451" s="11" t="s">
        <v>33</v>
      </c>
      <c r="C451" s="11" t="s">
        <v>34</v>
      </c>
      <c r="D451" s="11" t="s">
        <v>1248</v>
      </c>
      <c r="E451" s="11" t="s">
        <v>1257</v>
      </c>
      <c r="F451" s="11" t="s">
        <v>91</v>
      </c>
      <c r="G451" s="11" t="n">
        <v>0</v>
      </c>
      <c r="H451" s="34" t="n">
        <v>15149.355</v>
      </c>
      <c r="I451" s="34" t="n">
        <v>12013.688</v>
      </c>
      <c r="J451" s="34" t="n">
        <v>3135.667</v>
      </c>
      <c r="K451" s="34" t="n">
        <v>3135.7</v>
      </c>
      <c r="L451" s="11" t="s">
        <v>694</v>
      </c>
      <c r="M451" s="11" t="s">
        <v>1250</v>
      </c>
      <c r="N451" s="11" t="s">
        <v>1251</v>
      </c>
      <c r="O451" s="11" t="s">
        <v>1252</v>
      </c>
      <c r="P451" s="11" t="s">
        <v>1557</v>
      </c>
      <c r="Q451" s="25" t="n">
        <f aca="false">SUMIFS('Commentary drivers'!$D:$D,'Commentary drivers'!$A:$A,A451)</f>
        <v>3135.667</v>
      </c>
      <c r="R451" s="25" t="n">
        <f aca="false">SUMIFS('Commentary drivers'!$E:$E,'Commentary drivers'!$A:$A,A451)</f>
        <v>3135.7</v>
      </c>
      <c r="S451" s="49" t="str">
        <f aca="false">IF(AND(ROUND(Q451-J451,4)=0,ROUND(R451-K451,1)=0),"✓","✗")</f>
        <v>✓</v>
      </c>
    </row>
    <row r="452" customFormat="false" ht="15" hidden="false" customHeight="false" outlineLevel="0" collapsed="false">
      <c r="A452" s="11" t="s">
        <v>1858</v>
      </c>
      <c r="B452" s="11" t="s">
        <v>33</v>
      </c>
      <c r="C452" s="11" t="s">
        <v>34</v>
      </c>
      <c r="D452" s="11" t="s">
        <v>1248</v>
      </c>
      <c r="E452" s="11" t="s">
        <v>1259</v>
      </c>
      <c r="F452" s="11" t="s">
        <v>155</v>
      </c>
      <c r="G452" s="11" t="n">
        <v>0</v>
      </c>
      <c r="H452" s="34" t="n">
        <v>3984.62999</v>
      </c>
      <c r="I452" s="34" t="n">
        <v>3096.55029</v>
      </c>
      <c r="J452" s="34" t="n">
        <v>888.0797</v>
      </c>
      <c r="K452" s="34" t="n">
        <v>888.1</v>
      </c>
      <c r="L452" s="11" t="s">
        <v>695</v>
      </c>
      <c r="M452" s="11" t="s">
        <v>1250</v>
      </c>
      <c r="N452" s="11" t="s">
        <v>1251</v>
      </c>
      <c r="O452" s="11" t="s">
        <v>1252</v>
      </c>
      <c r="P452" s="11" t="s">
        <v>1557</v>
      </c>
      <c r="Q452" s="25" t="n">
        <f aca="false">SUMIFS('Commentary drivers'!$D:$D,'Commentary drivers'!$A:$A,A452)</f>
        <v>888.0797</v>
      </c>
      <c r="R452" s="25" t="n">
        <f aca="false">SUMIFS('Commentary drivers'!$E:$E,'Commentary drivers'!$A:$A,A452)</f>
        <v>888.1</v>
      </c>
      <c r="S452" s="49" t="str">
        <f aca="false">IF(AND(ROUND(Q452-J452,4)=0,ROUND(R452-K452,1)=0),"✓","✗")</f>
        <v>✓</v>
      </c>
    </row>
    <row r="453" customFormat="false" ht="15" hidden="false" customHeight="false" outlineLevel="0" collapsed="false">
      <c r="A453" s="11" t="s">
        <v>1859</v>
      </c>
      <c r="B453" s="11" t="s">
        <v>33</v>
      </c>
      <c r="C453" s="11" t="s">
        <v>34</v>
      </c>
      <c r="D453" s="11" t="s">
        <v>1248</v>
      </c>
      <c r="E453" s="11" t="s">
        <v>1261</v>
      </c>
      <c r="F453" s="11" t="s">
        <v>189</v>
      </c>
      <c r="G453" s="11" t="n">
        <v>1</v>
      </c>
      <c r="H453" s="34" t="n">
        <v>1005.5</v>
      </c>
      <c r="I453" s="34" t="n">
        <v>756</v>
      </c>
      <c r="J453" s="34" t="n">
        <v>249.5</v>
      </c>
      <c r="K453" s="34" t="n">
        <v>249.5</v>
      </c>
      <c r="L453" s="11" t="s">
        <v>696</v>
      </c>
      <c r="M453" s="11" t="s">
        <v>1250</v>
      </c>
      <c r="N453" s="11" t="s">
        <v>1251</v>
      </c>
      <c r="O453" s="11" t="s">
        <v>1252</v>
      </c>
      <c r="P453" s="11" t="s">
        <v>1557</v>
      </c>
      <c r="Q453" s="25" t="n">
        <f aca="false">SUMIFS('Commentary drivers'!$D:$D,'Commentary drivers'!$A:$A,A453)</f>
        <v>249.5</v>
      </c>
      <c r="R453" s="25" t="n">
        <f aca="false">SUMIFS('Commentary drivers'!$E:$E,'Commentary drivers'!$A:$A,A453)</f>
        <v>249.5</v>
      </c>
      <c r="S453" s="49" t="str">
        <f aca="false">IF(AND(ROUND(Q453-J453,4)=0,ROUND(R453-K453,1)=0),"✓","✗")</f>
        <v>✓</v>
      </c>
    </row>
    <row r="454" customFormat="false" ht="15" hidden="false" customHeight="false" outlineLevel="0" collapsed="false">
      <c r="A454" s="11" t="s">
        <v>1860</v>
      </c>
      <c r="B454" s="11" t="s">
        <v>33</v>
      </c>
      <c r="C454" s="11" t="s">
        <v>34</v>
      </c>
      <c r="D454" s="11" t="s">
        <v>1248</v>
      </c>
      <c r="E454" s="11" t="s">
        <v>1264</v>
      </c>
      <c r="F454" s="11" t="s">
        <v>192</v>
      </c>
      <c r="G454" s="11" t="n">
        <v>1</v>
      </c>
      <c r="H454" s="34" t="n">
        <v>737.357</v>
      </c>
      <c r="I454" s="34" t="n">
        <v>568.78225</v>
      </c>
      <c r="J454" s="34" t="n">
        <v>168.57475</v>
      </c>
      <c r="K454" s="34" t="n">
        <v>168.6</v>
      </c>
      <c r="L454" s="11" t="s">
        <v>697</v>
      </c>
      <c r="M454" s="11" t="s">
        <v>1250</v>
      </c>
      <c r="N454" s="11" t="s">
        <v>1251</v>
      </c>
      <c r="O454" s="11" t="s">
        <v>1252</v>
      </c>
      <c r="P454" s="11" t="s">
        <v>1557</v>
      </c>
      <c r="Q454" s="25" t="n">
        <f aca="false">SUMIFS('Commentary drivers'!$D:$D,'Commentary drivers'!$A:$A,A454)</f>
        <v>168.57475</v>
      </c>
      <c r="R454" s="25" t="n">
        <f aca="false">SUMIFS('Commentary drivers'!$E:$E,'Commentary drivers'!$A:$A,A454)</f>
        <v>168.6</v>
      </c>
      <c r="S454" s="49" t="str">
        <f aca="false">IF(AND(ROUND(Q454-J454,4)=0,ROUND(R454-K454,1)=0),"✓","✗")</f>
        <v>✓</v>
      </c>
    </row>
    <row r="455" customFormat="false" ht="15" hidden="false" customHeight="false" outlineLevel="0" collapsed="false">
      <c r="A455" s="11" t="s">
        <v>1861</v>
      </c>
      <c r="B455" s="11" t="s">
        <v>33</v>
      </c>
      <c r="C455" s="11" t="s">
        <v>34</v>
      </c>
      <c r="D455" s="11" t="s">
        <v>1248</v>
      </c>
      <c r="E455" s="11" t="s">
        <v>1266</v>
      </c>
      <c r="F455" s="11" t="s">
        <v>195</v>
      </c>
      <c r="G455" s="11" t="n">
        <v>1</v>
      </c>
      <c r="H455" s="34" t="n">
        <v>693.392</v>
      </c>
      <c r="I455" s="34" t="n">
        <v>541.9547</v>
      </c>
      <c r="J455" s="34" t="n">
        <v>151.4373</v>
      </c>
      <c r="K455" s="34" t="n">
        <v>151.4</v>
      </c>
      <c r="L455" s="11" t="s">
        <v>698</v>
      </c>
      <c r="M455" s="11" t="s">
        <v>1250</v>
      </c>
      <c r="N455" s="11" t="s">
        <v>1251</v>
      </c>
      <c r="O455" s="11" t="s">
        <v>1252</v>
      </c>
      <c r="P455" s="11" t="s">
        <v>1557</v>
      </c>
      <c r="Q455" s="25" t="n">
        <f aca="false">SUMIFS('Commentary drivers'!$D:$D,'Commentary drivers'!$A:$A,A455)</f>
        <v>151.4373</v>
      </c>
      <c r="R455" s="25" t="n">
        <f aca="false">SUMIFS('Commentary drivers'!$E:$E,'Commentary drivers'!$A:$A,A455)</f>
        <v>151.4</v>
      </c>
      <c r="S455" s="49" t="str">
        <f aca="false">IF(AND(ROUND(Q455-J455,4)=0,ROUND(R455-K455,1)=0),"✓","✗")</f>
        <v>✓</v>
      </c>
    </row>
    <row r="456" customFormat="false" ht="15" hidden="false" customHeight="false" outlineLevel="0" collapsed="false">
      <c r="A456" s="11" t="s">
        <v>1862</v>
      </c>
      <c r="B456" s="11" t="s">
        <v>33</v>
      </c>
      <c r="C456" s="11" t="s">
        <v>34</v>
      </c>
      <c r="D456" s="11" t="s">
        <v>1248</v>
      </c>
      <c r="E456" s="11" t="s">
        <v>1268</v>
      </c>
      <c r="F456" s="11" t="s">
        <v>198</v>
      </c>
      <c r="G456" s="11" t="n">
        <v>1</v>
      </c>
      <c r="H456" s="34" t="n">
        <v>1149.201</v>
      </c>
      <c r="I456" s="34" t="n">
        <v>922.962</v>
      </c>
      <c r="J456" s="34" t="n">
        <v>226.239</v>
      </c>
      <c r="K456" s="34" t="n">
        <v>226.2</v>
      </c>
      <c r="L456" s="11" t="s">
        <v>699</v>
      </c>
      <c r="M456" s="11" t="s">
        <v>1250</v>
      </c>
      <c r="N456" s="11" t="s">
        <v>1251</v>
      </c>
      <c r="O456" s="11" t="s">
        <v>1252</v>
      </c>
      <c r="P456" s="11" t="s">
        <v>1557</v>
      </c>
      <c r="Q456" s="25" t="n">
        <f aca="false">SUMIFS('Commentary drivers'!$D:$D,'Commentary drivers'!$A:$A,A456)</f>
        <v>226.239</v>
      </c>
      <c r="R456" s="25" t="n">
        <f aca="false">SUMIFS('Commentary drivers'!$E:$E,'Commentary drivers'!$A:$A,A456)</f>
        <v>226.2</v>
      </c>
      <c r="S456" s="49" t="str">
        <f aca="false">IF(AND(ROUND(Q456-J456,4)=0,ROUND(R456-K456,1)=0),"✓","✗")</f>
        <v>✓</v>
      </c>
    </row>
    <row r="457" customFormat="false" ht="15" hidden="false" customHeight="false" outlineLevel="0" collapsed="false">
      <c r="A457" s="11" t="s">
        <v>1863</v>
      </c>
      <c r="B457" s="11" t="s">
        <v>33</v>
      </c>
      <c r="C457" s="11" t="s">
        <v>34</v>
      </c>
      <c r="D457" s="11" t="s">
        <v>1248</v>
      </c>
      <c r="E457" s="11" t="s">
        <v>1270</v>
      </c>
      <c r="F457" s="11" t="s">
        <v>201</v>
      </c>
      <c r="G457" s="11" t="n">
        <v>1</v>
      </c>
      <c r="H457" s="34" t="n">
        <v>103.18</v>
      </c>
      <c r="I457" s="34" t="n">
        <v>66.18467</v>
      </c>
      <c r="J457" s="34" t="n">
        <v>36.99533</v>
      </c>
      <c r="K457" s="34" t="n">
        <v>37</v>
      </c>
      <c r="L457" s="11" t="s">
        <v>700</v>
      </c>
      <c r="M457" s="11" t="s">
        <v>1250</v>
      </c>
      <c r="N457" s="11" t="s">
        <v>1251</v>
      </c>
      <c r="O457" s="11" t="s">
        <v>1252</v>
      </c>
      <c r="P457" s="11" t="s">
        <v>1557</v>
      </c>
      <c r="Q457" s="25" t="n">
        <f aca="false">SUMIFS('Commentary drivers'!$D:$D,'Commentary drivers'!$A:$A,A457)</f>
        <v>36.99533</v>
      </c>
      <c r="R457" s="25" t="n">
        <f aca="false">SUMIFS('Commentary drivers'!$E:$E,'Commentary drivers'!$A:$A,A457)</f>
        <v>37</v>
      </c>
      <c r="S457" s="49" t="str">
        <f aca="false">IF(AND(ROUND(Q457-J457,4)=0,ROUND(R457-K457,1)=0),"✓","✗")</f>
        <v>✓</v>
      </c>
    </row>
    <row r="458" customFormat="false" ht="15" hidden="false" customHeight="false" outlineLevel="0" collapsed="false">
      <c r="A458" s="11" t="s">
        <v>1864</v>
      </c>
      <c r="B458" s="11" t="s">
        <v>33</v>
      </c>
      <c r="C458" s="11" t="s">
        <v>34</v>
      </c>
      <c r="D458" s="11" t="s">
        <v>1248</v>
      </c>
      <c r="E458" s="11" t="s">
        <v>1272</v>
      </c>
      <c r="F458" s="11" t="s">
        <v>204</v>
      </c>
      <c r="G458" s="11" t="n">
        <v>1</v>
      </c>
      <c r="H458" s="34" t="n">
        <v>149.99999</v>
      </c>
      <c r="I458" s="34" t="n">
        <v>122.66667</v>
      </c>
      <c r="J458" s="34" t="n">
        <v>27.33332</v>
      </c>
      <c r="K458" s="34" t="n">
        <v>27.3</v>
      </c>
      <c r="L458" s="11" t="s">
        <v>701</v>
      </c>
      <c r="M458" s="11" t="s">
        <v>1250</v>
      </c>
      <c r="N458" s="11" t="s">
        <v>1251</v>
      </c>
      <c r="O458" s="11" t="s">
        <v>1252</v>
      </c>
      <c r="P458" s="11" t="s">
        <v>1557</v>
      </c>
      <c r="Q458" s="25" t="n">
        <f aca="false">SUMIFS('Commentary drivers'!$D:$D,'Commentary drivers'!$A:$A,A458)</f>
        <v>27.33332</v>
      </c>
      <c r="R458" s="25" t="n">
        <f aca="false">SUMIFS('Commentary drivers'!$E:$E,'Commentary drivers'!$A:$A,A458)</f>
        <v>27.3</v>
      </c>
      <c r="S458" s="49" t="str">
        <f aca="false">IF(AND(ROUND(Q458-J458,4)=0,ROUND(R458-K458,1)=0),"✓","✗")</f>
        <v>✓</v>
      </c>
    </row>
    <row r="459" customFormat="false" ht="15" hidden="false" customHeight="false" outlineLevel="0" collapsed="false">
      <c r="A459" s="11" t="s">
        <v>1865</v>
      </c>
      <c r="B459" s="11" t="s">
        <v>33</v>
      </c>
      <c r="C459" s="11" t="s">
        <v>34</v>
      </c>
      <c r="D459" s="11" t="s">
        <v>1248</v>
      </c>
      <c r="E459" s="11" t="s">
        <v>1274</v>
      </c>
      <c r="F459" s="11" t="s">
        <v>207</v>
      </c>
      <c r="G459" s="11" t="n">
        <v>1</v>
      </c>
      <c r="H459" s="34" t="n">
        <v>146</v>
      </c>
      <c r="I459" s="34" t="n">
        <v>118</v>
      </c>
      <c r="J459" s="34" t="n">
        <v>28</v>
      </c>
      <c r="K459" s="34" t="n">
        <v>28</v>
      </c>
      <c r="L459" s="11" t="s">
        <v>702</v>
      </c>
      <c r="M459" s="11" t="s">
        <v>1250</v>
      </c>
      <c r="N459" s="11" t="s">
        <v>1251</v>
      </c>
      <c r="O459" s="11" t="s">
        <v>1252</v>
      </c>
      <c r="P459" s="11" t="s">
        <v>1557</v>
      </c>
      <c r="Q459" s="25" t="n">
        <f aca="false">SUMIFS('Commentary drivers'!$D:$D,'Commentary drivers'!$A:$A,A459)</f>
        <v>28</v>
      </c>
      <c r="R459" s="25" t="n">
        <f aca="false">SUMIFS('Commentary drivers'!$E:$E,'Commentary drivers'!$A:$A,A459)</f>
        <v>28</v>
      </c>
      <c r="S459" s="49" t="str">
        <f aca="false">IF(AND(ROUND(Q459-J459,4)=0,ROUND(R459-K459,1)=0),"✓","✗")</f>
        <v>✓</v>
      </c>
    </row>
    <row r="460" customFormat="false" ht="15" hidden="false" customHeight="false" outlineLevel="0" collapsed="false">
      <c r="A460" s="11" t="s">
        <v>1866</v>
      </c>
      <c r="B460" s="11" t="s">
        <v>33</v>
      </c>
      <c r="C460" s="11" t="s">
        <v>34</v>
      </c>
      <c r="D460" s="11" t="s">
        <v>1248</v>
      </c>
      <c r="E460" s="11" t="s">
        <v>1276</v>
      </c>
      <c r="F460" s="11" t="s">
        <v>156</v>
      </c>
      <c r="G460" s="11" t="n">
        <v>0</v>
      </c>
      <c r="H460" s="34" t="n">
        <v>959.568</v>
      </c>
      <c r="I460" s="34" t="n">
        <v>748.152</v>
      </c>
      <c r="J460" s="34" t="n">
        <v>211.416</v>
      </c>
      <c r="K460" s="34" t="n">
        <v>211.4</v>
      </c>
      <c r="L460" s="11" t="s">
        <v>703</v>
      </c>
      <c r="M460" s="11" t="s">
        <v>1250</v>
      </c>
      <c r="N460" s="11" t="s">
        <v>1251</v>
      </c>
      <c r="O460" s="11" t="s">
        <v>1252</v>
      </c>
      <c r="P460" s="11" t="s">
        <v>1557</v>
      </c>
      <c r="Q460" s="25" t="n">
        <f aca="false">SUMIFS('Commentary drivers'!$D:$D,'Commentary drivers'!$A:$A,A460)</f>
        <v>211.416</v>
      </c>
      <c r="R460" s="25" t="n">
        <f aca="false">SUMIFS('Commentary drivers'!$E:$E,'Commentary drivers'!$A:$A,A460)</f>
        <v>211.4</v>
      </c>
      <c r="S460" s="49" t="str">
        <f aca="false">IF(AND(ROUND(Q460-J460,4)=0,ROUND(R460-K460,1)=0),"✓","✗")</f>
        <v>✓</v>
      </c>
    </row>
    <row r="461" customFormat="false" ht="15" hidden="false" customHeight="false" outlineLevel="0" collapsed="false">
      <c r="A461" s="11" t="s">
        <v>1867</v>
      </c>
      <c r="B461" s="11" t="s">
        <v>33</v>
      </c>
      <c r="C461" s="11" t="s">
        <v>34</v>
      </c>
      <c r="D461" s="11" t="s">
        <v>1248</v>
      </c>
      <c r="E461" s="11" t="s">
        <v>1278</v>
      </c>
      <c r="F461" s="11" t="s">
        <v>101</v>
      </c>
      <c r="G461" s="11" t="n">
        <v>0</v>
      </c>
      <c r="H461" s="34" t="n">
        <v>4944.19799</v>
      </c>
      <c r="I461" s="34" t="n">
        <v>3844.70229</v>
      </c>
      <c r="J461" s="34" t="n">
        <v>1099.4957</v>
      </c>
      <c r="K461" s="34" t="n">
        <v>1099.5</v>
      </c>
      <c r="L461" s="11" t="s">
        <v>704</v>
      </c>
      <c r="M461" s="11" t="s">
        <v>1250</v>
      </c>
      <c r="N461" s="11" t="s">
        <v>1251</v>
      </c>
      <c r="O461" s="11" t="s">
        <v>1252</v>
      </c>
      <c r="P461" s="11" t="s">
        <v>1557</v>
      </c>
      <c r="Q461" s="25" t="n">
        <f aca="false">SUMIFS('Commentary drivers'!$D:$D,'Commentary drivers'!$A:$A,A461)</f>
        <v>1099.4957</v>
      </c>
      <c r="R461" s="25" t="n">
        <f aca="false">SUMIFS('Commentary drivers'!$E:$E,'Commentary drivers'!$A:$A,A461)</f>
        <v>1099.5</v>
      </c>
      <c r="S461" s="49" t="str">
        <f aca="false">IF(AND(ROUND(Q461-J461,4)=0,ROUND(R461-K461,1)=0),"✓","✗")</f>
        <v>✓</v>
      </c>
    </row>
    <row r="462" customFormat="false" ht="15" hidden="false" customHeight="false" outlineLevel="0" collapsed="false">
      <c r="A462" s="11" t="s">
        <v>1868</v>
      </c>
      <c r="B462" s="11" t="s">
        <v>33</v>
      </c>
      <c r="C462" s="11" t="s">
        <v>34</v>
      </c>
      <c r="D462" s="11" t="s">
        <v>1248</v>
      </c>
      <c r="E462" s="11" t="s">
        <v>1280</v>
      </c>
      <c r="F462" s="11" t="s">
        <v>92</v>
      </c>
      <c r="G462" s="11" t="n">
        <v>0</v>
      </c>
      <c r="H462" s="34" t="n">
        <v>10205.15701</v>
      </c>
      <c r="I462" s="34" t="n">
        <v>8168.98571</v>
      </c>
      <c r="J462" s="34" t="n">
        <v>2036.1713</v>
      </c>
      <c r="K462" s="34" t="n">
        <v>2036.2</v>
      </c>
      <c r="L462" s="11" t="s">
        <v>705</v>
      </c>
      <c r="M462" s="11" t="s">
        <v>1250</v>
      </c>
      <c r="N462" s="11" t="s">
        <v>1251</v>
      </c>
      <c r="O462" s="11" t="s">
        <v>1252</v>
      </c>
      <c r="P462" s="11" t="s">
        <v>1557</v>
      </c>
      <c r="Q462" s="25" t="n">
        <f aca="false">SUMIFS('Commentary drivers'!$D:$D,'Commentary drivers'!$A:$A,A462)</f>
        <v>2036.1713</v>
      </c>
      <c r="R462" s="25" t="n">
        <f aca="false">SUMIFS('Commentary drivers'!$E:$E,'Commentary drivers'!$A:$A,A462)</f>
        <v>2036.2</v>
      </c>
      <c r="S462" s="49" t="str">
        <f aca="false">IF(AND(ROUND(Q462-J462,4)=0,ROUND(R462-K462,1)=0),"✓","✗")</f>
        <v>✓</v>
      </c>
    </row>
    <row r="463" customFormat="false" ht="15" hidden="false" customHeight="false" outlineLevel="0" collapsed="false">
      <c r="A463" s="11" t="s">
        <v>1869</v>
      </c>
      <c r="B463" s="11" t="s">
        <v>33</v>
      </c>
      <c r="C463" s="11" t="s">
        <v>34</v>
      </c>
      <c r="D463" s="11" t="s">
        <v>1248</v>
      </c>
      <c r="E463" s="11" t="s">
        <v>1282</v>
      </c>
      <c r="F463" s="11" t="s">
        <v>157</v>
      </c>
      <c r="G463" s="11" t="n">
        <v>0</v>
      </c>
      <c r="H463" s="34" t="n">
        <v>3061.53095</v>
      </c>
      <c r="I463" s="34" t="n">
        <v>2369.2028</v>
      </c>
      <c r="J463" s="34" t="n">
        <v>692.32815</v>
      </c>
      <c r="K463" s="34" t="n">
        <v>692.3</v>
      </c>
      <c r="L463" s="11" t="s">
        <v>706</v>
      </c>
      <c r="M463" s="11" t="s">
        <v>1250</v>
      </c>
      <c r="N463" s="11" t="s">
        <v>1251</v>
      </c>
      <c r="O463" s="11" t="s">
        <v>1252</v>
      </c>
      <c r="P463" s="11" t="s">
        <v>1557</v>
      </c>
      <c r="Q463" s="25" t="n">
        <f aca="false">SUMIFS('Commentary drivers'!$D:$D,'Commentary drivers'!$A:$A,A463)</f>
        <v>692.32815</v>
      </c>
      <c r="R463" s="25" t="n">
        <f aca="false">SUMIFS('Commentary drivers'!$E:$E,'Commentary drivers'!$A:$A,A463)</f>
        <v>692.3</v>
      </c>
      <c r="S463" s="49" t="str">
        <f aca="false">IF(AND(ROUND(Q463-J463,4)=0,ROUND(R463-K463,1)=0),"✓","✗")</f>
        <v>✓</v>
      </c>
    </row>
    <row r="464" customFormat="false" ht="15" hidden="false" customHeight="false" outlineLevel="0" collapsed="false">
      <c r="A464" s="11" t="s">
        <v>1870</v>
      </c>
      <c r="B464" s="11" t="s">
        <v>33</v>
      </c>
      <c r="C464" s="11" t="s">
        <v>34</v>
      </c>
      <c r="D464" s="11" t="s">
        <v>1248</v>
      </c>
      <c r="E464" s="11" t="s">
        <v>1284</v>
      </c>
      <c r="F464" s="11" t="s">
        <v>192</v>
      </c>
      <c r="G464" s="11" t="n">
        <v>1</v>
      </c>
      <c r="H464" s="34" t="n">
        <v>2212.071</v>
      </c>
      <c r="I464" s="34" t="n">
        <v>1706.34675</v>
      </c>
      <c r="J464" s="34" t="n">
        <v>505.72425</v>
      </c>
      <c r="K464" s="34" t="n">
        <v>505.7</v>
      </c>
      <c r="L464" s="11" t="s">
        <v>707</v>
      </c>
      <c r="M464" s="11" t="s">
        <v>1250</v>
      </c>
      <c r="N464" s="11" t="s">
        <v>1251</v>
      </c>
      <c r="O464" s="11" t="s">
        <v>1252</v>
      </c>
      <c r="P464" s="11" t="s">
        <v>1557</v>
      </c>
      <c r="Q464" s="25" t="n">
        <f aca="false">SUMIFS('Commentary drivers'!$D:$D,'Commentary drivers'!$A:$A,A464)</f>
        <v>505.72425</v>
      </c>
      <c r="R464" s="25" t="n">
        <f aca="false">SUMIFS('Commentary drivers'!$E:$E,'Commentary drivers'!$A:$A,A464)</f>
        <v>505.7</v>
      </c>
      <c r="S464" s="49" t="str">
        <f aca="false">IF(AND(ROUND(Q464-J464,4)=0,ROUND(R464-K464,1)=0),"✓","✗")</f>
        <v>✓</v>
      </c>
    </row>
    <row r="465" customFormat="false" ht="15" hidden="false" customHeight="false" outlineLevel="0" collapsed="false">
      <c r="A465" s="11" t="s">
        <v>1871</v>
      </c>
      <c r="B465" s="11" t="s">
        <v>33</v>
      </c>
      <c r="C465" s="11" t="s">
        <v>34</v>
      </c>
      <c r="D465" s="11" t="s">
        <v>1248</v>
      </c>
      <c r="E465" s="11" t="s">
        <v>1286</v>
      </c>
      <c r="F465" s="11" t="s">
        <v>189</v>
      </c>
      <c r="G465" s="11" t="n">
        <v>1</v>
      </c>
      <c r="H465" s="34" t="n">
        <v>306</v>
      </c>
      <c r="I465" s="34" t="n">
        <v>232</v>
      </c>
      <c r="J465" s="34" t="n">
        <v>74</v>
      </c>
      <c r="K465" s="34" t="n">
        <v>74</v>
      </c>
      <c r="L465" s="11" t="s">
        <v>708</v>
      </c>
      <c r="M465" s="11" t="s">
        <v>1250</v>
      </c>
      <c r="N465" s="11" t="s">
        <v>1251</v>
      </c>
      <c r="O465" s="11" t="s">
        <v>1252</v>
      </c>
      <c r="P465" s="11" t="s">
        <v>1557</v>
      </c>
      <c r="Q465" s="25" t="n">
        <f aca="false">SUMIFS('Commentary drivers'!$D:$D,'Commentary drivers'!$A:$A,A465)</f>
        <v>74</v>
      </c>
      <c r="R465" s="25" t="n">
        <f aca="false">SUMIFS('Commentary drivers'!$E:$E,'Commentary drivers'!$A:$A,A465)</f>
        <v>74</v>
      </c>
      <c r="S465" s="49" t="str">
        <f aca="false">IF(AND(ROUND(Q465-J465,4)=0,ROUND(R465-K465,1)=0),"✓","✗")</f>
        <v>✓</v>
      </c>
    </row>
    <row r="466" customFormat="false" ht="15" hidden="false" customHeight="false" outlineLevel="0" collapsed="false">
      <c r="A466" s="11" t="s">
        <v>1872</v>
      </c>
      <c r="B466" s="11" t="s">
        <v>33</v>
      </c>
      <c r="C466" s="11" t="s">
        <v>34</v>
      </c>
      <c r="D466" s="11" t="s">
        <v>1248</v>
      </c>
      <c r="E466" s="11" t="s">
        <v>1288</v>
      </c>
      <c r="F466" s="11" t="s">
        <v>201</v>
      </c>
      <c r="G466" s="11" t="n">
        <v>1</v>
      </c>
      <c r="H466" s="34" t="n">
        <v>174.46</v>
      </c>
      <c r="I466" s="34" t="n">
        <v>131.1894</v>
      </c>
      <c r="J466" s="34" t="n">
        <v>43.2706</v>
      </c>
      <c r="K466" s="34" t="n">
        <v>43.3</v>
      </c>
      <c r="L466" s="11" t="s">
        <v>709</v>
      </c>
      <c r="M466" s="11" t="s">
        <v>1250</v>
      </c>
      <c r="N466" s="11" t="s">
        <v>1251</v>
      </c>
      <c r="O466" s="11" t="s">
        <v>1252</v>
      </c>
      <c r="P466" s="11" t="s">
        <v>1557</v>
      </c>
      <c r="Q466" s="25" t="n">
        <f aca="false">SUMIFS('Commentary drivers'!$D:$D,'Commentary drivers'!$A:$A,A466)</f>
        <v>43.2706</v>
      </c>
      <c r="R466" s="25" t="n">
        <f aca="false">SUMIFS('Commentary drivers'!$E:$E,'Commentary drivers'!$A:$A,A466)</f>
        <v>43.3</v>
      </c>
      <c r="S466" s="49" t="str">
        <f aca="false">IF(AND(ROUND(Q466-J466,4)=0,ROUND(R466-K466,1)=0),"✓","✗")</f>
        <v>✓</v>
      </c>
    </row>
    <row r="467" customFormat="false" ht="15" hidden="false" customHeight="false" outlineLevel="0" collapsed="false">
      <c r="A467" s="11" t="s">
        <v>1873</v>
      </c>
      <c r="B467" s="11" t="s">
        <v>33</v>
      </c>
      <c r="C467" s="11" t="s">
        <v>34</v>
      </c>
      <c r="D467" s="11" t="s">
        <v>1248</v>
      </c>
      <c r="E467" s="11" t="s">
        <v>1290</v>
      </c>
      <c r="F467" s="11" t="s">
        <v>204</v>
      </c>
      <c r="G467" s="11" t="n">
        <v>1</v>
      </c>
      <c r="H467" s="34" t="n">
        <v>149.99999</v>
      </c>
      <c r="I467" s="34" t="n">
        <v>122.66667</v>
      </c>
      <c r="J467" s="34" t="n">
        <v>27.33332</v>
      </c>
      <c r="K467" s="34" t="n">
        <v>27.3</v>
      </c>
      <c r="L467" s="11" t="s">
        <v>701</v>
      </c>
      <c r="M467" s="11" t="s">
        <v>1250</v>
      </c>
      <c r="N467" s="11" t="s">
        <v>1251</v>
      </c>
      <c r="O467" s="11" t="s">
        <v>1252</v>
      </c>
      <c r="P467" s="11" t="s">
        <v>1557</v>
      </c>
      <c r="Q467" s="25" t="n">
        <f aca="false">SUMIFS('Commentary drivers'!$D:$D,'Commentary drivers'!$A:$A,A467)</f>
        <v>27.33332</v>
      </c>
      <c r="R467" s="25" t="n">
        <f aca="false">SUMIFS('Commentary drivers'!$E:$E,'Commentary drivers'!$A:$A,A467)</f>
        <v>27.3</v>
      </c>
      <c r="S467" s="49" t="str">
        <f aca="false">IF(AND(ROUND(Q467-J467,4)=0,ROUND(R467-K467,1)=0),"✓","✗")</f>
        <v>✓</v>
      </c>
    </row>
    <row r="468" customFormat="false" ht="15" hidden="false" customHeight="false" outlineLevel="0" collapsed="false">
      <c r="A468" s="11" t="s">
        <v>1874</v>
      </c>
      <c r="B468" s="11" t="s">
        <v>33</v>
      </c>
      <c r="C468" s="11" t="s">
        <v>34</v>
      </c>
      <c r="D468" s="11" t="s">
        <v>1248</v>
      </c>
      <c r="E468" s="11" t="s">
        <v>1292</v>
      </c>
      <c r="F468" s="11" t="s">
        <v>207</v>
      </c>
      <c r="G468" s="11" t="n">
        <v>1</v>
      </c>
      <c r="H468" s="34" t="n">
        <v>218.99996</v>
      </c>
      <c r="I468" s="34" t="n">
        <v>176.99998</v>
      </c>
      <c r="J468" s="34" t="n">
        <v>41.99998</v>
      </c>
      <c r="K468" s="34" t="n">
        <v>42</v>
      </c>
      <c r="L468" s="11" t="s">
        <v>710</v>
      </c>
      <c r="M468" s="11" t="s">
        <v>1250</v>
      </c>
      <c r="N468" s="11" t="s">
        <v>1251</v>
      </c>
      <c r="O468" s="11" t="s">
        <v>1252</v>
      </c>
      <c r="P468" s="11" t="s">
        <v>1557</v>
      </c>
      <c r="Q468" s="25" t="n">
        <f aca="false">SUMIFS('Commentary drivers'!$D:$D,'Commentary drivers'!$A:$A,A468)</f>
        <v>41.99998</v>
      </c>
      <c r="R468" s="25" t="n">
        <f aca="false">SUMIFS('Commentary drivers'!$E:$E,'Commentary drivers'!$A:$A,A468)</f>
        <v>42</v>
      </c>
      <c r="S468" s="49" t="str">
        <f aca="false">IF(AND(ROUND(Q468-J468,4)=0,ROUND(R468-K468,1)=0),"✓","✗")</f>
        <v>✓</v>
      </c>
    </row>
    <row r="469" customFormat="false" ht="15" hidden="false" customHeight="false" outlineLevel="0" collapsed="false">
      <c r="A469" s="11" t="s">
        <v>1875</v>
      </c>
      <c r="B469" s="11" t="s">
        <v>33</v>
      </c>
      <c r="C469" s="11" t="s">
        <v>34</v>
      </c>
      <c r="D469" s="11" t="s">
        <v>1248</v>
      </c>
      <c r="E469" s="11" t="s">
        <v>1294</v>
      </c>
      <c r="F469" s="11" t="s">
        <v>158</v>
      </c>
      <c r="G469" s="11" t="n">
        <v>0</v>
      </c>
      <c r="H469" s="34" t="n">
        <v>3496.90101</v>
      </c>
      <c r="I469" s="34" t="n">
        <v>2550.3927</v>
      </c>
      <c r="J469" s="34" t="n">
        <v>946.50831</v>
      </c>
      <c r="K469" s="34" t="n">
        <v>946.5</v>
      </c>
      <c r="L469" s="11" t="s">
        <v>711</v>
      </c>
      <c r="M469" s="11" t="s">
        <v>1250</v>
      </c>
      <c r="N469" s="11" t="s">
        <v>1251</v>
      </c>
      <c r="O469" s="11" t="s">
        <v>1252</v>
      </c>
      <c r="P469" s="11" t="s">
        <v>1557</v>
      </c>
      <c r="Q469" s="25" t="n">
        <f aca="false">SUMIFS('Commentary drivers'!$D:$D,'Commentary drivers'!$A:$A,A469)</f>
        <v>946.50831</v>
      </c>
      <c r="R469" s="25" t="n">
        <f aca="false">SUMIFS('Commentary drivers'!$E:$E,'Commentary drivers'!$A:$A,A469)</f>
        <v>946.5</v>
      </c>
      <c r="S469" s="49" t="str">
        <f aca="false">IF(AND(ROUND(Q469-J469,4)=0,ROUND(R469-K469,1)=0),"✓","✗")</f>
        <v>✓</v>
      </c>
    </row>
    <row r="470" customFormat="false" ht="15" hidden="false" customHeight="false" outlineLevel="0" collapsed="false">
      <c r="A470" s="11" t="s">
        <v>1876</v>
      </c>
      <c r="B470" s="11" t="s">
        <v>33</v>
      </c>
      <c r="C470" s="11" t="s">
        <v>34</v>
      </c>
      <c r="D470" s="11" t="s">
        <v>1248</v>
      </c>
      <c r="E470" s="11" t="s">
        <v>1296</v>
      </c>
      <c r="F470" s="11" t="s">
        <v>225</v>
      </c>
      <c r="G470" s="11" t="n">
        <v>1</v>
      </c>
      <c r="H470" s="34" t="n">
        <v>1714.173</v>
      </c>
      <c r="I470" s="34" t="n">
        <v>1246.213</v>
      </c>
      <c r="J470" s="34" t="n">
        <v>467.96</v>
      </c>
      <c r="K470" s="34" t="n">
        <v>468</v>
      </c>
      <c r="L470" s="11" t="s">
        <v>712</v>
      </c>
      <c r="M470" s="11" t="s">
        <v>1250</v>
      </c>
      <c r="N470" s="11" t="s">
        <v>1251</v>
      </c>
      <c r="O470" s="11" t="s">
        <v>1252</v>
      </c>
      <c r="P470" s="11" t="s">
        <v>1557</v>
      </c>
      <c r="Q470" s="25" t="n">
        <f aca="false">SUMIFS('Commentary drivers'!$D:$D,'Commentary drivers'!$A:$A,A470)</f>
        <v>467.96</v>
      </c>
      <c r="R470" s="25" t="n">
        <f aca="false">SUMIFS('Commentary drivers'!$E:$E,'Commentary drivers'!$A:$A,A470)</f>
        <v>468</v>
      </c>
      <c r="S470" s="49" t="str">
        <f aca="false">IF(AND(ROUND(Q470-J470,4)=0,ROUND(R470-K470,1)=0),"✓","✗")</f>
        <v>✓</v>
      </c>
    </row>
    <row r="471" customFormat="false" ht="15" hidden="false" customHeight="false" outlineLevel="0" collapsed="false">
      <c r="A471" s="11" t="s">
        <v>1877</v>
      </c>
      <c r="B471" s="11" t="s">
        <v>33</v>
      </c>
      <c r="C471" s="11" t="s">
        <v>34</v>
      </c>
      <c r="D471" s="11" t="s">
        <v>1248</v>
      </c>
      <c r="E471" s="11" t="s">
        <v>1298</v>
      </c>
      <c r="F471" s="11" t="s">
        <v>195</v>
      </c>
      <c r="G471" s="11" t="n">
        <v>1</v>
      </c>
      <c r="H471" s="34" t="n">
        <v>297.168</v>
      </c>
      <c r="I471" s="34" t="n">
        <v>232.2663</v>
      </c>
      <c r="J471" s="34" t="n">
        <v>64.9017</v>
      </c>
      <c r="K471" s="34" t="n">
        <v>64.9</v>
      </c>
      <c r="L471" s="11" t="s">
        <v>713</v>
      </c>
      <c r="M471" s="11" t="s">
        <v>1250</v>
      </c>
      <c r="N471" s="11" t="s">
        <v>1251</v>
      </c>
      <c r="O471" s="11" t="s">
        <v>1252</v>
      </c>
      <c r="P471" s="11" t="s">
        <v>1557</v>
      </c>
      <c r="Q471" s="25" t="n">
        <f aca="false">SUMIFS('Commentary drivers'!$D:$D,'Commentary drivers'!$A:$A,A471)</f>
        <v>64.9017</v>
      </c>
      <c r="R471" s="25" t="n">
        <f aca="false">SUMIFS('Commentary drivers'!$E:$E,'Commentary drivers'!$A:$A,A471)</f>
        <v>64.9</v>
      </c>
      <c r="S471" s="49" t="str">
        <f aca="false">IF(AND(ROUND(Q471-J471,4)=0,ROUND(R471-K471,1)=0),"✓","✗")</f>
        <v>✓</v>
      </c>
    </row>
    <row r="472" customFormat="false" ht="15" hidden="false" customHeight="false" outlineLevel="0" collapsed="false">
      <c r="A472" s="11" t="s">
        <v>1878</v>
      </c>
      <c r="B472" s="11" t="s">
        <v>33</v>
      </c>
      <c r="C472" s="11" t="s">
        <v>34</v>
      </c>
      <c r="D472" s="11" t="s">
        <v>1248</v>
      </c>
      <c r="E472" s="11" t="s">
        <v>1300</v>
      </c>
      <c r="F472" s="11" t="s">
        <v>230</v>
      </c>
      <c r="G472" s="11" t="n">
        <v>1</v>
      </c>
      <c r="H472" s="34" t="n">
        <v>701.5</v>
      </c>
      <c r="I472" s="34" t="n">
        <v>538</v>
      </c>
      <c r="J472" s="34" t="n">
        <v>163.5</v>
      </c>
      <c r="K472" s="34" t="n">
        <v>163.5</v>
      </c>
      <c r="L472" s="11" t="s">
        <v>714</v>
      </c>
      <c r="M472" s="11" t="s">
        <v>1250</v>
      </c>
      <c r="N472" s="11" t="s">
        <v>1251</v>
      </c>
      <c r="O472" s="11" t="s">
        <v>1252</v>
      </c>
      <c r="P472" s="11" t="s">
        <v>1557</v>
      </c>
      <c r="Q472" s="25" t="n">
        <f aca="false">SUMIFS('Commentary drivers'!$D:$D,'Commentary drivers'!$A:$A,A472)</f>
        <v>163.5</v>
      </c>
      <c r="R472" s="25" t="n">
        <f aca="false">SUMIFS('Commentary drivers'!$E:$E,'Commentary drivers'!$A:$A,A472)</f>
        <v>163.5</v>
      </c>
      <c r="S472" s="49" t="str">
        <f aca="false">IF(AND(ROUND(Q472-J472,4)=0,ROUND(R472-K472,1)=0),"✓","✗")</f>
        <v>✓</v>
      </c>
    </row>
    <row r="473" customFormat="false" ht="15" hidden="false" customHeight="false" outlineLevel="0" collapsed="false">
      <c r="A473" s="11" t="s">
        <v>1879</v>
      </c>
      <c r="B473" s="11" t="s">
        <v>33</v>
      </c>
      <c r="C473" s="11" t="s">
        <v>34</v>
      </c>
      <c r="D473" s="11" t="s">
        <v>1248</v>
      </c>
      <c r="E473" s="11" t="s">
        <v>1302</v>
      </c>
      <c r="F473" s="11" t="s">
        <v>233</v>
      </c>
      <c r="G473" s="11" t="n">
        <v>1</v>
      </c>
      <c r="H473" s="34" t="n">
        <v>289.5</v>
      </c>
      <c r="I473" s="34" t="n">
        <v>152.818</v>
      </c>
      <c r="J473" s="34" t="n">
        <v>136.682</v>
      </c>
      <c r="K473" s="34" t="n">
        <v>136.7</v>
      </c>
      <c r="L473" s="11" t="s">
        <v>715</v>
      </c>
      <c r="M473" s="11" t="s">
        <v>1250</v>
      </c>
      <c r="N473" s="11" t="s">
        <v>1251</v>
      </c>
      <c r="O473" s="11" t="s">
        <v>1252</v>
      </c>
      <c r="P473" s="11" t="s">
        <v>1557</v>
      </c>
      <c r="Q473" s="25" t="n">
        <f aca="false">SUMIFS('Commentary drivers'!$D:$D,'Commentary drivers'!$A:$A,A473)</f>
        <v>136.682</v>
      </c>
      <c r="R473" s="25" t="n">
        <f aca="false">SUMIFS('Commentary drivers'!$E:$E,'Commentary drivers'!$A:$A,A473)</f>
        <v>136.7</v>
      </c>
      <c r="S473" s="49" t="str">
        <f aca="false">IF(AND(ROUND(Q473-J473,4)=0,ROUND(R473-K473,1)=0),"✓","✗")</f>
        <v>✓</v>
      </c>
    </row>
    <row r="474" customFormat="false" ht="15" hidden="false" customHeight="false" outlineLevel="0" collapsed="false">
      <c r="A474" s="11" t="s">
        <v>1880</v>
      </c>
      <c r="B474" s="11" t="s">
        <v>33</v>
      </c>
      <c r="C474" s="11" t="s">
        <v>34</v>
      </c>
      <c r="D474" s="11" t="s">
        <v>1248</v>
      </c>
      <c r="E474" s="11" t="s">
        <v>1304</v>
      </c>
      <c r="F474" s="11" t="s">
        <v>189</v>
      </c>
      <c r="G474" s="11" t="n">
        <v>1</v>
      </c>
      <c r="H474" s="34" t="n">
        <v>84</v>
      </c>
      <c r="I474" s="34" t="n">
        <v>52</v>
      </c>
      <c r="J474" s="34" t="n">
        <v>32</v>
      </c>
      <c r="K474" s="34" t="n">
        <v>32</v>
      </c>
      <c r="L474" s="11" t="s">
        <v>716</v>
      </c>
      <c r="M474" s="11" t="s">
        <v>1250</v>
      </c>
      <c r="N474" s="11" t="s">
        <v>1251</v>
      </c>
      <c r="O474" s="11" t="s">
        <v>1252</v>
      </c>
      <c r="P474" s="11" t="s">
        <v>1557</v>
      </c>
      <c r="Q474" s="25" t="n">
        <f aca="false">SUMIFS('Commentary drivers'!$D:$D,'Commentary drivers'!$A:$A,A474)</f>
        <v>32</v>
      </c>
      <c r="R474" s="25" t="n">
        <f aca="false">SUMIFS('Commentary drivers'!$E:$E,'Commentary drivers'!$A:$A,A474)</f>
        <v>32</v>
      </c>
      <c r="S474" s="49" t="str">
        <f aca="false">IF(AND(ROUND(Q474-J474,4)=0,ROUND(R474-K474,1)=0),"✓","✗")</f>
        <v>✓</v>
      </c>
    </row>
    <row r="475" customFormat="false" ht="15" hidden="false" customHeight="false" outlineLevel="0" collapsed="false">
      <c r="A475" s="11" t="s">
        <v>1881</v>
      </c>
      <c r="B475" s="11" t="s">
        <v>33</v>
      </c>
      <c r="C475" s="11" t="s">
        <v>34</v>
      </c>
      <c r="D475" s="11" t="s">
        <v>1248</v>
      </c>
      <c r="E475" s="11" t="s">
        <v>1306</v>
      </c>
      <c r="F475" s="11" t="s">
        <v>201</v>
      </c>
      <c r="G475" s="11" t="n">
        <v>1</v>
      </c>
      <c r="H475" s="34" t="n">
        <v>189.56</v>
      </c>
      <c r="I475" s="34" t="n">
        <v>149.76207</v>
      </c>
      <c r="J475" s="34" t="n">
        <v>39.79793</v>
      </c>
      <c r="K475" s="34" t="n">
        <v>39.8</v>
      </c>
      <c r="L475" s="11" t="s">
        <v>717</v>
      </c>
      <c r="M475" s="11" t="s">
        <v>1250</v>
      </c>
      <c r="N475" s="11" t="s">
        <v>1251</v>
      </c>
      <c r="O475" s="11" t="s">
        <v>1252</v>
      </c>
      <c r="P475" s="11" t="s">
        <v>1557</v>
      </c>
      <c r="Q475" s="25" t="n">
        <f aca="false">SUMIFS('Commentary drivers'!$D:$D,'Commentary drivers'!$A:$A,A475)</f>
        <v>39.79793</v>
      </c>
      <c r="R475" s="25" t="n">
        <f aca="false">SUMIFS('Commentary drivers'!$E:$E,'Commentary drivers'!$A:$A,A475)</f>
        <v>39.8</v>
      </c>
      <c r="S475" s="49" t="str">
        <f aca="false">IF(AND(ROUND(Q475-J475,4)=0,ROUND(R475-K475,1)=0),"✓","✗")</f>
        <v>✓</v>
      </c>
    </row>
    <row r="476" customFormat="false" ht="15" hidden="false" customHeight="false" outlineLevel="0" collapsed="false">
      <c r="A476" s="11" t="s">
        <v>1882</v>
      </c>
      <c r="B476" s="11" t="s">
        <v>33</v>
      </c>
      <c r="C476" s="11" t="s">
        <v>34</v>
      </c>
      <c r="D476" s="11" t="s">
        <v>1248</v>
      </c>
      <c r="E476" s="11" t="s">
        <v>1308</v>
      </c>
      <c r="F476" s="11" t="s">
        <v>204</v>
      </c>
      <c r="G476" s="11" t="n">
        <v>1</v>
      </c>
      <c r="H476" s="34" t="n">
        <v>75.00001</v>
      </c>
      <c r="I476" s="34" t="n">
        <v>61.33333</v>
      </c>
      <c r="J476" s="34" t="n">
        <v>13.66668</v>
      </c>
      <c r="K476" s="34" t="n">
        <v>13.7</v>
      </c>
      <c r="L476" s="11" t="s">
        <v>718</v>
      </c>
      <c r="M476" s="11" t="s">
        <v>1250</v>
      </c>
      <c r="N476" s="11" t="s">
        <v>1251</v>
      </c>
      <c r="O476" s="11" t="s">
        <v>1252</v>
      </c>
      <c r="P476" s="11" t="s">
        <v>1557</v>
      </c>
      <c r="Q476" s="25" t="n">
        <f aca="false">SUMIFS('Commentary drivers'!$D:$D,'Commentary drivers'!$A:$A,A476)</f>
        <v>13.66668</v>
      </c>
      <c r="R476" s="25" t="n">
        <f aca="false">SUMIFS('Commentary drivers'!$E:$E,'Commentary drivers'!$A:$A,A476)</f>
        <v>13.7</v>
      </c>
      <c r="S476" s="49" t="str">
        <f aca="false">IF(AND(ROUND(Q476-J476,4)=0,ROUND(R476-K476,1)=0),"✓","✗")</f>
        <v>✓</v>
      </c>
    </row>
    <row r="477" customFormat="false" ht="15" hidden="false" customHeight="false" outlineLevel="0" collapsed="false">
      <c r="A477" s="11" t="s">
        <v>1883</v>
      </c>
      <c r="B477" s="11" t="s">
        <v>33</v>
      </c>
      <c r="C477" s="11" t="s">
        <v>34</v>
      </c>
      <c r="D477" s="11" t="s">
        <v>1248</v>
      </c>
      <c r="E477" s="11" t="s">
        <v>1310</v>
      </c>
      <c r="F477" s="11" t="s">
        <v>207</v>
      </c>
      <c r="G477" s="11" t="n">
        <v>1</v>
      </c>
      <c r="H477" s="34" t="n">
        <v>146</v>
      </c>
      <c r="I477" s="34" t="n">
        <v>118</v>
      </c>
      <c r="J477" s="34" t="n">
        <v>28</v>
      </c>
      <c r="K477" s="34" t="n">
        <v>28</v>
      </c>
      <c r="L477" s="11" t="s">
        <v>702</v>
      </c>
      <c r="M477" s="11" t="s">
        <v>1250</v>
      </c>
      <c r="N477" s="11" t="s">
        <v>1251</v>
      </c>
      <c r="O477" s="11" t="s">
        <v>1252</v>
      </c>
      <c r="P477" s="11" t="s">
        <v>1557</v>
      </c>
      <c r="Q477" s="25" t="n">
        <f aca="false">SUMIFS('Commentary drivers'!$D:$D,'Commentary drivers'!$A:$A,A477)</f>
        <v>28</v>
      </c>
      <c r="R477" s="25" t="n">
        <f aca="false">SUMIFS('Commentary drivers'!$E:$E,'Commentary drivers'!$A:$A,A477)</f>
        <v>28</v>
      </c>
      <c r="S477" s="49" t="str">
        <f aca="false">IF(AND(ROUND(Q477-J477,4)=0,ROUND(R477-K477,1)=0),"✓","✗")</f>
        <v>✓</v>
      </c>
    </row>
    <row r="478" customFormat="false" ht="15" hidden="false" customHeight="false" outlineLevel="0" collapsed="false">
      <c r="A478" s="11" t="s">
        <v>1884</v>
      </c>
      <c r="B478" s="11" t="s">
        <v>33</v>
      </c>
      <c r="C478" s="11" t="s">
        <v>34</v>
      </c>
      <c r="D478" s="11" t="s">
        <v>1248</v>
      </c>
      <c r="E478" s="11" t="s">
        <v>1312</v>
      </c>
      <c r="F478" s="11" t="s">
        <v>159</v>
      </c>
      <c r="G478" s="11" t="n">
        <v>0</v>
      </c>
      <c r="H478" s="34" t="n">
        <v>1537.80005</v>
      </c>
      <c r="I478" s="34" t="n">
        <v>1271.69721</v>
      </c>
      <c r="J478" s="34" t="n">
        <v>266.10284</v>
      </c>
      <c r="K478" s="34" t="n">
        <v>266.1</v>
      </c>
      <c r="L478" s="11" t="s">
        <v>719</v>
      </c>
      <c r="M478" s="11" t="s">
        <v>1250</v>
      </c>
      <c r="N478" s="11" t="s">
        <v>1251</v>
      </c>
      <c r="O478" s="11" t="s">
        <v>1252</v>
      </c>
      <c r="P478" s="11" t="s">
        <v>1557</v>
      </c>
      <c r="Q478" s="25" t="n">
        <f aca="false">SUMIFS('Commentary drivers'!$D:$D,'Commentary drivers'!$A:$A,A478)</f>
        <v>266.10284</v>
      </c>
      <c r="R478" s="25" t="n">
        <f aca="false">SUMIFS('Commentary drivers'!$E:$E,'Commentary drivers'!$A:$A,A478)</f>
        <v>266.1</v>
      </c>
      <c r="S478" s="49" t="str">
        <f aca="false">IF(AND(ROUND(Q478-J478,4)=0,ROUND(R478-K478,1)=0),"✓","✗")</f>
        <v>✓</v>
      </c>
    </row>
    <row r="479" customFormat="false" ht="15" hidden="false" customHeight="false" outlineLevel="0" collapsed="false">
      <c r="A479" s="11" t="s">
        <v>1885</v>
      </c>
      <c r="B479" s="11" t="s">
        <v>33</v>
      </c>
      <c r="C479" s="11" t="s">
        <v>34</v>
      </c>
      <c r="D479" s="11" t="s">
        <v>1248</v>
      </c>
      <c r="E479" s="11" t="s">
        <v>1314</v>
      </c>
      <c r="F479" s="11" t="s">
        <v>242</v>
      </c>
      <c r="G479" s="11" t="n">
        <v>1</v>
      </c>
      <c r="H479" s="34" t="n">
        <v>1273</v>
      </c>
      <c r="I479" s="34" t="n">
        <v>1058.5</v>
      </c>
      <c r="J479" s="34" t="n">
        <v>214.5</v>
      </c>
      <c r="K479" s="34" t="n">
        <v>214.5</v>
      </c>
      <c r="L479" s="11" t="s">
        <v>720</v>
      </c>
      <c r="M479" s="11" t="s">
        <v>1315</v>
      </c>
      <c r="N479" s="11" t="s">
        <v>1251</v>
      </c>
      <c r="O479" s="11" t="s">
        <v>1252</v>
      </c>
      <c r="P479" s="11" t="s">
        <v>1557</v>
      </c>
      <c r="Q479" s="25" t="n">
        <f aca="false">SUMIFS('Commentary drivers'!$D:$D,'Commentary drivers'!$A:$A,A479)</f>
        <v>214.5</v>
      </c>
      <c r="R479" s="25" t="n">
        <f aca="false">SUMIFS('Commentary drivers'!$E:$E,'Commentary drivers'!$A:$A,A479)</f>
        <v>214.5</v>
      </c>
      <c r="S479" s="49" t="str">
        <f aca="false">IF(AND(ROUND(Q479-J479,4)=0,ROUND(R479-K479,1)=0),"✓","✗")</f>
        <v>✓</v>
      </c>
    </row>
    <row r="480" customFormat="false" ht="15" hidden="false" customHeight="false" outlineLevel="0" collapsed="false">
      <c r="A480" s="11" t="s">
        <v>1886</v>
      </c>
      <c r="B480" s="11" t="s">
        <v>33</v>
      </c>
      <c r="C480" s="11" t="s">
        <v>34</v>
      </c>
      <c r="D480" s="11" t="s">
        <v>1248</v>
      </c>
      <c r="E480" s="11" t="s">
        <v>1317</v>
      </c>
      <c r="F480" s="11" t="s">
        <v>201</v>
      </c>
      <c r="G480" s="11" t="n">
        <v>1</v>
      </c>
      <c r="H480" s="34" t="n">
        <v>116.8</v>
      </c>
      <c r="I480" s="34" t="n">
        <v>92.86386</v>
      </c>
      <c r="J480" s="34" t="n">
        <v>23.93614</v>
      </c>
      <c r="K480" s="34" t="n">
        <v>23.9</v>
      </c>
      <c r="L480" s="11" t="s">
        <v>721</v>
      </c>
      <c r="M480" s="11" t="s">
        <v>1250</v>
      </c>
      <c r="N480" s="11" t="s">
        <v>1251</v>
      </c>
      <c r="O480" s="11" t="s">
        <v>1252</v>
      </c>
      <c r="P480" s="11" t="s">
        <v>1557</v>
      </c>
      <c r="Q480" s="25" t="n">
        <f aca="false">SUMIFS('Commentary drivers'!$D:$D,'Commentary drivers'!$A:$A,A480)</f>
        <v>23.93614</v>
      </c>
      <c r="R480" s="25" t="n">
        <f aca="false">SUMIFS('Commentary drivers'!$E:$E,'Commentary drivers'!$A:$A,A480)</f>
        <v>23.9</v>
      </c>
      <c r="S480" s="49" t="str">
        <f aca="false">IF(AND(ROUND(Q480-J480,4)=0,ROUND(R480-K480,1)=0),"✓","✗")</f>
        <v>✓</v>
      </c>
    </row>
    <row r="481" customFormat="false" ht="15" hidden="false" customHeight="false" outlineLevel="0" collapsed="false">
      <c r="A481" s="11" t="s">
        <v>1887</v>
      </c>
      <c r="B481" s="11" t="s">
        <v>33</v>
      </c>
      <c r="C481" s="11" t="s">
        <v>34</v>
      </c>
      <c r="D481" s="11" t="s">
        <v>1248</v>
      </c>
      <c r="E481" s="11" t="s">
        <v>1319</v>
      </c>
      <c r="F481" s="11" t="s">
        <v>204</v>
      </c>
      <c r="G481" s="11" t="n">
        <v>1</v>
      </c>
      <c r="H481" s="34" t="n">
        <v>75.00001</v>
      </c>
      <c r="I481" s="34" t="n">
        <v>61.33333</v>
      </c>
      <c r="J481" s="34" t="n">
        <v>13.66668</v>
      </c>
      <c r="K481" s="34" t="n">
        <v>13.7</v>
      </c>
      <c r="L481" s="11" t="s">
        <v>718</v>
      </c>
      <c r="M481" s="11" t="s">
        <v>1250</v>
      </c>
      <c r="N481" s="11" t="s">
        <v>1251</v>
      </c>
      <c r="O481" s="11" t="s">
        <v>1252</v>
      </c>
      <c r="P481" s="11" t="s">
        <v>1557</v>
      </c>
      <c r="Q481" s="25" t="n">
        <f aca="false">SUMIFS('Commentary drivers'!$D:$D,'Commentary drivers'!$A:$A,A481)</f>
        <v>13.66668</v>
      </c>
      <c r="R481" s="25" t="n">
        <f aca="false">SUMIFS('Commentary drivers'!$E:$E,'Commentary drivers'!$A:$A,A481)</f>
        <v>13.7</v>
      </c>
      <c r="S481" s="49" t="str">
        <f aca="false">IF(AND(ROUND(Q481-J481,4)=0,ROUND(R481-K481,1)=0),"✓","✗")</f>
        <v>✓</v>
      </c>
    </row>
    <row r="482" customFormat="false" ht="15" hidden="false" customHeight="false" outlineLevel="0" collapsed="false">
      <c r="A482" s="11" t="s">
        <v>1888</v>
      </c>
      <c r="B482" s="11" t="s">
        <v>33</v>
      </c>
      <c r="C482" s="11" t="s">
        <v>34</v>
      </c>
      <c r="D482" s="11" t="s">
        <v>1248</v>
      </c>
      <c r="E482" s="11" t="s">
        <v>1321</v>
      </c>
      <c r="F482" s="11" t="s">
        <v>207</v>
      </c>
      <c r="G482" s="11" t="n">
        <v>1</v>
      </c>
      <c r="H482" s="34" t="n">
        <v>73.00004</v>
      </c>
      <c r="I482" s="34" t="n">
        <v>59.00002</v>
      </c>
      <c r="J482" s="34" t="n">
        <v>14.00002</v>
      </c>
      <c r="K482" s="34" t="n">
        <v>14</v>
      </c>
      <c r="L482" s="11" t="s">
        <v>722</v>
      </c>
      <c r="M482" s="11" t="s">
        <v>1250</v>
      </c>
      <c r="N482" s="11" t="s">
        <v>1251</v>
      </c>
      <c r="O482" s="11" t="s">
        <v>1252</v>
      </c>
      <c r="P482" s="11" t="s">
        <v>1557</v>
      </c>
      <c r="Q482" s="25" t="n">
        <f aca="false">SUMIFS('Commentary drivers'!$D:$D,'Commentary drivers'!$A:$A,A482)</f>
        <v>14.00002</v>
      </c>
      <c r="R482" s="25" t="n">
        <f aca="false">SUMIFS('Commentary drivers'!$E:$E,'Commentary drivers'!$A:$A,A482)</f>
        <v>14</v>
      </c>
      <c r="S482" s="49" t="str">
        <f aca="false">IF(AND(ROUND(Q482-J482,4)=0,ROUND(R482-K482,1)=0),"✓","✗")</f>
        <v>✓</v>
      </c>
    </row>
    <row r="483" customFormat="false" ht="15" hidden="false" customHeight="false" outlineLevel="0" collapsed="false">
      <c r="A483" s="11" t="s">
        <v>1889</v>
      </c>
      <c r="B483" s="11" t="s">
        <v>33</v>
      </c>
      <c r="C483" s="11" t="s">
        <v>34</v>
      </c>
      <c r="D483" s="11" t="s">
        <v>1248</v>
      </c>
      <c r="E483" s="11" t="s">
        <v>1323</v>
      </c>
      <c r="F483" s="11" t="s">
        <v>95</v>
      </c>
      <c r="G483" s="11" t="n">
        <v>0</v>
      </c>
      <c r="H483" s="34" t="n">
        <v>8096.23201</v>
      </c>
      <c r="I483" s="34" t="n">
        <v>6191.29271</v>
      </c>
      <c r="J483" s="34" t="n">
        <v>1904.9393</v>
      </c>
      <c r="K483" s="34" t="n">
        <v>1904.9</v>
      </c>
      <c r="L483" s="11" t="s">
        <v>723</v>
      </c>
      <c r="M483" s="11" t="s">
        <v>1250</v>
      </c>
      <c r="N483" s="11" t="s">
        <v>1251</v>
      </c>
      <c r="O483" s="11" t="s">
        <v>1252</v>
      </c>
      <c r="P483" s="11" t="s">
        <v>1557</v>
      </c>
      <c r="Q483" s="25" t="n">
        <f aca="false">SUMIFS('Commentary drivers'!$D:$D,'Commentary drivers'!$A:$A,A483)</f>
        <v>1904.9393</v>
      </c>
      <c r="R483" s="25" t="n">
        <f aca="false">SUMIFS('Commentary drivers'!$E:$E,'Commentary drivers'!$A:$A,A483)</f>
        <v>1904.9</v>
      </c>
      <c r="S483" s="49" t="str">
        <f aca="false">IF(AND(ROUND(Q483-J483,4)=0,ROUND(R483-K483,1)=0),"✓","✗")</f>
        <v>✓</v>
      </c>
    </row>
    <row r="484" customFormat="false" ht="15" hidden="false" customHeight="false" outlineLevel="0" collapsed="false">
      <c r="A484" s="11" t="s">
        <v>1890</v>
      </c>
      <c r="B484" s="11" t="s">
        <v>33</v>
      </c>
      <c r="C484" s="11" t="s">
        <v>34</v>
      </c>
      <c r="D484" s="11" t="s">
        <v>1248</v>
      </c>
      <c r="E484" s="11" t="s">
        <v>1325</v>
      </c>
      <c r="F484" s="11" t="s">
        <v>96</v>
      </c>
      <c r="G484" s="11" t="n">
        <v>0</v>
      </c>
      <c r="H484" s="34" t="n">
        <v>2108.925</v>
      </c>
      <c r="I484" s="34" t="n">
        <v>1977.693</v>
      </c>
      <c r="J484" s="34" t="n">
        <v>131.232</v>
      </c>
      <c r="K484" s="34" t="n">
        <v>131.2</v>
      </c>
      <c r="L484" s="11" t="s">
        <v>724</v>
      </c>
      <c r="M484" s="11" t="s">
        <v>1250</v>
      </c>
      <c r="N484" s="11" t="s">
        <v>1251</v>
      </c>
      <c r="O484" s="11" t="s">
        <v>1252</v>
      </c>
      <c r="P484" s="11" t="s">
        <v>1557</v>
      </c>
      <c r="Q484" s="25" t="n">
        <f aca="false">SUMIFS('Commentary drivers'!$D:$D,'Commentary drivers'!$A:$A,A484)</f>
        <v>131.232</v>
      </c>
      <c r="R484" s="25" t="n">
        <f aca="false">SUMIFS('Commentary drivers'!$E:$E,'Commentary drivers'!$A:$A,A484)</f>
        <v>131.2</v>
      </c>
      <c r="S484" s="49" t="str">
        <f aca="false">IF(AND(ROUND(Q484-J484,4)=0,ROUND(R484-K484,1)=0),"✓","✗")</f>
        <v>✓</v>
      </c>
    </row>
    <row r="485" customFormat="false" ht="15" hidden="false" customHeight="false" outlineLevel="0" collapsed="false">
      <c r="A485" s="11" t="s">
        <v>1891</v>
      </c>
      <c r="B485" s="11" t="s">
        <v>33</v>
      </c>
      <c r="C485" s="11" t="s">
        <v>34</v>
      </c>
      <c r="D485" s="11" t="s">
        <v>1248</v>
      </c>
      <c r="E485" s="11" t="s">
        <v>1327</v>
      </c>
      <c r="F485" s="11" t="s">
        <v>160</v>
      </c>
      <c r="G485" s="11" t="n">
        <v>0</v>
      </c>
      <c r="H485" s="34" t="n">
        <v>89.5</v>
      </c>
      <c r="I485" s="34" t="n">
        <v>108</v>
      </c>
      <c r="J485" s="34" t="n">
        <v>-18.5</v>
      </c>
      <c r="K485" s="34" t="n">
        <v>-18.5</v>
      </c>
      <c r="L485" s="11" t="s">
        <v>725</v>
      </c>
      <c r="M485" s="11" t="s">
        <v>1250</v>
      </c>
      <c r="N485" s="11" t="s">
        <v>1251</v>
      </c>
      <c r="O485" s="11" t="s">
        <v>1252</v>
      </c>
      <c r="P485" s="11" t="s">
        <v>1557</v>
      </c>
      <c r="Q485" s="25" t="n">
        <f aca="false">SUMIFS('Commentary drivers'!$D:$D,'Commentary drivers'!$A:$A,A485)</f>
        <v>-18.5</v>
      </c>
      <c r="R485" s="25" t="n">
        <f aca="false">SUMIFS('Commentary drivers'!$E:$E,'Commentary drivers'!$A:$A,A485)</f>
        <v>-18.5</v>
      </c>
      <c r="S485" s="49" t="str">
        <f aca="false">IF(AND(ROUND(Q485-J485,4)=0,ROUND(R485-K485,1)=0),"✓","✗")</f>
        <v>✓</v>
      </c>
    </row>
    <row r="486" customFormat="false" ht="15" hidden="false" customHeight="false" outlineLevel="0" collapsed="false">
      <c r="A486" s="11" t="s">
        <v>1892</v>
      </c>
      <c r="B486" s="11" t="s">
        <v>33</v>
      </c>
      <c r="C486" s="11" t="s">
        <v>34</v>
      </c>
      <c r="D486" s="11" t="s">
        <v>1248</v>
      </c>
      <c r="E486" s="11" t="s">
        <v>1329</v>
      </c>
      <c r="F486" s="11" t="s">
        <v>161</v>
      </c>
      <c r="G486" s="11" t="n">
        <v>0</v>
      </c>
      <c r="H486" s="34" t="n">
        <v>242.5</v>
      </c>
      <c r="I486" s="34" t="n">
        <v>260</v>
      </c>
      <c r="J486" s="34" t="n">
        <v>-17.5</v>
      </c>
      <c r="K486" s="34" t="n">
        <v>-17.5</v>
      </c>
      <c r="L486" s="11" t="s">
        <v>726</v>
      </c>
      <c r="M486" s="11" t="s">
        <v>1250</v>
      </c>
      <c r="N486" s="11" t="s">
        <v>1251</v>
      </c>
      <c r="O486" s="11" t="s">
        <v>1252</v>
      </c>
      <c r="P486" s="11" t="s">
        <v>1557</v>
      </c>
      <c r="Q486" s="25" t="n">
        <f aca="false">SUMIFS('Commentary drivers'!$D:$D,'Commentary drivers'!$A:$A,A486)</f>
        <v>-17.5</v>
      </c>
      <c r="R486" s="25" t="n">
        <f aca="false">SUMIFS('Commentary drivers'!$E:$E,'Commentary drivers'!$A:$A,A486)</f>
        <v>-17.5</v>
      </c>
      <c r="S486" s="49" t="str">
        <f aca="false">IF(AND(ROUND(Q486-J486,4)=0,ROUND(R486-K486,1)=0),"✓","✗")</f>
        <v>✓</v>
      </c>
    </row>
    <row r="487" customFormat="false" ht="15" hidden="false" customHeight="false" outlineLevel="0" collapsed="false">
      <c r="A487" s="11" t="s">
        <v>1893</v>
      </c>
      <c r="B487" s="11" t="s">
        <v>33</v>
      </c>
      <c r="C487" s="11" t="s">
        <v>34</v>
      </c>
      <c r="D487" s="11" t="s">
        <v>1248</v>
      </c>
      <c r="E487" s="11" t="s">
        <v>1331</v>
      </c>
      <c r="F487" s="11" t="s">
        <v>162</v>
      </c>
      <c r="G487" s="11" t="n">
        <v>0</v>
      </c>
      <c r="H487" s="34" t="n">
        <v>1955.925</v>
      </c>
      <c r="I487" s="34" t="n">
        <v>1825.693</v>
      </c>
      <c r="J487" s="34" t="n">
        <v>130.232</v>
      </c>
      <c r="K487" s="34" t="n">
        <v>130.2</v>
      </c>
      <c r="L487" s="11" t="s">
        <v>727</v>
      </c>
      <c r="M487" s="11" t="s">
        <v>1250</v>
      </c>
      <c r="N487" s="11" t="s">
        <v>1251</v>
      </c>
      <c r="O487" s="11" t="s">
        <v>1252</v>
      </c>
      <c r="P487" s="11" t="s">
        <v>1557</v>
      </c>
      <c r="Q487" s="25" t="n">
        <f aca="false">SUMIFS('Commentary drivers'!$D:$D,'Commentary drivers'!$A:$A,A487)</f>
        <v>130.232</v>
      </c>
      <c r="R487" s="25" t="n">
        <f aca="false">SUMIFS('Commentary drivers'!$E:$E,'Commentary drivers'!$A:$A,A487)</f>
        <v>130.2</v>
      </c>
      <c r="S487" s="49" t="str">
        <f aca="false">IF(AND(ROUND(Q487-J487,4)=0,ROUND(R487-K487,1)=0),"✓","✗")</f>
        <v>✓</v>
      </c>
    </row>
    <row r="488" customFormat="false" ht="15" hidden="false" customHeight="false" outlineLevel="0" collapsed="false">
      <c r="A488" s="11" t="s">
        <v>1894</v>
      </c>
      <c r="B488" s="11" t="s">
        <v>33</v>
      </c>
      <c r="C488" s="11" t="s">
        <v>34</v>
      </c>
      <c r="D488" s="11" t="s">
        <v>1248</v>
      </c>
      <c r="E488" s="11" t="s">
        <v>1333</v>
      </c>
      <c r="F488" s="11" t="s">
        <v>126</v>
      </c>
      <c r="G488" s="11" t="n">
        <v>0</v>
      </c>
      <c r="H488" s="34" t="n">
        <v>260.5</v>
      </c>
      <c r="I488" s="34" t="n">
        <v>180</v>
      </c>
      <c r="J488" s="34" t="n">
        <v>80.5</v>
      </c>
      <c r="K488" s="34" t="n">
        <v>80.5</v>
      </c>
      <c r="L488" s="11" t="s">
        <v>728</v>
      </c>
      <c r="M488" s="11" t="s">
        <v>1250</v>
      </c>
      <c r="N488" s="11" t="s">
        <v>1251</v>
      </c>
      <c r="O488" s="11" t="s">
        <v>1252</v>
      </c>
      <c r="P488" s="11" t="s">
        <v>1557</v>
      </c>
      <c r="Q488" s="25" t="n">
        <f aca="false">SUMIFS('Commentary drivers'!$D:$D,'Commentary drivers'!$A:$A,A488)</f>
        <v>80.5</v>
      </c>
      <c r="R488" s="25" t="n">
        <f aca="false">SUMIFS('Commentary drivers'!$E:$E,'Commentary drivers'!$A:$A,A488)</f>
        <v>80.5</v>
      </c>
      <c r="S488" s="49" t="str">
        <f aca="false">IF(AND(ROUND(Q488-J488,4)=0,ROUND(R488-K488,1)=0),"✓","✗")</f>
        <v>✓</v>
      </c>
    </row>
    <row r="489" customFormat="false" ht="15" hidden="false" customHeight="false" outlineLevel="0" collapsed="false">
      <c r="A489" s="11" t="s">
        <v>1895</v>
      </c>
      <c r="B489" s="11" t="s">
        <v>33</v>
      </c>
      <c r="C489" s="11" t="s">
        <v>34</v>
      </c>
      <c r="D489" s="11" t="s">
        <v>1248</v>
      </c>
      <c r="E489" s="11" t="s">
        <v>1335</v>
      </c>
      <c r="F489" s="11" t="s">
        <v>97</v>
      </c>
      <c r="G489" s="11" t="n">
        <v>0</v>
      </c>
      <c r="H489" s="34" t="n">
        <v>1695.425</v>
      </c>
      <c r="I489" s="34" t="n">
        <v>1645.693</v>
      </c>
      <c r="J489" s="34" t="n">
        <v>49.732</v>
      </c>
      <c r="K489" s="34" t="n">
        <v>49.7</v>
      </c>
      <c r="L489" s="11" t="s">
        <v>729</v>
      </c>
      <c r="M489" s="11" t="s">
        <v>1250</v>
      </c>
      <c r="N489" s="11" t="s">
        <v>1251</v>
      </c>
      <c r="O489" s="11" t="s">
        <v>1252</v>
      </c>
      <c r="P489" s="11" t="s">
        <v>1557</v>
      </c>
      <c r="Q489" s="25" t="n">
        <f aca="false">SUMIFS('Commentary drivers'!$D:$D,'Commentary drivers'!$A:$A,A489)</f>
        <v>49.732</v>
      </c>
      <c r="R489" s="25" t="n">
        <f aca="false">SUMIFS('Commentary drivers'!$E:$E,'Commentary drivers'!$A:$A,A489)</f>
        <v>49.6999999999998</v>
      </c>
      <c r="S489" s="49" t="str">
        <f aca="false">IF(AND(ROUND(Q489-J489,4)=0,ROUND(R489-K489,1)=0),"✓","✗")</f>
        <v>✓</v>
      </c>
    </row>
    <row r="490" customFormat="false" ht="15" hidden="false" customHeight="false" outlineLevel="0" collapsed="false">
      <c r="A490" s="11" t="s">
        <v>1896</v>
      </c>
      <c r="B490" s="11" t="s">
        <v>33</v>
      </c>
      <c r="C490" s="11" t="s">
        <v>34</v>
      </c>
      <c r="D490" s="11" t="s">
        <v>1337</v>
      </c>
      <c r="E490" s="11" t="s">
        <v>1338</v>
      </c>
      <c r="F490" s="11" t="s">
        <v>153</v>
      </c>
      <c r="G490" s="11" t="n">
        <v>0</v>
      </c>
      <c r="H490" s="34" t="n">
        <v>13819.355</v>
      </c>
      <c r="I490" s="34" t="n">
        <v>11123.688</v>
      </c>
      <c r="J490" s="34" t="n">
        <v>2695.667</v>
      </c>
      <c r="K490" s="34" t="n">
        <v>2695.7</v>
      </c>
      <c r="L490" s="11" t="s">
        <v>692</v>
      </c>
      <c r="M490" s="11" t="s">
        <v>1250</v>
      </c>
      <c r="N490" s="11" t="s">
        <v>1251</v>
      </c>
      <c r="O490" s="11" t="s">
        <v>1252</v>
      </c>
      <c r="P490" s="11" t="s">
        <v>1557</v>
      </c>
      <c r="Q490" s="25" t="n">
        <f aca="false">SUMIFS('Commentary drivers'!$D:$D,'Commentary drivers'!$A:$A,A490)</f>
        <v>2695.667</v>
      </c>
      <c r="R490" s="25" t="n">
        <f aca="false">SUMIFS('Commentary drivers'!$E:$E,'Commentary drivers'!$A:$A,A490)</f>
        <v>2695.7</v>
      </c>
      <c r="S490" s="49" t="str">
        <f aca="false">IF(AND(ROUND(Q490-J490,4)=0,ROUND(R490-K490,1)=0),"✓","✗")</f>
        <v>✓</v>
      </c>
    </row>
    <row r="491" customFormat="false" ht="15" hidden="false" customHeight="false" outlineLevel="0" collapsed="false">
      <c r="A491" s="11" t="s">
        <v>1897</v>
      </c>
      <c r="B491" s="11" t="s">
        <v>33</v>
      </c>
      <c r="C491" s="11" t="s">
        <v>34</v>
      </c>
      <c r="D491" s="11" t="s">
        <v>1337</v>
      </c>
      <c r="E491" s="11" t="s">
        <v>1340</v>
      </c>
      <c r="F491" s="11" t="s">
        <v>154</v>
      </c>
      <c r="G491" s="11" t="n">
        <v>0</v>
      </c>
      <c r="H491" s="34" t="n">
        <v>1330</v>
      </c>
      <c r="I491" s="34" t="n">
        <v>890</v>
      </c>
      <c r="J491" s="34" t="n">
        <v>440</v>
      </c>
      <c r="K491" s="34" t="n">
        <v>440</v>
      </c>
      <c r="L491" s="11" t="s">
        <v>693</v>
      </c>
      <c r="M491" s="11" t="s">
        <v>1250</v>
      </c>
      <c r="N491" s="11" t="s">
        <v>1251</v>
      </c>
      <c r="O491" s="11" t="s">
        <v>1252</v>
      </c>
      <c r="P491" s="11" t="s">
        <v>1557</v>
      </c>
      <c r="Q491" s="25" t="n">
        <f aca="false">SUMIFS('Commentary drivers'!$D:$D,'Commentary drivers'!$A:$A,A491)</f>
        <v>440</v>
      </c>
      <c r="R491" s="25" t="n">
        <f aca="false">SUMIFS('Commentary drivers'!$E:$E,'Commentary drivers'!$A:$A,A491)</f>
        <v>440</v>
      </c>
      <c r="S491" s="49" t="str">
        <f aca="false">IF(AND(ROUND(Q491-J491,4)=0,ROUND(R491-K491,1)=0),"✓","✗")</f>
        <v>✓</v>
      </c>
    </row>
    <row r="492" customFormat="false" ht="15" hidden="false" customHeight="false" outlineLevel="0" collapsed="false">
      <c r="A492" s="11" t="s">
        <v>1898</v>
      </c>
      <c r="B492" s="11" t="s">
        <v>33</v>
      </c>
      <c r="C492" s="11" t="s">
        <v>34</v>
      </c>
      <c r="D492" s="11" t="s">
        <v>1337</v>
      </c>
      <c r="E492" s="11" t="s">
        <v>1342</v>
      </c>
      <c r="F492" s="11" t="s">
        <v>91</v>
      </c>
      <c r="G492" s="11" t="n">
        <v>0</v>
      </c>
      <c r="H492" s="34" t="n">
        <v>15149.355</v>
      </c>
      <c r="I492" s="34" t="n">
        <v>12013.688</v>
      </c>
      <c r="J492" s="34" t="n">
        <v>3135.667</v>
      </c>
      <c r="K492" s="34" t="n">
        <v>3135.7</v>
      </c>
      <c r="L492" s="11" t="s">
        <v>694</v>
      </c>
      <c r="M492" s="11" t="s">
        <v>1250</v>
      </c>
      <c r="N492" s="11" t="s">
        <v>1251</v>
      </c>
      <c r="O492" s="11" t="s">
        <v>1252</v>
      </c>
      <c r="P492" s="11" t="s">
        <v>1557</v>
      </c>
      <c r="Q492" s="25" t="n">
        <f aca="false">SUMIFS('Commentary drivers'!$D:$D,'Commentary drivers'!$A:$A,A492)</f>
        <v>3135.667</v>
      </c>
      <c r="R492" s="25" t="n">
        <f aca="false">SUMIFS('Commentary drivers'!$E:$E,'Commentary drivers'!$A:$A,A492)</f>
        <v>3135.7</v>
      </c>
      <c r="S492" s="49" t="str">
        <f aca="false">IF(AND(ROUND(Q492-J492,4)=0,ROUND(R492-K492,1)=0),"✓","✗")</f>
        <v>✓</v>
      </c>
    </row>
    <row r="493" customFormat="false" ht="15" hidden="false" customHeight="false" outlineLevel="0" collapsed="false">
      <c r="A493" s="11" t="s">
        <v>1899</v>
      </c>
      <c r="B493" s="11" t="s">
        <v>33</v>
      </c>
      <c r="C493" s="11" t="s">
        <v>34</v>
      </c>
      <c r="D493" s="11" t="s">
        <v>1337</v>
      </c>
      <c r="E493" s="11" t="s">
        <v>1344</v>
      </c>
      <c r="F493" s="11" t="s">
        <v>164</v>
      </c>
      <c r="G493" s="11" t="n">
        <v>0</v>
      </c>
      <c r="H493" s="34" t="n">
        <v>4013.82999</v>
      </c>
      <c r="I493" s="34" t="n">
        <v>3119.76631</v>
      </c>
      <c r="J493" s="34" t="n">
        <v>894.06368</v>
      </c>
      <c r="K493" s="34" t="n">
        <v>894.1</v>
      </c>
      <c r="L493" s="11" t="s">
        <v>730</v>
      </c>
      <c r="M493" s="11" t="s">
        <v>1250</v>
      </c>
      <c r="N493" s="11" t="s">
        <v>1251</v>
      </c>
      <c r="O493" s="11" t="s">
        <v>1252</v>
      </c>
      <c r="P493" s="11" t="s">
        <v>1557</v>
      </c>
      <c r="Q493" s="25" t="n">
        <f aca="false">SUMIFS('Commentary drivers'!$D:$D,'Commentary drivers'!$A:$A,A493)</f>
        <v>894.06368</v>
      </c>
      <c r="R493" s="25" t="n">
        <f aca="false">SUMIFS('Commentary drivers'!$E:$E,'Commentary drivers'!$A:$A,A493)</f>
        <v>894.1</v>
      </c>
      <c r="S493" s="49" t="str">
        <f aca="false">IF(AND(ROUND(Q493-J493,4)=0,ROUND(R493-K493,1)=0),"✓","✗")</f>
        <v>✓</v>
      </c>
    </row>
    <row r="494" customFormat="false" ht="15" hidden="false" customHeight="false" outlineLevel="0" collapsed="false">
      <c r="A494" s="11" t="s">
        <v>1900</v>
      </c>
      <c r="B494" s="11" t="s">
        <v>33</v>
      </c>
      <c r="C494" s="11" t="s">
        <v>34</v>
      </c>
      <c r="D494" s="11" t="s">
        <v>1337</v>
      </c>
      <c r="E494" s="11" t="s">
        <v>1346</v>
      </c>
      <c r="F494" s="11" t="s">
        <v>257</v>
      </c>
      <c r="G494" s="11" t="n">
        <v>1</v>
      </c>
      <c r="H494" s="34" t="n">
        <v>1005.5</v>
      </c>
      <c r="I494" s="34" t="n">
        <v>756</v>
      </c>
      <c r="J494" s="34" t="n">
        <v>249.5</v>
      </c>
      <c r="K494" s="34" t="n">
        <v>249.5</v>
      </c>
      <c r="L494" s="11" t="s">
        <v>731</v>
      </c>
      <c r="M494" s="11" t="s">
        <v>1250</v>
      </c>
      <c r="N494" s="11" t="s">
        <v>1251</v>
      </c>
      <c r="O494" s="11" t="s">
        <v>1252</v>
      </c>
      <c r="P494" s="11" t="s">
        <v>1557</v>
      </c>
      <c r="Q494" s="25" t="n">
        <f aca="false">SUMIFS('Commentary drivers'!$D:$D,'Commentary drivers'!$A:$A,A494)</f>
        <v>249.5</v>
      </c>
      <c r="R494" s="25" t="n">
        <f aca="false">SUMIFS('Commentary drivers'!$E:$E,'Commentary drivers'!$A:$A,A494)</f>
        <v>249.5</v>
      </c>
      <c r="S494" s="49" t="str">
        <f aca="false">IF(AND(ROUND(Q494-J494,4)=0,ROUND(R494-K494,1)=0),"✓","✗")</f>
        <v>✓</v>
      </c>
    </row>
    <row r="495" customFormat="false" ht="15" hidden="false" customHeight="false" outlineLevel="0" collapsed="false">
      <c r="A495" s="11" t="s">
        <v>1901</v>
      </c>
      <c r="B495" s="11" t="s">
        <v>33</v>
      </c>
      <c r="C495" s="11" t="s">
        <v>34</v>
      </c>
      <c r="D495" s="11" t="s">
        <v>1337</v>
      </c>
      <c r="E495" s="11" t="s">
        <v>1348</v>
      </c>
      <c r="F495" s="11" t="s">
        <v>259</v>
      </c>
      <c r="G495" s="11" t="n">
        <v>1</v>
      </c>
      <c r="H495" s="34" t="n">
        <v>737.357</v>
      </c>
      <c r="I495" s="34" t="n">
        <v>568.78225</v>
      </c>
      <c r="J495" s="34" t="n">
        <v>168.57475</v>
      </c>
      <c r="K495" s="34" t="n">
        <v>168.6</v>
      </c>
      <c r="L495" s="11" t="s">
        <v>732</v>
      </c>
      <c r="M495" s="11" t="s">
        <v>1250</v>
      </c>
      <c r="N495" s="11" t="s">
        <v>1251</v>
      </c>
      <c r="O495" s="11" t="s">
        <v>1252</v>
      </c>
      <c r="P495" s="11" t="s">
        <v>1557</v>
      </c>
      <c r="Q495" s="25" t="n">
        <f aca="false">SUMIFS('Commentary drivers'!$D:$D,'Commentary drivers'!$A:$A,A495)</f>
        <v>168.57475</v>
      </c>
      <c r="R495" s="25" t="n">
        <f aca="false">SUMIFS('Commentary drivers'!$E:$E,'Commentary drivers'!$A:$A,A495)</f>
        <v>168.6</v>
      </c>
      <c r="S495" s="49" t="str">
        <f aca="false">IF(AND(ROUND(Q495-J495,4)=0,ROUND(R495-K495,1)=0),"✓","✗")</f>
        <v>✓</v>
      </c>
    </row>
    <row r="496" customFormat="false" ht="15" hidden="false" customHeight="false" outlineLevel="0" collapsed="false">
      <c r="A496" s="11" t="s">
        <v>1902</v>
      </c>
      <c r="B496" s="11" t="s">
        <v>33</v>
      </c>
      <c r="C496" s="11" t="s">
        <v>34</v>
      </c>
      <c r="D496" s="11" t="s">
        <v>1337</v>
      </c>
      <c r="E496" s="11" t="s">
        <v>1350</v>
      </c>
      <c r="F496" s="11" t="s">
        <v>261</v>
      </c>
      <c r="G496" s="11" t="n">
        <v>1</v>
      </c>
      <c r="H496" s="34" t="n">
        <v>1149.201</v>
      </c>
      <c r="I496" s="34" t="n">
        <v>922.962</v>
      </c>
      <c r="J496" s="34" t="n">
        <v>226.239</v>
      </c>
      <c r="K496" s="34" t="n">
        <v>226.2</v>
      </c>
      <c r="L496" s="11" t="s">
        <v>733</v>
      </c>
      <c r="M496" s="11" t="s">
        <v>1250</v>
      </c>
      <c r="N496" s="11" t="s">
        <v>1251</v>
      </c>
      <c r="O496" s="11" t="s">
        <v>1252</v>
      </c>
      <c r="P496" s="11" t="s">
        <v>1557</v>
      </c>
      <c r="Q496" s="25" t="n">
        <f aca="false">SUMIFS('Commentary drivers'!$D:$D,'Commentary drivers'!$A:$A,A496)</f>
        <v>226.239</v>
      </c>
      <c r="R496" s="25" t="n">
        <f aca="false">SUMIFS('Commentary drivers'!$E:$E,'Commentary drivers'!$A:$A,A496)</f>
        <v>226.2</v>
      </c>
      <c r="S496" s="49" t="str">
        <f aca="false">IF(AND(ROUND(Q496-J496,4)=0,ROUND(R496-K496,1)=0),"✓","✗")</f>
        <v>✓</v>
      </c>
    </row>
    <row r="497" customFormat="false" ht="15" hidden="false" customHeight="false" outlineLevel="0" collapsed="false">
      <c r="A497" s="11" t="s">
        <v>1903</v>
      </c>
      <c r="B497" s="11" t="s">
        <v>33</v>
      </c>
      <c r="C497" s="11" t="s">
        <v>34</v>
      </c>
      <c r="D497" s="11" t="s">
        <v>1337</v>
      </c>
      <c r="E497" s="11" t="s">
        <v>1352</v>
      </c>
      <c r="F497" s="11" t="s">
        <v>263</v>
      </c>
      <c r="G497" s="11" t="n">
        <v>1</v>
      </c>
      <c r="H497" s="34" t="n">
        <v>693.392</v>
      </c>
      <c r="I497" s="34" t="n">
        <v>541.9547</v>
      </c>
      <c r="J497" s="34" t="n">
        <v>151.4373</v>
      </c>
      <c r="K497" s="34" t="n">
        <v>151.4</v>
      </c>
      <c r="L497" s="11" t="s">
        <v>734</v>
      </c>
      <c r="M497" s="11" t="s">
        <v>1250</v>
      </c>
      <c r="N497" s="11" t="s">
        <v>1251</v>
      </c>
      <c r="O497" s="11" t="s">
        <v>1252</v>
      </c>
      <c r="P497" s="11" t="s">
        <v>1557</v>
      </c>
      <c r="Q497" s="25" t="n">
        <f aca="false">SUMIFS('Commentary drivers'!$D:$D,'Commentary drivers'!$A:$A,A497)</f>
        <v>151.4373</v>
      </c>
      <c r="R497" s="25" t="n">
        <f aca="false">SUMIFS('Commentary drivers'!$E:$E,'Commentary drivers'!$A:$A,A497)</f>
        <v>151.4</v>
      </c>
      <c r="S497" s="49" t="str">
        <f aca="false">IF(AND(ROUND(Q497-J497,4)=0,ROUND(R497-K497,1)=0),"✓","✗")</f>
        <v>✓</v>
      </c>
    </row>
    <row r="498" customFormat="false" ht="15" hidden="false" customHeight="false" outlineLevel="0" collapsed="false">
      <c r="A498" s="11" t="s">
        <v>1904</v>
      </c>
      <c r="B498" s="11" t="s">
        <v>33</v>
      </c>
      <c r="C498" s="11" t="s">
        <v>34</v>
      </c>
      <c r="D498" s="11" t="s">
        <v>1337</v>
      </c>
      <c r="E498" s="11" t="s">
        <v>1354</v>
      </c>
      <c r="F498" s="11" t="s">
        <v>265</v>
      </c>
      <c r="G498" s="11" t="n">
        <v>1</v>
      </c>
      <c r="H498" s="34" t="n">
        <v>132.38</v>
      </c>
      <c r="I498" s="34" t="n">
        <v>89.40069</v>
      </c>
      <c r="J498" s="34" t="n">
        <v>42.97931</v>
      </c>
      <c r="K498" s="34" t="n">
        <v>43</v>
      </c>
      <c r="L498" s="11" t="s">
        <v>735</v>
      </c>
      <c r="M498" s="11" t="s">
        <v>1250</v>
      </c>
      <c r="N498" s="11" t="s">
        <v>1251</v>
      </c>
      <c r="O498" s="11" t="s">
        <v>1252</v>
      </c>
      <c r="P498" s="11" t="s">
        <v>1557</v>
      </c>
      <c r="Q498" s="25" t="n">
        <f aca="false">SUMIFS('Commentary drivers'!$D:$D,'Commentary drivers'!$A:$A,A498)</f>
        <v>42.97931</v>
      </c>
      <c r="R498" s="25" t="n">
        <f aca="false">SUMIFS('Commentary drivers'!$E:$E,'Commentary drivers'!$A:$A,A498)</f>
        <v>43</v>
      </c>
      <c r="S498" s="49" t="str">
        <f aca="false">IF(AND(ROUND(Q498-J498,4)=0,ROUND(R498-K498,1)=0),"✓","✗")</f>
        <v>✓</v>
      </c>
    </row>
    <row r="499" customFormat="false" ht="15" hidden="false" customHeight="false" outlineLevel="0" collapsed="false">
      <c r="A499" s="11" t="s">
        <v>1905</v>
      </c>
      <c r="B499" s="11" t="s">
        <v>33</v>
      </c>
      <c r="C499" s="11" t="s">
        <v>34</v>
      </c>
      <c r="D499" s="11" t="s">
        <v>1337</v>
      </c>
      <c r="E499" s="11" t="s">
        <v>1356</v>
      </c>
      <c r="F499" s="11" t="s">
        <v>267</v>
      </c>
      <c r="G499" s="11" t="n">
        <v>1</v>
      </c>
      <c r="H499" s="34" t="n">
        <v>149.99999</v>
      </c>
      <c r="I499" s="34" t="n">
        <v>122.66667</v>
      </c>
      <c r="J499" s="34" t="n">
        <v>27.33332</v>
      </c>
      <c r="K499" s="34" t="n">
        <v>27.3</v>
      </c>
      <c r="L499" s="11" t="s">
        <v>736</v>
      </c>
      <c r="M499" s="11" t="s">
        <v>1250</v>
      </c>
      <c r="N499" s="11" t="s">
        <v>1251</v>
      </c>
      <c r="O499" s="11" t="s">
        <v>1252</v>
      </c>
      <c r="P499" s="11" t="s">
        <v>1557</v>
      </c>
      <c r="Q499" s="25" t="n">
        <f aca="false">SUMIFS('Commentary drivers'!$D:$D,'Commentary drivers'!$A:$A,A499)</f>
        <v>27.33332</v>
      </c>
      <c r="R499" s="25" t="n">
        <f aca="false">SUMIFS('Commentary drivers'!$E:$E,'Commentary drivers'!$A:$A,A499)</f>
        <v>27.3</v>
      </c>
      <c r="S499" s="49" t="str">
        <f aca="false">IF(AND(ROUND(Q499-J499,4)=0,ROUND(R499-K499,1)=0),"✓","✗")</f>
        <v>✓</v>
      </c>
    </row>
    <row r="500" customFormat="false" ht="15" hidden="false" customHeight="false" outlineLevel="0" collapsed="false">
      <c r="A500" s="11" t="s">
        <v>1906</v>
      </c>
      <c r="B500" s="11" t="s">
        <v>33</v>
      </c>
      <c r="C500" s="11" t="s">
        <v>34</v>
      </c>
      <c r="D500" s="11" t="s">
        <v>1337</v>
      </c>
      <c r="E500" s="11" t="s">
        <v>1358</v>
      </c>
      <c r="F500" s="11" t="s">
        <v>269</v>
      </c>
      <c r="G500" s="11" t="n">
        <v>1</v>
      </c>
      <c r="H500" s="34" t="n">
        <v>146</v>
      </c>
      <c r="I500" s="34" t="n">
        <v>118</v>
      </c>
      <c r="J500" s="34" t="n">
        <v>28</v>
      </c>
      <c r="K500" s="34" t="n">
        <v>28</v>
      </c>
      <c r="L500" s="11" t="s">
        <v>737</v>
      </c>
      <c r="M500" s="11" t="s">
        <v>1250</v>
      </c>
      <c r="N500" s="11" t="s">
        <v>1251</v>
      </c>
      <c r="O500" s="11" t="s">
        <v>1252</v>
      </c>
      <c r="P500" s="11" t="s">
        <v>1557</v>
      </c>
      <c r="Q500" s="25" t="n">
        <f aca="false">SUMIFS('Commentary drivers'!$D:$D,'Commentary drivers'!$A:$A,A500)</f>
        <v>28</v>
      </c>
      <c r="R500" s="25" t="n">
        <f aca="false">SUMIFS('Commentary drivers'!$E:$E,'Commentary drivers'!$A:$A,A500)</f>
        <v>28</v>
      </c>
      <c r="S500" s="49" t="str">
        <f aca="false">IF(AND(ROUND(Q500-J500,4)=0,ROUND(R500-K500,1)=0),"✓","✗")</f>
        <v>✓</v>
      </c>
    </row>
    <row r="501" customFormat="false" ht="15" hidden="false" customHeight="false" outlineLevel="0" collapsed="false">
      <c r="A501" s="11" t="s">
        <v>1907</v>
      </c>
      <c r="B501" s="11" t="s">
        <v>33</v>
      </c>
      <c r="C501" s="11" t="s">
        <v>34</v>
      </c>
      <c r="D501" s="11" t="s">
        <v>1337</v>
      </c>
      <c r="E501" s="11" t="s">
        <v>1360</v>
      </c>
      <c r="F501" s="11" t="s">
        <v>165</v>
      </c>
      <c r="G501" s="11" t="n">
        <v>0</v>
      </c>
      <c r="H501" s="34" t="n">
        <v>959.568</v>
      </c>
      <c r="I501" s="34" t="n">
        <v>748.152</v>
      </c>
      <c r="J501" s="34" t="n">
        <v>211.416</v>
      </c>
      <c r="K501" s="34" t="n">
        <v>211.4</v>
      </c>
      <c r="L501" s="11" t="s">
        <v>738</v>
      </c>
      <c r="M501" s="11" t="s">
        <v>1250</v>
      </c>
      <c r="N501" s="11" t="s">
        <v>1251</v>
      </c>
      <c r="O501" s="11" t="s">
        <v>1252</v>
      </c>
      <c r="P501" s="11" t="s">
        <v>1557</v>
      </c>
      <c r="Q501" s="25" t="n">
        <f aca="false">SUMIFS('Commentary drivers'!$D:$D,'Commentary drivers'!$A:$A,A501)</f>
        <v>211.416</v>
      </c>
      <c r="R501" s="25" t="n">
        <f aca="false">SUMIFS('Commentary drivers'!$E:$E,'Commentary drivers'!$A:$A,A501)</f>
        <v>211.4</v>
      </c>
      <c r="S501" s="49" t="str">
        <f aca="false">IF(AND(ROUND(Q501-J501,4)=0,ROUND(R501-K501,1)=0),"✓","✗")</f>
        <v>✓</v>
      </c>
    </row>
    <row r="502" customFormat="false" ht="15" hidden="false" customHeight="false" outlineLevel="0" collapsed="false">
      <c r="A502" s="11" t="s">
        <v>1908</v>
      </c>
      <c r="B502" s="11" t="s">
        <v>33</v>
      </c>
      <c r="C502" s="11" t="s">
        <v>34</v>
      </c>
      <c r="D502" s="11" t="s">
        <v>1337</v>
      </c>
      <c r="E502" s="11" t="s">
        <v>1362</v>
      </c>
      <c r="F502" s="11" t="s">
        <v>272</v>
      </c>
      <c r="G502" s="11" t="n">
        <v>1</v>
      </c>
      <c r="H502" s="34" t="n">
        <v>959.568</v>
      </c>
      <c r="I502" s="34" t="n">
        <v>748.152</v>
      </c>
      <c r="J502" s="34" t="n">
        <v>211.416</v>
      </c>
      <c r="K502" s="34" t="n">
        <v>211.4</v>
      </c>
      <c r="L502" s="11" t="s">
        <v>739</v>
      </c>
      <c r="M502" s="11" t="s">
        <v>1250</v>
      </c>
      <c r="N502" s="11" t="s">
        <v>1251</v>
      </c>
      <c r="O502" s="11" t="s">
        <v>1252</v>
      </c>
      <c r="P502" s="11" t="s">
        <v>1557</v>
      </c>
      <c r="Q502" s="25" t="n">
        <f aca="false">SUMIFS('Commentary drivers'!$D:$D,'Commentary drivers'!$A:$A,A502)</f>
        <v>211.416</v>
      </c>
      <c r="R502" s="25" t="n">
        <f aca="false">SUMIFS('Commentary drivers'!$E:$E,'Commentary drivers'!$A:$A,A502)</f>
        <v>211.4</v>
      </c>
      <c r="S502" s="49" t="str">
        <f aca="false">IF(AND(ROUND(Q502-J502,4)=0,ROUND(R502-K502,1)=0),"✓","✗")</f>
        <v>✓</v>
      </c>
    </row>
    <row r="503" customFormat="false" ht="15" hidden="false" customHeight="false" outlineLevel="0" collapsed="false">
      <c r="A503" s="11" t="s">
        <v>1909</v>
      </c>
      <c r="B503" s="11" t="s">
        <v>33</v>
      </c>
      <c r="C503" s="11" t="s">
        <v>34</v>
      </c>
      <c r="D503" s="11" t="s">
        <v>1337</v>
      </c>
      <c r="E503" s="11" t="s">
        <v>1364</v>
      </c>
      <c r="F503" s="11" t="s">
        <v>166</v>
      </c>
      <c r="G503" s="11" t="n">
        <v>0</v>
      </c>
      <c r="H503" s="34" t="n">
        <v>4973.39799</v>
      </c>
      <c r="I503" s="34" t="n">
        <v>3867.91831</v>
      </c>
      <c r="J503" s="34" t="n">
        <v>1105.47968</v>
      </c>
      <c r="K503" s="34" t="n">
        <v>1105.5</v>
      </c>
      <c r="L503" s="11" t="s">
        <v>740</v>
      </c>
      <c r="M503" s="11" t="s">
        <v>1250</v>
      </c>
      <c r="N503" s="11" t="s">
        <v>1251</v>
      </c>
      <c r="O503" s="11" t="s">
        <v>1252</v>
      </c>
      <c r="P503" s="11" t="s">
        <v>1557</v>
      </c>
      <c r="Q503" s="25" t="n">
        <f aca="false">SUMIFS('Commentary drivers'!$D:$D,'Commentary drivers'!$A:$A,A503)</f>
        <v>1105.47968</v>
      </c>
      <c r="R503" s="25" t="n">
        <f aca="false">SUMIFS('Commentary drivers'!$E:$E,'Commentary drivers'!$A:$A,A503)</f>
        <v>1105.5</v>
      </c>
      <c r="S503" s="49" t="str">
        <f aca="false">IF(AND(ROUND(Q503-J503,4)=0,ROUND(R503-K503,1)=0),"✓","✗")</f>
        <v>✓</v>
      </c>
    </row>
    <row r="504" customFormat="false" ht="15" hidden="false" customHeight="false" outlineLevel="0" collapsed="false">
      <c r="A504" s="11" t="s">
        <v>1910</v>
      </c>
      <c r="B504" s="11" t="s">
        <v>33</v>
      </c>
      <c r="C504" s="11" t="s">
        <v>34</v>
      </c>
      <c r="D504" s="11" t="s">
        <v>1337</v>
      </c>
      <c r="E504" s="11" t="s">
        <v>1366</v>
      </c>
      <c r="F504" s="11" t="s">
        <v>167</v>
      </c>
      <c r="G504" s="11" t="n">
        <v>0</v>
      </c>
      <c r="H504" s="34" t="n">
        <v>10175.95701</v>
      </c>
      <c r="I504" s="34" t="n">
        <v>8145.76969</v>
      </c>
      <c r="J504" s="34" t="n">
        <v>2030.18732</v>
      </c>
      <c r="K504" s="34" t="n">
        <v>2030.2</v>
      </c>
      <c r="L504" s="11" t="s">
        <v>741</v>
      </c>
      <c r="M504" s="11" t="s">
        <v>1250</v>
      </c>
      <c r="N504" s="11" t="s">
        <v>1251</v>
      </c>
      <c r="O504" s="11" t="s">
        <v>1252</v>
      </c>
      <c r="P504" s="11" t="s">
        <v>1557</v>
      </c>
      <c r="Q504" s="25" t="n">
        <f aca="false">SUMIFS('Commentary drivers'!$D:$D,'Commentary drivers'!$A:$A,A504)</f>
        <v>2030.18732</v>
      </c>
      <c r="R504" s="25" t="n">
        <f aca="false">SUMIFS('Commentary drivers'!$E:$E,'Commentary drivers'!$A:$A,A504)</f>
        <v>2030.2</v>
      </c>
      <c r="S504" s="49" t="str">
        <f aca="false">IF(AND(ROUND(Q504-J504,4)=0,ROUND(R504-K504,1)=0),"✓","✗")</f>
        <v>✓</v>
      </c>
    </row>
    <row r="505" customFormat="false" ht="15" hidden="false" customHeight="false" outlineLevel="0" collapsed="false">
      <c r="A505" s="11" t="s">
        <v>1911</v>
      </c>
      <c r="B505" s="11" t="s">
        <v>33</v>
      </c>
      <c r="C505" s="11" t="s">
        <v>34</v>
      </c>
      <c r="D505" s="11" t="s">
        <v>1337</v>
      </c>
      <c r="E505" s="11" t="s">
        <v>1368</v>
      </c>
      <c r="F505" s="11" t="s">
        <v>168</v>
      </c>
      <c r="G505" s="11" t="n">
        <v>0</v>
      </c>
      <c r="H505" s="34" t="n">
        <v>3086.341</v>
      </c>
      <c r="I505" s="34" t="n">
        <v>2221.2973</v>
      </c>
      <c r="J505" s="34" t="n">
        <v>865.0437</v>
      </c>
      <c r="K505" s="34" t="n">
        <v>865</v>
      </c>
      <c r="L505" s="11" t="s">
        <v>742</v>
      </c>
      <c r="M505" s="11" t="s">
        <v>1250</v>
      </c>
      <c r="N505" s="11" t="s">
        <v>1251</v>
      </c>
      <c r="O505" s="11" t="s">
        <v>1252</v>
      </c>
      <c r="P505" s="11" t="s">
        <v>1557</v>
      </c>
      <c r="Q505" s="25" t="n">
        <f aca="false">SUMIFS('Commentary drivers'!$D:$D,'Commentary drivers'!$A:$A,A505)</f>
        <v>865.0437</v>
      </c>
      <c r="R505" s="25" t="n">
        <f aca="false">SUMIFS('Commentary drivers'!$E:$E,'Commentary drivers'!$A:$A,A505)</f>
        <v>865</v>
      </c>
      <c r="S505" s="49" t="str">
        <f aca="false">IF(AND(ROUND(Q505-J505,4)=0,ROUND(R505-K505,1)=0),"✓","✗")</f>
        <v>✓</v>
      </c>
    </row>
    <row r="506" customFormat="false" ht="15" hidden="false" customHeight="false" outlineLevel="0" collapsed="false">
      <c r="A506" s="11" t="s">
        <v>1912</v>
      </c>
      <c r="B506" s="11" t="s">
        <v>33</v>
      </c>
      <c r="C506" s="11" t="s">
        <v>34</v>
      </c>
      <c r="D506" s="11" t="s">
        <v>1337</v>
      </c>
      <c r="E506" s="11" t="s">
        <v>1370</v>
      </c>
      <c r="F506" s="11" t="s">
        <v>278</v>
      </c>
      <c r="G506" s="11" t="n">
        <v>1</v>
      </c>
      <c r="H506" s="34" t="n">
        <v>1714.173</v>
      </c>
      <c r="I506" s="34" t="n">
        <v>1246.213</v>
      </c>
      <c r="J506" s="34" t="n">
        <v>467.96</v>
      </c>
      <c r="K506" s="34" t="n">
        <v>468</v>
      </c>
      <c r="L506" s="11" t="s">
        <v>743</v>
      </c>
      <c r="M506" s="11" t="s">
        <v>1250</v>
      </c>
      <c r="N506" s="11" t="s">
        <v>1251</v>
      </c>
      <c r="O506" s="11" t="s">
        <v>1252</v>
      </c>
      <c r="P506" s="11" t="s">
        <v>1557</v>
      </c>
      <c r="Q506" s="25" t="n">
        <f aca="false">SUMIFS('Commentary drivers'!$D:$D,'Commentary drivers'!$A:$A,A506)</f>
        <v>467.96</v>
      </c>
      <c r="R506" s="25" t="n">
        <f aca="false">SUMIFS('Commentary drivers'!$E:$E,'Commentary drivers'!$A:$A,A506)</f>
        <v>468</v>
      </c>
      <c r="S506" s="49" t="str">
        <f aca="false">IF(AND(ROUND(Q506-J506,4)=0,ROUND(R506-K506,1)=0),"✓","✗")</f>
        <v>✓</v>
      </c>
    </row>
    <row r="507" customFormat="false" ht="15" hidden="false" customHeight="false" outlineLevel="0" collapsed="false">
      <c r="A507" s="11" t="s">
        <v>1913</v>
      </c>
      <c r="B507" s="11" t="s">
        <v>33</v>
      </c>
      <c r="C507" s="11" t="s">
        <v>34</v>
      </c>
      <c r="D507" s="11" t="s">
        <v>1337</v>
      </c>
      <c r="E507" s="11" t="s">
        <v>1372</v>
      </c>
      <c r="F507" s="11" t="s">
        <v>280</v>
      </c>
      <c r="G507" s="11" t="n">
        <v>1</v>
      </c>
      <c r="H507" s="34" t="n">
        <v>297.168</v>
      </c>
      <c r="I507" s="34" t="n">
        <v>232.2663</v>
      </c>
      <c r="J507" s="34" t="n">
        <v>64.9017</v>
      </c>
      <c r="K507" s="34" t="n">
        <v>64.9</v>
      </c>
      <c r="L507" s="11" t="s">
        <v>744</v>
      </c>
      <c r="M507" s="11" t="s">
        <v>1250</v>
      </c>
      <c r="N507" s="11" t="s">
        <v>1251</v>
      </c>
      <c r="O507" s="11" t="s">
        <v>1252</v>
      </c>
      <c r="P507" s="11" t="s">
        <v>1557</v>
      </c>
      <c r="Q507" s="25" t="n">
        <f aca="false">SUMIFS('Commentary drivers'!$D:$D,'Commentary drivers'!$A:$A,A507)</f>
        <v>64.9017</v>
      </c>
      <c r="R507" s="25" t="n">
        <f aca="false">SUMIFS('Commentary drivers'!$E:$E,'Commentary drivers'!$A:$A,A507)</f>
        <v>64.9</v>
      </c>
      <c r="S507" s="49" t="str">
        <f aca="false">IF(AND(ROUND(Q507-J507,4)=0,ROUND(R507-K507,1)=0),"✓","✗")</f>
        <v>✓</v>
      </c>
    </row>
    <row r="508" customFormat="false" ht="15" hidden="false" customHeight="false" outlineLevel="0" collapsed="false">
      <c r="A508" s="11" t="s">
        <v>1914</v>
      </c>
      <c r="B508" s="11" t="s">
        <v>33</v>
      </c>
      <c r="C508" s="11" t="s">
        <v>34</v>
      </c>
      <c r="D508" s="11" t="s">
        <v>1337</v>
      </c>
      <c r="E508" s="11" t="s">
        <v>1374</v>
      </c>
      <c r="F508" s="11" t="s">
        <v>282</v>
      </c>
      <c r="G508" s="11" t="n">
        <v>1</v>
      </c>
      <c r="H508" s="34" t="n">
        <v>701.5</v>
      </c>
      <c r="I508" s="34" t="n">
        <v>538</v>
      </c>
      <c r="J508" s="34" t="n">
        <v>163.5</v>
      </c>
      <c r="K508" s="34" t="n">
        <v>163.5</v>
      </c>
      <c r="L508" s="11" t="s">
        <v>745</v>
      </c>
      <c r="M508" s="11" t="s">
        <v>1250</v>
      </c>
      <c r="N508" s="11" t="s">
        <v>1251</v>
      </c>
      <c r="O508" s="11" t="s">
        <v>1252</v>
      </c>
      <c r="P508" s="11" t="s">
        <v>1557</v>
      </c>
      <c r="Q508" s="25" t="n">
        <f aca="false">SUMIFS('Commentary drivers'!$D:$D,'Commentary drivers'!$A:$A,A508)</f>
        <v>163.5</v>
      </c>
      <c r="R508" s="25" t="n">
        <f aca="false">SUMIFS('Commentary drivers'!$E:$E,'Commentary drivers'!$A:$A,A508)</f>
        <v>163.5</v>
      </c>
      <c r="S508" s="49" t="str">
        <f aca="false">IF(AND(ROUND(Q508-J508,4)=0,ROUND(R508-K508,1)=0),"✓","✗")</f>
        <v>✓</v>
      </c>
    </row>
    <row r="509" customFormat="false" ht="15" hidden="false" customHeight="false" outlineLevel="0" collapsed="false">
      <c r="A509" s="11" t="s">
        <v>1915</v>
      </c>
      <c r="B509" s="11" t="s">
        <v>33</v>
      </c>
      <c r="C509" s="11" t="s">
        <v>34</v>
      </c>
      <c r="D509" s="11" t="s">
        <v>1337</v>
      </c>
      <c r="E509" s="11" t="s">
        <v>1376</v>
      </c>
      <c r="F509" s="11" t="s">
        <v>284</v>
      </c>
      <c r="G509" s="11" t="n">
        <v>1</v>
      </c>
      <c r="H509" s="34" t="n">
        <v>289.5</v>
      </c>
      <c r="I509" s="34" t="n">
        <v>152.818</v>
      </c>
      <c r="J509" s="34" t="n">
        <v>136.682</v>
      </c>
      <c r="K509" s="34" t="n">
        <v>136.7</v>
      </c>
      <c r="L509" s="11" t="s">
        <v>746</v>
      </c>
      <c r="M509" s="11" t="s">
        <v>1250</v>
      </c>
      <c r="N509" s="11" t="s">
        <v>1251</v>
      </c>
      <c r="O509" s="11" t="s">
        <v>1252</v>
      </c>
      <c r="P509" s="11" t="s">
        <v>1557</v>
      </c>
      <c r="Q509" s="25" t="n">
        <f aca="false">SUMIFS('Commentary drivers'!$D:$D,'Commentary drivers'!$A:$A,A509)</f>
        <v>136.682</v>
      </c>
      <c r="R509" s="25" t="n">
        <f aca="false">SUMIFS('Commentary drivers'!$E:$E,'Commentary drivers'!$A:$A,A509)</f>
        <v>136.7</v>
      </c>
      <c r="S509" s="49" t="str">
        <f aca="false">IF(AND(ROUND(Q509-J509,4)=0,ROUND(R509-K509,1)=0),"✓","✗")</f>
        <v>✓</v>
      </c>
    </row>
    <row r="510" customFormat="false" ht="15" hidden="false" customHeight="false" outlineLevel="0" collapsed="false">
      <c r="A510" s="11" t="s">
        <v>1916</v>
      </c>
      <c r="B510" s="11" t="s">
        <v>33</v>
      </c>
      <c r="C510" s="11" t="s">
        <v>34</v>
      </c>
      <c r="D510" s="11" t="s">
        <v>1337</v>
      </c>
      <c r="E510" s="11" t="s">
        <v>1378</v>
      </c>
      <c r="F510" s="11" t="s">
        <v>286</v>
      </c>
      <c r="G510" s="11" t="n">
        <v>1</v>
      </c>
      <c r="H510" s="34" t="n">
        <v>84</v>
      </c>
      <c r="I510" s="34" t="n">
        <v>52</v>
      </c>
      <c r="J510" s="34" t="n">
        <v>32</v>
      </c>
      <c r="K510" s="34" t="n">
        <v>32</v>
      </c>
      <c r="L510" s="11" t="s">
        <v>747</v>
      </c>
      <c r="M510" s="11" t="s">
        <v>1250</v>
      </c>
      <c r="N510" s="11" t="s">
        <v>1251</v>
      </c>
      <c r="O510" s="11" t="s">
        <v>1252</v>
      </c>
      <c r="P510" s="11" t="s">
        <v>1557</v>
      </c>
      <c r="Q510" s="25" t="n">
        <f aca="false">SUMIFS('Commentary drivers'!$D:$D,'Commentary drivers'!$A:$A,A510)</f>
        <v>32</v>
      </c>
      <c r="R510" s="25" t="n">
        <f aca="false">SUMIFS('Commentary drivers'!$E:$E,'Commentary drivers'!$A:$A,A510)</f>
        <v>32</v>
      </c>
      <c r="S510" s="49" t="str">
        <f aca="false">IF(AND(ROUND(Q510-J510,4)=0,ROUND(R510-K510,1)=0),"✓","✗")</f>
        <v>✓</v>
      </c>
    </row>
    <row r="511" customFormat="false" ht="15" hidden="false" customHeight="false" outlineLevel="0" collapsed="false">
      <c r="A511" s="11" t="s">
        <v>1917</v>
      </c>
      <c r="B511" s="11" t="s">
        <v>33</v>
      </c>
      <c r="C511" s="11" t="s">
        <v>34</v>
      </c>
      <c r="D511" s="11" t="s">
        <v>1337</v>
      </c>
      <c r="E511" s="11" t="s">
        <v>1380</v>
      </c>
      <c r="F511" s="11" t="s">
        <v>169</v>
      </c>
      <c r="G511" s="11" t="n">
        <v>0</v>
      </c>
      <c r="H511" s="34" t="n">
        <v>7089.61601</v>
      </c>
      <c r="I511" s="34" t="n">
        <v>5924.47239</v>
      </c>
      <c r="J511" s="34" t="n">
        <v>1165.14362</v>
      </c>
      <c r="K511" s="34" t="n">
        <v>1165.1</v>
      </c>
      <c r="L511" s="11" t="s">
        <v>748</v>
      </c>
      <c r="M511" s="11" t="s">
        <v>1250</v>
      </c>
      <c r="N511" s="11" t="s">
        <v>1251</v>
      </c>
      <c r="O511" s="11" t="s">
        <v>1252</v>
      </c>
      <c r="P511" s="11" t="s">
        <v>1557</v>
      </c>
      <c r="Q511" s="25" t="n">
        <f aca="false">SUMIFS('Commentary drivers'!$D:$D,'Commentary drivers'!$A:$A,A511)</f>
        <v>1165.14362</v>
      </c>
      <c r="R511" s="25" t="n">
        <f aca="false">SUMIFS('Commentary drivers'!$E:$E,'Commentary drivers'!$A:$A,A511)</f>
        <v>1165.1</v>
      </c>
      <c r="S511" s="49" t="str">
        <f aca="false">IF(AND(ROUND(Q511-J511,4)=0,ROUND(R511-K511,1)=0),"✓","✗")</f>
        <v>✓</v>
      </c>
    </row>
    <row r="512" customFormat="false" ht="15" hidden="false" customHeight="false" outlineLevel="0" collapsed="false">
      <c r="A512" s="11" t="s">
        <v>1918</v>
      </c>
      <c r="B512" s="11" t="s">
        <v>33</v>
      </c>
      <c r="C512" s="11" t="s">
        <v>34</v>
      </c>
      <c r="D512" s="11" t="s">
        <v>1337</v>
      </c>
      <c r="E512" s="11" t="s">
        <v>1382</v>
      </c>
      <c r="F512" s="11" t="s">
        <v>170</v>
      </c>
      <c r="G512" s="11" t="n">
        <v>0</v>
      </c>
      <c r="H512" s="34" t="n">
        <v>454.35995</v>
      </c>
      <c r="I512" s="34" t="n">
        <v>363.91922</v>
      </c>
      <c r="J512" s="34" t="n">
        <v>90.44073</v>
      </c>
      <c r="K512" s="34" t="n">
        <v>90.4</v>
      </c>
      <c r="L512" s="11" t="s">
        <v>749</v>
      </c>
      <c r="M512" s="11" t="s">
        <v>1250</v>
      </c>
      <c r="N512" s="11" t="s">
        <v>1251</v>
      </c>
      <c r="O512" s="11" t="s">
        <v>1252</v>
      </c>
      <c r="P512" s="11" t="s">
        <v>1557</v>
      </c>
      <c r="Q512" s="25" t="n">
        <f aca="false">SUMIFS('Commentary drivers'!$D:$D,'Commentary drivers'!$A:$A,A512)</f>
        <v>90.44073</v>
      </c>
      <c r="R512" s="25" t="n">
        <f aca="false">SUMIFS('Commentary drivers'!$E:$E,'Commentary drivers'!$A:$A,A512)</f>
        <v>90.4</v>
      </c>
      <c r="S512" s="49" t="str">
        <f aca="false">IF(AND(ROUND(Q512-J512,4)=0,ROUND(R512-K512,1)=0),"✓","✗")</f>
        <v>✓</v>
      </c>
    </row>
    <row r="513" customFormat="false" ht="15" hidden="false" customHeight="false" outlineLevel="0" collapsed="false">
      <c r="A513" s="11" t="s">
        <v>1919</v>
      </c>
      <c r="B513" s="11" t="s">
        <v>33</v>
      </c>
      <c r="C513" s="11" t="s">
        <v>34</v>
      </c>
      <c r="D513" s="11" t="s">
        <v>1337</v>
      </c>
      <c r="E513" s="11" t="s">
        <v>1384</v>
      </c>
      <c r="F513" s="11" t="s">
        <v>265</v>
      </c>
      <c r="G513" s="11" t="n">
        <v>1</v>
      </c>
      <c r="H513" s="34" t="n">
        <v>233.35994</v>
      </c>
      <c r="I513" s="34" t="n">
        <v>184.58589</v>
      </c>
      <c r="J513" s="34" t="n">
        <v>48.77405</v>
      </c>
      <c r="K513" s="34" t="n">
        <v>48.8</v>
      </c>
      <c r="L513" s="11" t="s">
        <v>750</v>
      </c>
      <c r="M513" s="11" t="s">
        <v>1250</v>
      </c>
      <c r="N513" s="11" t="s">
        <v>1251</v>
      </c>
      <c r="O513" s="11" t="s">
        <v>1252</v>
      </c>
      <c r="P513" s="11" t="s">
        <v>1557</v>
      </c>
      <c r="Q513" s="25" t="n">
        <f aca="false">SUMIFS('Commentary drivers'!$D:$D,'Commentary drivers'!$A:$A,A513)</f>
        <v>48.77405</v>
      </c>
      <c r="R513" s="25" t="n">
        <f aca="false">SUMIFS('Commentary drivers'!$E:$E,'Commentary drivers'!$A:$A,A513)</f>
        <v>48.8</v>
      </c>
      <c r="S513" s="49" t="str">
        <f aca="false">IF(AND(ROUND(Q513-J513,4)=0,ROUND(R513-K513,1)=0),"✓","✗")</f>
        <v>✓</v>
      </c>
    </row>
    <row r="514" customFormat="false" ht="15" hidden="false" customHeight="false" outlineLevel="0" collapsed="false">
      <c r="A514" s="11" t="s">
        <v>1920</v>
      </c>
      <c r="B514" s="11" t="s">
        <v>33</v>
      </c>
      <c r="C514" s="11" t="s">
        <v>34</v>
      </c>
      <c r="D514" s="11" t="s">
        <v>1337</v>
      </c>
      <c r="E514" s="11" t="s">
        <v>1386</v>
      </c>
      <c r="F514" s="11" t="s">
        <v>267</v>
      </c>
      <c r="G514" s="11" t="n">
        <v>1</v>
      </c>
      <c r="H514" s="34" t="n">
        <v>75.00001</v>
      </c>
      <c r="I514" s="34" t="n">
        <v>61.33333</v>
      </c>
      <c r="J514" s="34" t="n">
        <v>13.66668</v>
      </c>
      <c r="K514" s="34" t="n">
        <v>13.7</v>
      </c>
      <c r="L514" s="11" t="s">
        <v>751</v>
      </c>
      <c r="M514" s="11" t="s">
        <v>1250</v>
      </c>
      <c r="N514" s="11" t="s">
        <v>1251</v>
      </c>
      <c r="O514" s="11" t="s">
        <v>1252</v>
      </c>
      <c r="P514" s="11" t="s">
        <v>1557</v>
      </c>
      <c r="Q514" s="25" t="n">
        <f aca="false">SUMIFS('Commentary drivers'!$D:$D,'Commentary drivers'!$A:$A,A514)</f>
        <v>13.66668</v>
      </c>
      <c r="R514" s="25" t="n">
        <f aca="false">SUMIFS('Commentary drivers'!$E:$E,'Commentary drivers'!$A:$A,A514)</f>
        <v>13.7</v>
      </c>
      <c r="S514" s="49" t="str">
        <f aca="false">IF(AND(ROUND(Q514-J514,4)=0,ROUND(R514-K514,1)=0),"✓","✗")</f>
        <v>✓</v>
      </c>
    </row>
    <row r="515" customFormat="false" ht="15" hidden="false" customHeight="false" outlineLevel="0" collapsed="false">
      <c r="A515" s="11" t="s">
        <v>1921</v>
      </c>
      <c r="B515" s="11" t="s">
        <v>33</v>
      </c>
      <c r="C515" s="11" t="s">
        <v>34</v>
      </c>
      <c r="D515" s="11" t="s">
        <v>1337</v>
      </c>
      <c r="E515" s="11" t="s">
        <v>1388</v>
      </c>
      <c r="F515" s="11" t="s">
        <v>269</v>
      </c>
      <c r="G515" s="11" t="n">
        <v>1</v>
      </c>
      <c r="H515" s="34" t="n">
        <v>146</v>
      </c>
      <c r="I515" s="34" t="n">
        <v>118</v>
      </c>
      <c r="J515" s="34" t="n">
        <v>28</v>
      </c>
      <c r="K515" s="34" t="n">
        <v>28</v>
      </c>
      <c r="L515" s="11" t="s">
        <v>737</v>
      </c>
      <c r="M515" s="11" t="s">
        <v>1250</v>
      </c>
      <c r="N515" s="11" t="s">
        <v>1251</v>
      </c>
      <c r="O515" s="11" t="s">
        <v>1252</v>
      </c>
      <c r="P515" s="11" t="s">
        <v>1557</v>
      </c>
      <c r="Q515" s="25" t="n">
        <f aca="false">SUMIFS('Commentary drivers'!$D:$D,'Commentary drivers'!$A:$A,A515)</f>
        <v>28</v>
      </c>
      <c r="R515" s="25" t="n">
        <f aca="false">SUMIFS('Commentary drivers'!$E:$E,'Commentary drivers'!$A:$A,A515)</f>
        <v>28</v>
      </c>
      <c r="S515" s="49" t="str">
        <f aca="false">IF(AND(ROUND(Q515-J515,4)=0,ROUND(R515-K515,1)=0),"✓","✗")</f>
        <v>✓</v>
      </c>
    </row>
    <row r="516" customFormat="false" ht="15" hidden="false" customHeight="false" outlineLevel="0" collapsed="false">
      <c r="A516" s="11" t="s">
        <v>1922</v>
      </c>
      <c r="B516" s="11" t="s">
        <v>33</v>
      </c>
      <c r="C516" s="11" t="s">
        <v>34</v>
      </c>
      <c r="D516" s="11" t="s">
        <v>1337</v>
      </c>
      <c r="E516" s="11" t="s">
        <v>1390</v>
      </c>
      <c r="F516" s="11" t="s">
        <v>157</v>
      </c>
      <c r="G516" s="11" t="n">
        <v>0</v>
      </c>
      <c r="H516" s="34" t="n">
        <v>3105.33101</v>
      </c>
      <c r="I516" s="34" t="n">
        <v>2404.02682</v>
      </c>
      <c r="J516" s="34" t="n">
        <v>701.30419</v>
      </c>
      <c r="K516" s="34" t="n">
        <v>701.3</v>
      </c>
      <c r="L516" s="11" t="s">
        <v>752</v>
      </c>
      <c r="M516" s="11" t="s">
        <v>1250</v>
      </c>
      <c r="N516" s="11" t="s">
        <v>1251</v>
      </c>
      <c r="O516" s="11" t="s">
        <v>1252</v>
      </c>
      <c r="P516" s="11" t="s">
        <v>1557</v>
      </c>
      <c r="Q516" s="25" t="n">
        <f aca="false">SUMIFS('Commentary drivers'!$D:$D,'Commentary drivers'!$A:$A,A516)</f>
        <v>701.30419</v>
      </c>
      <c r="R516" s="25" t="n">
        <f aca="false">SUMIFS('Commentary drivers'!$E:$E,'Commentary drivers'!$A:$A,A516)</f>
        <v>701.3</v>
      </c>
      <c r="S516" s="49" t="str">
        <f aca="false">IF(AND(ROUND(Q516-J516,4)=0,ROUND(R516-K516,1)=0),"✓","✗")</f>
        <v>✓</v>
      </c>
    </row>
    <row r="517" customFormat="false" ht="15" hidden="false" customHeight="false" outlineLevel="0" collapsed="false">
      <c r="A517" s="11" t="s">
        <v>1923</v>
      </c>
      <c r="B517" s="11" t="s">
        <v>33</v>
      </c>
      <c r="C517" s="11" t="s">
        <v>34</v>
      </c>
      <c r="D517" s="11" t="s">
        <v>1337</v>
      </c>
      <c r="E517" s="11" t="s">
        <v>1392</v>
      </c>
      <c r="F517" s="11" t="s">
        <v>296</v>
      </c>
      <c r="G517" s="11" t="n">
        <v>1</v>
      </c>
      <c r="H517" s="34" t="n">
        <v>2212.071</v>
      </c>
      <c r="I517" s="34" t="n">
        <v>1706.34675</v>
      </c>
      <c r="J517" s="34" t="n">
        <v>505.72425</v>
      </c>
      <c r="K517" s="34" t="n">
        <v>505.7</v>
      </c>
      <c r="L517" s="11" t="s">
        <v>753</v>
      </c>
      <c r="M517" s="11" t="s">
        <v>1250</v>
      </c>
      <c r="N517" s="11" t="s">
        <v>1251</v>
      </c>
      <c r="O517" s="11" t="s">
        <v>1252</v>
      </c>
      <c r="P517" s="11" t="s">
        <v>1557</v>
      </c>
      <c r="Q517" s="25" t="n">
        <f aca="false">SUMIFS('Commentary drivers'!$D:$D,'Commentary drivers'!$A:$A,A517)</f>
        <v>505.72425</v>
      </c>
      <c r="R517" s="25" t="n">
        <f aca="false">SUMIFS('Commentary drivers'!$E:$E,'Commentary drivers'!$A:$A,A517)</f>
        <v>505.7</v>
      </c>
      <c r="S517" s="49" t="str">
        <f aca="false">IF(AND(ROUND(Q517-J517,4)=0,ROUND(R517-K517,1)=0),"✓","✗")</f>
        <v>✓</v>
      </c>
    </row>
    <row r="518" customFormat="false" ht="15" hidden="false" customHeight="false" outlineLevel="0" collapsed="false">
      <c r="A518" s="11" t="s">
        <v>1924</v>
      </c>
      <c r="B518" s="11" t="s">
        <v>33</v>
      </c>
      <c r="C518" s="11" t="s">
        <v>34</v>
      </c>
      <c r="D518" s="11" t="s">
        <v>1337</v>
      </c>
      <c r="E518" s="11" t="s">
        <v>1394</v>
      </c>
      <c r="F518" s="11" t="s">
        <v>298</v>
      </c>
      <c r="G518" s="11" t="n">
        <v>1</v>
      </c>
      <c r="H518" s="34" t="n">
        <v>306</v>
      </c>
      <c r="I518" s="34" t="n">
        <v>232</v>
      </c>
      <c r="J518" s="34" t="n">
        <v>74</v>
      </c>
      <c r="K518" s="34" t="n">
        <v>74</v>
      </c>
      <c r="L518" s="11" t="s">
        <v>754</v>
      </c>
      <c r="M518" s="11" t="s">
        <v>1250</v>
      </c>
      <c r="N518" s="11" t="s">
        <v>1251</v>
      </c>
      <c r="O518" s="11" t="s">
        <v>1252</v>
      </c>
      <c r="P518" s="11" t="s">
        <v>1557</v>
      </c>
      <c r="Q518" s="25" t="n">
        <f aca="false">SUMIFS('Commentary drivers'!$D:$D,'Commentary drivers'!$A:$A,A518)</f>
        <v>74</v>
      </c>
      <c r="R518" s="25" t="n">
        <f aca="false">SUMIFS('Commentary drivers'!$E:$E,'Commentary drivers'!$A:$A,A518)</f>
        <v>74</v>
      </c>
      <c r="S518" s="49" t="str">
        <f aca="false">IF(AND(ROUND(Q518-J518,4)=0,ROUND(R518-K518,1)=0),"✓","✗")</f>
        <v>✓</v>
      </c>
    </row>
    <row r="519" customFormat="false" ht="15" hidden="false" customHeight="false" outlineLevel="0" collapsed="false">
      <c r="A519" s="11" t="s">
        <v>1925</v>
      </c>
      <c r="B519" s="11" t="s">
        <v>33</v>
      </c>
      <c r="C519" s="11" t="s">
        <v>34</v>
      </c>
      <c r="D519" s="11" t="s">
        <v>1337</v>
      </c>
      <c r="E519" s="11" t="s">
        <v>1396</v>
      </c>
      <c r="F519" s="11" t="s">
        <v>265</v>
      </c>
      <c r="G519" s="11" t="n">
        <v>1</v>
      </c>
      <c r="H519" s="34" t="n">
        <v>218.26006</v>
      </c>
      <c r="I519" s="34" t="n">
        <v>166.01342</v>
      </c>
      <c r="J519" s="34" t="n">
        <v>52.24664</v>
      </c>
      <c r="K519" s="34" t="n">
        <v>52.2</v>
      </c>
      <c r="L519" s="11" t="s">
        <v>755</v>
      </c>
      <c r="M519" s="11" t="s">
        <v>1250</v>
      </c>
      <c r="N519" s="11" t="s">
        <v>1251</v>
      </c>
      <c r="O519" s="11" t="s">
        <v>1252</v>
      </c>
      <c r="P519" s="11" t="s">
        <v>1557</v>
      </c>
      <c r="Q519" s="25" t="n">
        <f aca="false">SUMIFS('Commentary drivers'!$D:$D,'Commentary drivers'!$A:$A,A519)</f>
        <v>52.24664</v>
      </c>
      <c r="R519" s="25" t="n">
        <f aca="false">SUMIFS('Commentary drivers'!$E:$E,'Commentary drivers'!$A:$A,A519)</f>
        <v>52.2</v>
      </c>
      <c r="S519" s="49" t="str">
        <f aca="false">IF(AND(ROUND(Q519-J519,4)=0,ROUND(R519-K519,1)=0),"✓","✗")</f>
        <v>✓</v>
      </c>
    </row>
    <row r="520" customFormat="false" ht="15" hidden="false" customHeight="false" outlineLevel="0" collapsed="false">
      <c r="A520" s="11" t="s">
        <v>1926</v>
      </c>
      <c r="B520" s="11" t="s">
        <v>33</v>
      </c>
      <c r="C520" s="11" t="s">
        <v>34</v>
      </c>
      <c r="D520" s="11" t="s">
        <v>1337</v>
      </c>
      <c r="E520" s="11" t="s">
        <v>1398</v>
      </c>
      <c r="F520" s="11" t="s">
        <v>267</v>
      </c>
      <c r="G520" s="11" t="n">
        <v>1</v>
      </c>
      <c r="H520" s="34" t="n">
        <v>149.99999</v>
      </c>
      <c r="I520" s="34" t="n">
        <v>122.66667</v>
      </c>
      <c r="J520" s="34" t="n">
        <v>27.33332</v>
      </c>
      <c r="K520" s="34" t="n">
        <v>27.3</v>
      </c>
      <c r="L520" s="11" t="s">
        <v>736</v>
      </c>
      <c r="M520" s="11" t="s">
        <v>1250</v>
      </c>
      <c r="N520" s="11" t="s">
        <v>1251</v>
      </c>
      <c r="O520" s="11" t="s">
        <v>1252</v>
      </c>
      <c r="P520" s="11" t="s">
        <v>1557</v>
      </c>
      <c r="Q520" s="25" t="n">
        <f aca="false">SUMIFS('Commentary drivers'!$D:$D,'Commentary drivers'!$A:$A,A520)</f>
        <v>27.33332</v>
      </c>
      <c r="R520" s="25" t="n">
        <f aca="false">SUMIFS('Commentary drivers'!$E:$E,'Commentary drivers'!$A:$A,A520)</f>
        <v>27.3</v>
      </c>
      <c r="S520" s="49" t="str">
        <f aca="false">IF(AND(ROUND(Q520-J520,4)=0,ROUND(R520-K520,1)=0),"✓","✗")</f>
        <v>✓</v>
      </c>
    </row>
    <row r="521" customFormat="false" ht="15" hidden="false" customHeight="false" outlineLevel="0" collapsed="false">
      <c r="A521" s="11" t="s">
        <v>1927</v>
      </c>
      <c r="B521" s="11" t="s">
        <v>33</v>
      </c>
      <c r="C521" s="11" t="s">
        <v>34</v>
      </c>
      <c r="D521" s="11" t="s">
        <v>1337</v>
      </c>
      <c r="E521" s="11" t="s">
        <v>1400</v>
      </c>
      <c r="F521" s="11" t="s">
        <v>269</v>
      </c>
      <c r="G521" s="11" t="n">
        <v>1</v>
      </c>
      <c r="H521" s="34" t="n">
        <v>218.99996</v>
      </c>
      <c r="I521" s="34" t="n">
        <v>176.99998</v>
      </c>
      <c r="J521" s="34" t="n">
        <v>41.99998</v>
      </c>
      <c r="K521" s="34" t="n">
        <v>42</v>
      </c>
      <c r="L521" s="11" t="s">
        <v>756</v>
      </c>
      <c r="M521" s="11" t="s">
        <v>1250</v>
      </c>
      <c r="N521" s="11" t="s">
        <v>1251</v>
      </c>
      <c r="O521" s="11" t="s">
        <v>1252</v>
      </c>
      <c r="P521" s="11" t="s">
        <v>1557</v>
      </c>
      <c r="Q521" s="25" t="n">
        <f aca="false">SUMIFS('Commentary drivers'!$D:$D,'Commentary drivers'!$A:$A,A521)</f>
        <v>41.99998</v>
      </c>
      <c r="R521" s="25" t="n">
        <f aca="false">SUMIFS('Commentary drivers'!$E:$E,'Commentary drivers'!$A:$A,A521)</f>
        <v>42</v>
      </c>
      <c r="S521" s="49" t="str">
        <f aca="false">IF(AND(ROUND(Q521-J521,4)=0,ROUND(R521-K521,1)=0),"✓","✗")</f>
        <v>✓</v>
      </c>
    </row>
    <row r="522" customFormat="false" ht="15" hidden="false" customHeight="false" outlineLevel="0" collapsed="false">
      <c r="A522" s="11" t="s">
        <v>1928</v>
      </c>
      <c r="B522" s="11" t="s">
        <v>33</v>
      </c>
      <c r="C522" s="11" t="s">
        <v>34</v>
      </c>
      <c r="D522" s="11" t="s">
        <v>1337</v>
      </c>
      <c r="E522" s="11" t="s">
        <v>1402</v>
      </c>
      <c r="F522" s="11" t="s">
        <v>159</v>
      </c>
      <c r="G522" s="11" t="n">
        <v>0</v>
      </c>
      <c r="H522" s="34" t="n">
        <v>1421.00005</v>
      </c>
      <c r="I522" s="34" t="n">
        <v>1178.83335</v>
      </c>
      <c r="J522" s="34" t="n">
        <v>242.1667</v>
      </c>
      <c r="K522" s="34" t="n">
        <v>242.2</v>
      </c>
      <c r="L522" s="11" t="s">
        <v>757</v>
      </c>
      <c r="M522" s="11" t="s">
        <v>1250</v>
      </c>
      <c r="N522" s="11" t="s">
        <v>1251</v>
      </c>
      <c r="O522" s="11" t="s">
        <v>1252</v>
      </c>
      <c r="P522" s="11" t="s">
        <v>1557</v>
      </c>
      <c r="Q522" s="25" t="n">
        <f aca="false">SUMIFS('Commentary drivers'!$D:$D,'Commentary drivers'!$A:$A,A522)</f>
        <v>242.1667</v>
      </c>
      <c r="R522" s="25" t="n">
        <f aca="false">SUMIFS('Commentary drivers'!$E:$E,'Commentary drivers'!$A:$A,A522)</f>
        <v>242.2</v>
      </c>
      <c r="S522" s="49" t="str">
        <f aca="false">IF(AND(ROUND(Q522-J522,4)=0,ROUND(R522-K522,1)=0),"✓","✗")</f>
        <v>✓</v>
      </c>
    </row>
    <row r="523" customFormat="false" ht="15" hidden="false" customHeight="false" outlineLevel="0" collapsed="false">
      <c r="A523" s="11" t="s">
        <v>1929</v>
      </c>
      <c r="B523" s="11" t="s">
        <v>33</v>
      </c>
      <c r="C523" s="11" t="s">
        <v>34</v>
      </c>
      <c r="D523" s="11" t="s">
        <v>1337</v>
      </c>
      <c r="E523" s="11" t="s">
        <v>1404</v>
      </c>
      <c r="F523" s="11" t="s">
        <v>304</v>
      </c>
      <c r="G523" s="11" t="n">
        <v>1</v>
      </c>
      <c r="H523" s="34" t="n">
        <v>1273</v>
      </c>
      <c r="I523" s="34" t="n">
        <v>1058.5</v>
      </c>
      <c r="J523" s="34" t="n">
        <v>214.5</v>
      </c>
      <c r="K523" s="34" t="n">
        <v>214.5</v>
      </c>
      <c r="L523" s="11" t="s">
        <v>758</v>
      </c>
      <c r="M523" s="11" t="s">
        <v>1315</v>
      </c>
      <c r="N523" s="11" t="s">
        <v>1251</v>
      </c>
      <c r="O523" s="11" t="s">
        <v>1252</v>
      </c>
      <c r="P523" s="11" t="s">
        <v>1557</v>
      </c>
      <c r="Q523" s="25" t="n">
        <f aca="false">SUMIFS('Commentary drivers'!$D:$D,'Commentary drivers'!$A:$A,A523)</f>
        <v>214.5</v>
      </c>
      <c r="R523" s="25" t="n">
        <f aca="false">SUMIFS('Commentary drivers'!$E:$E,'Commentary drivers'!$A:$A,A523)</f>
        <v>214.5</v>
      </c>
      <c r="S523" s="49" t="str">
        <f aca="false">IF(AND(ROUND(Q523-J523,4)=0,ROUND(R523-K523,1)=0),"✓","✗")</f>
        <v>✓</v>
      </c>
    </row>
    <row r="524" customFormat="false" ht="15" hidden="false" customHeight="false" outlineLevel="0" collapsed="false">
      <c r="A524" s="11" t="s">
        <v>1930</v>
      </c>
      <c r="B524" s="11" t="s">
        <v>33</v>
      </c>
      <c r="C524" s="11" t="s">
        <v>34</v>
      </c>
      <c r="D524" s="11" t="s">
        <v>1337</v>
      </c>
      <c r="E524" s="11" t="s">
        <v>1406</v>
      </c>
      <c r="F524" s="11" t="s">
        <v>267</v>
      </c>
      <c r="G524" s="11" t="n">
        <v>1</v>
      </c>
      <c r="H524" s="34" t="n">
        <v>75.00001</v>
      </c>
      <c r="I524" s="34" t="n">
        <v>61.33333</v>
      </c>
      <c r="J524" s="34" t="n">
        <v>13.66668</v>
      </c>
      <c r="K524" s="34" t="n">
        <v>13.7</v>
      </c>
      <c r="L524" s="11" t="s">
        <v>751</v>
      </c>
      <c r="M524" s="11" t="s">
        <v>1250</v>
      </c>
      <c r="N524" s="11" t="s">
        <v>1251</v>
      </c>
      <c r="O524" s="11" t="s">
        <v>1252</v>
      </c>
      <c r="P524" s="11" t="s">
        <v>1557</v>
      </c>
      <c r="Q524" s="25" t="n">
        <f aca="false">SUMIFS('Commentary drivers'!$D:$D,'Commentary drivers'!$A:$A,A524)</f>
        <v>13.66668</v>
      </c>
      <c r="R524" s="25" t="n">
        <f aca="false">SUMIFS('Commentary drivers'!$E:$E,'Commentary drivers'!$A:$A,A524)</f>
        <v>13.7</v>
      </c>
      <c r="S524" s="49" t="str">
        <f aca="false">IF(AND(ROUND(Q524-J524,4)=0,ROUND(R524-K524,1)=0),"✓","✗")</f>
        <v>✓</v>
      </c>
    </row>
    <row r="525" customFormat="false" ht="15" hidden="false" customHeight="false" outlineLevel="0" collapsed="false">
      <c r="A525" s="11" t="s">
        <v>1931</v>
      </c>
      <c r="B525" s="11" t="s">
        <v>33</v>
      </c>
      <c r="C525" s="11" t="s">
        <v>34</v>
      </c>
      <c r="D525" s="11" t="s">
        <v>1337</v>
      </c>
      <c r="E525" s="11" t="s">
        <v>1408</v>
      </c>
      <c r="F525" s="11" t="s">
        <v>269</v>
      </c>
      <c r="G525" s="11" t="n">
        <v>1</v>
      </c>
      <c r="H525" s="34" t="n">
        <v>73.00004</v>
      </c>
      <c r="I525" s="34" t="n">
        <v>59.00002</v>
      </c>
      <c r="J525" s="34" t="n">
        <v>14.00002</v>
      </c>
      <c r="K525" s="34" t="n">
        <v>14</v>
      </c>
      <c r="L525" s="11" t="s">
        <v>759</v>
      </c>
      <c r="M525" s="11" t="s">
        <v>1250</v>
      </c>
      <c r="N525" s="11" t="s">
        <v>1251</v>
      </c>
      <c r="O525" s="11" t="s">
        <v>1252</v>
      </c>
      <c r="P525" s="11" t="s">
        <v>1557</v>
      </c>
      <c r="Q525" s="25" t="n">
        <f aca="false">SUMIFS('Commentary drivers'!$D:$D,'Commentary drivers'!$A:$A,A525)</f>
        <v>14.00002</v>
      </c>
      <c r="R525" s="25" t="n">
        <f aca="false">SUMIFS('Commentary drivers'!$E:$E,'Commentary drivers'!$A:$A,A525)</f>
        <v>14</v>
      </c>
      <c r="S525" s="49" t="str">
        <f aca="false">IF(AND(ROUND(Q525-J525,4)=0,ROUND(R525-K525,1)=0),"✓","✗")</f>
        <v>✓</v>
      </c>
    </row>
    <row r="526" customFormat="false" ht="15" hidden="false" customHeight="false" outlineLevel="0" collapsed="false">
      <c r="A526" s="11" t="s">
        <v>1932</v>
      </c>
      <c r="B526" s="11" t="s">
        <v>33</v>
      </c>
      <c r="C526" s="11" t="s">
        <v>34</v>
      </c>
      <c r="D526" s="11" t="s">
        <v>1337</v>
      </c>
      <c r="E526" s="11" t="s">
        <v>1410</v>
      </c>
      <c r="F526" s="11" t="s">
        <v>171</v>
      </c>
      <c r="G526" s="11" t="n">
        <v>0</v>
      </c>
      <c r="H526" s="34" t="n">
        <v>4980.69101</v>
      </c>
      <c r="I526" s="34" t="n">
        <v>3946.77939</v>
      </c>
      <c r="J526" s="34" t="n">
        <v>1033.91162</v>
      </c>
      <c r="K526" s="34" t="n">
        <v>1033.9</v>
      </c>
      <c r="L526" s="11" t="s">
        <v>760</v>
      </c>
      <c r="M526" s="11" t="s">
        <v>1250</v>
      </c>
      <c r="N526" s="11" t="s">
        <v>1251</v>
      </c>
      <c r="O526" s="11" t="s">
        <v>1252</v>
      </c>
      <c r="P526" s="11" t="s">
        <v>1557</v>
      </c>
      <c r="Q526" s="25" t="n">
        <f aca="false">SUMIFS('Commentary drivers'!$D:$D,'Commentary drivers'!$A:$A,A526)</f>
        <v>1033.91162</v>
      </c>
      <c r="R526" s="25" t="n">
        <f aca="false">SUMIFS('Commentary drivers'!$E:$E,'Commentary drivers'!$A:$A,A526)</f>
        <v>1033.9</v>
      </c>
      <c r="S526" s="49" t="str">
        <f aca="false">IF(AND(ROUND(Q526-J526,4)=0,ROUND(R526-K526,1)=0),"✓","✗")</f>
        <v>✓</v>
      </c>
    </row>
    <row r="527" customFormat="false" ht="15" hidden="false" customHeight="false" outlineLevel="0" collapsed="false">
      <c r="A527" s="11" t="s">
        <v>1933</v>
      </c>
      <c r="B527" s="11" t="s">
        <v>33</v>
      </c>
      <c r="C527" s="11" t="s">
        <v>34</v>
      </c>
      <c r="D527" s="11" t="s">
        <v>1337</v>
      </c>
      <c r="E527" s="11" t="s">
        <v>1412</v>
      </c>
      <c r="F527" s="11" t="s">
        <v>96</v>
      </c>
      <c r="G527" s="11" t="n">
        <v>0</v>
      </c>
      <c r="H527" s="34" t="n">
        <v>2108.925</v>
      </c>
      <c r="I527" s="34" t="n">
        <v>1977.693</v>
      </c>
      <c r="J527" s="34" t="n">
        <v>131.232</v>
      </c>
      <c r="K527" s="34" t="n">
        <v>131.2</v>
      </c>
      <c r="L527" s="11" t="s">
        <v>761</v>
      </c>
      <c r="M527" s="11" t="s">
        <v>1250</v>
      </c>
      <c r="N527" s="11" t="s">
        <v>1251</v>
      </c>
      <c r="O527" s="11" t="s">
        <v>1252</v>
      </c>
      <c r="P527" s="11" t="s">
        <v>1557</v>
      </c>
      <c r="Q527" s="25" t="n">
        <f aca="false">SUMIFS('Commentary drivers'!$D:$D,'Commentary drivers'!$A:$A,A527)</f>
        <v>131.232</v>
      </c>
      <c r="R527" s="25" t="n">
        <f aca="false">SUMIFS('Commentary drivers'!$E:$E,'Commentary drivers'!$A:$A,A527)</f>
        <v>131.2</v>
      </c>
      <c r="S527" s="49" t="str">
        <f aca="false">IF(AND(ROUND(Q527-J527,4)=0,ROUND(R527-K527,1)=0),"✓","✗")</f>
        <v>✓</v>
      </c>
    </row>
    <row r="528" customFormat="false" ht="15" hidden="false" customHeight="false" outlineLevel="0" collapsed="false">
      <c r="A528" s="11" t="s">
        <v>1934</v>
      </c>
      <c r="B528" s="11" t="s">
        <v>33</v>
      </c>
      <c r="C528" s="11" t="s">
        <v>34</v>
      </c>
      <c r="D528" s="11" t="s">
        <v>1337</v>
      </c>
      <c r="E528" s="11" t="s">
        <v>1414</v>
      </c>
      <c r="F528" s="11" t="s">
        <v>160</v>
      </c>
      <c r="G528" s="11" t="n">
        <v>0</v>
      </c>
      <c r="H528" s="34" t="n">
        <v>89.5</v>
      </c>
      <c r="I528" s="34" t="n">
        <v>108</v>
      </c>
      <c r="J528" s="34" t="n">
        <v>-18.5</v>
      </c>
      <c r="K528" s="34" t="n">
        <v>-18.5</v>
      </c>
      <c r="L528" s="11" t="s">
        <v>725</v>
      </c>
      <c r="M528" s="11" t="s">
        <v>1250</v>
      </c>
      <c r="N528" s="11" t="s">
        <v>1251</v>
      </c>
      <c r="O528" s="11" t="s">
        <v>1252</v>
      </c>
      <c r="P528" s="11" t="s">
        <v>1557</v>
      </c>
      <c r="Q528" s="25" t="n">
        <f aca="false">SUMIFS('Commentary drivers'!$D:$D,'Commentary drivers'!$A:$A,A528)</f>
        <v>-18.5</v>
      </c>
      <c r="R528" s="25" t="n">
        <f aca="false">SUMIFS('Commentary drivers'!$E:$E,'Commentary drivers'!$A:$A,A528)</f>
        <v>-18.5</v>
      </c>
      <c r="S528" s="49" t="str">
        <f aca="false">IF(AND(ROUND(Q528-J528,4)=0,ROUND(R528-K528,1)=0),"✓","✗")</f>
        <v>✓</v>
      </c>
    </row>
    <row r="529" customFormat="false" ht="15" hidden="false" customHeight="false" outlineLevel="0" collapsed="false">
      <c r="A529" s="11" t="s">
        <v>1935</v>
      </c>
      <c r="B529" s="11" t="s">
        <v>33</v>
      </c>
      <c r="C529" s="11" t="s">
        <v>34</v>
      </c>
      <c r="D529" s="11" t="s">
        <v>1337</v>
      </c>
      <c r="E529" s="11" t="s">
        <v>1416</v>
      </c>
      <c r="F529" s="11" t="s">
        <v>161</v>
      </c>
      <c r="G529" s="11" t="n">
        <v>0</v>
      </c>
      <c r="H529" s="34" t="n">
        <v>242.5</v>
      </c>
      <c r="I529" s="34" t="n">
        <v>260</v>
      </c>
      <c r="J529" s="34" t="n">
        <v>-17.5</v>
      </c>
      <c r="K529" s="34" t="n">
        <v>-17.5</v>
      </c>
      <c r="L529" s="11" t="s">
        <v>726</v>
      </c>
      <c r="M529" s="11" t="s">
        <v>1250</v>
      </c>
      <c r="N529" s="11" t="s">
        <v>1251</v>
      </c>
      <c r="O529" s="11" t="s">
        <v>1252</v>
      </c>
      <c r="P529" s="11" t="s">
        <v>1557</v>
      </c>
      <c r="Q529" s="25" t="n">
        <f aca="false">SUMIFS('Commentary drivers'!$D:$D,'Commentary drivers'!$A:$A,A529)</f>
        <v>-17.5</v>
      </c>
      <c r="R529" s="25" t="n">
        <f aca="false">SUMIFS('Commentary drivers'!$E:$E,'Commentary drivers'!$A:$A,A529)</f>
        <v>-17.5</v>
      </c>
      <c r="S529" s="49" t="str">
        <f aca="false">IF(AND(ROUND(Q529-J529,4)=0,ROUND(R529-K529,1)=0),"✓","✗")</f>
        <v>✓</v>
      </c>
    </row>
    <row r="530" customFormat="false" ht="15" hidden="false" customHeight="false" outlineLevel="0" collapsed="false">
      <c r="A530" s="11" t="s">
        <v>1936</v>
      </c>
      <c r="B530" s="11" t="s">
        <v>33</v>
      </c>
      <c r="C530" s="11" t="s">
        <v>34</v>
      </c>
      <c r="D530" s="11" t="s">
        <v>1337</v>
      </c>
      <c r="E530" s="11" t="s">
        <v>1418</v>
      </c>
      <c r="F530" s="11" t="s">
        <v>126</v>
      </c>
      <c r="G530" s="11" t="n">
        <v>0</v>
      </c>
      <c r="H530" s="34" t="n">
        <v>260.5</v>
      </c>
      <c r="I530" s="34" t="n">
        <v>180</v>
      </c>
      <c r="J530" s="34" t="n">
        <v>80.5</v>
      </c>
      <c r="K530" s="34" t="n">
        <v>80.5</v>
      </c>
      <c r="L530" s="11" t="s">
        <v>728</v>
      </c>
      <c r="M530" s="11" t="s">
        <v>1250</v>
      </c>
      <c r="N530" s="11" t="s">
        <v>1251</v>
      </c>
      <c r="O530" s="11" t="s">
        <v>1252</v>
      </c>
      <c r="P530" s="11" t="s">
        <v>1557</v>
      </c>
      <c r="Q530" s="25" t="n">
        <f aca="false">SUMIFS('Commentary drivers'!$D:$D,'Commentary drivers'!$A:$A,A530)</f>
        <v>80.5</v>
      </c>
      <c r="R530" s="25" t="n">
        <f aca="false">SUMIFS('Commentary drivers'!$E:$E,'Commentary drivers'!$A:$A,A530)</f>
        <v>80.5</v>
      </c>
      <c r="S530" s="49" t="str">
        <f aca="false">IF(AND(ROUND(Q530-J530,4)=0,ROUND(R530-K530,1)=0),"✓","✗")</f>
        <v>✓</v>
      </c>
    </row>
    <row r="531" customFormat="false" ht="15" hidden="false" customHeight="false" outlineLevel="0" collapsed="false">
      <c r="A531" s="11" t="s">
        <v>1937</v>
      </c>
      <c r="B531" s="11" t="s">
        <v>33</v>
      </c>
      <c r="C531" s="11" t="s">
        <v>34</v>
      </c>
      <c r="D531" s="11" t="s">
        <v>1337</v>
      </c>
      <c r="E531" s="11" t="s">
        <v>1420</v>
      </c>
      <c r="F531" s="11" t="s">
        <v>97</v>
      </c>
      <c r="G531" s="11" t="n">
        <v>0</v>
      </c>
      <c r="H531" s="34" t="n">
        <v>1695.425</v>
      </c>
      <c r="I531" s="34" t="n">
        <v>1645.693</v>
      </c>
      <c r="J531" s="34" t="n">
        <v>49.732</v>
      </c>
      <c r="K531" s="34" t="n">
        <v>49.7</v>
      </c>
      <c r="L531" s="11" t="s">
        <v>762</v>
      </c>
      <c r="M531" s="11" t="s">
        <v>1250</v>
      </c>
      <c r="N531" s="11" t="s">
        <v>1251</v>
      </c>
      <c r="O531" s="11" t="s">
        <v>1252</v>
      </c>
      <c r="P531" s="11" t="s">
        <v>1557</v>
      </c>
      <c r="Q531" s="25" t="n">
        <f aca="false">SUMIFS('Commentary drivers'!$D:$D,'Commentary drivers'!$A:$A,A531)</f>
        <v>49.732</v>
      </c>
      <c r="R531" s="25" t="n">
        <f aca="false">SUMIFS('Commentary drivers'!$E:$E,'Commentary drivers'!$A:$A,A531)</f>
        <v>49.6999999999997</v>
      </c>
      <c r="S531" s="49" t="str">
        <f aca="false">IF(AND(ROUND(Q531-J531,4)=0,ROUND(R531-K531,1)=0),"✓","✗")</f>
        <v>✓</v>
      </c>
    </row>
    <row r="532" customFormat="false" ht="15" hidden="false" customHeight="false" outlineLevel="0" collapsed="false">
      <c r="A532" s="11" t="s">
        <v>1938</v>
      </c>
      <c r="B532" s="11" t="s">
        <v>33</v>
      </c>
      <c r="C532" s="11" t="s">
        <v>34</v>
      </c>
      <c r="D532" s="11" t="s">
        <v>1422</v>
      </c>
      <c r="E532" s="11" t="s">
        <v>1423</v>
      </c>
      <c r="F532" s="11" t="s">
        <v>312</v>
      </c>
      <c r="G532" s="11" t="n">
        <v>0</v>
      </c>
      <c r="H532" s="34" t="n">
        <v>15149.355</v>
      </c>
      <c r="I532" s="34" t="n">
        <v>12013.688</v>
      </c>
      <c r="J532" s="34" t="n">
        <v>3135.667</v>
      </c>
      <c r="K532" s="34" t="n">
        <v>3135.7</v>
      </c>
      <c r="L532" s="11" t="s">
        <v>763</v>
      </c>
      <c r="M532" s="11" t="s">
        <v>1250</v>
      </c>
      <c r="N532" s="11" t="s">
        <v>1251</v>
      </c>
      <c r="O532" s="11" t="s">
        <v>1252</v>
      </c>
      <c r="P532" s="11" t="s">
        <v>1557</v>
      </c>
      <c r="Q532" s="25" t="n">
        <f aca="false">SUMIFS('Commentary drivers'!$D:$D,'Commentary drivers'!$A:$A,A532)</f>
        <v>3135.667</v>
      </c>
      <c r="R532" s="25" t="n">
        <f aca="false">SUMIFS('Commentary drivers'!$E:$E,'Commentary drivers'!$A:$A,A532)</f>
        <v>3135.7</v>
      </c>
      <c r="S532" s="49" t="str">
        <f aca="false">IF(AND(ROUND(Q532-J532,4)=0,ROUND(R532-K532,1)=0),"✓","✗")</f>
        <v>✓</v>
      </c>
    </row>
    <row r="533" customFormat="false" ht="15" hidden="false" customHeight="false" outlineLevel="0" collapsed="false">
      <c r="A533" s="11" t="s">
        <v>1939</v>
      </c>
      <c r="B533" s="11" t="s">
        <v>33</v>
      </c>
      <c r="C533" s="11" t="s">
        <v>34</v>
      </c>
      <c r="D533" s="11" t="s">
        <v>1422</v>
      </c>
      <c r="E533" s="11" t="s">
        <v>1425</v>
      </c>
      <c r="F533" s="11" t="s">
        <v>314</v>
      </c>
      <c r="G533" s="11" t="n">
        <v>1</v>
      </c>
      <c r="H533" s="34" t="n">
        <v>13819.355</v>
      </c>
      <c r="I533" s="34" t="n">
        <v>11123.688</v>
      </c>
      <c r="J533" s="34" t="n">
        <v>2695.667</v>
      </c>
      <c r="K533" s="34" t="n">
        <v>2695.7</v>
      </c>
      <c r="L533" s="11" t="s">
        <v>692</v>
      </c>
      <c r="M533" s="11" t="s">
        <v>1250</v>
      </c>
      <c r="N533" s="11" t="s">
        <v>1251</v>
      </c>
      <c r="O533" s="11" t="s">
        <v>1252</v>
      </c>
      <c r="P533" s="11" t="s">
        <v>1557</v>
      </c>
      <c r="Q533" s="25" t="n">
        <f aca="false">SUMIFS('Commentary drivers'!$D:$D,'Commentary drivers'!$A:$A,A533)</f>
        <v>2695.667</v>
      </c>
      <c r="R533" s="25" t="n">
        <f aca="false">SUMIFS('Commentary drivers'!$E:$E,'Commentary drivers'!$A:$A,A533)</f>
        <v>2695.7</v>
      </c>
      <c r="S533" s="49" t="str">
        <f aca="false">IF(AND(ROUND(Q533-J533,4)=0,ROUND(R533-K533,1)=0),"✓","✗")</f>
        <v>✓</v>
      </c>
    </row>
    <row r="534" customFormat="false" ht="15" hidden="false" customHeight="false" outlineLevel="0" collapsed="false">
      <c r="A534" s="11" t="s">
        <v>1940</v>
      </c>
      <c r="B534" s="11" t="s">
        <v>33</v>
      </c>
      <c r="C534" s="11" t="s">
        <v>34</v>
      </c>
      <c r="D534" s="11" t="s">
        <v>1422</v>
      </c>
      <c r="E534" s="11" t="s">
        <v>1427</v>
      </c>
      <c r="F534" s="11" t="s">
        <v>315</v>
      </c>
      <c r="G534" s="11" t="n">
        <v>1</v>
      </c>
      <c r="H534" s="34" t="n">
        <v>1330</v>
      </c>
      <c r="I534" s="34" t="n">
        <v>890</v>
      </c>
      <c r="J534" s="34" t="n">
        <v>440</v>
      </c>
      <c r="K534" s="34" t="n">
        <v>440</v>
      </c>
      <c r="L534" s="11" t="s">
        <v>693</v>
      </c>
      <c r="M534" s="11" t="s">
        <v>1250</v>
      </c>
      <c r="N534" s="11" t="s">
        <v>1251</v>
      </c>
      <c r="O534" s="11" t="s">
        <v>1252</v>
      </c>
      <c r="P534" s="11" t="s">
        <v>1557</v>
      </c>
      <c r="Q534" s="25" t="n">
        <f aca="false">SUMIFS('Commentary drivers'!$D:$D,'Commentary drivers'!$A:$A,A534)</f>
        <v>440</v>
      </c>
      <c r="R534" s="25" t="n">
        <f aca="false">SUMIFS('Commentary drivers'!$E:$E,'Commentary drivers'!$A:$A,A534)</f>
        <v>440</v>
      </c>
      <c r="S534" s="49" t="str">
        <f aca="false">IF(AND(ROUND(Q534-J534,4)=0,ROUND(R534-K534,1)=0),"✓","✗")</f>
        <v>✓</v>
      </c>
    </row>
    <row r="535" customFormat="false" ht="15" hidden="false" customHeight="false" outlineLevel="0" collapsed="false">
      <c r="A535" s="11" t="s">
        <v>1941</v>
      </c>
      <c r="B535" s="11" t="s">
        <v>33</v>
      </c>
      <c r="C535" s="11" t="s">
        <v>34</v>
      </c>
      <c r="D535" s="11" t="s">
        <v>1422</v>
      </c>
      <c r="E535" s="11" t="s">
        <v>1429</v>
      </c>
      <c r="F535" s="11" t="s">
        <v>316</v>
      </c>
      <c r="G535" s="11" t="n">
        <v>0</v>
      </c>
      <c r="H535" s="34" t="n">
        <v>7762.93</v>
      </c>
      <c r="I535" s="34" t="n">
        <v>5966.677</v>
      </c>
      <c r="J535" s="34" t="n">
        <v>1796.253</v>
      </c>
      <c r="K535" s="34" t="n">
        <v>1796.3</v>
      </c>
      <c r="L535" s="11" t="s">
        <v>764</v>
      </c>
      <c r="M535" s="11" t="s">
        <v>1250</v>
      </c>
      <c r="N535" s="11" t="s">
        <v>1251</v>
      </c>
      <c r="O535" s="11" t="s">
        <v>1252</v>
      </c>
      <c r="P535" s="11" t="s">
        <v>1557</v>
      </c>
      <c r="Q535" s="25" t="n">
        <f aca="false">SUMIFS('Commentary drivers'!$D:$D,'Commentary drivers'!$A:$A,A535)</f>
        <v>1796.253</v>
      </c>
      <c r="R535" s="25" t="n">
        <f aca="false">SUMIFS('Commentary drivers'!$E:$E,'Commentary drivers'!$A:$A,A535)</f>
        <v>1796.3</v>
      </c>
      <c r="S535" s="49" t="str">
        <f aca="false">IF(AND(ROUND(Q535-J535,4)=0,ROUND(R535-K535,1)=0),"✓","✗")</f>
        <v>✓</v>
      </c>
    </row>
    <row r="536" customFormat="false" ht="15" hidden="false" customHeight="false" outlineLevel="0" collapsed="false">
      <c r="A536" s="11" t="s">
        <v>1942</v>
      </c>
      <c r="B536" s="11" t="s">
        <v>33</v>
      </c>
      <c r="C536" s="11" t="s">
        <v>34</v>
      </c>
      <c r="D536" s="11" t="s">
        <v>1422</v>
      </c>
      <c r="E536" s="11" t="s">
        <v>1431</v>
      </c>
      <c r="F536" s="11" t="s">
        <v>192</v>
      </c>
      <c r="G536" s="11" t="n">
        <v>1</v>
      </c>
      <c r="H536" s="34" t="n">
        <v>2949.428</v>
      </c>
      <c r="I536" s="34" t="n">
        <v>2275.129</v>
      </c>
      <c r="J536" s="34" t="n">
        <v>674.299</v>
      </c>
      <c r="K536" s="34" t="n">
        <v>674.3</v>
      </c>
      <c r="L536" s="11" t="s">
        <v>765</v>
      </c>
      <c r="M536" s="11" t="s">
        <v>1250</v>
      </c>
      <c r="N536" s="11" t="s">
        <v>1251</v>
      </c>
      <c r="O536" s="11" t="s">
        <v>1252</v>
      </c>
      <c r="P536" s="11" t="s">
        <v>1557</v>
      </c>
      <c r="Q536" s="25" t="n">
        <f aca="false">SUMIFS('Commentary drivers'!$D:$D,'Commentary drivers'!$A:$A,A536)</f>
        <v>674.299</v>
      </c>
      <c r="R536" s="25" t="n">
        <f aca="false">SUMIFS('Commentary drivers'!$E:$E,'Commentary drivers'!$A:$A,A536)</f>
        <v>674.3</v>
      </c>
      <c r="S536" s="49" t="str">
        <f aca="false">IF(AND(ROUND(Q536-J536,4)=0,ROUND(R536-K536,1)=0),"✓","✗")</f>
        <v>✓</v>
      </c>
    </row>
    <row r="537" customFormat="false" ht="15" hidden="false" customHeight="false" outlineLevel="0" collapsed="false">
      <c r="A537" s="11" t="s">
        <v>1943</v>
      </c>
      <c r="B537" s="11" t="s">
        <v>33</v>
      </c>
      <c r="C537" s="11" t="s">
        <v>34</v>
      </c>
      <c r="D537" s="11" t="s">
        <v>1422</v>
      </c>
      <c r="E537" s="11" t="s">
        <v>1433</v>
      </c>
      <c r="F537" s="11" t="s">
        <v>195</v>
      </c>
      <c r="G537" s="11" t="n">
        <v>1</v>
      </c>
      <c r="H537" s="34" t="n">
        <v>990.56</v>
      </c>
      <c r="I537" s="34" t="n">
        <v>774.221</v>
      </c>
      <c r="J537" s="34" t="n">
        <v>216.339</v>
      </c>
      <c r="K537" s="34" t="n">
        <v>216.3</v>
      </c>
      <c r="L537" s="11" t="s">
        <v>766</v>
      </c>
      <c r="M537" s="11" t="s">
        <v>1250</v>
      </c>
      <c r="N537" s="11" t="s">
        <v>1251</v>
      </c>
      <c r="O537" s="11" t="s">
        <v>1252</v>
      </c>
      <c r="P537" s="11" t="s">
        <v>1557</v>
      </c>
      <c r="Q537" s="25" t="n">
        <f aca="false">SUMIFS('Commentary drivers'!$D:$D,'Commentary drivers'!$A:$A,A537)</f>
        <v>216.339</v>
      </c>
      <c r="R537" s="25" t="n">
        <f aca="false">SUMIFS('Commentary drivers'!$E:$E,'Commentary drivers'!$A:$A,A537)</f>
        <v>216.3</v>
      </c>
      <c r="S537" s="49" t="str">
        <f aca="false">IF(AND(ROUND(Q537-J537,4)=0,ROUND(R537-K537,1)=0),"✓","✗")</f>
        <v>✓</v>
      </c>
    </row>
    <row r="538" customFormat="false" ht="15" hidden="false" customHeight="false" outlineLevel="0" collapsed="false">
      <c r="A538" s="11" t="s">
        <v>1944</v>
      </c>
      <c r="B538" s="11" t="s">
        <v>33</v>
      </c>
      <c r="C538" s="11" t="s">
        <v>34</v>
      </c>
      <c r="D538" s="11" t="s">
        <v>1422</v>
      </c>
      <c r="E538" s="11" t="s">
        <v>1435</v>
      </c>
      <c r="F538" s="11" t="s">
        <v>198</v>
      </c>
      <c r="G538" s="11" t="n">
        <v>1</v>
      </c>
      <c r="H538" s="34" t="n">
        <v>1149.201</v>
      </c>
      <c r="I538" s="34" t="n">
        <v>922.962</v>
      </c>
      <c r="J538" s="34" t="n">
        <v>226.239</v>
      </c>
      <c r="K538" s="34" t="n">
        <v>226.2</v>
      </c>
      <c r="L538" s="11" t="s">
        <v>699</v>
      </c>
      <c r="M538" s="11" t="s">
        <v>1250</v>
      </c>
      <c r="N538" s="11" t="s">
        <v>1251</v>
      </c>
      <c r="O538" s="11" t="s">
        <v>1252</v>
      </c>
      <c r="P538" s="11" t="s">
        <v>1557</v>
      </c>
      <c r="Q538" s="25" t="n">
        <f aca="false">SUMIFS('Commentary drivers'!$D:$D,'Commentary drivers'!$A:$A,A538)</f>
        <v>226.239</v>
      </c>
      <c r="R538" s="25" t="n">
        <f aca="false">SUMIFS('Commentary drivers'!$E:$E,'Commentary drivers'!$A:$A,A538)</f>
        <v>226.2</v>
      </c>
      <c r="S538" s="49" t="str">
        <f aca="false">IF(AND(ROUND(Q538-J538,4)=0,ROUND(R538-K538,1)=0),"✓","✗")</f>
        <v>✓</v>
      </c>
    </row>
    <row r="539" customFormat="false" ht="15" hidden="false" customHeight="false" outlineLevel="0" collapsed="false">
      <c r="A539" s="11" t="s">
        <v>1945</v>
      </c>
      <c r="B539" s="11" t="s">
        <v>33</v>
      </c>
      <c r="C539" s="11" t="s">
        <v>34</v>
      </c>
      <c r="D539" s="11" t="s">
        <v>1422</v>
      </c>
      <c r="E539" s="11" t="s">
        <v>1437</v>
      </c>
      <c r="F539" s="11" t="s">
        <v>323</v>
      </c>
      <c r="G539" s="11" t="n">
        <v>1</v>
      </c>
      <c r="H539" s="34" t="n">
        <v>959.568</v>
      </c>
      <c r="I539" s="34" t="n">
        <v>748.152</v>
      </c>
      <c r="J539" s="34" t="n">
        <v>211.416</v>
      </c>
      <c r="K539" s="34" t="n">
        <v>211.4</v>
      </c>
      <c r="L539" s="11" t="s">
        <v>767</v>
      </c>
      <c r="M539" s="11" t="s">
        <v>1250</v>
      </c>
      <c r="N539" s="11" t="s">
        <v>1251</v>
      </c>
      <c r="O539" s="11" t="s">
        <v>1252</v>
      </c>
      <c r="P539" s="11" t="s">
        <v>1557</v>
      </c>
      <c r="Q539" s="25" t="n">
        <f aca="false">SUMIFS('Commentary drivers'!$D:$D,'Commentary drivers'!$A:$A,A539)</f>
        <v>211.416</v>
      </c>
      <c r="R539" s="25" t="n">
        <f aca="false">SUMIFS('Commentary drivers'!$E:$E,'Commentary drivers'!$A:$A,A539)</f>
        <v>211.4</v>
      </c>
      <c r="S539" s="49" t="str">
        <f aca="false">IF(AND(ROUND(Q539-J539,4)=0,ROUND(R539-K539,1)=0),"✓","✗")</f>
        <v>✓</v>
      </c>
    </row>
    <row r="540" customFormat="false" ht="15" hidden="false" customHeight="false" outlineLevel="0" collapsed="false">
      <c r="A540" s="11" t="s">
        <v>1946</v>
      </c>
      <c r="B540" s="11" t="s">
        <v>33</v>
      </c>
      <c r="C540" s="11" t="s">
        <v>34</v>
      </c>
      <c r="D540" s="11" t="s">
        <v>1422</v>
      </c>
      <c r="E540" s="11" t="s">
        <v>1439</v>
      </c>
      <c r="F540" s="11" t="s">
        <v>225</v>
      </c>
      <c r="G540" s="11" t="n">
        <v>1</v>
      </c>
      <c r="H540" s="34" t="n">
        <v>1714.173</v>
      </c>
      <c r="I540" s="34" t="n">
        <v>1246.213</v>
      </c>
      <c r="J540" s="34" t="n">
        <v>467.96</v>
      </c>
      <c r="K540" s="34" t="n">
        <v>468</v>
      </c>
      <c r="L540" s="11" t="s">
        <v>712</v>
      </c>
      <c r="M540" s="11" t="s">
        <v>1250</v>
      </c>
      <c r="N540" s="11" t="s">
        <v>1251</v>
      </c>
      <c r="O540" s="11" t="s">
        <v>1252</v>
      </c>
      <c r="P540" s="11" t="s">
        <v>1557</v>
      </c>
      <c r="Q540" s="25" t="n">
        <f aca="false">SUMIFS('Commentary drivers'!$D:$D,'Commentary drivers'!$A:$A,A540)</f>
        <v>467.96</v>
      </c>
      <c r="R540" s="25" t="n">
        <f aca="false">SUMIFS('Commentary drivers'!$E:$E,'Commentary drivers'!$A:$A,A540)</f>
        <v>468</v>
      </c>
      <c r="S540" s="49" t="str">
        <f aca="false">IF(AND(ROUND(Q540-J540,4)=0,ROUND(R540-K540,1)=0),"✓","✗")</f>
        <v>✓</v>
      </c>
    </row>
    <row r="541" customFormat="false" ht="15" hidden="false" customHeight="false" outlineLevel="0" collapsed="false">
      <c r="A541" s="11" t="s">
        <v>1947</v>
      </c>
      <c r="B541" s="11" t="s">
        <v>33</v>
      </c>
      <c r="C541" s="11" t="s">
        <v>34</v>
      </c>
      <c r="D541" s="11" t="s">
        <v>1422</v>
      </c>
      <c r="E541" s="11" t="s">
        <v>1441</v>
      </c>
      <c r="F541" s="11" t="s">
        <v>325</v>
      </c>
      <c r="G541" s="11" t="n">
        <v>0</v>
      </c>
      <c r="H541" s="34" t="n">
        <v>1979.5</v>
      </c>
      <c r="I541" s="34" t="n">
        <v>1480</v>
      </c>
      <c r="J541" s="34" t="n">
        <v>499.5</v>
      </c>
      <c r="K541" s="34" t="n">
        <v>499.5</v>
      </c>
      <c r="L541" s="11" t="s">
        <v>768</v>
      </c>
      <c r="M541" s="11" t="s">
        <v>1250</v>
      </c>
      <c r="N541" s="11" t="s">
        <v>1251</v>
      </c>
      <c r="O541" s="11" t="s">
        <v>1252</v>
      </c>
      <c r="P541" s="11" t="s">
        <v>1557</v>
      </c>
      <c r="Q541" s="25" t="n">
        <f aca="false">SUMIFS('Commentary drivers'!$D:$D,'Commentary drivers'!$A:$A,A541)</f>
        <v>499.5</v>
      </c>
      <c r="R541" s="25" t="n">
        <f aca="false">SUMIFS('Commentary drivers'!$E:$E,'Commentary drivers'!$A:$A,A541)</f>
        <v>499.5</v>
      </c>
      <c r="S541" s="49" t="str">
        <f aca="false">IF(AND(ROUND(Q541-J541,4)=0,ROUND(R541-K541,1)=0),"✓","✗")</f>
        <v>✓</v>
      </c>
    </row>
    <row r="542" customFormat="false" ht="15" hidden="false" customHeight="false" outlineLevel="0" collapsed="false">
      <c r="A542" s="11" t="s">
        <v>1948</v>
      </c>
      <c r="B542" s="11" t="s">
        <v>33</v>
      </c>
      <c r="C542" s="11" t="s">
        <v>34</v>
      </c>
      <c r="D542" s="11" t="s">
        <v>1422</v>
      </c>
      <c r="E542" s="11" t="s">
        <v>1443</v>
      </c>
      <c r="F542" s="11" t="s">
        <v>189</v>
      </c>
      <c r="G542" s="11" t="n">
        <v>1</v>
      </c>
      <c r="H542" s="34" t="n">
        <v>1395.5</v>
      </c>
      <c r="I542" s="34" t="n">
        <v>1040</v>
      </c>
      <c r="J542" s="34" t="n">
        <v>355.5</v>
      </c>
      <c r="K542" s="34" t="n">
        <v>355.5</v>
      </c>
      <c r="L542" s="11" t="s">
        <v>769</v>
      </c>
      <c r="M542" s="11" t="s">
        <v>1250</v>
      </c>
      <c r="N542" s="11" t="s">
        <v>1251</v>
      </c>
      <c r="O542" s="11" t="s">
        <v>1252</v>
      </c>
      <c r="P542" s="11" t="s">
        <v>1557</v>
      </c>
      <c r="Q542" s="25" t="n">
        <f aca="false">SUMIFS('Commentary drivers'!$D:$D,'Commentary drivers'!$A:$A,A542)</f>
        <v>355.5</v>
      </c>
      <c r="R542" s="25" t="n">
        <f aca="false">SUMIFS('Commentary drivers'!$E:$E,'Commentary drivers'!$A:$A,A542)</f>
        <v>355.5</v>
      </c>
      <c r="S542" s="49" t="str">
        <f aca="false">IF(AND(ROUND(Q542-J542,4)=0,ROUND(R542-K542,1)=0),"✓","✗")</f>
        <v>✓</v>
      </c>
    </row>
    <row r="543" customFormat="false" ht="15" hidden="false" customHeight="false" outlineLevel="0" collapsed="false">
      <c r="A543" s="11" t="s">
        <v>1949</v>
      </c>
      <c r="B543" s="11" t="s">
        <v>33</v>
      </c>
      <c r="C543" s="11" t="s">
        <v>34</v>
      </c>
      <c r="D543" s="11" t="s">
        <v>1422</v>
      </c>
      <c r="E543" s="11" t="s">
        <v>1445</v>
      </c>
      <c r="F543" s="11" t="s">
        <v>201</v>
      </c>
      <c r="G543" s="11" t="n">
        <v>1</v>
      </c>
      <c r="H543" s="34" t="n">
        <v>584</v>
      </c>
      <c r="I543" s="34" t="n">
        <v>440</v>
      </c>
      <c r="J543" s="34" t="n">
        <v>144</v>
      </c>
      <c r="K543" s="34" t="n">
        <v>144</v>
      </c>
      <c r="L543" s="11" t="s">
        <v>770</v>
      </c>
      <c r="M543" s="11" t="s">
        <v>1250</v>
      </c>
      <c r="N543" s="11" t="s">
        <v>1251</v>
      </c>
      <c r="O543" s="11" t="s">
        <v>1252</v>
      </c>
      <c r="P543" s="11" t="s">
        <v>1557</v>
      </c>
      <c r="Q543" s="25" t="n">
        <f aca="false">SUMIFS('Commentary drivers'!$D:$D,'Commentary drivers'!$A:$A,A543)</f>
        <v>144</v>
      </c>
      <c r="R543" s="25" t="n">
        <f aca="false">SUMIFS('Commentary drivers'!$E:$E,'Commentary drivers'!$A:$A,A543)</f>
        <v>144</v>
      </c>
      <c r="S543" s="49" t="str">
        <f aca="false">IF(AND(ROUND(Q543-J543,4)=0,ROUND(R543-K543,1)=0),"✓","✗")</f>
        <v>✓</v>
      </c>
    </row>
    <row r="544" customFormat="false" ht="15" hidden="false" customHeight="false" outlineLevel="0" collapsed="false">
      <c r="A544" s="11" t="s">
        <v>1950</v>
      </c>
      <c r="B544" s="11" t="s">
        <v>33</v>
      </c>
      <c r="C544" s="11" t="s">
        <v>34</v>
      </c>
      <c r="D544" s="11" t="s">
        <v>1422</v>
      </c>
      <c r="E544" s="11" t="s">
        <v>1447</v>
      </c>
      <c r="F544" s="11" t="s">
        <v>331</v>
      </c>
      <c r="G544" s="11" t="n">
        <v>0</v>
      </c>
      <c r="H544" s="34" t="n">
        <v>1974.5</v>
      </c>
      <c r="I544" s="34" t="n">
        <v>1596.5</v>
      </c>
      <c r="J544" s="34" t="n">
        <v>378</v>
      </c>
      <c r="K544" s="34" t="n">
        <v>378</v>
      </c>
      <c r="L544" s="11" t="s">
        <v>771</v>
      </c>
      <c r="M544" s="11" t="s">
        <v>1250</v>
      </c>
      <c r="N544" s="11" t="s">
        <v>1251</v>
      </c>
      <c r="O544" s="11" t="s">
        <v>1252</v>
      </c>
      <c r="P544" s="11" t="s">
        <v>1557</v>
      </c>
      <c r="Q544" s="25" t="n">
        <f aca="false">SUMIFS('Commentary drivers'!$D:$D,'Commentary drivers'!$A:$A,A544)</f>
        <v>378</v>
      </c>
      <c r="R544" s="25" t="n">
        <f aca="false">SUMIFS('Commentary drivers'!$E:$E,'Commentary drivers'!$A:$A,A544)</f>
        <v>378</v>
      </c>
      <c r="S544" s="49" t="str">
        <f aca="false">IF(AND(ROUND(Q544-J544,4)=0,ROUND(R544-K544,1)=0),"✓","✗")</f>
        <v>✓</v>
      </c>
    </row>
    <row r="545" customFormat="false" ht="15" hidden="false" customHeight="false" outlineLevel="0" collapsed="false">
      <c r="A545" s="11" t="s">
        <v>1951</v>
      </c>
      <c r="B545" s="11" t="s">
        <v>33</v>
      </c>
      <c r="C545" s="11" t="s">
        <v>34</v>
      </c>
      <c r="D545" s="11" t="s">
        <v>1422</v>
      </c>
      <c r="E545" s="11" t="s">
        <v>1449</v>
      </c>
      <c r="F545" s="11" t="s">
        <v>230</v>
      </c>
      <c r="G545" s="11" t="n">
        <v>1</v>
      </c>
      <c r="H545" s="34" t="n">
        <v>701.5</v>
      </c>
      <c r="I545" s="34" t="n">
        <v>538</v>
      </c>
      <c r="J545" s="34" t="n">
        <v>163.5</v>
      </c>
      <c r="K545" s="34" t="n">
        <v>163.5</v>
      </c>
      <c r="L545" s="11" t="s">
        <v>714</v>
      </c>
      <c r="M545" s="11" t="s">
        <v>1250</v>
      </c>
      <c r="N545" s="11" t="s">
        <v>1251</v>
      </c>
      <c r="O545" s="11" t="s">
        <v>1252</v>
      </c>
      <c r="P545" s="11" t="s">
        <v>1557</v>
      </c>
      <c r="Q545" s="25" t="n">
        <f aca="false">SUMIFS('Commentary drivers'!$D:$D,'Commentary drivers'!$A:$A,A545)</f>
        <v>163.5</v>
      </c>
      <c r="R545" s="25" t="n">
        <f aca="false">SUMIFS('Commentary drivers'!$E:$E,'Commentary drivers'!$A:$A,A545)</f>
        <v>163.5</v>
      </c>
      <c r="S545" s="49" t="str">
        <f aca="false">IF(AND(ROUND(Q545-J545,4)=0,ROUND(R545-K545,1)=0),"✓","✗")</f>
        <v>✓</v>
      </c>
    </row>
    <row r="546" customFormat="false" ht="15" hidden="false" customHeight="false" outlineLevel="0" collapsed="false">
      <c r="A546" s="11" t="s">
        <v>1952</v>
      </c>
      <c r="B546" s="11" t="s">
        <v>33</v>
      </c>
      <c r="C546" s="11" t="s">
        <v>34</v>
      </c>
      <c r="D546" s="11" t="s">
        <v>1422</v>
      </c>
      <c r="E546" s="11" t="s">
        <v>1451</v>
      </c>
      <c r="F546" s="11" t="s">
        <v>242</v>
      </c>
      <c r="G546" s="11" t="n">
        <v>1</v>
      </c>
      <c r="H546" s="34" t="n">
        <v>1273</v>
      </c>
      <c r="I546" s="34" t="n">
        <v>1058.5</v>
      </c>
      <c r="J546" s="34" t="n">
        <v>214.5</v>
      </c>
      <c r="K546" s="34" t="n">
        <v>214.5</v>
      </c>
      <c r="L546" s="11" t="s">
        <v>720</v>
      </c>
      <c r="M546" s="11" t="s">
        <v>1315</v>
      </c>
      <c r="N546" s="11" t="s">
        <v>1251</v>
      </c>
      <c r="O546" s="11" t="s">
        <v>1252</v>
      </c>
      <c r="P546" s="11" t="s">
        <v>1557</v>
      </c>
      <c r="Q546" s="25" t="n">
        <f aca="false">SUMIFS('Commentary drivers'!$D:$D,'Commentary drivers'!$A:$A,A546)</f>
        <v>214.5</v>
      </c>
      <c r="R546" s="25" t="n">
        <f aca="false">SUMIFS('Commentary drivers'!$E:$E,'Commentary drivers'!$A:$A,A546)</f>
        <v>214.5</v>
      </c>
      <c r="S546" s="49" t="str">
        <f aca="false">IF(AND(ROUND(Q546-J546,4)=0,ROUND(R546-K546,1)=0),"✓","✗")</f>
        <v>✓</v>
      </c>
    </row>
    <row r="547" customFormat="false" ht="15" hidden="false" customHeight="false" outlineLevel="0" collapsed="false">
      <c r="A547" s="11" t="s">
        <v>1953</v>
      </c>
      <c r="B547" s="11" t="s">
        <v>33</v>
      </c>
      <c r="C547" s="11" t="s">
        <v>34</v>
      </c>
      <c r="D547" s="11" t="s">
        <v>1422</v>
      </c>
      <c r="E547" s="11" t="s">
        <v>1453</v>
      </c>
      <c r="F547" s="11" t="s">
        <v>334</v>
      </c>
      <c r="G547" s="11" t="n">
        <v>0</v>
      </c>
      <c r="H547" s="34" t="n">
        <v>1323.5</v>
      </c>
      <c r="I547" s="34" t="n">
        <v>992.818</v>
      </c>
      <c r="J547" s="34" t="n">
        <v>330.682</v>
      </c>
      <c r="K547" s="34" t="n">
        <v>330.7</v>
      </c>
      <c r="L547" s="11" t="s">
        <v>772</v>
      </c>
      <c r="M547" s="11" t="s">
        <v>1250</v>
      </c>
      <c r="N547" s="11" t="s">
        <v>1251</v>
      </c>
      <c r="O547" s="11" t="s">
        <v>1252</v>
      </c>
      <c r="P547" s="11" t="s">
        <v>1557</v>
      </c>
      <c r="Q547" s="25" t="n">
        <f aca="false">SUMIFS('Commentary drivers'!$D:$D,'Commentary drivers'!$A:$A,A547)</f>
        <v>330.682</v>
      </c>
      <c r="R547" s="25" t="n">
        <f aca="false">SUMIFS('Commentary drivers'!$E:$E,'Commentary drivers'!$A:$A,A547)</f>
        <v>330.7</v>
      </c>
      <c r="S547" s="49" t="str">
        <f aca="false">IF(AND(ROUND(Q547-J547,4)=0,ROUND(R547-K547,1)=0),"✓","✗")</f>
        <v>✓</v>
      </c>
    </row>
    <row r="548" customFormat="false" ht="15" hidden="false" customHeight="false" outlineLevel="0" collapsed="false">
      <c r="A548" s="11" t="s">
        <v>1954</v>
      </c>
      <c r="B548" s="11" t="s">
        <v>33</v>
      </c>
      <c r="C548" s="11" t="s">
        <v>34</v>
      </c>
      <c r="D548" s="11" t="s">
        <v>1422</v>
      </c>
      <c r="E548" s="11" t="s">
        <v>1455</v>
      </c>
      <c r="F548" s="11" t="s">
        <v>233</v>
      </c>
      <c r="G548" s="11" t="n">
        <v>1</v>
      </c>
      <c r="H548" s="34" t="n">
        <v>289.5</v>
      </c>
      <c r="I548" s="34" t="n">
        <v>152.818</v>
      </c>
      <c r="J548" s="34" t="n">
        <v>136.682</v>
      </c>
      <c r="K548" s="34" t="n">
        <v>136.7</v>
      </c>
      <c r="L548" s="11" t="s">
        <v>715</v>
      </c>
      <c r="M548" s="11" t="s">
        <v>1250</v>
      </c>
      <c r="N548" s="11" t="s">
        <v>1251</v>
      </c>
      <c r="O548" s="11" t="s">
        <v>1252</v>
      </c>
      <c r="P548" s="11" t="s">
        <v>1557</v>
      </c>
      <c r="Q548" s="25" t="n">
        <f aca="false">SUMIFS('Commentary drivers'!$D:$D,'Commentary drivers'!$A:$A,A548)</f>
        <v>136.682</v>
      </c>
      <c r="R548" s="25" t="n">
        <f aca="false">SUMIFS('Commentary drivers'!$E:$E,'Commentary drivers'!$A:$A,A548)</f>
        <v>136.7</v>
      </c>
      <c r="S548" s="49" t="str">
        <f aca="false">IF(AND(ROUND(Q548-J548,4)=0,ROUND(R548-K548,1)=0),"✓","✗")</f>
        <v>✓</v>
      </c>
    </row>
    <row r="549" customFormat="false" ht="15" hidden="false" customHeight="false" outlineLevel="0" collapsed="false">
      <c r="A549" s="11" t="s">
        <v>1955</v>
      </c>
      <c r="B549" s="11" t="s">
        <v>33</v>
      </c>
      <c r="C549" s="11" t="s">
        <v>34</v>
      </c>
      <c r="D549" s="11" t="s">
        <v>1422</v>
      </c>
      <c r="E549" s="11" t="s">
        <v>1457</v>
      </c>
      <c r="F549" s="11" t="s">
        <v>204</v>
      </c>
      <c r="G549" s="11" t="n">
        <v>1</v>
      </c>
      <c r="H549" s="34" t="n">
        <v>450</v>
      </c>
      <c r="I549" s="34" t="n">
        <v>368</v>
      </c>
      <c r="J549" s="34" t="n">
        <v>82</v>
      </c>
      <c r="K549" s="34" t="n">
        <v>82</v>
      </c>
      <c r="L549" s="11" t="s">
        <v>773</v>
      </c>
      <c r="M549" s="11" t="s">
        <v>1250</v>
      </c>
      <c r="N549" s="11" t="s">
        <v>1251</v>
      </c>
      <c r="O549" s="11" t="s">
        <v>1252</v>
      </c>
      <c r="P549" s="11" t="s">
        <v>1557</v>
      </c>
      <c r="Q549" s="25" t="n">
        <f aca="false">SUMIFS('Commentary drivers'!$D:$D,'Commentary drivers'!$A:$A,A549)</f>
        <v>82</v>
      </c>
      <c r="R549" s="25" t="n">
        <f aca="false">SUMIFS('Commentary drivers'!$E:$E,'Commentary drivers'!$A:$A,A549)</f>
        <v>82</v>
      </c>
      <c r="S549" s="49" t="str">
        <f aca="false">IF(AND(ROUND(Q549-J549,4)=0,ROUND(R549-K549,1)=0),"✓","✗")</f>
        <v>✓</v>
      </c>
    </row>
    <row r="550" customFormat="false" ht="15" hidden="false" customHeight="false" outlineLevel="0" collapsed="false">
      <c r="A550" s="11" t="s">
        <v>1956</v>
      </c>
      <c r="B550" s="11" t="s">
        <v>33</v>
      </c>
      <c r="C550" s="11" t="s">
        <v>34</v>
      </c>
      <c r="D550" s="11" t="s">
        <v>1422</v>
      </c>
      <c r="E550" s="11" t="s">
        <v>1459</v>
      </c>
      <c r="F550" s="11" t="s">
        <v>207</v>
      </c>
      <c r="G550" s="11" t="n">
        <v>1</v>
      </c>
      <c r="H550" s="34" t="n">
        <v>584</v>
      </c>
      <c r="I550" s="34" t="n">
        <v>472</v>
      </c>
      <c r="J550" s="34" t="n">
        <v>112</v>
      </c>
      <c r="K550" s="34" t="n">
        <v>112</v>
      </c>
      <c r="L550" s="11" t="s">
        <v>774</v>
      </c>
      <c r="M550" s="11" t="s">
        <v>1250</v>
      </c>
      <c r="N550" s="11" t="s">
        <v>1251</v>
      </c>
      <c r="O550" s="11" t="s">
        <v>1252</v>
      </c>
      <c r="P550" s="11" t="s">
        <v>1557</v>
      </c>
      <c r="Q550" s="25" t="n">
        <f aca="false">SUMIFS('Commentary drivers'!$D:$D,'Commentary drivers'!$A:$A,A550)</f>
        <v>112</v>
      </c>
      <c r="R550" s="25" t="n">
        <f aca="false">SUMIFS('Commentary drivers'!$E:$E,'Commentary drivers'!$A:$A,A550)</f>
        <v>112</v>
      </c>
      <c r="S550" s="49" t="str">
        <f aca="false">IF(AND(ROUND(Q550-J550,4)=0,ROUND(R550-K550,1)=0),"✓","✗")</f>
        <v>✓</v>
      </c>
    </row>
    <row r="551" customFormat="false" ht="15" hidden="false" customHeight="false" outlineLevel="0" collapsed="false">
      <c r="A551" s="11" t="s">
        <v>1957</v>
      </c>
      <c r="B551" s="11" t="s">
        <v>33</v>
      </c>
      <c r="C551" s="11" t="s">
        <v>34</v>
      </c>
      <c r="D551" s="11" t="s">
        <v>1422</v>
      </c>
      <c r="E551" s="11" t="s">
        <v>1461</v>
      </c>
      <c r="F551" s="11" t="s">
        <v>339</v>
      </c>
      <c r="G551" s="11" t="n">
        <v>0</v>
      </c>
      <c r="H551" s="34" t="n">
        <v>13040.43</v>
      </c>
      <c r="I551" s="34" t="n">
        <v>10035.995</v>
      </c>
      <c r="J551" s="34" t="n">
        <v>3004.435</v>
      </c>
      <c r="K551" s="34" t="n">
        <v>3004.4</v>
      </c>
      <c r="L551" s="11" t="s">
        <v>775</v>
      </c>
      <c r="M551" s="11" t="s">
        <v>1250</v>
      </c>
      <c r="N551" s="11" t="s">
        <v>1251</v>
      </c>
      <c r="O551" s="11" t="s">
        <v>1252</v>
      </c>
      <c r="P551" s="11" t="s">
        <v>1557</v>
      </c>
      <c r="Q551" s="25" t="n">
        <f aca="false">SUMIFS('Commentary drivers'!$D:$D,'Commentary drivers'!$A:$A,A551)</f>
        <v>3004.435</v>
      </c>
      <c r="R551" s="25" t="n">
        <f aca="false">SUMIFS('Commentary drivers'!$E:$E,'Commentary drivers'!$A:$A,A551)</f>
        <v>3004.4</v>
      </c>
      <c r="S551" s="49" t="str">
        <f aca="false">IF(AND(ROUND(Q551-J551,4)=0,ROUND(R551-K551,1)=0),"✓","✗")</f>
        <v>✓</v>
      </c>
    </row>
    <row r="552" customFormat="false" ht="15" hidden="false" customHeight="false" outlineLevel="0" collapsed="false">
      <c r="A552" s="11" t="s">
        <v>1958</v>
      </c>
      <c r="B552" s="11" t="s">
        <v>33</v>
      </c>
      <c r="C552" s="11" t="s">
        <v>34</v>
      </c>
      <c r="D552" s="11" t="s">
        <v>1422</v>
      </c>
      <c r="E552" s="11" t="s">
        <v>1463</v>
      </c>
      <c r="F552" s="11" t="s">
        <v>96</v>
      </c>
      <c r="G552" s="11" t="n">
        <v>0</v>
      </c>
      <c r="H552" s="34" t="n">
        <v>2108.925</v>
      </c>
      <c r="I552" s="34" t="n">
        <v>1977.693</v>
      </c>
      <c r="J552" s="34" t="n">
        <v>131.232</v>
      </c>
      <c r="K552" s="34" t="n">
        <v>131.2</v>
      </c>
      <c r="L552" s="11" t="s">
        <v>776</v>
      </c>
      <c r="M552" s="11" t="s">
        <v>1250</v>
      </c>
      <c r="N552" s="11" t="s">
        <v>1251</v>
      </c>
      <c r="O552" s="11" t="s">
        <v>1252</v>
      </c>
      <c r="P552" s="11" t="s">
        <v>1557</v>
      </c>
      <c r="Q552" s="25" t="n">
        <f aca="false">SUMIFS('Commentary drivers'!$D:$D,'Commentary drivers'!$A:$A,A552)</f>
        <v>131.232</v>
      </c>
      <c r="R552" s="25" t="n">
        <f aca="false">SUMIFS('Commentary drivers'!$E:$E,'Commentary drivers'!$A:$A,A552)</f>
        <v>131.2</v>
      </c>
      <c r="S552" s="49" t="str">
        <f aca="false">IF(AND(ROUND(Q552-J552,4)=0,ROUND(R552-K552,1)=0),"✓","✗")</f>
        <v>✓</v>
      </c>
    </row>
    <row r="553" customFormat="false" ht="15" hidden="false" customHeight="false" outlineLevel="0" collapsed="false">
      <c r="A553" s="11" t="s">
        <v>1959</v>
      </c>
      <c r="B553" s="11" t="s">
        <v>33</v>
      </c>
      <c r="C553" s="11" t="s">
        <v>34</v>
      </c>
      <c r="D553" s="11" t="s">
        <v>1422</v>
      </c>
      <c r="E553" s="11" t="s">
        <v>1465</v>
      </c>
      <c r="F553" s="11" t="s">
        <v>343</v>
      </c>
      <c r="G553" s="11" t="n">
        <v>0</v>
      </c>
      <c r="H553" s="34" t="n">
        <v>-153</v>
      </c>
      <c r="I553" s="34" t="n">
        <v>-152</v>
      </c>
      <c r="J553" s="34" t="n">
        <v>-1</v>
      </c>
      <c r="K553" s="34" t="n">
        <v>-1</v>
      </c>
      <c r="L553" s="11" t="s">
        <v>777</v>
      </c>
      <c r="M553" s="11" t="s">
        <v>1250</v>
      </c>
      <c r="N553" s="11" t="s">
        <v>1251</v>
      </c>
      <c r="O553" s="11" t="s">
        <v>1252</v>
      </c>
      <c r="P553" s="11" t="s">
        <v>1557</v>
      </c>
      <c r="Q553" s="25" t="n">
        <f aca="false">SUMIFS('Commentary drivers'!$D:$D,'Commentary drivers'!$A:$A,A553)</f>
        <v>-1</v>
      </c>
      <c r="R553" s="25" t="n">
        <f aca="false">SUMIFS('Commentary drivers'!$E:$E,'Commentary drivers'!$A:$A,A553)</f>
        <v>-1</v>
      </c>
      <c r="S553" s="49" t="str">
        <f aca="false">IF(AND(ROUND(Q553-J553,4)=0,ROUND(R553-K553,1)=0),"✓","✗")</f>
        <v>✓</v>
      </c>
    </row>
    <row r="554" customFormat="false" ht="15" hidden="false" customHeight="false" outlineLevel="0" collapsed="false">
      <c r="A554" s="11" t="s">
        <v>1960</v>
      </c>
      <c r="B554" s="11" t="s">
        <v>33</v>
      </c>
      <c r="C554" s="11" t="s">
        <v>34</v>
      </c>
      <c r="D554" s="11" t="s">
        <v>1422</v>
      </c>
      <c r="E554" s="11" t="s">
        <v>1467</v>
      </c>
      <c r="F554" s="11" t="s">
        <v>345</v>
      </c>
      <c r="G554" s="11" t="n">
        <v>1</v>
      </c>
      <c r="H554" s="34" t="n">
        <v>89.5</v>
      </c>
      <c r="I554" s="34" t="n">
        <v>108</v>
      </c>
      <c r="J554" s="34" t="n">
        <v>-18.5</v>
      </c>
      <c r="K554" s="34" t="n">
        <v>-18.5</v>
      </c>
      <c r="L554" s="11" t="s">
        <v>725</v>
      </c>
      <c r="M554" s="11" t="s">
        <v>1250</v>
      </c>
      <c r="N554" s="11" t="s">
        <v>1251</v>
      </c>
      <c r="O554" s="11" t="s">
        <v>1252</v>
      </c>
      <c r="P554" s="11" t="s">
        <v>1557</v>
      </c>
      <c r="Q554" s="25" t="n">
        <f aca="false">SUMIFS('Commentary drivers'!$D:$D,'Commentary drivers'!$A:$A,A554)</f>
        <v>-18.5</v>
      </c>
      <c r="R554" s="25" t="n">
        <f aca="false">SUMIFS('Commentary drivers'!$E:$E,'Commentary drivers'!$A:$A,A554)</f>
        <v>-18.5</v>
      </c>
      <c r="S554" s="49" t="str">
        <f aca="false">IF(AND(ROUND(Q554-J554,4)=0,ROUND(R554-K554,1)=0),"✓","✗")</f>
        <v>✓</v>
      </c>
    </row>
    <row r="555" customFormat="false" ht="15" hidden="false" customHeight="false" outlineLevel="0" collapsed="false">
      <c r="A555" s="11" t="s">
        <v>1961</v>
      </c>
      <c r="B555" s="11" t="s">
        <v>33</v>
      </c>
      <c r="C555" s="11" t="s">
        <v>34</v>
      </c>
      <c r="D555" s="11" t="s">
        <v>1422</v>
      </c>
      <c r="E555" s="11" t="s">
        <v>1469</v>
      </c>
      <c r="F555" s="11" t="s">
        <v>346</v>
      </c>
      <c r="G555" s="11" t="n">
        <v>1</v>
      </c>
      <c r="H555" s="34" t="n">
        <v>242.5</v>
      </c>
      <c r="I555" s="34" t="n">
        <v>260</v>
      </c>
      <c r="J555" s="34" t="n">
        <v>-17.5</v>
      </c>
      <c r="K555" s="34" t="n">
        <v>-17.5</v>
      </c>
      <c r="L555" s="11" t="s">
        <v>726</v>
      </c>
      <c r="M555" s="11" t="s">
        <v>1250</v>
      </c>
      <c r="N555" s="11" t="s">
        <v>1251</v>
      </c>
      <c r="O555" s="11" t="s">
        <v>1252</v>
      </c>
      <c r="P555" s="11" t="s">
        <v>1557</v>
      </c>
      <c r="Q555" s="25" t="n">
        <f aca="false">SUMIFS('Commentary drivers'!$D:$D,'Commentary drivers'!$A:$A,A555)</f>
        <v>-17.5</v>
      </c>
      <c r="R555" s="25" t="n">
        <f aca="false">SUMIFS('Commentary drivers'!$E:$E,'Commentary drivers'!$A:$A,A555)</f>
        <v>-17.5</v>
      </c>
      <c r="S555" s="49" t="str">
        <f aca="false">IF(AND(ROUND(Q555-J555,4)=0,ROUND(R555-K555,1)=0),"✓","✗")</f>
        <v>✓</v>
      </c>
    </row>
    <row r="556" customFormat="false" ht="15" hidden="false" customHeight="false" outlineLevel="0" collapsed="false">
      <c r="A556" s="11" t="s">
        <v>1962</v>
      </c>
      <c r="B556" s="11" t="s">
        <v>33</v>
      </c>
      <c r="C556" s="11" t="s">
        <v>34</v>
      </c>
      <c r="D556" s="11" t="s">
        <v>1422</v>
      </c>
      <c r="E556" s="11" t="s">
        <v>1471</v>
      </c>
      <c r="F556" s="11" t="s">
        <v>347</v>
      </c>
      <c r="G556" s="11" t="n">
        <v>0</v>
      </c>
      <c r="H556" s="34" t="n">
        <v>260.5</v>
      </c>
      <c r="I556" s="34" t="n">
        <v>180</v>
      </c>
      <c r="J556" s="34" t="n">
        <v>80.5</v>
      </c>
      <c r="K556" s="34" t="n">
        <v>80.5</v>
      </c>
      <c r="L556" s="11" t="s">
        <v>728</v>
      </c>
      <c r="M556" s="11" t="s">
        <v>1250</v>
      </c>
      <c r="N556" s="11" t="s">
        <v>1251</v>
      </c>
      <c r="O556" s="11" t="s">
        <v>1252</v>
      </c>
      <c r="P556" s="11" t="s">
        <v>1557</v>
      </c>
      <c r="Q556" s="25" t="n">
        <f aca="false">SUMIFS('Commentary drivers'!$D:$D,'Commentary drivers'!$A:$A,A556)</f>
        <v>80.5</v>
      </c>
      <c r="R556" s="25" t="n">
        <f aca="false">SUMIFS('Commentary drivers'!$E:$E,'Commentary drivers'!$A:$A,A556)</f>
        <v>80.5</v>
      </c>
      <c r="S556" s="49" t="str">
        <f aca="false">IF(AND(ROUND(Q556-J556,4)=0,ROUND(R556-K556,1)=0),"✓","✗")</f>
        <v>✓</v>
      </c>
    </row>
    <row r="557" customFormat="false" ht="15" hidden="false" customHeight="false" outlineLevel="0" collapsed="false">
      <c r="A557" s="11" t="s">
        <v>1963</v>
      </c>
      <c r="B557" s="11" t="s">
        <v>33</v>
      </c>
      <c r="C557" s="11" t="s">
        <v>34</v>
      </c>
      <c r="D557" s="11" t="s">
        <v>1422</v>
      </c>
      <c r="E557" s="11" t="s">
        <v>1473</v>
      </c>
      <c r="F557" s="11" t="s">
        <v>97</v>
      </c>
      <c r="G557" s="11" t="n">
        <v>0</v>
      </c>
      <c r="H557" s="34" t="n">
        <v>1695.425</v>
      </c>
      <c r="I557" s="34" t="n">
        <v>1645.693</v>
      </c>
      <c r="J557" s="34" t="n">
        <v>49.732</v>
      </c>
      <c r="K557" s="34" t="n">
        <v>49.7</v>
      </c>
      <c r="L557" s="11" t="s">
        <v>778</v>
      </c>
      <c r="M557" s="11" t="s">
        <v>1250</v>
      </c>
      <c r="N557" s="11" t="s">
        <v>1251</v>
      </c>
      <c r="O557" s="11" t="s">
        <v>1252</v>
      </c>
      <c r="P557" s="11" t="s">
        <v>1557</v>
      </c>
      <c r="Q557" s="25" t="n">
        <f aca="false">SUMIFS('Commentary drivers'!$D:$D,'Commentary drivers'!$A:$A,A557)</f>
        <v>49.732</v>
      </c>
      <c r="R557" s="25" t="n">
        <f aca="false">SUMIFS('Commentary drivers'!$E:$E,'Commentary drivers'!$A:$A,A557)</f>
        <v>49.6999999999998</v>
      </c>
      <c r="S557" s="49" t="str">
        <f aca="false">IF(AND(ROUND(Q557-J557,4)=0,ROUND(R557-K557,1)=0),"✓","✗")</f>
        <v>✓</v>
      </c>
    </row>
    <row r="558" customFormat="false" ht="15" hidden="false" customHeight="false" outlineLevel="0" collapsed="false">
      <c r="A558" s="11" t="s">
        <v>1964</v>
      </c>
      <c r="B558" s="11" t="s">
        <v>33</v>
      </c>
      <c r="C558" s="11" t="s">
        <v>34</v>
      </c>
      <c r="D558" s="11" t="s">
        <v>1475</v>
      </c>
      <c r="E558" s="11" t="s">
        <v>1476</v>
      </c>
      <c r="F558" s="11" t="s">
        <v>351</v>
      </c>
      <c r="G558" s="11" t="n">
        <v>0</v>
      </c>
      <c r="H558" s="34" t="n">
        <v>18786.54644</v>
      </c>
      <c r="I558" s="34" t="n">
        <v>15311.15496</v>
      </c>
      <c r="J558" s="34" t="n">
        <v>3475.39148</v>
      </c>
      <c r="K558" s="34" t="n">
        <v>3475.4</v>
      </c>
      <c r="L558" s="11" t="s">
        <v>780</v>
      </c>
      <c r="M558" s="11" t="s">
        <v>1250</v>
      </c>
      <c r="N558" s="11" t="s">
        <v>1251</v>
      </c>
      <c r="O558" s="11" t="s">
        <v>1252</v>
      </c>
      <c r="P558" s="11" t="s">
        <v>1557</v>
      </c>
      <c r="Q558" s="25" t="n">
        <f aca="false">SUMIFS('Commentary drivers'!$D:$D,'Commentary drivers'!$A:$A,A558)</f>
        <v>3475.39148</v>
      </c>
      <c r="R558" s="25" t="n">
        <f aca="false">SUMIFS('Commentary drivers'!$E:$E,'Commentary drivers'!$A:$A,A558)</f>
        <v>3475.4</v>
      </c>
      <c r="S558" s="49" t="str">
        <f aca="false">IF(AND(ROUND(Q558-J558,4)=0,ROUND(R558-K558,1)=0),"✓","✗")</f>
        <v>✓</v>
      </c>
    </row>
    <row r="559" customFormat="false" ht="15" hidden="false" customHeight="false" outlineLevel="0" collapsed="false">
      <c r="A559" s="11" t="s">
        <v>1965</v>
      </c>
      <c r="B559" s="11" t="s">
        <v>33</v>
      </c>
      <c r="C559" s="11" t="s">
        <v>34</v>
      </c>
      <c r="D559" s="11" t="s">
        <v>1475</v>
      </c>
      <c r="E559" s="11" t="s">
        <v>1478</v>
      </c>
      <c r="F559" s="11" t="s">
        <v>353</v>
      </c>
      <c r="G559" s="11" t="n">
        <v>1</v>
      </c>
      <c r="H559" s="34" t="n">
        <v>14474.18299</v>
      </c>
      <c r="I559" s="34" t="n">
        <v>12933.87856</v>
      </c>
      <c r="J559" s="34" t="n">
        <v>1540.30443</v>
      </c>
      <c r="K559" s="34" t="n">
        <v>1540.3</v>
      </c>
      <c r="L559" s="11" t="s">
        <v>781</v>
      </c>
      <c r="M559" s="11" t="s">
        <v>1250</v>
      </c>
      <c r="N559" s="11" t="s">
        <v>1251</v>
      </c>
      <c r="O559" s="11" t="s">
        <v>1252</v>
      </c>
      <c r="P559" s="11" t="s">
        <v>1557</v>
      </c>
      <c r="Q559" s="25" t="n">
        <f aca="false">SUMIFS('Commentary drivers'!$D:$D,'Commentary drivers'!$A:$A,A559)</f>
        <v>1540.30443</v>
      </c>
      <c r="R559" s="25" t="n">
        <f aca="false">SUMIFS('Commentary drivers'!$E:$E,'Commentary drivers'!$A:$A,A559)</f>
        <v>1540.3</v>
      </c>
      <c r="S559" s="49" t="str">
        <f aca="false">IF(AND(ROUND(Q559-J559,4)=0,ROUND(R559-K559,1)=0),"✓","✗")</f>
        <v>✓</v>
      </c>
    </row>
    <row r="560" customFormat="false" ht="15" hidden="false" customHeight="false" outlineLevel="0" collapsed="false">
      <c r="A560" s="11" t="s">
        <v>1966</v>
      </c>
      <c r="B560" s="11" t="s">
        <v>33</v>
      </c>
      <c r="C560" s="11" t="s">
        <v>34</v>
      </c>
      <c r="D560" s="11" t="s">
        <v>1475</v>
      </c>
      <c r="E560" s="11" t="s">
        <v>1480</v>
      </c>
      <c r="F560" s="11" t="s">
        <v>355</v>
      </c>
      <c r="G560" s="11" t="n">
        <v>1</v>
      </c>
      <c r="H560" s="34" t="n">
        <v>2872.86345</v>
      </c>
      <c r="I560" s="34" t="n">
        <v>1227.2764</v>
      </c>
      <c r="J560" s="34" t="n">
        <v>1645.58705</v>
      </c>
      <c r="K560" s="34" t="n">
        <v>1645.6</v>
      </c>
      <c r="L560" s="11" t="s">
        <v>782</v>
      </c>
      <c r="M560" s="11" t="s">
        <v>1250</v>
      </c>
      <c r="N560" s="11" t="s">
        <v>1251</v>
      </c>
      <c r="O560" s="11" t="s">
        <v>1252</v>
      </c>
      <c r="P560" s="11" t="s">
        <v>1557</v>
      </c>
      <c r="Q560" s="25" t="n">
        <f aca="false">SUMIFS('Commentary drivers'!$D:$D,'Commentary drivers'!$A:$A,A560)</f>
        <v>1645.58705</v>
      </c>
      <c r="R560" s="25" t="n">
        <f aca="false">SUMIFS('Commentary drivers'!$E:$E,'Commentary drivers'!$A:$A,A560)</f>
        <v>1645.6</v>
      </c>
      <c r="S560" s="49" t="str">
        <f aca="false">IF(AND(ROUND(Q560-J560,4)=0,ROUND(R560-K560,1)=0),"✓","✗")</f>
        <v>✓</v>
      </c>
    </row>
    <row r="561" customFormat="false" ht="15" hidden="false" customHeight="false" outlineLevel="0" collapsed="false">
      <c r="A561" s="11" t="s">
        <v>1967</v>
      </c>
      <c r="B561" s="11" t="s">
        <v>33</v>
      </c>
      <c r="C561" s="11" t="s">
        <v>34</v>
      </c>
      <c r="D561" s="11" t="s">
        <v>1475</v>
      </c>
      <c r="E561" s="11" t="s">
        <v>1482</v>
      </c>
      <c r="F561" s="11" t="s">
        <v>357</v>
      </c>
      <c r="G561" s="11" t="n">
        <v>1</v>
      </c>
      <c r="H561" s="34" t="n">
        <v>184</v>
      </c>
      <c r="I561" s="34" t="n">
        <v>0</v>
      </c>
      <c r="J561" s="34" t="n">
        <v>184</v>
      </c>
      <c r="K561" s="34" t="n">
        <v>184</v>
      </c>
      <c r="L561" s="11" t="s">
        <v>783</v>
      </c>
      <c r="M561" s="11" t="s">
        <v>1250</v>
      </c>
      <c r="N561" s="11" t="s">
        <v>1251</v>
      </c>
      <c r="O561" s="11" t="s">
        <v>1252</v>
      </c>
      <c r="P561" s="11" t="s">
        <v>1557</v>
      </c>
      <c r="Q561" s="25" t="n">
        <f aca="false">SUMIFS('Commentary drivers'!$D:$D,'Commentary drivers'!$A:$A,A561)</f>
        <v>184</v>
      </c>
      <c r="R561" s="25" t="n">
        <f aca="false">SUMIFS('Commentary drivers'!$E:$E,'Commentary drivers'!$A:$A,A561)</f>
        <v>184</v>
      </c>
      <c r="S561" s="49" t="str">
        <f aca="false">IF(AND(ROUND(Q561-J561,4)=0,ROUND(R561-K561,1)=0),"✓","✗")</f>
        <v>✓</v>
      </c>
    </row>
    <row r="562" customFormat="false" ht="15" hidden="false" customHeight="false" outlineLevel="0" collapsed="false">
      <c r="A562" s="11" t="s">
        <v>1968</v>
      </c>
      <c r="B562" s="11" t="s">
        <v>33</v>
      </c>
      <c r="C562" s="11" t="s">
        <v>34</v>
      </c>
      <c r="D562" s="11" t="s">
        <v>1475</v>
      </c>
      <c r="E562" s="11" t="s">
        <v>1484</v>
      </c>
      <c r="F562" s="11" t="s">
        <v>359</v>
      </c>
      <c r="G562" s="11" t="n">
        <v>1</v>
      </c>
      <c r="H562" s="34" t="n">
        <v>1255.5</v>
      </c>
      <c r="I562" s="34" t="n">
        <v>1150</v>
      </c>
      <c r="J562" s="34" t="n">
        <v>105.5</v>
      </c>
      <c r="K562" s="34" t="n">
        <v>105.5</v>
      </c>
      <c r="L562" s="11" t="s">
        <v>784</v>
      </c>
      <c r="M562" s="11" t="s">
        <v>1250</v>
      </c>
      <c r="N562" s="11" t="s">
        <v>1251</v>
      </c>
      <c r="O562" s="11" t="s">
        <v>1252</v>
      </c>
      <c r="P562" s="11" t="s">
        <v>1557</v>
      </c>
      <c r="Q562" s="25" t="n">
        <f aca="false">SUMIFS('Commentary drivers'!$D:$D,'Commentary drivers'!$A:$A,A562)</f>
        <v>105.5</v>
      </c>
      <c r="R562" s="25" t="n">
        <f aca="false">SUMIFS('Commentary drivers'!$E:$E,'Commentary drivers'!$A:$A,A562)</f>
        <v>105.5</v>
      </c>
      <c r="S562" s="49" t="str">
        <f aca="false">IF(AND(ROUND(Q562-J562,4)=0,ROUND(R562-K562,1)=0),"✓","✗")</f>
        <v>✓</v>
      </c>
    </row>
    <row r="563" customFormat="false" ht="15" hidden="false" customHeight="false" outlineLevel="0" collapsed="false">
      <c r="A563" s="11" t="s">
        <v>1969</v>
      </c>
      <c r="B563" s="11" t="s">
        <v>33</v>
      </c>
      <c r="C563" s="11" t="s">
        <v>34</v>
      </c>
      <c r="D563" s="11" t="s">
        <v>1475</v>
      </c>
      <c r="E563" s="11" t="s">
        <v>1486</v>
      </c>
      <c r="F563" s="11" t="s">
        <v>361</v>
      </c>
      <c r="G563" s="11" t="n">
        <v>0</v>
      </c>
      <c r="H563" s="34" t="n">
        <v>1236</v>
      </c>
      <c r="I563" s="34" t="n">
        <v>1282</v>
      </c>
      <c r="J563" s="34" t="n">
        <v>-46</v>
      </c>
      <c r="K563" s="34" t="n">
        <v>-46</v>
      </c>
      <c r="L563" s="11" t="s">
        <v>785</v>
      </c>
      <c r="M563" s="11" t="s">
        <v>1250</v>
      </c>
      <c r="N563" s="11" t="s">
        <v>1251</v>
      </c>
      <c r="O563" s="11" t="s">
        <v>1252</v>
      </c>
      <c r="P563" s="11" t="s">
        <v>1557</v>
      </c>
      <c r="Q563" s="25" t="n">
        <f aca="false">SUMIFS('Commentary drivers'!$D:$D,'Commentary drivers'!$A:$A,A563)</f>
        <v>-46</v>
      </c>
      <c r="R563" s="25" t="n">
        <f aca="false">SUMIFS('Commentary drivers'!$E:$E,'Commentary drivers'!$A:$A,A563)</f>
        <v>-46</v>
      </c>
      <c r="S563" s="49" t="str">
        <f aca="false">IF(AND(ROUND(Q563-J563,4)=0,ROUND(R563-K563,1)=0),"✓","✗")</f>
        <v>✓</v>
      </c>
    </row>
    <row r="564" customFormat="false" ht="15" hidden="false" customHeight="false" outlineLevel="0" collapsed="false">
      <c r="A564" s="11" t="s">
        <v>1970</v>
      </c>
      <c r="B564" s="11" t="s">
        <v>33</v>
      </c>
      <c r="C564" s="11" t="s">
        <v>34</v>
      </c>
      <c r="D564" s="11" t="s">
        <v>1475</v>
      </c>
      <c r="E564" s="11" t="s">
        <v>1488</v>
      </c>
      <c r="F564" s="11" t="s">
        <v>363</v>
      </c>
      <c r="G564" s="11" t="n">
        <v>1</v>
      </c>
      <c r="H564" s="34" t="n">
        <v>1236</v>
      </c>
      <c r="I564" s="34" t="n">
        <v>1282</v>
      </c>
      <c r="J564" s="34" t="n">
        <v>-46</v>
      </c>
      <c r="K564" s="34" t="n">
        <v>-46</v>
      </c>
      <c r="L564" s="11" t="s">
        <v>786</v>
      </c>
      <c r="M564" s="11" t="s">
        <v>1250</v>
      </c>
      <c r="N564" s="11" t="s">
        <v>1251</v>
      </c>
      <c r="O564" s="11" t="s">
        <v>1252</v>
      </c>
      <c r="P564" s="11" t="s">
        <v>1557</v>
      </c>
      <c r="Q564" s="25" t="n">
        <f aca="false">SUMIFS('Commentary drivers'!$D:$D,'Commentary drivers'!$A:$A,A564)</f>
        <v>-46</v>
      </c>
      <c r="R564" s="25" t="n">
        <f aca="false">SUMIFS('Commentary drivers'!$E:$E,'Commentary drivers'!$A:$A,A564)</f>
        <v>-46</v>
      </c>
      <c r="S564" s="49" t="str">
        <f aca="false">IF(AND(ROUND(Q564-J564,4)=0,ROUND(R564-K564,1)=0),"✓","✗")</f>
        <v>✓</v>
      </c>
    </row>
    <row r="565" customFormat="false" ht="15" hidden="false" customHeight="false" outlineLevel="0" collapsed="false">
      <c r="A565" s="11" t="s">
        <v>1971</v>
      </c>
      <c r="B565" s="11" t="s">
        <v>33</v>
      </c>
      <c r="C565" s="11" t="s">
        <v>34</v>
      </c>
      <c r="D565" s="11" t="s">
        <v>1475</v>
      </c>
      <c r="E565" s="11" t="s">
        <v>1490</v>
      </c>
      <c r="F565" s="11" t="s">
        <v>365</v>
      </c>
      <c r="G565" s="11" t="n">
        <v>0</v>
      </c>
      <c r="H565" s="34" t="n">
        <v>20022.54644</v>
      </c>
      <c r="I565" s="34" t="n">
        <v>16593.15496</v>
      </c>
      <c r="J565" s="34" t="n">
        <v>3429.39148</v>
      </c>
      <c r="K565" s="34" t="n">
        <v>3429.4</v>
      </c>
      <c r="L565" s="11" t="s">
        <v>787</v>
      </c>
      <c r="M565" s="11" t="s">
        <v>1250</v>
      </c>
      <c r="N565" s="11" t="s">
        <v>1251</v>
      </c>
      <c r="O565" s="11" t="s">
        <v>1252</v>
      </c>
      <c r="P565" s="11" t="s">
        <v>1557</v>
      </c>
      <c r="Q565" s="25" t="n">
        <f aca="false">SUMIFS('Commentary drivers'!$D:$D,'Commentary drivers'!$A:$A,A565)</f>
        <v>3429.39148</v>
      </c>
      <c r="R565" s="25" t="n">
        <f aca="false">SUMIFS('Commentary drivers'!$E:$E,'Commentary drivers'!$A:$A,A565)</f>
        <v>3429.4</v>
      </c>
      <c r="S565" s="49" t="str">
        <f aca="false">IF(AND(ROUND(Q565-J565,4)=0,ROUND(R565-K565,1)=0),"✓","✗")</f>
        <v>✓</v>
      </c>
    </row>
    <row r="566" customFormat="false" ht="15" hidden="false" customHeight="false" outlineLevel="0" collapsed="false">
      <c r="A566" s="11" t="s">
        <v>1972</v>
      </c>
      <c r="B566" s="11" t="s">
        <v>33</v>
      </c>
      <c r="C566" s="11" t="s">
        <v>34</v>
      </c>
      <c r="D566" s="11" t="s">
        <v>1475</v>
      </c>
      <c r="E566" s="11" t="s">
        <v>1492</v>
      </c>
      <c r="F566" s="11" t="s">
        <v>367</v>
      </c>
      <c r="G566" s="11" t="n">
        <v>0</v>
      </c>
      <c r="H566" s="34" t="n">
        <v>1620.78044</v>
      </c>
      <c r="I566" s="34" t="n">
        <v>321.31396</v>
      </c>
      <c r="J566" s="34" t="n">
        <v>1299.46648</v>
      </c>
      <c r="K566" s="34" t="n">
        <v>1299.5</v>
      </c>
      <c r="L566" s="11" t="s">
        <v>788</v>
      </c>
      <c r="M566" s="11" t="s">
        <v>1250</v>
      </c>
      <c r="N566" s="11" t="s">
        <v>1251</v>
      </c>
      <c r="O566" s="11" t="s">
        <v>1252</v>
      </c>
      <c r="P566" s="11" t="s">
        <v>1557</v>
      </c>
      <c r="Q566" s="25" t="n">
        <f aca="false">SUMIFS('Commentary drivers'!$D:$D,'Commentary drivers'!$A:$A,A566)</f>
        <v>1299.46648</v>
      </c>
      <c r="R566" s="25" t="n">
        <f aca="false">SUMIFS('Commentary drivers'!$E:$E,'Commentary drivers'!$A:$A,A566)</f>
        <v>1299.5</v>
      </c>
      <c r="S566" s="49" t="str">
        <f aca="false">IF(AND(ROUND(Q566-J566,4)=0,ROUND(R566-K566,1)=0),"✓","✗")</f>
        <v>✓</v>
      </c>
    </row>
    <row r="567" customFormat="false" ht="15" hidden="false" customHeight="false" outlineLevel="0" collapsed="false">
      <c r="A567" s="11" t="s">
        <v>1973</v>
      </c>
      <c r="B567" s="11" t="s">
        <v>33</v>
      </c>
      <c r="C567" s="11" t="s">
        <v>34</v>
      </c>
      <c r="D567" s="11" t="s">
        <v>1475</v>
      </c>
      <c r="E567" s="11" t="s">
        <v>1494</v>
      </c>
      <c r="F567" s="11" t="s">
        <v>369</v>
      </c>
      <c r="G567" s="11" t="n">
        <v>1</v>
      </c>
      <c r="H567" s="34" t="n">
        <v>349</v>
      </c>
      <c r="I567" s="34" t="n">
        <v>266</v>
      </c>
      <c r="J567" s="34" t="n">
        <v>83</v>
      </c>
      <c r="K567" s="34" t="n">
        <v>83</v>
      </c>
      <c r="L567" s="11" t="s">
        <v>789</v>
      </c>
      <c r="M567" s="11" t="s">
        <v>1250</v>
      </c>
      <c r="N567" s="11" t="s">
        <v>1251</v>
      </c>
      <c r="O567" s="11" t="s">
        <v>1252</v>
      </c>
      <c r="P567" s="11" t="s">
        <v>1557</v>
      </c>
      <c r="Q567" s="25" t="n">
        <f aca="false">SUMIFS('Commentary drivers'!$D:$D,'Commentary drivers'!$A:$A,A567)</f>
        <v>83</v>
      </c>
      <c r="R567" s="25" t="n">
        <f aca="false">SUMIFS('Commentary drivers'!$E:$E,'Commentary drivers'!$A:$A,A567)</f>
        <v>83</v>
      </c>
      <c r="S567" s="49" t="str">
        <f aca="false">IF(AND(ROUND(Q567-J567,4)=0,ROUND(R567-K567,1)=0),"✓","✗")</f>
        <v>✓</v>
      </c>
    </row>
    <row r="568" customFormat="false" ht="15" hidden="false" customHeight="false" outlineLevel="0" collapsed="false">
      <c r="A568" s="11" t="s">
        <v>1974</v>
      </c>
      <c r="B568" s="11" t="s">
        <v>33</v>
      </c>
      <c r="C568" s="11" t="s">
        <v>34</v>
      </c>
      <c r="D568" s="11" t="s">
        <v>1475</v>
      </c>
      <c r="E568" s="11" t="s">
        <v>1496</v>
      </c>
      <c r="F568" s="11" t="s">
        <v>371</v>
      </c>
      <c r="G568" s="11" t="n">
        <v>1</v>
      </c>
      <c r="H568" s="34" t="n">
        <v>152.49244</v>
      </c>
      <c r="I568" s="34" t="n">
        <v>55.31396</v>
      </c>
      <c r="J568" s="34" t="n">
        <v>97.17848</v>
      </c>
      <c r="K568" s="34" t="n">
        <v>97.2</v>
      </c>
      <c r="L568" s="11" t="s">
        <v>790</v>
      </c>
      <c r="M568" s="11" t="s">
        <v>1250</v>
      </c>
      <c r="N568" s="11" t="s">
        <v>1251</v>
      </c>
      <c r="O568" s="11" t="s">
        <v>1252</v>
      </c>
      <c r="P568" s="11" t="s">
        <v>1557</v>
      </c>
      <c r="Q568" s="25" t="n">
        <f aca="false">SUMIFS('Commentary drivers'!$D:$D,'Commentary drivers'!$A:$A,A568)</f>
        <v>97.17848</v>
      </c>
      <c r="R568" s="25" t="n">
        <f aca="false">SUMIFS('Commentary drivers'!$E:$E,'Commentary drivers'!$A:$A,A568)</f>
        <v>97.2</v>
      </c>
      <c r="S568" s="49" t="str">
        <f aca="false">IF(AND(ROUND(Q568-J568,4)=0,ROUND(R568-K568,1)=0),"✓","✗")</f>
        <v>✓</v>
      </c>
    </row>
    <row r="569" customFormat="false" ht="15" hidden="false" customHeight="false" outlineLevel="0" collapsed="false">
      <c r="A569" s="11" t="s">
        <v>1975</v>
      </c>
      <c r="B569" s="11" t="s">
        <v>33</v>
      </c>
      <c r="C569" s="11" t="s">
        <v>34</v>
      </c>
      <c r="D569" s="11" t="s">
        <v>1475</v>
      </c>
      <c r="E569" s="11" t="s">
        <v>1498</v>
      </c>
      <c r="F569" s="11" t="s">
        <v>373</v>
      </c>
      <c r="G569" s="11" t="n">
        <v>1</v>
      </c>
      <c r="H569" s="34" t="n">
        <v>1119.288</v>
      </c>
      <c r="I569" s="34" t="n">
        <v>0</v>
      </c>
      <c r="J569" s="34" t="n">
        <v>1119.288</v>
      </c>
      <c r="K569" s="34" t="n">
        <v>1119.3</v>
      </c>
      <c r="L569" s="11" t="s">
        <v>791</v>
      </c>
      <c r="M569" s="11" t="s">
        <v>1250</v>
      </c>
      <c r="N569" s="11" t="s">
        <v>1251</v>
      </c>
      <c r="O569" s="11" t="s">
        <v>1252</v>
      </c>
      <c r="P569" s="11" t="s">
        <v>1557</v>
      </c>
      <c r="Q569" s="25" t="n">
        <f aca="false">SUMIFS('Commentary drivers'!$D:$D,'Commentary drivers'!$A:$A,A569)</f>
        <v>1119.288</v>
      </c>
      <c r="R569" s="25" t="n">
        <f aca="false">SUMIFS('Commentary drivers'!$E:$E,'Commentary drivers'!$A:$A,A569)</f>
        <v>1119.3</v>
      </c>
      <c r="S569" s="49" t="str">
        <f aca="false">IF(AND(ROUND(Q569-J569,4)=0,ROUND(R569-K569,1)=0),"✓","✗")</f>
        <v>✓</v>
      </c>
    </row>
    <row r="570" customFormat="false" ht="15" hidden="false" customHeight="false" outlineLevel="0" collapsed="false">
      <c r="A570" s="11" t="s">
        <v>1976</v>
      </c>
      <c r="B570" s="11" t="s">
        <v>33</v>
      </c>
      <c r="C570" s="11" t="s">
        <v>34</v>
      </c>
      <c r="D570" s="11" t="s">
        <v>1475</v>
      </c>
      <c r="E570" s="11" t="s">
        <v>1500</v>
      </c>
      <c r="F570" s="11" t="s">
        <v>375</v>
      </c>
      <c r="G570" s="11" t="n">
        <v>0</v>
      </c>
      <c r="H570" s="34" t="n">
        <v>4582.5</v>
      </c>
      <c r="I570" s="34" t="n">
        <v>4744</v>
      </c>
      <c r="J570" s="34" t="n">
        <v>-161.5</v>
      </c>
      <c r="K570" s="34" t="n">
        <v>-161.5</v>
      </c>
      <c r="L570" s="11" t="s">
        <v>792</v>
      </c>
      <c r="M570" s="11" t="s">
        <v>1250</v>
      </c>
      <c r="N570" s="11" t="s">
        <v>1251</v>
      </c>
      <c r="O570" s="11" t="s">
        <v>1252</v>
      </c>
      <c r="P570" s="11" t="s">
        <v>1557</v>
      </c>
      <c r="Q570" s="25" t="n">
        <f aca="false">SUMIFS('Commentary drivers'!$D:$D,'Commentary drivers'!$A:$A,A570)</f>
        <v>-161.5</v>
      </c>
      <c r="R570" s="25" t="n">
        <f aca="false">SUMIFS('Commentary drivers'!$E:$E,'Commentary drivers'!$A:$A,A570)</f>
        <v>-161.5</v>
      </c>
      <c r="S570" s="49" t="str">
        <f aca="false">IF(AND(ROUND(Q570-J570,4)=0,ROUND(R570-K570,1)=0),"✓","✗")</f>
        <v>✓</v>
      </c>
    </row>
    <row r="571" customFormat="false" ht="15" hidden="false" customHeight="false" outlineLevel="0" collapsed="false">
      <c r="A571" s="11" t="s">
        <v>1977</v>
      </c>
      <c r="B571" s="11" t="s">
        <v>33</v>
      </c>
      <c r="C571" s="11" t="s">
        <v>34</v>
      </c>
      <c r="D571" s="11" t="s">
        <v>1475</v>
      </c>
      <c r="E571" s="11" t="s">
        <v>1502</v>
      </c>
      <c r="F571" s="11" t="s">
        <v>377</v>
      </c>
      <c r="G571" s="11" t="n">
        <v>1</v>
      </c>
      <c r="H571" s="34" t="n">
        <v>382.5</v>
      </c>
      <c r="I571" s="34" t="n">
        <v>344</v>
      </c>
      <c r="J571" s="34" t="n">
        <v>38.5</v>
      </c>
      <c r="K571" s="34" t="n">
        <v>38.5</v>
      </c>
      <c r="L571" s="11" t="s">
        <v>793</v>
      </c>
      <c r="M571" s="11" t="s">
        <v>1250</v>
      </c>
      <c r="N571" s="11" t="s">
        <v>1251</v>
      </c>
      <c r="O571" s="11" t="s">
        <v>1252</v>
      </c>
      <c r="P571" s="11" t="s">
        <v>1557</v>
      </c>
      <c r="Q571" s="25" t="n">
        <f aca="false">SUMIFS('Commentary drivers'!$D:$D,'Commentary drivers'!$A:$A,A571)</f>
        <v>38.5</v>
      </c>
      <c r="R571" s="25" t="n">
        <f aca="false">SUMIFS('Commentary drivers'!$E:$E,'Commentary drivers'!$A:$A,A571)</f>
        <v>38.5</v>
      </c>
      <c r="S571" s="49" t="str">
        <f aca="false">IF(AND(ROUND(Q571-J571,4)=0,ROUND(R571-K571,1)=0),"✓","✗")</f>
        <v>✓</v>
      </c>
    </row>
    <row r="572" customFormat="false" ht="15" hidden="false" customHeight="false" outlineLevel="0" collapsed="false">
      <c r="A572" s="11" t="s">
        <v>1978</v>
      </c>
      <c r="B572" s="11" t="s">
        <v>33</v>
      </c>
      <c r="C572" s="11" t="s">
        <v>34</v>
      </c>
      <c r="D572" s="11" t="s">
        <v>1475</v>
      </c>
      <c r="E572" s="11" t="s">
        <v>1504</v>
      </c>
      <c r="F572" s="11" t="s">
        <v>379</v>
      </c>
      <c r="G572" s="11" t="n">
        <v>1</v>
      </c>
      <c r="H572" s="34" t="n">
        <v>4200</v>
      </c>
      <c r="I572" s="34" t="n">
        <v>4400</v>
      </c>
      <c r="J572" s="34" t="n">
        <v>-200</v>
      </c>
      <c r="K572" s="34" t="n">
        <v>-200</v>
      </c>
      <c r="L572" s="11" t="s">
        <v>794</v>
      </c>
      <c r="M572" s="11" t="s">
        <v>1250</v>
      </c>
      <c r="N572" s="11" t="s">
        <v>1251</v>
      </c>
      <c r="O572" s="11" t="s">
        <v>1252</v>
      </c>
      <c r="P572" s="11" t="s">
        <v>1557</v>
      </c>
      <c r="Q572" s="25" t="n">
        <f aca="false">SUMIFS('Commentary drivers'!$D:$D,'Commentary drivers'!$A:$A,A572)</f>
        <v>-200</v>
      </c>
      <c r="R572" s="25" t="n">
        <f aca="false">SUMIFS('Commentary drivers'!$E:$E,'Commentary drivers'!$A:$A,A572)</f>
        <v>-200</v>
      </c>
      <c r="S572" s="49" t="str">
        <f aca="false">IF(AND(ROUND(Q572-J572,4)=0,ROUND(R572-K572,1)=0),"✓","✗")</f>
        <v>✓</v>
      </c>
    </row>
    <row r="573" customFormat="false" ht="15" hidden="false" customHeight="false" outlineLevel="0" collapsed="false">
      <c r="A573" s="11" t="s">
        <v>1979</v>
      </c>
      <c r="B573" s="11" t="s">
        <v>33</v>
      </c>
      <c r="C573" s="11" t="s">
        <v>34</v>
      </c>
      <c r="D573" s="11" t="s">
        <v>1475</v>
      </c>
      <c r="E573" s="11" t="s">
        <v>1506</v>
      </c>
      <c r="F573" s="11" t="s">
        <v>381</v>
      </c>
      <c r="G573" s="11" t="n">
        <v>0</v>
      </c>
      <c r="H573" s="34" t="n">
        <v>6203.28044</v>
      </c>
      <c r="I573" s="34" t="n">
        <v>5065.31396</v>
      </c>
      <c r="J573" s="34" t="n">
        <v>1137.96648</v>
      </c>
      <c r="K573" s="34" t="n">
        <v>1138</v>
      </c>
      <c r="L573" s="11" t="s">
        <v>795</v>
      </c>
      <c r="M573" s="11" t="s">
        <v>1250</v>
      </c>
      <c r="N573" s="11" t="s">
        <v>1251</v>
      </c>
      <c r="O573" s="11" t="s">
        <v>1252</v>
      </c>
      <c r="P573" s="11" t="s">
        <v>1557</v>
      </c>
      <c r="Q573" s="25" t="n">
        <f aca="false">SUMIFS('Commentary drivers'!$D:$D,'Commentary drivers'!$A:$A,A573)</f>
        <v>1137.96648</v>
      </c>
      <c r="R573" s="25" t="n">
        <f aca="false">SUMIFS('Commentary drivers'!$E:$E,'Commentary drivers'!$A:$A,A573)</f>
        <v>1138</v>
      </c>
      <c r="S573" s="49" t="str">
        <f aca="false">IF(AND(ROUND(Q573-J573,4)=0,ROUND(R573-K573,1)=0),"✓","✗")</f>
        <v>✓</v>
      </c>
    </row>
    <row r="574" customFormat="false" ht="15" hidden="false" customHeight="false" outlineLevel="0" collapsed="false">
      <c r="A574" s="11" t="s">
        <v>1980</v>
      </c>
      <c r="B574" s="11" t="s">
        <v>33</v>
      </c>
      <c r="C574" s="11" t="s">
        <v>34</v>
      </c>
      <c r="D574" s="11" t="s">
        <v>1475</v>
      </c>
      <c r="E574" s="11" t="s">
        <v>1508</v>
      </c>
      <c r="F574" s="11" t="s">
        <v>383</v>
      </c>
      <c r="G574" s="11" t="n">
        <v>0</v>
      </c>
      <c r="H574" s="34" t="n">
        <v>13819.266</v>
      </c>
      <c r="I574" s="34" t="n">
        <v>11527.841</v>
      </c>
      <c r="J574" s="34" t="n">
        <v>2291.425</v>
      </c>
      <c r="K574" s="34" t="n">
        <v>2291.4</v>
      </c>
      <c r="L574" s="11" t="s">
        <v>796</v>
      </c>
      <c r="M574" s="11" t="s">
        <v>1250</v>
      </c>
      <c r="N574" s="11" t="s">
        <v>1251</v>
      </c>
      <c r="O574" s="11" t="s">
        <v>1252</v>
      </c>
      <c r="P574" s="11" t="s">
        <v>1557</v>
      </c>
      <c r="Q574" s="25" t="n">
        <f aca="false">SUMIFS('Commentary drivers'!$D:$D,'Commentary drivers'!$A:$A,A574)</f>
        <v>2291.425</v>
      </c>
      <c r="R574" s="25" t="n">
        <f aca="false">SUMIFS('Commentary drivers'!$E:$E,'Commentary drivers'!$A:$A,A574)</f>
        <v>2291.4</v>
      </c>
      <c r="S574" s="49" t="str">
        <f aca="false">IF(AND(ROUND(Q574-J574,4)=0,ROUND(R574-K574,1)=0),"✓","✗")</f>
        <v>✓</v>
      </c>
    </row>
    <row r="575" customFormat="false" ht="15" hidden="false" customHeight="false" outlineLevel="0" collapsed="false">
      <c r="A575" s="11" t="s">
        <v>1981</v>
      </c>
      <c r="B575" s="11" t="s">
        <v>33</v>
      </c>
      <c r="C575" s="11" t="s">
        <v>34</v>
      </c>
      <c r="D575" s="11" t="s">
        <v>1475</v>
      </c>
      <c r="E575" s="11" t="s">
        <v>1510</v>
      </c>
      <c r="F575" s="11" t="s">
        <v>385</v>
      </c>
      <c r="G575" s="11" t="n">
        <v>1</v>
      </c>
      <c r="H575" s="34" t="n">
        <v>13346</v>
      </c>
      <c r="I575" s="34" t="n">
        <v>12750</v>
      </c>
      <c r="J575" s="34" t="n">
        <v>596</v>
      </c>
      <c r="K575" s="34" t="n">
        <v>596</v>
      </c>
      <c r="L575" s="11" t="s">
        <v>797</v>
      </c>
      <c r="M575" s="11" t="s">
        <v>1250</v>
      </c>
      <c r="N575" s="11" t="s">
        <v>1251</v>
      </c>
      <c r="O575" s="11" t="s">
        <v>1252</v>
      </c>
      <c r="P575" s="11" t="s">
        <v>1557</v>
      </c>
      <c r="Q575" s="25" t="n">
        <f aca="false">SUMIFS('Commentary drivers'!$D:$D,'Commentary drivers'!$A:$A,A575)</f>
        <v>596</v>
      </c>
      <c r="R575" s="25" t="n">
        <f aca="false">SUMIFS('Commentary drivers'!$E:$E,'Commentary drivers'!$A:$A,A575)</f>
        <v>596</v>
      </c>
      <c r="S575" s="49" t="str">
        <f aca="false">IF(AND(ROUND(Q575-J575,4)=0,ROUND(R575-K575,1)=0),"✓","✗")</f>
        <v>✓</v>
      </c>
    </row>
    <row r="576" customFormat="false" ht="15" hidden="false" customHeight="false" outlineLevel="0" collapsed="false">
      <c r="A576" s="11" t="s">
        <v>1982</v>
      </c>
      <c r="B576" s="11" t="s">
        <v>33</v>
      </c>
      <c r="C576" s="11" t="s">
        <v>34</v>
      </c>
      <c r="D576" s="11" t="s">
        <v>1475</v>
      </c>
      <c r="E576" s="11" t="s">
        <v>1512</v>
      </c>
      <c r="F576" s="11" t="s">
        <v>387</v>
      </c>
      <c r="G576" s="11" t="n">
        <v>1</v>
      </c>
      <c r="H576" s="34" t="n">
        <v>473.266</v>
      </c>
      <c r="I576" s="34" t="n">
        <v>-1222.159</v>
      </c>
      <c r="J576" s="34" t="n">
        <v>1695.425</v>
      </c>
      <c r="K576" s="34" t="n">
        <v>1695.4</v>
      </c>
      <c r="L576" s="11" t="s">
        <v>798</v>
      </c>
      <c r="M576" s="11" t="s">
        <v>1250</v>
      </c>
      <c r="N576" s="11" t="s">
        <v>1251</v>
      </c>
      <c r="O576" s="11" t="s">
        <v>1252</v>
      </c>
      <c r="P576" s="11" t="s">
        <v>1557</v>
      </c>
      <c r="Q576" s="25" t="n">
        <f aca="false">SUMIFS('Commentary drivers'!$D:$D,'Commentary drivers'!$A:$A,A576)</f>
        <v>1695.425</v>
      </c>
      <c r="R576" s="25" t="n">
        <f aca="false">SUMIFS('Commentary drivers'!$E:$E,'Commentary drivers'!$A:$A,A576)</f>
        <v>1695.4</v>
      </c>
      <c r="S576" s="49" t="str">
        <f aca="false">IF(AND(ROUND(Q576-J576,4)=0,ROUND(R576-K576,1)=0),"✓","✗")</f>
        <v>✓</v>
      </c>
    </row>
    <row r="577" customFormat="false" ht="15" hidden="false" customHeight="false" outlineLevel="0" collapsed="false">
      <c r="A577" s="11" t="s">
        <v>1983</v>
      </c>
      <c r="B577" s="11" t="s">
        <v>33</v>
      </c>
      <c r="C577" s="11" t="s">
        <v>34</v>
      </c>
      <c r="D577" s="11" t="s">
        <v>1475</v>
      </c>
      <c r="E577" s="11" t="s">
        <v>1514</v>
      </c>
      <c r="F577" s="11" t="s">
        <v>389</v>
      </c>
      <c r="G577" s="11" t="n">
        <v>0</v>
      </c>
      <c r="H577" s="34" t="n">
        <v>20022.54644</v>
      </c>
      <c r="I577" s="34" t="n">
        <v>16593.15496</v>
      </c>
      <c r="J577" s="34" t="n">
        <v>3429.39148</v>
      </c>
      <c r="K577" s="34" t="n">
        <v>3429.4</v>
      </c>
      <c r="L577" s="11" t="s">
        <v>799</v>
      </c>
      <c r="M577" s="11" t="s">
        <v>1250</v>
      </c>
      <c r="N577" s="11" t="s">
        <v>1251</v>
      </c>
      <c r="O577" s="11" t="s">
        <v>1252</v>
      </c>
      <c r="P577" s="11" t="s">
        <v>1557</v>
      </c>
      <c r="Q577" s="25" t="n">
        <f aca="false">SUMIFS('Commentary drivers'!$D:$D,'Commentary drivers'!$A:$A,A577)</f>
        <v>3429.39148</v>
      </c>
      <c r="R577" s="25" t="n">
        <f aca="false">SUMIFS('Commentary drivers'!$E:$E,'Commentary drivers'!$A:$A,A577)</f>
        <v>3429.4</v>
      </c>
      <c r="S577" s="49" t="str">
        <f aca="false">IF(AND(ROUND(Q577-J577,4)=0,ROUND(R577-K577,1)=0),"✓","✗")</f>
        <v>✓</v>
      </c>
    </row>
    <row r="578" customFormat="false" ht="15" hidden="false" customHeight="false" outlineLevel="0" collapsed="false">
      <c r="A578" s="11" t="s">
        <v>1984</v>
      </c>
      <c r="B578" s="11" t="s">
        <v>33</v>
      </c>
      <c r="C578" s="11" t="s">
        <v>34</v>
      </c>
      <c r="D578" s="11" t="s">
        <v>1516</v>
      </c>
      <c r="E578" s="11" t="s">
        <v>1517</v>
      </c>
      <c r="F578" s="11" t="s">
        <v>97</v>
      </c>
      <c r="G578" s="11" t="n">
        <v>0</v>
      </c>
      <c r="H578" s="34" t="n">
        <v>1695.425</v>
      </c>
      <c r="I578" s="34" t="n">
        <v>1645.693</v>
      </c>
      <c r="J578" s="34" t="n">
        <v>49.732</v>
      </c>
      <c r="K578" s="34" t="n">
        <v>49.7</v>
      </c>
      <c r="L578" s="11" t="s">
        <v>800</v>
      </c>
      <c r="M578" s="11" t="s">
        <v>1250</v>
      </c>
      <c r="N578" s="11" t="s">
        <v>1251</v>
      </c>
      <c r="O578" s="11" t="s">
        <v>1252</v>
      </c>
      <c r="P578" s="11" t="s">
        <v>1557</v>
      </c>
      <c r="Q578" s="25" t="n">
        <f aca="false">SUMIFS('Commentary drivers'!$D:$D,'Commentary drivers'!$A:$A,A578)</f>
        <v>49.732</v>
      </c>
      <c r="R578" s="25" t="n">
        <f aca="false">SUMIFS('Commentary drivers'!$E:$E,'Commentary drivers'!$A:$A,A578)</f>
        <v>49.6999999999998</v>
      </c>
      <c r="S578" s="49" t="str">
        <f aca="false">IF(AND(ROUND(Q578-J578,4)=0,ROUND(R578-K578,1)=0),"✓","✗")</f>
        <v>✓</v>
      </c>
    </row>
    <row r="579" customFormat="false" ht="15" hidden="false" customHeight="false" outlineLevel="0" collapsed="false">
      <c r="A579" s="11" t="s">
        <v>1985</v>
      </c>
      <c r="B579" s="11" t="s">
        <v>33</v>
      </c>
      <c r="C579" s="11" t="s">
        <v>34</v>
      </c>
      <c r="D579" s="11" t="s">
        <v>1516</v>
      </c>
      <c r="E579" s="11" t="s">
        <v>1519</v>
      </c>
      <c r="F579" s="11" t="s">
        <v>393</v>
      </c>
      <c r="G579" s="11" t="n">
        <v>0</v>
      </c>
      <c r="H579" s="34" t="n">
        <v>1362</v>
      </c>
      <c r="I579" s="34" t="n">
        <v>1020.818</v>
      </c>
      <c r="J579" s="34" t="n">
        <v>341.182</v>
      </c>
      <c r="K579" s="34" t="n">
        <v>341.2</v>
      </c>
      <c r="L579" s="11" t="s">
        <v>801</v>
      </c>
      <c r="M579" s="11" t="s">
        <v>1250</v>
      </c>
      <c r="N579" s="11" t="s">
        <v>1251</v>
      </c>
      <c r="O579" s="11" t="s">
        <v>1252</v>
      </c>
      <c r="P579" s="11" t="s">
        <v>1557</v>
      </c>
      <c r="Q579" s="25" t="n">
        <f aca="false">SUMIFS('Commentary drivers'!$D:$D,'Commentary drivers'!$A:$A,A579)</f>
        <v>341.182</v>
      </c>
      <c r="R579" s="25" t="n">
        <f aca="false">SUMIFS('Commentary drivers'!$E:$E,'Commentary drivers'!$A:$A,A579)</f>
        <v>341.2</v>
      </c>
      <c r="S579" s="49" t="str">
        <f aca="false">IF(AND(ROUND(Q579-J579,4)=0,ROUND(R579-K579,1)=0),"✓","✗")</f>
        <v>✓</v>
      </c>
    </row>
    <row r="580" customFormat="false" ht="15" hidden="false" customHeight="false" outlineLevel="0" collapsed="false">
      <c r="A580" s="11" t="s">
        <v>1986</v>
      </c>
      <c r="B580" s="11" t="s">
        <v>33</v>
      </c>
      <c r="C580" s="11" t="s">
        <v>34</v>
      </c>
      <c r="D580" s="11" t="s">
        <v>1516</v>
      </c>
      <c r="E580" s="11" t="s">
        <v>1521</v>
      </c>
      <c r="F580" s="11" t="s">
        <v>395</v>
      </c>
      <c r="G580" s="11" t="n">
        <v>1</v>
      </c>
      <c r="H580" s="34" t="n">
        <v>450</v>
      </c>
      <c r="I580" s="34" t="n">
        <v>368</v>
      </c>
      <c r="J580" s="34" t="n">
        <v>82</v>
      </c>
      <c r="K580" s="34" t="n">
        <v>82</v>
      </c>
      <c r="L580" s="11" t="s">
        <v>802</v>
      </c>
      <c r="M580" s="11" t="s">
        <v>1250</v>
      </c>
      <c r="N580" s="11" t="s">
        <v>1251</v>
      </c>
      <c r="O580" s="11" t="s">
        <v>1252</v>
      </c>
      <c r="P580" s="11" t="s">
        <v>1557</v>
      </c>
      <c r="Q580" s="25" t="n">
        <f aca="false">SUMIFS('Commentary drivers'!$D:$D,'Commentary drivers'!$A:$A,A580)</f>
        <v>82</v>
      </c>
      <c r="R580" s="25" t="n">
        <f aca="false">SUMIFS('Commentary drivers'!$E:$E,'Commentary drivers'!$A:$A,A580)</f>
        <v>82</v>
      </c>
      <c r="S580" s="49" t="str">
        <f aca="false">IF(AND(ROUND(Q580-J580,4)=0,ROUND(R580-K580,1)=0),"✓","✗")</f>
        <v>✓</v>
      </c>
    </row>
    <row r="581" customFormat="false" ht="15" hidden="false" customHeight="false" outlineLevel="0" collapsed="false">
      <c r="A581" s="11" t="s">
        <v>1987</v>
      </c>
      <c r="B581" s="11" t="s">
        <v>33</v>
      </c>
      <c r="C581" s="11" t="s">
        <v>34</v>
      </c>
      <c r="D581" s="11" t="s">
        <v>1516</v>
      </c>
      <c r="E581" s="11" t="s">
        <v>1523</v>
      </c>
      <c r="F581" s="11" t="s">
        <v>397</v>
      </c>
      <c r="G581" s="11" t="n">
        <v>1</v>
      </c>
      <c r="H581" s="34" t="n">
        <v>584</v>
      </c>
      <c r="I581" s="34" t="n">
        <v>472</v>
      </c>
      <c r="J581" s="34" t="n">
        <v>112</v>
      </c>
      <c r="K581" s="34" t="n">
        <v>112</v>
      </c>
      <c r="L581" s="11" t="s">
        <v>803</v>
      </c>
      <c r="M581" s="11" t="s">
        <v>1250</v>
      </c>
      <c r="N581" s="11" t="s">
        <v>1251</v>
      </c>
      <c r="O581" s="11" t="s">
        <v>1252</v>
      </c>
      <c r="P581" s="11" t="s">
        <v>1557</v>
      </c>
      <c r="Q581" s="25" t="n">
        <f aca="false">SUMIFS('Commentary drivers'!$D:$D,'Commentary drivers'!$A:$A,A581)</f>
        <v>112</v>
      </c>
      <c r="R581" s="25" t="n">
        <f aca="false">SUMIFS('Commentary drivers'!$E:$E,'Commentary drivers'!$A:$A,A581)</f>
        <v>112</v>
      </c>
      <c r="S581" s="49" t="str">
        <f aca="false">IF(AND(ROUND(Q581-J581,4)=0,ROUND(R581-K581,1)=0),"✓","✗")</f>
        <v>✓</v>
      </c>
    </row>
    <row r="582" customFormat="false" ht="15" hidden="false" customHeight="false" outlineLevel="0" collapsed="false">
      <c r="A582" s="11" t="s">
        <v>1988</v>
      </c>
      <c r="B582" s="11" t="s">
        <v>33</v>
      </c>
      <c r="C582" s="11" t="s">
        <v>34</v>
      </c>
      <c r="D582" s="11" t="s">
        <v>1516</v>
      </c>
      <c r="E582" s="11" t="s">
        <v>1525</v>
      </c>
      <c r="F582" s="11" t="s">
        <v>399</v>
      </c>
      <c r="G582" s="11" t="n">
        <v>1</v>
      </c>
      <c r="H582" s="34" t="n">
        <v>289.5</v>
      </c>
      <c r="I582" s="34" t="n">
        <v>152.818</v>
      </c>
      <c r="J582" s="34" t="n">
        <v>136.682</v>
      </c>
      <c r="K582" s="34" t="n">
        <v>136.7</v>
      </c>
      <c r="L582" s="11" t="s">
        <v>804</v>
      </c>
      <c r="M582" s="11" t="s">
        <v>1250</v>
      </c>
      <c r="N582" s="11" t="s">
        <v>1251</v>
      </c>
      <c r="O582" s="11" t="s">
        <v>1252</v>
      </c>
      <c r="P582" s="11" t="s">
        <v>1557</v>
      </c>
      <c r="Q582" s="25" t="n">
        <f aca="false">SUMIFS('Commentary drivers'!$D:$D,'Commentary drivers'!$A:$A,A582)</f>
        <v>136.682</v>
      </c>
      <c r="R582" s="25" t="n">
        <f aca="false">SUMIFS('Commentary drivers'!$E:$E,'Commentary drivers'!$A:$A,A582)</f>
        <v>136.7</v>
      </c>
      <c r="S582" s="49" t="str">
        <f aca="false">IF(AND(ROUND(Q582-J582,4)=0,ROUND(R582-K582,1)=0),"✓","✗")</f>
        <v>✓</v>
      </c>
    </row>
    <row r="583" customFormat="false" ht="15" hidden="false" customHeight="false" outlineLevel="0" collapsed="false">
      <c r="A583" s="11" t="s">
        <v>1989</v>
      </c>
      <c r="B583" s="11" t="s">
        <v>33</v>
      </c>
      <c r="C583" s="11" t="s">
        <v>34</v>
      </c>
      <c r="D583" s="11" t="s">
        <v>1516</v>
      </c>
      <c r="E583" s="11" t="s">
        <v>1527</v>
      </c>
      <c r="F583" s="11" t="s">
        <v>401</v>
      </c>
      <c r="G583" s="11" t="n">
        <v>1</v>
      </c>
      <c r="H583" s="34" t="n">
        <v>38.5</v>
      </c>
      <c r="I583" s="34" t="n">
        <v>28</v>
      </c>
      <c r="J583" s="34" t="n">
        <v>10.5</v>
      </c>
      <c r="K583" s="34" t="n">
        <v>10.5</v>
      </c>
      <c r="L583" s="11" t="s">
        <v>805</v>
      </c>
      <c r="M583" s="11" t="s">
        <v>1250</v>
      </c>
      <c r="N583" s="11" t="s">
        <v>1251</v>
      </c>
      <c r="O583" s="11" t="s">
        <v>1252</v>
      </c>
      <c r="P583" s="11" t="s">
        <v>1557</v>
      </c>
      <c r="Q583" s="25" t="n">
        <f aca="false">SUMIFS('Commentary drivers'!$D:$D,'Commentary drivers'!$A:$A,A583)</f>
        <v>10.5</v>
      </c>
      <c r="R583" s="25" t="n">
        <f aca="false">SUMIFS('Commentary drivers'!$E:$E,'Commentary drivers'!$A:$A,A583)</f>
        <v>10.5</v>
      </c>
      <c r="S583" s="49" t="str">
        <f aca="false">IF(AND(ROUND(Q583-J583,4)=0,ROUND(R583-K583,1)=0),"✓","✗")</f>
        <v>✓</v>
      </c>
    </row>
    <row r="584" customFormat="false" ht="15" hidden="false" customHeight="false" outlineLevel="0" collapsed="false">
      <c r="A584" s="11" t="s">
        <v>1990</v>
      </c>
      <c r="B584" s="11" t="s">
        <v>33</v>
      </c>
      <c r="C584" s="11" t="s">
        <v>34</v>
      </c>
      <c r="D584" s="11" t="s">
        <v>1516</v>
      </c>
      <c r="E584" s="11" t="s">
        <v>1529</v>
      </c>
      <c r="F584" s="11" t="s">
        <v>403</v>
      </c>
      <c r="G584" s="11" t="n">
        <v>0</v>
      </c>
      <c r="H584" s="34" t="n">
        <v>-925.12057</v>
      </c>
      <c r="I584" s="34" t="n">
        <v>145.87114</v>
      </c>
      <c r="J584" s="34" t="n">
        <v>-1070.99171</v>
      </c>
      <c r="K584" s="34" t="n">
        <v>-1071</v>
      </c>
      <c r="L584" s="11" t="s">
        <v>806</v>
      </c>
      <c r="M584" s="11" t="s">
        <v>1250</v>
      </c>
      <c r="N584" s="11" t="s">
        <v>1251</v>
      </c>
      <c r="O584" s="11" t="s">
        <v>1252</v>
      </c>
      <c r="P584" s="11" t="s">
        <v>1557</v>
      </c>
      <c r="Q584" s="25" t="n">
        <f aca="false">SUMIFS('Commentary drivers'!$D:$D,'Commentary drivers'!$A:$A,A584)</f>
        <v>-1070.99171</v>
      </c>
      <c r="R584" s="25" t="n">
        <f aca="false">SUMIFS('Commentary drivers'!$E:$E,'Commentary drivers'!$A:$A,A584)</f>
        <v>-1071</v>
      </c>
      <c r="S584" s="49" t="str">
        <f aca="false">IF(AND(ROUND(Q584-J584,4)=0,ROUND(R584-K584,1)=0),"✓","✗")</f>
        <v>✓</v>
      </c>
    </row>
    <row r="585" customFormat="false" ht="15" hidden="false" customHeight="false" outlineLevel="0" collapsed="false">
      <c r="A585" s="11" t="s">
        <v>1991</v>
      </c>
      <c r="B585" s="11" t="s">
        <v>33</v>
      </c>
      <c r="C585" s="11" t="s">
        <v>34</v>
      </c>
      <c r="D585" s="11" t="s">
        <v>1516</v>
      </c>
      <c r="E585" s="11" t="s">
        <v>1531</v>
      </c>
      <c r="F585" s="11" t="s">
        <v>405</v>
      </c>
      <c r="G585" s="11" t="n">
        <v>1</v>
      </c>
      <c r="H585" s="34" t="n">
        <v>-1645.58705</v>
      </c>
      <c r="I585" s="34" t="n">
        <v>-254.0213</v>
      </c>
      <c r="J585" s="34" t="n">
        <v>-1391.56575</v>
      </c>
      <c r="K585" s="34" t="n">
        <v>-1391.6</v>
      </c>
      <c r="L585" s="11" t="s">
        <v>807</v>
      </c>
      <c r="M585" s="11" t="s">
        <v>1250</v>
      </c>
      <c r="N585" s="11" t="s">
        <v>1251</v>
      </c>
      <c r="O585" s="11" t="s">
        <v>1252</v>
      </c>
      <c r="P585" s="11" t="s">
        <v>1557</v>
      </c>
      <c r="Q585" s="25" t="n">
        <f aca="false">SUMIFS('Commentary drivers'!$D:$D,'Commentary drivers'!$A:$A,A585)</f>
        <v>-1391.56575</v>
      </c>
      <c r="R585" s="25" t="n">
        <f aca="false">SUMIFS('Commentary drivers'!$E:$E,'Commentary drivers'!$A:$A,A585)</f>
        <v>-1391.6</v>
      </c>
      <c r="S585" s="49" t="str">
        <f aca="false">IF(AND(ROUND(Q585-J585,4)=0,ROUND(R585-K585,1)=0),"✓","✗")</f>
        <v>✓</v>
      </c>
    </row>
    <row r="586" customFormat="false" ht="15" hidden="false" customHeight="false" outlineLevel="0" collapsed="false">
      <c r="A586" s="11" t="s">
        <v>1992</v>
      </c>
      <c r="B586" s="11" t="s">
        <v>33</v>
      </c>
      <c r="C586" s="11" t="s">
        <v>34</v>
      </c>
      <c r="D586" s="11" t="s">
        <v>1516</v>
      </c>
      <c r="E586" s="11" t="s">
        <v>1533</v>
      </c>
      <c r="F586" s="11" t="s">
        <v>407</v>
      </c>
      <c r="G586" s="11" t="n">
        <v>1</v>
      </c>
      <c r="H586" s="34" t="n">
        <v>-184</v>
      </c>
      <c r="I586" s="34" t="n">
        <v>-151.5</v>
      </c>
      <c r="J586" s="34" t="n">
        <v>-32.5</v>
      </c>
      <c r="K586" s="34" t="n">
        <v>-32.5</v>
      </c>
      <c r="L586" s="11" t="s">
        <v>808</v>
      </c>
      <c r="M586" s="11" t="s">
        <v>1250</v>
      </c>
      <c r="N586" s="11" t="s">
        <v>1251</v>
      </c>
      <c r="O586" s="11" t="s">
        <v>1252</v>
      </c>
      <c r="P586" s="11" t="s">
        <v>1557</v>
      </c>
      <c r="Q586" s="25" t="n">
        <f aca="false">SUMIFS('Commentary drivers'!$D:$D,'Commentary drivers'!$A:$A,A586)</f>
        <v>-32.5</v>
      </c>
      <c r="R586" s="25" t="n">
        <f aca="false">SUMIFS('Commentary drivers'!$E:$E,'Commentary drivers'!$A:$A,A586)</f>
        <v>-32.5</v>
      </c>
      <c r="S586" s="49" t="str">
        <f aca="false">IF(AND(ROUND(Q586-J586,4)=0,ROUND(R586-K586,1)=0),"✓","✗")</f>
        <v>✓</v>
      </c>
    </row>
    <row r="587" customFormat="false" ht="15" hidden="false" customHeight="false" outlineLevel="0" collapsed="false">
      <c r="A587" s="11" t="s">
        <v>1993</v>
      </c>
      <c r="B587" s="11" t="s">
        <v>33</v>
      </c>
      <c r="C587" s="11" t="s">
        <v>34</v>
      </c>
      <c r="D587" s="11" t="s">
        <v>1516</v>
      </c>
      <c r="E587" s="11" t="s">
        <v>1535</v>
      </c>
      <c r="F587" s="11" t="s">
        <v>409</v>
      </c>
      <c r="G587" s="11" t="n">
        <v>1</v>
      </c>
      <c r="H587" s="34" t="n">
        <v>-395</v>
      </c>
      <c r="I587" s="34" t="n">
        <v>-330</v>
      </c>
      <c r="J587" s="34" t="n">
        <v>-65</v>
      </c>
      <c r="K587" s="34" t="n">
        <v>-65</v>
      </c>
      <c r="L587" s="11" t="s">
        <v>809</v>
      </c>
      <c r="M587" s="11" t="s">
        <v>1250</v>
      </c>
      <c r="N587" s="11" t="s">
        <v>1251</v>
      </c>
      <c r="O587" s="11" t="s">
        <v>1252</v>
      </c>
      <c r="P587" s="11" t="s">
        <v>1557</v>
      </c>
      <c r="Q587" s="25" t="n">
        <f aca="false">SUMIFS('Commentary drivers'!$D:$D,'Commentary drivers'!$A:$A,A587)</f>
        <v>-65</v>
      </c>
      <c r="R587" s="25" t="n">
        <f aca="false">SUMIFS('Commentary drivers'!$E:$E,'Commentary drivers'!$A:$A,A587)</f>
        <v>-65</v>
      </c>
      <c r="S587" s="49" t="str">
        <f aca="false">IF(AND(ROUND(Q587-J587,4)=0,ROUND(R587-K587,1)=0),"✓","✗")</f>
        <v>✓</v>
      </c>
    </row>
    <row r="588" customFormat="false" ht="15" hidden="false" customHeight="false" outlineLevel="0" collapsed="false">
      <c r="A588" s="11" t="s">
        <v>1994</v>
      </c>
      <c r="B588" s="11" t="s">
        <v>33</v>
      </c>
      <c r="C588" s="11" t="s">
        <v>34</v>
      </c>
      <c r="D588" s="11" t="s">
        <v>1516</v>
      </c>
      <c r="E588" s="11" t="s">
        <v>1537</v>
      </c>
      <c r="F588" s="11" t="s">
        <v>411</v>
      </c>
      <c r="G588" s="11" t="n">
        <v>1</v>
      </c>
      <c r="H588" s="34" t="n">
        <v>83</v>
      </c>
      <c r="I588" s="34" t="n">
        <v>-40</v>
      </c>
      <c r="J588" s="34" t="n">
        <v>123</v>
      </c>
      <c r="K588" s="34" t="n">
        <v>123</v>
      </c>
      <c r="L588" s="11" t="s">
        <v>810</v>
      </c>
      <c r="M588" s="11" t="s">
        <v>1250</v>
      </c>
      <c r="N588" s="11" t="s">
        <v>1251</v>
      </c>
      <c r="O588" s="11" t="s">
        <v>1252</v>
      </c>
      <c r="P588" s="11" t="s">
        <v>1557</v>
      </c>
      <c r="Q588" s="25" t="n">
        <f aca="false">SUMIFS('Commentary drivers'!$D:$D,'Commentary drivers'!$A:$A,A588)</f>
        <v>123</v>
      </c>
      <c r="R588" s="25" t="n">
        <f aca="false">SUMIFS('Commentary drivers'!$E:$E,'Commentary drivers'!$A:$A,A588)</f>
        <v>123</v>
      </c>
      <c r="S588" s="49" t="str">
        <f aca="false">IF(AND(ROUND(Q588-J588,4)=0,ROUND(R588-K588,1)=0),"✓","✗")</f>
        <v>✓</v>
      </c>
    </row>
    <row r="589" customFormat="false" ht="15" hidden="false" customHeight="false" outlineLevel="0" collapsed="false">
      <c r="A589" s="11" t="s">
        <v>1995</v>
      </c>
      <c r="B589" s="11" t="s">
        <v>33</v>
      </c>
      <c r="C589" s="11" t="s">
        <v>34</v>
      </c>
      <c r="D589" s="11" t="s">
        <v>1516</v>
      </c>
      <c r="E589" s="11" t="s">
        <v>1539</v>
      </c>
      <c r="F589" s="11" t="s">
        <v>413</v>
      </c>
      <c r="G589" s="11" t="n">
        <v>1</v>
      </c>
      <c r="H589" s="34" t="n">
        <v>97.17848</v>
      </c>
      <c r="I589" s="34" t="n">
        <v>-1.46456</v>
      </c>
      <c r="J589" s="34" t="n">
        <v>98.64304</v>
      </c>
      <c r="K589" s="34" t="n">
        <v>98.6</v>
      </c>
      <c r="L589" s="11" t="s">
        <v>811</v>
      </c>
      <c r="M589" s="11" t="s">
        <v>1250</v>
      </c>
      <c r="N589" s="11" t="s">
        <v>1251</v>
      </c>
      <c r="O589" s="11" t="s">
        <v>1252</v>
      </c>
      <c r="P589" s="11" t="s">
        <v>1557</v>
      </c>
      <c r="Q589" s="25" t="n">
        <f aca="false">SUMIFS('Commentary drivers'!$D:$D,'Commentary drivers'!$A:$A,A589)</f>
        <v>98.64304</v>
      </c>
      <c r="R589" s="25" t="n">
        <f aca="false">SUMIFS('Commentary drivers'!$E:$E,'Commentary drivers'!$A:$A,A589)</f>
        <v>98.6</v>
      </c>
      <c r="S589" s="49" t="str">
        <f aca="false">IF(AND(ROUND(Q589-J589,4)=0,ROUND(R589-K589,1)=0),"✓","✗")</f>
        <v>✓</v>
      </c>
    </row>
    <row r="590" customFormat="false" ht="15" hidden="false" customHeight="false" outlineLevel="0" collapsed="false">
      <c r="A590" s="11" t="s">
        <v>1996</v>
      </c>
      <c r="B590" s="11" t="s">
        <v>33</v>
      </c>
      <c r="C590" s="11" t="s">
        <v>34</v>
      </c>
      <c r="D590" s="11" t="s">
        <v>1516</v>
      </c>
      <c r="E590" s="11" t="s">
        <v>1541</v>
      </c>
      <c r="F590" s="11" t="s">
        <v>415</v>
      </c>
      <c r="G590" s="11" t="n">
        <v>1</v>
      </c>
      <c r="H590" s="34" t="n">
        <v>1119.288</v>
      </c>
      <c r="I590" s="34" t="n">
        <v>922.857</v>
      </c>
      <c r="J590" s="34" t="n">
        <v>196.431</v>
      </c>
      <c r="K590" s="34" t="n">
        <v>196.4</v>
      </c>
      <c r="L590" s="11" t="s">
        <v>812</v>
      </c>
      <c r="M590" s="11" t="s">
        <v>1250</v>
      </c>
      <c r="N590" s="11" t="s">
        <v>1251</v>
      </c>
      <c r="O590" s="11" t="s">
        <v>1252</v>
      </c>
      <c r="P590" s="11" t="s">
        <v>1557</v>
      </c>
      <c r="Q590" s="25" t="n">
        <f aca="false">SUMIFS('Commentary drivers'!$D:$D,'Commentary drivers'!$A:$A,A590)</f>
        <v>196.431</v>
      </c>
      <c r="R590" s="25" t="n">
        <f aca="false">SUMIFS('Commentary drivers'!$E:$E,'Commentary drivers'!$A:$A,A590)</f>
        <v>196.4</v>
      </c>
      <c r="S590" s="49" t="str">
        <f aca="false">IF(AND(ROUND(Q590-J590,4)=0,ROUND(R590-K590,1)=0),"✓","✗")</f>
        <v>✓</v>
      </c>
    </row>
    <row r="591" customFormat="false" ht="15" hidden="false" customHeight="false" outlineLevel="0" collapsed="false">
      <c r="A591" s="11" t="s">
        <v>1997</v>
      </c>
      <c r="B591" s="11" t="s">
        <v>33</v>
      </c>
      <c r="C591" s="11" t="s">
        <v>34</v>
      </c>
      <c r="D591" s="11" t="s">
        <v>1516</v>
      </c>
      <c r="E591" s="11" t="s">
        <v>1543</v>
      </c>
      <c r="F591" s="11" t="s">
        <v>417</v>
      </c>
      <c r="G591" s="11" t="n">
        <v>0</v>
      </c>
      <c r="H591" s="34" t="n">
        <v>2132.30443</v>
      </c>
      <c r="I591" s="34" t="n">
        <v>2812.38214</v>
      </c>
      <c r="J591" s="34" t="n">
        <v>-680.07771</v>
      </c>
      <c r="K591" s="34" t="n">
        <v>-680.1</v>
      </c>
      <c r="L591" s="11" t="s">
        <v>813</v>
      </c>
      <c r="M591" s="11" t="s">
        <v>1250</v>
      </c>
      <c r="N591" s="11" t="s">
        <v>1251</v>
      </c>
      <c r="O591" s="11" t="s">
        <v>1252</v>
      </c>
      <c r="P591" s="11" t="s">
        <v>1557</v>
      </c>
      <c r="Q591" s="25" t="n">
        <f aca="false">SUMIFS('Commentary drivers'!$D:$D,'Commentary drivers'!$A:$A,A591)</f>
        <v>-680.07771</v>
      </c>
      <c r="R591" s="25" t="n">
        <f aca="false">SUMIFS('Commentary drivers'!$E:$E,'Commentary drivers'!$A:$A,A591)</f>
        <v>-680.1</v>
      </c>
      <c r="S591" s="49" t="str">
        <f aca="false">IF(AND(ROUND(Q591-J591,4)=0,ROUND(R591-K591,1)=0),"✓","✗")</f>
        <v>✓</v>
      </c>
    </row>
    <row r="592" customFormat="false" ht="15" hidden="false" customHeight="false" outlineLevel="0" collapsed="false">
      <c r="A592" s="11" t="s">
        <v>1998</v>
      </c>
      <c r="B592" s="11" t="s">
        <v>33</v>
      </c>
      <c r="C592" s="11" t="s">
        <v>34</v>
      </c>
      <c r="D592" s="11" t="s">
        <v>1516</v>
      </c>
      <c r="E592" s="11" t="s">
        <v>1545</v>
      </c>
      <c r="F592" s="11" t="s">
        <v>419</v>
      </c>
      <c r="G592" s="11" t="n">
        <v>0</v>
      </c>
      <c r="H592" s="34" t="n">
        <v>-404</v>
      </c>
      <c r="I592" s="34" t="n">
        <v>-324</v>
      </c>
      <c r="J592" s="34" t="n">
        <v>-80</v>
      </c>
      <c r="K592" s="34" t="n">
        <v>-80</v>
      </c>
      <c r="L592" s="11" t="s">
        <v>814</v>
      </c>
      <c r="M592" s="11" t="s">
        <v>1250</v>
      </c>
      <c r="N592" s="11" t="s">
        <v>1251</v>
      </c>
      <c r="O592" s="11" t="s">
        <v>1252</v>
      </c>
      <c r="P592" s="11" t="s">
        <v>1557</v>
      </c>
      <c r="Q592" s="25" t="n">
        <f aca="false">SUMIFS('Commentary drivers'!$D:$D,'Commentary drivers'!$A:$A,A592)</f>
        <v>-80</v>
      </c>
      <c r="R592" s="25" t="n">
        <f aca="false">SUMIFS('Commentary drivers'!$E:$E,'Commentary drivers'!$A:$A,A592)</f>
        <v>-80</v>
      </c>
      <c r="S592" s="49" t="str">
        <f aca="false">IF(AND(ROUND(Q592-J592,4)=0,ROUND(R592-K592,1)=0),"✓","✗")</f>
        <v>✓</v>
      </c>
    </row>
    <row r="593" customFormat="false" ht="15" hidden="false" customHeight="false" outlineLevel="0" collapsed="false">
      <c r="A593" s="11" t="s">
        <v>1999</v>
      </c>
      <c r="B593" s="11" t="s">
        <v>33</v>
      </c>
      <c r="C593" s="11" t="s">
        <v>34</v>
      </c>
      <c r="D593" s="11" t="s">
        <v>1516</v>
      </c>
      <c r="E593" s="11" t="s">
        <v>1547</v>
      </c>
      <c r="F593" s="11" t="s">
        <v>421</v>
      </c>
      <c r="G593" s="11" t="n">
        <v>1</v>
      </c>
      <c r="H593" s="34" t="n">
        <v>-404</v>
      </c>
      <c r="I593" s="34" t="n">
        <v>-324</v>
      </c>
      <c r="J593" s="34" t="n">
        <v>-80</v>
      </c>
      <c r="K593" s="34" t="n">
        <v>-80</v>
      </c>
      <c r="L593" s="11" t="s">
        <v>815</v>
      </c>
      <c r="M593" s="11" t="s">
        <v>1250</v>
      </c>
      <c r="N593" s="11" t="s">
        <v>1251</v>
      </c>
      <c r="O593" s="11" t="s">
        <v>1252</v>
      </c>
      <c r="P593" s="11" t="s">
        <v>1557</v>
      </c>
      <c r="Q593" s="25" t="n">
        <f aca="false">SUMIFS('Commentary drivers'!$D:$D,'Commentary drivers'!$A:$A,A593)</f>
        <v>-80</v>
      </c>
      <c r="R593" s="25" t="n">
        <f aca="false">SUMIFS('Commentary drivers'!$E:$E,'Commentary drivers'!$A:$A,A593)</f>
        <v>-80</v>
      </c>
      <c r="S593" s="49" t="str">
        <f aca="false">IF(AND(ROUND(Q593-J593,4)=0,ROUND(R593-K593,1)=0),"✓","✗")</f>
        <v>✓</v>
      </c>
    </row>
    <row r="594" customFormat="false" ht="15" hidden="false" customHeight="false" outlineLevel="0" collapsed="false">
      <c r="A594" s="11" t="s">
        <v>2000</v>
      </c>
      <c r="B594" s="11" t="s">
        <v>33</v>
      </c>
      <c r="C594" s="11" t="s">
        <v>34</v>
      </c>
      <c r="D594" s="11" t="s">
        <v>1516</v>
      </c>
      <c r="E594" s="11" t="s">
        <v>1549</v>
      </c>
      <c r="F594" s="11" t="s">
        <v>423</v>
      </c>
      <c r="G594" s="11" t="n">
        <v>0</v>
      </c>
      <c r="H594" s="34" t="n">
        <v>-188</v>
      </c>
      <c r="I594" s="34" t="n">
        <v>-200</v>
      </c>
      <c r="J594" s="34" t="n">
        <v>12</v>
      </c>
      <c r="K594" s="34" t="n">
        <v>12</v>
      </c>
      <c r="L594" s="11" t="s">
        <v>816</v>
      </c>
      <c r="M594" s="11" t="s">
        <v>1250</v>
      </c>
      <c r="N594" s="11" t="s">
        <v>1251</v>
      </c>
      <c r="O594" s="11" t="s">
        <v>1252</v>
      </c>
      <c r="P594" s="11" t="s">
        <v>1557</v>
      </c>
      <c r="Q594" s="25" t="n">
        <f aca="false">SUMIFS('Commentary drivers'!$D:$D,'Commentary drivers'!$A:$A,A594)</f>
        <v>12</v>
      </c>
      <c r="R594" s="25" t="n">
        <f aca="false">SUMIFS('Commentary drivers'!$E:$E,'Commentary drivers'!$A:$A,A594)</f>
        <v>12</v>
      </c>
      <c r="S594" s="49" t="str">
        <f aca="false">IF(AND(ROUND(Q594-J594,4)=0,ROUND(R594-K594,1)=0),"✓","✗")</f>
        <v>✓</v>
      </c>
    </row>
    <row r="595" customFormat="false" ht="15" hidden="false" customHeight="false" outlineLevel="0" collapsed="false">
      <c r="A595" s="11" t="s">
        <v>2001</v>
      </c>
      <c r="B595" s="11" t="s">
        <v>33</v>
      </c>
      <c r="C595" s="11" t="s">
        <v>34</v>
      </c>
      <c r="D595" s="11" t="s">
        <v>1516</v>
      </c>
      <c r="E595" s="11" t="s">
        <v>1551</v>
      </c>
      <c r="F595" s="11" t="s">
        <v>425</v>
      </c>
      <c r="G595" s="11" t="n">
        <v>1</v>
      </c>
      <c r="H595" s="34" t="n">
        <v>-200</v>
      </c>
      <c r="I595" s="34" t="n">
        <v>-200</v>
      </c>
      <c r="J595" s="34" t="n">
        <v>0</v>
      </c>
      <c r="K595" s="34" t="n">
        <v>0</v>
      </c>
      <c r="L595" s="11" t="s">
        <v>817</v>
      </c>
      <c r="M595" s="11" t="s">
        <v>1250</v>
      </c>
      <c r="N595" s="11" t="s">
        <v>1262</v>
      </c>
      <c r="O595" s="11"/>
      <c r="P595" s="11"/>
      <c r="Q595" s="25" t="n">
        <f aca="false">SUMIFS('Commentary drivers'!$D:$D,'Commentary drivers'!$A:$A,A595)</f>
        <v>0</v>
      </c>
      <c r="R595" s="25" t="n">
        <f aca="false">SUMIFS('Commentary drivers'!$E:$E,'Commentary drivers'!$A:$A,A595)</f>
        <v>0</v>
      </c>
      <c r="S595" s="49" t="str">
        <f aca="false">IF(AND(ROUND(Q595-J595,4)=0,ROUND(R595-K595,1)=0),"✓","✗")</f>
        <v>✓</v>
      </c>
    </row>
    <row r="596" customFormat="false" ht="15" hidden="false" customHeight="false" outlineLevel="0" collapsed="false">
      <c r="A596" s="11" t="s">
        <v>2002</v>
      </c>
      <c r="B596" s="11" t="s">
        <v>33</v>
      </c>
      <c r="C596" s="11" t="s">
        <v>34</v>
      </c>
      <c r="D596" s="11" t="s">
        <v>1516</v>
      </c>
      <c r="E596" s="11" t="s">
        <v>1553</v>
      </c>
      <c r="F596" s="11" t="s">
        <v>427</v>
      </c>
      <c r="G596" s="11" t="n">
        <v>1</v>
      </c>
      <c r="H596" s="34" t="n">
        <v>12</v>
      </c>
      <c r="I596" s="34" t="n">
        <v>0</v>
      </c>
      <c r="J596" s="34" t="n">
        <v>12</v>
      </c>
      <c r="K596" s="34" t="n">
        <v>12</v>
      </c>
      <c r="L596" s="11" t="s">
        <v>818</v>
      </c>
      <c r="M596" s="11" t="s">
        <v>1250</v>
      </c>
      <c r="N596" s="11" t="s">
        <v>1251</v>
      </c>
      <c r="O596" s="11" t="s">
        <v>1252</v>
      </c>
      <c r="P596" s="11" t="s">
        <v>1557</v>
      </c>
      <c r="Q596" s="25" t="n">
        <f aca="false">SUMIFS('Commentary drivers'!$D:$D,'Commentary drivers'!$A:$A,A596)</f>
        <v>12</v>
      </c>
      <c r="R596" s="25" t="n">
        <f aca="false">SUMIFS('Commentary drivers'!$E:$E,'Commentary drivers'!$A:$A,A596)</f>
        <v>12</v>
      </c>
      <c r="S596" s="49" t="str">
        <f aca="false">IF(AND(ROUND(Q596-J596,4)=0,ROUND(R596-K596,1)=0),"✓","✗")</f>
        <v>✓</v>
      </c>
    </row>
    <row r="597" customFormat="false" ht="15" hidden="false" customHeight="false" outlineLevel="0" collapsed="false">
      <c r="A597" s="11" t="s">
        <v>2003</v>
      </c>
      <c r="B597" s="11" t="s">
        <v>33</v>
      </c>
      <c r="C597" s="11" t="s">
        <v>34</v>
      </c>
      <c r="D597" s="11" t="s">
        <v>1516</v>
      </c>
      <c r="E597" s="11" t="s">
        <v>1555</v>
      </c>
      <c r="F597" s="11" t="s">
        <v>429</v>
      </c>
      <c r="G597" s="11" t="n">
        <v>0</v>
      </c>
      <c r="H597" s="34" t="n">
        <v>1540.30443</v>
      </c>
      <c r="I597" s="34" t="n">
        <v>2288.38214</v>
      </c>
      <c r="J597" s="34" t="n">
        <v>-748.07771</v>
      </c>
      <c r="K597" s="34" t="n">
        <v>-748.1</v>
      </c>
      <c r="L597" s="11" t="s">
        <v>819</v>
      </c>
      <c r="M597" s="11" t="s">
        <v>1250</v>
      </c>
      <c r="N597" s="11" t="s">
        <v>1251</v>
      </c>
      <c r="O597" s="11" t="s">
        <v>1252</v>
      </c>
      <c r="P597" s="11" t="s">
        <v>1557</v>
      </c>
      <c r="Q597" s="25" t="n">
        <f aca="false">SUMIFS('Commentary drivers'!$D:$D,'Commentary drivers'!$A:$A,A597)</f>
        <v>-748.07771</v>
      </c>
      <c r="R597" s="25" t="n">
        <f aca="false">SUMIFS('Commentary drivers'!$E:$E,'Commentary drivers'!$A:$A,A597)</f>
        <v>-748.1</v>
      </c>
      <c r="S597" s="49" t="str">
        <f aca="false">IF(AND(ROUND(Q597-J597,4)=0,ROUND(R597-K597,1)=0),"✓","✗")</f>
        <v>✓</v>
      </c>
    </row>
    <row r="598" customFormat="false" ht="15" hidden="false" customHeight="false" outlineLevel="0" collapsed="false">
      <c r="A598" s="11" t="s">
        <v>2004</v>
      </c>
      <c r="B598" s="11" t="s">
        <v>132</v>
      </c>
      <c r="C598" s="11" t="s">
        <v>36</v>
      </c>
      <c r="D598" s="11" t="s">
        <v>1248</v>
      </c>
      <c r="E598" s="11" t="s">
        <v>1249</v>
      </c>
      <c r="F598" s="11" t="s">
        <v>153</v>
      </c>
      <c r="G598" s="11" t="n">
        <v>0</v>
      </c>
      <c r="H598" s="34" t="n">
        <v>1800</v>
      </c>
      <c r="I598" s="34" t="n">
        <v>1850</v>
      </c>
      <c r="J598" s="34" t="n">
        <v>-50</v>
      </c>
      <c r="K598" s="34" t="n">
        <v>-50</v>
      </c>
      <c r="L598" s="11" t="s">
        <v>821</v>
      </c>
      <c r="M598" s="11" t="s">
        <v>1250</v>
      </c>
      <c r="N598" s="11" t="s">
        <v>1251</v>
      </c>
      <c r="O598" s="11" t="s">
        <v>2005</v>
      </c>
      <c r="P598" s="11" t="s">
        <v>1557</v>
      </c>
      <c r="Q598" s="25" t="n">
        <f aca="false">SUMIFS('Commentary drivers'!$D:$D,'Commentary drivers'!$A:$A,A598)</f>
        <v>-50</v>
      </c>
      <c r="R598" s="25" t="n">
        <f aca="false">SUMIFS('Commentary drivers'!$E:$E,'Commentary drivers'!$A:$A,A598)</f>
        <v>-50</v>
      </c>
      <c r="S598" s="49" t="str">
        <f aca="false">IF(AND(ROUND(Q598-J598,4)=0,ROUND(R598-K598,1)=0),"✓","✗")</f>
        <v>✓</v>
      </c>
    </row>
    <row r="599" customFormat="false" ht="15" hidden="false" customHeight="false" outlineLevel="0" collapsed="false">
      <c r="A599" s="11" t="s">
        <v>2006</v>
      </c>
      <c r="B599" s="11" t="s">
        <v>132</v>
      </c>
      <c r="C599" s="11" t="s">
        <v>36</v>
      </c>
      <c r="D599" s="11" t="s">
        <v>1248</v>
      </c>
      <c r="E599" s="11" t="s">
        <v>1255</v>
      </c>
      <c r="F599" s="11" t="s">
        <v>154</v>
      </c>
      <c r="G599" s="11" t="n">
        <v>0</v>
      </c>
      <c r="H599" s="34" t="n">
        <v>200</v>
      </c>
      <c r="I599" s="34" t="n">
        <v>180</v>
      </c>
      <c r="J599" s="34" t="n">
        <v>20</v>
      </c>
      <c r="K599" s="34" t="n">
        <v>20</v>
      </c>
      <c r="L599" s="11" t="s">
        <v>823</v>
      </c>
      <c r="M599" s="11" t="s">
        <v>1250</v>
      </c>
      <c r="N599" s="11" t="s">
        <v>1251</v>
      </c>
      <c r="O599" s="11" t="s">
        <v>2005</v>
      </c>
      <c r="P599" s="11" t="s">
        <v>1557</v>
      </c>
      <c r="Q599" s="25" t="n">
        <f aca="false">SUMIFS('Commentary drivers'!$D:$D,'Commentary drivers'!$A:$A,A599)</f>
        <v>20</v>
      </c>
      <c r="R599" s="25" t="n">
        <f aca="false">SUMIFS('Commentary drivers'!$E:$E,'Commentary drivers'!$A:$A,A599)</f>
        <v>20</v>
      </c>
      <c r="S599" s="49" t="str">
        <f aca="false">IF(AND(ROUND(Q599-J599,4)=0,ROUND(R599-K599,1)=0),"✓","✗")</f>
        <v>✓</v>
      </c>
    </row>
    <row r="600" customFormat="false" ht="15" hidden="false" customHeight="false" outlineLevel="0" collapsed="false">
      <c r="A600" s="11" t="s">
        <v>2007</v>
      </c>
      <c r="B600" s="11" t="s">
        <v>132</v>
      </c>
      <c r="C600" s="11" t="s">
        <v>36</v>
      </c>
      <c r="D600" s="11" t="s">
        <v>1248</v>
      </c>
      <c r="E600" s="11" t="s">
        <v>1257</v>
      </c>
      <c r="F600" s="11" t="s">
        <v>91</v>
      </c>
      <c r="G600" s="11" t="n">
        <v>0</v>
      </c>
      <c r="H600" s="34" t="n">
        <v>2000</v>
      </c>
      <c r="I600" s="34" t="n">
        <v>2030</v>
      </c>
      <c r="J600" s="34" t="n">
        <v>-30</v>
      </c>
      <c r="K600" s="34" t="n">
        <v>-30</v>
      </c>
      <c r="L600" s="11" t="s">
        <v>824</v>
      </c>
      <c r="M600" s="11" t="s">
        <v>1250</v>
      </c>
      <c r="N600" s="11" t="s">
        <v>1251</v>
      </c>
      <c r="O600" s="11" t="s">
        <v>2005</v>
      </c>
      <c r="P600" s="11" t="s">
        <v>1557</v>
      </c>
      <c r="Q600" s="25" t="n">
        <f aca="false">SUMIFS('Commentary drivers'!$D:$D,'Commentary drivers'!$A:$A,A600)</f>
        <v>-30</v>
      </c>
      <c r="R600" s="25" t="n">
        <f aca="false">SUMIFS('Commentary drivers'!$E:$E,'Commentary drivers'!$A:$A,A600)</f>
        <v>-30</v>
      </c>
      <c r="S600" s="49" t="str">
        <f aca="false">IF(AND(ROUND(Q600-J600,4)=0,ROUND(R600-K600,1)=0),"✓","✗")</f>
        <v>✓</v>
      </c>
    </row>
    <row r="601" customFormat="false" ht="15" hidden="false" customHeight="false" outlineLevel="0" collapsed="false">
      <c r="A601" s="11" t="s">
        <v>2008</v>
      </c>
      <c r="B601" s="11" t="s">
        <v>132</v>
      </c>
      <c r="C601" s="11" t="s">
        <v>36</v>
      </c>
      <c r="D601" s="11" t="s">
        <v>1248</v>
      </c>
      <c r="E601" s="11" t="s">
        <v>1259</v>
      </c>
      <c r="F601" s="11" t="s">
        <v>155</v>
      </c>
      <c r="G601" s="11" t="n">
        <v>0</v>
      </c>
      <c r="H601" s="34" t="n">
        <v>540</v>
      </c>
      <c r="I601" s="34" t="n">
        <v>548.36177</v>
      </c>
      <c r="J601" s="34" t="n">
        <v>-8.36177</v>
      </c>
      <c r="K601" s="34" t="n">
        <v>-8.4</v>
      </c>
      <c r="L601" s="11" t="s">
        <v>825</v>
      </c>
      <c r="M601" s="11" t="s">
        <v>1250</v>
      </c>
      <c r="N601" s="11" t="s">
        <v>1251</v>
      </c>
      <c r="O601" s="11" t="s">
        <v>2005</v>
      </c>
      <c r="P601" s="11" t="s">
        <v>1557</v>
      </c>
      <c r="Q601" s="25" t="n">
        <f aca="false">SUMIFS('Commentary drivers'!$D:$D,'Commentary drivers'!$A:$A,A601)</f>
        <v>-8.36177</v>
      </c>
      <c r="R601" s="25" t="n">
        <f aca="false">SUMIFS('Commentary drivers'!$E:$E,'Commentary drivers'!$A:$A,A601)</f>
        <v>-8.4</v>
      </c>
      <c r="S601" s="49" t="str">
        <f aca="false">IF(AND(ROUND(Q601-J601,4)=0,ROUND(R601-K601,1)=0),"✓","✗")</f>
        <v>✓</v>
      </c>
    </row>
    <row r="602" customFormat="false" ht="15" hidden="false" customHeight="false" outlineLevel="0" collapsed="false">
      <c r="A602" s="11" t="s">
        <v>2009</v>
      </c>
      <c r="B602" s="11" t="s">
        <v>132</v>
      </c>
      <c r="C602" s="11" t="s">
        <v>36</v>
      </c>
      <c r="D602" s="11" t="s">
        <v>1248</v>
      </c>
      <c r="E602" s="11" t="s">
        <v>1261</v>
      </c>
      <c r="F602" s="11" t="s">
        <v>189</v>
      </c>
      <c r="G602" s="11" t="n">
        <v>1</v>
      </c>
      <c r="H602" s="34" t="n">
        <v>140</v>
      </c>
      <c r="I602" s="34" t="n">
        <v>137</v>
      </c>
      <c r="J602" s="34" t="n">
        <v>3</v>
      </c>
      <c r="K602" s="34" t="n">
        <v>3</v>
      </c>
      <c r="L602" s="11" t="s">
        <v>826</v>
      </c>
      <c r="M602" s="11" t="s">
        <v>1250</v>
      </c>
      <c r="N602" s="11" t="s">
        <v>1262</v>
      </c>
      <c r="O602" s="11"/>
      <c r="P602" s="11"/>
      <c r="Q602" s="25" t="n">
        <f aca="false">SUMIFS('Commentary drivers'!$D:$D,'Commentary drivers'!$A:$A,A602)</f>
        <v>3</v>
      </c>
      <c r="R602" s="25" t="n">
        <f aca="false">SUMIFS('Commentary drivers'!$E:$E,'Commentary drivers'!$A:$A,A602)</f>
        <v>3</v>
      </c>
      <c r="S602" s="49" t="str">
        <f aca="false">IF(AND(ROUND(Q602-J602,4)=0,ROUND(R602-K602,1)=0),"✓","✗")</f>
        <v>✓</v>
      </c>
    </row>
    <row r="603" customFormat="false" ht="15" hidden="false" customHeight="false" outlineLevel="0" collapsed="false">
      <c r="A603" s="11" t="s">
        <v>2010</v>
      </c>
      <c r="B603" s="11" t="s">
        <v>132</v>
      </c>
      <c r="C603" s="11" t="s">
        <v>36</v>
      </c>
      <c r="D603" s="11" t="s">
        <v>1248</v>
      </c>
      <c r="E603" s="11" t="s">
        <v>1264</v>
      </c>
      <c r="F603" s="11" t="s">
        <v>192</v>
      </c>
      <c r="G603" s="11" t="n">
        <v>1</v>
      </c>
      <c r="H603" s="34" t="n">
        <v>100</v>
      </c>
      <c r="I603" s="34" t="n">
        <v>111.23</v>
      </c>
      <c r="J603" s="34" t="n">
        <v>-11.23</v>
      </c>
      <c r="K603" s="34" t="n">
        <v>-11.2</v>
      </c>
      <c r="L603" s="11" t="s">
        <v>827</v>
      </c>
      <c r="M603" s="11" t="s">
        <v>1250</v>
      </c>
      <c r="N603" s="11" t="s">
        <v>1251</v>
      </c>
      <c r="O603" s="11" t="s">
        <v>2005</v>
      </c>
      <c r="P603" s="11" t="s">
        <v>1557</v>
      </c>
      <c r="Q603" s="25" t="n">
        <f aca="false">SUMIFS('Commentary drivers'!$D:$D,'Commentary drivers'!$A:$A,A603)</f>
        <v>-11.23</v>
      </c>
      <c r="R603" s="25" t="n">
        <f aca="false">SUMIFS('Commentary drivers'!$E:$E,'Commentary drivers'!$A:$A,A603)</f>
        <v>-11.2</v>
      </c>
      <c r="S603" s="49" t="str">
        <f aca="false">IF(AND(ROUND(Q603-J603,4)=0,ROUND(R603-K603,1)=0),"✓","✗")</f>
        <v>✓</v>
      </c>
    </row>
    <row r="604" customFormat="false" ht="15" hidden="false" customHeight="false" outlineLevel="0" collapsed="false">
      <c r="A604" s="11" t="s">
        <v>2011</v>
      </c>
      <c r="B604" s="11" t="s">
        <v>132</v>
      </c>
      <c r="C604" s="11" t="s">
        <v>36</v>
      </c>
      <c r="D604" s="11" t="s">
        <v>1248</v>
      </c>
      <c r="E604" s="11" t="s">
        <v>1266</v>
      </c>
      <c r="F604" s="11" t="s">
        <v>195</v>
      </c>
      <c r="G604" s="11" t="n">
        <v>1</v>
      </c>
      <c r="H604" s="34" t="n">
        <v>84</v>
      </c>
      <c r="I604" s="34" t="n">
        <v>88.8391</v>
      </c>
      <c r="J604" s="34" t="n">
        <v>-4.8391</v>
      </c>
      <c r="K604" s="34" t="n">
        <v>-4.8</v>
      </c>
      <c r="L604" s="11" t="s">
        <v>828</v>
      </c>
      <c r="M604" s="11" t="s">
        <v>1250</v>
      </c>
      <c r="N604" s="11" t="s">
        <v>1262</v>
      </c>
      <c r="O604" s="11"/>
      <c r="P604" s="11"/>
      <c r="Q604" s="25" t="n">
        <f aca="false">SUMIFS('Commentary drivers'!$D:$D,'Commentary drivers'!$A:$A,A604)</f>
        <v>-4.8391</v>
      </c>
      <c r="R604" s="25" t="n">
        <f aca="false">SUMIFS('Commentary drivers'!$E:$E,'Commentary drivers'!$A:$A,A604)</f>
        <v>-4.8</v>
      </c>
      <c r="S604" s="49" t="str">
        <f aca="false">IF(AND(ROUND(Q604-J604,4)=0,ROUND(R604-K604,1)=0),"✓","✗")</f>
        <v>✓</v>
      </c>
    </row>
    <row r="605" customFormat="false" ht="15" hidden="false" customHeight="false" outlineLevel="0" collapsed="false">
      <c r="A605" s="11" t="s">
        <v>2012</v>
      </c>
      <c r="B605" s="11" t="s">
        <v>132</v>
      </c>
      <c r="C605" s="11" t="s">
        <v>36</v>
      </c>
      <c r="D605" s="11" t="s">
        <v>1248</v>
      </c>
      <c r="E605" s="11" t="s">
        <v>1268</v>
      </c>
      <c r="F605" s="11" t="s">
        <v>198</v>
      </c>
      <c r="G605" s="11" t="n">
        <v>1</v>
      </c>
      <c r="H605" s="34" t="n">
        <v>160</v>
      </c>
      <c r="I605" s="34" t="n">
        <v>153.796</v>
      </c>
      <c r="J605" s="34" t="n">
        <v>6.204</v>
      </c>
      <c r="K605" s="34" t="n">
        <v>6.2</v>
      </c>
      <c r="L605" s="11" t="s">
        <v>829</v>
      </c>
      <c r="M605" s="11" t="s">
        <v>1250</v>
      </c>
      <c r="N605" s="11" t="s">
        <v>1262</v>
      </c>
      <c r="O605" s="11"/>
      <c r="P605" s="11"/>
      <c r="Q605" s="25" t="n">
        <f aca="false">SUMIFS('Commentary drivers'!$D:$D,'Commentary drivers'!$A:$A,A605)</f>
        <v>6.204</v>
      </c>
      <c r="R605" s="25" t="n">
        <f aca="false">SUMIFS('Commentary drivers'!$E:$E,'Commentary drivers'!$A:$A,A605)</f>
        <v>6.2</v>
      </c>
      <c r="S605" s="49" t="str">
        <f aca="false">IF(AND(ROUND(Q605-J605,4)=0,ROUND(R605-K605,1)=0),"✓","✗")</f>
        <v>✓</v>
      </c>
    </row>
    <row r="606" customFormat="false" ht="15" hidden="false" customHeight="false" outlineLevel="0" collapsed="false">
      <c r="A606" s="11" t="s">
        <v>2013</v>
      </c>
      <c r="B606" s="11" t="s">
        <v>132</v>
      </c>
      <c r="C606" s="11" t="s">
        <v>36</v>
      </c>
      <c r="D606" s="11" t="s">
        <v>1248</v>
      </c>
      <c r="E606" s="11" t="s">
        <v>1270</v>
      </c>
      <c r="F606" s="11" t="s">
        <v>201</v>
      </c>
      <c r="G606" s="11" t="n">
        <v>1</v>
      </c>
      <c r="H606" s="34" t="n">
        <v>16</v>
      </c>
      <c r="I606" s="34" t="n">
        <v>15.58</v>
      </c>
      <c r="J606" s="34" t="n">
        <v>0.42</v>
      </c>
      <c r="K606" s="34" t="n">
        <v>0.4</v>
      </c>
      <c r="L606" s="11" t="s">
        <v>830</v>
      </c>
      <c r="M606" s="11" t="s">
        <v>1250</v>
      </c>
      <c r="N606" s="11" t="s">
        <v>1262</v>
      </c>
      <c r="O606" s="11"/>
      <c r="P606" s="11"/>
      <c r="Q606" s="25" t="n">
        <f aca="false">SUMIFS('Commentary drivers'!$D:$D,'Commentary drivers'!$A:$A,A606)</f>
        <v>0.42</v>
      </c>
      <c r="R606" s="25" t="n">
        <f aca="false">SUMIFS('Commentary drivers'!$E:$E,'Commentary drivers'!$A:$A,A606)</f>
        <v>0.4</v>
      </c>
      <c r="S606" s="49" t="str">
        <f aca="false">IF(AND(ROUND(Q606-J606,4)=0,ROUND(R606-K606,1)=0),"✓","✗")</f>
        <v>✓</v>
      </c>
    </row>
    <row r="607" customFormat="false" ht="15" hidden="false" customHeight="false" outlineLevel="0" collapsed="false">
      <c r="A607" s="11" t="s">
        <v>2014</v>
      </c>
      <c r="B607" s="11" t="s">
        <v>132</v>
      </c>
      <c r="C607" s="11" t="s">
        <v>36</v>
      </c>
      <c r="D607" s="11" t="s">
        <v>1248</v>
      </c>
      <c r="E607" s="11" t="s">
        <v>1272</v>
      </c>
      <c r="F607" s="11" t="s">
        <v>204</v>
      </c>
      <c r="G607" s="11" t="n">
        <v>1</v>
      </c>
      <c r="H607" s="34" t="n">
        <v>20</v>
      </c>
      <c r="I607" s="34" t="n">
        <v>20.66667</v>
      </c>
      <c r="J607" s="34" t="n">
        <v>-0.66667</v>
      </c>
      <c r="K607" s="34" t="n">
        <v>-0.7</v>
      </c>
      <c r="L607" s="11" t="s">
        <v>831</v>
      </c>
      <c r="M607" s="11" t="s">
        <v>1250</v>
      </c>
      <c r="N607" s="11" t="s">
        <v>1262</v>
      </c>
      <c r="O607" s="11"/>
      <c r="P607" s="11"/>
      <c r="Q607" s="25" t="n">
        <f aca="false">SUMIFS('Commentary drivers'!$D:$D,'Commentary drivers'!$A:$A,A607)</f>
        <v>-0.66667</v>
      </c>
      <c r="R607" s="25" t="n">
        <f aca="false">SUMIFS('Commentary drivers'!$E:$E,'Commentary drivers'!$A:$A,A607)</f>
        <v>-0.7</v>
      </c>
      <c r="S607" s="49" t="str">
        <f aca="false">IF(AND(ROUND(Q607-J607,4)=0,ROUND(R607-K607,1)=0),"✓","✗")</f>
        <v>✓</v>
      </c>
    </row>
    <row r="608" customFormat="false" ht="15" hidden="false" customHeight="false" outlineLevel="0" collapsed="false">
      <c r="A608" s="11" t="s">
        <v>2015</v>
      </c>
      <c r="B608" s="11" t="s">
        <v>132</v>
      </c>
      <c r="C608" s="11" t="s">
        <v>36</v>
      </c>
      <c r="D608" s="11" t="s">
        <v>1248</v>
      </c>
      <c r="E608" s="11" t="s">
        <v>1274</v>
      </c>
      <c r="F608" s="11" t="s">
        <v>207</v>
      </c>
      <c r="G608" s="11" t="n">
        <v>1</v>
      </c>
      <c r="H608" s="34" t="n">
        <v>20</v>
      </c>
      <c r="I608" s="34" t="n">
        <v>21.25</v>
      </c>
      <c r="J608" s="34" t="n">
        <v>-1.25</v>
      </c>
      <c r="K608" s="34" t="n">
        <v>-1.3</v>
      </c>
      <c r="L608" s="11" t="s">
        <v>832</v>
      </c>
      <c r="M608" s="11" t="s">
        <v>1250</v>
      </c>
      <c r="N608" s="11" t="s">
        <v>1262</v>
      </c>
      <c r="O608" s="11"/>
      <c r="P608" s="11"/>
      <c r="Q608" s="25" t="n">
        <f aca="false">SUMIFS('Commentary drivers'!$D:$D,'Commentary drivers'!$A:$A,A608)</f>
        <v>-1.25</v>
      </c>
      <c r="R608" s="25" t="n">
        <f aca="false">SUMIFS('Commentary drivers'!$E:$E,'Commentary drivers'!$A:$A,A608)</f>
        <v>-1.3</v>
      </c>
      <c r="S608" s="49" t="str">
        <f aca="false">IF(AND(ROUND(Q608-J608,4)=0,ROUND(R608-K608,1)=0),"✓","✗")</f>
        <v>✓</v>
      </c>
    </row>
    <row r="609" customFormat="false" ht="15" hidden="false" customHeight="false" outlineLevel="0" collapsed="false">
      <c r="A609" s="11" t="s">
        <v>2016</v>
      </c>
      <c r="B609" s="11" t="s">
        <v>132</v>
      </c>
      <c r="C609" s="11" t="s">
        <v>36</v>
      </c>
      <c r="D609" s="11" t="s">
        <v>1248</v>
      </c>
      <c r="E609" s="11" t="s">
        <v>1276</v>
      </c>
      <c r="F609" s="11" t="s">
        <v>156</v>
      </c>
      <c r="G609" s="11" t="n">
        <v>0</v>
      </c>
      <c r="H609" s="34" t="n">
        <v>120</v>
      </c>
      <c r="I609" s="34" t="n">
        <v>119.412</v>
      </c>
      <c r="J609" s="34" t="n">
        <v>0.588</v>
      </c>
      <c r="K609" s="34" t="n">
        <v>0.6</v>
      </c>
      <c r="L609" s="11" t="s">
        <v>833</v>
      </c>
      <c r="M609" s="11" t="s">
        <v>1250</v>
      </c>
      <c r="N609" s="11" t="s">
        <v>1262</v>
      </c>
      <c r="O609" s="11"/>
      <c r="P609" s="11"/>
      <c r="Q609" s="25" t="n">
        <f aca="false">SUMIFS('Commentary drivers'!$D:$D,'Commentary drivers'!$A:$A,A609)</f>
        <v>0.588</v>
      </c>
      <c r="R609" s="25" t="n">
        <f aca="false">SUMIFS('Commentary drivers'!$E:$E,'Commentary drivers'!$A:$A,A609)</f>
        <v>0.6</v>
      </c>
      <c r="S609" s="49" t="str">
        <f aca="false">IF(AND(ROUND(Q609-J609,4)=0,ROUND(R609-K609,1)=0),"✓","✗")</f>
        <v>✓</v>
      </c>
    </row>
    <row r="610" customFormat="false" ht="15" hidden="false" customHeight="false" outlineLevel="0" collapsed="false">
      <c r="A610" s="11" t="s">
        <v>2017</v>
      </c>
      <c r="B610" s="11" t="s">
        <v>132</v>
      </c>
      <c r="C610" s="11" t="s">
        <v>36</v>
      </c>
      <c r="D610" s="11" t="s">
        <v>1248</v>
      </c>
      <c r="E610" s="11" t="s">
        <v>1278</v>
      </c>
      <c r="F610" s="11" t="s">
        <v>101</v>
      </c>
      <c r="G610" s="11" t="n">
        <v>0</v>
      </c>
      <c r="H610" s="34" t="n">
        <v>660</v>
      </c>
      <c r="I610" s="34" t="n">
        <v>667.77377</v>
      </c>
      <c r="J610" s="34" t="n">
        <v>-7.77377</v>
      </c>
      <c r="K610" s="34" t="n">
        <v>-7.8</v>
      </c>
      <c r="L610" s="11" t="s">
        <v>834</v>
      </c>
      <c r="M610" s="11" t="s">
        <v>1250</v>
      </c>
      <c r="N610" s="11" t="s">
        <v>1251</v>
      </c>
      <c r="O610" s="11" t="s">
        <v>2005</v>
      </c>
      <c r="P610" s="11" t="s">
        <v>1557</v>
      </c>
      <c r="Q610" s="25" t="n">
        <f aca="false">SUMIFS('Commentary drivers'!$D:$D,'Commentary drivers'!$A:$A,A610)</f>
        <v>-7.77377</v>
      </c>
      <c r="R610" s="25" t="n">
        <f aca="false">SUMIFS('Commentary drivers'!$E:$E,'Commentary drivers'!$A:$A,A610)</f>
        <v>-7.8</v>
      </c>
      <c r="S610" s="49" t="str">
        <f aca="false">IF(AND(ROUND(Q610-J610,4)=0,ROUND(R610-K610,1)=0),"✓","✗")</f>
        <v>✓</v>
      </c>
    </row>
    <row r="611" customFormat="false" ht="15" hidden="false" customHeight="false" outlineLevel="0" collapsed="false">
      <c r="A611" s="11" t="s">
        <v>2018</v>
      </c>
      <c r="B611" s="11" t="s">
        <v>132</v>
      </c>
      <c r="C611" s="11" t="s">
        <v>36</v>
      </c>
      <c r="D611" s="11" t="s">
        <v>1248</v>
      </c>
      <c r="E611" s="11" t="s">
        <v>1280</v>
      </c>
      <c r="F611" s="11" t="s">
        <v>92</v>
      </c>
      <c r="G611" s="11" t="n">
        <v>0</v>
      </c>
      <c r="H611" s="34" t="n">
        <v>1340</v>
      </c>
      <c r="I611" s="34" t="n">
        <v>1362.22623</v>
      </c>
      <c r="J611" s="34" t="n">
        <v>-22.22623</v>
      </c>
      <c r="K611" s="34" t="n">
        <v>-22.2</v>
      </c>
      <c r="L611" s="11" t="s">
        <v>835</v>
      </c>
      <c r="M611" s="11" t="s">
        <v>1250</v>
      </c>
      <c r="N611" s="11" t="s">
        <v>1251</v>
      </c>
      <c r="O611" s="11" t="s">
        <v>2005</v>
      </c>
      <c r="P611" s="11" t="s">
        <v>1557</v>
      </c>
      <c r="Q611" s="25" t="n">
        <f aca="false">SUMIFS('Commentary drivers'!$D:$D,'Commentary drivers'!$A:$A,A611)</f>
        <v>-22.22623</v>
      </c>
      <c r="R611" s="25" t="n">
        <f aca="false">SUMIFS('Commentary drivers'!$E:$E,'Commentary drivers'!$A:$A,A611)</f>
        <v>-22.2</v>
      </c>
      <c r="S611" s="49" t="str">
        <f aca="false">IF(AND(ROUND(Q611-J611,4)=0,ROUND(R611-K611,1)=0),"✓","✗")</f>
        <v>✓</v>
      </c>
    </row>
    <row r="612" customFormat="false" ht="15" hidden="false" customHeight="false" outlineLevel="0" collapsed="false">
      <c r="A612" s="11" t="s">
        <v>2019</v>
      </c>
      <c r="B612" s="11" t="s">
        <v>132</v>
      </c>
      <c r="C612" s="11" t="s">
        <v>36</v>
      </c>
      <c r="D612" s="11" t="s">
        <v>1248</v>
      </c>
      <c r="E612" s="11" t="s">
        <v>1282</v>
      </c>
      <c r="F612" s="11" t="s">
        <v>157</v>
      </c>
      <c r="G612" s="11" t="n">
        <v>0</v>
      </c>
      <c r="H612" s="34" t="n">
        <v>414</v>
      </c>
      <c r="I612" s="34" t="n">
        <v>450.65167</v>
      </c>
      <c r="J612" s="34" t="n">
        <v>-36.65167</v>
      </c>
      <c r="K612" s="34" t="n">
        <v>-36.7</v>
      </c>
      <c r="L612" s="11" t="s">
        <v>836</v>
      </c>
      <c r="M612" s="11" t="s">
        <v>1250</v>
      </c>
      <c r="N612" s="11" t="s">
        <v>1251</v>
      </c>
      <c r="O612" s="11" t="s">
        <v>2005</v>
      </c>
      <c r="P612" s="11" t="s">
        <v>1557</v>
      </c>
      <c r="Q612" s="25" t="n">
        <f aca="false">SUMIFS('Commentary drivers'!$D:$D,'Commentary drivers'!$A:$A,A612)</f>
        <v>-36.65167</v>
      </c>
      <c r="R612" s="25" t="n">
        <f aca="false">SUMIFS('Commentary drivers'!$E:$E,'Commentary drivers'!$A:$A,A612)</f>
        <v>-36.7</v>
      </c>
      <c r="S612" s="49" t="str">
        <f aca="false">IF(AND(ROUND(Q612-J612,4)=0,ROUND(R612-K612,1)=0),"✓","✗")</f>
        <v>✓</v>
      </c>
    </row>
    <row r="613" customFormat="false" ht="15" hidden="false" customHeight="false" outlineLevel="0" collapsed="false">
      <c r="A613" s="11" t="s">
        <v>2020</v>
      </c>
      <c r="B613" s="11" t="s">
        <v>132</v>
      </c>
      <c r="C613" s="11" t="s">
        <v>36</v>
      </c>
      <c r="D613" s="11" t="s">
        <v>1248</v>
      </c>
      <c r="E613" s="11" t="s">
        <v>1284</v>
      </c>
      <c r="F613" s="11" t="s">
        <v>192</v>
      </c>
      <c r="G613" s="11" t="n">
        <v>1</v>
      </c>
      <c r="H613" s="34" t="n">
        <v>300</v>
      </c>
      <c r="I613" s="34" t="n">
        <v>333.69</v>
      </c>
      <c r="J613" s="34" t="n">
        <v>-33.69</v>
      </c>
      <c r="K613" s="34" t="n">
        <v>-33.7</v>
      </c>
      <c r="L613" s="11" t="s">
        <v>837</v>
      </c>
      <c r="M613" s="11" t="s">
        <v>1250</v>
      </c>
      <c r="N613" s="11" t="s">
        <v>1251</v>
      </c>
      <c r="O613" s="11" t="s">
        <v>2005</v>
      </c>
      <c r="P613" s="11" t="s">
        <v>1557</v>
      </c>
      <c r="Q613" s="25" t="n">
        <f aca="false">SUMIFS('Commentary drivers'!$D:$D,'Commentary drivers'!$A:$A,A613)</f>
        <v>-33.69</v>
      </c>
      <c r="R613" s="25" t="n">
        <f aca="false">SUMIFS('Commentary drivers'!$E:$E,'Commentary drivers'!$A:$A,A613)</f>
        <v>-33.7</v>
      </c>
      <c r="S613" s="49" t="str">
        <f aca="false">IF(AND(ROUND(Q613-J613,4)=0,ROUND(R613-K613,1)=0),"✓","✗")</f>
        <v>✓</v>
      </c>
    </row>
    <row r="614" customFormat="false" ht="15" hidden="false" customHeight="false" outlineLevel="0" collapsed="false">
      <c r="A614" s="11" t="s">
        <v>2021</v>
      </c>
      <c r="B614" s="11" t="s">
        <v>132</v>
      </c>
      <c r="C614" s="11" t="s">
        <v>36</v>
      </c>
      <c r="D614" s="11" t="s">
        <v>1248</v>
      </c>
      <c r="E614" s="11" t="s">
        <v>1286</v>
      </c>
      <c r="F614" s="11" t="s">
        <v>189</v>
      </c>
      <c r="G614" s="11" t="n">
        <v>1</v>
      </c>
      <c r="H614" s="34" t="n">
        <v>40</v>
      </c>
      <c r="I614" s="34" t="n">
        <v>39</v>
      </c>
      <c r="J614" s="34" t="n">
        <v>1</v>
      </c>
      <c r="K614" s="34" t="n">
        <v>1</v>
      </c>
      <c r="L614" s="11" t="s">
        <v>838</v>
      </c>
      <c r="M614" s="11" t="s">
        <v>1250</v>
      </c>
      <c r="N614" s="11" t="s">
        <v>1262</v>
      </c>
      <c r="O614" s="11"/>
      <c r="P614" s="11"/>
      <c r="Q614" s="25" t="n">
        <f aca="false">SUMIFS('Commentary drivers'!$D:$D,'Commentary drivers'!$A:$A,A614)</f>
        <v>1</v>
      </c>
      <c r="R614" s="25" t="n">
        <f aca="false">SUMIFS('Commentary drivers'!$E:$E,'Commentary drivers'!$A:$A,A614)</f>
        <v>1</v>
      </c>
      <c r="S614" s="49" t="str">
        <f aca="false">IF(AND(ROUND(Q614-J614,4)=0,ROUND(R614-K614,1)=0),"✓","✗")</f>
        <v>✓</v>
      </c>
    </row>
    <row r="615" customFormat="false" ht="15" hidden="false" customHeight="false" outlineLevel="0" collapsed="false">
      <c r="A615" s="11" t="s">
        <v>2022</v>
      </c>
      <c r="B615" s="11" t="s">
        <v>132</v>
      </c>
      <c r="C615" s="11" t="s">
        <v>36</v>
      </c>
      <c r="D615" s="11" t="s">
        <v>1248</v>
      </c>
      <c r="E615" s="11" t="s">
        <v>1288</v>
      </c>
      <c r="F615" s="11" t="s">
        <v>201</v>
      </c>
      <c r="G615" s="11" t="n">
        <v>1</v>
      </c>
      <c r="H615" s="34" t="n">
        <v>24</v>
      </c>
      <c r="I615" s="34" t="n">
        <v>25.42</v>
      </c>
      <c r="J615" s="34" t="n">
        <v>-1.42</v>
      </c>
      <c r="K615" s="34" t="n">
        <v>-1.4</v>
      </c>
      <c r="L615" s="11" t="s">
        <v>839</v>
      </c>
      <c r="M615" s="11" t="s">
        <v>1250</v>
      </c>
      <c r="N615" s="11" t="s">
        <v>1262</v>
      </c>
      <c r="O615" s="11"/>
      <c r="P615" s="11"/>
      <c r="Q615" s="25" t="n">
        <f aca="false">SUMIFS('Commentary drivers'!$D:$D,'Commentary drivers'!$A:$A,A615)</f>
        <v>-1.42</v>
      </c>
      <c r="R615" s="25" t="n">
        <f aca="false">SUMIFS('Commentary drivers'!$E:$E,'Commentary drivers'!$A:$A,A615)</f>
        <v>-1.4</v>
      </c>
      <c r="S615" s="49" t="str">
        <f aca="false">IF(AND(ROUND(Q615-J615,4)=0,ROUND(R615-K615,1)=0),"✓","✗")</f>
        <v>✓</v>
      </c>
    </row>
    <row r="616" customFormat="false" ht="15" hidden="false" customHeight="false" outlineLevel="0" collapsed="false">
      <c r="A616" s="11" t="s">
        <v>2023</v>
      </c>
      <c r="B616" s="11" t="s">
        <v>132</v>
      </c>
      <c r="C616" s="11" t="s">
        <v>36</v>
      </c>
      <c r="D616" s="11" t="s">
        <v>1248</v>
      </c>
      <c r="E616" s="11" t="s">
        <v>1290</v>
      </c>
      <c r="F616" s="11" t="s">
        <v>204</v>
      </c>
      <c r="G616" s="11" t="n">
        <v>1</v>
      </c>
      <c r="H616" s="34" t="n">
        <v>20</v>
      </c>
      <c r="I616" s="34" t="n">
        <v>20.66667</v>
      </c>
      <c r="J616" s="34" t="n">
        <v>-0.66667</v>
      </c>
      <c r="K616" s="34" t="n">
        <v>-0.7</v>
      </c>
      <c r="L616" s="11" t="s">
        <v>831</v>
      </c>
      <c r="M616" s="11" t="s">
        <v>1250</v>
      </c>
      <c r="N616" s="11" t="s">
        <v>1262</v>
      </c>
      <c r="O616" s="11"/>
      <c r="P616" s="11"/>
      <c r="Q616" s="25" t="n">
        <f aca="false">SUMIFS('Commentary drivers'!$D:$D,'Commentary drivers'!$A:$A,A616)</f>
        <v>-0.66667</v>
      </c>
      <c r="R616" s="25" t="n">
        <f aca="false">SUMIFS('Commentary drivers'!$E:$E,'Commentary drivers'!$A:$A,A616)</f>
        <v>-0.7</v>
      </c>
      <c r="S616" s="49" t="str">
        <f aca="false">IF(AND(ROUND(Q616-J616,4)=0,ROUND(R616-K616,1)=0),"✓","✗")</f>
        <v>✓</v>
      </c>
    </row>
    <row r="617" customFormat="false" ht="15" hidden="false" customHeight="false" outlineLevel="0" collapsed="false">
      <c r="A617" s="11" t="s">
        <v>2024</v>
      </c>
      <c r="B617" s="11" t="s">
        <v>132</v>
      </c>
      <c r="C617" s="11" t="s">
        <v>36</v>
      </c>
      <c r="D617" s="11" t="s">
        <v>1248</v>
      </c>
      <c r="E617" s="11" t="s">
        <v>1292</v>
      </c>
      <c r="F617" s="11" t="s">
        <v>207</v>
      </c>
      <c r="G617" s="11" t="n">
        <v>1</v>
      </c>
      <c r="H617" s="34" t="n">
        <v>30</v>
      </c>
      <c r="I617" s="34" t="n">
        <v>31.875</v>
      </c>
      <c r="J617" s="34" t="n">
        <v>-1.875</v>
      </c>
      <c r="K617" s="34" t="n">
        <v>-1.9</v>
      </c>
      <c r="L617" s="11" t="s">
        <v>840</v>
      </c>
      <c r="M617" s="11" t="s">
        <v>1250</v>
      </c>
      <c r="N617" s="11" t="s">
        <v>1262</v>
      </c>
      <c r="O617" s="11"/>
      <c r="P617" s="11"/>
      <c r="Q617" s="25" t="n">
        <f aca="false">SUMIFS('Commentary drivers'!$D:$D,'Commentary drivers'!$A:$A,A617)</f>
        <v>-1.875</v>
      </c>
      <c r="R617" s="25" t="n">
        <f aca="false">SUMIFS('Commentary drivers'!$E:$E,'Commentary drivers'!$A:$A,A617)</f>
        <v>-1.9</v>
      </c>
      <c r="S617" s="49" t="str">
        <f aca="false">IF(AND(ROUND(Q617-J617,4)=0,ROUND(R617-K617,1)=0),"✓","✗")</f>
        <v>✓</v>
      </c>
    </row>
    <row r="618" customFormat="false" ht="15" hidden="false" customHeight="false" outlineLevel="0" collapsed="false">
      <c r="A618" s="11" t="s">
        <v>2025</v>
      </c>
      <c r="B618" s="11" t="s">
        <v>132</v>
      </c>
      <c r="C618" s="11" t="s">
        <v>36</v>
      </c>
      <c r="D618" s="11" t="s">
        <v>1248</v>
      </c>
      <c r="E618" s="11" t="s">
        <v>1294</v>
      </c>
      <c r="F618" s="11" t="s">
        <v>158</v>
      </c>
      <c r="G618" s="11" t="n">
        <v>0</v>
      </c>
      <c r="H618" s="34" t="n">
        <v>490</v>
      </c>
      <c r="I618" s="34" t="n">
        <v>524.13723</v>
      </c>
      <c r="J618" s="34" t="n">
        <v>-34.13723</v>
      </c>
      <c r="K618" s="34" t="n">
        <v>-34.1</v>
      </c>
      <c r="L618" s="11" t="s">
        <v>841</v>
      </c>
      <c r="M618" s="11" t="s">
        <v>1250</v>
      </c>
      <c r="N618" s="11" t="s">
        <v>1251</v>
      </c>
      <c r="O618" s="11" t="s">
        <v>2005</v>
      </c>
      <c r="P618" s="11" t="s">
        <v>1557</v>
      </c>
      <c r="Q618" s="25" t="n">
        <f aca="false">SUMIFS('Commentary drivers'!$D:$D,'Commentary drivers'!$A:$A,A618)</f>
        <v>-34.13723</v>
      </c>
      <c r="R618" s="25" t="n">
        <f aca="false">SUMIFS('Commentary drivers'!$E:$E,'Commentary drivers'!$A:$A,A618)</f>
        <v>-34.1</v>
      </c>
      <c r="S618" s="49" t="str">
        <f aca="false">IF(AND(ROUND(Q618-J618,4)=0,ROUND(R618-K618,1)=0),"✓","✗")</f>
        <v>✓</v>
      </c>
    </row>
    <row r="619" customFormat="false" ht="15" hidden="false" customHeight="false" outlineLevel="0" collapsed="false">
      <c r="A619" s="11" t="s">
        <v>2026</v>
      </c>
      <c r="B619" s="11" t="s">
        <v>132</v>
      </c>
      <c r="C619" s="11" t="s">
        <v>36</v>
      </c>
      <c r="D619" s="11" t="s">
        <v>1248</v>
      </c>
      <c r="E619" s="11" t="s">
        <v>1296</v>
      </c>
      <c r="F619" s="11" t="s">
        <v>225</v>
      </c>
      <c r="G619" s="11" t="n">
        <v>1</v>
      </c>
      <c r="H619" s="34" t="n">
        <v>240</v>
      </c>
      <c r="I619" s="34" t="n">
        <v>263.88</v>
      </c>
      <c r="J619" s="34" t="n">
        <v>-23.88</v>
      </c>
      <c r="K619" s="34" t="n">
        <v>-23.9</v>
      </c>
      <c r="L619" s="11" t="s">
        <v>842</v>
      </c>
      <c r="M619" s="11" t="s">
        <v>1250</v>
      </c>
      <c r="N619" s="11" t="s">
        <v>1251</v>
      </c>
      <c r="O619" s="11" t="s">
        <v>2005</v>
      </c>
      <c r="P619" s="11" t="s">
        <v>1557</v>
      </c>
      <c r="Q619" s="25" t="n">
        <f aca="false">SUMIFS('Commentary drivers'!$D:$D,'Commentary drivers'!$A:$A,A619)</f>
        <v>-23.88</v>
      </c>
      <c r="R619" s="25" t="n">
        <f aca="false">SUMIFS('Commentary drivers'!$E:$E,'Commentary drivers'!$A:$A,A619)</f>
        <v>-23.9</v>
      </c>
      <c r="S619" s="49" t="str">
        <f aca="false">IF(AND(ROUND(Q619-J619,4)=0,ROUND(R619-K619,1)=0),"✓","✗")</f>
        <v>✓</v>
      </c>
    </row>
    <row r="620" customFormat="false" ht="15" hidden="false" customHeight="false" outlineLevel="0" collapsed="false">
      <c r="A620" s="11" t="s">
        <v>2027</v>
      </c>
      <c r="B620" s="11" t="s">
        <v>132</v>
      </c>
      <c r="C620" s="11" t="s">
        <v>36</v>
      </c>
      <c r="D620" s="11" t="s">
        <v>1248</v>
      </c>
      <c r="E620" s="11" t="s">
        <v>1298</v>
      </c>
      <c r="F620" s="11" t="s">
        <v>195</v>
      </c>
      <c r="G620" s="11" t="n">
        <v>1</v>
      </c>
      <c r="H620" s="34" t="n">
        <v>36</v>
      </c>
      <c r="I620" s="34" t="n">
        <v>38.0739</v>
      </c>
      <c r="J620" s="34" t="n">
        <v>-2.0739</v>
      </c>
      <c r="K620" s="34" t="n">
        <v>-2.1</v>
      </c>
      <c r="L620" s="11" t="s">
        <v>843</v>
      </c>
      <c r="M620" s="11" t="s">
        <v>1250</v>
      </c>
      <c r="N620" s="11" t="s">
        <v>1262</v>
      </c>
      <c r="O620" s="11"/>
      <c r="P620" s="11"/>
      <c r="Q620" s="25" t="n">
        <f aca="false">SUMIFS('Commentary drivers'!$D:$D,'Commentary drivers'!$A:$A,A620)</f>
        <v>-2.0739</v>
      </c>
      <c r="R620" s="25" t="n">
        <f aca="false">SUMIFS('Commentary drivers'!$E:$E,'Commentary drivers'!$A:$A,A620)</f>
        <v>-2.1</v>
      </c>
      <c r="S620" s="49" t="str">
        <f aca="false">IF(AND(ROUND(Q620-J620,4)=0,ROUND(R620-K620,1)=0),"✓","✗")</f>
        <v>✓</v>
      </c>
    </row>
    <row r="621" customFormat="false" ht="15" hidden="false" customHeight="false" outlineLevel="0" collapsed="false">
      <c r="A621" s="11" t="s">
        <v>2028</v>
      </c>
      <c r="B621" s="11" t="s">
        <v>132</v>
      </c>
      <c r="C621" s="11" t="s">
        <v>36</v>
      </c>
      <c r="D621" s="11" t="s">
        <v>1248</v>
      </c>
      <c r="E621" s="11" t="s">
        <v>1300</v>
      </c>
      <c r="F621" s="11" t="s">
        <v>230</v>
      </c>
      <c r="G621" s="11" t="n">
        <v>1</v>
      </c>
      <c r="H621" s="34" t="n">
        <v>100</v>
      </c>
      <c r="I621" s="34" t="n">
        <v>110</v>
      </c>
      <c r="J621" s="34" t="n">
        <v>-10</v>
      </c>
      <c r="K621" s="34" t="n">
        <v>-10</v>
      </c>
      <c r="L621" s="11" t="s">
        <v>844</v>
      </c>
      <c r="M621" s="11" t="s">
        <v>1250</v>
      </c>
      <c r="N621" s="11" t="s">
        <v>1251</v>
      </c>
      <c r="O621" s="11" t="s">
        <v>2005</v>
      </c>
      <c r="P621" s="11" t="s">
        <v>1557</v>
      </c>
      <c r="Q621" s="25" t="n">
        <f aca="false">SUMIFS('Commentary drivers'!$D:$D,'Commentary drivers'!$A:$A,A621)</f>
        <v>-10</v>
      </c>
      <c r="R621" s="25" t="n">
        <f aca="false">SUMIFS('Commentary drivers'!$E:$E,'Commentary drivers'!$A:$A,A621)</f>
        <v>-10</v>
      </c>
      <c r="S621" s="49" t="str">
        <f aca="false">IF(AND(ROUND(Q621-J621,4)=0,ROUND(R621-K621,1)=0),"✓","✗")</f>
        <v>✓</v>
      </c>
    </row>
    <row r="622" customFormat="false" ht="15" hidden="false" customHeight="false" outlineLevel="0" collapsed="false">
      <c r="A622" s="11" t="s">
        <v>2029</v>
      </c>
      <c r="B622" s="11" t="s">
        <v>132</v>
      </c>
      <c r="C622" s="11" t="s">
        <v>36</v>
      </c>
      <c r="D622" s="11" t="s">
        <v>1248</v>
      </c>
      <c r="E622" s="11" t="s">
        <v>1302</v>
      </c>
      <c r="F622" s="11" t="s">
        <v>233</v>
      </c>
      <c r="G622" s="11" t="n">
        <v>1</v>
      </c>
      <c r="H622" s="34" t="n">
        <v>40</v>
      </c>
      <c r="I622" s="34" t="n">
        <v>42</v>
      </c>
      <c r="J622" s="34" t="n">
        <v>-2</v>
      </c>
      <c r="K622" s="34" t="n">
        <v>-2</v>
      </c>
      <c r="L622" s="11" t="s">
        <v>845</v>
      </c>
      <c r="M622" s="11" t="s">
        <v>1250</v>
      </c>
      <c r="N622" s="11" t="s">
        <v>1262</v>
      </c>
      <c r="O622" s="11"/>
      <c r="P622" s="11"/>
      <c r="Q622" s="25" t="n">
        <f aca="false">SUMIFS('Commentary drivers'!$D:$D,'Commentary drivers'!$A:$A,A622)</f>
        <v>-2</v>
      </c>
      <c r="R622" s="25" t="n">
        <f aca="false">SUMIFS('Commentary drivers'!$E:$E,'Commentary drivers'!$A:$A,A622)</f>
        <v>-2</v>
      </c>
      <c r="S622" s="49" t="str">
        <f aca="false">IF(AND(ROUND(Q622-J622,4)=0,ROUND(R622-K622,1)=0),"✓","✗")</f>
        <v>✓</v>
      </c>
    </row>
    <row r="623" customFormat="false" ht="15" hidden="false" customHeight="false" outlineLevel="0" collapsed="false">
      <c r="A623" s="11" t="s">
        <v>2030</v>
      </c>
      <c r="B623" s="11" t="s">
        <v>132</v>
      </c>
      <c r="C623" s="11" t="s">
        <v>36</v>
      </c>
      <c r="D623" s="11" t="s">
        <v>1248</v>
      </c>
      <c r="E623" s="11" t="s">
        <v>1304</v>
      </c>
      <c r="F623" s="11" t="s">
        <v>189</v>
      </c>
      <c r="G623" s="11" t="n">
        <v>1</v>
      </c>
      <c r="H623" s="34" t="n">
        <v>20</v>
      </c>
      <c r="I623" s="34" t="n">
        <v>14</v>
      </c>
      <c r="J623" s="34" t="n">
        <v>6</v>
      </c>
      <c r="K623" s="34" t="n">
        <v>6</v>
      </c>
      <c r="L623" s="11" t="s">
        <v>846</v>
      </c>
      <c r="M623" s="11" t="s">
        <v>1250</v>
      </c>
      <c r="N623" s="11" t="s">
        <v>1251</v>
      </c>
      <c r="O623" s="11" t="s">
        <v>2005</v>
      </c>
      <c r="P623" s="11" t="s">
        <v>1557</v>
      </c>
      <c r="Q623" s="25" t="n">
        <f aca="false">SUMIFS('Commentary drivers'!$D:$D,'Commentary drivers'!$A:$A,A623)</f>
        <v>6</v>
      </c>
      <c r="R623" s="25" t="n">
        <f aca="false">SUMIFS('Commentary drivers'!$E:$E,'Commentary drivers'!$A:$A,A623)</f>
        <v>6</v>
      </c>
      <c r="S623" s="49" t="str">
        <f aca="false">IF(AND(ROUND(Q623-J623,4)=0,ROUND(R623-K623,1)=0),"✓","✗")</f>
        <v>✓</v>
      </c>
    </row>
    <row r="624" customFormat="false" ht="15" hidden="false" customHeight="false" outlineLevel="0" collapsed="false">
      <c r="A624" s="11" t="s">
        <v>2031</v>
      </c>
      <c r="B624" s="11" t="s">
        <v>132</v>
      </c>
      <c r="C624" s="11" t="s">
        <v>36</v>
      </c>
      <c r="D624" s="11" t="s">
        <v>1248</v>
      </c>
      <c r="E624" s="11" t="s">
        <v>1306</v>
      </c>
      <c r="F624" s="11" t="s">
        <v>201</v>
      </c>
      <c r="G624" s="11" t="n">
        <v>1</v>
      </c>
      <c r="H624" s="34" t="n">
        <v>24</v>
      </c>
      <c r="I624" s="34" t="n">
        <v>24.6</v>
      </c>
      <c r="J624" s="34" t="n">
        <v>-0.6</v>
      </c>
      <c r="K624" s="34" t="n">
        <v>-0.6</v>
      </c>
      <c r="L624" s="11" t="s">
        <v>847</v>
      </c>
      <c r="M624" s="11" t="s">
        <v>1250</v>
      </c>
      <c r="N624" s="11" t="s">
        <v>1262</v>
      </c>
      <c r="O624" s="11"/>
      <c r="P624" s="11"/>
      <c r="Q624" s="25" t="n">
        <f aca="false">SUMIFS('Commentary drivers'!$D:$D,'Commentary drivers'!$A:$A,A624)</f>
        <v>-0.6</v>
      </c>
      <c r="R624" s="25" t="n">
        <f aca="false">SUMIFS('Commentary drivers'!$E:$E,'Commentary drivers'!$A:$A,A624)</f>
        <v>-0.6</v>
      </c>
      <c r="S624" s="49" t="str">
        <f aca="false">IF(AND(ROUND(Q624-J624,4)=0,ROUND(R624-K624,1)=0),"✓","✗")</f>
        <v>✓</v>
      </c>
    </row>
    <row r="625" customFormat="false" ht="15" hidden="false" customHeight="false" outlineLevel="0" collapsed="false">
      <c r="A625" s="11" t="s">
        <v>2032</v>
      </c>
      <c r="B625" s="11" t="s">
        <v>132</v>
      </c>
      <c r="C625" s="11" t="s">
        <v>36</v>
      </c>
      <c r="D625" s="11" t="s">
        <v>1248</v>
      </c>
      <c r="E625" s="11" t="s">
        <v>1308</v>
      </c>
      <c r="F625" s="11" t="s">
        <v>204</v>
      </c>
      <c r="G625" s="11" t="n">
        <v>1</v>
      </c>
      <c r="H625" s="34" t="n">
        <v>10</v>
      </c>
      <c r="I625" s="34" t="n">
        <v>10.33333</v>
      </c>
      <c r="J625" s="34" t="n">
        <v>-0.33333</v>
      </c>
      <c r="K625" s="34" t="n">
        <v>-0.3</v>
      </c>
      <c r="L625" s="11" t="s">
        <v>848</v>
      </c>
      <c r="M625" s="11" t="s">
        <v>1250</v>
      </c>
      <c r="N625" s="11" t="s">
        <v>1262</v>
      </c>
      <c r="O625" s="11"/>
      <c r="P625" s="11"/>
      <c r="Q625" s="25" t="n">
        <f aca="false">SUMIFS('Commentary drivers'!$D:$D,'Commentary drivers'!$A:$A,A625)</f>
        <v>-0.33333</v>
      </c>
      <c r="R625" s="25" t="n">
        <f aca="false">SUMIFS('Commentary drivers'!$E:$E,'Commentary drivers'!$A:$A,A625)</f>
        <v>-0.3</v>
      </c>
      <c r="S625" s="49" t="str">
        <f aca="false">IF(AND(ROUND(Q625-J625,4)=0,ROUND(R625-K625,1)=0),"✓","✗")</f>
        <v>✓</v>
      </c>
    </row>
    <row r="626" customFormat="false" ht="15" hidden="false" customHeight="false" outlineLevel="0" collapsed="false">
      <c r="A626" s="11" t="s">
        <v>2033</v>
      </c>
      <c r="B626" s="11" t="s">
        <v>132</v>
      </c>
      <c r="C626" s="11" t="s">
        <v>36</v>
      </c>
      <c r="D626" s="11" t="s">
        <v>1248</v>
      </c>
      <c r="E626" s="11" t="s">
        <v>1310</v>
      </c>
      <c r="F626" s="11" t="s">
        <v>207</v>
      </c>
      <c r="G626" s="11" t="n">
        <v>1</v>
      </c>
      <c r="H626" s="34" t="n">
        <v>20</v>
      </c>
      <c r="I626" s="34" t="n">
        <v>21.25</v>
      </c>
      <c r="J626" s="34" t="n">
        <v>-1.25</v>
      </c>
      <c r="K626" s="34" t="n">
        <v>-1.3</v>
      </c>
      <c r="L626" s="11" t="s">
        <v>832</v>
      </c>
      <c r="M626" s="11" t="s">
        <v>1250</v>
      </c>
      <c r="N626" s="11" t="s">
        <v>1262</v>
      </c>
      <c r="O626" s="11"/>
      <c r="P626" s="11"/>
      <c r="Q626" s="25" t="n">
        <f aca="false">SUMIFS('Commentary drivers'!$D:$D,'Commentary drivers'!$A:$A,A626)</f>
        <v>-1.25</v>
      </c>
      <c r="R626" s="25" t="n">
        <f aca="false">SUMIFS('Commentary drivers'!$E:$E,'Commentary drivers'!$A:$A,A626)</f>
        <v>-1.3</v>
      </c>
      <c r="S626" s="49" t="str">
        <f aca="false">IF(AND(ROUND(Q626-J626,4)=0,ROUND(R626-K626,1)=0),"✓","✗")</f>
        <v>✓</v>
      </c>
    </row>
    <row r="627" customFormat="false" ht="15" hidden="false" customHeight="false" outlineLevel="0" collapsed="false">
      <c r="A627" s="11" t="s">
        <v>2034</v>
      </c>
      <c r="B627" s="11" t="s">
        <v>132</v>
      </c>
      <c r="C627" s="11" t="s">
        <v>36</v>
      </c>
      <c r="D627" s="11" t="s">
        <v>1248</v>
      </c>
      <c r="E627" s="11" t="s">
        <v>1312</v>
      </c>
      <c r="F627" s="11" t="s">
        <v>159</v>
      </c>
      <c r="G627" s="11" t="n">
        <v>0</v>
      </c>
      <c r="H627" s="34" t="n">
        <v>216</v>
      </c>
      <c r="I627" s="34" t="n">
        <v>212.35833</v>
      </c>
      <c r="J627" s="34" t="n">
        <v>3.64167</v>
      </c>
      <c r="K627" s="34" t="n">
        <v>3.6</v>
      </c>
      <c r="L627" s="11" t="s">
        <v>849</v>
      </c>
      <c r="M627" s="11" t="s">
        <v>1250</v>
      </c>
      <c r="N627" s="11" t="s">
        <v>1251</v>
      </c>
      <c r="O627" s="11" t="s">
        <v>2005</v>
      </c>
      <c r="P627" s="11" t="s">
        <v>1557</v>
      </c>
      <c r="Q627" s="25" t="n">
        <f aca="false">SUMIFS('Commentary drivers'!$D:$D,'Commentary drivers'!$A:$A,A627)</f>
        <v>3.64167</v>
      </c>
      <c r="R627" s="25" t="n">
        <f aca="false">SUMIFS('Commentary drivers'!$E:$E,'Commentary drivers'!$A:$A,A627)</f>
        <v>3.6</v>
      </c>
      <c r="S627" s="49" t="str">
        <f aca="false">IF(AND(ROUND(Q627-J627,4)=0,ROUND(R627-K627,1)=0),"✓","✗")</f>
        <v>✓</v>
      </c>
    </row>
    <row r="628" customFormat="false" ht="15" hidden="false" customHeight="false" outlineLevel="0" collapsed="false">
      <c r="A628" s="11" t="s">
        <v>2035</v>
      </c>
      <c r="B628" s="11" t="s">
        <v>132</v>
      </c>
      <c r="C628" s="11" t="s">
        <v>36</v>
      </c>
      <c r="D628" s="11" t="s">
        <v>1248</v>
      </c>
      <c r="E628" s="11" t="s">
        <v>1314</v>
      </c>
      <c r="F628" s="11" t="s">
        <v>242</v>
      </c>
      <c r="G628" s="11" t="n">
        <v>1</v>
      </c>
      <c r="H628" s="34" t="n">
        <v>180</v>
      </c>
      <c r="I628" s="34" t="n">
        <v>175</v>
      </c>
      <c r="J628" s="34" t="n">
        <v>5</v>
      </c>
      <c r="K628" s="34" t="n">
        <v>5</v>
      </c>
      <c r="L628" s="11" t="s">
        <v>850</v>
      </c>
      <c r="M628" s="11" t="s">
        <v>1315</v>
      </c>
      <c r="N628" s="11" t="s">
        <v>1262</v>
      </c>
      <c r="O628" s="11"/>
      <c r="P628" s="11"/>
      <c r="Q628" s="25" t="n">
        <f aca="false">SUMIFS('Commentary drivers'!$D:$D,'Commentary drivers'!$A:$A,A628)</f>
        <v>5</v>
      </c>
      <c r="R628" s="25" t="n">
        <f aca="false">SUMIFS('Commentary drivers'!$E:$E,'Commentary drivers'!$A:$A,A628)</f>
        <v>5</v>
      </c>
      <c r="S628" s="49" t="str">
        <f aca="false">IF(AND(ROUND(Q628-J628,4)=0,ROUND(R628-K628,1)=0),"✓","✗")</f>
        <v>✓</v>
      </c>
    </row>
    <row r="629" customFormat="false" ht="15" hidden="false" customHeight="false" outlineLevel="0" collapsed="false">
      <c r="A629" s="11" t="s">
        <v>2036</v>
      </c>
      <c r="B629" s="11" t="s">
        <v>132</v>
      </c>
      <c r="C629" s="11" t="s">
        <v>36</v>
      </c>
      <c r="D629" s="11" t="s">
        <v>1248</v>
      </c>
      <c r="E629" s="11" t="s">
        <v>1317</v>
      </c>
      <c r="F629" s="11" t="s">
        <v>201</v>
      </c>
      <c r="G629" s="11" t="n">
        <v>1</v>
      </c>
      <c r="H629" s="34" t="n">
        <v>16</v>
      </c>
      <c r="I629" s="34" t="n">
        <v>16.4</v>
      </c>
      <c r="J629" s="34" t="n">
        <v>-0.4</v>
      </c>
      <c r="K629" s="34" t="n">
        <v>-0.4</v>
      </c>
      <c r="L629" s="11" t="s">
        <v>851</v>
      </c>
      <c r="M629" s="11" t="s">
        <v>1250</v>
      </c>
      <c r="N629" s="11" t="s">
        <v>1262</v>
      </c>
      <c r="O629" s="11"/>
      <c r="P629" s="11"/>
      <c r="Q629" s="25" t="n">
        <f aca="false">SUMIFS('Commentary drivers'!$D:$D,'Commentary drivers'!$A:$A,A629)</f>
        <v>-0.4</v>
      </c>
      <c r="R629" s="25" t="n">
        <f aca="false">SUMIFS('Commentary drivers'!$E:$E,'Commentary drivers'!$A:$A,A629)</f>
        <v>-0.4</v>
      </c>
      <c r="S629" s="49" t="str">
        <f aca="false">IF(AND(ROUND(Q629-J629,4)=0,ROUND(R629-K629,1)=0),"✓","✗")</f>
        <v>✓</v>
      </c>
    </row>
    <row r="630" customFormat="false" ht="15" hidden="false" customHeight="false" outlineLevel="0" collapsed="false">
      <c r="A630" s="11" t="s">
        <v>2037</v>
      </c>
      <c r="B630" s="11" t="s">
        <v>132</v>
      </c>
      <c r="C630" s="11" t="s">
        <v>36</v>
      </c>
      <c r="D630" s="11" t="s">
        <v>1248</v>
      </c>
      <c r="E630" s="11" t="s">
        <v>1319</v>
      </c>
      <c r="F630" s="11" t="s">
        <v>204</v>
      </c>
      <c r="G630" s="11" t="n">
        <v>1</v>
      </c>
      <c r="H630" s="34" t="n">
        <v>10</v>
      </c>
      <c r="I630" s="34" t="n">
        <v>10.33333</v>
      </c>
      <c r="J630" s="34" t="n">
        <v>-0.33333</v>
      </c>
      <c r="K630" s="34" t="n">
        <v>-0.3</v>
      </c>
      <c r="L630" s="11" t="s">
        <v>848</v>
      </c>
      <c r="M630" s="11" t="s">
        <v>1250</v>
      </c>
      <c r="N630" s="11" t="s">
        <v>1262</v>
      </c>
      <c r="O630" s="11"/>
      <c r="P630" s="11"/>
      <c r="Q630" s="25" t="n">
        <f aca="false">SUMIFS('Commentary drivers'!$D:$D,'Commentary drivers'!$A:$A,A630)</f>
        <v>-0.33333</v>
      </c>
      <c r="R630" s="25" t="n">
        <f aca="false">SUMIFS('Commentary drivers'!$E:$E,'Commentary drivers'!$A:$A,A630)</f>
        <v>-0.3</v>
      </c>
      <c r="S630" s="49" t="str">
        <f aca="false">IF(AND(ROUND(Q630-J630,4)=0,ROUND(R630-K630,1)=0),"✓","✗")</f>
        <v>✓</v>
      </c>
    </row>
    <row r="631" customFormat="false" ht="15" hidden="false" customHeight="false" outlineLevel="0" collapsed="false">
      <c r="A631" s="11" t="s">
        <v>2038</v>
      </c>
      <c r="B631" s="11" t="s">
        <v>132</v>
      </c>
      <c r="C631" s="11" t="s">
        <v>36</v>
      </c>
      <c r="D631" s="11" t="s">
        <v>1248</v>
      </c>
      <c r="E631" s="11" t="s">
        <v>1321</v>
      </c>
      <c r="F631" s="11" t="s">
        <v>207</v>
      </c>
      <c r="G631" s="11" t="n">
        <v>1</v>
      </c>
      <c r="H631" s="34" t="n">
        <v>10</v>
      </c>
      <c r="I631" s="34" t="n">
        <v>10.625</v>
      </c>
      <c r="J631" s="34" t="n">
        <v>-0.625</v>
      </c>
      <c r="K631" s="34" t="n">
        <v>-0.6</v>
      </c>
      <c r="L631" s="11" t="s">
        <v>852</v>
      </c>
      <c r="M631" s="11" t="s">
        <v>1250</v>
      </c>
      <c r="N631" s="11" t="s">
        <v>1262</v>
      </c>
      <c r="O631" s="11"/>
      <c r="P631" s="11"/>
      <c r="Q631" s="25" t="n">
        <f aca="false">SUMIFS('Commentary drivers'!$D:$D,'Commentary drivers'!$A:$A,A631)</f>
        <v>-0.625</v>
      </c>
      <c r="R631" s="25" t="n">
        <f aca="false">SUMIFS('Commentary drivers'!$E:$E,'Commentary drivers'!$A:$A,A631)</f>
        <v>-0.6</v>
      </c>
      <c r="S631" s="49" t="str">
        <f aca="false">IF(AND(ROUND(Q631-J631,4)=0,ROUND(R631-K631,1)=0),"✓","✗")</f>
        <v>✓</v>
      </c>
    </row>
    <row r="632" customFormat="false" ht="15" hidden="false" customHeight="false" outlineLevel="0" collapsed="false">
      <c r="A632" s="11" t="s">
        <v>2039</v>
      </c>
      <c r="B632" s="11" t="s">
        <v>132</v>
      </c>
      <c r="C632" s="11" t="s">
        <v>36</v>
      </c>
      <c r="D632" s="11" t="s">
        <v>1248</v>
      </c>
      <c r="E632" s="11" t="s">
        <v>1323</v>
      </c>
      <c r="F632" s="11" t="s">
        <v>95</v>
      </c>
      <c r="G632" s="11" t="n">
        <v>0</v>
      </c>
      <c r="H632" s="34" t="n">
        <v>1120</v>
      </c>
      <c r="I632" s="34" t="n">
        <v>1187.14723</v>
      </c>
      <c r="J632" s="34" t="n">
        <v>-67.14723</v>
      </c>
      <c r="K632" s="34" t="n">
        <v>-67.1</v>
      </c>
      <c r="L632" s="11" t="s">
        <v>853</v>
      </c>
      <c r="M632" s="11" t="s">
        <v>1250</v>
      </c>
      <c r="N632" s="11" t="s">
        <v>1251</v>
      </c>
      <c r="O632" s="11" t="s">
        <v>2005</v>
      </c>
      <c r="P632" s="11" t="s">
        <v>1557</v>
      </c>
      <c r="Q632" s="25" t="n">
        <f aca="false">SUMIFS('Commentary drivers'!$D:$D,'Commentary drivers'!$A:$A,A632)</f>
        <v>-67.14723</v>
      </c>
      <c r="R632" s="25" t="n">
        <f aca="false">SUMIFS('Commentary drivers'!$E:$E,'Commentary drivers'!$A:$A,A632)</f>
        <v>-67.1</v>
      </c>
      <c r="S632" s="49" t="str">
        <f aca="false">IF(AND(ROUND(Q632-J632,4)=0,ROUND(R632-K632,1)=0),"✓","✗")</f>
        <v>✓</v>
      </c>
    </row>
    <row r="633" customFormat="false" ht="15" hidden="false" customHeight="false" outlineLevel="0" collapsed="false">
      <c r="A633" s="11" t="s">
        <v>2040</v>
      </c>
      <c r="B633" s="11" t="s">
        <v>132</v>
      </c>
      <c r="C633" s="11" t="s">
        <v>36</v>
      </c>
      <c r="D633" s="11" t="s">
        <v>1248</v>
      </c>
      <c r="E633" s="11" t="s">
        <v>1325</v>
      </c>
      <c r="F633" s="11" t="s">
        <v>96</v>
      </c>
      <c r="G633" s="11" t="n">
        <v>0</v>
      </c>
      <c r="H633" s="34" t="n">
        <v>220</v>
      </c>
      <c r="I633" s="34" t="n">
        <v>175.079</v>
      </c>
      <c r="J633" s="34" t="n">
        <v>44.921</v>
      </c>
      <c r="K633" s="34" t="n">
        <v>44.9</v>
      </c>
      <c r="L633" s="11" t="s">
        <v>854</v>
      </c>
      <c r="M633" s="11" t="s">
        <v>1250</v>
      </c>
      <c r="N633" s="11" t="s">
        <v>1251</v>
      </c>
      <c r="O633" s="11" t="s">
        <v>2005</v>
      </c>
      <c r="P633" s="11" t="s">
        <v>1557</v>
      </c>
      <c r="Q633" s="25" t="n">
        <f aca="false">SUMIFS('Commentary drivers'!$D:$D,'Commentary drivers'!$A:$A,A633)</f>
        <v>44.921</v>
      </c>
      <c r="R633" s="25" t="n">
        <f aca="false">SUMIFS('Commentary drivers'!$E:$E,'Commentary drivers'!$A:$A,A633)</f>
        <v>44.9</v>
      </c>
      <c r="S633" s="49" t="str">
        <f aca="false">IF(AND(ROUND(Q633-J633,4)=0,ROUND(R633-K633,1)=0),"✓","✗")</f>
        <v>✓</v>
      </c>
    </row>
    <row r="634" customFormat="false" ht="15" hidden="false" customHeight="false" outlineLevel="0" collapsed="false">
      <c r="A634" s="11" t="s">
        <v>2041</v>
      </c>
      <c r="B634" s="11" t="s">
        <v>132</v>
      </c>
      <c r="C634" s="11" t="s">
        <v>36</v>
      </c>
      <c r="D634" s="11" t="s">
        <v>1248</v>
      </c>
      <c r="E634" s="11" t="s">
        <v>1327</v>
      </c>
      <c r="F634" s="11" t="s">
        <v>160</v>
      </c>
      <c r="G634" s="11" t="n">
        <v>0</v>
      </c>
      <c r="H634" s="34" t="n">
        <v>10</v>
      </c>
      <c r="I634" s="34" t="n">
        <v>8</v>
      </c>
      <c r="J634" s="34" t="n">
        <v>2</v>
      </c>
      <c r="K634" s="34" t="n">
        <v>2</v>
      </c>
      <c r="L634" s="11" t="s">
        <v>855</v>
      </c>
      <c r="M634" s="11" t="s">
        <v>1250</v>
      </c>
      <c r="N634" s="11" t="s">
        <v>1262</v>
      </c>
      <c r="O634" s="11"/>
      <c r="P634" s="11"/>
      <c r="Q634" s="25" t="n">
        <f aca="false">SUMIFS('Commentary drivers'!$D:$D,'Commentary drivers'!$A:$A,A634)</f>
        <v>2</v>
      </c>
      <c r="R634" s="25" t="n">
        <f aca="false">SUMIFS('Commentary drivers'!$E:$E,'Commentary drivers'!$A:$A,A634)</f>
        <v>2</v>
      </c>
      <c r="S634" s="49" t="str">
        <f aca="false">IF(AND(ROUND(Q634-J634,4)=0,ROUND(R634-K634,1)=0),"✓","✗")</f>
        <v>✓</v>
      </c>
    </row>
    <row r="635" customFormat="false" ht="15" hidden="false" customHeight="false" outlineLevel="0" collapsed="false">
      <c r="A635" s="11" t="s">
        <v>2042</v>
      </c>
      <c r="B635" s="11" t="s">
        <v>132</v>
      </c>
      <c r="C635" s="11" t="s">
        <v>36</v>
      </c>
      <c r="D635" s="11" t="s">
        <v>1248</v>
      </c>
      <c r="E635" s="11" t="s">
        <v>1329</v>
      </c>
      <c r="F635" s="11" t="s">
        <v>161</v>
      </c>
      <c r="G635" s="11" t="n">
        <v>0</v>
      </c>
      <c r="H635" s="34" t="n">
        <v>30</v>
      </c>
      <c r="I635" s="34" t="n">
        <v>30</v>
      </c>
      <c r="J635" s="34" t="n">
        <v>0</v>
      </c>
      <c r="K635" s="34" t="n">
        <v>0</v>
      </c>
      <c r="L635" s="11" t="s">
        <v>856</v>
      </c>
      <c r="M635" s="11" t="s">
        <v>1250</v>
      </c>
      <c r="N635" s="11" t="s">
        <v>1262</v>
      </c>
      <c r="O635" s="11"/>
      <c r="P635" s="11"/>
      <c r="Q635" s="25" t="n">
        <f aca="false">SUMIFS('Commentary drivers'!$D:$D,'Commentary drivers'!$A:$A,A635)</f>
        <v>0</v>
      </c>
      <c r="R635" s="25" t="n">
        <f aca="false">SUMIFS('Commentary drivers'!$E:$E,'Commentary drivers'!$A:$A,A635)</f>
        <v>0</v>
      </c>
      <c r="S635" s="49" t="str">
        <f aca="false">IF(AND(ROUND(Q635-J635,4)=0,ROUND(R635-K635,1)=0),"✓","✗")</f>
        <v>✓</v>
      </c>
    </row>
    <row r="636" customFormat="false" ht="15" hidden="false" customHeight="false" outlineLevel="0" collapsed="false">
      <c r="A636" s="11" t="s">
        <v>2043</v>
      </c>
      <c r="B636" s="11" t="s">
        <v>132</v>
      </c>
      <c r="C636" s="11" t="s">
        <v>36</v>
      </c>
      <c r="D636" s="11" t="s">
        <v>1248</v>
      </c>
      <c r="E636" s="11" t="s">
        <v>1331</v>
      </c>
      <c r="F636" s="11" t="s">
        <v>162</v>
      </c>
      <c r="G636" s="11" t="n">
        <v>0</v>
      </c>
      <c r="H636" s="34" t="n">
        <v>200</v>
      </c>
      <c r="I636" s="34" t="n">
        <v>153.079</v>
      </c>
      <c r="J636" s="34" t="n">
        <v>46.921</v>
      </c>
      <c r="K636" s="34" t="n">
        <v>46.9</v>
      </c>
      <c r="L636" s="11" t="s">
        <v>857</v>
      </c>
      <c r="M636" s="11" t="s">
        <v>1250</v>
      </c>
      <c r="N636" s="11" t="s">
        <v>1251</v>
      </c>
      <c r="O636" s="11" t="s">
        <v>2005</v>
      </c>
      <c r="P636" s="11" t="s">
        <v>1557</v>
      </c>
      <c r="Q636" s="25" t="n">
        <f aca="false">SUMIFS('Commentary drivers'!$D:$D,'Commentary drivers'!$A:$A,A636)</f>
        <v>46.921</v>
      </c>
      <c r="R636" s="25" t="n">
        <f aca="false">SUMIFS('Commentary drivers'!$E:$E,'Commentary drivers'!$A:$A,A636)</f>
        <v>46.9</v>
      </c>
      <c r="S636" s="49" t="str">
        <f aca="false">IF(AND(ROUND(Q636-J636,4)=0,ROUND(R636-K636,1)=0),"✓","✗")</f>
        <v>✓</v>
      </c>
    </row>
    <row r="637" customFormat="false" ht="15" hidden="false" customHeight="false" outlineLevel="0" collapsed="false">
      <c r="A637" s="11" t="s">
        <v>2044</v>
      </c>
      <c r="B637" s="11" t="s">
        <v>132</v>
      </c>
      <c r="C637" s="11" t="s">
        <v>36</v>
      </c>
      <c r="D637" s="11" t="s">
        <v>1248</v>
      </c>
      <c r="E637" s="11" t="s">
        <v>1333</v>
      </c>
      <c r="F637" s="11" t="s">
        <v>126</v>
      </c>
      <c r="G637" s="11" t="n">
        <v>0</v>
      </c>
      <c r="H637" s="34" t="n">
        <v>40</v>
      </c>
      <c r="I637" s="34" t="n">
        <v>45</v>
      </c>
      <c r="J637" s="34" t="n">
        <v>-5</v>
      </c>
      <c r="K637" s="34" t="n">
        <v>-5</v>
      </c>
      <c r="L637" s="11" t="s">
        <v>858</v>
      </c>
      <c r="M637" s="11" t="s">
        <v>1250</v>
      </c>
      <c r="N637" s="11" t="s">
        <v>1251</v>
      </c>
      <c r="O637" s="11" t="s">
        <v>2005</v>
      </c>
      <c r="P637" s="11" t="s">
        <v>1557</v>
      </c>
      <c r="Q637" s="25" t="n">
        <f aca="false">SUMIFS('Commentary drivers'!$D:$D,'Commentary drivers'!$A:$A,A637)</f>
        <v>-5</v>
      </c>
      <c r="R637" s="25" t="n">
        <f aca="false">SUMIFS('Commentary drivers'!$E:$E,'Commentary drivers'!$A:$A,A637)</f>
        <v>-5</v>
      </c>
      <c r="S637" s="49" t="str">
        <f aca="false">IF(AND(ROUND(Q637-J637,4)=0,ROUND(R637-K637,1)=0),"✓","✗")</f>
        <v>✓</v>
      </c>
    </row>
    <row r="638" customFormat="false" ht="15" hidden="false" customHeight="false" outlineLevel="0" collapsed="false">
      <c r="A638" s="11" t="s">
        <v>2045</v>
      </c>
      <c r="B638" s="11" t="s">
        <v>132</v>
      </c>
      <c r="C638" s="11" t="s">
        <v>36</v>
      </c>
      <c r="D638" s="11" t="s">
        <v>1248</v>
      </c>
      <c r="E638" s="11" t="s">
        <v>1335</v>
      </c>
      <c r="F638" s="11" t="s">
        <v>97</v>
      </c>
      <c r="G638" s="11" t="n">
        <v>0</v>
      </c>
      <c r="H638" s="34" t="n">
        <v>160</v>
      </c>
      <c r="I638" s="34" t="n">
        <v>108.079</v>
      </c>
      <c r="J638" s="34" t="n">
        <v>51.921</v>
      </c>
      <c r="K638" s="34" t="n">
        <v>51.9</v>
      </c>
      <c r="L638" s="11" t="s">
        <v>859</v>
      </c>
      <c r="M638" s="11" t="s">
        <v>1250</v>
      </c>
      <c r="N638" s="11" t="s">
        <v>1251</v>
      </c>
      <c r="O638" s="11" t="s">
        <v>2005</v>
      </c>
      <c r="P638" s="11" t="s">
        <v>1557</v>
      </c>
      <c r="Q638" s="25" t="n">
        <f aca="false">SUMIFS('Commentary drivers'!$D:$D,'Commentary drivers'!$A:$A,A638)</f>
        <v>51.921</v>
      </c>
      <c r="R638" s="25" t="n">
        <f aca="false">SUMIFS('Commentary drivers'!$E:$E,'Commentary drivers'!$A:$A,A638)</f>
        <v>51.9</v>
      </c>
      <c r="S638" s="49" t="str">
        <f aca="false">IF(AND(ROUND(Q638-J638,4)=0,ROUND(R638-K638,1)=0),"✓","✗")</f>
        <v>✓</v>
      </c>
    </row>
    <row r="639" customFormat="false" ht="15" hidden="false" customHeight="false" outlineLevel="0" collapsed="false">
      <c r="A639" s="11" t="s">
        <v>2046</v>
      </c>
      <c r="B639" s="11" t="s">
        <v>132</v>
      </c>
      <c r="C639" s="11" t="s">
        <v>36</v>
      </c>
      <c r="D639" s="11" t="s">
        <v>1337</v>
      </c>
      <c r="E639" s="11" t="s">
        <v>1338</v>
      </c>
      <c r="F639" s="11" t="s">
        <v>153</v>
      </c>
      <c r="G639" s="11" t="n">
        <v>0</v>
      </c>
      <c r="H639" s="34" t="n">
        <v>1800</v>
      </c>
      <c r="I639" s="34" t="n">
        <v>1850</v>
      </c>
      <c r="J639" s="34" t="n">
        <v>-50</v>
      </c>
      <c r="K639" s="34" t="n">
        <v>-50</v>
      </c>
      <c r="L639" s="11" t="s">
        <v>821</v>
      </c>
      <c r="M639" s="11" t="s">
        <v>1250</v>
      </c>
      <c r="N639" s="11" t="s">
        <v>1251</v>
      </c>
      <c r="O639" s="11" t="s">
        <v>2005</v>
      </c>
      <c r="P639" s="11" t="s">
        <v>1557</v>
      </c>
      <c r="Q639" s="25" t="n">
        <f aca="false">SUMIFS('Commentary drivers'!$D:$D,'Commentary drivers'!$A:$A,A639)</f>
        <v>-50</v>
      </c>
      <c r="R639" s="25" t="n">
        <f aca="false">SUMIFS('Commentary drivers'!$E:$E,'Commentary drivers'!$A:$A,A639)</f>
        <v>-50</v>
      </c>
      <c r="S639" s="49" t="str">
        <f aca="false">IF(AND(ROUND(Q639-J639,4)=0,ROUND(R639-K639,1)=0),"✓","✗")</f>
        <v>✓</v>
      </c>
    </row>
    <row r="640" customFormat="false" ht="15" hidden="false" customHeight="false" outlineLevel="0" collapsed="false">
      <c r="A640" s="11" t="s">
        <v>2047</v>
      </c>
      <c r="B640" s="11" t="s">
        <v>132</v>
      </c>
      <c r="C640" s="11" t="s">
        <v>36</v>
      </c>
      <c r="D640" s="11" t="s">
        <v>1337</v>
      </c>
      <c r="E640" s="11" t="s">
        <v>1340</v>
      </c>
      <c r="F640" s="11" t="s">
        <v>154</v>
      </c>
      <c r="G640" s="11" t="n">
        <v>0</v>
      </c>
      <c r="H640" s="34" t="n">
        <v>200</v>
      </c>
      <c r="I640" s="34" t="n">
        <v>180</v>
      </c>
      <c r="J640" s="34" t="n">
        <v>20</v>
      </c>
      <c r="K640" s="34" t="n">
        <v>20</v>
      </c>
      <c r="L640" s="11" t="s">
        <v>823</v>
      </c>
      <c r="M640" s="11" t="s">
        <v>1250</v>
      </c>
      <c r="N640" s="11" t="s">
        <v>1251</v>
      </c>
      <c r="O640" s="11" t="s">
        <v>2005</v>
      </c>
      <c r="P640" s="11" t="s">
        <v>1557</v>
      </c>
      <c r="Q640" s="25" t="n">
        <f aca="false">SUMIFS('Commentary drivers'!$D:$D,'Commentary drivers'!$A:$A,A640)</f>
        <v>20</v>
      </c>
      <c r="R640" s="25" t="n">
        <f aca="false">SUMIFS('Commentary drivers'!$E:$E,'Commentary drivers'!$A:$A,A640)</f>
        <v>20</v>
      </c>
      <c r="S640" s="49" t="str">
        <f aca="false">IF(AND(ROUND(Q640-J640,4)=0,ROUND(R640-K640,1)=0),"✓","✗")</f>
        <v>✓</v>
      </c>
    </row>
    <row r="641" customFormat="false" ht="15" hidden="false" customHeight="false" outlineLevel="0" collapsed="false">
      <c r="A641" s="11" t="s">
        <v>2048</v>
      </c>
      <c r="B641" s="11" t="s">
        <v>132</v>
      </c>
      <c r="C641" s="11" t="s">
        <v>36</v>
      </c>
      <c r="D641" s="11" t="s">
        <v>1337</v>
      </c>
      <c r="E641" s="11" t="s">
        <v>1342</v>
      </c>
      <c r="F641" s="11" t="s">
        <v>91</v>
      </c>
      <c r="G641" s="11" t="n">
        <v>0</v>
      </c>
      <c r="H641" s="34" t="n">
        <v>2000</v>
      </c>
      <c r="I641" s="34" t="n">
        <v>2030</v>
      </c>
      <c r="J641" s="34" t="n">
        <v>-30</v>
      </c>
      <c r="K641" s="34" t="n">
        <v>-30</v>
      </c>
      <c r="L641" s="11" t="s">
        <v>824</v>
      </c>
      <c r="M641" s="11" t="s">
        <v>1250</v>
      </c>
      <c r="N641" s="11" t="s">
        <v>1251</v>
      </c>
      <c r="O641" s="11" t="s">
        <v>2005</v>
      </c>
      <c r="P641" s="11" t="s">
        <v>1557</v>
      </c>
      <c r="Q641" s="25" t="n">
        <f aca="false">SUMIFS('Commentary drivers'!$D:$D,'Commentary drivers'!$A:$A,A641)</f>
        <v>-30</v>
      </c>
      <c r="R641" s="25" t="n">
        <f aca="false">SUMIFS('Commentary drivers'!$E:$E,'Commentary drivers'!$A:$A,A641)</f>
        <v>-30</v>
      </c>
      <c r="S641" s="49" t="str">
        <f aca="false">IF(AND(ROUND(Q641-J641,4)=0,ROUND(R641-K641,1)=0),"✓","✗")</f>
        <v>✓</v>
      </c>
    </row>
    <row r="642" customFormat="false" ht="15" hidden="false" customHeight="false" outlineLevel="0" collapsed="false">
      <c r="A642" s="11" t="s">
        <v>2049</v>
      </c>
      <c r="B642" s="11" t="s">
        <v>132</v>
      </c>
      <c r="C642" s="11" t="s">
        <v>36</v>
      </c>
      <c r="D642" s="11" t="s">
        <v>1337</v>
      </c>
      <c r="E642" s="11" t="s">
        <v>1344</v>
      </c>
      <c r="F642" s="11" t="s">
        <v>164</v>
      </c>
      <c r="G642" s="11" t="n">
        <v>0</v>
      </c>
      <c r="H642" s="34" t="n">
        <v>544</v>
      </c>
      <c r="I642" s="34" t="n">
        <v>552.46177</v>
      </c>
      <c r="J642" s="34" t="n">
        <v>-8.46177</v>
      </c>
      <c r="K642" s="34" t="n">
        <v>-8.5</v>
      </c>
      <c r="L642" s="11" t="s">
        <v>860</v>
      </c>
      <c r="M642" s="11" t="s">
        <v>1250</v>
      </c>
      <c r="N642" s="11" t="s">
        <v>1251</v>
      </c>
      <c r="O642" s="11" t="s">
        <v>2005</v>
      </c>
      <c r="P642" s="11" t="s">
        <v>1557</v>
      </c>
      <c r="Q642" s="25" t="n">
        <f aca="false">SUMIFS('Commentary drivers'!$D:$D,'Commentary drivers'!$A:$A,A642)</f>
        <v>-8.46177</v>
      </c>
      <c r="R642" s="25" t="n">
        <f aca="false">SUMIFS('Commentary drivers'!$E:$E,'Commentary drivers'!$A:$A,A642)</f>
        <v>-8.5</v>
      </c>
      <c r="S642" s="49" t="str">
        <f aca="false">IF(AND(ROUND(Q642-J642,4)=0,ROUND(R642-K642,1)=0),"✓","✗")</f>
        <v>✓</v>
      </c>
    </row>
    <row r="643" customFormat="false" ht="15" hidden="false" customHeight="false" outlineLevel="0" collapsed="false">
      <c r="A643" s="11" t="s">
        <v>2050</v>
      </c>
      <c r="B643" s="11" t="s">
        <v>132</v>
      </c>
      <c r="C643" s="11" t="s">
        <v>36</v>
      </c>
      <c r="D643" s="11" t="s">
        <v>1337</v>
      </c>
      <c r="E643" s="11" t="s">
        <v>1346</v>
      </c>
      <c r="F643" s="11" t="s">
        <v>257</v>
      </c>
      <c r="G643" s="11" t="n">
        <v>1</v>
      </c>
      <c r="H643" s="34" t="n">
        <v>140</v>
      </c>
      <c r="I643" s="34" t="n">
        <v>137</v>
      </c>
      <c r="J643" s="34" t="n">
        <v>3</v>
      </c>
      <c r="K643" s="34" t="n">
        <v>3</v>
      </c>
      <c r="L643" s="11" t="s">
        <v>861</v>
      </c>
      <c r="M643" s="11" t="s">
        <v>1250</v>
      </c>
      <c r="N643" s="11" t="s">
        <v>1262</v>
      </c>
      <c r="O643" s="11"/>
      <c r="P643" s="11"/>
      <c r="Q643" s="25" t="n">
        <f aca="false">SUMIFS('Commentary drivers'!$D:$D,'Commentary drivers'!$A:$A,A643)</f>
        <v>3</v>
      </c>
      <c r="R643" s="25" t="n">
        <f aca="false">SUMIFS('Commentary drivers'!$E:$E,'Commentary drivers'!$A:$A,A643)</f>
        <v>3</v>
      </c>
      <c r="S643" s="49" t="str">
        <f aca="false">IF(AND(ROUND(Q643-J643,4)=0,ROUND(R643-K643,1)=0),"✓","✗")</f>
        <v>✓</v>
      </c>
    </row>
    <row r="644" customFormat="false" ht="15" hidden="false" customHeight="false" outlineLevel="0" collapsed="false">
      <c r="A644" s="11" t="s">
        <v>2051</v>
      </c>
      <c r="B644" s="11" t="s">
        <v>132</v>
      </c>
      <c r="C644" s="11" t="s">
        <v>36</v>
      </c>
      <c r="D644" s="11" t="s">
        <v>1337</v>
      </c>
      <c r="E644" s="11" t="s">
        <v>1348</v>
      </c>
      <c r="F644" s="11" t="s">
        <v>259</v>
      </c>
      <c r="G644" s="11" t="n">
        <v>1</v>
      </c>
      <c r="H644" s="34" t="n">
        <v>100</v>
      </c>
      <c r="I644" s="34" t="n">
        <v>111.23</v>
      </c>
      <c r="J644" s="34" t="n">
        <v>-11.23</v>
      </c>
      <c r="K644" s="34" t="n">
        <v>-11.2</v>
      </c>
      <c r="L644" s="11" t="s">
        <v>862</v>
      </c>
      <c r="M644" s="11" t="s">
        <v>1250</v>
      </c>
      <c r="N644" s="11" t="s">
        <v>1251</v>
      </c>
      <c r="O644" s="11" t="s">
        <v>2005</v>
      </c>
      <c r="P644" s="11" t="s">
        <v>1557</v>
      </c>
      <c r="Q644" s="25" t="n">
        <f aca="false">SUMIFS('Commentary drivers'!$D:$D,'Commentary drivers'!$A:$A,A644)</f>
        <v>-11.23</v>
      </c>
      <c r="R644" s="25" t="n">
        <f aca="false">SUMIFS('Commentary drivers'!$E:$E,'Commentary drivers'!$A:$A,A644)</f>
        <v>-11.2</v>
      </c>
      <c r="S644" s="49" t="str">
        <f aca="false">IF(AND(ROUND(Q644-J644,4)=0,ROUND(R644-K644,1)=0),"✓","✗")</f>
        <v>✓</v>
      </c>
    </row>
    <row r="645" customFormat="false" ht="15" hidden="false" customHeight="false" outlineLevel="0" collapsed="false">
      <c r="A645" s="11" t="s">
        <v>2052</v>
      </c>
      <c r="B645" s="11" t="s">
        <v>132</v>
      </c>
      <c r="C645" s="11" t="s">
        <v>36</v>
      </c>
      <c r="D645" s="11" t="s">
        <v>1337</v>
      </c>
      <c r="E645" s="11" t="s">
        <v>1350</v>
      </c>
      <c r="F645" s="11" t="s">
        <v>261</v>
      </c>
      <c r="G645" s="11" t="n">
        <v>1</v>
      </c>
      <c r="H645" s="34" t="n">
        <v>160</v>
      </c>
      <c r="I645" s="34" t="n">
        <v>153.796</v>
      </c>
      <c r="J645" s="34" t="n">
        <v>6.204</v>
      </c>
      <c r="K645" s="34" t="n">
        <v>6.2</v>
      </c>
      <c r="L645" s="11" t="s">
        <v>863</v>
      </c>
      <c r="M645" s="11" t="s">
        <v>1250</v>
      </c>
      <c r="N645" s="11" t="s">
        <v>1262</v>
      </c>
      <c r="O645" s="11"/>
      <c r="P645" s="11"/>
      <c r="Q645" s="25" t="n">
        <f aca="false">SUMIFS('Commentary drivers'!$D:$D,'Commentary drivers'!$A:$A,A645)</f>
        <v>6.204</v>
      </c>
      <c r="R645" s="25" t="n">
        <f aca="false">SUMIFS('Commentary drivers'!$E:$E,'Commentary drivers'!$A:$A,A645)</f>
        <v>6.2</v>
      </c>
      <c r="S645" s="49" t="str">
        <f aca="false">IF(AND(ROUND(Q645-J645,4)=0,ROUND(R645-K645,1)=0),"✓","✗")</f>
        <v>✓</v>
      </c>
    </row>
    <row r="646" customFormat="false" ht="15" hidden="false" customHeight="false" outlineLevel="0" collapsed="false">
      <c r="A646" s="11" t="s">
        <v>2053</v>
      </c>
      <c r="B646" s="11" t="s">
        <v>132</v>
      </c>
      <c r="C646" s="11" t="s">
        <v>36</v>
      </c>
      <c r="D646" s="11" t="s">
        <v>1337</v>
      </c>
      <c r="E646" s="11" t="s">
        <v>1352</v>
      </c>
      <c r="F646" s="11" t="s">
        <v>263</v>
      </c>
      <c r="G646" s="11" t="n">
        <v>1</v>
      </c>
      <c r="H646" s="34" t="n">
        <v>84</v>
      </c>
      <c r="I646" s="34" t="n">
        <v>88.8391</v>
      </c>
      <c r="J646" s="34" t="n">
        <v>-4.8391</v>
      </c>
      <c r="K646" s="34" t="n">
        <v>-4.8</v>
      </c>
      <c r="L646" s="11" t="s">
        <v>864</v>
      </c>
      <c r="M646" s="11" t="s">
        <v>1250</v>
      </c>
      <c r="N646" s="11" t="s">
        <v>1262</v>
      </c>
      <c r="O646" s="11"/>
      <c r="P646" s="11"/>
      <c r="Q646" s="25" t="n">
        <f aca="false">SUMIFS('Commentary drivers'!$D:$D,'Commentary drivers'!$A:$A,A646)</f>
        <v>-4.8391</v>
      </c>
      <c r="R646" s="25" t="n">
        <f aca="false">SUMIFS('Commentary drivers'!$E:$E,'Commentary drivers'!$A:$A,A646)</f>
        <v>-4.8</v>
      </c>
      <c r="S646" s="49" t="str">
        <f aca="false">IF(AND(ROUND(Q646-J646,4)=0,ROUND(R646-K646,1)=0),"✓","✗")</f>
        <v>✓</v>
      </c>
    </row>
    <row r="647" customFormat="false" ht="15" hidden="false" customHeight="false" outlineLevel="0" collapsed="false">
      <c r="A647" s="11" t="s">
        <v>2054</v>
      </c>
      <c r="B647" s="11" t="s">
        <v>132</v>
      </c>
      <c r="C647" s="11" t="s">
        <v>36</v>
      </c>
      <c r="D647" s="11" t="s">
        <v>1337</v>
      </c>
      <c r="E647" s="11" t="s">
        <v>1354</v>
      </c>
      <c r="F647" s="11" t="s">
        <v>265</v>
      </c>
      <c r="G647" s="11" t="n">
        <v>1</v>
      </c>
      <c r="H647" s="34" t="n">
        <v>20</v>
      </c>
      <c r="I647" s="34" t="n">
        <v>19.68</v>
      </c>
      <c r="J647" s="34" t="n">
        <v>0.32</v>
      </c>
      <c r="K647" s="34" t="n">
        <v>0.3</v>
      </c>
      <c r="L647" s="11" t="s">
        <v>865</v>
      </c>
      <c r="M647" s="11" t="s">
        <v>1250</v>
      </c>
      <c r="N647" s="11" t="s">
        <v>1262</v>
      </c>
      <c r="O647" s="11"/>
      <c r="P647" s="11"/>
      <c r="Q647" s="25" t="n">
        <f aca="false">SUMIFS('Commentary drivers'!$D:$D,'Commentary drivers'!$A:$A,A647)</f>
        <v>0.32</v>
      </c>
      <c r="R647" s="25" t="n">
        <f aca="false">SUMIFS('Commentary drivers'!$E:$E,'Commentary drivers'!$A:$A,A647)</f>
        <v>0.3</v>
      </c>
      <c r="S647" s="49" t="str">
        <f aca="false">IF(AND(ROUND(Q647-J647,4)=0,ROUND(R647-K647,1)=0),"✓","✗")</f>
        <v>✓</v>
      </c>
    </row>
    <row r="648" customFormat="false" ht="15" hidden="false" customHeight="false" outlineLevel="0" collapsed="false">
      <c r="A648" s="11" t="s">
        <v>2055</v>
      </c>
      <c r="B648" s="11" t="s">
        <v>132</v>
      </c>
      <c r="C648" s="11" t="s">
        <v>36</v>
      </c>
      <c r="D648" s="11" t="s">
        <v>1337</v>
      </c>
      <c r="E648" s="11" t="s">
        <v>1356</v>
      </c>
      <c r="F648" s="11" t="s">
        <v>267</v>
      </c>
      <c r="G648" s="11" t="n">
        <v>1</v>
      </c>
      <c r="H648" s="34" t="n">
        <v>20</v>
      </c>
      <c r="I648" s="34" t="n">
        <v>20.66667</v>
      </c>
      <c r="J648" s="34" t="n">
        <v>-0.66667</v>
      </c>
      <c r="K648" s="34" t="n">
        <v>-0.7</v>
      </c>
      <c r="L648" s="11" t="s">
        <v>866</v>
      </c>
      <c r="M648" s="11" t="s">
        <v>1250</v>
      </c>
      <c r="N648" s="11" t="s">
        <v>1262</v>
      </c>
      <c r="O648" s="11"/>
      <c r="P648" s="11"/>
      <c r="Q648" s="25" t="n">
        <f aca="false">SUMIFS('Commentary drivers'!$D:$D,'Commentary drivers'!$A:$A,A648)</f>
        <v>-0.66667</v>
      </c>
      <c r="R648" s="25" t="n">
        <f aca="false">SUMIFS('Commentary drivers'!$E:$E,'Commentary drivers'!$A:$A,A648)</f>
        <v>-0.7</v>
      </c>
      <c r="S648" s="49" t="str">
        <f aca="false">IF(AND(ROUND(Q648-J648,4)=0,ROUND(R648-K648,1)=0),"✓","✗")</f>
        <v>✓</v>
      </c>
    </row>
    <row r="649" customFormat="false" ht="15" hidden="false" customHeight="false" outlineLevel="0" collapsed="false">
      <c r="A649" s="11" t="s">
        <v>2056</v>
      </c>
      <c r="B649" s="11" t="s">
        <v>132</v>
      </c>
      <c r="C649" s="11" t="s">
        <v>36</v>
      </c>
      <c r="D649" s="11" t="s">
        <v>1337</v>
      </c>
      <c r="E649" s="11" t="s">
        <v>1358</v>
      </c>
      <c r="F649" s="11" t="s">
        <v>269</v>
      </c>
      <c r="G649" s="11" t="n">
        <v>1</v>
      </c>
      <c r="H649" s="34" t="n">
        <v>20</v>
      </c>
      <c r="I649" s="34" t="n">
        <v>21.25</v>
      </c>
      <c r="J649" s="34" t="n">
        <v>-1.25</v>
      </c>
      <c r="K649" s="34" t="n">
        <v>-1.3</v>
      </c>
      <c r="L649" s="11" t="s">
        <v>867</v>
      </c>
      <c r="M649" s="11" t="s">
        <v>1250</v>
      </c>
      <c r="N649" s="11" t="s">
        <v>1262</v>
      </c>
      <c r="O649" s="11"/>
      <c r="P649" s="11"/>
      <c r="Q649" s="25" t="n">
        <f aca="false">SUMIFS('Commentary drivers'!$D:$D,'Commentary drivers'!$A:$A,A649)</f>
        <v>-1.25</v>
      </c>
      <c r="R649" s="25" t="n">
        <f aca="false">SUMIFS('Commentary drivers'!$E:$E,'Commentary drivers'!$A:$A,A649)</f>
        <v>-1.3</v>
      </c>
      <c r="S649" s="49" t="str">
        <f aca="false">IF(AND(ROUND(Q649-J649,4)=0,ROUND(R649-K649,1)=0),"✓","✗")</f>
        <v>✓</v>
      </c>
    </row>
    <row r="650" customFormat="false" ht="15" hidden="false" customHeight="false" outlineLevel="0" collapsed="false">
      <c r="A650" s="11" t="s">
        <v>2057</v>
      </c>
      <c r="B650" s="11" t="s">
        <v>132</v>
      </c>
      <c r="C650" s="11" t="s">
        <v>36</v>
      </c>
      <c r="D650" s="11" t="s">
        <v>1337</v>
      </c>
      <c r="E650" s="11" t="s">
        <v>1360</v>
      </c>
      <c r="F650" s="11" t="s">
        <v>165</v>
      </c>
      <c r="G650" s="11" t="n">
        <v>0</v>
      </c>
      <c r="H650" s="34" t="n">
        <v>120</v>
      </c>
      <c r="I650" s="34" t="n">
        <v>119.412</v>
      </c>
      <c r="J650" s="34" t="n">
        <v>0.588</v>
      </c>
      <c r="K650" s="34" t="n">
        <v>0.6</v>
      </c>
      <c r="L650" s="11" t="s">
        <v>868</v>
      </c>
      <c r="M650" s="11" t="s">
        <v>1250</v>
      </c>
      <c r="N650" s="11" t="s">
        <v>1251</v>
      </c>
      <c r="O650" s="11" t="s">
        <v>2005</v>
      </c>
      <c r="P650" s="11" t="s">
        <v>1557</v>
      </c>
      <c r="Q650" s="25" t="n">
        <f aca="false">SUMIFS('Commentary drivers'!$D:$D,'Commentary drivers'!$A:$A,A650)</f>
        <v>0.588</v>
      </c>
      <c r="R650" s="25" t="n">
        <f aca="false">SUMIFS('Commentary drivers'!$E:$E,'Commentary drivers'!$A:$A,A650)</f>
        <v>0.6</v>
      </c>
      <c r="S650" s="49" t="str">
        <f aca="false">IF(AND(ROUND(Q650-J650,4)=0,ROUND(R650-K650,1)=0),"✓","✗")</f>
        <v>✓</v>
      </c>
    </row>
    <row r="651" customFormat="false" ht="15" hidden="false" customHeight="false" outlineLevel="0" collapsed="false">
      <c r="A651" s="11" t="s">
        <v>2058</v>
      </c>
      <c r="B651" s="11" t="s">
        <v>132</v>
      </c>
      <c r="C651" s="11" t="s">
        <v>36</v>
      </c>
      <c r="D651" s="11" t="s">
        <v>1337</v>
      </c>
      <c r="E651" s="11" t="s">
        <v>1362</v>
      </c>
      <c r="F651" s="11" t="s">
        <v>272</v>
      </c>
      <c r="G651" s="11" t="n">
        <v>1</v>
      </c>
      <c r="H651" s="34" t="n">
        <v>120</v>
      </c>
      <c r="I651" s="34" t="n">
        <v>119.412</v>
      </c>
      <c r="J651" s="34" t="n">
        <v>0.588</v>
      </c>
      <c r="K651" s="34" t="n">
        <v>0.6</v>
      </c>
      <c r="L651" s="11" t="s">
        <v>869</v>
      </c>
      <c r="M651" s="11" t="s">
        <v>1250</v>
      </c>
      <c r="N651" s="11" t="s">
        <v>1262</v>
      </c>
      <c r="O651" s="11"/>
      <c r="P651" s="11"/>
      <c r="Q651" s="25" t="n">
        <f aca="false">SUMIFS('Commentary drivers'!$D:$D,'Commentary drivers'!$A:$A,A651)</f>
        <v>0.588</v>
      </c>
      <c r="R651" s="25" t="n">
        <f aca="false">SUMIFS('Commentary drivers'!$E:$E,'Commentary drivers'!$A:$A,A651)</f>
        <v>0.6</v>
      </c>
      <c r="S651" s="49" t="str">
        <f aca="false">IF(AND(ROUND(Q651-J651,4)=0,ROUND(R651-K651,1)=0),"✓","✗")</f>
        <v>✓</v>
      </c>
    </row>
    <row r="652" customFormat="false" ht="15" hidden="false" customHeight="false" outlineLevel="0" collapsed="false">
      <c r="A652" s="11" t="s">
        <v>2059</v>
      </c>
      <c r="B652" s="11" t="s">
        <v>132</v>
      </c>
      <c r="C652" s="11" t="s">
        <v>36</v>
      </c>
      <c r="D652" s="11" t="s">
        <v>1337</v>
      </c>
      <c r="E652" s="11" t="s">
        <v>1364</v>
      </c>
      <c r="F652" s="11" t="s">
        <v>166</v>
      </c>
      <c r="G652" s="11" t="n">
        <v>0</v>
      </c>
      <c r="H652" s="34" t="n">
        <v>664</v>
      </c>
      <c r="I652" s="34" t="n">
        <v>671.87377</v>
      </c>
      <c r="J652" s="34" t="n">
        <v>-7.87377</v>
      </c>
      <c r="K652" s="34" t="n">
        <v>-7.9</v>
      </c>
      <c r="L652" s="11" t="s">
        <v>870</v>
      </c>
      <c r="M652" s="11" t="s">
        <v>1250</v>
      </c>
      <c r="N652" s="11" t="s">
        <v>1251</v>
      </c>
      <c r="O652" s="11" t="s">
        <v>2005</v>
      </c>
      <c r="P652" s="11" t="s">
        <v>1557</v>
      </c>
      <c r="Q652" s="25" t="n">
        <f aca="false">SUMIFS('Commentary drivers'!$D:$D,'Commentary drivers'!$A:$A,A652)</f>
        <v>-7.87377</v>
      </c>
      <c r="R652" s="25" t="n">
        <f aca="false">SUMIFS('Commentary drivers'!$E:$E,'Commentary drivers'!$A:$A,A652)</f>
        <v>-7.9</v>
      </c>
      <c r="S652" s="49" t="str">
        <f aca="false">IF(AND(ROUND(Q652-J652,4)=0,ROUND(R652-K652,1)=0),"✓","✗")</f>
        <v>✓</v>
      </c>
    </row>
    <row r="653" customFormat="false" ht="15" hidden="false" customHeight="false" outlineLevel="0" collapsed="false">
      <c r="A653" s="11" t="s">
        <v>2060</v>
      </c>
      <c r="B653" s="11" t="s">
        <v>132</v>
      </c>
      <c r="C653" s="11" t="s">
        <v>36</v>
      </c>
      <c r="D653" s="11" t="s">
        <v>1337</v>
      </c>
      <c r="E653" s="11" t="s">
        <v>1366</v>
      </c>
      <c r="F653" s="11" t="s">
        <v>167</v>
      </c>
      <c r="G653" s="11" t="n">
        <v>0</v>
      </c>
      <c r="H653" s="34" t="n">
        <v>1336</v>
      </c>
      <c r="I653" s="34" t="n">
        <v>1358.12623</v>
      </c>
      <c r="J653" s="34" t="n">
        <v>-22.12623</v>
      </c>
      <c r="K653" s="34" t="n">
        <v>-22.1</v>
      </c>
      <c r="L653" s="11" t="s">
        <v>871</v>
      </c>
      <c r="M653" s="11" t="s">
        <v>1250</v>
      </c>
      <c r="N653" s="11" t="s">
        <v>1251</v>
      </c>
      <c r="O653" s="11" t="s">
        <v>2005</v>
      </c>
      <c r="P653" s="11" t="s">
        <v>1557</v>
      </c>
      <c r="Q653" s="25" t="n">
        <f aca="false">SUMIFS('Commentary drivers'!$D:$D,'Commentary drivers'!$A:$A,A653)</f>
        <v>-22.12623</v>
      </c>
      <c r="R653" s="25" t="n">
        <f aca="false">SUMIFS('Commentary drivers'!$E:$E,'Commentary drivers'!$A:$A,A653)</f>
        <v>-22.1</v>
      </c>
      <c r="S653" s="49" t="str">
        <f aca="false">IF(AND(ROUND(Q653-J653,4)=0,ROUND(R653-K653,1)=0),"✓","✗")</f>
        <v>✓</v>
      </c>
    </row>
    <row r="654" customFormat="false" ht="15" hidden="false" customHeight="false" outlineLevel="0" collapsed="false">
      <c r="A654" s="11" t="s">
        <v>2061</v>
      </c>
      <c r="B654" s="11" t="s">
        <v>132</v>
      </c>
      <c r="C654" s="11" t="s">
        <v>36</v>
      </c>
      <c r="D654" s="11" t="s">
        <v>1337</v>
      </c>
      <c r="E654" s="11" t="s">
        <v>1368</v>
      </c>
      <c r="F654" s="11" t="s">
        <v>168</v>
      </c>
      <c r="G654" s="11" t="n">
        <v>0</v>
      </c>
      <c r="H654" s="34" t="n">
        <v>436</v>
      </c>
      <c r="I654" s="34" t="n">
        <v>467.9539</v>
      </c>
      <c r="J654" s="34" t="n">
        <v>-31.9539</v>
      </c>
      <c r="K654" s="34" t="n">
        <v>-32</v>
      </c>
      <c r="L654" s="11" t="s">
        <v>872</v>
      </c>
      <c r="M654" s="11" t="s">
        <v>1250</v>
      </c>
      <c r="N654" s="11" t="s">
        <v>1251</v>
      </c>
      <c r="O654" s="11" t="s">
        <v>2005</v>
      </c>
      <c r="P654" s="11" t="s">
        <v>1557</v>
      </c>
      <c r="Q654" s="25" t="n">
        <f aca="false">SUMIFS('Commentary drivers'!$D:$D,'Commentary drivers'!$A:$A,A654)</f>
        <v>-31.9539</v>
      </c>
      <c r="R654" s="25" t="n">
        <f aca="false">SUMIFS('Commentary drivers'!$E:$E,'Commentary drivers'!$A:$A,A654)</f>
        <v>-32</v>
      </c>
      <c r="S654" s="49" t="str">
        <f aca="false">IF(AND(ROUND(Q654-J654,4)=0,ROUND(R654-K654,1)=0),"✓","✗")</f>
        <v>✓</v>
      </c>
    </row>
    <row r="655" customFormat="false" ht="15" hidden="false" customHeight="false" outlineLevel="0" collapsed="false">
      <c r="A655" s="11" t="s">
        <v>2062</v>
      </c>
      <c r="B655" s="11" t="s">
        <v>132</v>
      </c>
      <c r="C655" s="11" t="s">
        <v>36</v>
      </c>
      <c r="D655" s="11" t="s">
        <v>1337</v>
      </c>
      <c r="E655" s="11" t="s">
        <v>1370</v>
      </c>
      <c r="F655" s="11" t="s">
        <v>278</v>
      </c>
      <c r="G655" s="11" t="n">
        <v>1</v>
      </c>
      <c r="H655" s="34" t="n">
        <v>240</v>
      </c>
      <c r="I655" s="34" t="n">
        <v>263.88</v>
      </c>
      <c r="J655" s="34" t="n">
        <v>-23.88</v>
      </c>
      <c r="K655" s="34" t="n">
        <v>-23.9</v>
      </c>
      <c r="L655" s="11" t="s">
        <v>873</v>
      </c>
      <c r="M655" s="11" t="s">
        <v>1250</v>
      </c>
      <c r="N655" s="11" t="s">
        <v>1251</v>
      </c>
      <c r="O655" s="11" t="s">
        <v>2005</v>
      </c>
      <c r="P655" s="11" t="s">
        <v>1557</v>
      </c>
      <c r="Q655" s="25" t="n">
        <f aca="false">SUMIFS('Commentary drivers'!$D:$D,'Commentary drivers'!$A:$A,A655)</f>
        <v>-23.88</v>
      </c>
      <c r="R655" s="25" t="n">
        <f aca="false">SUMIFS('Commentary drivers'!$E:$E,'Commentary drivers'!$A:$A,A655)</f>
        <v>-23.9</v>
      </c>
      <c r="S655" s="49" t="str">
        <f aca="false">IF(AND(ROUND(Q655-J655,4)=0,ROUND(R655-K655,1)=0),"✓","✗")</f>
        <v>✓</v>
      </c>
    </row>
    <row r="656" customFormat="false" ht="15" hidden="false" customHeight="false" outlineLevel="0" collapsed="false">
      <c r="A656" s="11" t="s">
        <v>2063</v>
      </c>
      <c r="B656" s="11" t="s">
        <v>132</v>
      </c>
      <c r="C656" s="11" t="s">
        <v>36</v>
      </c>
      <c r="D656" s="11" t="s">
        <v>1337</v>
      </c>
      <c r="E656" s="11" t="s">
        <v>1372</v>
      </c>
      <c r="F656" s="11" t="s">
        <v>280</v>
      </c>
      <c r="G656" s="11" t="n">
        <v>1</v>
      </c>
      <c r="H656" s="34" t="n">
        <v>36</v>
      </c>
      <c r="I656" s="34" t="n">
        <v>38.0739</v>
      </c>
      <c r="J656" s="34" t="n">
        <v>-2.0739</v>
      </c>
      <c r="K656" s="34" t="n">
        <v>-2.1</v>
      </c>
      <c r="L656" s="11" t="s">
        <v>874</v>
      </c>
      <c r="M656" s="11" t="s">
        <v>1250</v>
      </c>
      <c r="N656" s="11" t="s">
        <v>1262</v>
      </c>
      <c r="O656" s="11"/>
      <c r="P656" s="11"/>
      <c r="Q656" s="25" t="n">
        <f aca="false">SUMIFS('Commentary drivers'!$D:$D,'Commentary drivers'!$A:$A,A656)</f>
        <v>-2.0739</v>
      </c>
      <c r="R656" s="25" t="n">
        <f aca="false">SUMIFS('Commentary drivers'!$E:$E,'Commentary drivers'!$A:$A,A656)</f>
        <v>-2.1</v>
      </c>
      <c r="S656" s="49" t="str">
        <f aca="false">IF(AND(ROUND(Q656-J656,4)=0,ROUND(R656-K656,1)=0),"✓","✗")</f>
        <v>✓</v>
      </c>
    </row>
    <row r="657" customFormat="false" ht="15" hidden="false" customHeight="false" outlineLevel="0" collapsed="false">
      <c r="A657" s="11" t="s">
        <v>2064</v>
      </c>
      <c r="B657" s="11" t="s">
        <v>132</v>
      </c>
      <c r="C657" s="11" t="s">
        <v>36</v>
      </c>
      <c r="D657" s="11" t="s">
        <v>1337</v>
      </c>
      <c r="E657" s="11" t="s">
        <v>1374</v>
      </c>
      <c r="F657" s="11" t="s">
        <v>282</v>
      </c>
      <c r="G657" s="11" t="n">
        <v>1</v>
      </c>
      <c r="H657" s="34" t="n">
        <v>100</v>
      </c>
      <c r="I657" s="34" t="n">
        <v>110</v>
      </c>
      <c r="J657" s="34" t="n">
        <v>-10</v>
      </c>
      <c r="K657" s="34" t="n">
        <v>-10</v>
      </c>
      <c r="L657" s="11" t="s">
        <v>875</v>
      </c>
      <c r="M657" s="11" t="s">
        <v>1250</v>
      </c>
      <c r="N657" s="11" t="s">
        <v>1251</v>
      </c>
      <c r="O657" s="11" t="s">
        <v>2005</v>
      </c>
      <c r="P657" s="11" t="s">
        <v>1557</v>
      </c>
      <c r="Q657" s="25" t="n">
        <f aca="false">SUMIFS('Commentary drivers'!$D:$D,'Commentary drivers'!$A:$A,A657)</f>
        <v>-10</v>
      </c>
      <c r="R657" s="25" t="n">
        <f aca="false">SUMIFS('Commentary drivers'!$E:$E,'Commentary drivers'!$A:$A,A657)</f>
        <v>-10</v>
      </c>
      <c r="S657" s="49" t="str">
        <f aca="false">IF(AND(ROUND(Q657-J657,4)=0,ROUND(R657-K657,1)=0),"✓","✗")</f>
        <v>✓</v>
      </c>
    </row>
    <row r="658" customFormat="false" ht="15" hidden="false" customHeight="false" outlineLevel="0" collapsed="false">
      <c r="A658" s="11" t="s">
        <v>2065</v>
      </c>
      <c r="B658" s="11" t="s">
        <v>132</v>
      </c>
      <c r="C658" s="11" t="s">
        <v>36</v>
      </c>
      <c r="D658" s="11" t="s">
        <v>1337</v>
      </c>
      <c r="E658" s="11" t="s">
        <v>1376</v>
      </c>
      <c r="F658" s="11" t="s">
        <v>284</v>
      </c>
      <c r="G658" s="11" t="n">
        <v>1</v>
      </c>
      <c r="H658" s="34" t="n">
        <v>40</v>
      </c>
      <c r="I658" s="34" t="n">
        <v>42</v>
      </c>
      <c r="J658" s="34" t="n">
        <v>-2</v>
      </c>
      <c r="K658" s="34" t="n">
        <v>-2</v>
      </c>
      <c r="L658" s="11" t="s">
        <v>876</v>
      </c>
      <c r="M658" s="11" t="s">
        <v>1250</v>
      </c>
      <c r="N658" s="11" t="s">
        <v>1262</v>
      </c>
      <c r="O658" s="11"/>
      <c r="P658" s="11"/>
      <c r="Q658" s="25" t="n">
        <f aca="false">SUMIFS('Commentary drivers'!$D:$D,'Commentary drivers'!$A:$A,A658)</f>
        <v>-2</v>
      </c>
      <c r="R658" s="25" t="n">
        <f aca="false">SUMIFS('Commentary drivers'!$E:$E,'Commentary drivers'!$A:$A,A658)</f>
        <v>-2</v>
      </c>
      <c r="S658" s="49" t="str">
        <f aca="false">IF(AND(ROUND(Q658-J658,4)=0,ROUND(R658-K658,1)=0),"✓","✗")</f>
        <v>✓</v>
      </c>
    </row>
    <row r="659" customFormat="false" ht="15" hidden="false" customHeight="false" outlineLevel="0" collapsed="false">
      <c r="A659" s="11" t="s">
        <v>2066</v>
      </c>
      <c r="B659" s="11" t="s">
        <v>132</v>
      </c>
      <c r="C659" s="11" t="s">
        <v>36</v>
      </c>
      <c r="D659" s="11" t="s">
        <v>1337</v>
      </c>
      <c r="E659" s="11" t="s">
        <v>1378</v>
      </c>
      <c r="F659" s="11" t="s">
        <v>286</v>
      </c>
      <c r="G659" s="11" t="n">
        <v>1</v>
      </c>
      <c r="H659" s="34" t="n">
        <v>20</v>
      </c>
      <c r="I659" s="34" t="n">
        <v>14</v>
      </c>
      <c r="J659" s="34" t="n">
        <v>6</v>
      </c>
      <c r="K659" s="34" t="n">
        <v>6</v>
      </c>
      <c r="L659" s="11" t="s">
        <v>877</v>
      </c>
      <c r="M659" s="11" t="s">
        <v>1250</v>
      </c>
      <c r="N659" s="11" t="s">
        <v>1251</v>
      </c>
      <c r="O659" s="11" t="s">
        <v>2005</v>
      </c>
      <c r="P659" s="11" t="s">
        <v>1557</v>
      </c>
      <c r="Q659" s="25" t="n">
        <f aca="false">SUMIFS('Commentary drivers'!$D:$D,'Commentary drivers'!$A:$A,A659)</f>
        <v>6</v>
      </c>
      <c r="R659" s="25" t="n">
        <f aca="false">SUMIFS('Commentary drivers'!$E:$E,'Commentary drivers'!$A:$A,A659)</f>
        <v>6</v>
      </c>
      <c r="S659" s="49" t="str">
        <f aca="false">IF(AND(ROUND(Q659-J659,4)=0,ROUND(R659-K659,1)=0),"✓","✗")</f>
        <v>✓</v>
      </c>
    </row>
    <row r="660" customFormat="false" ht="15" hidden="false" customHeight="false" outlineLevel="0" collapsed="false">
      <c r="A660" s="11" t="s">
        <v>2067</v>
      </c>
      <c r="B660" s="11" t="s">
        <v>132</v>
      </c>
      <c r="C660" s="11" t="s">
        <v>36</v>
      </c>
      <c r="D660" s="11" t="s">
        <v>1337</v>
      </c>
      <c r="E660" s="11" t="s">
        <v>1380</v>
      </c>
      <c r="F660" s="11" t="s">
        <v>169</v>
      </c>
      <c r="G660" s="11" t="n">
        <v>0</v>
      </c>
      <c r="H660" s="34" t="n">
        <v>900</v>
      </c>
      <c r="I660" s="34" t="n">
        <v>890.17233</v>
      </c>
      <c r="J660" s="34" t="n">
        <v>9.82767</v>
      </c>
      <c r="K660" s="34" t="n">
        <v>9.8</v>
      </c>
      <c r="L660" s="11" t="s">
        <v>878</v>
      </c>
      <c r="M660" s="11" t="s">
        <v>1250</v>
      </c>
      <c r="N660" s="11" t="s">
        <v>1251</v>
      </c>
      <c r="O660" s="11" t="s">
        <v>2005</v>
      </c>
      <c r="P660" s="11" t="s">
        <v>1557</v>
      </c>
      <c r="Q660" s="25" t="n">
        <f aca="false">SUMIFS('Commentary drivers'!$D:$D,'Commentary drivers'!$A:$A,A660)</f>
        <v>9.82767</v>
      </c>
      <c r="R660" s="25" t="n">
        <f aca="false">SUMIFS('Commentary drivers'!$E:$E,'Commentary drivers'!$A:$A,A660)</f>
        <v>9.8</v>
      </c>
      <c r="S660" s="49" t="str">
        <f aca="false">IF(AND(ROUND(Q660-J660,4)=0,ROUND(R660-K660,1)=0),"✓","✗")</f>
        <v>✓</v>
      </c>
    </row>
    <row r="661" customFormat="false" ht="15" hidden="false" customHeight="false" outlineLevel="0" collapsed="false">
      <c r="A661" s="11" t="s">
        <v>2068</v>
      </c>
      <c r="B661" s="11" t="s">
        <v>132</v>
      </c>
      <c r="C661" s="11" t="s">
        <v>36</v>
      </c>
      <c r="D661" s="11" t="s">
        <v>1337</v>
      </c>
      <c r="E661" s="11" t="s">
        <v>1382</v>
      </c>
      <c r="F661" s="11" t="s">
        <v>170</v>
      </c>
      <c r="G661" s="11" t="n">
        <v>0</v>
      </c>
      <c r="H661" s="34" t="n">
        <v>60</v>
      </c>
      <c r="I661" s="34" t="n">
        <v>62.33333</v>
      </c>
      <c r="J661" s="34" t="n">
        <v>-2.33333</v>
      </c>
      <c r="K661" s="34" t="n">
        <v>-2.3</v>
      </c>
      <c r="L661" s="11" t="s">
        <v>879</v>
      </c>
      <c r="M661" s="11" t="s">
        <v>1250</v>
      </c>
      <c r="N661" s="11" t="s">
        <v>1251</v>
      </c>
      <c r="O661" s="11" t="s">
        <v>2005</v>
      </c>
      <c r="P661" s="11" t="s">
        <v>1557</v>
      </c>
      <c r="Q661" s="25" t="n">
        <f aca="false">SUMIFS('Commentary drivers'!$D:$D,'Commentary drivers'!$A:$A,A661)</f>
        <v>-2.33333</v>
      </c>
      <c r="R661" s="25" t="n">
        <f aca="false">SUMIFS('Commentary drivers'!$E:$E,'Commentary drivers'!$A:$A,A661)</f>
        <v>-2.3</v>
      </c>
      <c r="S661" s="49" t="str">
        <f aca="false">IF(AND(ROUND(Q661-J661,4)=0,ROUND(R661-K661,1)=0),"✓","✗")</f>
        <v>✓</v>
      </c>
    </row>
    <row r="662" customFormat="false" ht="15" hidden="false" customHeight="false" outlineLevel="0" collapsed="false">
      <c r="A662" s="11" t="s">
        <v>2069</v>
      </c>
      <c r="B662" s="11" t="s">
        <v>132</v>
      </c>
      <c r="C662" s="11" t="s">
        <v>36</v>
      </c>
      <c r="D662" s="11" t="s">
        <v>1337</v>
      </c>
      <c r="E662" s="11" t="s">
        <v>1384</v>
      </c>
      <c r="F662" s="11" t="s">
        <v>265</v>
      </c>
      <c r="G662" s="11" t="n">
        <v>1</v>
      </c>
      <c r="H662" s="34" t="n">
        <v>30</v>
      </c>
      <c r="I662" s="34" t="n">
        <v>30.75</v>
      </c>
      <c r="J662" s="34" t="n">
        <v>-0.75</v>
      </c>
      <c r="K662" s="34" t="n">
        <v>-0.8</v>
      </c>
      <c r="L662" s="11" t="s">
        <v>880</v>
      </c>
      <c r="M662" s="11" t="s">
        <v>1250</v>
      </c>
      <c r="N662" s="11" t="s">
        <v>1262</v>
      </c>
      <c r="O662" s="11"/>
      <c r="P662" s="11"/>
      <c r="Q662" s="25" t="n">
        <f aca="false">SUMIFS('Commentary drivers'!$D:$D,'Commentary drivers'!$A:$A,A662)</f>
        <v>-0.75</v>
      </c>
      <c r="R662" s="25" t="n">
        <f aca="false">SUMIFS('Commentary drivers'!$E:$E,'Commentary drivers'!$A:$A,A662)</f>
        <v>-0.8</v>
      </c>
      <c r="S662" s="49" t="str">
        <f aca="false">IF(AND(ROUND(Q662-J662,4)=0,ROUND(R662-K662,1)=0),"✓","✗")</f>
        <v>✓</v>
      </c>
    </row>
    <row r="663" customFormat="false" ht="15" hidden="false" customHeight="false" outlineLevel="0" collapsed="false">
      <c r="A663" s="11" t="s">
        <v>2070</v>
      </c>
      <c r="B663" s="11" t="s">
        <v>132</v>
      </c>
      <c r="C663" s="11" t="s">
        <v>36</v>
      </c>
      <c r="D663" s="11" t="s">
        <v>1337</v>
      </c>
      <c r="E663" s="11" t="s">
        <v>1386</v>
      </c>
      <c r="F663" s="11" t="s">
        <v>267</v>
      </c>
      <c r="G663" s="11" t="n">
        <v>1</v>
      </c>
      <c r="H663" s="34" t="n">
        <v>10</v>
      </c>
      <c r="I663" s="34" t="n">
        <v>10.33333</v>
      </c>
      <c r="J663" s="34" t="n">
        <v>-0.33333</v>
      </c>
      <c r="K663" s="34" t="n">
        <v>-0.3</v>
      </c>
      <c r="L663" s="11" t="s">
        <v>881</v>
      </c>
      <c r="M663" s="11" t="s">
        <v>1250</v>
      </c>
      <c r="N663" s="11" t="s">
        <v>1262</v>
      </c>
      <c r="O663" s="11"/>
      <c r="P663" s="11"/>
      <c r="Q663" s="25" t="n">
        <f aca="false">SUMIFS('Commentary drivers'!$D:$D,'Commentary drivers'!$A:$A,A663)</f>
        <v>-0.33333</v>
      </c>
      <c r="R663" s="25" t="n">
        <f aca="false">SUMIFS('Commentary drivers'!$E:$E,'Commentary drivers'!$A:$A,A663)</f>
        <v>-0.3</v>
      </c>
      <c r="S663" s="49" t="str">
        <f aca="false">IF(AND(ROUND(Q663-J663,4)=0,ROUND(R663-K663,1)=0),"✓","✗")</f>
        <v>✓</v>
      </c>
    </row>
    <row r="664" customFormat="false" ht="15" hidden="false" customHeight="false" outlineLevel="0" collapsed="false">
      <c r="A664" s="11" t="s">
        <v>2071</v>
      </c>
      <c r="B664" s="11" t="s">
        <v>132</v>
      </c>
      <c r="C664" s="11" t="s">
        <v>36</v>
      </c>
      <c r="D664" s="11" t="s">
        <v>1337</v>
      </c>
      <c r="E664" s="11" t="s">
        <v>1388</v>
      </c>
      <c r="F664" s="11" t="s">
        <v>269</v>
      </c>
      <c r="G664" s="11" t="n">
        <v>1</v>
      </c>
      <c r="H664" s="34" t="n">
        <v>20</v>
      </c>
      <c r="I664" s="34" t="n">
        <v>21.25</v>
      </c>
      <c r="J664" s="34" t="n">
        <v>-1.25</v>
      </c>
      <c r="K664" s="34" t="n">
        <v>-1.3</v>
      </c>
      <c r="L664" s="11" t="s">
        <v>867</v>
      </c>
      <c r="M664" s="11" t="s">
        <v>1250</v>
      </c>
      <c r="N664" s="11" t="s">
        <v>1262</v>
      </c>
      <c r="O664" s="11"/>
      <c r="P664" s="11"/>
      <c r="Q664" s="25" t="n">
        <f aca="false">SUMIFS('Commentary drivers'!$D:$D,'Commentary drivers'!$A:$A,A664)</f>
        <v>-1.25</v>
      </c>
      <c r="R664" s="25" t="n">
        <f aca="false">SUMIFS('Commentary drivers'!$E:$E,'Commentary drivers'!$A:$A,A664)</f>
        <v>-1.3</v>
      </c>
      <c r="S664" s="49" t="str">
        <f aca="false">IF(AND(ROUND(Q664-J664,4)=0,ROUND(R664-K664,1)=0),"✓","✗")</f>
        <v>✓</v>
      </c>
    </row>
    <row r="665" customFormat="false" ht="15" hidden="false" customHeight="false" outlineLevel="0" collapsed="false">
      <c r="A665" s="11" t="s">
        <v>2072</v>
      </c>
      <c r="B665" s="11" t="s">
        <v>132</v>
      </c>
      <c r="C665" s="11" t="s">
        <v>36</v>
      </c>
      <c r="D665" s="11" t="s">
        <v>1337</v>
      </c>
      <c r="E665" s="11" t="s">
        <v>1390</v>
      </c>
      <c r="F665" s="11" t="s">
        <v>157</v>
      </c>
      <c r="G665" s="11" t="n">
        <v>0</v>
      </c>
      <c r="H665" s="34" t="n">
        <v>420</v>
      </c>
      <c r="I665" s="34" t="n">
        <v>456.80167</v>
      </c>
      <c r="J665" s="34" t="n">
        <v>-36.80167</v>
      </c>
      <c r="K665" s="34" t="n">
        <v>-36.8</v>
      </c>
      <c r="L665" s="11" t="s">
        <v>882</v>
      </c>
      <c r="M665" s="11" t="s">
        <v>1250</v>
      </c>
      <c r="N665" s="11" t="s">
        <v>1251</v>
      </c>
      <c r="O665" s="11" t="s">
        <v>2005</v>
      </c>
      <c r="P665" s="11" t="s">
        <v>1557</v>
      </c>
      <c r="Q665" s="25" t="n">
        <f aca="false">SUMIFS('Commentary drivers'!$D:$D,'Commentary drivers'!$A:$A,A665)</f>
        <v>-36.80167</v>
      </c>
      <c r="R665" s="25" t="n">
        <f aca="false">SUMIFS('Commentary drivers'!$E:$E,'Commentary drivers'!$A:$A,A665)</f>
        <v>-36.8</v>
      </c>
      <c r="S665" s="49" t="str">
        <f aca="false">IF(AND(ROUND(Q665-J665,4)=0,ROUND(R665-K665,1)=0),"✓","✗")</f>
        <v>✓</v>
      </c>
    </row>
    <row r="666" customFormat="false" ht="15" hidden="false" customHeight="false" outlineLevel="0" collapsed="false">
      <c r="A666" s="11" t="s">
        <v>2073</v>
      </c>
      <c r="B666" s="11" t="s">
        <v>132</v>
      </c>
      <c r="C666" s="11" t="s">
        <v>36</v>
      </c>
      <c r="D666" s="11" t="s">
        <v>1337</v>
      </c>
      <c r="E666" s="11" t="s">
        <v>1392</v>
      </c>
      <c r="F666" s="11" t="s">
        <v>296</v>
      </c>
      <c r="G666" s="11" t="n">
        <v>1</v>
      </c>
      <c r="H666" s="34" t="n">
        <v>300</v>
      </c>
      <c r="I666" s="34" t="n">
        <v>333.69</v>
      </c>
      <c r="J666" s="34" t="n">
        <v>-33.69</v>
      </c>
      <c r="K666" s="34" t="n">
        <v>-33.7</v>
      </c>
      <c r="L666" s="11" t="s">
        <v>883</v>
      </c>
      <c r="M666" s="11" t="s">
        <v>1250</v>
      </c>
      <c r="N666" s="11" t="s">
        <v>1251</v>
      </c>
      <c r="O666" s="11" t="s">
        <v>2005</v>
      </c>
      <c r="P666" s="11" t="s">
        <v>1557</v>
      </c>
      <c r="Q666" s="25" t="n">
        <f aca="false">SUMIFS('Commentary drivers'!$D:$D,'Commentary drivers'!$A:$A,A666)</f>
        <v>-33.69</v>
      </c>
      <c r="R666" s="25" t="n">
        <f aca="false">SUMIFS('Commentary drivers'!$E:$E,'Commentary drivers'!$A:$A,A666)</f>
        <v>-33.7</v>
      </c>
      <c r="S666" s="49" t="str">
        <f aca="false">IF(AND(ROUND(Q666-J666,4)=0,ROUND(R666-K666,1)=0),"✓","✗")</f>
        <v>✓</v>
      </c>
    </row>
    <row r="667" customFormat="false" ht="15" hidden="false" customHeight="false" outlineLevel="0" collapsed="false">
      <c r="A667" s="11" t="s">
        <v>2074</v>
      </c>
      <c r="B667" s="11" t="s">
        <v>132</v>
      </c>
      <c r="C667" s="11" t="s">
        <v>36</v>
      </c>
      <c r="D667" s="11" t="s">
        <v>1337</v>
      </c>
      <c r="E667" s="11" t="s">
        <v>1394</v>
      </c>
      <c r="F667" s="11" t="s">
        <v>298</v>
      </c>
      <c r="G667" s="11" t="n">
        <v>1</v>
      </c>
      <c r="H667" s="34" t="n">
        <v>40</v>
      </c>
      <c r="I667" s="34" t="n">
        <v>39</v>
      </c>
      <c r="J667" s="34" t="n">
        <v>1</v>
      </c>
      <c r="K667" s="34" t="n">
        <v>1</v>
      </c>
      <c r="L667" s="11" t="s">
        <v>884</v>
      </c>
      <c r="M667" s="11" t="s">
        <v>1250</v>
      </c>
      <c r="N667" s="11" t="s">
        <v>1262</v>
      </c>
      <c r="O667" s="11"/>
      <c r="P667" s="11"/>
      <c r="Q667" s="25" t="n">
        <f aca="false">SUMIFS('Commentary drivers'!$D:$D,'Commentary drivers'!$A:$A,A667)</f>
        <v>1</v>
      </c>
      <c r="R667" s="25" t="n">
        <f aca="false">SUMIFS('Commentary drivers'!$E:$E,'Commentary drivers'!$A:$A,A667)</f>
        <v>1</v>
      </c>
      <c r="S667" s="49" t="str">
        <f aca="false">IF(AND(ROUND(Q667-J667,4)=0,ROUND(R667-K667,1)=0),"✓","✗")</f>
        <v>✓</v>
      </c>
    </row>
    <row r="668" customFormat="false" ht="15" hidden="false" customHeight="false" outlineLevel="0" collapsed="false">
      <c r="A668" s="11" t="s">
        <v>2075</v>
      </c>
      <c r="B668" s="11" t="s">
        <v>132</v>
      </c>
      <c r="C668" s="11" t="s">
        <v>36</v>
      </c>
      <c r="D668" s="11" t="s">
        <v>1337</v>
      </c>
      <c r="E668" s="11" t="s">
        <v>1396</v>
      </c>
      <c r="F668" s="11" t="s">
        <v>265</v>
      </c>
      <c r="G668" s="11" t="n">
        <v>1</v>
      </c>
      <c r="H668" s="34" t="n">
        <v>30</v>
      </c>
      <c r="I668" s="34" t="n">
        <v>31.57</v>
      </c>
      <c r="J668" s="34" t="n">
        <v>-1.57</v>
      </c>
      <c r="K668" s="34" t="n">
        <v>-1.6</v>
      </c>
      <c r="L668" s="11" t="s">
        <v>885</v>
      </c>
      <c r="M668" s="11" t="s">
        <v>1250</v>
      </c>
      <c r="N668" s="11" t="s">
        <v>1262</v>
      </c>
      <c r="O668" s="11"/>
      <c r="P668" s="11"/>
      <c r="Q668" s="25" t="n">
        <f aca="false">SUMIFS('Commentary drivers'!$D:$D,'Commentary drivers'!$A:$A,A668)</f>
        <v>-1.57</v>
      </c>
      <c r="R668" s="25" t="n">
        <f aca="false">SUMIFS('Commentary drivers'!$E:$E,'Commentary drivers'!$A:$A,A668)</f>
        <v>-1.6</v>
      </c>
      <c r="S668" s="49" t="str">
        <f aca="false">IF(AND(ROUND(Q668-J668,4)=0,ROUND(R668-K668,1)=0),"✓","✗")</f>
        <v>✓</v>
      </c>
    </row>
    <row r="669" customFormat="false" ht="15" hidden="false" customHeight="false" outlineLevel="0" collapsed="false">
      <c r="A669" s="11" t="s">
        <v>2076</v>
      </c>
      <c r="B669" s="11" t="s">
        <v>132</v>
      </c>
      <c r="C669" s="11" t="s">
        <v>36</v>
      </c>
      <c r="D669" s="11" t="s">
        <v>1337</v>
      </c>
      <c r="E669" s="11" t="s">
        <v>1398</v>
      </c>
      <c r="F669" s="11" t="s">
        <v>267</v>
      </c>
      <c r="G669" s="11" t="n">
        <v>1</v>
      </c>
      <c r="H669" s="34" t="n">
        <v>20</v>
      </c>
      <c r="I669" s="34" t="n">
        <v>20.66667</v>
      </c>
      <c r="J669" s="34" t="n">
        <v>-0.66667</v>
      </c>
      <c r="K669" s="34" t="n">
        <v>-0.7</v>
      </c>
      <c r="L669" s="11" t="s">
        <v>866</v>
      </c>
      <c r="M669" s="11" t="s">
        <v>1250</v>
      </c>
      <c r="N669" s="11" t="s">
        <v>1262</v>
      </c>
      <c r="O669" s="11"/>
      <c r="P669" s="11"/>
      <c r="Q669" s="25" t="n">
        <f aca="false">SUMIFS('Commentary drivers'!$D:$D,'Commentary drivers'!$A:$A,A669)</f>
        <v>-0.66667</v>
      </c>
      <c r="R669" s="25" t="n">
        <f aca="false">SUMIFS('Commentary drivers'!$E:$E,'Commentary drivers'!$A:$A,A669)</f>
        <v>-0.7</v>
      </c>
      <c r="S669" s="49" t="str">
        <f aca="false">IF(AND(ROUND(Q669-J669,4)=0,ROUND(R669-K669,1)=0),"✓","✗")</f>
        <v>✓</v>
      </c>
    </row>
    <row r="670" customFormat="false" ht="15" hidden="false" customHeight="false" outlineLevel="0" collapsed="false">
      <c r="A670" s="11" t="s">
        <v>2077</v>
      </c>
      <c r="B670" s="11" t="s">
        <v>132</v>
      </c>
      <c r="C670" s="11" t="s">
        <v>36</v>
      </c>
      <c r="D670" s="11" t="s">
        <v>1337</v>
      </c>
      <c r="E670" s="11" t="s">
        <v>1400</v>
      </c>
      <c r="F670" s="11" t="s">
        <v>269</v>
      </c>
      <c r="G670" s="11" t="n">
        <v>1</v>
      </c>
      <c r="H670" s="34" t="n">
        <v>30</v>
      </c>
      <c r="I670" s="34" t="n">
        <v>31.875</v>
      </c>
      <c r="J670" s="34" t="n">
        <v>-1.875</v>
      </c>
      <c r="K670" s="34" t="n">
        <v>-1.9</v>
      </c>
      <c r="L670" s="11" t="s">
        <v>886</v>
      </c>
      <c r="M670" s="11" t="s">
        <v>1250</v>
      </c>
      <c r="N670" s="11" t="s">
        <v>1262</v>
      </c>
      <c r="O670" s="11"/>
      <c r="P670" s="11"/>
      <c r="Q670" s="25" t="n">
        <f aca="false">SUMIFS('Commentary drivers'!$D:$D,'Commentary drivers'!$A:$A,A670)</f>
        <v>-1.875</v>
      </c>
      <c r="R670" s="25" t="n">
        <f aca="false">SUMIFS('Commentary drivers'!$E:$E,'Commentary drivers'!$A:$A,A670)</f>
        <v>-1.9</v>
      </c>
      <c r="S670" s="49" t="str">
        <f aca="false">IF(AND(ROUND(Q670-J670,4)=0,ROUND(R670-K670,1)=0),"✓","✗")</f>
        <v>✓</v>
      </c>
    </row>
    <row r="671" customFormat="false" ht="15" hidden="false" customHeight="false" outlineLevel="0" collapsed="false">
      <c r="A671" s="11" t="s">
        <v>2078</v>
      </c>
      <c r="B671" s="11" t="s">
        <v>132</v>
      </c>
      <c r="C671" s="11" t="s">
        <v>36</v>
      </c>
      <c r="D671" s="11" t="s">
        <v>1337</v>
      </c>
      <c r="E671" s="11" t="s">
        <v>1402</v>
      </c>
      <c r="F671" s="11" t="s">
        <v>159</v>
      </c>
      <c r="G671" s="11" t="n">
        <v>0</v>
      </c>
      <c r="H671" s="34" t="n">
        <v>200</v>
      </c>
      <c r="I671" s="34" t="n">
        <v>195.95833</v>
      </c>
      <c r="J671" s="34" t="n">
        <v>4.04167</v>
      </c>
      <c r="K671" s="34" t="n">
        <v>4</v>
      </c>
      <c r="L671" s="11" t="s">
        <v>887</v>
      </c>
      <c r="M671" s="11" t="s">
        <v>1250</v>
      </c>
      <c r="N671" s="11" t="s">
        <v>1251</v>
      </c>
      <c r="O671" s="11" t="s">
        <v>2005</v>
      </c>
      <c r="P671" s="11" t="s">
        <v>1557</v>
      </c>
      <c r="Q671" s="25" t="n">
        <f aca="false">SUMIFS('Commentary drivers'!$D:$D,'Commentary drivers'!$A:$A,A671)</f>
        <v>4.04167</v>
      </c>
      <c r="R671" s="25" t="n">
        <f aca="false">SUMIFS('Commentary drivers'!$E:$E,'Commentary drivers'!$A:$A,A671)</f>
        <v>4</v>
      </c>
      <c r="S671" s="49" t="str">
        <f aca="false">IF(AND(ROUND(Q671-J671,4)=0,ROUND(R671-K671,1)=0),"✓","✗")</f>
        <v>✓</v>
      </c>
    </row>
    <row r="672" customFormat="false" ht="15" hidden="false" customHeight="false" outlineLevel="0" collapsed="false">
      <c r="A672" s="11" t="s">
        <v>2079</v>
      </c>
      <c r="B672" s="11" t="s">
        <v>132</v>
      </c>
      <c r="C672" s="11" t="s">
        <v>36</v>
      </c>
      <c r="D672" s="11" t="s">
        <v>1337</v>
      </c>
      <c r="E672" s="11" t="s">
        <v>1404</v>
      </c>
      <c r="F672" s="11" t="s">
        <v>304</v>
      </c>
      <c r="G672" s="11" t="n">
        <v>1</v>
      </c>
      <c r="H672" s="34" t="n">
        <v>180</v>
      </c>
      <c r="I672" s="34" t="n">
        <v>175</v>
      </c>
      <c r="J672" s="34" t="n">
        <v>5</v>
      </c>
      <c r="K672" s="34" t="n">
        <v>5</v>
      </c>
      <c r="L672" s="11" t="s">
        <v>888</v>
      </c>
      <c r="M672" s="11" t="s">
        <v>1315</v>
      </c>
      <c r="N672" s="11" t="s">
        <v>1262</v>
      </c>
      <c r="O672" s="11"/>
      <c r="P672" s="11"/>
      <c r="Q672" s="25" t="n">
        <f aca="false">SUMIFS('Commentary drivers'!$D:$D,'Commentary drivers'!$A:$A,A672)</f>
        <v>5</v>
      </c>
      <c r="R672" s="25" t="n">
        <f aca="false">SUMIFS('Commentary drivers'!$E:$E,'Commentary drivers'!$A:$A,A672)</f>
        <v>5</v>
      </c>
      <c r="S672" s="49" t="str">
        <f aca="false">IF(AND(ROUND(Q672-J672,4)=0,ROUND(R672-K672,1)=0),"✓","✗")</f>
        <v>✓</v>
      </c>
    </row>
    <row r="673" customFormat="false" ht="15" hidden="false" customHeight="false" outlineLevel="0" collapsed="false">
      <c r="A673" s="11" t="s">
        <v>2080</v>
      </c>
      <c r="B673" s="11" t="s">
        <v>132</v>
      </c>
      <c r="C673" s="11" t="s">
        <v>36</v>
      </c>
      <c r="D673" s="11" t="s">
        <v>1337</v>
      </c>
      <c r="E673" s="11" t="s">
        <v>1406</v>
      </c>
      <c r="F673" s="11" t="s">
        <v>267</v>
      </c>
      <c r="G673" s="11" t="n">
        <v>1</v>
      </c>
      <c r="H673" s="34" t="n">
        <v>10</v>
      </c>
      <c r="I673" s="34" t="n">
        <v>10.33333</v>
      </c>
      <c r="J673" s="34" t="n">
        <v>-0.33333</v>
      </c>
      <c r="K673" s="34" t="n">
        <v>-0.3</v>
      </c>
      <c r="L673" s="11" t="s">
        <v>881</v>
      </c>
      <c r="M673" s="11" t="s">
        <v>1250</v>
      </c>
      <c r="N673" s="11" t="s">
        <v>1262</v>
      </c>
      <c r="O673" s="11"/>
      <c r="P673" s="11"/>
      <c r="Q673" s="25" t="n">
        <f aca="false">SUMIFS('Commentary drivers'!$D:$D,'Commentary drivers'!$A:$A,A673)</f>
        <v>-0.33333</v>
      </c>
      <c r="R673" s="25" t="n">
        <f aca="false">SUMIFS('Commentary drivers'!$E:$E,'Commentary drivers'!$A:$A,A673)</f>
        <v>-0.3</v>
      </c>
      <c r="S673" s="49" t="str">
        <f aca="false">IF(AND(ROUND(Q673-J673,4)=0,ROUND(R673-K673,1)=0),"✓","✗")</f>
        <v>✓</v>
      </c>
    </row>
    <row r="674" customFormat="false" ht="15" hidden="false" customHeight="false" outlineLevel="0" collapsed="false">
      <c r="A674" s="11" t="s">
        <v>2081</v>
      </c>
      <c r="B674" s="11" t="s">
        <v>132</v>
      </c>
      <c r="C674" s="11" t="s">
        <v>36</v>
      </c>
      <c r="D674" s="11" t="s">
        <v>1337</v>
      </c>
      <c r="E674" s="11" t="s">
        <v>1408</v>
      </c>
      <c r="F674" s="11" t="s">
        <v>269</v>
      </c>
      <c r="G674" s="11" t="n">
        <v>1</v>
      </c>
      <c r="H674" s="34" t="n">
        <v>10</v>
      </c>
      <c r="I674" s="34" t="n">
        <v>10.625</v>
      </c>
      <c r="J674" s="34" t="n">
        <v>-0.625</v>
      </c>
      <c r="K674" s="34" t="n">
        <v>-0.6</v>
      </c>
      <c r="L674" s="11" t="s">
        <v>889</v>
      </c>
      <c r="M674" s="11" t="s">
        <v>1250</v>
      </c>
      <c r="N674" s="11" t="s">
        <v>1262</v>
      </c>
      <c r="O674" s="11"/>
      <c r="P674" s="11"/>
      <c r="Q674" s="25" t="n">
        <f aca="false">SUMIFS('Commentary drivers'!$D:$D,'Commentary drivers'!$A:$A,A674)</f>
        <v>-0.625</v>
      </c>
      <c r="R674" s="25" t="n">
        <f aca="false">SUMIFS('Commentary drivers'!$E:$E,'Commentary drivers'!$A:$A,A674)</f>
        <v>-0.6</v>
      </c>
      <c r="S674" s="49" t="str">
        <f aca="false">IF(AND(ROUND(Q674-J674,4)=0,ROUND(R674-K674,1)=0),"✓","✗")</f>
        <v>✓</v>
      </c>
    </row>
    <row r="675" customFormat="false" ht="15" hidden="false" customHeight="false" outlineLevel="0" collapsed="false">
      <c r="A675" s="11" t="s">
        <v>2082</v>
      </c>
      <c r="B675" s="11" t="s">
        <v>132</v>
      </c>
      <c r="C675" s="11" t="s">
        <v>36</v>
      </c>
      <c r="D675" s="11" t="s">
        <v>1337</v>
      </c>
      <c r="E675" s="11" t="s">
        <v>1410</v>
      </c>
      <c r="F675" s="11" t="s">
        <v>171</v>
      </c>
      <c r="G675" s="11" t="n">
        <v>0</v>
      </c>
      <c r="H675" s="34" t="n">
        <v>680</v>
      </c>
      <c r="I675" s="34" t="n">
        <v>715.09333</v>
      </c>
      <c r="J675" s="34" t="n">
        <v>-35.09333</v>
      </c>
      <c r="K675" s="34" t="n">
        <v>-35.1</v>
      </c>
      <c r="L675" s="11" t="s">
        <v>890</v>
      </c>
      <c r="M675" s="11" t="s">
        <v>1250</v>
      </c>
      <c r="N675" s="11" t="s">
        <v>1251</v>
      </c>
      <c r="O675" s="11" t="s">
        <v>2005</v>
      </c>
      <c r="P675" s="11" t="s">
        <v>1557</v>
      </c>
      <c r="Q675" s="25" t="n">
        <f aca="false">SUMIFS('Commentary drivers'!$D:$D,'Commentary drivers'!$A:$A,A675)</f>
        <v>-35.09333</v>
      </c>
      <c r="R675" s="25" t="n">
        <f aca="false">SUMIFS('Commentary drivers'!$E:$E,'Commentary drivers'!$A:$A,A675)</f>
        <v>-35.1</v>
      </c>
      <c r="S675" s="49" t="str">
        <f aca="false">IF(AND(ROUND(Q675-J675,4)=0,ROUND(R675-K675,1)=0),"✓","✗")</f>
        <v>✓</v>
      </c>
    </row>
    <row r="676" customFormat="false" ht="15" hidden="false" customHeight="false" outlineLevel="0" collapsed="false">
      <c r="A676" s="11" t="s">
        <v>2083</v>
      </c>
      <c r="B676" s="11" t="s">
        <v>132</v>
      </c>
      <c r="C676" s="11" t="s">
        <v>36</v>
      </c>
      <c r="D676" s="11" t="s">
        <v>1337</v>
      </c>
      <c r="E676" s="11" t="s">
        <v>1412</v>
      </c>
      <c r="F676" s="11" t="s">
        <v>96</v>
      </c>
      <c r="G676" s="11" t="n">
        <v>0</v>
      </c>
      <c r="H676" s="34" t="n">
        <v>220</v>
      </c>
      <c r="I676" s="34" t="n">
        <v>175.079</v>
      </c>
      <c r="J676" s="34" t="n">
        <v>44.921</v>
      </c>
      <c r="K676" s="34" t="n">
        <v>44.9</v>
      </c>
      <c r="L676" s="11" t="s">
        <v>891</v>
      </c>
      <c r="M676" s="11" t="s">
        <v>1250</v>
      </c>
      <c r="N676" s="11" t="s">
        <v>1251</v>
      </c>
      <c r="O676" s="11" t="s">
        <v>2005</v>
      </c>
      <c r="P676" s="11" t="s">
        <v>1557</v>
      </c>
      <c r="Q676" s="25" t="n">
        <f aca="false">SUMIFS('Commentary drivers'!$D:$D,'Commentary drivers'!$A:$A,A676)</f>
        <v>44.921</v>
      </c>
      <c r="R676" s="25" t="n">
        <f aca="false">SUMIFS('Commentary drivers'!$E:$E,'Commentary drivers'!$A:$A,A676)</f>
        <v>44.9</v>
      </c>
      <c r="S676" s="49" t="str">
        <f aca="false">IF(AND(ROUND(Q676-J676,4)=0,ROUND(R676-K676,1)=0),"✓","✗")</f>
        <v>✓</v>
      </c>
    </row>
    <row r="677" customFormat="false" ht="15" hidden="false" customHeight="false" outlineLevel="0" collapsed="false">
      <c r="A677" s="11" t="s">
        <v>2084</v>
      </c>
      <c r="B677" s="11" t="s">
        <v>132</v>
      </c>
      <c r="C677" s="11" t="s">
        <v>36</v>
      </c>
      <c r="D677" s="11" t="s">
        <v>1337</v>
      </c>
      <c r="E677" s="11" t="s">
        <v>1414</v>
      </c>
      <c r="F677" s="11" t="s">
        <v>160</v>
      </c>
      <c r="G677" s="11" t="n">
        <v>0</v>
      </c>
      <c r="H677" s="34" t="n">
        <v>10</v>
      </c>
      <c r="I677" s="34" t="n">
        <v>8</v>
      </c>
      <c r="J677" s="34" t="n">
        <v>2</v>
      </c>
      <c r="K677" s="34" t="n">
        <v>2</v>
      </c>
      <c r="L677" s="11" t="s">
        <v>855</v>
      </c>
      <c r="M677" s="11" t="s">
        <v>1250</v>
      </c>
      <c r="N677" s="11" t="s">
        <v>1262</v>
      </c>
      <c r="O677" s="11"/>
      <c r="P677" s="11"/>
      <c r="Q677" s="25" t="n">
        <f aca="false">SUMIFS('Commentary drivers'!$D:$D,'Commentary drivers'!$A:$A,A677)</f>
        <v>2</v>
      </c>
      <c r="R677" s="25" t="n">
        <f aca="false">SUMIFS('Commentary drivers'!$E:$E,'Commentary drivers'!$A:$A,A677)</f>
        <v>2</v>
      </c>
      <c r="S677" s="49" t="str">
        <f aca="false">IF(AND(ROUND(Q677-J677,4)=0,ROUND(R677-K677,1)=0),"✓","✗")</f>
        <v>✓</v>
      </c>
    </row>
    <row r="678" customFormat="false" ht="15" hidden="false" customHeight="false" outlineLevel="0" collapsed="false">
      <c r="A678" s="11" t="s">
        <v>2085</v>
      </c>
      <c r="B678" s="11" t="s">
        <v>132</v>
      </c>
      <c r="C678" s="11" t="s">
        <v>36</v>
      </c>
      <c r="D678" s="11" t="s">
        <v>1337</v>
      </c>
      <c r="E678" s="11" t="s">
        <v>1416</v>
      </c>
      <c r="F678" s="11" t="s">
        <v>161</v>
      </c>
      <c r="G678" s="11" t="n">
        <v>0</v>
      </c>
      <c r="H678" s="34" t="n">
        <v>30</v>
      </c>
      <c r="I678" s="34" t="n">
        <v>30</v>
      </c>
      <c r="J678" s="34" t="n">
        <v>0</v>
      </c>
      <c r="K678" s="34" t="n">
        <v>0</v>
      </c>
      <c r="L678" s="11" t="s">
        <v>856</v>
      </c>
      <c r="M678" s="11" t="s">
        <v>1250</v>
      </c>
      <c r="N678" s="11" t="s">
        <v>1262</v>
      </c>
      <c r="O678" s="11"/>
      <c r="P678" s="11"/>
      <c r="Q678" s="25" t="n">
        <f aca="false">SUMIFS('Commentary drivers'!$D:$D,'Commentary drivers'!$A:$A,A678)</f>
        <v>0</v>
      </c>
      <c r="R678" s="25" t="n">
        <f aca="false">SUMIFS('Commentary drivers'!$E:$E,'Commentary drivers'!$A:$A,A678)</f>
        <v>0</v>
      </c>
      <c r="S678" s="49" t="str">
        <f aca="false">IF(AND(ROUND(Q678-J678,4)=0,ROUND(R678-K678,1)=0),"✓","✗")</f>
        <v>✓</v>
      </c>
    </row>
    <row r="679" customFormat="false" ht="15" hidden="false" customHeight="false" outlineLevel="0" collapsed="false">
      <c r="A679" s="11" t="s">
        <v>2086</v>
      </c>
      <c r="B679" s="11" t="s">
        <v>132</v>
      </c>
      <c r="C679" s="11" t="s">
        <v>36</v>
      </c>
      <c r="D679" s="11" t="s">
        <v>1337</v>
      </c>
      <c r="E679" s="11" t="s">
        <v>1418</v>
      </c>
      <c r="F679" s="11" t="s">
        <v>126</v>
      </c>
      <c r="G679" s="11" t="n">
        <v>0</v>
      </c>
      <c r="H679" s="34" t="n">
        <v>40</v>
      </c>
      <c r="I679" s="34" t="n">
        <v>45</v>
      </c>
      <c r="J679" s="34" t="n">
        <v>-5</v>
      </c>
      <c r="K679" s="34" t="n">
        <v>-5</v>
      </c>
      <c r="L679" s="11" t="s">
        <v>858</v>
      </c>
      <c r="M679" s="11" t="s">
        <v>1250</v>
      </c>
      <c r="N679" s="11" t="s">
        <v>1251</v>
      </c>
      <c r="O679" s="11" t="s">
        <v>2005</v>
      </c>
      <c r="P679" s="11" t="s">
        <v>1557</v>
      </c>
      <c r="Q679" s="25" t="n">
        <f aca="false">SUMIFS('Commentary drivers'!$D:$D,'Commentary drivers'!$A:$A,A679)</f>
        <v>-5</v>
      </c>
      <c r="R679" s="25" t="n">
        <f aca="false">SUMIFS('Commentary drivers'!$E:$E,'Commentary drivers'!$A:$A,A679)</f>
        <v>-5</v>
      </c>
      <c r="S679" s="49" t="str">
        <f aca="false">IF(AND(ROUND(Q679-J679,4)=0,ROUND(R679-K679,1)=0),"✓","✗")</f>
        <v>✓</v>
      </c>
    </row>
    <row r="680" customFormat="false" ht="15" hidden="false" customHeight="false" outlineLevel="0" collapsed="false">
      <c r="A680" s="11" t="s">
        <v>2087</v>
      </c>
      <c r="B680" s="11" t="s">
        <v>132</v>
      </c>
      <c r="C680" s="11" t="s">
        <v>36</v>
      </c>
      <c r="D680" s="11" t="s">
        <v>1337</v>
      </c>
      <c r="E680" s="11" t="s">
        <v>1420</v>
      </c>
      <c r="F680" s="11" t="s">
        <v>97</v>
      </c>
      <c r="G680" s="11" t="n">
        <v>0</v>
      </c>
      <c r="H680" s="34" t="n">
        <v>160</v>
      </c>
      <c r="I680" s="34" t="n">
        <v>108.079</v>
      </c>
      <c r="J680" s="34" t="n">
        <v>51.921</v>
      </c>
      <c r="K680" s="34" t="n">
        <v>51.9</v>
      </c>
      <c r="L680" s="11" t="s">
        <v>892</v>
      </c>
      <c r="M680" s="11" t="s">
        <v>1250</v>
      </c>
      <c r="N680" s="11" t="s">
        <v>1251</v>
      </c>
      <c r="O680" s="11" t="s">
        <v>2005</v>
      </c>
      <c r="P680" s="11" t="s">
        <v>1557</v>
      </c>
      <c r="Q680" s="25" t="n">
        <f aca="false">SUMIFS('Commentary drivers'!$D:$D,'Commentary drivers'!$A:$A,A680)</f>
        <v>51.921</v>
      </c>
      <c r="R680" s="25" t="n">
        <f aca="false">SUMIFS('Commentary drivers'!$E:$E,'Commentary drivers'!$A:$A,A680)</f>
        <v>51.9</v>
      </c>
      <c r="S680" s="49" t="str">
        <f aca="false">IF(AND(ROUND(Q680-J680,4)=0,ROUND(R680-K680,1)=0),"✓","✗")</f>
        <v>✓</v>
      </c>
    </row>
    <row r="681" customFormat="false" ht="15" hidden="false" customHeight="false" outlineLevel="0" collapsed="false">
      <c r="A681" s="11" t="s">
        <v>2088</v>
      </c>
      <c r="B681" s="11" t="s">
        <v>132</v>
      </c>
      <c r="C681" s="11" t="s">
        <v>36</v>
      </c>
      <c r="D681" s="11" t="s">
        <v>1422</v>
      </c>
      <c r="E681" s="11" t="s">
        <v>1423</v>
      </c>
      <c r="F681" s="11" t="s">
        <v>312</v>
      </c>
      <c r="G681" s="11" t="n">
        <v>0</v>
      </c>
      <c r="H681" s="34" t="n">
        <v>2000</v>
      </c>
      <c r="I681" s="34" t="n">
        <v>2030</v>
      </c>
      <c r="J681" s="34" t="n">
        <v>-30</v>
      </c>
      <c r="K681" s="34" t="n">
        <v>-30</v>
      </c>
      <c r="L681" s="11" t="s">
        <v>893</v>
      </c>
      <c r="M681" s="11" t="s">
        <v>1250</v>
      </c>
      <c r="N681" s="11" t="s">
        <v>1251</v>
      </c>
      <c r="O681" s="11" t="s">
        <v>2005</v>
      </c>
      <c r="P681" s="11" t="s">
        <v>1557</v>
      </c>
      <c r="Q681" s="25" t="n">
        <f aca="false">SUMIFS('Commentary drivers'!$D:$D,'Commentary drivers'!$A:$A,A681)</f>
        <v>-30</v>
      </c>
      <c r="R681" s="25" t="n">
        <f aca="false">SUMIFS('Commentary drivers'!$E:$E,'Commentary drivers'!$A:$A,A681)</f>
        <v>-30</v>
      </c>
      <c r="S681" s="49" t="str">
        <f aca="false">IF(AND(ROUND(Q681-J681,4)=0,ROUND(R681-K681,1)=0),"✓","✗")</f>
        <v>✓</v>
      </c>
    </row>
    <row r="682" customFormat="false" ht="15" hidden="false" customHeight="false" outlineLevel="0" collapsed="false">
      <c r="A682" s="11" t="s">
        <v>2089</v>
      </c>
      <c r="B682" s="11" t="s">
        <v>132</v>
      </c>
      <c r="C682" s="11" t="s">
        <v>36</v>
      </c>
      <c r="D682" s="11" t="s">
        <v>1422</v>
      </c>
      <c r="E682" s="11" t="s">
        <v>1425</v>
      </c>
      <c r="F682" s="11" t="s">
        <v>314</v>
      </c>
      <c r="G682" s="11" t="n">
        <v>1</v>
      </c>
      <c r="H682" s="34" t="n">
        <v>1800</v>
      </c>
      <c r="I682" s="34" t="n">
        <v>1850</v>
      </c>
      <c r="J682" s="34" t="n">
        <v>-50</v>
      </c>
      <c r="K682" s="34" t="n">
        <v>-50</v>
      </c>
      <c r="L682" s="11" t="s">
        <v>821</v>
      </c>
      <c r="M682" s="11" t="s">
        <v>1250</v>
      </c>
      <c r="N682" s="11" t="s">
        <v>1251</v>
      </c>
      <c r="O682" s="11" t="s">
        <v>2005</v>
      </c>
      <c r="P682" s="11" t="s">
        <v>1557</v>
      </c>
      <c r="Q682" s="25" t="n">
        <f aca="false">SUMIFS('Commentary drivers'!$D:$D,'Commentary drivers'!$A:$A,A682)</f>
        <v>-50</v>
      </c>
      <c r="R682" s="25" t="n">
        <f aca="false">SUMIFS('Commentary drivers'!$E:$E,'Commentary drivers'!$A:$A,A682)</f>
        <v>-50</v>
      </c>
      <c r="S682" s="49" t="str">
        <f aca="false">IF(AND(ROUND(Q682-J682,4)=0,ROUND(R682-K682,1)=0),"✓","✗")</f>
        <v>✓</v>
      </c>
    </row>
    <row r="683" customFormat="false" ht="15" hidden="false" customHeight="false" outlineLevel="0" collapsed="false">
      <c r="A683" s="11" t="s">
        <v>2090</v>
      </c>
      <c r="B683" s="11" t="s">
        <v>132</v>
      </c>
      <c r="C683" s="11" t="s">
        <v>36</v>
      </c>
      <c r="D683" s="11" t="s">
        <v>1422</v>
      </c>
      <c r="E683" s="11" t="s">
        <v>1427</v>
      </c>
      <c r="F683" s="11" t="s">
        <v>315</v>
      </c>
      <c r="G683" s="11" t="n">
        <v>1</v>
      </c>
      <c r="H683" s="34" t="n">
        <v>200</v>
      </c>
      <c r="I683" s="34" t="n">
        <v>180</v>
      </c>
      <c r="J683" s="34" t="n">
        <v>20</v>
      </c>
      <c r="K683" s="34" t="n">
        <v>20</v>
      </c>
      <c r="L683" s="11" t="s">
        <v>823</v>
      </c>
      <c r="M683" s="11" t="s">
        <v>1250</v>
      </c>
      <c r="N683" s="11" t="s">
        <v>1251</v>
      </c>
      <c r="O683" s="11" t="s">
        <v>2005</v>
      </c>
      <c r="P683" s="11" t="s">
        <v>1557</v>
      </c>
      <c r="Q683" s="25" t="n">
        <f aca="false">SUMIFS('Commentary drivers'!$D:$D,'Commentary drivers'!$A:$A,A683)</f>
        <v>20</v>
      </c>
      <c r="R683" s="25" t="n">
        <f aca="false">SUMIFS('Commentary drivers'!$E:$E,'Commentary drivers'!$A:$A,A683)</f>
        <v>20</v>
      </c>
      <c r="S683" s="49" t="str">
        <f aca="false">IF(AND(ROUND(Q683-J683,4)=0,ROUND(R683-K683,1)=0),"✓","✗")</f>
        <v>✓</v>
      </c>
    </row>
    <row r="684" customFormat="false" ht="15" hidden="false" customHeight="false" outlineLevel="0" collapsed="false">
      <c r="A684" s="11" t="s">
        <v>2091</v>
      </c>
      <c r="B684" s="11" t="s">
        <v>132</v>
      </c>
      <c r="C684" s="11" t="s">
        <v>36</v>
      </c>
      <c r="D684" s="11" t="s">
        <v>1422</v>
      </c>
      <c r="E684" s="11" t="s">
        <v>1429</v>
      </c>
      <c r="F684" s="11" t="s">
        <v>316</v>
      </c>
      <c r="G684" s="11" t="n">
        <v>0</v>
      </c>
      <c r="H684" s="34" t="n">
        <v>1040</v>
      </c>
      <c r="I684" s="34" t="n">
        <v>1108.921</v>
      </c>
      <c r="J684" s="34" t="n">
        <v>-68.921</v>
      </c>
      <c r="K684" s="34" t="n">
        <v>-68.9</v>
      </c>
      <c r="L684" s="11" t="s">
        <v>894</v>
      </c>
      <c r="M684" s="11" t="s">
        <v>1250</v>
      </c>
      <c r="N684" s="11" t="s">
        <v>1251</v>
      </c>
      <c r="O684" s="11" t="s">
        <v>2005</v>
      </c>
      <c r="P684" s="11" t="s">
        <v>1557</v>
      </c>
      <c r="Q684" s="25" t="n">
        <f aca="false">SUMIFS('Commentary drivers'!$D:$D,'Commentary drivers'!$A:$A,A684)</f>
        <v>-68.921</v>
      </c>
      <c r="R684" s="25" t="n">
        <f aca="false">SUMIFS('Commentary drivers'!$E:$E,'Commentary drivers'!$A:$A,A684)</f>
        <v>-68.9</v>
      </c>
      <c r="S684" s="49" t="str">
        <f aca="false">IF(AND(ROUND(Q684-J684,4)=0,ROUND(R684-K684,1)=0),"✓","✗")</f>
        <v>✓</v>
      </c>
    </row>
    <row r="685" customFormat="false" ht="15" hidden="false" customHeight="false" outlineLevel="0" collapsed="false">
      <c r="A685" s="11" t="s">
        <v>2092</v>
      </c>
      <c r="B685" s="11" t="s">
        <v>132</v>
      </c>
      <c r="C685" s="11" t="s">
        <v>36</v>
      </c>
      <c r="D685" s="11" t="s">
        <v>1422</v>
      </c>
      <c r="E685" s="11" t="s">
        <v>1431</v>
      </c>
      <c r="F685" s="11" t="s">
        <v>192</v>
      </c>
      <c r="G685" s="11" t="n">
        <v>1</v>
      </c>
      <c r="H685" s="34" t="n">
        <v>400</v>
      </c>
      <c r="I685" s="34" t="n">
        <v>444.92</v>
      </c>
      <c r="J685" s="34" t="n">
        <v>-44.92</v>
      </c>
      <c r="K685" s="34" t="n">
        <v>-44.9</v>
      </c>
      <c r="L685" s="11" t="s">
        <v>895</v>
      </c>
      <c r="M685" s="11" t="s">
        <v>1250</v>
      </c>
      <c r="N685" s="11" t="s">
        <v>1251</v>
      </c>
      <c r="O685" s="11" t="s">
        <v>2005</v>
      </c>
      <c r="P685" s="11" t="s">
        <v>1557</v>
      </c>
      <c r="Q685" s="25" t="n">
        <f aca="false">SUMIFS('Commentary drivers'!$D:$D,'Commentary drivers'!$A:$A,A685)</f>
        <v>-44.92</v>
      </c>
      <c r="R685" s="25" t="n">
        <f aca="false">SUMIFS('Commentary drivers'!$E:$E,'Commentary drivers'!$A:$A,A685)</f>
        <v>-44.9</v>
      </c>
      <c r="S685" s="49" t="str">
        <f aca="false">IF(AND(ROUND(Q685-J685,4)=0,ROUND(R685-K685,1)=0),"✓","✗")</f>
        <v>✓</v>
      </c>
    </row>
    <row r="686" customFormat="false" ht="15" hidden="false" customHeight="false" outlineLevel="0" collapsed="false">
      <c r="A686" s="11" t="s">
        <v>2093</v>
      </c>
      <c r="B686" s="11" t="s">
        <v>132</v>
      </c>
      <c r="C686" s="11" t="s">
        <v>36</v>
      </c>
      <c r="D686" s="11" t="s">
        <v>1422</v>
      </c>
      <c r="E686" s="11" t="s">
        <v>1433</v>
      </c>
      <c r="F686" s="11" t="s">
        <v>195</v>
      </c>
      <c r="G686" s="11" t="n">
        <v>1</v>
      </c>
      <c r="H686" s="34" t="n">
        <v>120</v>
      </c>
      <c r="I686" s="34" t="n">
        <v>126.913</v>
      </c>
      <c r="J686" s="34" t="n">
        <v>-6.913</v>
      </c>
      <c r="K686" s="34" t="n">
        <v>-6.9</v>
      </c>
      <c r="L686" s="11" t="s">
        <v>896</v>
      </c>
      <c r="M686" s="11" t="s">
        <v>1250</v>
      </c>
      <c r="N686" s="11" t="s">
        <v>1262</v>
      </c>
      <c r="O686" s="11"/>
      <c r="P686" s="11"/>
      <c r="Q686" s="25" t="n">
        <f aca="false">SUMIFS('Commentary drivers'!$D:$D,'Commentary drivers'!$A:$A,A686)</f>
        <v>-6.913</v>
      </c>
      <c r="R686" s="25" t="n">
        <f aca="false">SUMIFS('Commentary drivers'!$E:$E,'Commentary drivers'!$A:$A,A686)</f>
        <v>-6.9</v>
      </c>
      <c r="S686" s="49" t="str">
        <f aca="false">IF(AND(ROUND(Q686-J686,4)=0,ROUND(R686-K686,1)=0),"✓","✗")</f>
        <v>✓</v>
      </c>
    </row>
    <row r="687" customFormat="false" ht="15" hidden="false" customHeight="false" outlineLevel="0" collapsed="false">
      <c r="A687" s="11" t="s">
        <v>2094</v>
      </c>
      <c r="B687" s="11" t="s">
        <v>132</v>
      </c>
      <c r="C687" s="11" t="s">
        <v>36</v>
      </c>
      <c r="D687" s="11" t="s">
        <v>1422</v>
      </c>
      <c r="E687" s="11" t="s">
        <v>1435</v>
      </c>
      <c r="F687" s="11" t="s">
        <v>198</v>
      </c>
      <c r="G687" s="11" t="n">
        <v>1</v>
      </c>
      <c r="H687" s="34" t="n">
        <v>160</v>
      </c>
      <c r="I687" s="34" t="n">
        <v>153.796</v>
      </c>
      <c r="J687" s="34" t="n">
        <v>6.204</v>
      </c>
      <c r="K687" s="34" t="n">
        <v>6.2</v>
      </c>
      <c r="L687" s="11" t="s">
        <v>829</v>
      </c>
      <c r="M687" s="11" t="s">
        <v>1250</v>
      </c>
      <c r="N687" s="11" t="s">
        <v>1262</v>
      </c>
      <c r="O687" s="11"/>
      <c r="P687" s="11"/>
      <c r="Q687" s="25" t="n">
        <f aca="false">SUMIFS('Commentary drivers'!$D:$D,'Commentary drivers'!$A:$A,A687)</f>
        <v>6.204</v>
      </c>
      <c r="R687" s="25" t="n">
        <f aca="false">SUMIFS('Commentary drivers'!$E:$E,'Commentary drivers'!$A:$A,A687)</f>
        <v>6.2</v>
      </c>
      <c r="S687" s="49" t="str">
        <f aca="false">IF(AND(ROUND(Q687-J687,4)=0,ROUND(R687-K687,1)=0),"✓","✗")</f>
        <v>✓</v>
      </c>
    </row>
    <row r="688" customFormat="false" ht="15" hidden="false" customHeight="false" outlineLevel="0" collapsed="false">
      <c r="A688" s="11" t="s">
        <v>2095</v>
      </c>
      <c r="B688" s="11" t="s">
        <v>132</v>
      </c>
      <c r="C688" s="11" t="s">
        <v>36</v>
      </c>
      <c r="D688" s="11" t="s">
        <v>1422</v>
      </c>
      <c r="E688" s="11" t="s">
        <v>1437</v>
      </c>
      <c r="F688" s="11" t="s">
        <v>323</v>
      </c>
      <c r="G688" s="11" t="n">
        <v>1</v>
      </c>
      <c r="H688" s="34" t="n">
        <v>120</v>
      </c>
      <c r="I688" s="34" t="n">
        <v>119.412</v>
      </c>
      <c r="J688" s="34" t="n">
        <v>0.588</v>
      </c>
      <c r="K688" s="34" t="n">
        <v>0.6</v>
      </c>
      <c r="L688" s="11" t="s">
        <v>897</v>
      </c>
      <c r="M688" s="11" t="s">
        <v>1250</v>
      </c>
      <c r="N688" s="11" t="s">
        <v>1262</v>
      </c>
      <c r="O688" s="11"/>
      <c r="P688" s="11"/>
      <c r="Q688" s="25" t="n">
        <f aca="false">SUMIFS('Commentary drivers'!$D:$D,'Commentary drivers'!$A:$A,A688)</f>
        <v>0.588</v>
      </c>
      <c r="R688" s="25" t="n">
        <f aca="false">SUMIFS('Commentary drivers'!$E:$E,'Commentary drivers'!$A:$A,A688)</f>
        <v>0.6</v>
      </c>
      <c r="S688" s="49" t="str">
        <f aca="false">IF(AND(ROUND(Q688-J688,4)=0,ROUND(R688-K688,1)=0),"✓","✗")</f>
        <v>✓</v>
      </c>
    </row>
    <row r="689" customFormat="false" ht="15" hidden="false" customHeight="false" outlineLevel="0" collapsed="false">
      <c r="A689" s="11" t="s">
        <v>2096</v>
      </c>
      <c r="B689" s="11" t="s">
        <v>132</v>
      </c>
      <c r="C689" s="11" t="s">
        <v>36</v>
      </c>
      <c r="D689" s="11" t="s">
        <v>1422</v>
      </c>
      <c r="E689" s="11" t="s">
        <v>1439</v>
      </c>
      <c r="F689" s="11" t="s">
        <v>225</v>
      </c>
      <c r="G689" s="11" t="n">
        <v>1</v>
      </c>
      <c r="H689" s="34" t="n">
        <v>240</v>
      </c>
      <c r="I689" s="34" t="n">
        <v>263.88</v>
      </c>
      <c r="J689" s="34" t="n">
        <v>-23.88</v>
      </c>
      <c r="K689" s="34" t="n">
        <v>-23.9</v>
      </c>
      <c r="L689" s="11" t="s">
        <v>842</v>
      </c>
      <c r="M689" s="11" t="s">
        <v>1250</v>
      </c>
      <c r="N689" s="11" t="s">
        <v>1251</v>
      </c>
      <c r="O689" s="11" t="s">
        <v>2005</v>
      </c>
      <c r="P689" s="11" t="s">
        <v>1557</v>
      </c>
      <c r="Q689" s="25" t="n">
        <f aca="false">SUMIFS('Commentary drivers'!$D:$D,'Commentary drivers'!$A:$A,A689)</f>
        <v>-23.88</v>
      </c>
      <c r="R689" s="25" t="n">
        <f aca="false">SUMIFS('Commentary drivers'!$E:$E,'Commentary drivers'!$A:$A,A689)</f>
        <v>-23.9</v>
      </c>
      <c r="S689" s="49" t="str">
        <f aca="false">IF(AND(ROUND(Q689-J689,4)=0,ROUND(R689-K689,1)=0),"✓","✗")</f>
        <v>✓</v>
      </c>
    </row>
    <row r="690" customFormat="false" ht="15" hidden="false" customHeight="false" outlineLevel="0" collapsed="false">
      <c r="A690" s="11" t="s">
        <v>2097</v>
      </c>
      <c r="B690" s="11" t="s">
        <v>132</v>
      </c>
      <c r="C690" s="11" t="s">
        <v>36</v>
      </c>
      <c r="D690" s="11" t="s">
        <v>1422</v>
      </c>
      <c r="E690" s="11" t="s">
        <v>1441</v>
      </c>
      <c r="F690" s="11" t="s">
        <v>325</v>
      </c>
      <c r="G690" s="11" t="n">
        <v>0</v>
      </c>
      <c r="H690" s="34" t="n">
        <v>280</v>
      </c>
      <c r="I690" s="34" t="n">
        <v>272</v>
      </c>
      <c r="J690" s="34" t="n">
        <v>8</v>
      </c>
      <c r="K690" s="34" t="n">
        <v>8</v>
      </c>
      <c r="L690" s="11" t="s">
        <v>898</v>
      </c>
      <c r="M690" s="11" t="s">
        <v>1250</v>
      </c>
      <c r="N690" s="11" t="s">
        <v>1251</v>
      </c>
      <c r="O690" s="11" t="s">
        <v>2005</v>
      </c>
      <c r="P690" s="11" t="s">
        <v>1557</v>
      </c>
      <c r="Q690" s="25" t="n">
        <f aca="false">SUMIFS('Commentary drivers'!$D:$D,'Commentary drivers'!$A:$A,A690)</f>
        <v>8</v>
      </c>
      <c r="R690" s="25" t="n">
        <f aca="false">SUMIFS('Commentary drivers'!$E:$E,'Commentary drivers'!$A:$A,A690)</f>
        <v>8</v>
      </c>
      <c r="S690" s="49" t="str">
        <f aca="false">IF(AND(ROUND(Q690-J690,4)=0,ROUND(R690-K690,1)=0),"✓","✗")</f>
        <v>✓</v>
      </c>
    </row>
    <row r="691" customFormat="false" ht="15" hidden="false" customHeight="false" outlineLevel="0" collapsed="false">
      <c r="A691" s="11" t="s">
        <v>2098</v>
      </c>
      <c r="B691" s="11" t="s">
        <v>132</v>
      </c>
      <c r="C691" s="11" t="s">
        <v>36</v>
      </c>
      <c r="D691" s="11" t="s">
        <v>1422</v>
      </c>
      <c r="E691" s="11" t="s">
        <v>1443</v>
      </c>
      <c r="F691" s="11" t="s">
        <v>189</v>
      </c>
      <c r="G691" s="11" t="n">
        <v>1</v>
      </c>
      <c r="H691" s="34" t="n">
        <v>200</v>
      </c>
      <c r="I691" s="34" t="n">
        <v>190</v>
      </c>
      <c r="J691" s="34" t="n">
        <v>10</v>
      </c>
      <c r="K691" s="34" t="n">
        <v>10</v>
      </c>
      <c r="L691" s="11" t="s">
        <v>899</v>
      </c>
      <c r="M691" s="11" t="s">
        <v>1250</v>
      </c>
      <c r="N691" s="11" t="s">
        <v>1251</v>
      </c>
      <c r="O691" s="11" t="s">
        <v>2005</v>
      </c>
      <c r="P691" s="11" t="s">
        <v>1557</v>
      </c>
      <c r="Q691" s="25" t="n">
        <f aca="false">SUMIFS('Commentary drivers'!$D:$D,'Commentary drivers'!$A:$A,A691)</f>
        <v>10</v>
      </c>
      <c r="R691" s="25" t="n">
        <f aca="false">SUMIFS('Commentary drivers'!$E:$E,'Commentary drivers'!$A:$A,A691)</f>
        <v>10</v>
      </c>
      <c r="S691" s="49" t="str">
        <f aca="false">IF(AND(ROUND(Q691-J691,4)=0,ROUND(R691-K691,1)=0),"✓","✗")</f>
        <v>✓</v>
      </c>
    </row>
    <row r="692" customFormat="false" ht="15" hidden="false" customHeight="false" outlineLevel="0" collapsed="false">
      <c r="A692" s="11" t="s">
        <v>2099</v>
      </c>
      <c r="B692" s="11" t="s">
        <v>132</v>
      </c>
      <c r="C692" s="11" t="s">
        <v>36</v>
      </c>
      <c r="D692" s="11" t="s">
        <v>1422</v>
      </c>
      <c r="E692" s="11" t="s">
        <v>1445</v>
      </c>
      <c r="F692" s="11" t="s">
        <v>201</v>
      </c>
      <c r="G692" s="11" t="n">
        <v>1</v>
      </c>
      <c r="H692" s="34" t="n">
        <v>80</v>
      </c>
      <c r="I692" s="34" t="n">
        <v>82</v>
      </c>
      <c r="J692" s="34" t="n">
        <v>-2</v>
      </c>
      <c r="K692" s="34" t="n">
        <v>-2</v>
      </c>
      <c r="L692" s="11" t="s">
        <v>900</v>
      </c>
      <c r="M692" s="11" t="s">
        <v>1250</v>
      </c>
      <c r="N692" s="11" t="s">
        <v>1262</v>
      </c>
      <c r="O692" s="11"/>
      <c r="P692" s="11"/>
      <c r="Q692" s="25" t="n">
        <f aca="false">SUMIFS('Commentary drivers'!$D:$D,'Commentary drivers'!$A:$A,A692)</f>
        <v>-2</v>
      </c>
      <c r="R692" s="25" t="n">
        <f aca="false">SUMIFS('Commentary drivers'!$E:$E,'Commentary drivers'!$A:$A,A692)</f>
        <v>-2</v>
      </c>
      <c r="S692" s="49" t="str">
        <f aca="false">IF(AND(ROUND(Q692-J692,4)=0,ROUND(R692-K692,1)=0),"✓","✗")</f>
        <v>✓</v>
      </c>
    </row>
    <row r="693" customFormat="false" ht="15" hidden="false" customHeight="false" outlineLevel="0" collapsed="false">
      <c r="A693" s="11" t="s">
        <v>2100</v>
      </c>
      <c r="B693" s="11" t="s">
        <v>132</v>
      </c>
      <c r="C693" s="11" t="s">
        <v>36</v>
      </c>
      <c r="D693" s="11" t="s">
        <v>1422</v>
      </c>
      <c r="E693" s="11" t="s">
        <v>1447</v>
      </c>
      <c r="F693" s="11" t="s">
        <v>331</v>
      </c>
      <c r="G693" s="11" t="n">
        <v>0</v>
      </c>
      <c r="H693" s="34" t="n">
        <v>280</v>
      </c>
      <c r="I693" s="34" t="n">
        <v>285</v>
      </c>
      <c r="J693" s="34" t="n">
        <v>-5</v>
      </c>
      <c r="K693" s="34" t="n">
        <v>-5</v>
      </c>
      <c r="L693" s="11" t="s">
        <v>901</v>
      </c>
      <c r="M693" s="11" t="s">
        <v>1250</v>
      </c>
      <c r="N693" s="11" t="s">
        <v>1251</v>
      </c>
      <c r="O693" s="11" t="s">
        <v>2005</v>
      </c>
      <c r="P693" s="11" t="s">
        <v>1557</v>
      </c>
      <c r="Q693" s="25" t="n">
        <f aca="false">SUMIFS('Commentary drivers'!$D:$D,'Commentary drivers'!$A:$A,A693)</f>
        <v>-5</v>
      </c>
      <c r="R693" s="25" t="n">
        <f aca="false">SUMIFS('Commentary drivers'!$E:$E,'Commentary drivers'!$A:$A,A693)</f>
        <v>-5</v>
      </c>
      <c r="S693" s="49" t="str">
        <f aca="false">IF(AND(ROUND(Q693-J693,4)=0,ROUND(R693-K693,1)=0),"✓","✗")</f>
        <v>✓</v>
      </c>
    </row>
    <row r="694" customFormat="false" ht="15" hidden="false" customHeight="false" outlineLevel="0" collapsed="false">
      <c r="A694" s="11" t="s">
        <v>2101</v>
      </c>
      <c r="B694" s="11" t="s">
        <v>132</v>
      </c>
      <c r="C694" s="11" t="s">
        <v>36</v>
      </c>
      <c r="D694" s="11" t="s">
        <v>1422</v>
      </c>
      <c r="E694" s="11" t="s">
        <v>1449</v>
      </c>
      <c r="F694" s="11" t="s">
        <v>230</v>
      </c>
      <c r="G694" s="11" t="n">
        <v>1</v>
      </c>
      <c r="H694" s="34" t="n">
        <v>100</v>
      </c>
      <c r="I694" s="34" t="n">
        <v>110</v>
      </c>
      <c r="J694" s="34" t="n">
        <v>-10</v>
      </c>
      <c r="K694" s="34" t="n">
        <v>-10</v>
      </c>
      <c r="L694" s="11" t="s">
        <v>844</v>
      </c>
      <c r="M694" s="11" t="s">
        <v>1250</v>
      </c>
      <c r="N694" s="11" t="s">
        <v>1251</v>
      </c>
      <c r="O694" s="11" t="s">
        <v>2005</v>
      </c>
      <c r="P694" s="11" t="s">
        <v>1557</v>
      </c>
      <c r="Q694" s="25" t="n">
        <f aca="false">SUMIFS('Commentary drivers'!$D:$D,'Commentary drivers'!$A:$A,A694)</f>
        <v>-10</v>
      </c>
      <c r="R694" s="25" t="n">
        <f aca="false">SUMIFS('Commentary drivers'!$E:$E,'Commentary drivers'!$A:$A,A694)</f>
        <v>-10</v>
      </c>
      <c r="S694" s="49" t="str">
        <f aca="false">IF(AND(ROUND(Q694-J694,4)=0,ROUND(R694-K694,1)=0),"✓","✗")</f>
        <v>✓</v>
      </c>
    </row>
    <row r="695" customFormat="false" ht="15" hidden="false" customHeight="false" outlineLevel="0" collapsed="false">
      <c r="A695" s="11" t="s">
        <v>2102</v>
      </c>
      <c r="B695" s="11" t="s">
        <v>132</v>
      </c>
      <c r="C695" s="11" t="s">
        <v>36</v>
      </c>
      <c r="D695" s="11" t="s">
        <v>1422</v>
      </c>
      <c r="E695" s="11" t="s">
        <v>1451</v>
      </c>
      <c r="F695" s="11" t="s">
        <v>242</v>
      </c>
      <c r="G695" s="11" t="n">
        <v>1</v>
      </c>
      <c r="H695" s="34" t="n">
        <v>180</v>
      </c>
      <c r="I695" s="34" t="n">
        <v>175</v>
      </c>
      <c r="J695" s="34" t="n">
        <v>5</v>
      </c>
      <c r="K695" s="34" t="n">
        <v>5</v>
      </c>
      <c r="L695" s="11" t="s">
        <v>850</v>
      </c>
      <c r="M695" s="11" t="s">
        <v>1315</v>
      </c>
      <c r="N695" s="11" t="s">
        <v>1251</v>
      </c>
      <c r="O695" s="11" t="s">
        <v>2005</v>
      </c>
      <c r="P695" s="11" t="s">
        <v>1557</v>
      </c>
      <c r="Q695" s="25" t="n">
        <f aca="false">SUMIFS('Commentary drivers'!$D:$D,'Commentary drivers'!$A:$A,A695)</f>
        <v>5</v>
      </c>
      <c r="R695" s="25" t="n">
        <f aca="false">SUMIFS('Commentary drivers'!$E:$E,'Commentary drivers'!$A:$A,A695)</f>
        <v>5</v>
      </c>
      <c r="S695" s="49" t="str">
        <f aca="false">IF(AND(ROUND(Q695-J695,4)=0,ROUND(R695-K695,1)=0),"✓","✗")</f>
        <v>✓</v>
      </c>
    </row>
    <row r="696" customFormat="false" ht="15" hidden="false" customHeight="false" outlineLevel="0" collapsed="false">
      <c r="A696" s="11" t="s">
        <v>2103</v>
      </c>
      <c r="B696" s="11" t="s">
        <v>132</v>
      </c>
      <c r="C696" s="11" t="s">
        <v>36</v>
      </c>
      <c r="D696" s="11" t="s">
        <v>1422</v>
      </c>
      <c r="E696" s="11" t="s">
        <v>1453</v>
      </c>
      <c r="F696" s="11" t="s">
        <v>334</v>
      </c>
      <c r="G696" s="11" t="n">
        <v>0</v>
      </c>
      <c r="H696" s="34" t="n">
        <v>180</v>
      </c>
      <c r="I696" s="34" t="n">
        <v>189</v>
      </c>
      <c r="J696" s="34" t="n">
        <v>-9</v>
      </c>
      <c r="K696" s="34" t="n">
        <v>-9</v>
      </c>
      <c r="L696" s="11" t="s">
        <v>902</v>
      </c>
      <c r="M696" s="11" t="s">
        <v>1250</v>
      </c>
      <c r="N696" s="11" t="s">
        <v>1251</v>
      </c>
      <c r="O696" s="11" t="s">
        <v>2005</v>
      </c>
      <c r="P696" s="11" t="s">
        <v>1557</v>
      </c>
      <c r="Q696" s="25" t="n">
        <f aca="false">SUMIFS('Commentary drivers'!$D:$D,'Commentary drivers'!$A:$A,A696)</f>
        <v>-9</v>
      </c>
      <c r="R696" s="25" t="n">
        <f aca="false">SUMIFS('Commentary drivers'!$E:$E,'Commentary drivers'!$A:$A,A696)</f>
        <v>-9</v>
      </c>
      <c r="S696" s="49" t="str">
        <f aca="false">IF(AND(ROUND(Q696-J696,4)=0,ROUND(R696-K696,1)=0),"✓","✗")</f>
        <v>✓</v>
      </c>
    </row>
    <row r="697" customFormat="false" ht="15" hidden="false" customHeight="false" outlineLevel="0" collapsed="false">
      <c r="A697" s="11" t="s">
        <v>2104</v>
      </c>
      <c r="B697" s="11" t="s">
        <v>132</v>
      </c>
      <c r="C697" s="11" t="s">
        <v>36</v>
      </c>
      <c r="D697" s="11" t="s">
        <v>1422</v>
      </c>
      <c r="E697" s="11" t="s">
        <v>1455</v>
      </c>
      <c r="F697" s="11" t="s">
        <v>233</v>
      </c>
      <c r="G697" s="11" t="n">
        <v>1</v>
      </c>
      <c r="H697" s="34" t="n">
        <v>40</v>
      </c>
      <c r="I697" s="34" t="n">
        <v>42</v>
      </c>
      <c r="J697" s="34" t="n">
        <v>-2</v>
      </c>
      <c r="K697" s="34" t="n">
        <v>-2</v>
      </c>
      <c r="L697" s="11" t="s">
        <v>845</v>
      </c>
      <c r="M697" s="11" t="s">
        <v>1250</v>
      </c>
      <c r="N697" s="11" t="s">
        <v>1262</v>
      </c>
      <c r="O697" s="11"/>
      <c r="P697" s="11"/>
      <c r="Q697" s="25" t="n">
        <f aca="false">SUMIFS('Commentary drivers'!$D:$D,'Commentary drivers'!$A:$A,A697)</f>
        <v>-2</v>
      </c>
      <c r="R697" s="25" t="n">
        <f aca="false">SUMIFS('Commentary drivers'!$E:$E,'Commentary drivers'!$A:$A,A697)</f>
        <v>-2</v>
      </c>
      <c r="S697" s="49" t="str">
        <f aca="false">IF(AND(ROUND(Q697-J697,4)=0,ROUND(R697-K697,1)=0),"✓","✗")</f>
        <v>✓</v>
      </c>
    </row>
    <row r="698" customFormat="false" ht="15" hidden="false" customHeight="false" outlineLevel="0" collapsed="false">
      <c r="A698" s="11" t="s">
        <v>2105</v>
      </c>
      <c r="B698" s="11" t="s">
        <v>132</v>
      </c>
      <c r="C698" s="11" t="s">
        <v>36</v>
      </c>
      <c r="D698" s="11" t="s">
        <v>1422</v>
      </c>
      <c r="E698" s="11" t="s">
        <v>1457</v>
      </c>
      <c r="F698" s="11" t="s">
        <v>204</v>
      </c>
      <c r="G698" s="11" t="n">
        <v>1</v>
      </c>
      <c r="H698" s="34" t="n">
        <v>60</v>
      </c>
      <c r="I698" s="34" t="n">
        <v>62</v>
      </c>
      <c r="J698" s="34" t="n">
        <v>-2</v>
      </c>
      <c r="K698" s="34" t="n">
        <v>-2</v>
      </c>
      <c r="L698" s="11" t="s">
        <v>903</v>
      </c>
      <c r="M698" s="11" t="s">
        <v>1250</v>
      </c>
      <c r="N698" s="11" t="s">
        <v>1262</v>
      </c>
      <c r="O698" s="11"/>
      <c r="P698" s="11"/>
      <c r="Q698" s="25" t="n">
        <f aca="false">SUMIFS('Commentary drivers'!$D:$D,'Commentary drivers'!$A:$A,A698)</f>
        <v>-2</v>
      </c>
      <c r="R698" s="25" t="n">
        <f aca="false">SUMIFS('Commentary drivers'!$E:$E,'Commentary drivers'!$A:$A,A698)</f>
        <v>-2</v>
      </c>
      <c r="S698" s="49" t="str">
        <f aca="false">IF(AND(ROUND(Q698-J698,4)=0,ROUND(R698-K698,1)=0),"✓","✗")</f>
        <v>✓</v>
      </c>
    </row>
    <row r="699" customFormat="false" ht="15" hidden="false" customHeight="false" outlineLevel="0" collapsed="false">
      <c r="A699" s="11" t="s">
        <v>2106</v>
      </c>
      <c r="B699" s="11" t="s">
        <v>132</v>
      </c>
      <c r="C699" s="11" t="s">
        <v>36</v>
      </c>
      <c r="D699" s="11" t="s">
        <v>1422</v>
      </c>
      <c r="E699" s="11" t="s">
        <v>1459</v>
      </c>
      <c r="F699" s="11" t="s">
        <v>207</v>
      </c>
      <c r="G699" s="11" t="n">
        <v>1</v>
      </c>
      <c r="H699" s="34" t="n">
        <v>80</v>
      </c>
      <c r="I699" s="34" t="n">
        <v>85</v>
      </c>
      <c r="J699" s="34" t="n">
        <v>-5</v>
      </c>
      <c r="K699" s="34" t="n">
        <v>-5</v>
      </c>
      <c r="L699" s="11" t="s">
        <v>904</v>
      </c>
      <c r="M699" s="11" t="s">
        <v>1250</v>
      </c>
      <c r="N699" s="11" t="s">
        <v>1262</v>
      </c>
      <c r="O699" s="11"/>
      <c r="P699" s="11"/>
      <c r="Q699" s="25" t="n">
        <f aca="false">SUMIFS('Commentary drivers'!$D:$D,'Commentary drivers'!$A:$A,A699)</f>
        <v>-5</v>
      </c>
      <c r="R699" s="25" t="n">
        <f aca="false">SUMIFS('Commentary drivers'!$E:$E,'Commentary drivers'!$A:$A,A699)</f>
        <v>-5</v>
      </c>
      <c r="S699" s="49" t="str">
        <f aca="false">IF(AND(ROUND(Q699-J699,4)=0,ROUND(R699-K699,1)=0),"✓","✗")</f>
        <v>✓</v>
      </c>
    </row>
    <row r="700" customFormat="false" ht="15" hidden="false" customHeight="false" outlineLevel="0" collapsed="false">
      <c r="A700" s="11" t="s">
        <v>2107</v>
      </c>
      <c r="B700" s="11" t="s">
        <v>132</v>
      </c>
      <c r="C700" s="11" t="s">
        <v>36</v>
      </c>
      <c r="D700" s="11" t="s">
        <v>1422</v>
      </c>
      <c r="E700" s="11" t="s">
        <v>1461</v>
      </c>
      <c r="F700" s="11" t="s">
        <v>339</v>
      </c>
      <c r="G700" s="11" t="n">
        <v>0</v>
      </c>
      <c r="H700" s="34" t="n">
        <v>1780</v>
      </c>
      <c r="I700" s="34" t="n">
        <v>1854.921</v>
      </c>
      <c r="J700" s="34" t="n">
        <v>-74.921</v>
      </c>
      <c r="K700" s="34" t="n">
        <v>-74.9</v>
      </c>
      <c r="L700" s="11" t="s">
        <v>905</v>
      </c>
      <c r="M700" s="11" t="s">
        <v>1250</v>
      </c>
      <c r="N700" s="11" t="s">
        <v>1251</v>
      </c>
      <c r="O700" s="11" t="s">
        <v>2005</v>
      </c>
      <c r="P700" s="11" t="s">
        <v>1557</v>
      </c>
      <c r="Q700" s="25" t="n">
        <f aca="false">SUMIFS('Commentary drivers'!$D:$D,'Commentary drivers'!$A:$A,A700)</f>
        <v>-74.921</v>
      </c>
      <c r="R700" s="25" t="n">
        <f aca="false">SUMIFS('Commentary drivers'!$E:$E,'Commentary drivers'!$A:$A,A700)</f>
        <v>-74.9</v>
      </c>
      <c r="S700" s="49" t="str">
        <f aca="false">IF(AND(ROUND(Q700-J700,4)=0,ROUND(R700-K700,1)=0),"✓","✗")</f>
        <v>✓</v>
      </c>
    </row>
    <row r="701" customFormat="false" ht="15" hidden="false" customHeight="false" outlineLevel="0" collapsed="false">
      <c r="A701" s="11" t="s">
        <v>2108</v>
      </c>
      <c r="B701" s="11" t="s">
        <v>132</v>
      </c>
      <c r="C701" s="11" t="s">
        <v>36</v>
      </c>
      <c r="D701" s="11" t="s">
        <v>1422</v>
      </c>
      <c r="E701" s="11" t="s">
        <v>1463</v>
      </c>
      <c r="F701" s="11" t="s">
        <v>96</v>
      </c>
      <c r="G701" s="11" t="n">
        <v>0</v>
      </c>
      <c r="H701" s="34" t="n">
        <v>220</v>
      </c>
      <c r="I701" s="34" t="n">
        <v>175.079</v>
      </c>
      <c r="J701" s="34" t="n">
        <v>44.921</v>
      </c>
      <c r="K701" s="34" t="n">
        <v>44.9</v>
      </c>
      <c r="L701" s="11" t="s">
        <v>906</v>
      </c>
      <c r="M701" s="11" t="s">
        <v>1250</v>
      </c>
      <c r="N701" s="11" t="s">
        <v>1251</v>
      </c>
      <c r="O701" s="11" t="s">
        <v>2005</v>
      </c>
      <c r="P701" s="11" t="s">
        <v>1557</v>
      </c>
      <c r="Q701" s="25" t="n">
        <f aca="false">SUMIFS('Commentary drivers'!$D:$D,'Commentary drivers'!$A:$A,A701)</f>
        <v>44.921</v>
      </c>
      <c r="R701" s="25" t="n">
        <f aca="false">SUMIFS('Commentary drivers'!$E:$E,'Commentary drivers'!$A:$A,A701)</f>
        <v>44.9</v>
      </c>
      <c r="S701" s="49" t="str">
        <f aca="false">IF(AND(ROUND(Q701-J701,4)=0,ROUND(R701-K701,1)=0),"✓","✗")</f>
        <v>✓</v>
      </c>
    </row>
    <row r="702" customFormat="false" ht="15" hidden="false" customHeight="false" outlineLevel="0" collapsed="false">
      <c r="A702" s="11" t="s">
        <v>2109</v>
      </c>
      <c r="B702" s="11" t="s">
        <v>132</v>
      </c>
      <c r="C702" s="11" t="s">
        <v>36</v>
      </c>
      <c r="D702" s="11" t="s">
        <v>1422</v>
      </c>
      <c r="E702" s="11" t="s">
        <v>1465</v>
      </c>
      <c r="F702" s="11" t="s">
        <v>343</v>
      </c>
      <c r="G702" s="11" t="n">
        <v>0</v>
      </c>
      <c r="H702" s="34" t="n">
        <v>-20</v>
      </c>
      <c r="I702" s="34" t="n">
        <v>-22</v>
      </c>
      <c r="J702" s="34" t="n">
        <v>2</v>
      </c>
      <c r="K702" s="34" t="n">
        <v>2</v>
      </c>
      <c r="L702" s="11" t="s">
        <v>907</v>
      </c>
      <c r="M702" s="11" t="s">
        <v>1250</v>
      </c>
      <c r="N702" s="11" t="s">
        <v>1251</v>
      </c>
      <c r="O702" s="11" t="s">
        <v>2005</v>
      </c>
      <c r="P702" s="11" t="s">
        <v>1557</v>
      </c>
      <c r="Q702" s="25" t="n">
        <f aca="false">SUMIFS('Commentary drivers'!$D:$D,'Commentary drivers'!$A:$A,A702)</f>
        <v>2</v>
      </c>
      <c r="R702" s="25" t="n">
        <f aca="false">SUMIFS('Commentary drivers'!$E:$E,'Commentary drivers'!$A:$A,A702)</f>
        <v>2</v>
      </c>
      <c r="S702" s="49" t="str">
        <f aca="false">IF(AND(ROUND(Q702-J702,4)=0,ROUND(R702-K702,1)=0),"✓","✗")</f>
        <v>✓</v>
      </c>
    </row>
    <row r="703" customFormat="false" ht="15" hidden="false" customHeight="false" outlineLevel="0" collapsed="false">
      <c r="A703" s="11" t="s">
        <v>2110</v>
      </c>
      <c r="B703" s="11" t="s">
        <v>132</v>
      </c>
      <c r="C703" s="11" t="s">
        <v>36</v>
      </c>
      <c r="D703" s="11" t="s">
        <v>1422</v>
      </c>
      <c r="E703" s="11" t="s">
        <v>1467</v>
      </c>
      <c r="F703" s="11" t="s">
        <v>345</v>
      </c>
      <c r="G703" s="11" t="n">
        <v>1</v>
      </c>
      <c r="H703" s="34" t="n">
        <v>10</v>
      </c>
      <c r="I703" s="34" t="n">
        <v>8</v>
      </c>
      <c r="J703" s="34" t="n">
        <v>2</v>
      </c>
      <c r="K703" s="34" t="n">
        <v>2</v>
      </c>
      <c r="L703" s="11" t="s">
        <v>855</v>
      </c>
      <c r="M703" s="11" t="s">
        <v>1250</v>
      </c>
      <c r="N703" s="11" t="s">
        <v>1262</v>
      </c>
      <c r="O703" s="11"/>
      <c r="P703" s="11"/>
      <c r="Q703" s="25" t="n">
        <f aca="false">SUMIFS('Commentary drivers'!$D:$D,'Commentary drivers'!$A:$A,A703)</f>
        <v>2</v>
      </c>
      <c r="R703" s="25" t="n">
        <f aca="false">SUMIFS('Commentary drivers'!$E:$E,'Commentary drivers'!$A:$A,A703)</f>
        <v>2</v>
      </c>
      <c r="S703" s="49" t="str">
        <f aca="false">IF(AND(ROUND(Q703-J703,4)=0,ROUND(R703-K703,1)=0),"✓","✗")</f>
        <v>✓</v>
      </c>
    </row>
    <row r="704" customFormat="false" ht="15" hidden="false" customHeight="false" outlineLevel="0" collapsed="false">
      <c r="A704" s="11" t="s">
        <v>2111</v>
      </c>
      <c r="B704" s="11" t="s">
        <v>132</v>
      </c>
      <c r="C704" s="11" t="s">
        <v>36</v>
      </c>
      <c r="D704" s="11" t="s">
        <v>1422</v>
      </c>
      <c r="E704" s="11" t="s">
        <v>1469</v>
      </c>
      <c r="F704" s="11" t="s">
        <v>346</v>
      </c>
      <c r="G704" s="11" t="n">
        <v>1</v>
      </c>
      <c r="H704" s="34" t="n">
        <v>30</v>
      </c>
      <c r="I704" s="34" t="n">
        <v>30</v>
      </c>
      <c r="J704" s="34" t="n">
        <v>0</v>
      </c>
      <c r="K704" s="34" t="n">
        <v>0</v>
      </c>
      <c r="L704" s="11" t="s">
        <v>856</v>
      </c>
      <c r="M704" s="11" t="s">
        <v>1250</v>
      </c>
      <c r="N704" s="11" t="s">
        <v>1262</v>
      </c>
      <c r="O704" s="11"/>
      <c r="P704" s="11"/>
      <c r="Q704" s="25" t="n">
        <f aca="false">SUMIFS('Commentary drivers'!$D:$D,'Commentary drivers'!$A:$A,A704)</f>
        <v>0</v>
      </c>
      <c r="R704" s="25" t="n">
        <f aca="false">SUMIFS('Commentary drivers'!$E:$E,'Commentary drivers'!$A:$A,A704)</f>
        <v>0</v>
      </c>
      <c r="S704" s="49" t="str">
        <f aca="false">IF(AND(ROUND(Q704-J704,4)=0,ROUND(R704-K704,1)=0),"✓","✗")</f>
        <v>✓</v>
      </c>
    </row>
    <row r="705" customFormat="false" ht="15" hidden="false" customHeight="false" outlineLevel="0" collapsed="false">
      <c r="A705" s="11" t="s">
        <v>2112</v>
      </c>
      <c r="B705" s="11" t="s">
        <v>132</v>
      </c>
      <c r="C705" s="11" t="s">
        <v>36</v>
      </c>
      <c r="D705" s="11" t="s">
        <v>1422</v>
      </c>
      <c r="E705" s="11" t="s">
        <v>1471</v>
      </c>
      <c r="F705" s="11" t="s">
        <v>347</v>
      </c>
      <c r="G705" s="11" t="n">
        <v>0</v>
      </c>
      <c r="H705" s="34" t="n">
        <v>40</v>
      </c>
      <c r="I705" s="34" t="n">
        <v>45</v>
      </c>
      <c r="J705" s="34" t="n">
        <v>-5</v>
      </c>
      <c r="K705" s="34" t="n">
        <v>-5</v>
      </c>
      <c r="L705" s="11" t="s">
        <v>858</v>
      </c>
      <c r="M705" s="11" t="s">
        <v>1250</v>
      </c>
      <c r="N705" s="11" t="s">
        <v>1251</v>
      </c>
      <c r="O705" s="11" t="s">
        <v>2005</v>
      </c>
      <c r="P705" s="11" t="s">
        <v>1557</v>
      </c>
      <c r="Q705" s="25" t="n">
        <f aca="false">SUMIFS('Commentary drivers'!$D:$D,'Commentary drivers'!$A:$A,A705)</f>
        <v>-5</v>
      </c>
      <c r="R705" s="25" t="n">
        <f aca="false">SUMIFS('Commentary drivers'!$E:$E,'Commentary drivers'!$A:$A,A705)</f>
        <v>-5</v>
      </c>
      <c r="S705" s="49" t="str">
        <f aca="false">IF(AND(ROUND(Q705-J705,4)=0,ROUND(R705-K705,1)=0),"✓","✗")</f>
        <v>✓</v>
      </c>
    </row>
    <row r="706" customFormat="false" ht="15" hidden="false" customHeight="false" outlineLevel="0" collapsed="false">
      <c r="A706" s="11" t="s">
        <v>2113</v>
      </c>
      <c r="B706" s="11" t="s">
        <v>132</v>
      </c>
      <c r="C706" s="11" t="s">
        <v>36</v>
      </c>
      <c r="D706" s="11" t="s">
        <v>1422</v>
      </c>
      <c r="E706" s="11" t="s">
        <v>1473</v>
      </c>
      <c r="F706" s="11" t="s">
        <v>97</v>
      </c>
      <c r="G706" s="11" t="n">
        <v>0</v>
      </c>
      <c r="H706" s="34" t="n">
        <v>160</v>
      </c>
      <c r="I706" s="34" t="n">
        <v>108.079</v>
      </c>
      <c r="J706" s="34" t="n">
        <v>51.921</v>
      </c>
      <c r="K706" s="34" t="n">
        <v>51.9</v>
      </c>
      <c r="L706" s="11" t="s">
        <v>908</v>
      </c>
      <c r="M706" s="11" t="s">
        <v>1250</v>
      </c>
      <c r="N706" s="11" t="s">
        <v>1251</v>
      </c>
      <c r="O706" s="11" t="s">
        <v>2005</v>
      </c>
      <c r="P706" s="11" t="s">
        <v>1557</v>
      </c>
      <c r="Q706" s="25" t="n">
        <f aca="false">SUMIFS('Commentary drivers'!$D:$D,'Commentary drivers'!$A:$A,A706)</f>
        <v>51.921</v>
      </c>
      <c r="R706" s="25" t="n">
        <f aca="false">SUMIFS('Commentary drivers'!$E:$E,'Commentary drivers'!$A:$A,A706)</f>
        <v>51.9</v>
      </c>
      <c r="S706" s="49" t="str">
        <f aca="false">IF(AND(ROUND(Q706-J706,4)=0,ROUND(R706-K706,1)=0),"✓","✗")</f>
        <v>✓</v>
      </c>
    </row>
    <row r="707" customFormat="false" ht="15" hidden="false" customHeight="false" outlineLevel="0" collapsed="false">
      <c r="A707" s="11" t="s">
        <v>2114</v>
      </c>
      <c r="B707" s="11" t="s">
        <v>133</v>
      </c>
      <c r="C707" s="11" t="s">
        <v>38</v>
      </c>
      <c r="D707" s="11" t="s">
        <v>1248</v>
      </c>
      <c r="E707" s="11" t="s">
        <v>1249</v>
      </c>
      <c r="F707" s="11" t="s">
        <v>153</v>
      </c>
      <c r="G707" s="11" t="n">
        <v>0</v>
      </c>
      <c r="H707" s="34" t="n">
        <v>13819.355</v>
      </c>
      <c r="I707" s="34" t="n">
        <v>14255.958</v>
      </c>
      <c r="J707" s="34" t="n">
        <v>-436.603</v>
      </c>
      <c r="K707" s="34" t="n">
        <v>-436.6</v>
      </c>
      <c r="L707" s="11" t="s">
        <v>912</v>
      </c>
      <c r="M707" s="11" t="s">
        <v>1250</v>
      </c>
      <c r="N707" s="11" t="s">
        <v>1251</v>
      </c>
      <c r="O707" s="11" t="s">
        <v>2005</v>
      </c>
      <c r="P707" s="11" t="s">
        <v>1557</v>
      </c>
      <c r="Q707" s="25" t="n">
        <f aca="false">SUMIFS('Commentary drivers'!$D:$D,'Commentary drivers'!$A:$A,A707)</f>
        <v>-436.603</v>
      </c>
      <c r="R707" s="25" t="n">
        <f aca="false">SUMIFS('Commentary drivers'!$E:$E,'Commentary drivers'!$A:$A,A707)</f>
        <v>-436.6</v>
      </c>
      <c r="S707" s="49" t="str">
        <f aca="false">IF(AND(ROUND(Q707-J707,4)=0,ROUND(R707-K707,1)=0),"✓","✗")</f>
        <v>✓</v>
      </c>
    </row>
    <row r="708" customFormat="false" ht="15" hidden="false" customHeight="false" outlineLevel="0" collapsed="false">
      <c r="A708" s="11" t="s">
        <v>2115</v>
      </c>
      <c r="B708" s="11" t="s">
        <v>133</v>
      </c>
      <c r="C708" s="11" t="s">
        <v>38</v>
      </c>
      <c r="D708" s="11" t="s">
        <v>1248</v>
      </c>
      <c r="E708" s="11" t="s">
        <v>1255</v>
      </c>
      <c r="F708" s="11" t="s">
        <v>154</v>
      </c>
      <c r="G708" s="11" t="n">
        <v>0</v>
      </c>
      <c r="H708" s="34" t="n">
        <v>1330</v>
      </c>
      <c r="I708" s="34" t="n">
        <v>1360</v>
      </c>
      <c r="J708" s="34" t="n">
        <v>-30</v>
      </c>
      <c r="K708" s="34" t="n">
        <v>-30</v>
      </c>
      <c r="L708" s="11" t="s">
        <v>913</v>
      </c>
      <c r="M708" s="11" t="s">
        <v>1250</v>
      </c>
      <c r="N708" s="11" t="s">
        <v>1251</v>
      </c>
      <c r="O708" s="11" t="s">
        <v>2005</v>
      </c>
      <c r="P708" s="11" t="s">
        <v>1557</v>
      </c>
      <c r="Q708" s="25" t="n">
        <f aca="false">SUMIFS('Commentary drivers'!$D:$D,'Commentary drivers'!$A:$A,A708)</f>
        <v>-30</v>
      </c>
      <c r="R708" s="25" t="n">
        <f aca="false">SUMIFS('Commentary drivers'!$E:$E,'Commentary drivers'!$A:$A,A708)</f>
        <v>-30</v>
      </c>
      <c r="S708" s="49" t="str">
        <f aca="false">IF(AND(ROUND(Q708-J708,4)=0,ROUND(R708-K708,1)=0),"✓","✗")</f>
        <v>✓</v>
      </c>
    </row>
    <row r="709" customFormat="false" ht="15" hidden="false" customHeight="false" outlineLevel="0" collapsed="false">
      <c r="A709" s="11" t="s">
        <v>2116</v>
      </c>
      <c r="B709" s="11" t="s">
        <v>133</v>
      </c>
      <c r="C709" s="11" t="s">
        <v>38</v>
      </c>
      <c r="D709" s="11" t="s">
        <v>1248</v>
      </c>
      <c r="E709" s="11" t="s">
        <v>1257</v>
      </c>
      <c r="F709" s="11" t="s">
        <v>91</v>
      </c>
      <c r="G709" s="11" t="n">
        <v>0</v>
      </c>
      <c r="H709" s="34" t="n">
        <v>15149.355</v>
      </c>
      <c r="I709" s="34" t="n">
        <v>15615.958</v>
      </c>
      <c r="J709" s="34" t="n">
        <v>-466.603</v>
      </c>
      <c r="K709" s="34" t="n">
        <v>-466.6</v>
      </c>
      <c r="L709" s="11" t="s">
        <v>914</v>
      </c>
      <c r="M709" s="11" t="s">
        <v>1250</v>
      </c>
      <c r="N709" s="11" t="s">
        <v>1251</v>
      </c>
      <c r="O709" s="11" t="s">
        <v>2005</v>
      </c>
      <c r="P709" s="11" t="s">
        <v>1557</v>
      </c>
      <c r="Q709" s="25" t="n">
        <f aca="false">SUMIFS('Commentary drivers'!$D:$D,'Commentary drivers'!$A:$A,A709)</f>
        <v>-466.603</v>
      </c>
      <c r="R709" s="25" t="n">
        <f aca="false">SUMIFS('Commentary drivers'!$E:$E,'Commentary drivers'!$A:$A,A709)</f>
        <v>-466.6</v>
      </c>
      <c r="S709" s="49" t="str">
        <f aca="false">IF(AND(ROUND(Q709-J709,4)=0,ROUND(R709-K709,1)=0),"✓","✗")</f>
        <v>✓</v>
      </c>
    </row>
    <row r="710" customFormat="false" ht="15" hidden="false" customHeight="false" outlineLevel="0" collapsed="false">
      <c r="A710" s="11" t="s">
        <v>2117</v>
      </c>
      <c r="B710" s="11" t="s">
        <v>133</v>
      </c>
      <c r="C710" s="11" t="s">
        <v>38</v>
      </c>
      <c r="D710" s="11" t="s">
        <v>1248</v>
      </c>
      <c r="E710" s="11" t="s">
        <v>1259</v>
      </c>
      <c r="F710" s="11" t="s">
        <v>155</v>
      </c>
      <c r="G710" s="11" t="n">
        <v>0</v>
      </c>
      <c r="H710" s="34" t="n">
        <v>3984.62999</v>
      </c>
      <c r="I710" s="34" t="n">
        <v>4075.22119</v>
      </c>
      <c r="J710" s="34" t="n">
        <v>-90.5912</v>
      </c>
      <c r="K710" s="34" t="n">
        <v>-90.6</v>
      </c>
      <c r="L710" s="11" t="s">
        <v>915</v>
      </c>
      <c r="M710" s="11" t="s">
        <v>1250</v>
      </c>
      <c r="N710" s="11" t="s">
        <v>1251</v>
      </c>
      <c r="O710" s="11" t="s">
        <v>2005</v>
      </c>
      <c r="P710" s="11" t="s">
        <v>1557</v>
      </c>
      <c r="Q710" s="25" t="n">
        <f aca="false">SUMIFS('Commentary drivers'!$D:$D,'Commentary drivers'!$A:$A,A710)</f>
        <v>-90.5912</v>
      </c>
      <c r="R710" s="25" t="n">
        <f aca="false">SUMIFS('Commentary drivers'!$E:$E,'Commentary drivers'!$A:$A,A710)</f>
        <v>-90.6</v>
      </c>
      <c r="S710" s="49" t="str">
        <f aca="false">IF(AND(ROUND(Q710-J710,4)=0,ROUND(R710-K710,1)=0),"✓","✗")</f>
        <v>✓</v>
      </c>
    </row>
    <row r="711" customFormat="false" ht="15" hidden="false" customHeight="false" outlineLevel="0" collapsed="false">
      <c r="A711" s="11" t="s">
        <v>2118</v>
      </c>
      <c r="B711" s="11" t="s">
        <v>133</v>
      </c>
      <c r="C711" s="11" t="s">
        <v>38</v>
      </c>
      <c r="D711" s="11" t="s">
        <v>1248</v>
      </c>
      <c r="E711" s="11" t="s">
        <v>1261</v>
      </c>
      <c r="F711" s="11" t="s">
        <v>189</v>
      </c>
      <c r="G711" s="11" t="n">
        <v>1</v>
      </c>
      <c r="H711" s="34" t="n">
        <v>1005.5</v>
      </c>
      <c r="I711" s="34" t="n">
        <v>1008</v>
      </c>
      <c r="J711" s="34" t="n">
        <v>-2.5</v>
      </c>
      <c r="K711" s="34" t="n">
        <v>-2.5</v>
      </c>
      <c r="L711" s="11" t="s">
        <v>916</v>
      </c>
      <c r="M711" s="11" t="s">
        <v>1250</v>
      </c>
      <c r="N711" s="11" t="s">
        <v>1262</v>
      </c>
      <c r="O711" s="11"/>
      <c r="P711" s="11"/>
      <c r="Q711" s="25" t="n">
        <f aca="false">SUMIFS('Commentary drivers'!$D:$D,'Commentary drivers'!$A:$A,A711)</f>
        <v>-2.5</v>
      </c>
      <c r="R711" s="25" t="n">
        <f aca="false">SUMIFS('Commentary drivers'!$E:$E,'Commentary drivers'!$A:$A,A711)</f>
        <v>-2.5</v>
      </c>
      <c r="S711" s="49" t="str">
        <f aca="false">IF(AND(ROUND(Q711-J711,4)=0,ROUND(R711-K711,1)=0),"✓","✗")</f>
        <v>✓</v>
      </c>
    </row>
    <row r="712" customFormat="false" ht="15" hidden="false" customHeight="false" outlineLevel="0" collapsed="false">
      <c r="A712" s="11" t="s">
        <v>2119</v>
      </c>
      <c r="B712" s="11" t="s">
        <v>133</v>
      </c>
      <c r="C712" s="11" t="s">
        <v>38</v>
      </c>
      <c r="D712" s="11" t="s">
        <v>1248</v>
      </c>
      <c r="E712" s="11" t="s">
        <v>1264</v>
      </c>
      <c r="F712" s="11" t="s">
        <v>192</v>
      </c>
      <c r="G712" s="11" t="n">
        <v>1</v>
      </c>
      <c r="H712" s="34" t="n">
        <v>737.357</v>
      </c>
      <c r="I712" s="34" t="n">
        <v>791.57975</v>
      </c>
      <c r="J712" s="34" t="n">
        <v>-54.22275</v>
      </c>
      <c r="K712" s="34" t="n">
        <v>-54.2</v>
      </c>
      <c r="L712" s="11" t="s">
        <v>917</v>
      </c>
      <c r="M712" s="11" t="s">
        <v>1250</v>
      </c>
      <c r="N712" s="11" t="s">
        <v>1251</v>
      </c>
      <c r="O712" s="11" t="s">
        <v>2005</v>
      </c>
      <c r="P712" s="11" t="s">
        <v>1557</v>
      </c>
      <c r="Q712" s="25" t="n">
        <f aca="false">SUMIFS('Commentary drivers'!$D:$D,'Commentary drivers'!$A:$A,A712)</f>
        <v>-54.22275</v>
      </c>
      <c r="R712" s="25" t="n">
        <f aca="false">SUMIFS('Commentary drivers'!$E:$E,'Commentary drivers'!$A:$A,A712)</f>
        <v>-54.2</v>
      </c>
      <c r="S712" s="49" t="str">
        <f aca="false">IF(AND(ROUND(Q712-J712,4)=0,ROUND(R712-K712,1)=0),"✓","✗")</f>
        <v>✓</v>
      </c>
    </row>
    <row r="713" customFormat="false" ht="15" hidden="false" customHeight="false" outlineLevel="0" collapsed="false">
      <c r="A713" s="11" t="s">
        <v>2120</v>
      </c>
      <c r="B713" s="11" t="s">
        <v>133</v>
      </c>
      <c r="C713" s="11" t="s">
        <v>38</v>
      </c>
      <c r="D713" s="11" t="s">
        <v>1248</v>
      </c>
      <c r="E713" s="11" t="s">
        <v>1266</v>
      </c>
      <c r="F713" s="11" t="s">
        <v>195</v>
      </c>
      <c r="G713" s="11" t="n">
        <v>1</v>
      </c>
      <c r="H713" s="34" t="n">
        <v>693.392</v>
      </c>
      <c r="I713" s="34" t="n">
        <v>698.2311</v>
      </c>
      <c r="J713" s="34" t="n">
        <v>-4.8391</v>
      </c>
      <c r="K713" s="34" t="n">
        <v>-4.8</v>
      </c>
      <c r="L713" s="11" t="s">
        <v>918</v>
      </c>
      <c r="M713" s="11" t="s">
        <v>1250</v>
      </c>
      <c r="N713" s="11" t="s">
        <v>1262</v>
      </c>
      <c r="O713" s="11"/>
      <c r="P713" s="11"/>
      <c r="Q713" s="25" t="n">
        <f aca="false">SUMIFS('Commentary drivers'!$D:$D,'Commentary drivers'!$A:$A,A713)</f>
        <v>-4.8391</v>
      </c>
      <c r="R713" s="25" t="n">
        <f aca="false">SUMIFS('Commentary drivers'!$E:$E,'Commentary drivers'!$A:$A,A713)</f>
        <v>-4.8</v>
      </c>
      <c r="S713" s="49" t="str">
        <f aca="false">IF(AND(ROUND(Q713-J713,4)=0,ROUND(R713-K713,1)=0),"✓","✗")</f>
        <v>✓</v>
      </c>
    </row>
    <row r="714" customFormat="false" ht="15" hidden="false" customHeight="false" outlineLevel="0" collapsed="false">
      <c r="A714" s="11" t="s">
        <v>2121</v>
      </c>
      <c r="B714" s="11" t="s">
        <v>133</v>
      </c>
      <c r="C714" s="11" t="s">
        <v>38</v>
      </c>
      <c r="D714" s="11" t="s">
        <v>1248</v>
      </c>
      <c r="E714" s="11" t="s">
        <v>1268</v>
      </c>
      <c r="F714" s="11" t="s">
        <v>198</v>
      </c>
      <c r="G714" s="11" t="n">
        <v>1</v>
      </c>
      <c r="H714" s="34" t="n">
        <v>1149.201</v>
      </c>
      <c r="I714" s="34" t="n">
        <v>1142.997</v>
      </c>
      <c r="J714" s="34" t="n">
        <v>6.204</v>
      </c>
      <c r="K714" s="34" t="n">
        <v>6.2</v>
      </c>
      <c r="L714" s="11" t="s">
        <v>919</v>
      </c>
      <c r="M714" s="11" t="s">
        <v>1250</v>
      </c>
      <c r="N714" s="11" t="s">
        <v>1262</v>
      </c>
      <c r="O714" s="11"/>
      <c r="P714" s="11"/>
      <c r="Q714" s="25" t="n">
        <f aca="false">SUMIFS('Commentary drivers'!$D:$D,'Commentary drivers'!$A:$A,A714)</f>
        <v>6.204</v>
      </c>
      <c r="R714" s="25" t="n">
        <f aca="false">SUMIFS('Commentary drivers'!$E:$E,'Commentary drivers'!$A:$A,A714)</f>
        <v>6.2</v>
      </c>
      <c r="S714" s="49" t="str">
        <f aca="false">IF(AND(ROUND(Q714-J714,4)=0,ROUND(R714-K714,1)=0),"✓","✗")</f>
        <v>✓</v>
      </c>
    </row>
    <row r="715" customFormat="false" ht="15" hidden="false" customHeight="false" outlineLevel="0" collapsed="false">
      <c r="A715" s="11" t="s">
        <v>2122</v>
      </c>
      <c r="B715" s="11" t="s">
        <v>133</v>
      </c>
      <c r="C715" s="11" t="s">
        <v>38</v>
      </c>
      <c r="D715" s="11" t="s">
        <v>1248</v>
      </c>
      <c r="E715" s="11" t="s">
        <v>1270</v>
      </c>
      <c r="F715" s="11" t="s">
        <v>201</v>
      </c>
      <c r="G715" s="11" t="n">
        <v>1</v>
      </c>
      <c r="H715" s="34" t="n">
        <v>103.18</v>
      </c>
      <c r="I715" s="34" t="n">
        <v>120.08</v>
      </c>
      <c r="J715" s="34" t="n">
        <v>-16.9</v>
      </c>
      <c r="K715" s="34" t="n">
        <v>-16.9</v>
      </c>
      <c r="L715" s="11" t="s">
        <v>920</v>
      </c>
      <c r="M715" s="11" t="s">
        <v>1250</v>
      </c>
      <c r="N715" s="11" t="s">
        <v>1251</v>
      </c>
      <c r="O715" s="11" t="s">
        <v>2005</v>
      </c>
      <c r="P715" s="11" t="s">
        <v>1557</v>
      </c>
      <c r="Q715" s="25" t="n">
        <f aca="false">SUMIFS('Commentary drivers'!$D:$D,'Commentary drivers'!$A:$A,A715)</f>
        <v>-16.9</v>
      </c>
      <c r="R715" s="25" t="n">
        <f aca="false">SUMIFS('Commentary drivers'!$E:$E,'Commentary drivers'!$A:$A,A715)</f>
        <v>-16.9</v>
      </c>
      <c r="S715" s="49" t="str">
        <f aca="false">IF(AND(ROUND(Q715-J715,4)=0,ROUND(R715-K715,1)=0),"✓","✗")</f>
        <v>✓</v>
      </c>
    </row>
    <row r="716" customFormat="false" ht="15" hidden="false" customHeight="false" outlineLevel="0" collapsed="false">
      <c r="A716" s="11" t="s">
        <v>2123</v>
      </c>
      <c r="B716" s="11" t="s">
        <v>133</v>
      </c>
      <c r="C716" s="11" t="s">
        <v>38</v>
      </c>
      <c r="D716" s="11" t="s">
        <v>1248</v>
      </c>
      <c r="E716" s="11" t="s">
        <v>1272</v>
      </c>
      <c r="F716" s="11" t="s">
        <v>204</v>
      </c>
      <c r="G716" s="11" t="n">
        <v>1</v>
      </c>
      <c r="H716" s="34" t="n">
        <v>149.99999</v>
      </c>
      <c r="I716" s="34" t="n">
        <v>157.33334</v>
      </c>
      <c r="J716" s="34" t="n">
        <v>-7.33335</v>
      </c>
      <c r="K716" s="34" t="n">
        <v>-7.3</v>
      </c>
      <c r="L716" s="11" t="s">
        <v>921</v>
      </c>
      <c r="M716" s="11" t="s">
        <v>1250</v>
      </c>
      <c r="N716" s="11" t="s">
        <v>1262</v>
      </c>
      <c r="O716" s="11"/>
      <c r="P716" s="11"/>
      <c r="Q716" s="25" t="n">
        <f aca="false">SUMIFS('Commentary drivers'!$D:$D,'Commentary drivers'!$A:$A,A716)</f>
        <v>-7.33335</v>
      </c>
      <c r="R716" s="25" t="n">
        <f aca="false">SUMIFS('Commentary drivers'!$E:$E,'Commentary drivers'!$A:$A,A716)</f>
        <v>-7.3</v>
      </c>
      <c r="S716" s="49" t="str">
        <f aca="false">IF(AND(ROUND(Q716-J716,4)=0,ROUND(R716-K716,1)=0),"✓","✗")</f>
        <v>✓</v>
      </c>
    </row>
    <row r="717" customFormat="false" ht="15" hidden="false" customHeight="false" outlineLevel="0" collapsed="false">
      <c r="A717" s="11" t="s">
        <v>2124</v>
      </c>
      <c r="B717" s="11" t="s">
        <v>133</v>
      </c>
      <c r="C717" s="11" t="s">
        <v>38</v>
      </c>
      <c r="D717" s="11" t="s">
        <v>1248</v>
      </c>
      <c r="E717" s="11" t="s">
        <v>1274</v>
      </c>
      <c r="F717" s="11" t="s">
        <v>207</v>
      </c>
      <c r="G717" s="11" t="n">
        <v>1</v>
      </c>
      <c r="H717" s="34" t="n">
        <v>146</v>
      </c>
      <c r="I717" s="34" t="n">
        <v>157</v>
      </c>
      <c r="J717" s="34" t="n">
        <v>-11</v>
      </c>
      <c r="K717" s="34" t="n">
        <v>-11</v>
      </c>
      <c r="L717" s="11" t="s">
        <v>922</v>
      </c>
      <c r="M717" s="11" t="s">
        <v>1250</v>
      </c>
      <c r="N717" s="11" t="s">
        <v>1251</v>
      </c>
      <c r="O717" s="11" t="s">
        <v>2005</v>
      </c>
      <c r="P717" s="11" t="s">
        <v>1557</v>
      </c>
      <c r="Q717" s="25" t="n">
        <f aca="false">SUMIFS('Commentary drivers'!$D:$D,'Commentary drivers'!$A:$A,A717)</f>
        <v>-11</v>
      </c>
      <c r="R717" s="25" t="n">
        <f aca="false">SUMIFS('Commentary drivers'!$E:$E,'Commentary drivers'!$A:$A,A717)</f>
        <v>-11</v>
      </c>
      <c r="S717" s="49" t="str">
        <f aca="false">IF(AND(ROUND(Q717-J717,4)=0,ROUND(R717-K717,1)=0),"✓","✗")</f>
        <v>✓</v>
      </c>
    </row>
    <row r="718" customFormat="false" ht="15" hidden="false" customHeight="false" outlineLevel="0" collapsed="false">
      <c r="A718" s="11" t="s">
        <v>2125</v>
      </c>
      <c r="B718" s="11" t="s">
        <v>133</v>
      </c>
      <c r="C718" s="11" t="s">
        <v>38</v>
      </c>
      <c r="D718" s="11" t="s">
        <v>1248</v>
      </c>
      <c r="E718" s="11" t="s">
        <v>1276</v>
      </c>
      <c r="F718" s="11" t="s">
        <v>156</v>
      </c>
      <c r="G718" s="11" t="n">
        <v>0</v>
      </c>
      <c r="H718" s="34" t="n">
        <v>959.568</v>
      </c>
      <c r="I718" s="34" t="n">
        <v>958.98</v>
      </c>
      <c r="J718" s="34" t="n">
        <v>0.588</v>
      </c>
      <c r="K718" s="34" t="n">
        <v>0.6</v>
      </c>
      <c r="L718" s="11" t="s">
        <v>923</v>
      </c>
      <c r="M718" s="11" t="s">
        <v>1250</v>
      </c>
      <c r="N718" s="11" t="s">
        <v>1262</v>
      </c>
      <c r="O718" s="11"/>
      <c r="P718" s="11"/>
      <c r="Q718" s="25" t="n">
        <f aca="false">SUMIFS('Commentary drivers'!$D:$D,'Commentary drivers'!$A:$A,A718)</f>
        <v>0.588</v>
      </c>
      <c r="R718" s="25" t="n">
        <f aca="false">SUMIFS('Commentary drivers'!$E:$E,'Commentary drivers'!$A:$A,A718)</f>
        <v>0.6</v>
      </c>
      <c r="S718" s="49" t="str">
        <f aca="false">IF(AND(ROUND(Q718-J718,4)=0,ROUND(R718-K718,1)=0),"✓","✗")</f>
        <v>✓</v>
      </c>
    </row>
    <row r="719" customFormat="false" ht="15" hidden="false" customHeight="false" outlineLevel="0" collapsed="false">
      <c r="A719" s="11" t="s">
        <v>2126</v>
      </c>
      <c r="B719" s="11" t="s">
        <v>133</v>
      </c>
      <c r="C719" s="11" t="s">
        <v>38</v>
      </c>
      <c r="D719" s="11" t="s">
        <v>1248</v>
      </c>
      <c r="E719" s="11" t="s">
        <v>1278</v>
      </c>
      <c r="F719" s="11" t="s">
        <v>101</v>
      </c>
      <c r="G719" s="11" t="n">
        <v>0</v>
      </c>
      <c r="H719" s="34" t="n">
        <v>4944.19799</v>
      </c>
      <c r="I719" s="34" t="n">
        <v>5034.20119</v>
      </c>
      <c r="J719" s="34" t="n">
        <v>-90.0032</v>
      </c>
      <c r="K719" s="34" t="n">
        <v>-90</v>
      </c>
      <c r="L719" s="11" t="s">
        <v>924</v>
      </c>
      <c r="M719" s="11" t="s">
        <v>1250</v>
      </c>
      <c r="N719" s="11" t="s">
        <v>1251</v>
      </c>
      <c r="O719" s="11" t="s">
        <v>2005</v>
      </c>
      <c r="P719" s="11" t="s">
        <v>1557</v>
      </c>
      <c r="Q719" s="25" t="n">
        <f aca="false">SUMIFS('Commentary drivers'!$D:$D,'Commentary drivers'!$A:$A,A719)</f>
        <v>-90.0032</v>
      </c>
      <c r="R719" s="25" t="n">
        <f aca="false">SUMIFS('Commentary drivers'!$E:$E,'Commentary drivers'!$A:$A,A719)</f>
        <v>-90</v>
      </c>
      <c r="S719" s="49" t="str">
        <f aca="false">IF(AND(ROUND(Q719-J719,4)=0,ROUND(R719-K719,1)=0),"✓","✗")</f>
        <v>✓</v>
      </c>
    </row>
    <row r="720" customFormat="false" ht="15" hidden="false" customHeight="false" outlineLevel="0" collapsed="false">
      <c r="A720" s="11" t="s">
        <v>2127</v>
      </c>
      <c r="B720" s="11" t="s">
        <v>133</v>
      </c>
      <c r="C720" s="11" t="s">
        <v>38</v>
      </c>
      <c r="D720" s="11" t="s">
        <v>1248</v>
      </c>
      <c r="E720" s="11" t="s">
        <v>1280</v>
      </c>
      <c r="F720" s="11" t="s">
        <v>92</v>
      </c>
      <c r="G720" s="11" t="n">
        <v>0</v>
      </c>
      <c r="H720" s="34" t="n">
        <v>10205.15701</v>
      </c>
      <c r="I720" s="34" t="n">
        <v>10581.75681</v>
      </c>
      <c r="J720" s="34" t="n">
        <v>-376.5998</v>
      </c>
      <c r="K720" s="34" t="n">
        <v>-376.6</v>
      </c>
      <c r="L720" s="11" t="s">
        <v>925</v>
      </c>
      <c r="M720" s="11" t="s">
        <v>1250</v>
      </c>
      <c r="N720" s="11" t="s">
        <v>1251</v>
      </c>
      <c r="O720" s="11" t="s">
        <v>2005</v>
      </c>
      <c r="P720" s="11" t="s">
        <v>1557</v>
      </c>
      <c r="Q720" s="25" t="n">
        <f aca="false">SUMIFS('Commentary drivers'!$D:$D,'Commentary drivers'!$A:$A,A720)</f>
        <v>-376.5998</v>
      </c>
      <c r="R720" s="25" t="n">
        <f aca="false">SUMIFS('Commentary drivers'!$E:$E,'Commentary drivers'!$A:$A,A720)</f>
        <v>-376.6</v>
      </c>
      <c r="S720" s="49" t="str">
        <f aca="false">IF(AND(ROUND(Q720-J720,4)=0,ROUND(R720-K720,1)=0),"✓","✗")</f>
        <v>✓</v>
      </c>
    </row>
    <row r="721" customFormat="false" ht="15" hidden="false" customHeight="false" outlineLevel="0" collapsed="false">
      <c r="A721" s="11" t="s">
        <v>2128</v>
      </c>
      <c r="B721" s="11" t="s">
        <v>133</v>
      </c>
      <c r="C721" s="11" t="s">
        <v>38</v>
      </c>
      <c r="D721" s="11" t="s">
        <v>1248</v>
      </c>
      <c r="E721" s="11" t="s">
        <v>1282</v>
      </c>
      <c r="F721" s="11" t="s">
        <v>157</v>
      </c>
      <c r="G721" s="11" t="n">
        <v>0</v>
      </c>
      <c r="H721" s="34" t="n">
        <v>3061.53099</v>
      </c>
      <c r="I721" s="34" t="n">
        <v>3263.49257</v>
      </c>
      <c r="J721" s="34" t="n">
        <v>-201.96158</v>
      </c>
      <c r="K721" s="34" t="n">
        <v>-202</v>
      </c>
      <c r="L721" s="11" t="s">
        <v>926</v>
      </c>
      <c r="M721" s="11" t="s">
        <v>1250</v>
      </c>
      <c r="N721" s="11" t="s">
        <v>1251</v>
      </c>
      <c r="O721" s="11" t="s">
        <v>2005</v>
      </c>
      <c r="P721" s="11" t="s">
        <v>1557</v>
      </c>
      <c r="Q721" s="25" t="n">
        <f aca="false">SUMIFS('Commentary drivers'!$D:$D,'Commentary drivers'!$A:$A,A721)</f>
        <v>-201.96158</v>
      </c>
      <c r="R721" s="25" t="n">
        <f aca="false">SUMIFS('Commentary drivers'!$E:$E,'Commentary drivers'!$A:$A,A721)</f>
        <v>-202</v>
      </c>
      <c r="S721" s="49" t="str">
        <f aca="false">IF(AND(ROUND(Q721-J721,4)=0,ROUND(R721-K721,1)=0),"✓","✗")</f>
        <v>✓</v>
      </c>
    </row>
    <row r="722" customFormat="false" ht="15" hidden="false" customHeight="false" outlineLevel="0" collapsed="false">
      <c r="A722" s="11" t="s">
        <v>2129</v>
      </c>
      <c r="B722" s="11" t="s">
        <v>133</v>
      </c>
      <c r="C722" s="11" t="s">
        <v>38</v>
      </c>
      <c r="D722" s="11" t="s">
        <v>1248</v>
      </c>
      <c r="E722" s="11" t="s">
        <v>1284</v>
      </c>
      <c r="F722" s="11" t="s">
        <v>192</v>
      </c>
      <c r="G722" s="11" t="n">
        <v>1</v>
      </c>
      <c r="H722" s="34" t="n">
        <v>2212.071</v>
      </c>
      <c r="I722" s="34" t="n">
        <v>2374.73925</v>
      </c>
      <c r="J722" s="34" t="n">
        <v>-162.66825</v>
      </c>
      <c r="K722" s="34" t="n">
        <v>-162.7</v>
      </c>
      <c r="L722" s="11" t="s">
        <v>927</v>
      </c>
      <c r="M722" s="11" t="s">
        <v>1250</v>
      </c>
      <c r="N722" s="11" t="s">
        <v>1251</v>
      </c>
      <c r="O722" s="11" t="s">
        <v>2005</v>
      </c>
      <c r="P722" s="11" t="s">
        <v>1557</v>
      </c>
      <c r="Q722" s="25" t="n">
        <f aca="false">SUMIFS('Commentary drivers'!$D:$D,'Commentary drivers'!$A:$A,A722)</f>
        <v>-162.66825</v>
      </c>
      <c r="R722" s="25" t="n">
        <f aca="false">SUMIFS('Commentary drivers'!$E:$E,'Commentary drivers'!$A:$A,A722)</f>
        <v>-162.7</v>
      </c>
      <c r="S722" s="49" t="str">
        <f aca="false">IF(AND(ROUND(Q722-J722,4)=0,ROUND(R722-K722,1)=0),"✓","✗")</f>
        <v>✓</v>
      </c>
    </row>
    <row r="723" customFormat="false" ht="15" hidden="false" customHeight="false" outlineLevel="0" collapsed="false">
      <c r="A723" s="11" t="s">
        <v>2130</v>
      </c>
      <c r="B723" s="11" t="s">
        <v>133</v>
      </c>
      <c r="C723" s="11" t="s">
        <v>38</v>
      </c>
      <c r="D723" s="11" t="s">
        <v>1248</v>
      </c>
      <c r="E723" s="11" t="s">
        <v>1286</v>
      </c>
      <c r="F723" s="11" t="s">
        <v>189</v>
      </c>
      <c r="G723" s="11" t="n">
        <v>1</v>
      </c>
      <c r="H723" s="34" t="n">
        <v>306</v>
      </c>
      <c r="I723" s="34" t="n">
        <v>300</v>
      </c>
      <c r="J723" s="34" t="n">
        <v>6</v>
      </c>
      <c r="K723" s="34" t="n">
        <v>6</v>
      </c>
      <c r="L723" s="11" t="s">
        <v>928</v>
      </c>
      <c r="M723" s="11" t="s">
        <v>1250</v>
      </c>
      <c r="N723" s="11" t="s">
        <v>1262</v>
      </c>
      <c r="O723" s="11"/>
      <c r="P723" s="11"/>
      <c r="Q723" s="25" t="n">
        <f aca="false">SUMIFS('Commentary drivers'!$D:$D,'Commentary drivers'!$A:$A,A723)</f>
        <v>6</v>
      </c>
      <c r="R723" s="25" t="n">
        <f aca="false">SUMIFS('Commentary drivers'!$E:$E,'Commentary drivers'!$A:$A,A723)</f>
        <v>6</v>
      </c>
      <c r="S723" s="49" t="str">
        <f aca="false">IF(AND(ROUND(Q723-J723,4)=0,ROUND(R723-K723,1)=0),"✓","✗")</f>
        <v>✓</v>
      </c>
    </row>
    <row r="724" customFormat="false" ht="15" hidden="false" customHeight="false" outlineLevel="0" collapsed="false">
      <c r="A724" s="11" t="s">
        <v>2131</v>
      </c>
      <c r="B724" s="11" t="s">
        <v>133</v>
      </c>
      <c r="C724" s="11" t="s">
        <v>38</v>
      </c>
      <c r="D724" s="11" t="s">
        <v>1248</v>
      </c>
      <c r="E724" s="11" t="s">
        <v>1288</v>
      </c>
      <c r="F724" s="11" t="s">
        <v>201</v>
      </c>
      <c r="G724" s="11" t="n">
        <v>1</v>
      </c>
      <c r="H724" s="34" t="n">
        <v>174.46</v>
      </c>
      <c r="I724" s="34" t="n">
        <v>195.92</v>
      </c>
      <c r="J724" s="34" t="n">
        <v>-21.46</v>
      </c>
      <c r="K724" s="34" t="n">
        <v>-21.5</v>
      </c>
      <c r="L724" s="11" t="s">
        <v>929</v>
      </c>
      <c r="M724" s="11" t="s">
        <v>1250</v>
      </c>
      <c r="N724" s="11" t="s">
        <v>1251</v>
      </c>
      <c r="O724" s="11" t="s">
        <v>2005</v>
      </c>
      <c r="P724" s="11" t="s">
        <v>1557</v>
      </c>
      <c r="Q724" s="25" t="n">
        <f aca="false">SUMIFS('Commentary drivers'!$D:$D,'Commentary drivers'!$A:$A,A724)</f>
        <v>-21.46</v>
      </c>
      <c r="R724" s="25" t="n">
        <f aca="false">SUMIFS('Commentary drivers'!$E:$E,'Commentary drivers'!$A:$A,A724)</f>
        <v>-21.5</v>
      </c>
      <c r="S724" s="49" t="str">
        <f aca="false">IF(AND(ROUND(Q724-J724,4)=0,ROUND(R724-K724,1)=0),"✓","✗")</f>
        <v>✓</v>
      </c>
    </row>
    <row r="725" customFormat="false" ht="15" hidden="false" customHeight="false" outlineLevel="0" collapsed="false">
      <c r="A725" s="11" t="s">
        <v>2132</v>
      </c>
      <c r="B725" s="11" t="s">
        <v>133</v>
      </c>
      <c r="C725" s="11" t="s">
        <v>38</v>
      </c>
      <c r="D725" s="11" t="s">
        <v>1248</v>
      </c>
      <c r="E725" s="11" t="s">
        <v>1290</v>
      </c>
      <c r="F725" s="11" t="s">
        <v>204</v>
      </c>
      <c r="G725" s="11" t="n">
        <v>1</v>
      </c>
      <c r="H725" s="34" t="n">
        <v>149.99999</v>
      </c>
      <c r="I725" s="34" t="n">
        <v>157.33334</v>
      </c>
      <c r="J725" s="34" t="n">
        <v>-7.33335</v>
      </c>
      <c r="K725" s="34" t="n">
        <v>-7.3</v>
      </c>
      <c r="L725" s="11" t="s">
        <v>921</v>
      </c>
      <c r="M725" s="11" t="s">
        <v>1250</v>
      </c>
      <c r="N725" s="11" t="s">
        <v>1262</v>
      </c>
      <c r="O725" s="11"/>
      <c r="P725" s="11"/>
      <c r="Q725" s="25" t="n">
        <f aca="false">SUMIFS('Commentary drivers'!$D:$D,'Commentary drivers'!$A:$A,A725)</f>
        <v>-7.33335</v>
      </c>
      <c r="R725" s="25" t="n">
        <f aca="false">SUMIFS('Commentary drivers'!$E:$E,'Commentary drivers'!$A:$A,A725)</f>
        <v>-7.3</v>
      </c>
      <c r="S725" s="49" t="str">
        <f aca="false">IF(AND(ROUND(Q725-J725,4)=0,ROUND(R725-K725,1)=0),"✓","✗")</f>
        <v>✓</v>
      </c>
    </row>
    <row r="726" customFormat="false" ht="15" hidden="false" customHeight="false" outlineLevel="0" collapsed="false">
      <c r="A726" s="11" t="s">
        <v>2133</v>
      </c>
      <c r="B726" s="11" t="s">
        <v>133</v>
      </c>
      <c r="C726" s="11" t="s">
        <v>38</v>
      </c>
      <c r="D726" s="11" t="s">
        <v>1248</v>
      </c>
      <c r="E726" s="11" t="s">
        <v>1292</v>
      </c>
      <c r="F726" s="11" t="s">
        <v>207</v>
      </c>
      <c r="G726" s="11" t="n">
        <v>1</v>
      </c>
      <c r="H726" s="34" t="n">
        <v>219</v>
      </c>
      <c r="I726" s="34" t="n">
        <v>235.49998</v>
      </c>
      <c r="J726" s="34" t="n">
        <v>-16.49998</v>
      </c>
      <c r="K726" s="34" t="n">
        <v>-16.5</v>
      </c>
      <c r="L726" s="11" t="s">
        <v>930</v>
      </c>
      <c r="M726" s="11" t="s">
        <v>1250</v>
      </c>
      <c r="N726" s="11" t="s">
        <v>1251</v>
      </c>
      <c r="O726" s="11" t="s">
        <v>2005</v>
      </c>
      <c r="P726" s="11" t="s">
        <v>1557</v>
      </c>
      <c r="Q726" s="25" t="n">
        <f aca="false">SUMIFS('Commentary drivers'!$D:$D,'Commentary drivers'!$A:$A,A726)</f>
        <v>-16.49998</v>
      </c>
      <c r="R726" s="25" t="n">
        <f aca="false">SUMIFS('Commentary drivers'!$E:$E,'Commentary drivers'!$A:$A,A726)</f>
        <v>-16.5</v>
      </c>
      <c r="S726" s="49" t="str">
        <f aca="false">IF(AND(ROUND(Q726-J726,4)=0,ROUND(R726-K726,1)=0),"✓","✗")</f>
        <v>✓</v>
      </c>
    </row>
    <row r="727" customFormat="false" ht="15" hidden="false" customHeight="false" outlineLevel="0" collapsed="false">
      <c r="A727" s="11" t="s">
        <v>2134</v>
      </c>
      <c r="B727" s="11" t="s">
        <v>133</v>
      </c>
      <c r="C727" s="11" t="s">
        <v>38</v>
      </c>
      <c r="D727" s="11" t="s">
        <v>1248</v>
      </c>
      <c r="E727" s="11" t="s">
        <v>1294</v>
      </c>
      <c r="F727" s="11" t="s">
        <v>158</v>
      </c>
      <c r="G727" s="11" t="n">
        <v>0</v>
      </c>
      <c r="H727" s="34" t="n">
        <v>3496.90101</v>
      </c>
      <c r="I727" s="34" t="n">
        <v>3695.72856</v>
      </c>
      <c r="J727" s="34" t="n">
        <v>-198.82755</v>
      </c>
      <c r="K727" s="34" t="n">
        <v>-198.8</v>
      </c>
      <c r="L727" s="11" t="s">
        <v>931</v>
      </c>
      <c r="M727" s="11" t="s">
        <v>1250</v>
      </c>
      <c r="N727" s="11" t="s">
        <v>1251</v>
      </c>
      <c r="O727" s="11" t="s">
        <v>2005</v>
      </c>
      <c r="P727" s="11" t="s">
        <v>1557</v>
      </c>
      <c r="Q727" s="25" t="n">
        <f aca="false">SUMIFS('Commentary drivers'!$D:$D,'Commentary drivers'!$A:$A,A727)</f>
        <v>-198.82755</v>
      </c>
      <c r="R727" s="25" t="n">
        <f aca="false">SUMIFS('Commentary drivers'!$E:$E,'Commentary drivers'!$A:$A,A727)</f>
        <v>-198.8</v>
      </c>
      <c r="S727" s="49" t="str">
        <f aca="false">IF(AND(ROUND(Q727-J727,4)=0,ROUND(R727-K727,1)=0),"✓","✗")</f>
        <v>✓</v>
      </c>
    </row>
    <row r="728" customFormat="false" ht="15" hidden="false" customHeight="false" outlineLevel="0" collapsed="false">
      <c r="A728" s="11" t="s">
        <v>2135</v>
      </c>
      <c r="B728" s="11" t="s">
        <v>133</v>
      </c>
      <c r="C728" s="11" t="s">
        <v>38</v>
      </c>
      <c r="D728" s="11" t="s">
        <v>1248</v>
      </c>
      <c r="E728" s="11" t="s">
        <v>1296</v>
      </c>
      <c r="F728" s="11" t="s">
        <v>225</v>
      </c>
      <c r="G728" s="11" t="n">
        <v>1</v>
      </c>
      <c r="H728" s="34" t="n">
        <v>1714.173</v>
      </c>
      <c r="I728" s="34" t="n">
        <v>1807.22</v>
      </c>
      <c r="J728" s="34" t="n">
        <v>-93.047</v>
      </c>
      <c r="K728" s="34" t="n">
        <v>-93</v>
      </c>
      <c r="L728" s="11" t="s">
        <v>932</v>
      </c>
      <c r="M728" s="11" t="s">
        <v>1250</v>
      </c>
      <c r="N728" s="11" t="s">
        <v>1251</v>
      </c>
      <c r="O728" s="11" t="s">
        <v>2005</v>
      </c>
      <c r="P728" s="11" t="s">
        <v>1557</v>
      </c>
      <c r="Q728" s="25" t="n">
        <f aca="false">SUMIFS('Commentary drivers'!$D:$D,'Commentary drivers'!$A:$A,A728)</f>
        <v>-93.047</v>
      </c>
      <c r="R728" s="25" t="n">
        <f aca="false">SUMIFS('Commentary drivers'!$E:$E,'Commentary drivers'!$A:$A,A728)</f>
        <v>-93</v>
      </c>
      <c r="S728" s="49" t="str">
        <f aca="false">IF(AND(ROUND(Q728-J728,4)=0,ROUND(R728-K728,1)=0),"✓","✗")</f>
        <v>✓</v>
      </c>
    </row>
    <row r="729" customFormat="false" ht="15" hidden="false" customHeight="false" outlineLevel="0" collapsed="false">
      <c r="A729" s="11" t="s">
        <v>2136</v>
      </c>
      <c r="B729" s="11" t="s">
        <v>133</v>
      </c>
      <c r="C729" s="11" t="s">
        <v>38</v>
      </c>
      <c r="D729" s="11" t="s">
        <v>1248</v>
      </c>
      <c r="E729" s="11" t="s">
        <v>1298</v>
      </c>
      <c r="F729" s="11" t="s">
        <v>195</v>
      </c>
      <c r="G729" s="11" t="n">
        <v>1</v>
      </c>
      <c r="H729" s="34" t="n">
        <v>297.168</v>
      </c>
      <c r="I729" s="34" t="n">
        <v>299.2419</v>
      </c>
      <c r="J729" s="34" t="n">
        <v>-2.0739</v>
      </c>
      <c r="K729" s="34" t="n">
        <v>-2.1</v>
      </c>
      <c r="L729" s="11" t="s">
        <v>933</v>
      </c>
      <c r="M729" s="11" t="s">
        <v>1250</v>
      </c>
      <c r="N729" s="11" t="s">
        <v>1262</v>
      </c>
      <c r="O729" s="11"/>
      <c r="P729" s="11"/>
      <c r="Q729" s="25" t="n">
        <f aca="false">SUMIFS('Commentary drivers'!$D:$D,'Commentary drivers'!$A:$A,A729)</f>
        <v>-2.0739</v>
      </c>
      <c r="R729" s="25" t="n">
        <f aca="false">SUMIFS('Commentary drivers'!$E:$E,'Commentary drivers'!$A:$A,A729)</f>
        <v>-2.1</v>
      </c>
      <c r="S729" s="49" t="str">
        <f aca="false">IF(AND(ROUND(Q729-J729,4)=0,ROUND(R729-K729,1)=0),"✓","✗")</f>
        <v>✓</v>
      </c>
    </row>
    <row r="730" customFormat="false" ht="15" hidden="false" customHeight="false" outlineLevel="0" collapsed="false">
      <c r="A730" s="11" t="s">
        <v>2137</v>
      </c>
      <c r="B730" s="11" t="s">
        <v>133</v>
      </c>
      <c r="C730" s="11" t="s">
        <v>38</v>
      </c>
      <c r="D730" s="11" t="s">
        <v>1248</v>
      </c>
      <c r="E730" s="11" t="s">
        <v>1300</v>
      </c>
      <c r="F730" s="11" t="s">
        <v>230</v>
      </c>
      <c r="G730" s="11" t="n">
        <v>1</v>
      </c>
      <c r="H730" s="34" t="n">
        <v>701.5</v>
      </c>
      <c r="I730" s="34" t="n">
        <v>767</v>
      </c>
      <c r="J730" s="34" t="n">
        <v>-65.5</v>
      </c>
      <c r="K730" s="34" t="n">
        <v>-65.5</v>
      </c>
      <c r="L730" s="11" t="s">
        <v>934</v>
      </c>
      <c r="M730" s="11" t="s">
        <v>1250</v>
      </c>
      <c r="N730" s="11" t="s">
        <v>1251</v>
      </c>
      <c r="O730" s="11" t="s">
        <v>2005</v>
      </c>
      <c r="P730" s="11" t="s">
        <v>1557</v>
      </c>
      <c r="Q730" s="25" t="n">
        <f aca="false">SUMIFS('Commentary drivers'!$D:$D,'Commentary drivers'!$A:$A,A730)</f>
        <v>-65.5</v>
      </c>
      <c r="R730" s="25" t="n">
        <f aca="false">SUMIFS('Commentary drivers'!$E:$E,'Commentary drivers'!$A:$A,A730)</f>
        <v>-65.5</v>
      </c>
      <c r="S730" s="49" t="str">
        <f aca="false">IF(AND(ROUND(Q730-J730,4)=0,ROUND(R730-K730,1)=0),"✓","✗")</f>
        <v>✓</v>
      </c>
    </row>
    <row r="731" customFormat="false" ht="15" hidden="false" customHeight="false" outlineLevel="0" collapsed="false">
      <c r="A731" s="11" t="s">
        <v>2138</v>
      </c>
      <c r="B731" s="11" t="s">
        <v>133</v>
      </c>
      <c r="C731" s="11" t="s">
        <v>38</v>
      </c>
      <c r="D731" s="11" t="s">
        <v>1248</v>
      </c>
      <c r="E731" s="11" t="s">
        <v>1302</v>
      </c>
      <c r="F731" s="11" t="s">
        <v>233</v>
      </c>
      <c r="G731" s="11" t="n">
        <v>1</v>
      </c>
      <c r="H731" s="34" t="n">
        <v>289.5</v>
      </c>
      <c r="I731" s="34" t="n">
        <v>320</v>
      </c>
      <c r="J731" s="34" t="n">
        <v>-30.5</v>
      </c>
      <c r="K731" s="34" t="n">
        <v>-30.5</v>
      </c>
      <c r="L731" s="11" t="s">
        <v>935</v>
      </c>
      <c r="M731" s="11" t="s">
        <v>1250</v>
      </c>
      <c r="N731" s="11" t="s">
        <v>1251</v>
      </c>
      <c r="O731" s="11" t="s">
        <v>2005</v>
      </c>
      <c r="P731" s="11" t="s">
        <v>1557</v>
      </c>
      <c r="Q731" s="25" t="n">
        <f aca="false">SUMIFS('Commentary drivers'!$D:$D,'Commentary drivers'!$A:$A,A731)</f>
        <v>-30.5</v>
      </c>
      <c r="R731" s="25" t="n">
        <f aca="false">SUMIFS('Commentary drivers'!$E:$E,'Commentary drivers'!$A:$A,A731)</f>
        <v>-30.5</v>
      </c>
      <c r="S731" s="49" t="str">
        <f aca="false">IF(AND(ROUND(Q731-J731,4)=0,ROUND(R731-K731,1)=0),"✓","✗")</f>
        <v>✓</v>
      </c>
    </row>
    <row r="732" customFormat="false" ht="15" hidden="false" customHeight="false" outlineLevel="0" collapsed="false">
      <c r="A732" s="11" t="s">
        <v>2139</v>
      </c>
      <c r="B732" s="11" t="s">
        <v>133</v>
      </c>
      <c r="C732" s="11" t="s">
        <v>38</v>
      </c>
      <c r="D732" s="11" t="s">
        <v>1248</v>
      </c>
      <c r="E732" s="11" t="s">
        <v>1304</v>
      </c>
      <c r="F732" s="11" t="s">
        <v>189</v>
      </c>
      <c r="G732" s="11" t="n">
        <v>1</v>
      </c>
      <c r="H732" s="34" t="n">
        <v>84</v>
      </c>
      <c r="I732" s="34" t="n">
        <v>77</v>
      </c>
      <c r="J732" s="34" t="n">
        <v>7</v>
      </c>
      <c r="K732" s="34" t="n">
        <v>7</v>
      </c>
      <c r="L732" s="11" t="s">
        <v>936</v>
      </c>
      <c r="M732" s="11" t="s">
        <v>1250</v>
      </c>
      <c r="N732" s="11" t="s">
        <v>1262</v>
      </c>
      <c r="O732" s="11"/>
      <c r="P732" s="11"/>
      <c r="Q732" s="25" t="n">
        <f aca="false">SUMIFS('Commentary drivers'!$D:$D,'Commentary drivers'!$A:$A,A732)</f>
        <v>7</v>
      </c>
      <c r="R732" s="25" t="n">
        <f aca="false">SUMIFS('Commentary drivers'!$E:$E,'Commentary drivers'!$A:$A,A732)</f>
        <v>7</v>
      </c>
      <c r="S732" s="49" t="str">
        <f aca="false">IF(AND(ROUND(Q732-J732,4)=0,ROUND(R732-K732,1)=0),"✓","✗")</f>
        <v>✓</v>
      </c>
    </row>
    <row r="733" customFormat="false" ht="15" hidden="false" customHeight="false" outlineLevel="0" collapsed="false">
      <c r="A733" s="11" t="s">
        <v>2140</v>
      </c>
      <c r="B733" s="11" t="s">
        <v>133</v>
      </c>
      <c r="C733" s="11" t="s">
        <v>38</v>
      </c>
      <c r="D733" s="11" t="s">
        <v>1248</v>
      </c>
      <c r="E733" s="11" t="s">
        <v>1306</v>
      </c>
      <c r="F733" s="11" t="s">
        <v>201</v>
      </c>
      <c r="G733" s="11" t="n">
        <v>1</v>
      </c>
      <c r="H733" s="34" t="n">
        <v>189.56</v>
      </c>
      <c r="I733" s="34" t="n">
        <v>189.6</v>
      </c>
      <c r="J733" s="34" t="n">
        <v>-0.04</v>
      </c>
      <c r="K733" s="34" t="n">
        <v>0</v>
      </c>
      <c r="L733" s="11" t="s">
        <v>937</v>
      </c>
      <c r="M733" s="11" t="s">
        <v>1250</v>
      </c>
      <c r="N733" s="11" t="s">
        <v>1262</v>
      </c>
      <c r="O733" s="11"/>
      <c r="P733" s="11"/>
      <c r="Q733" s="25" t="n">
        <f aca="false">SUMIFS('Commentary drivers'!$D:$D,'Commentary drivers'!$A:$A,A733)</f>
        <v>-0.0400000000000009</v>
      </c>
      <c r="R733" s="25" t="n">
        <f aca="false">SUMIFS('Commentary drivers'!$E:$E,'Commentary drivers'!$A:$A,A733)</f>
        <v>0</v>
      </c>
      <c r="S733" s="49" t="str">
        <f aca="false">IF(AND(ROUND(Q733-J733,4)=0,ROUND(R733-K733,1)=0),"✓","✗")</f>
        <v>✓</v>
      </c>
    </row>
    <row r="734" customFormat="false" ht="15" hidden="false" customHeight="false" outlineLevel="0" collapsed="false">
      <c r="A734" s="11" t="s">
        <v>2141</v>
      </c>
      <c r="B734" s="11" t="s">
        <v>133</v>
      </c>
      <c r="C734" s="11" t="s">
        <v>38</v>
      </c>
      <c r="D734" s="11" t="s">
        <v>1248</v>
      </c>
      <c r="E734" s="11" t="s">
        <v>1308</v>
      </c>
      <c r="F734" s="11" t="s">
        <v>204</v>
      </c>
      <c r="G734" s="11" t="n">
        <v>1</v>
      </c>
      <c r="H734" s="34" t="n">
        <v>75.00001</v>
      </c>
      <c r="I734" s="34" t="n">
        <v>78.66666</v>
      </c>
      <c r="J734" s="34" t="n">
        <v>-3.66665</v>
      </c>
      <c r="K734" s="34" t="n">
        <v>-3.7</v>
      </c>
      <c r="L734" s="11" t="s">
        <v>938</v>
      </c>
      <c r="M734" s="11" t="s">
        <v>1250</v>
      </c>
      <c r="N734" s="11" t="s">
        <v>1262</v>
      </c>
      <c r="O734" s="11"/>
      <c r="P734" s="11"/>
      <c r="Q734" s="25" t="n">
        <f aca="false">SUMIFS('Commentary drivers'!$D:$D,'Commentary drivers'!$A:$A,A734)</f>
        <v>-3.66665</v>
      </c>
      <c r="R734" s="25" t="n">
        <f aca="false">SUMIFS('Commentary drivers'!$E:$E,'Commentary drivers'!$A:$A,A734)</f>
        <v>-3.7</v>
      </c>
      <c r="S734" s="49" t="str">
        <f aca="false">IF(AND(ROUND(Q734-J734,4)=0,ROUND(R734-K734,1)=0),"✓","✗")</f>
        <v>✓</v>
      </c>
    </row>
    <row r="735" customFormat="false" ht="15" hidden="false" customHeight="false" outlineLevel="0" collapsed="false">
      <c r="A735" s="11" t="s">
        <v>2142</v>
      </c>
      <c r="B735" s="11" t="s">
        <v>133</v>
      </c>
      <c r="C735" s="11" t="s">
        <v>38</v>
      </c>
      <c r="D735" s="11" t="s">
        <v>1248</v>
      </c>
      <c r="E735" s="11" t="s">
        <v>1310</v>
      </c>
      <c r="F735" s="11" t="s">
        <v>207</v>
      </c>
      <c r="G735" s="11" t="n">
        <v>1</v>
      </c>
      <c r="H735" s="34" t="n">
        <v>146</v>
      </c>
      <c r="I735" s="34" t="n">
        <v>157</v>
      </c>
      <c r="J735" s="34" t="n">
        <v>-11</v>
      </c>
      <c r="K735" s="34" t="n">
        <v>-11</v>
      </c>
      <c r="L735" s="11" t="s">
        <v>922</v>
      </c>
      <c r="M735" s="11" t="s">
        <v>1250</v>
      </c>
      <c r="N735" s="11" t="s">
        <v>1251</v>
      </c>
      <c r="O735" s="11" t="s">
        <v>2005</v>
      </c>
      <c r="P735" s="11" t="s">
        <v>1557</v>
      </c>
      <c r="Q735" s="25" t="n">
        <f aca="false">SUMIFS('Commentary drivers'!$D:$D,'Commentary drivers'!$A:$A,A735)</f>
        <v>-11</v>
      </c>
      <c r="R735" s="25" t="n">
        <f aca="false">SUMIFS('Commentary drivers'!$E:$E,'Commentary drivers'!$A:$A,A735)</f>
        <v>-11</v>
      </c>
      <c r="S735" s="49" t="str">
        <f aca="false">IF(AND(ROUND(Q735-J735,4)=0,ROUND(R735-K735,1)=0),"✓","✗")</f>
        <v>✓</v>
      </c>
    </row>
    <row r="736" customFormat="false" ht="15" hidden="false" customHeight="false" outlineLevel="0" collapsed="false">
      <c r="A736" s="11" t="s">
        <v>2143</v>
      </c>
      <c r="B736" s="11" t="s">
        <v>133</v>
      </c>
      <c r="C736" s="11" t="s">
        <v>38</v>
      </c>
      <c r="D736" s="11" t="s">
        <v>1248</v>
      </c>
      <c r="E736" s="11" t="s">
        <v>1312</v>
      </c>
      <c r="F736" s="11" t="s">
        <v>159</v>
      </c>
      <c r="G736" s="11" t="n">
        <v>0</v>
      </c>
      <c r="H736" s="34" t="n">
        <v>1537.80001</v>
      </c>
      <c r="I736" s="34" t="n">
        <v>1609.56668</v>
      </c>
      <c r="J736" s="34" t="n">
        <v>-71.76667</v>
      </c>
      <c r="K736" s="34" t="n">
        <v>-71.8</v>
      </c>
      <c r="L736" s="11" t="s">
        <v>939</v>
      </c>
      <c r="M736" s="11" t="s">
        <v>1250</v>
      </c>
      <c r="N736" s="11" t="s">
        <v>1251</v>
      </c>
      <c r="O736" s="11" t="s">
        <v>2005</v>
      </c>
      <c r="P736" s="11" t="s">
        <v>1557</v>
      </c>
      <c r="Q736" s="25" t="n">
        <f aca="false">SUMIFS('Commentary drivers'!$D:$D,'Commentary drivers'!$A:$A,A736)</f>
        <v>-71.76667</v>
      </c>
      <c r="R736" s="25" t="n">
        <f aca="false">SUMIFS('Commentary drivers'!$E:$E,'Commentary drivers'!$A:$A,A736)</f>
        <v>-71.8</v>
      </c>
      <c r="S736" s="49" t="str">
        <f aca="false">IF(AND(ROUND(Q736-J736,4)=0,ROUND(R736-K736,1)=0),"✓","✗")</f>
        <v>✓</v>
      </c>
    </row>
    <row r="737" customFormat="false" ht="15" hidden="false" customHeight="false" outlineLevel="0" collapsed="false">
      <c r="A737" s="11" t="s">
        <v>2144</v>
      </c>
      <c r="B737" s="11" t="s">
        <v>133</v>
      </c>
      <c r="C737" s="11" t="s">
        <v>38</v>
      </c>
      <c r="D737" s="11" t="s">
        <v>1248</v>
      </c>
      <c r="E737" s="11" t="s">
        <v>1314</v>
      </c>
      <c r="F737" s="11" t="s">
        <v>242</v>
      </c>
      <c r="G737" s="11" t="n">
        <v>1</v>
      </c>
      <c r="H737" s="34" t="n">
        <v>1273</v>
      </c>
      <c r="I737" s="34" t="n">
        <v>1326</v>
      </c>
      <c r="J737" s="34" t="n">
        <v>-53</v>
      </c>
      <c r="K737" s="34" t="n">
        <v>-53</v>
      </c>
      <c r="L737" s="11" t="s">
        <v>940</v>
      </c>
      <c r="M737" s="11" t="s">
        <v>1315</v>
      </c>
      <c r="N737" s="11" t="s">
        <v>1251</v>
      </c>
      <c r="O737" s="11" t="s">
        <v>2005</v>
      </c>
      <c r="P737" s="11" t="s">
        <v>1557</v>
      </c>
      <c r="Q737" s="25" t="n">
        <f aca="false">SUMIFS('Commentary drivers'!$D:$D,'Commentary drivers'!$A:$A,A737)</f>
        <v>-53</v>
      </c>
      <c r="R737" s="25" t="n">
        <f aca="false">SUMIFS('Commentary drivers'!$E:$E,'Commentary drivers'!$A:$A,A737)</f>
        <v>-53</v>
      </c>
      <c r="S737" s="49" t="str">
        <f aca="false">IF(AND(ROUND(Q737-J737,4)=0,ROUND(R737-K737,1)=0),"✓","✗")</f>
        <v>✓</v>
      </c>
    </row>
    <row r="738" customFormat="false" ht="15" hidden="false" customHeight="false" outlineLevel="0" collapsed="false">
      <c r="A738" s="11" t="s">
        <v>2145</v>
      </c>
      <c r="B738" s="11" t="s">
        <v>133</v>
      </c>
      <c r="C738" s="11" t="s">
        <v>38</v>
      </c>
      <c r="D738" s="11" t="s">
        <v>1248</v>
      </c>
      <c r="E738" s="11" t="s">
        <v>1317</v>
      </c>
      <c r="F738" s="11" t="s">
        <v>201</v>
      </c>
      <c r="G738" s="11" t="n">
        <v>1</v>
      </c>
      <c r="H738" s="34" t="n">
        <v>116.8</v>
      </c>
      <c r="I738" s="34" t="n">
        <v>126.4</v>
      </c>
      <c r="J738" s="34" t="n">
        <v>-9.6</v>
      </c>
      <c r="K738" s="34" t="n">
        <v>-9.6</v>
      </c>
      <c r="L738" s="11" t="s">
        <v>941</v>
      </c>
      <c r="M738" s="11" t="s">
        <v>1250</v>
      </c>
      <c r="N738" s="11" t="s">
        <v>1262</v>
      </c>
      <c r="O738" s="11"/>
      <c r="P738" s="11"/>
      <c r="Q738" s="25" t="n">
        <f aca="false">SUMIFS('Commentary drivers'!$D:$D,'Commentary drivers'!$A:$A,A738)</f>
        <v>-9.6</v>
      </c>
      <c r="R738" s="25" t="n">
        <f aca="false">SUMIFS('Commentary drivers'!$E:$E,'Commentary drivers'!$A:$A,A738)</f>
        <v>-9.6</v>
      </c>
      <c r="S738" s="49" t="str">
        <f aca="false">IF(AND(ROUND(Q738-J738,4)=0,ROUND(R738-K738,1)=0),"✓","✗")</f>
        <v>✓</v>
      </c>
    </row>
    <row r="739" customFormat="false" ht="15" hidden="false" customHeight="false" outlineLevel="0" collapsed="false">
      <c r="A739" s="11" t="s">
        <v>2146</v>
      </c>
      <c r="B739" s="11" t="s">
        <v>133</v>
      </c>
      <c r="C739" s="11" t="s">
        <v>38</v>
      </c>
      <c r="D739" s="11" t="s">
        <v>1248</v>
      </c>
      <c r="E739" s="11" t="s">
        <v>1319</v>
      </c>
      <c r="F739" s="11" t="s">
        <v>204</v>
      </c>
      <c r="G739" s="11" t="n">
        <v>1</v>
      </c>
      <c r="H739" s="34" t="n">
        <v>75.00001</v>
      </c>
      <c r="I739" s="34" t="n">
        <v>78.66666</v>
      </c>
      <c r="J739" s="34" t="n">
        <v>-3.66665</v>
      </c>
      <c r="K739" s="34" t="n">
        <v>-3.7</v>
      </c>
      <c r="L739" s="11" t="s">
        <v>938</v>
      </c>
      <c r="M739" s="11" t="s">
        <v>1250</v>
      </c>
      <c r="N739" s="11" t="s">
        <v>1262</v>
      </c>
      <c r="O739" s="11"/>
      <c r="P739" s="11"/>
      <c r="Q739" s="25" t="n">
        <f aca="false">SUMIFS('Commentary drivers'!$D:$D,'Commentary drivers'!$A:$A,A739)</f>
        <v>-3.66665</v>
      </c>
      <c r="R739" s="25" t="n">
        <f aca="false">SUMIFS('Commentary drivers'!$E:$E,'Commentary drivers'!$A:$A,A739)</f>
        <v>-3.7</v>
      </c>
      <c r="S739" s="49" t="str">
        <f aca="false">IF(AND(ROUND(Q739-J739,4)=0,ROUND(R739-K739,1)=0),"✓","✗")</f>
        <v>✓</v>
      </c>
    </row>
    <row r="740" customFormat="false" ht="15" hidden="false" customHeight="false" outlineLevel="0" collapsed="false">
      <c r="A740" s="11" t="s">
        <v>2147</v>
      </c>
      <c r="B740" s="11" t="s">
        <v>133</v>
      </c>
      <c r="C740" s="11" t="s">
        <v>38</v>
      </c>
      <c r="D740" s="11" t="s">
        <v>1248</v>
      </c>
      <c r="E740" s="11" t="s">
        <v>1321</v>
      </c>
      <c r="F740" s="11" t="s">
        <v>207</v>
      </c>
      <c r="G740" s="11" t="n">
        <v>1</v>
      </c>
      <c r="H740" s="34" t="n">
        <v>73</v>
      </c>
      <c r="I740" s="34" t="n">
        <v>78.50002</v>
      </c>
      <c r="J740" s="34" t="n">
        <v>-5.50002</v>
      </c>
      <c r="K740" s="34" t="n">
        <v>-5.5</v>
      </c>
      <c r="L740" s="11" t="s">
        <v>942</v>
      </c>
      <c r="M740" s="11" t="s">
        <v>1250</v>
      </c>
      <c r="N740" s="11" t="s">
        <v>1262</v>
      </c>
      <c r="O740" s="11"/>
      <c r="P740" s="11"/>
      <c r="Q740" s="25" t="n">
        <f aca="false">SUMIFS('Commentary drivers'!$D:$D,'Commentary drivers'!$A:$A,A740)</f>
        <v>-5.50002</v>
      </c>
      <c r="R740" s="25" t="n">
        <f aca="false">SUMIFS('Commentary drivers'!$E:$E,'Commentary drivers'!$A:$A,A740)</f>
        <v>-5.5</v>
      </c>
      <c r="S740" s="49" t="str">
        <f aca="false">IF(AND(ROUND(Q740-J740,4)=0,ROUND(R740-K740,1)=0),"✓","✗")</f>
        <v>✓</v>
      </c>
    </row>
    <row r="741" customFormat="false" ht="15" hidden="false" customHeight="false" outlineLevel="0" collapsed="false">
      <c r="A741" s="11" t="s">
        <v>2148</v>
      </c>
      <c r="B741" s="11" t="s">
        <v>133</v>
      </c>
      <c r="C741" s="11" t="s">
        <v>38</v>
      </c>
      <c r="D741" s="11" t="s">
        <v>1248</v>
      </c>
      <c r="E741" s="11" t="s">
        <v>1323</v>
      </c>
      <c r="F741" s="11" t="s">
        <v>95</v>
      </c>
      <c r="G741" s="11" t="n">
        <v>0</v>
      </c>
      <c r="H741" s="34" t="n">
        <v>8096.23201</v>
      </c>
      <c r="I741" s="34" t="n">
        <v>8568.78781</v>
      </c>
      <c r="J741" s="34" t="n">
        <v>-472.5558</v>
      </c>
      <c r="K741" s="34" t="n">
        <v>-472.6</v>
      </c>
      <c r="L741" s="11" t="s">
        <v>943</v>
      </c>
      <c r="M741" s="11" t="s">
        <v>1250</v>
      </c>
      <c r="N741" s="11" t="s">
        <v>1251</v>
      </c>
      <c r="O741" s="11" t="s">
        <v>2005</v>
      </c>
      <c r="P741" s="11" t="s">
        <v>1557</v>
      </c>
      <c r="Q741" s="25" t="n">
        <f aca="false">SUMIFS('Commentary drivers'!$D:$D,'Commentary drivers'!$A:$A,A741)</f>
        <v>-472.5558</v>
      </c>
      <c r="R741" s="25" t="n">
        <f aca="false">SUMIFS('Commentary drivers'!$E:$E,'Commentary drivers'!$A:$A,A741)</f>
        <v>-472.6</v>
      </c>
      <c r="S741" s="49" t="str">
        <f aca="false">IF(AND(ROUND(Q741-J741,4)=0,ROUND(R741-K741,1)=0),"✓","✗")</f>
        <v>✓</v>
      </c>
    </row>
    <row r="742" customFormat="false" ht="15" hidden="false" customHeight="false" outlineLevel="0" collapsed="false">
      <c r="A742" s="11" t="s">
        <v>2149</v>
      </c>
      <c r="B742" s="11" t="s">
        <v>133</v>
      </c>
      <c r="C742" s="11" t="s">
        <v>38</v>
      </c>
      <c r="D742" s="11" t="s">
        <v>1248</v>
      </c>
      <c r="E742" s="11" t="s">
        <v>1325</v>
      </c>
      <c r="F742" s="11" t="s">
        <v>96</v>
      </c>
      <c r="G742" s="11" t="n">
        <v>0</v>
      </c>
      <c r="H742" s="34" t="n">
        <v>2108.925</v>
      </c>
      <c r="I742" s="34" t="n">
        <v>2012.969</v>
      </c>
      <c r="J742" s="34" t="n">
        <v>95.956</v>
      </c>
      <c r="K742" s="34" t="n">
        <v>96</v>
      </c>
      <c r="L742" s="11" t="s">
        <v>944</v>
      </c>
      <c r="M742" s="11" t="s">
        <v>1250</v>
      </c>
      <c r="N742" s="11" t="s">
        <v>1251</v>
      </c>
      <c r="O742" s="11" t="s">
        <v>2005</v>
      </c>
      <c r="P742" s="11" t="s">
        <v>1557</v>
      </c>
      <c r="Q742" s="25" t="n">
        <f aca="false">SUMIFS('Commentary drivers'!$D:$D,'Commentary drivers'!$A:$A,A742)</f>
        <v>95.956</v>
      </c>
      <c r="R742" s="25" t="n">
        <f aca="false">SUMIFS('Commentary drivers'!$E:$E,'Commentary drivers'!$A:$A,A742)</f>
        <v>96</v>
      </c>
      <c r="S742" s="49" t="str">
        <f aca="false">IF(AND(ROUND(Q742-J742,4)=0,ROUND(R742-K742,1)=0),"✓","✗")</f>
        <v>✓</v>
      </c>
    </row>
    <row r="743" customFormat="false" ht="15" hidden="false" customHeight="false" outlineLevel="0" collapsed="false">
      <c r="A743" s="11" t="s">
        <v>2150</v>
      </c>
      <c r="B743" s="11" t="s">
        <v>133</v>
      </c>
      <c r="C743" s="11" t="s">
        <v>38</v>
      </c>
      <c r="D743" s="11" t="s">
        <v>1248</v>
      </c>
      <c r="E743" s="11" t="s">
        <v>1327</v>
      </c>
      <c r="F743" s="11" t="s">
        <v>160</v>
      </c>
      <c r="G743" s="11" t="n">
        <v>0</v>
      </c>
      <c r="H743" s="34" t="n">
        <v>89.5</v>
      </c>
      <c r="I743" s="34" t="n">
        <v>72</v>
      </c>
      <c r="J743" s="34" t="n">
        <v>17.5</v>
      </c>
      <c r="K743" s="34" t="n">
        <v>17.5</v>
      </c>
      <c r="L743" s="11" t="s">
        <v>945</v>
      </c>
      <c r="M743" s="11" t="s">
        <v>1250</v>
      </c>
      <c r="N743" s="11" t="s">
        <v>1251</v>
      </c>
      <c r="O743" s="11" t="s">
        <v>2005</v>
      </c>
      <c r="P743" s="11" t="s">
        <v>1557</v>
      </c>
      <c r="Q743" s="25" t="n">
        <f aca="false">SUMIFS('Commentary drivers'!$D:$D,'Commentary drivers'!$A:$A,A743)</f>
        <v>17.5</v>
      </c>
      <c r="R743" s="25" t="n">
        <f aca="false">SUMIFS('Commentary drivers'!$E:$E,'Commentary drivers'!$A:$A,A743)</f>
        <v>17.5</v>
      </c>
      <c r="S743" s="49" t="str">
        <f aca="false">IF(AND(ROUND(Q743-J743,4)=0,ROUND(R743-K743,1)=0),"✓","✗")</f>
        <v>✓</v>
      </c>
    </row>
    <row r="744" customFormat="false" ht="15" hidden="false" customHeight="false" outlineLevel="0" collapsed="false">
      <c r="A744" s="11" t="s">
        <v>2151</v>
      </c>
      <c r="B744" s="11" t="s">
        <v>133</v>
      </c>
      <c r="C744" s="11" t="s">
        <v>38</v>
      </c>
      <c r="D744" s="11" t="s">
        <v>1248</v>
      </c>
      <c r="E744" s="11" t="s">
        <v>1329</v>
      </c>
      <c r="F744" s="11" t="s">
        <v>161</v>
      </c>
      <c r="G744" s="11" t="n">
        <v>0</v>
      </c>
      <c r="H744" s="34" t="n">
        <v>242.5</v>
      </c>
      <c r="I744" s="34" t="n">
        <v>244</v>
      </c>
      <c r="J744" s="34" t="n">
        <v>-1.5</v>
      </c>
      <c r="K744" s="34" t="n">
        <v>-1.5</v>
      </c>
      <c r="L744" s="11" t="s">
        <v>946</v>
      </c>
      <c r="M744" s="11" t="s">
        <v>1250</v>
      </c>
      <c r="N744" s="11" t="s">
        <v>1262</v>
      </c>
      <c r="O744" s="11"/>
      <c r="P744" s="11"/>
      <c r="Q744" s="25" t="n">
        <f aca="false">SUMIFS('Commentary drivers'!$D:$D,'Commentary drivers'!$A:$A,A744)</f>
        <v>-1.5</v>
      </c>
      <c r="R744" s="25" t="n">
        <f aca="false">SUMIFS('Commentary drivers'!$E:$E,'Commentary drivers'!$A:$A,A744)</f>
        <v>-1.5</v>
      </c>
      <c r="S744" s="49" t="str">
        <f aca="false">IF(AND(ROUND(Q744-J744,4)=0,ROUND(R744-K744,1)=0),"✓","✗")</f>
        <v>✓</v>
      </c>
    </row>
    <row r="745" customFormat="false" ht="15" hidden="false" customHeight="false" outlineLevel="0" collapsed="false">
      <c r="A745" s="11" t="s">
        <v>2152</v>
      </c>
      <c r="B745" s="11" t="s">
        <v>133</v>
      </c>
      <c r="C745" s="11" t="s">
        <v>38</v>
      </c>
      <c r="D745" s="11" t="s">
        <v>1248</v>
      </c>
      <c r="E745" s="11" t="s">
        <v>1331</v>
      </c>
      <c r="F745" s="11" t="s">
        <v>162</v>
      </c>
      <c r="G745" s="11" t="n">
        <v>0</v>
      </c>
      <c r="H745" s="34" t="n">
        <v>1955.925</v>
      </c>
      <c r="I745" s="34" t="n">
        <v>1840.969</v>
      </c>
      <c r="J745" s="34" t="n">
        <v>114.956</v>
      </c>
      <c r="K745" s="34" t="n">
        <v>115</v>
      </c>
      <c r="L745" s="11" t="s">
        <v>947</v>
      </c>
      <c r="M745" s="11" t="s">
        <v>1250</v>
      </c>
      <c r="N745" s="11" t="s">
        <v>1251</v>
      </c>
      <c r="O745" s="11" t="s">
        <v>2005</v>
      </c>
      <c r="P745" s="11" t="s">
        <v>1557</v>
      </c>
      <c r="Q745" s="25" t="n">
        <f aca="false">SUMIFS('Commentary drivers'!$D:$D,'Commentary drivers'!$A:$A,A745)</f>
        <v>114.956</v>
      </c>
      <c r="R745" s="25" t="n">
        <f aca="false">SUMIFS('Commentary drivers'!$E:$E,'Commentary drivers'!$A:$A,A745)</f>
        <v>115</v>
      </c>
      <c r="S745" s="49" t="str">
        <f aca="false">IF(AND(ROUND(Q745-J745,4)=0,ROUND(R745-K745,1)=0),"✓","✗")</f>
        <v>✓</v>
      </c>
    </row>
    <row r="746" customFormat="false" ht="15" hidden="false" customHeight="false" outlineLevel="0" collapsed="false">
      <c r="A746" s="11" t="s">
        <v>2153</v>
      </c>
      <c r="B746" s="11" t="s">
        <v>133</v>
      </c>
      <c r="C746" s="11" t="s">
        <v>38</v>
      </c>
      <c r="D746" s="11" t="s">
        <v>1248</v>
      </c>
      <c r="E746" s="11" t="s">
        <v>1333</v>
      </c>
      <c r="F746" s="11" t="s">
        <v>126</v>
      </c>
      <c r="G746" s="11" t="n">
        <v>0</v>
      </c>
      <c r="H746" s="34" t="n">
        <v>260.5</v>
      </c>
      <c r="I746" s="34" t="n">
        <v>300</v>
      </c>
      <c r="J746" s="34" t="n">
        <v>-39.5</v>
      </c>
      <c r="K746" s="34" t="n">
        <v>-39.5</v>
      </c>
      <c r="L746" s="11" t="s">
        <v>948</v>
      </c>
      <c r="M746" s="11" t="s">
        <v>1250</v>
      </c>
      <c r="N746" s="11" t="s">
        <v>1251</v>
      </c>
      <c r="O746" s="11" t="s">
        <v>2005</v>
      </c>
      <c r="P746" s="11" t="s">
        <v>1557</v>
      </c>
      <c r="Q746" s="25" t="n">
        <f aca="false">SUMIFS('Commentary drivers'!$D:$D,'Commentary drivers'!$A:$A,A746)</f>
        <v>-39.5</v>
      </c>
      <c r="R746" s="25" t="n">
        <f aca="false">SUMIFS('Commentary drivers'!$E:$E,'Commentary drivers'!$A:$A,A746)</f>
        <v>-39.5</v>
      </c>
      <c r="S746" s="49" t="str">
        <f aca="false">IF(AND(ROUND(Q746-J746,4)=0,ROUND(R746-K746,1)=0),"✓","✗")</f>
        <v>✓</v>
      </c>
    </row>
    <row r="747" customFormat="false" ht="15" hidden="false" customHeight="false" outlineLevel="0" collapsed="false">
      <c r="A747" s="11" t="s">
        <v>2154</v>
      </c>
      <c r="B747" s="11" t="s">
        <v>133</v>
      </c>
      <c r="C747" s="11" t="s">
        <v>38</v>
      </c>
      <c r="D747" s="11" t="s">
        <v>1248</v>
      </c>
      <c r="E747" s="11" t="s">
        <v>1335</v>
      </c>
      <c r="F747" s="11" t="s">
        <v>97</v>
      </c>
      <c r="G747" s="11" t="n">
        <v>0</v>
      </c>
      <c r="H747" s="34" t="n">
        <v>1695.425</v>
      </c>
      <c r="I747" s="34" t="n">
        <v>1540.969</v>
      </c>
      <c r="J747" s="34" t="n">
        <v>154.456</v>
      </c>
      <c r="K747" s="34" t="n">
        <v>154.5</v>
      </c>
      <c r="L747" s="11" t="s">
        <v>949</v>
      </c>
      <c r="M747" s="11" t="s">
        <v>1250</v>
      </c>
      <c r="N747" s="11" t="s">
        <v>1251</v>
      </c>
      <c r="O747" s="11" t="s">
        <v>2005</v>
      </c>
      <c r="P747" s="11" t="s">
        <v>1557</v>
      </c>
      <c r="Q747" s="25" t="n">
        <f aca="false">SUMIFS('Commentary drivers'!$D:$D,'Commentary drivers'!$A:$A,A747)</f>
        <v>154.456</v>
      </c>
      <c r="R747" s="25" t="n">
        <f aca="false">SUMIFS('Commentary drivers'!$E:$E,'Commentary drivers'!$A:$A,A747)</f>
        <v>154.5</v>
      </c>
      <c r="S747" s="49" t="str">
        <f aca="false">IF(AND(ROUND(Q747-J747,4)=0,ROUND(R747-K747,1)=0),"✓","✗")</f>
        <v>✓</v>
      </c>
    </row>
    <row r="748" customFormat="false" ht="15" hidden="false" customHeight="false" outlineLevel="0" collapsed="false">
      <c r="A748" s="11" t="s">
        <v>2155</v>
      </c>
      <c r="B748" s="11" t="s">
        <v>133</v>
      </c>
      <c r="C748" s="11" t="s">
        <v>38</v>
      </c>
      <c r="D748" s="11" t="s">
        <v>1337</v>
      </c>
      <c r="E748" s="11" t="s">
        <v>1338</v>
      </c>
      <c r="F748" s="11" t="s">
        <v>153</v>
      </c>
      <c r="G748" s="11" t="n">
        <v>0</v>
      </c>
      <c r="H748" s="34" t="n">
        <v>13819.355</v>
      </c>
      <c r="I748" s="34" t="n">
        <v>14255.958</v>
      </c>
      <c r="J748" s="34" t="n">
        <v>-436.603</v>
      </c>
      <c r="K748" s="34" t="n">
        <v>-436.6</v>
      </c>
      <c r="L748" s="11" t="s">
        <v>912</v>
      </c>
      <c r="M748" s="11" t="s">
        <v>1250</v>
      </c>
      <c r="N748" s="11" t="s">
        <v>1251</v>
      </c>
      <c r="O748" s="11" t="s">
        <v>2005</v>
      </c>
      <c r="P748" s="11" t="s">
        <v>1557</v>
      </c>
      <c r="Q748" s="25" t="n">
        <f aca="false">SUMIFS('Commentary drivers'!$D:$D,'Commentary drivers'!$A:$A,A748)</f>
        <v>-436.603</v>
      </c>
      <c r="R748" s="25" t="n">
        <f aca="false">SUMIFS('Commentary drivers'!$E:$E,'Commentary drivers'!$A:$A,A748)</f>
        <v>-436.6</v>
      </c>
      <c r="S748" s="49" t="str">
        <f aca="false">IF(AND(ROUND(Q748-J748,4)=0,ROUND(R748-K748,1)=0),"✓","✗")</f>
        <v>✓</v>
      </c>
    </row>
    <row r="749" customFormat="false" ht="15" hidden="false" customHeight="false" outlineLevel="0" collapsed="false">
      <c r="A749" s="11" t="s">
        <v>2156</v>
      </c>
      <c r="B749" s="11" t="s">
        <v>133</v>
      </c>
      <c r="C749" s="11" t="s">
        <v>38</v>
      </c>
      <c r="D749" s="11" t="s">
        <v>1337</v>
      </c>
      <c r="E749" s="11" t="s">
        <v>1340</v>
      </c>
      <c r="F749" s="11" t="s">
        <v>154</v>
      </c>
      <c r="G749" s="11" t="n">
        <v>0</v>
      </c>
      <c r="H749" s="34" t="n">
        <v>1330</v>
      </c>
      <c r="I749" s="34" t="n">
        <v>1360</v>
      </c>
      <c r="J749" s="34" t="n">
        <v>-30</v>
      </c>
      <c r="K749" s="34" t="n">
        <v>-30</v>
      </c>
      <c r="L749" s="11" t="s">
        <v>913</v>
      </c>
      <c r="M749" s="11" t="s">
        <v>1250</v>
      </c>
      <c r="N749" s="11" t="s">
        <v>1251</v>
      </c>
      <c r="O749" s="11" t="s">
        <v>2005</v>
      </c>
      <c r="P749" s="11" t="s">
        <v>1557</v>
      </c>
      <c r="Q749" s="25" t="n">
        <f aca="false">SUMIFS('Commentary drivers'!$D:$D,'Commentary drivers'!$A:$A,A749)</f>
        <v>-30</v>
      </c>
      <c r="R749" s="25" t="n">
        <f aca="false">SUMIFS('Commentary drivers'!$E:$E,'Commentary drivers'!$A:$A,A749)</f>
        <v>-30</v>
      </c>
      <c r="S749" s="49" t="str">
        <f aca="false">IF(AND(ROUND(Q749-J749,4)=0,ROUND(R749-K749,1)=0),"✓","✗")</f>
        <v>✓</v>
      </c>
    </row>
    <row r="750" customFormat="false" ht="15" hidden="false" customHeight="false" outlineLevel="0" collapsed="false">
      <c r="A750" s="11" t="s">
        <v>2157</v>
      </c>
      <c r="B750" s="11" t="s">
        <v>133</v>
      </c>
      <c r="C750" s="11" t="s">
        <v>38</v>
      </c>
      <c r="D750" s="11" t="s">
        <v>1337</v>
      </c>
      <c r="E750" s="11" t="s">
        <v>1342</v>
      </c>
      <c r="F750" s="11" t="s">
        <v>91</v>
      </c>
      <c r="G750" s="11" t="n">
        <v>0</v>
      </c>
      <c r="H750" s="34" t="n">
        <v>15149.355</v>
      </c>
      <c r="I750" s="34" t="n">
        <v>15615.958</v>
      </c>
      <c r="J750" s="34" t="n">
        <v>-466.603</v>
      </c>
      <c r="K750" s="34" t="n">
        <v>-466.6</v>
      </c>
      <c r="L750" s="11" t="s">
        <v>914</v>
      </c>
      <c r="M750" s="11" t="s">
        <v>1250</v>
      </c>
      <c r="N750" s="11" t="s">
        <v>1251</v>
      </c>
      <c r="O750" s="11" t="s">
        <v>2005</v>
      </c>
      <c r="P750" s="11" t="s">
        <v>1557</v>
      </c>
      <c r="Q750" s="25" t="n">
        <f aca="false">SUMIFS('Commentary drivers'!$D:$D,'Commentary drivers'!$A:$A,A750)</f>
        <v>-466.603</v>
      </c>
      <c r="R750" s="25" t="n">
        <f aca="false">SUMIFS('Commentary drivers'!$E:$E,'Commentary drivers'!$A:$A,A750)</f>
        <v>-466.6</v>
      </c>
      <c r="S750" s="49" t="str">
        <f aca="false">IF(AND(ROUND(Q750-J750,4)=0,ROUND(R750-K750,1)=0),"✓","✗")</f>
        <v>✓</v>
      </c>
    </row>
    <row r="751" customFormat="false" ht="15" hidden="false" customHeight="false" outlineLevel="0" collapsed="false">
      <c r="A751" s="11" t="s">
        <v>2158</v>
      </c>
      <c r="B751" s="11" t="s">
        <v>133</v>
      </c>
      <c r="C751" s="11" t="s">
        <v>38</v>
      </c>
      <c r="D751" s="11" t="s">
        <v>1337</v>
      </c>
      <c r="E751" s="11" t="s">
        <v>1344</v>
      </c>
      <c r="F751" s="11" t="s">
        <v>164</v>
      </c>
      <c r="G751" s="11" t="n">
        <v>0</v>
      </c>
      <c r="H751" s="34" t="n">
        <v>4013.82999</v>
      </c>
      <c r="I751" s="34" t="n">
        <v>4106.82119</v>
      </c>
      <c r="J751" s="34" t="n">
        <v>-92.9912</v>
      </c>
      <c r="K751" s="34" t="n">
        <v>-93</v>
      </c>
      <c r="L751" s="11" t="s">
        <v>950</v>
      </c>
      <c r="M751" s="11" t="s">
        <v>1250</v>
      </c>
      <c r="N751" s="11" t="s">
        <v>1251</v>
      </c>
      <c r="O751" s="11" t="s">
        <v>2005</v>
      </c>
      <c r="P751" s="11" t="s">
        <v>1557</v>
      </c>
      <c r="Q751" s="25" t="n">
        <f aca="false">SUMIFS('Commentary drivers'!$D:$D,'Commentary drivers'!$A:$A,A751)</f>
        <v>-92.9912</v>
      </c>
      <c r="R751" s="25" t="n">
        <f aca="false">SUMIFS('Commentary drivers'!$E:$E,'Commentary drivers'!$A:$A,A751)</f>
        <v>-93</v>
      </c>
      <c r="S751" s="49" t="str">
        <f aca="false">IF(AND(ROUND(Q751-J751,4)=0,ROUND(R751-K751,1)=0),"✓","✗")</f>
        <v>✓</v>
      </c>
    </row>
    <row r="752" customFormat="false" ht="15" hidden="false" customHeight="false" outlineLevel="0" collapsed="false">
      <c r="A752" s="11" t="s">
        <v>2159</v>
      </c>
      <c r="B752" s="11" t="s">
        <v>133</v>
      </c>
      <c r="C752" s="11" t="s">
        <v>38</v>
      </c>
      <c r="D752" s="11" t="s">
        <v>1337</v>
      </c>
      <c r="E752" s="11" t="s">
        <v>1346</v>
      </c>
      <c r="F752" s="11" t="s">
        <v>257</v>
      </c>
      <c r="G752" s="11" t="n">
        <v>1</v>
      </c>
      <c r="H752" s="34" t="n">
        <v>1005.5</v>
      </c>
      <c r="I752" s="34" t="n">
        <v>1008</v>
      </c>
      <c r="J752" s="34" t="n">
        <v>-2.5</v>
      </c>
      <c r="K752" s="34" t="n">
        <v>-2.5</v>
      </c>
      <c r="L752" s="11" t="s">
        <v>951</v>
      </c>
      <c r="M752" s="11" t="s">
        <v>1250</v>
      </c>
      <c r="N752" s="11" t="s">
        <v>1262</v>
      </c>
      <c r="O752" s="11"/>
      <c r="P752" s="11"/>
      <c r="Q752" s="25" t="n">
        <f aca="false">SUMIFS('Commentary drivers'!$D:$D,'Commentary drivers'!$A:$A,A752)</f>
        <v>-2.5</v>
      </c>
      <c r="R752" s="25" t="n">
        <f aca="false">SUMIFS('Commentary drivers'!$E:$E,'Commentary drivers'!$A:$A,A752)</f>
        <v>-2.5</v>
      </c>
      <c r="S752" s="49" t="str">
        <f aca="false">IF(AND(ROUND(Q752-J752,4)=0,ROUND(R752-K752,1)=0),"✓","✗")</f>
        <v>✓</v>
      </c>
    </row>
    <row r="753" customFormat="false" ht="15" hidden="false" customHeight="false" outlineLevel="0" collapsed="false">
      <c r="A753" s="11" t="s">
        <v>2160</v>
      </c>
      <c r="B753" s="11" t="s">
        <v>133</v>
      </c>
      <c r="C753" s="11" t="s">
        <v>38</v>
      </c>
      <c r="D753" s="11" t="s">
        <v>1337</v>
      </c>
      <c r="E753" s="11" t="s">
        <v>1348</v>
      </c>
      <c r="F753" s="11" t="s">
        <v>259</v>
      </c>
      <c r="G753" s="11" t="n">
        <v>1</v>
      </c>
      <c r="H753" s="34" t="n">
        <v>737.357</v>
      </c>
      <c r="I753" s="34" t="n">
        <v>791.57975</v>
      </c>
      <c r="J753" s="34" t="n">
        <v>-54.22275</v>
      </c>
      <c r="K753" s="34" t="n">
        <v>-54.2</v>
      </c>
      <c r="L753" s="11" t="s">
        <v>952</v>
      </c>
      <c r="M753" s="11" t="s">
        <v>1250</v>
      </c>
      <c r="N753" s="11" t="s">
        <v>1251</v>
      </c>
      <c r="O753" s="11" t="s">
        <v>2005</v>
      </c>
      <c r="P753" s="11" t="s">
        <v>1557</v>
      </c>
      <c r="Q753" s="25" t="n">
        <f aca="false">SUMIFS('Commentary drivers'!$D:$D,'Commentary drivers'!$A:$A,A753)</f>
        <v>-54.22275</v>
      </c>
      <c r="R753" s="25" t="n">
        <f aca="false">SUMIFS('Commentary drivers'!$E:$E,'Commentary drivers'!$A:$A,A753)</f>
        <v>-54.2</v>
      </c>
      <c r="S753" s="49" t="str">
        <f aca="false">IF(AND(ROUND(Q753-J753,4)=0,ROUND(R753-K753,1)=0),"✓","✗")</f>
        <v>✓</v>
      </c>
    </row>
    <row r="754" customFormat="false" ht="15" hidden="false" customHeight="false" outlineLevel="0" collapsed="false">
      <c r="A754" s="11" t="s">
        <v>2161</v>
      </c>
      <c r="B754" s="11" t="s">
        <v>133</v>
      </c>
      <c r="C754" s="11" t="s">
        <v>38</v>
      </c>
      <c r="D754" s="11" t="s">
        <v>1337</v>
      </c>
      <c r="E754" s="11" t="s">
        <v>1350</v>
      </c>
      <c r="F754" s="11" t="s">
        <v>261</v>
      </c>
      <c r="G754" s="11" t="n">
        <v>1</v>
      </c>
      <c r="H754" s="34" t="n">
        <v>1149.201</v>
      </c>
      <c r="I754" s="34" t="n">
        <v>1142.997</v>
      </c>
      <c r="J754" s="34" t="n">
        <v>6.204</v>
      </c>
      <c r="K754" s="34" t="n">
        <v>6.2</v>
      </c>
      <c r="L754" s="11" t="s">
        <v>953</v>
      </c>
      <c r="M754" s="11" t="s">
        <v>1250</v>
      </c>
      <c r="N754" s="11" t="s">
        <v>1262</v>
      </c>
      <c r="O754" s="11"/>
      <c r="P754" s="11"/>
      <c r="Q754" s="25" t="n">
        <f aca="false">SUMIFS('Commentary drivers'!$D:$D,'Commentary drivers'!$A:$A,A754)</f>
        <v>6.204</v>
      </c>
      <c r="R754" s="25" t="n">
        <f aca="false">SUMIFS('Commentary drivers'!$E:$E,'Commentary drivers'!$A:$A,A754)</f>
        <v>6.2</v>
      </c>
      <c r="S754" s="49" t="str">
        <f aca="false">IF(AND(ROUND(Q754-J754,4)=0,ROUND(R754-K754,1)=0),"✓","✗")</f>
        <v>✓</v>
      </c>
    </row>
    <row r="755" customFormat="false" ht="15" hidden="false" customHeight="false" outlineLevel="0" collapsed="false">
      <c r="A755" s="11" t="s">
        <v>2162</v>
      </c>
      <c r="B755" s="11" t="s">
        <v>133</v>
      </c>
      <c r="C755" s="11" t="s">
        <v>38</v>
      </c>
      <c r="D755" s="11" t="s">
        <v>1337</v>
      </c>
      <c r="E755" s="11" t="s">
        <v>1352</v>
      </c>
      <c r="F755" s="11" t="s">
        <v>263</v>
      </c>
      <c r="G755" s="11" t="n">
        <v>1</v>
      </c>
      <c r="H755" s="34" t="n">
        <v>693.392</v>
      </c>
      <c r="I755" s="34" t="n">
        <v>698.2311</v>
      </c>
      <c r="J755" s="34" t="n">
        <v>-4.8391</v>
      </c>
      <c r="K755" s="34" t="n">
        <v>-4.8</v>
      </c>
      <c r="L755" s="11" t="s">
        <v>954</v>
      </c>
      <c r="M755" s="11" t="s">
        <v>1250</v>
      </c>
      <c r="N755" s="11" t="s">
        <v>1262</v>
      </c>
      <c r="O755" s="11"/>
      <c r="P755" s="11"/>
      <c r="Q755" s="25" t="n">
        <f aca="false">SUMIFS('Commentary drivers'!$D:$D,'Commentary drivers'!$A:$A,A755)</f>
        <v>-4.8391</v>
      </c>
      <c r="R755" s="25" t="n">
        <f aca="false">SUMIFS('Commentary drivers'!$E:$E,'Commentary drivers'!$A:$A,A755)</f>
        <v>-4.8</v>
      </c>
      <c r="S755" s="49" t="str">
        <f aca="false">IF(AND(ROUND(Q755-J755,4)=0,ROUND(R755-K755,1)=0),"✓","✗")</f>
        <v>✓</v>
      </c>
    </row>
    <row r="756" customFormat="false" ht="15" hidden="false" customHeight="false" outlineLevel="0" collapsed="false">
      <c r="A756" s="11" t="s">
        <v>2163</v>
      </c>
      <c r="B756" s="11" t="s">
        <v>133</v>
      </c>
      <c r="C756" s="11" t="s">
        <v>38</v>
      </c>
      <c r="D756" s="11" t="s">
        <v>1337</v>
      </c>
      <c r="E756" s="11" t="s">
        <v>1354</v>
      </c>
      <c r="F756" s="11" t="s">
        <v>265</v>
      </c>
      <c r="G756" s="11" t="n">
        <v>1</v>
      </c>
      <c r="H756" s="34" t="n">
        <v>132.38</v>
      </c>
      <c r="I756" s="34" t="n">
        <v>151.68</v>
      </c>
      <c r="J756" s="34" t="n">
        <v>-19.3</v>
      </c>
      <c r="K756" s="34" t="n">
        <v>-19.3</v>
      </c>
      <c r="L756" s="11" t="s">
        <v>955</v>
      </c>
      <c r="M756" s="11" t="s">
        <v>1250</v>
      </c>
      <c r="N756" s="11" t="s">
        <v>1251</v>
      </c>
      <c r="O756" s="11" t="s">
        <v>2005</v>
      </c>
      <c r="P756" s="11" t="s">
        <v>1557</v>
      </c>
      <c r="Q756" s="25" t="n">
        <f aca="false">SUMIFS('Commentary drivers'!$D:$D,'Commentary drivers'!$A:$A,A756)</f>
        <v>-19.3</v>
      </c>
      <c r="R756" s="25" t="n">
        <f aca="false">SUMIFS('Commentary drivers'!$E:$E,'Commentary drivers'!$A:$A,A756)</f>
        <v>-19.3</v>
      </c>
      <c r="S756" s="49" t="str">
        <f aca="false">IF(AND(ROUND(Q756-J756,4)=0,ROUND(R756-K756,1)=0),"✓","✗")</f>
        <v>✓</v>
      </c>
    </row>
    <row r="757" customFormat="false" ht="15" hidden="false" customHeight="false" outlineLevel="0" collapsed="false">
      <c r="A757" s="11" t="s">
        <v>2164</v>
      </c>
      <c r="B757" s="11" t="s">
        <v>133</v>
      </c>
      <c r="C757" s="11" t="s">
        <v>38</v>
      </c>
      <c r="D757" s="11" t="s">
        <v>1337</v>
      </c>
      <c r="E757" s="11" t="s">
        <v>1356</v>
      </c>
      <c r="F757" s="11" t="s">
        <v>267</v>
      </c>
      <c r="G757" s="11" t="n">
        <v>1</v>
      </c>
      <c r="H757" s="34" t="n">
        <v>149.99999</v>
      </c>
      <c r="I757" s="34" t="n">
        <v>157.33334</v>
      </c>
      <c r="J757" s="34" t="n">
        <v>-7.33335</v>
      </c>
      <c r="K757" s="34" t="n">
        <v>-7.3</v>
      </c>
      <c r="L757" s="11" t="s">
        <v>956</v>
      </c>
      <c r="M757" s="11" t="s">
        <v>1250</v>
      </c>
      <c r="N757" s="11" t="s">
        <v>1262</v>
      </c>
      <c r="O757" s="11"/>
      <c r="P757" s="11"/>
      <c r="Q757" s="25" t="n">
        <f aca="false">SUMIFS('Commentary drivers'!$D:$D,'Commentary drivers'!$A:$A,A757)</f>
        <v>-7.33335</v>
      </c>
      <c r="R757" s="25" t="n">
        <f aca="false">SUMIFS('Commentary drivers'!$E:$E,'Commentary drivers'!$A:$A,A757)</f>
        <v>-7.3</v>
      </c>
      <c r="S757" s="49" t="str">
        <f aca="false">IF(AND(ROUND(Q757-J757,4)=0,ROUND(R757-K757,1)=0),"✓","✗")</f>
        <v>✓</v>
      </c>
    </row>
    <row r="758" customFormat="false" ht="15" hidden="false" customHeight="false" outlineLevel="0" collapsed="false">
      <c r="A758" s="11" t="s">
        <v>2165</v>
      </c>
      <c r="B758" s="11" t="s">
        <v>133</v>
      </c>
      <c r="C758" s="11" t="s">
        <v>38</v>
      </c>
      <c r="D758" s="11" t="s">
        <v>1337</v>
      </c>
      <c r="E758" s="11" t="s">
        <v>1358</v>
      </c>
      <c r="F758" s="11" t="s">
        <v>269</v>
      </c>
      <c r="G758" s="11" t="n">
        <v>1</v>
      </c>
      <c r="H758" s="34" t="n">
        <v>146</v>
      </c>
      <c r="I758" s="34" t="n">
        <v>157</v>
      </c>
      <c r="J758" s="34" t="n">
        <v>-11</v>
      </c>
      <c r="K758" s="34" t="n">
        <v>-11</v>
      </c>
      <c r="L758" s="11" t="s">
        <v>957</v>
      </c>
      <c r="M758" s="11" t="s">
        <v>1250</v>
      </c>
      <c r="N758" s="11" t="s">
        <v>1251</v>
      </c>
      <c r="O758" s="11" t="s">
        <v>2005</v>
      </c>
      <c r="P758" s="11" t="s">
        <v>1557</v>
      </c>
      <c r="Q758" s="25" t="n">
        <f aca="false">SUMIFS('Commentary drivers'!$D:$D,'Commentary drivers'!$A:$A,A758)</f>
        <v>-11</v>
      </c>
      <c r="R758" s="25" t="n">
        <f aca="false">SUMIFS('Commentary drivers'!$E:$E,'Commentary drivers'!$A:$A,A758)</f>
        <v>-11</v>
      </c>
      <c r="S758" s="49" t="str">
        <f aca="false">IF(AND(ROUND(Q758-J758,4)=0,ROUND(R758-K758,1)=0),"✓","✗")</f>
        <v>✓</v>
      </c>
    </row>
    <row r="759" customFormat="false" ht="15" hidden="false" customHeight="false" outlineLevel="0" collapsed="false">
      <c r="A759" s="11" t="s">
        <v>2166</v>
      </c>
      <c r="B759" s="11" t="s">
        <v>133</v>
      </c>
      <c r="C759" s="11" t="s">
        <v>38</v>
      </c>
      <c r="D759" s="11" t="s">
        <v>1337</v>
      </c>
      <c r="E759" s="11" t="s">
        <v>1360</v>
      </c>
      <c r="F759" s="11" t="s">
        <v>165</v>
      </c>
      <c r="G759" s="11" t="n">
        <v>0</v>
      </c>
      <c r="H759" s="34" t="n">
        <v>959.568</v>
      </c>
      <c r="I759" s="34" t="n">
        <v>958.98</v>
      </c>
      <c r="J759" s="34" t="n">
        <v>0.588</v>
      </c>
      <c r="K759" s="34" t="n">
        <v>0.6</v>
      </c>
      <c r="L759" s="11" t="s">
        <v>958</v>
      </c>
      <c r="M759" s="11" t="s">
        <v>1250</v>
      </c>
      <c r="N759" s="11" t="s">
        <v>1251</v>
      </c>
      <c r="O759" s="11" t="s">
        <v>2005</v>
      </c>
      <c r="P759" s="11" t="s">
        <v>1557</v>
      </c>
      <c r="Q759" s="25" t="n">
        <f aca="false">SUMIFS('Commentary drivers'!$D:$D,'Commentary drivers'!$A:$A,A759)</f>
        <v>0.588</v>
      </c>
      <c r="R759" s="25" t="n">
        <f aca="false">SUMIFS('Commentary drivers'!$E:$E,'Commentary drivers'!$A:$A,A759)</f>
        <v>0.6</v>
      </c>
      <c r="S759" s="49" t="str">
        <f aca="false">IF(AND(ROUND(Q759-J759,4)=0,ROUND(R759-K759,1)=0),"✓","✗")</f>
        <v>✓</v>
      </c>
    </row>
    <row r="760" customFormat="false" ht="15" hidden="false" customHeight="false" outlineLevel="0" collapsed="false">
      <c r="A760" s="11" t="s">
        <v>2167</v>
      </c>
      <c r="B760" s="11" t="s">
        <v>133</v>
      </c>
      <c r="C760" s="11" t="s">
        <v>38</v>
      </c>
      <c r="D760" s="11" t="s">
        <v>1337</v>
      </c>
      <c r="E760" s="11" t="s">
        <v>1362</v>
      </c>
      <c r="F760" s="11" t="s">
        <v>272</v>
      </c>
      <c r="G760" s="11" t="n">
        <v>1</v>
      </c>
      <c r="H760" s="34" t="n">
        <v>959.568</v>
      </c>
      <c r="I760" s="34" t="n">
        <v>958.98</v>
      </c>
      <c r="J760" s="34" t="n">
        <v>0.588</v>
      </c>
      <c r="K760" s="34" t="n">
        <v>0.6</v>
      </c>
      <c r="L760" s="11" t="s">
        <v>959</v>
      </c>
      <c r="M760" s="11" t="s">
        <v>1250</v>
      </c>
      <c r="N760" s="11" t="s">
        <v>1262</v>
      </c>
      <c r="O760" s="11"/>
      <c r="P760" s="11"/>
      <c r="Q760" s="25" t="n">
        <f aca="false">SUMIFS('Commentary drivers'!$D:$D,'Commentary drivers'!$A:$A,A760)</f>
        <v>0.588</v>
      </c>
      <c r="R760" s="25" t="n">
        <f aca="false">SUMIFS('Commentary drivers'!$E:$E,'Commentary drivers'!$A:$A,A760)</f>
        <v>0.6</v>
      </c>
      <c r="S760" s="49" t="str">
        <f aca="false">IF(AND(ROUND(Q760-J760,4)=0,ROUND(R760-K760,1)=0),"✓","✗")</f>
        <v>✓</v>
      </c>
    </row>
    <row r="761" customFormat="false" ht="15" hidden="false" customHeight="false" outlineLevel="0" collapsed="false">
      <c r="A761" s="11" t="s">
        <v>2168</v>
      </c>
      <c r="B761" s="11" t="s">
        <v>133</v>
      </c>
      <c r="C761" s="11" t="s">
        <v>38</v>
      </c>
      <c r="D761" s="11" t="s">
        <v>1337</v>
      </c>
      <c r="E761" s="11" t="s">
        <v>1364</v>
      </c>
      <c r="F761" s="11" t="s">
        <v>166</v>
      </c>
      <c r="G761" s="11" t="n">
        <v>0</v>
      </c>
      <c r="H761" s="34" t="n">
        <v>4973.39799</v>
      </c>
      <c r="I761" s="34" t="n">
        <v>5065.80119</v>
      </c>
      <c r="J761" s="34" t="n">
        <v>-92.4032</v>
      </c>
      <c r="K761" s="34" t="n">
        <v>-92.4</v>
      </c>
      <c r="L761" s="11" t="s">
        <v>960</v>
      </c>
      <c r="M761" s="11" t="s">
        <v>1250</v>
      </c>
      <c r="N761" s="11" t="s">
        <v>1251</v>
      </c>
      <c r="O761" s="11" t="s">
        <v>2005</v>
      </c>
      <c r="P761" s="11" t="s">
        <v>1557</v>
      </c>
      <c r="Q761" s="25" t="n">
        <f aca="false">SUMIFS('Commentary drivers'!$D:$D,'Commentary drivers'!$A:$A,A761)</f>
        <v>-92.4032</v>
      </c>
      <c r="R761" s="25" t="n">
        <f aca="false">SUMIFS('Commentary drivers'!$E:$E,'Commentary drivers'!$A:$A,A761)</f>
        <v>-92.4</v>
      </c>
      <c r="S761" s="49" t="str">
        <f aca="false">IF(AND(ROUND(Q761-J761,4)=0,ROUND(R761-K761,1)=0),"✓","✗")</f>
        <v>✓</v>
      </c>
    </row>
    <row r="762" customFormat="false" ht="15" hidden="false" customHeight="false" outlineLevel="0" collapsed="false">
      <c r="A762" s="11" t="s">
        <v>2169</v>
      </c>
      <c r="B762" s="11" t="s">
        <v>133</v>
      </c>
      <c r="C762" s="11" t="s">
        <v>38</v>
      </c>
      <c r="D762" s="11" t="s">
        <v>1337</v>
      </c>
      <c r="E762" s="11" t="s">
        <v>1366</v>
      </c>
      <c r="F762" s="11" t="s">
        <v>167</v>
      </c>
      <c r="G762" s="11" t="n">
        <v>0</v>
      </c>
      <c r="H762" s="34" t="n">
        <v>10175.95701</v>
      </c>
      <c r="I762" s="34" t="n">
        <v>10550.15681</v>
      </c>
      <c r="J762" s="34" t="n">
        <v>-374.1998</v>
      </c>
      <c r="K762" s="34" t="n">
        <v>-374.2</v>
      </c>
      <c r="L762" s="11" t="s">
        <v>961</v>
      </c>
      <c r="M762" s="11" t="s">
        <v>1250</v>
      </c>
      <c r="N762" s="11" t="s">
        <v>1251</v>
      </c>
      <c r="O762" s="11" t="s">
        <v>2005</v>
      </c>
      <c r="P762" s="11" t="s">
        <v>1557</v>
      </c>
      <c r="Q762" s="25" t="n">
        <f aca="false">SUMIFS('Commentary drivers'!$D:$D,'Commentary drivers'!$A:$A,A762)</f>
        <v>-374.1998</v>
      </c>
      <c r="R762" s="25" t="n">
        <f aca="false">SUMIFS('Commentary drivers'!$E:$E,'Commentary drivers'!$A:$A,A762)</f>
        <v>-374.2</v>
      </c>
      <c r="S762" s="49" t="str">
        <f aca="false">IF(AND(ROUND(Q762-J762,4)=0,ROUND(R762-K762,1)=0),"✓","✗")</f>
        <v>✓</v>
      </c>
    </row>
    <row r="763" customFormat="false" ht="15" hidden="false" customHeight="false" outlineLevel="0" collapsed="false">
      <c r="A763" s="11" t="s">
        <v>2170</v>
      </c>
      <c r="B763" s="11" t="s">
        <v>133</v>
      </c>
      <c r="C763" s="11" t="s">
        <v>38</v>
      </c>
      <c r="D763" s="11" t="s">
        <v>1337</v>
      </c>
      <c r="E763" s="11" t="s">
        <v>1368</v>
      </c>
      <c r="F763" s="11" t="s">
        <v>168</v>
      </c>
      <c r="G763" s="11" t="n">
        <v>0</v>
      </c>
      <c r="H763" s="34" t="n">
        <v>3086.341</v>
      </c>
      <c r="I763" s="34" t="n">
        <v>3270.4619</v>
      </c>
      <c r="J763" s="34" t="n">
        <v>-184.1209</v>
      </c>
      <c r="K763" s="34" t="n">
        <v>-184.1</v>
      </c>
      <c r="L763" s="11" t="s">
        <v>962</v>
      </c>
      <c r="M763" s="11" t="s">
        <v>1250</v>
      </c>
      <c r="N763" s="11" t="s">
        <v>1251</v>
      </c>
      <c r="O763" s="11" t="s">
        <v>2005</v>
      </c>
      <c r="P763" s="11" t="s">
        <v>1557</v>
      </c>
      <c r="Q763" s="25" t="n">
        <f aca="false">SUMIFS('Commentary drivers'!$D:$D,'Commentary drivers'!$A:$A,A763)</f>
        <v>-184.1209</v>
      </c>
      <c r="R763" s="25" t="n">
        <f aca="false">SUMIFS('Commentary drivers'!$E:$E,'Commentary drivers'!$A:$A,A763)</f>
        <v>-184.1</v>
      </c>
      <c r="S763" s="49" t="str">
        <f aca="false">IF(AND(ROUND(Q763-J763,4)=0,ROUND(R763-K763,1)=0),"✓","✗")</f>
        <v>✓</v>
      </c>
    </row>
    <row r="764" customFormat="false" ht="15" hidden="false" customHeight="false" outlineLevel="0" collapsed="false">
      <c r="A764" s="11" t="s">
        <v>2171</v>
      </c>
      <c r="B764" s="11" t="s">
        <v>133</v>
      </c>
      <c r="C764" s="11" t="s">
        <v>38</v>
      </c>
      <c r="D764" s="11" t="s">
        <v>1337</v>
      </c>
      <c r="E764" s="11" t="s">
        <v>1370</v>
      </c>
      <c r="F764" s="11" t="s">
        <v>278</v>
      </c>
      <c r="G764" s="11" t="n">
        <v>1</v>
      </c>
      <c r="H764" s="34" t="n">
        <v>1714.173</v>
      </c>
      <c r="I764" s="34" t="n">
        <v>1807.22</v>
      </c>
      <c r="J764" s="34" t="n">
        <v>-93.047</v>
      </c>
      <c r="K764" s="34" t="n">
        <v>-93</v>
      </c>
      <c r="L764" s="11" t="s">
        <v>963</v>
      </c>
      <c r="M764" s="11" t="s">
        <v>1250</v>
      </c>
      <c r="N764" s="11" t="s">
        <v>1251</v>
      </c>
      <c r="O764" s="11" t="s">
        <v>2005</v>
      </c>
      <c r="P764" s="11" t="s">
        <v>1557</v>
      </c>
      <c r="Q764" s="25" t="n">
        <f aca="false">SUMIFS('Commentary drivers'!$D:$D,'Commentary drivers'!$A:$A,A764)</f>
        <v>-93.047</v>
      </c>
      <c r="R764" s="25" t="n">
        <f aca="false">SUMIFS('Commentary drivers'!$E:$E,'Commentary drivers'!$A:$A,A764)</f>
        <v>-93</v>
      </c>
      <c r="S764" s="49" t="str">
        <f aca="false">IF(AND(ROUND(Q764-J764,4)=0,ROUND(R764-K764,1)=0),"✓","✗")</f>
        <v>✓</v>
      </c>
    </row>
    <row r="765" customFormat="false" ht="15" hidden="false" customHeight="false" outlineLevel="0" collapsed="false">
      <c r="A765" s="11" t="s">
        <v>2172</v>
      </c>
      <c r="B765" s="11" t="s">
        <v>133</v>
      </c>
      <c r="C765" s="11" t="s">
        <v>38</v>
      </c>
      <c r="D765" s="11" t="s">
        <v>1337</v>
      </c>
      <c r="E765" s="11" t="s">
        <v>1372</v>
      </c>
      <c r="F765" s="11" t="s">
        <v>280</v>
      </c>
      <c r="G765" s="11" t="n">
        <v>1</v>
      </c>
      <c r="H765" s="34" t="n">
        <v>297.168</v>
      </c>
      <c r="I765" s="34" t="n">
        <v>299.2419</v>
      </c>
      <c r="J765" s="34" t="n">
        <v>-2.0739</v>
      </c>
      <c r="K765" s="34" t="n">
        <v>-2.1</v>
      </c>
      <c r="L765" s="11" t="s">
        <v>964</v>
      </c>
      <c r="M765" s="11" t="s">
        <v>1250</v>
      </c>
      <c r="N765" s="11" t="s">
        <v>1262</v>
      </c>
      <c r="O765" s="11"/>
      <c r="P765" s="11"/>
      <c r="Q765" s="25" t="n">
        <f aca="false">SUMIFS('Commentary drivers'!$D:$D,'Commentary drivers'!$A:$A,A765)</f>
        <v>-2.0739</v>
      </c>
      <c r="R765" s="25" t="n">
        <f aca="false">SUMIFS('Commentary drivers'!$E:$E,'Commentary drivers'!$A:$A,A765)</f>
        <v>-2.1</v>
      </c>
      <c r="S765" s="49" t="str">
        <f aca="false">IF(AND(ROUND(Q765-J765,4)=0,ROUND(R765-K765,1)=0),"✓","✗")</f>
        <v>✓</v>
      </c>
    </row>
    <row r="766" customFormat="false" ht="15" hidden="false" customHeight="false" outlineLevel="0" collapsed="false">
      <c r="A766" s="11" t="s">
        <v>2173</v>
      </c>
      <c r="B766" s="11" t="s">
        <v>133</v>
      </c>
      <c r="C766" s="11" t="s">
        <v>38</v>
      </c>
      <c r="D766" s="11" t="s">
        <v>1337</v>
      </c>
      <c r="E766" s="11" t="s">
        <v>1374</v>
      </c>
      <c r="F766" s="11" t="s">
        <v>282</v>
      </c>
      <c r="G766" s="11" t="n">
        <v>1</v>
      </c>
      <c r="H766" s="34" t="n">
        <v>701.5</v>
      </c>
      <c r="I766" s="34" t="n">
        <v>767</v>
      </c>
      <c r="J766" s="34" t="n">
        <v>-65.5</v>
      </c>
      <c r="K766" s="34" t="n">
        <v>-65.5</v>
      </c>
      <c r="L766" s="11" t="s">
        <v>965</v>
      </c>
      <c r="M766" s="11" t="s">
        <v>1250</v>
      </c>
      <c r="N766" s="11" t="s">
        <v>1251</v>
      </c>
      <c r="O766" s="11" t="s">
        <v>2005</v>
      </c>
      <c r="P766" s="11" t="s">
        <v>1557</v>
      </c>
      <c r="Q766" s="25" t="n">
        <f aca="false">SUMIFS('Commentary drivers'!$D:$D,'Commentary drivers'!$A:$A,A766)</f>
        <v>-65.5</v>
      </c>
      <c r="R766" s="25" t="n">
        <f aca="false">SUMIFS('Commentary drivers'!$E:$E,'Commentary drivers'!$A:$A,A766)</f>
        <v>-65.5</v>
      </c>
      <c r="S766" s="49" t="str">
        <f aca="false">IF(AND(ROUND(Q766-J766,4)=0,ROUND(R766-K766,1)=0),"✓","✗")</f>
        <v>✓</v>
      </c>
    </row>
    <row r="767" customFormat="false" ht="15" hidden="false" customHeight="false" outlineLevel="0" collapsed="false">
      <c r="A767" s="11" t="s">
        <v>2174</v>
      </c>
      <c r="B767" s="11" t="s">
        <v>133</v>
      </c>
      <c r="C767" s="11" t="s">
        <v>38</v>
      </c>
      <c r="D767" s="11" t="s">
        <v>1337</v>
      </c>
      <c r="E767" s="11" t="s">
        <v>1376</v>
      </c>
      <c r="F767" s="11" t="s">
        <v>284</v>
      </c>
      <c r="G767" s="11" t="n">
        <v>1</v>
      </c>
      <c r="H767" s="34" t="n">
        <v>289.5</v>
      </c>
      <c r="I767" s="34" t="n">
        <v>320</v>
      </c>
      <c r="J767" s="34" t="n">
        <v>-30.5</v>
      </c>
      <c r="K767" s="34" t="n">
        <v>-30.5</v>
      </c>
      <c r="L767" s="11" t="s">
        <v>966</v>
      </c>
      <c r="M767" s="11" t="s">
        <v>1250</v>
      </c>
      <c r="N767" s="11" t="s">
        <v>1251</v>
      </c>
      <c r="O767" s="11" t="s">
        <v>2005</v>
      </c>
      <c r="P767" s="11" t="s">
        <v>1557</v>
      </c>
      <c r="Q767" s="25" t="n">
        <f aca="false">SUMIFS('Commentary drivers'!$D:$D,'Commentary drivers'!$A:$A,A767)</f>
        <v>-30.5</v>
      </c>
      <c r="R767" s="25" t="n">
        <f aca="false">SUMIFS('Commentary drivers'!$E:$E,'Commentary drivers'!$A:$A,A767)</f>
        <v>-30.5</v>
      </c>
      <c r="S767" s="49" t="str">
        <f aca="false">IF(AND(ROUND(Q767-J767,4)=0,ROUND(R767-K767,1)=0),"✓","✗")</f>
        <v>✓</v>
      </c>
    </row>
    <row r="768" customFormat="false" ht="15" hidden="false" customHeight="false" outlineLevel="0" collapsed="false">
      <c r="A768" s="11" t="s">
        <v>2175</v>
      </c>
      <c r="B768" s="11" t="s">
        <v>133</v>
      </c>
      <c r="C768" s="11" t="s">
        <v>38</v>
      </c>
      <c r="D768" s="11" t="s">
        <v>1337</v>
      </c>
      <c r="E768" s="11" t="s">
        <v>1378</v>
      </c>
      <c r="F768" s="11" t="s">
        <v>286</v>
      </c>
      <c r="G768" s="11" t="n">
        <v>1</v>
      </c>
      <c r="H768" s="34" t="n">
        <v>84</v>
      </c>
      <c r="I768" s="34" t="n">
        <v>77</v>
      </c>
      <c r="J768" s="34" t="n">
        <v>7</v>
      </c>
      <c r="K768" s="34" t="n">
        <v>7</v>
      </c>
      <c r="L768" s="11" t="s">
        <v>967</v>
      </c>
      <c r="M768" s="11" t="s">
        <v>1250</v>
      </c>
      <c r="N768" s="11" t="s">
        <v>1262</v>
      </c>
      <c r="O768" s="11"/>
      <c r="P768" s="11"/>
      <c r="Q768" s="25" t="n">
        <f aca="false">SUMIFS('Commentary drivers'!$D:$D,'Commentary drivers'!$A:$A,A768)</f>
        <v>7</v>
      </c>
      <c r="R768" s="25" t="n">
        <f aca="false">SUMIFS('Commentary drivers'!$E:$E,'Commentary drivers'!$A:$A,A768)</f>
        <v>7</v>
      </c>
      <c r="S768" s="49" t="str">
        <f aca="false">IF(AND(ROUND(Q768-J768,4)=0,ROUND(R768-K768,1)=0),"✓","✗")</f>
        <v>✓</v>
      </c>
    </row>
    <row r="769" customFormat="false" ht="15" hidden="false" customHeight="false" outlineLevel="0" collapsed="false">
      <c r="A769" s="11" t="s">
        <v>2176</v>
      </c>
      <c r="B769" s="11" t="s">
        <v>133</v>
      </c>
      <c r="C769" s="11" t="s">
        <v>38</v>
      </c>
      <c r="D769" s="11" t="s">
        <v>1337</v>
      </c>
      <c r="E769" s="11" t="s">
        <v>1380</v>
      </c>
      <c r="F769" s="11" t="s">
        <v>169</v>
      </c>
      <c r="G769" s="11" t="n">
        <v>0</v>
      </c>
      <c r="H769" s="34" t="n">
        <v>7089.61601</v>
      </c>
      <c r="I769" s="34" t="n">
        <v>7279.69491</v>
      </c>
      <c r="J769" s="34" t="n">
        <v>-190.0789</v>
      </c>
      <c r="K769" s="34" t="n">
        <v>-190.1</v>
      </c>
      <c r="L769" s="11" t="s">
        <v>968</v>
      </c>
      <c r="M769" s="11" t="s">
        <v>1250</v>
      </c>
      <c r="N769" s="11" t="s">
        <v>1251</v>
      </c>
      <c r="O769" s="11" t="s">
        <v>2005</v>
      </c>
      <c r="P769" s="11" t="s">
        <v>1557</v>
      </c>
      <c r="Q769" s="25" t="n">
        <f aca="false">SUMIFS('Commentary drivers'!$D:$D,'Commentary drivers'!$A:$A,A769)</f>
        <v>-190.0789</v>
      </c>
      <c r="R769" s="25" t="n">
        <f aca="false">SUMIFS('Commentary drivers'!$E:$E,'Commentary drivers'!$A:$A,A769)</f>
        <v>-190.1</v>
      </c>
      <c r="S769" s="49" t="str">
        <f aca="false">IF(AND(ROUND(Q769-J769,4)=0,ROUND(R769-K769,1)=0),"✓","✗")</f>
        <v>✓</v>
      </c>
    </row>
    <row r="770" customFormat="false" ht="15" hidden="false" customHeight="false" outlineLevel="0" collapsed="false">
      <c r="A770" s="11" t="s">
        <v>2177</v>
      </c>
      <c r="B770" s="11" t="s">
        <v>133</v>
      </c>
      <c r="C770" s="11" t="s">
        <v>38</v>
      </c>
      <c r="D770" s="11" t="s">
        <v>1337</v>
      </c>
      <c r="E770" s="11" t="s">
        <v>1382</v>
      </c>
      <c r="F770" s="11" t="s">
        <v>170</v>
      </c>
      <c r="G770" s="11" t="n">
        <v>0</v>
      </c>
      <c r="H770" s="34" t="n">
        <v>454.35999</v>
      </c>
      <c r="I770" s="34" t="n">
        <v>472.66664</v>
      </c>
      <c r="J770" s="34" t="n">
        <v>-18.30665</v>
      </c>
      <c r="K770" s="34" t="n">
        <v>-18.3</v>
      </c>
      <c r="L770" s="11" t="s">
        <v>969</v>
      </c>
      <c r="M770" s="11" t="s">
        <v>1250</v>
      </c>
      <c r="N770" s="11" t="s">
        <v>1251</v>
      </c>
      <c r="O770" s="11" t="s">
        <v>2005</v>
      </c>
      <c r="P770" s="11" t="s">
        <v>1557</v>
      </c>
      <c r="Q770" s="25" t="n">
        <f aca="false">SUMIFS('Commentary drivers'!$D:$D,'Commentary drivers'!$A:$A,A770)</f>
        <v>-18.30665</v>
      </c>
      <c r="R770" s="25" t="n">
        <f aca="false">SUMIFS('Commentary drivers'!$E:$E,'Commentary drivers'!$A:$A,A770)</f>
        <v>-18.3</v>
      </c>
      <c r="S770" s="49" t="str">
        <f aca="false">IF(AND(ROUND(Q770-J770,4)=0,ROUND(R770-K770,1)=0),"✓","✗")</f>
        <v>✓</v>
      </c>
    </row>
    <row r="771" customFormat="false" ht="15" hidden="false" customHeight="false" outlineLevel="0" collapsed="false">
      <c r="A771" s="11" t="s">
        <v>2178</v>
      </c>
      <c r="B771" s="11" t="s">
        <v>133</v>
      </c>
      <c r="C771" s="11" t="s">
        <v>38</v>
      </c>
      <c r="D771" s="11" t="s">
        <v>1337</v>
      </c>
      <c r="E771" s="11" t="s">
        <v>1384</v>
      </c>
      <c r="F771" s="11" t="s">
        <v>265</v>
      </c>
      <c r="G771" s="11" t="n">
        <v>1</v>
      </c>
      <c r="H771" s="34" t="n">
        <v>233.35998</v>
      </c>
      <c r="I771" s="34" t="n">
        <v>236.99998</v>
      </c>
      <c r="J771" s="34" t="n">
        <v>-3.64</v>
      </c>
      <c r="K771" s="34" t="n">
        <v>-3.6</v>
      </c>
      <c r="L771" s="11" t="s">
        <v>970</v>
      </c>
      <c r="M771" s="11" t="s">
        <v>1250</v>
      </c>
      <c r="N771" s="11" t="s">
        <v>1262</v>
      </c>
      <c r="O771" s="11"/>
      <c r="P771" s="11"/>
      <c r="Q771" s="25" t="n">
        <f aca="false">SUMIFS('Commentary drivers'!$D:$D,'Commentary drivers'!$A:$A,A771)</f>
        <v>-3.64</v>
      </c>
      <c r="R771" s="25" t="n">
        <f aca="false">SUMIFS('Commentary drivers'!$E:$E,'Commentary drivers'!$A:$A,A771)</f>
        <v>-3.6</v>
      </c>
      <c r="S771" s="49" t="str">
        <f aca="false">IF(AND(ROUND(Q771-J771,4)=0,ROUND(R771-K771,1)=0),"✓","✗")</f>
        <v>✓</v>
      </c>
    </row>
    <row r="772" customFormat="false" ht="15" hidden="false" customHeight="false" outlineLevel="0" collapsed="false">
      <c r="A772" s="11" t="s">
        <v>2179</v>
      </c>
      <c r="B772" s="11" t="s">
        <v>133</v>
      </c>
      <c r="C772" s="11" t="s">
        <v>38</v>
      </c>
      <c r="D772" s="11" t="s">
        <v>1337</v>
      </c>
      <c r="E772" s="11" t="s">
        <v>1386</v>
      </c>
      <c r="F772" s="11" t="s">
        <v>267</v>
      </c>
      <c r="G772" s="11" t="n">
        <v>1</v>
      </c>
      <c r="H772" s="34" t="n">
        <v>75.00001</v>
      </c>
      <c r="I772" s="34" t="n">
        <v>78.66666</v>
      </c>
      <c r="J772" s="34" t="n">
        <v>-3.66665</v>
      </c>
      <c r="K772" s="34" t="n">
        <v>-3.7</v>
      </c>
      <c r="L772" s="11" t="s">
        <v>971</v>
      </c>
      <c r="M772" s="11" t="s">
        <v>1250</v>
      </c>
      <c r="N772" s="11" t="s">
        <v>1262</v>
      </c>
      <c r="O772" s="11"/>
      <c r="P772" s="11"/>
      <c r="Q772" s="25" t="n">
        <f aca="false">SUMIFS('Commentary drivers'!$D:$D,'Commentary drivers'!$A:$A,A772)</f>
        <v>-3.66665</v>
      </c>
      <c r="R772" s="25" t="n">
        <f aca="false">SUMIFS('Commentary drivers'!$E:$E,'Commentary drivers'!$A:$A,A772)</f>
        <v>-3.7</v>
      </c>
      <c r="S772" s="49" t="str">
        <f aca="false">IF(AND(ROUND(Q772-J772,4)=0,ROUND(R772-K772,1)=0),"✓","✗")</f>
        <v>✓</v>
      </c>
    </row>
    <row r="773" customFormat="false" ht="15" hidden="false" customHeight="false" outlineLevel="0" collapsed="false">
      <c r="A773" s="11" t="s">
        <v>2180</v>
      </c>
      <c r="B773" s="11" t="s">
        <v>133</v>
      </c>
      <c r="C773" s="11" t="s">
        <v>38</v>
      </c>
      <c r="D773" s="11" t="s">
        <v>1337</v>
      </c>
      <c r="E773" s="11" t="s">
        <v>1388</v>
      </c>
      <c r="F773" s="11" t="s">
        <v>269</v>
      </c>
      <c r="G773" s="11" t="n">
        <v>1</v>
      </c>
      <c r="H773" s="34" t="n">
        <v>146</v>
      </c>
      <c r="I773" s="34" t="n">
        <v>157</v>
      </c>
      <c r="J773" s="34" t="n">
        <v>-11</v>
      </c>
      <c r="K773" s="34" t="n">
        <v>-11</v>
      </c>
      <c r="L773" s="11" t="s">
        <v>957</v>
      </c>
      <c r="M773" s="11" t="s">
        <v>1250</v>
      </c>
      <c r="N773" s="11" t="s">
        <v>1251</v>
      </c>
      <c r="O773" s="11" t="s">
        <v>2005</v>
      </c>
      <c r="P773" s="11" t="s">
        <v>1557</v>
      </c>
      <c r="Q773" s="25" t="n">
        <f aca="false">SUMIFS('Commentary drivers'!$D:$D,'Commentary drivers'!$A:$A,A773)</f>
        <v>-11</v>
      </c>
      <c r="R773" s="25" t="n">
        <f aca="false">SUMIFS('Commentary drivers'!$E:$E,'Commentary drivers'!$A:$A,A773)</f>
        <v>-11</v>
      </c>
      <c r="S773" s="49" t="str">
        <f aca="false">IF(AND(ROUND(Q773-J773,4)=0,ROUND(R773-K773,1)=0),"✓","✗")</f>
        <v>✓</v>
      </c>
    </row>
    <row r="774" customFormat="false" ht="15" hidden="false" customHeight="false" outlineLevel="0" collapsed="false">
      <c r="A774" s="11" t="s">
        <v>2181</v>
      </c>
      <c r="B774" s="11" t="s">
        <v>133</v>
      </c>
      <c r="C774" s="11" t="s">
        <v>38</v>
      </c>
      <c r="D774" s="11" t="s">
        <v>1337</v>
      </c>
      <c r="E774" s="11" t="s">
        <v>1390</v>
      </c>
      <c r="F774" s="11" t="s">
        <v>157</v>
      </c>
      <c r="G774" s="11" t="n">
        <v>0</v>
      </c>
      <c r="H774" s="34" t="n">
        <v>3105.33101</v>
      </c>
      <c r="I774" s="34" t="n">
        <v>3310.89259</v>
      </c>
      <c r="J774" s="34" t="n">
        <v>-205.56158</v>
      </c>
      <c r="K774" s="34" t="n">
        <v>-205.6</v>
      </c>
      <c r="L774" s="11" t="s">
        <v>972</v>
      </c>
      <c r="M774" s="11" t="s">
        <v>1250</v>
      </c>
      <c r="N774" s="11" t="s">
        <v>1251</v>
      </c>
      <c r="O774" s="11" t="s">
        <v>2005</v>
      </c>
      <c r="P774" s="11" t="s">
        <v>1557</v>
      </c>
      <c r="Q774" s="25" t="n">
        <f aca="false">SUMIFS('Commentary drivers'!$D:$D,'Commentary drivers'!$A:$A,A774)</f>
        <v>-205.56158</v>
      </c>
      <c r="R774" s="25" t="n">
        <f aca="false">SUMIFS('Commentary drivers'!$E:$E,'Commentary drivers'!$A:$A,A774)</f>
        <v>-205.6</v>
      </c>
      <c r="S774" s="49" t="str">
        <f aca="false">IF(AND(ROUND(Q774-J774,4)=0,ROUND(R774-K774,1)=0),"✓","✗")</f>
        <v>✓</v>
      </c>
    </row>
    <row r="775" customFormat="false" ht="15" hidden="false" customHeight="false" outlineLevel="0" collapsed="false">
      <c r="A775" s="11" t="s">
        <v>2182</v>
      </c>
      <c r="B775" s="11" t="s">
        <v>133</v>
      </c>
      <c r="C775" s="11" t="s">
        <v>38</v>
      </c>
      <c r="D775" s="11" t="s">
        <v>1337</v>
      </c>
      <c r="E775" s="11" t="s">
        <v>1392</v>
      </c>
      <c r="F775" s="11" t="s">
        <v>296</v>
      </c>
      <c r="G775" s="11" t="n">
        <v>1</v>
      </c>
      <c r="H775" s="34" t="n">
        <v>2212.071</v>
      </c>
      <c r="I775" s="34" t="n">
        <v>2374.73925</v>
      </c>
      <c r="J775" s="34" t="n">
        <v>-162.66825</v>
      </c>
      <c r="K775" s="34" t="n">
        <v>-162.7</v>
      </c>
      <c r="L775" s="11" t="s">
        <v>973</v>
      </c>
      <c r="M775" s="11" t="s">
        <v>1250</v>
      </c>
      <c r="N775" s="11" t="s">
        <v>1251</v>
      </c>
      <c r="O775" s="11" t="s">
        <v>2005</v>
      </c>
      <c r="P775" s="11" t="s">
        <v>1557</v>
      </c>
      <c r="Q775" s="25" t="n">
        <f aca="false">SUMIFS('Commentary drivers'!$D:$D,'Commentary drivers'!$A:$A,A775)</f>
        <v>-162.66825</v>
      </c>
      <c r="R775" s="25" t="n">
        <f aca="false">SUMIFS('Commentary drivers'!$E:$E,'Commentary drivers'!$A:$A,A775)</f>
        <v>-162.7</v>
      </c>
      <c r="S775" s="49" t="str">
        <f aca="false">IF(AND(ROUND(Q775-J775,4)=0,ROUND(R775-K775,1)=0),"✓","✗")</f>
        <v>✓</v>
      </c>
    </row>
    <row r="776" customFormat="false" ht="15" hidden="false" customHeight="false" outlineLevel="0" collapsed="false">
      <c r="A776" s="11" t="s">
        <v>2183</v>
      </c>
      <c r="B776" s="11" t="s">
        <v>133</v>
      </c>
      <c r="C776" s="11" t="s">
        <v>38</v>
      </c>
      <c r="D776" s="11" t="s">
        <v>1337</v>
      </c>
      <c r="E776" s="11" t="s">
        <v>1394</v>
      </c>
      <c r="F776" s="11" t="s">
        <v>298</v>
      </c>
      <c r="G776" s="11" t="n">
        <v>1</v>
      </c>
      <c r="H776" s="34" t="n">
        <v>306</v>
      </c>
      <c r="I776" s="34" t="n">
        <v>300</v>
      </c>
      <c r="J776" s="34" t="n">
        <v>6</v>
      </c>
      <c r="K776" s="34" t="n">
        <v>6</v>
      </c>
      <c r="L776" s="11" t="s">
        <v>974</v>
      </c>
      <c r="M776" s="11" t="s">
        <v>1250</v>
      </c>
      <c r="N776" s="11" t="s">
        <v>1262</v>
      </c>
      <c r="O776" s="11"/>
      <c r="P776" s="11"/>
      <c r="Q776" s="25" t="n">
        <f aca="false">SUMIFS('Commentary drivers'!$D:$D,'Commentary drivers'!$A:$A,A776)</f>
        <v>6</v>
      </c>
      <c r="R776" s="25" t="n">
        <f aca="false">SUMIFS('Commentary drivers'!$E:$E,'Commentary drivers'!$A:$A,A776)</f>
        <v>6</v>
      </c>
      <c r="S776" s="49" t="str">
        <f aca="false">IF(AND(ROUND(Q776-J776,4)=0,ROUND(R776-K776,1)=0),"✓","✗")</f>
        <v>✓</v>
      </c>
    </row>
    <row r="777" customFormat="false" ht="15" hidden="false" customHeight="false" outlineLevel="0" collapsed="false">
      <c r="A777" s="11" t="s">
        <v>2184</v>
      </c>
      <c r="B777" s="11" t="s">
        <v>133</v>
      </c>
      <c r="C777" s="11" t="s">
        <v>38</v>
      </c>
      <c r="D777" s="11" t="s">
        <v>1337</v>
      </c>
      <c r="E777" s="11" t="s">
        <v>1396</v>
      </c>
      <c r="F777" s="11" t="s">
        <v>265</v>
      </c>
      <c r="G777" s="11" t="n">
        <v>1</v>
      </c>
      <c r="H777" s="34" t="n">
        <v>218.26002</v>
      </c>
      <c r="I777" s="34" t="n">
        <v>243.32002</v>
      </c>
      <c r="J777" s="34" t="n">
        <v>-25.06</v>
      </c>
      <c r="K777" s="34" t="n">
        <v>-25.1</v>
      </c>
      <c r="L777" s="11" t="s">
        <v>975</v>
      </c>
      <c r="M777" s="11" t="s">
        <v>1250</v>
      </c>
      <c r="N777" s="11" t="s">
        <v>1251</v>
      </c>
      <c r="O777" s="11" t="s">
        <v>2005</v>
      </c>
      <c r="P777" s="11" t="s">
        <v>1557</v>
      </c>
      <c r="Q777" s="25" t="n">
        <f aca="false">SUMIFS('Commentary drivers'!$D:$D,'Commentary drivers'!$A:$A,A777)</f>
        <v>-25.06</v>
      </c>
      <c r="R777" s="25" t="n">
        <f aca="false">SUMIFS('Commentary drivers'!$E:$E,'Commentary drivers'!$A:$A,A777)</f>
        <v>-25.1</v>
      </c>
      <c r="S777" s="49" t="str">
        <f aca="false">IF(AND(ROUND(Q777-J777,4)=0,ROUND(R777-K777,1)=0),"✓","✗")</f>
        <v>✓</v>
      </c>
    </row>
    <row r="778" customFormat="false" ht="15" hidden="false" customHeight="false" outlineLevel="0" collapsed="false">
      <c r="A778" s="11" t="s">
        <v>2185</v>
      </c>
      <c r="B778" s="11" t="s">
        <v>133</v>
      </c>
      <c r="C778" s="11" t="s">
        <v>38</v>
      </c>
      <c r="D778" s="11" t="s">
        <v>1337</v>
      </c>
      <c r="E778" s="11" t="s">
        <v>1398</v>
      </c>
      <c r="F778" s="11" t="s">
        <v>267</v>
      </c>
      <c r="G778" s="11" t="n">
        <v>1</v>
      </c>
      <c r="H778" s="34" t="n">
        <v>149.99999</v>
      </c>
      <c r="I778" s="34" t="n">
        <v>157.33334</v>
      </c>
      <c r="J778" s="34" t="n">
        <v>-7.33335</v>
      </c>
      <c r="K778" s="34" t="n">
        <v>-7.3</v>
      </c>
      <c r="L778" s="11" t="s">
        <v>956</v>
      </c>
      <c r="M778" s="11" t="s">
        <v>1250</v>
      </c>
      <c r="N778" s="11" t="s">
        <v>1262</v>
      </c>
      <c r="O778" s="11"/>
      <c r="P778" s="11"/>
      <c r="Q778" s="25" t="n">
        <f aca="false">SUMIFS('Commentary drivers'!$D:$D,'Commentary drivers'!$A:$A,A778)</f>
        <v>-7.33335</v>
      </c>
      <c r="R778" s="25" t="n">
        <f aca="false">SUMIFS('Commentary drivers'!$E:$E,'Commentary drivers'!$A:$A,A778)</f>
        <v>-7.3</v>
      </c>
      <c r="S778" s="49" t="str">
        <f aca="false">IF(AND(ROUND(Q778-J778,4)=0,ROUND(R778-K778,1)=0),"✓","✗")</f>
        <v>✓</v>
      </c>
    </row>
    <row r="779" customFormat="false" ht="15" hidden="false" customHeight="false" outlineLevel="0" collapsed="false">
      <c r="A779" s="11" t="s">
        <v>2186</v>
      </c>
      <c r="B779" s="11" t="s">
        <v>133</v>
      </c>
      <c r="C779" s="11" t="s">
        <v>38</v>
      </c>
      <c r="D779" s="11" t="s">
        <v>1337</v>
      </c>
      <c r="E779" s="11" t="s">
        <v>1400</v>
      </c>
      <c r="F779" s="11" t="s">
        <v>269</v>
      </c>
      <c r="G779" s="11" t="n">
        <v>1</v>
      </c>
      <c r="H779" s="34" t="n">
        <v>219</v>
      </c>
      <c r="I779" s="34" t="n">
        <v>235.49998</v>
      </c>
      <c r="J779" s="34" t="n">
        <v>-16.49998</v>
      </c>
      <c r="K779" s="34" t="n">
        <v>-16.5</v>
      </c>
      <c r="L779" s="11" t="s">
        <v>976</v>
      </c>
      <c r="M779" s="11" t="s">
        <v>1250</v>
      </c>
      <c r="N779" s="11" t="s">
        <v>1251</v>
      </c>
      <c r="O779" s="11" t="s">
        <v>2005</v>
      </c>
      <c r="P779" s="11" t="s">
        <v>1557</v>
      </c>
      <c r="Q779" s="25" t="n">
        <f aca="false">SUMIFS('Commentary drivers'!$D:$D,'Commentary drivers'!$A:$A,A779)</f>
        <v>-16.49998</v>
      </c>
      <c r="R779" s="25" t="n">
        <f aca="false">SUMIFS('Commentary drivers'!$E:$E,'Commentary drivers'!$A:$A,A779)</f>
        <v>-16.5</v>
      </c>
      <c r="S779" s="49" t="str">
        <f aca="false">IF(AND(ROUND(Q779-J779,4)=0,ROUND(R779-K779,1)=0),"✓","✗")</f>
        <v>✓</v>
      </c>
    </row>
    <row r="780" customFormat="false" ht="15" hidden="false" customHeight="false" outlineLevel="0" collapsed="false">
      <c r="A780" s="11" t="s">
        <v>2187</v>
      </c>
      <c r="B780" s="11" t="s">
        <v>133</v>
      </c>
      <c r="C780" s="11" t="s">
        <v>38</v>
      </c>
      <c r="D780" s="11" t="s">
        <v>1337</v>
      </c>
      <c r="E780" s="11" t="s">
        <v>1402</v>
      </c>
      <c r="F780" s="11" t="s">
        <v>159</v>
      </c>
      <c r="G780" s="11" t="n">
        <v>0</v>
      </c>
      <c r="H780" s="34" t="n">
        <v>1421.00001</v>
      </c>
      <c r="I780" s="34" t="n">
        <v>1483.16668</v>
      </c>
      <c r="J780" s="34" t="n">
        <v>-62.16667</v>
      </c>
      <c r="K780" s="34" t="n">
        <v>-62.2</v>
      </c>
      <c r="L780" s="11" t="s">
        <v>977</v>
      </c>
      <c r="M780" s="11" t="s">
        <v>1250</v>
      </c>
      <c r="N780" s="11" t="s">
        <v>1251</v>
      </c>
      <c r="O780" s="11" t="s">
        <v>2005</v>
      </c>
      <c r="P780" s="11" t="s">
        <v>1557</v>
      </c>
      <c r="Q780" s="25" t="n">
        <f aca="false">SUMIFS('Commentary drivers'!$D:$D,'Commentary drivers'!$A:$A,A780)</f>
        <v>-62.16667</v>
      </c>
      <c r="R780" s="25" t="n">
        <f aca="false">SUMIFS('Commentary drivers'!$E:$E,'Commentary drivers'!$A:$A,A780)</f>
        <v>-62.2</v>
      </c>
      <c r="S780" s="49" t="str">
        <f aca="false">IF(AND(ROUND(Q780-J780,4)=0,ROUND(R780-K780,1)=0),"✓","✗")</f>
        <v>✓</v>
      </c>
    </row>
    <row r="781" customFormat="false" ht="15" hidden="false" customHeight="false" outlineLevel="0" collapsed="false">
      <c r="A781" s="11" t="s">
        <v>2188</v>
      </c>
      <c r="B781" s="11" t="s">
        <v>133</v>
      </c>
      <c r="C781" s="11" t="s">
        <v>38</v>
      </c>
      <c r="D781" s="11" t="s">
        <v>1337</v>
      </c>
      <c r="E781" s="11" t="s">
        <v>1404</v>
      </c>
      <c r="F781" s="11" t="s">
        <v>304</v>
      </c>
      <c r="G781" s="11" t="n">
        <v>1</v>
      </c>
      <c r="H781" s="34" t="n">
        <v>1273</v>
      </c>
      <c r="I781" s="34" t="n">
        <v>1326</v>
      </c>
      <c r="J781" s="34" t="n">
        <v>-53</v>
      </c>
      <c r="K781" s="34" t="n">
        <v>-53</v>
      </c>
      <c r="L781" s="11" t="s">
        <v>978</v>
      </c>
      <c r="M781" s="11" t="s">
        <v>1315</v>
      </c>
      <c r="N781" s="11" t="s">
        <v>1251</v>
      </c>
      <c r="O781" s="11" t="s">
        <v>2005</v>
      </c>
      <c r="P781" s="11" t="s">
        <v>1557</v>
      </c>
      <c r="Q781" s="25" t="n">
        <f aca="false">SUMIFS('Commentary drivers'!$D:$D,'Commentary drivers'!$A:$A,A781)</f>
        <v>-53</v>
      </c>
      <c r="R781" s="25" t="n">
        <f aca="false">SUMIFS('Commentary drivers'!$E:$E,'Commentary drivers'!$A:$A,A781)</f>
        <v>-53</v>
      </c>
      <c r="S781" s="49" t="str">
        <f aca="false">IF(AND(ROUND(Q781-J781,4)=0,ROUND(R781-K781,1)=0),"✓","✗")</f>
        <v>✓</v>
      </c>
    </row>
    <row r="782" customFormat="false" ht="15" hidden="false" customHeight="false" outlineLevel="0" collapsed="false">
      <c r="A782" s="11" t="s">
        <v>2189</v>
      </c>
      <c r="B782" s="11" t="s">
        <v>133</v>
      </c>
      <c r="C782" s="11" t="s">
        <v>38</v>
      </c>
      <c r="D782" s="11" t="s">
        <v>1337</v>
      </c>
      <c r="E782" s="11" t="s">
        <v>1406</v>
      </c>
      <c r="F782" s="11" t="s">
        <v>267</v>
      </c>
      <c r="G782" s="11" t="n">
        <v>1</v>
      </c>
      <c r="H782" s="34" t="n">
        <v>75.00001</v>
      </c>
      <c r="I782" s="34" t="n">
        <v>78.66666</v>
      </c>
      <c r="J782" s="34" t="n">
        <v>-3.66665</v>
      </c>
      <c r="K782" s="34" t="n">
        <v>-3.7</v>
      </c>
      <c r="L782" s="11" t="s">
        <v>971</v>
      </c>
      <c r="M782" s="11" t="s">
        <v>1250</v>
      </c>
      <c r="N782" s="11" t="s">
        <v>1262</v>
      </c>
      <c r="O782" s="11"/>
      <c r="P782" s="11"/>
      <c r="Q782" s="25" t="n">
        <f aca="false">SUMIFS('Commentary drivers'!$D:$D,'Commentary drivers'!$A:$A,A782)</f>
        <v>-3.66665</v>
      </c>
      <c r="R782" s="25" t="n">
        <f aca="false">SUMIFS('Commentary drivers'!$E:$E,'Commentary drivers'!$A:$A,A782)</f>
        <v>-3.7</v>
      </c>
      <c r="S782" s="49" t="str">
        <f aca="false">IF(AND(ROUND(Q782-J782,4)=0,ROUND(R782-K782,1)=0),"✓","✗")</f>
        <v>✓</v>
      </c>
    </row>
    <row r="783" customFormat="false" ht="15" hidden="false" customHeight="false" outlineLevel="0" collapsed="false">
      <c r="A783" s="11" t="s">
        <v>2190</v>
      </c>
      <c r="B783" s="11" t="s">
        <v>133</v>
      </c>
      <c r="C783" s="11" t="s">
        <v>38</v>
      </c>
      <c r="D783" s="11" t="s">
        <v>1337</v>
      </c>
      <c r="E783" s="11" t="s">
        <v>1408</v>
      </c>
      <c r="F783" s="11" t="s">
        <v>269</v>
      </c>
      <c r="G783" s="11" t="n">
        <v>1</v>
      </c>
      <c r="H783" s="34" t="n">
        <v>73</v>
      </c>
      <c r="I783" s="34" t="n">
        <v>78.50002</v>
      </c>
      <c r="J783" s="34" t="n">
        <v>-5.50002</v>
      </c>
      <c r="K783" s="34" t="n">
        <v>-5.5</v>
      </c>
      <c r="L783" s="11" t="s">
        <v>979</v>
      </c>
      <c r="M783" s="11" t="s">
        <v>1250</v>
      </c>
      <c r="N783" s="11" t="s">
        <v>1262</v>
      </c>
      <c r="O783" s="11"/>
      <c r="P783" s="11"/>
      <c r="Q783" s="25" t="n">
        <f aca="false">SUMIFS('Commentary drivers'!$D:$D,'Commentary drivers'!$A:$A,A783)</f>
        <v>-5.50002</v>
      </c>
      <c r="R783" s="25" t="n">
        <f aca="false">SUMIFS('Commentary drivers'!$E:$E,'Commentary drivers'!$A:$A,A783)</f>
        <v>-5.5</v>
      </c>
      <c r="S783" s="49" t="str">
        <f aca="false">IF(AND(ROUND(Q783-J783,4)=0,ROUND(R783-K783,1)=0),"✓","✗")</f>
        <v>✓</v>
      </c>
    </row>
    <row r="784" customFormat="false" ht="15" hidden="false" customHeight="false" outlineLevel="0" collapsed="false">
      <c r="A784" s="11" t="s">
        <v>2191</v>
      </c>
      <c r="B784" s="11" t="s">
        <v>133</v>
      </c>
      <c r="C784" s="11" t="s">
        <v>38</v>
      </c>
      <c r="D784" s="11" t="s">
        <v>1337</v>
      </c>
      <c r="E784" s="11" t="s">
        <v>1410</v>
      </c>
      <c r="F784" s="11" t="s">
        <v>171</v>
      </c>
      <c r="G784" s="11" t="n">
        <v>0</v>
      </c>
      <c r="H784" s="34" t="n">
        <v>4980.69101</v>
      </c>
      <c r="I784" s="34" t="n">
        <v>5266.72591</v>
      </c>
      <c r="J784" s="34" t="n">
        <v>-286.0349</v>
      </c>
      <c r="K784" s="34" t="n">
        <v>-286</v>
      </c>
      <c r="L784" s="11" t="s">
        <v>980</v>
      </c>
      <c r="M784" s="11" t="s">
        <v>1250</v>
      </c>
      <c r="N784" s="11" t="s">
        <v>1251</v>
      </c>
      <c r="O784" s="11" t="s">
        <v>2005</v>
      </c>
      <c r="P784" s="11" t="s">
        <v>1557</v>
      </c>
      <c r="Q784" s="25" t="n">
        <f aca="false">SUMIFS('Commentary drivers'!$D:$D,'Commentary drivers'!$A:$A,A784)</f>
        <v>-286.0349</v>
      </c>
      <c r="R784" s="25" t="n">
        <f aca="false">SUMIFS('Commentary drivers'!$E:$E,'Commentary drivers'!$A:$A,A784)</f>
        <v>-286</v>
      </c>
      <c r="S784" s="49" t="str">
        <f aca="false">IF(AND(ROUND(Q784-J784,4)=0,ROUND(R784-K784,1)=0),"✓","✗")</f>
        <v>✓</v>
      </c>
    </row>
    <row r="785" customFormat="false" ht="15" hidden="false" customHeight="false" outlineLevel="0" collapsed="false">
      <c r="A785" s="11" t="s">
        <v>2192</v>
      </c>
      <c r="B785" s="11" t="s">
        <v>133</v>
      </c>
      <c r="C785" s="11" t="s">
        <v>38</v>
      </c>
      <c r="D785" s="11" t="s">
        <v>1337</v>
      </c>
      <c r="E785" s="11" t="s">
        <v>1412</v>
      </c>
      <c r="F785" s="11" t="s">
        <v>96</v>
      </c>
      <c r="G785" s="11" t="n">
        <v>0</v>
      </c>
      <c r="H785" s="34" t="n">
        <v>2108.925</v>
      </c>
      <c r="I785" s="34" t="n">
        <v>2012.969</v>
      </c>
      <c r="J785" s="34" t="n">
        <v>95.956</v>
      </c>
      <c r="K785" s="34" t="n">
        <v>96</v>
      </c>
      <c r="L785" s="11" t="s">
        <v>981</v>
      </c>
      <c r="M785" s="11" t="s">
        <v>1250</v>
      </c>
      <c r="N785" s="11" t="s">
        <v>1251</v>
      </c>
      <c r="O785" s="11" t="s">
        <v>2005</v>
      </c>
      <c r="P785" s="11" t="s">
        <v>1557</v>
      </c>
      <c r="Q785" s="25" t="n">
        <f aca="false">SUMIFS('Commentary drivers'!$D:$D,'Commentary drivers'!$A:$A,A785)</f>
        <v>95.956</v>
      </c>
      <c r="R785" s="25" t="n">
        <f aca="false">SUMIFS('Commentary drivers'!$E:$E,'Commentary drivers'!$A:$A,A785)</f>
        <v>96</v>
      </c>
      <c r="S785" s="49" t="str">
        <f aca="false">IF(AND(ROUND(Q785-J785,4)=0,ROUND(R785-K785,1)=0),"✓","✗")</f>
        <v>✓</v>
      </c>
    </row>
    <row r="786" customFormat="false" ht="15" hidden="false" customHeight="false" outlineLevel="0" collapsed="false">
      <c r="A786" s="11" t="s">
        <v>2193</v>
      </c>
      <c r="B786" s="11" t="s">
        <v>133</v>
      </c>
      <c r="C786" s="11" t="s">
        <v>38</v>
      </c>
      <c r="D786" s="11" t="s">
        <v>1337</v>
      </c>
      <c r="E786" s="11" t="s">
        <v>1414</v>
      </c>
      <c r="F786" s="11" t="s">
        <v>160</v>
      </c>
      <c r="G786" s="11" t="n">
        <v>0</v>
      </c>
      <c r="H786" s="34" t="n">
        <v>89.5</v>
      </c>
      <c r="I786" s="34" t="n">
        <v>72</v>
      </c>
      <c r="J786" s="34" t="n">
        <v>17.5</v>
      </c>
      <c r="K786" s="34" t="n">
        <v>17.5</v>
      </c>
      <c r="L786" s="11" t="s">
        <v>945</v>
      </c>
      <c r="M786" s="11" t="s">
        <v>1250</v>
      </c>
      <c r="N786" s="11" t="s">
        <v>1251</v>
      </c>
      <c r="O786" s="11" t="s">
        <v>2005</v>
      </c>
      <c r="P786" s="11" t="s">
        <v>1557</v>
      </c>
      <c r="Q786" s="25" t="n">
        <f aca="false">SUMIFS('Commentary drivers'!$D:$D,'Commentary drivers'!$A:$A,A786)</f>
        <v>17.5</v>
      </c>
      <c r="R786" s="25" t="n">
        <f aca="false">SUMIFS('Commentary drivers'!$E:$E,'Commentary drivers'!$A:$A,A786)</f>
        <v>17.5</v>
      </c>
      <c r="S786" s="49" t="str">
        <f aca="false">IF(AND(ROUND(Q786-J786,4)=0,ROUND(R786-K786,1)=0),"✓","✗")</f>
        <v>✓</v>
      </c>
    </row>
    <row r="787" customFormat="false" ht="15" hidden="false" customHeight="false" outlineLevel="0" collapsed="false">
      <c r="A787" s="11" t="s">
        <v>2194</v>
      </c>
      <c r="B787" s="11" t="s">
        <v>133</v>
      </c>
      <c r="C787" s="11" t="s">
        <v>38</v>
      </c>
      <c r="D787" s="11" t="s">
        <v>1337</v>
      </c>
      <c r="E787" s="11" t="s">
        <v>1416</v>
      </c>
      <c r="F787" s="11" t="s">
        <v>161</v>
      </c>
      <c r="G787" s="11" t="n">
        <v>0</v>
      </c>
      <c r="H787" s="34" t="n">
        <v>242.5</v>
      </c>
      <c r="I787" s="34" t="n">
        <v>244</v>
      </c>
      <c r="J787" s="34" t="n">
        <v>-1.5</v>
      </c>
      <c r="K787" s="34" t="n">
        <v>-1.5</v>
      </c>
      <c r="L787" s="11" t="s">
        <v>946</v>
      </c>
      <c r="M787" s="11" t="s">
        <v>1250</v>
      </c>
      <c r="N787" s="11" t="s">
        <v>1262</v>
      </c>
      <c r="O787" s="11"/>
      <c r="P787" s="11"/>
      <c r="Q787" s="25" t="n">
        <f aca="false">SUMIFS('Commentary drivers'!$D:$D,'Commentary drivers'!$A:$A,A787)</f>
        <v>-1.5</v>
      </c>
      <c r="R787" s="25" t="n">
        <f aca="false">SUMIFS('Commentary drivers'!$E:$E,'Commentary drivers'!$A:$A,A787)</f>
        <v>-1.5</v>
      </c>
      <c r="S787" s="49" t="str">
        <f aca="false">IF(AND(ROUND(Q787-J787,4)=0,ROUND(R787-K787,1)=0),"✓","✗")</f>
        <v>✓</v>
      </c>
    </row>
    <row r="788" customFormat="false" ht="15" hidden="false" customHeight="false" outlineLevel="0" collapsed="false">
      <c r="A788" s="11" t="s">
        <v>2195</v>
      </c>
      <c r="B788" s="11" t="s">
        <v>133</v>
      </c>
      <c r="C788" s="11" t="s">
        <v>38</v>
      </c>
      <c r="D788" s="11" t="s">
        <v>1337</v>
      </c>
      <c r="E788" s="11" t="s">
        <v>1418</v>
      </c>
      <c r="F788" s="11" t="s">
        <v>126</v>
      </c>
      <c r="G788" s="11" t="n">
        <v>0</v>
      </c>
      <c r="H788" s="34" t="n">
        <v>260.5</v>
      </c>
      <c r="I788" s="34" t="n">
        <v>300</v>
      </c>
      <c r="J788" s="34" t="n">
        <v>-39.5</v>
      </c>
      <c r="K788" s="34" t="n">
        <v>-39.5</v>
      </c>
      <c r="L788" s="11" t="s">
        <v>948</v>
      </c>
      <c r="M788" s="11" t="s">
        <v>1250</v>
      </c>
      <c r="N788" s="11" t="s">
        <v>1251</v>
      </c>
      <c r="O788" s="11" t="s">
        <v>2005</v>
      </c>
      <c r="P788" s="11" t="s">
        <v>1557</v>
      </c>
      <c r="Q788" s="25" t="n">
        <f aca="false">SUMIFS('Commentary drivers'!$D:$D,'Commentary drivers'!$A:$A,A788)</f>
        <v>-39.5</v>
      </c>
      <c r="R788" s="25" t="n">
        <f aca="false">SUMIFS('Commentary drivers'!$E:$E,'Commentary drivers'!$A:$A,A788)</f>
        <v>-39.5</v>
      </c>
      <c r="S788" s="49" t="str">
        <f aca="false">IF(AND(ROUND(Q788-J788,4)=0,ROUND(R788-K788,1)=0),"✓","✗")</f>
        <v>✓</v>
      </c>
    </row>
    <row r="789" customFormat="false" ht="15" hidden="false" customHeight="false" outlineLevel="0" collapsed="false">
      <c r="A789" s="11" t="s">
        <v>2196</v>
      </c>
      <c r="B789" s="11" t="s">
        <v>133</v>
      </c>
      <c r="C789" s="11" t="s">
        <v>38</v>
      </c>
      <c r="D789" s="11" t="s">
        <v>1337</v>
      </c>
      <c r="E789" s="11" t="s">
        <v>1420</v>
      </c>
      <c r="F789" s="11" t="s">
        <v>97</v>
      </c>
      <c r="G789" s="11" t="n">
        <v>0</v>
      </c>
      <c r="H789" s="34" t="n">
        <v>1695.425</v>
      </c>
      <c r="I789" s="34" t="n">
        <v>1540.969</v>
      </c>
      <c r="J789" s="34" t="n">
        <v>154.456</v>
      </c>
      <c r="K789" s="34" t="n">
        <v>154.5</v>
      </c>
      <c r="L789" s="11" t="s">
        <v>982</v>
      </c>
      <c r="M789" s="11" t="s">
        <v>1250</v>
      </c>
      <c r="N789" s="11" t="s">
        <v>1251</v>
      </c>
      <c r="O789" s="11" t="s">
        <v>2005</v>
      </c>
      <c r="P789" s="11" t="s">
        <v>1557</v>
      </c>
      <c r="Q789" s="25" t="n">
        <f aca="false">SUMIFS('Commentary drivers'!$D:$D,'Commentary drivers'!$A:$A,A789)</f>
        <v>154.456</v>
      </c>
      <c r="R789" s="25" t="n">
        <f aca="false">SUMIFS('Commentary drivers'!$E:$E,'Commentary drivers'!$A:$A,A789)</f>
        <v>154.5</v>
      </c>
      <c r="S789" s="49" t="str">
        <f aca="false">IF(AND(ROUND(Q789-J789,4)=0,ROUND(R789-K789,1)=0),"✓","✗")</f>
        <v>✓</v>
      </c>
    </row>
    <row r="790" customFormat="false" ht="15" hidden="false" customHeight="false" outlineLevel="0" collapsed="false">
      <c r="A790" s="11" t="s">
        <v>2197</v>
      </c>
      <c r="B790" s="11" t="s">
        <v>133</v>
      </c>
      <c r="C790" s="11" t="s">
        <v>38</v>
      </c>
      <c r="D790" s="11" t="s">
        <v>1422</v>
      </c>
      <c r="E790" s="11" t="s">
        <v>1423</v>
      </c>
      <c r="F790" s="11" t="s">
        <v>312</v>
      </c>
      <c r="G790" s="11" t="n">
        <v>0</v>
      </c>
      <c r="H790" s="34" t="n">
        <v>15149.355</v>
      </c>
      <c r="I790" s="34" t="n">
        <v>15615.958</v>
      </c>
      <c r="J790" s="34" t="n">
        <v>-466.603</v>
      </c>
      <c r="K790" s="34" t="n">
        <v>-466.6</v>
      </c>
      <c r="L790" s="11" t="s">
        <v>983</v>
      </c>
      <c r="M790" s="11" t="s">
        <v>1250</v>
      </c>
      <c r="N790" s="11" t="s">
        <v>1251</v>
      </c>
      <c r="O790" s="11" t="s">
        <v>2005</v>
      </c>
      <c r="P790" s="11" t="s">
        <v>1557</v>
      </c>
      <c r="Q790" s="25" t="n">
        <f aca="false">SUMIFS('Commentary drivers'!$D:$D,'Commentary drivers'!$A:$A,A790)</f>
        <v>-466.603</v>
      </c>
      <c r="R790" s="25" t="n">
        <f aca="false">SUMIFS('Commentary drivers'!$E:$E,'Commentary drivers'!$A:$A,A790)</f>
        <v>-466.6</v>
      </c>
      <c r="S790" s="49" t="str">
        <f aca="false">IF(AND(ROUND(Q790-J790,4)=0,ROUND(R790-K790,1)=0),"✓","✗")</f>
        <v>✓</v>
      </c>
    </row>
    <row r="791" customFormat="false" ht="15" hidden="false" customHeight="false" outlineLevel="0" collapsed="false">
      <c r="A791" s="11" t="s">
        <v>2198</v>
      </c>
      <c r="B791" s="11" t="s">
        <v>133</v>
      </c>
      <c r="C791" s="11" t="s">
        <v>38</v>
      </c>
      <c r="D791" s="11" t="s">
        <v>1422</v>
      </c>
      <c r="E791" s="11" t="s">
        <v>1425</v>
      </c>
      <c r="F791" s="11" t="s">
        <v>314</v>
      </c>
      <c r="G791" s="11" t="n">
        <v>1</v>
      </c>
      <c r="H791" s="34" t="n">
        <v>13819.355</v>
      </c>
      <c r="I791" s="34" t="n">
        <v>14255.958</v>
      </c>
      <c r="J791" s="34" t="n">
        <v>-436.603</v>
      </c>
      <c r="K791" s="34" t="n">
        <v>-436.6</v>
      </c>
      <c r="L791" s="11" t="s">
        <v>912</v>
      </c>
      <c r="M791" s="11" t="s">
        <v>1250</v>
      </c>
      <c r="N791" s="11" t="s">
        <v>1251</v>
      </c>
      <c r="O791" s="11" t="s">
        <v>2005</v>
      </c>
      <c r="P791" s="11" t="s">
        <v>1557</v>
      </c>
      <c r="Q791" s="25" t="n">
        <f aca="false">SUMIFS('Commentary drivers'!$D:$D,'Commentary drivers'!$A:$A,A791)</f>
        <v>-436.603</v>
      </c>
      <c r="R791" s="25" t="n">
        <f aca="false">SUMIFS('Commentary drivers'!$E:$E,'Commentary drivers'!$A:$A,A791)</f>
        <v>-436.6</v>
      </c>
      <c r="S791" s="49" t="str">
        <f aca="false">IF(AND(ROUND(Q791-J791,4)=0,ROUND(R791-K791,1)=0),"✓","✗")</f>
        <v>✓</v>
      </c>
    </row>
    <row r="792" customFormat="false" ht="15" hidden="false" customHeight="false" outlineLevel="0" collapsed="false">
      <c r="A792" s="11" t="s">
        <v>2199</v>
      </c>
      <c r="B792" s="11" t="s">
        <v>133</v>
      </c>
      <c r="C792" s="11" t="s">
        <v>38</v>
      </c>
      <c r="D792" s="11" t="s">
        <v>1422</v>
      </c>
      <c r="E792" s="11" t="s">
        <v>1427</v>
      </c>
      <c r="F792" s="11" t="s">
        <v>315</v>
      </c>
      <c r="G792" s="11" t="n">
        <v>1</v>
      </c>
      <c r="H792" s="34" t="n">
        <v>1330</v>
      </c>
      <c r="I792" s="34" t="n">
        <v>1360</v>
      </c>
      <c r="J792" s="34" t="n">
        <v>-30</v>
      </c>
      <c r="K792" s="34" t="n">
        <v>-30</v>
      </c>
      <c r="L792" s="11" t="s">
        <v>913</v>
      </c>
      <c r="M792" s="11" t="s">
        <v>1250</v>
      </c>
      <c r="N792" s="11" t="s">
        <v>1251</v>
      </c>
      <c r="O792" s="11" t="s">
        <v>2005</v>
      </c>
      <c r="P792" s="11" t="s">
        <v>1557</v>
      </c>
      <c r="Q792" s="25" t="n">
        <f aca="false">SUMIFS('Commentary drivers'!$D:$D,'Commentary drivers'!$A:$A,A792)</f>
        <v>-30</v>
      </c>
      <c r="R792" s="25" t="n">
        <f aca="false">SUMIFS('Commentary drivers'!$E:$E,'Commentary drivers'!$A:$A,A792)</f>
        <v>-30</v>
      </c>
      <c r="S792" s="49" t="str">
        <f aca="false">IF(AND(ROUND(Q792-J792,4)=0,ROUND(R792-K792,1)=0),"✓","✗")</f>
        <v>✓</v>
      </c>
    </row>
    <row r="793" customFormat="false" ht="15" hidden="false" customHeight="false" outlineLevel="0" collapsed="false">
      <c r="A793" s="11" t="s">
        <v>2200</v>
      </c>
      <c r="B793" s="11" t="s">
        <v>133</v>
      </c>
      <c r="C793" s="11" t="s">
        <v>38</v>
      </c>
      <c r="D793" s="11" t="s">
        <v>1422</v>
      </c>
      <c r="E793" s="11" t="s">
        <v>1429</v>
      </c>
      <c r="F793" s="11" t="s">
        <v>316</v>
      </c>
      <c r="G793" s="11" t="n">
        <v>0</v>
      </c>
      <c r="H793" s="34" t="n">
        <v>7762.93</v>
      </c>
      <c r="I793" s="34" t="n">
        <v>8072.989</v>
      </c>
      <c r="J793" s="34" t="n">
        <v>-310.059</v>
      </c>
      <c r="K793" s="34" t="n">
        <v>-310.1</v>
      </c>
      <c r="L793" s="11" t="s">
        <v>984</v>
      </c>
      <c r="M793" s="11" t="s">
        <v>1250</v>
      </c>
      <c r="N793" s="11" t="s">
        <v>1251</v>
      </c>
      <c r="O793" s="11" t="s">
        <v>2005</v>
      </c>
      <c r="P793" s="11" t="s">
        <v>1557</v>
      </c>
      <c r="Q793" s="25" t="n">
        <f aca="false">SUMIFS('Commentary drivers'!$D:$D,'Commentary drivers'!$A:$A,A793)</f>
        <v>-310.059</v>
      </c>
      <c r="R793" s="25" t="n">
        <f aca="false">SUMIFS('Commentary drivers'!$E:$E,'Commentary drivers'!$A:$A,A793)</f>
        <v>-310.1</v>
      </c>
      <c r="S793" s="49" t="str">
        <f aca="false">IF(AND(ROUND(Q793-J793,4)=0,ROUND(R793-K793,1)=0),"✓","✗")</f>
        <v>✓</v>
      </c>
    </row>
    <row r="794" customFormat="false" ht="15" hidden="false" customHeight="false" outlineLevel="0" collapsed="false">
      <c r="A794" s="11" t="s">
        <v>2201</v>
      </c>
      <c r="B794" s="11" t="s">
        <v>133</v>
      </c>
      <c r="C794" s="11" t="s">
        <v>38</v>
      </c>
      <c r="D794" s="11" t="s">
        <v>1422</v>
      </c>
      <c r="E794" s="11" t="s">
        <v>1431</v>
      </c>
      <c r="F794" s="11" t="s">
        <v>192</v>
      </c>
      <c r="G794" s="11" t="n">
        <v>1</v>
      </c>
      <c r="H794" s="34" t="n">
        <v>2949.428</v>
      </c>
      <c r="I794" s="34" t="n">
        <v>3166.319</v>
      </c>
      <c r="J794" s="34" t="n">
        <v>-216.891</v>
      </c>
      <c r="K794" s="34" t="n">
        <v>-216.9</v>
      </c>
      <c r="L794" s="11" t="s">
        <v>985</v>
      </c>
      <c r="M794" s="11" t="s">
        <v>1250</v>
      </c>
      <c r="N794" s="11" t="s">
        <v>1251</v>
      </c>
      <c r="O794" s="11" t="s">
        <v>2005</v>
      </c>
      <c r="P794" s="11" t="s">
        <v>1557</v>
      </c>
      <c r="Q794" s="25" t="n">
        <f aca="false">SUMIFS('Commentary drivers'!$D:$D,'Commentary drivers'!$A:$A,A794)</f>
        <v>-216.891</v>
      </c>
      <c r="R794" s="25" t="n">
        <f aca="false">SUMIFS('Commentary drivers'!$E:$E,'Commentary drivers'!$A:$A,A794)</f>
        <v>-216.9</v>
      </c>
      <c r="S794" s="49" t="str">
        <f aca="false">IF(AND(ROUND(Q794-J794,4)=0,ROUND(R794-K794,1)=0),"✓","✗")</f>
        <v>✓</v>
      </c>
    </row>
    <row r="795" customFormat="false" ht="15" hidden="false" customHeight="false" outlineLevel="0" collapsed="false">
      <c r="A795" s="11" t="s">
        <v>2202</v>
      </c>
      <c r="B795" s="11" t="s">
        <v>133</v>
      </c>
      <c r="C795" s="11" t="s">
        <v>38</v>
      </c>
      <c r="D795" s="11" t="s">
        <v>1422</v>
      </c>
      <c r="E795" s="11" t="s">
        <v>1433</v>
      </c>
      <c r="F795" s="11" t="s">
        <v>195</v>
      </c>
      <c r="G795" s="11" t="n">
        <v>1</v>
      </c>
      <c r="H795" s="34" t="n">
        <v>990.56</v>
      </c>
      <c r="I795" s="34" t="n">
        <v>997.473</v>
      </c>
      <c r="J795" s="34" t="n">
        <v>-6.913</v>
      </c>
      <c r="K795" s="34" t="n">
        <v>-6.9</v>
      </c>
      <c r="L795" s="11" t="s">
        <v>986</v>
      </c>
      <c r="M795" s="11" t="s">
        <v>1250</v>
      </c>
      <c r="N795" s="11" t="s">
        <v>1262</v>
      </c>
      <c r="O795" s="11"/>
      <c r="P795" s="11"/>
      <c r="Q795" s="25" t="n">
        <f aca="false">SUMIFS('Commentary drivers'!$D:$D,'Commentary drivers'!$A:$A,A795)</f>
        <v>-6.913</v>
      </c>
      <c r="R795" s="25" t="n">
        <f aca="false">SUMIFS('Commentary drivers'!$E:$E,'Commentary drivers'!$A:$A,A795)</f>
        <v>-6.9</v>
      </c>
      <c r="S795" s="49" t="str">
        <f aca="false">IF(AND(ROUND(Q795-J795,4)=0,ROUND(R795-K795,1)=0),"✓","✗")</f>
        <v>✓</v>
      </c>
    </row>
    <row r="796" customFormat="false" ht="15" hidden="false" customHeight="false" outlineLevel="0" collapsed="false">
      <c r="A796" s="11" t="s">
        <v>2203</v>
      </c>
      <c r="B796" s="11" t="s">
        <v>133</v>
      </c>
      <c r="C796" s="11" t="s">
        <v>38</v>
      </c>
      <c r="D796" s="11" t="s">
        <v>1422</v>
      </c>
      <c r="E796" s="11" t="s">
        <v>1435</v>
      </c>
      <c r="F796" s="11" t="s">
        <v>198</v>
      </c>
      <c r="G796" s="11" t="n">
        <v>1</v>
      </c>
      <c r="H796" s="34" t="n">
        <v>1149.201</v>
      </c>
      <c r="I796" s="34" t="n">
        <v>1142.997</v>
      </c>
      <c r="J796" s="34" t="n">
        <v>6.204</v>
      </c>
      <c r="K796" s="34" t="n">
        <v>6.2</v>
      </c>
      <c r="L796" s="11" t="s">
        <v>919</v>
      </c>
      <c r="M796" s="11" t="s">
        <v>1250</v>
      </c>
      <c r="N796" s="11" t="s">
        <v>1262</v>
      </c>
      <c r="O796" s="11"/>
      <c r="P796" s="11"/>
      <c r="Q796" s="25" t="n">
        <f aca="false">SUMIFS('Commentary drivers'!$D:$D,'Commentary drivers'!$A:$A,A796)</f>
        <v>6.204</v>
      </c>
      <c r="R796" s="25" t="n">
        <f aca="false">SUMIFS('Commentary drivers'!$E:$E,'Commentary drivers'!$A:$A,A796)</f>
        <v>6.2</v>
      </c>
      <c r="S796" s="49" t="str">
        <f aca="false">IF(AND(ROUND(Q796-J796,4)=0,ROUND(R796-K796,1)=0),"✓","✗")</f>
        <v>✓</v>
      </c>
    </row>
    <row r="797" customFormat="false" ht="15" hidden="false" customHeight="false" outlineLevel="0" collapsed="false">
      <c r="A797" s="11" t="s">
        <v>2204</v>
      </c>
      <c r="B797" s="11" t="s">
        <v>133</v>
      </c>
      <c r="C797" s="11" t="s">
        <v>38</v>
      </c>
      <c r="D797" s="11" t="s">
        <v>1422</v>
      </c>
      <c r="E797" s="11" t="s">
        <v>1437</v>
      </c>
      <c r="F797" s="11" t="s">
        <v>323</v>
      </c>
      <c r="G797" s="11" t="n">
        <v>1</v>
      </c>
      <c r="H797" s="34" t="n">
        <v>959.568</v>
      </c>
      <c r="I797" s="34" t="n">
        <v>958.98</v>
      </c>
      <c r="J797" s="34" t="n">
        <v>0.588</v>
      </c>
      <c r="K797" s="34" t="n">
        <v>0.6</v>
      </c>
      <c r="L797" s="11" t="s">
        <v>987</v>
      </c>
      <c r="M797" s="11" t="s">
        <v>1250</v>
      </c>
      <c r="N797" s="11" t="s">
        <v>1262</v>
      </c>
      <c r="O797" s="11"/>
      <c r="P797" s="11"/>
      <c r="Q797" s="25" t="n">
        <f aca="false">SUMIFS('Commentary drivers'!$D:$D,'Commentary drivers'!$A:$A,A797)</f>
        <v>0.588</v>
      </c>
      <c r="R797" s="25" t="n">
        <f aca="false">SUMIFS('Commentary drivers'!$E:$E,'Commentary drivers'!$A:$A,A797)</f>
        <v>0.6</v>
      </c>
      <c r="S797" s="49" t="str">
        <f aca="false">IF(AND(ROUND(Q797-J797,4)=0,ROUND(R797-K797,1)=0),"✓","✗")</f>
        <v>✓</v>
      </c>
    </row>
    <row r="798" customFormat="false" ht="15" hidden="false" customHeight="false" outlineLevel="0" collapsed="false">
      <c r="A798" s="11" t="s">
        <v>2205</v>
      </c>
      <c r="B798" s="11" t="s">
        <v>133</v>
      </c>
      <c r="C798" s="11" t="s">
        <v>38</v>
      </c>
      <c r="D798" s="11" t="s">
        <v>1422</v>
      </c>
      <c r="E798" s="11" t="s">
        <v>1439</v>
      </c>
      <c r="F798" s="11" t="s">
        <v>225</v>
      </c>
      <c r="G798" s="11" t="n">
        <v>1</v>
      </c>
      <c r="H798" s="34" t="n">
        <v>1714.173</v>
      </c>
      <c r="I798" s="34" t="n">
        <v>1807.22</v>
      </c>
      <c r="J798" s="34" t="n">
        <v>-93.047</v>
      </c>
      <c r="K798" s="34" t="n">
        <v>-93</v>
      </c>
      <c r="L798" s="11" t="s">
        <v>932</v>
      </c>
      <c r="M798" s="11" t="s">
        <v>1250</v>
      </c>
      <c r="N798" s="11" t="s">
        <v>1251</v>
      </c>
      <c r="O798" s="11" t="s">
        <v>2005</v>
      </c>
      <c r="P798" s="11" t="s">
        <v>1557</v>
      </c>
      <c r="Q798" s="25" t="n">
        <f aca="false">SUMIFS('Commentary drivers'!$D:$D,'Commentary drivers'!$A:$A,A798)</f>
        <v>-93.047</v>
      </c>
      <c r="R798" s="25" t="n">
        <f aca="false">SUMIFS('Commentary drivers'!$E:$E,'Commentary drivers'!$A:$A,A798)</f>
        <v>-93</v>
      </c>
      <c r="S798" s="49" t="str">
        <f aca="false">IF(AND(ROUND(Q798-J798,4)=0,ROUND(R798-K798,1)=0),"✓","✗")</f>
        <v>✓</v>
      </c>
    </row>
    <row r="799" customFormat="false" ht="15" hidden="false" customHeight="false" outlineLevel="0" collapsed="false">
      <c r="A799" s="11" t="s">
        <v>2206</v>
      </c>
      <c r="B799" s="11" t="s">
        <v>133</v>
      </c>
      <c r="C799" s="11" t="s">
        <v>38</v>
      </c>
      <c r="D799" s="11" t="s">
        <v>1422</v>
      </c>
      <c r="E799" s="11" t="s">
        <v>1441</v>
      </c>
      <c r="F799" s="11" t="s">
        <v>325</v>
      </c>
      <c r="G799" s="11" t="n">
        <v>0</v>
      </c>
      <c r="H799" s="34" t="n">
        <v>1979.5</v>
      </c>
      <c r="I799" s="34" t="n">
        <v>2017</v>
      </c>
      <c r="J799" s="34" t="n">
        <v>-37.5</v>
      </c>
      <c r="K799" s="34" t="n">
        <v>-37.5</v>
      </c>
      <c r="L799" s="11" t="s">
        <v>988</v>
      </c>
      <c r="M799" s="11" t="s">
        <v>1250</v>
      </c>
      <c r="N799" s="11" t="s">
        <v>1251</v>
      </c>
      <c r="O799" s="11" t="s">
        <v>2005</v>
      </c>
      <c r="P799" s="11" t="s">
        <v>1557</v>
      </c>
      <c r="Q799" s="25" t="n">
        <f aca="false">SUMIFS('Commentary drivers'!$D:$D,'Commentary drivers'!$A:$A,A799)</f>
        <v>-37.5</v>
      </c>
      <c r="R799" s="25" t="n">
        <f aca="false">SUMIFS('Commentary drivers'!$E:$E,'Commentary drivers'!$A:$A,A799)</f>
        <v>-37.5</v>
      </c>
      <c r="S799" s="49" t="str">
        <f aca="false">IF(AND(ROUND(Q799-J799,4)=0,ROUND(R799-K799,1)=0),"✓","✗")</f>
        <v>✓</v>
      </c>
    </row>
    <row r="800" customFormat="false" ht="15" hidden="false" customHeight="false" outlineLevel="0" collapsed="false">
      <c r="A800" s="11" t="s">
        <v>2207</v>
      </c>
      <c r="B800" s="11" t="s">
        <v>133</v>
      </c>
      <c r="C800" s="11" t="s">
        <v>38</v>
      </c>
      <c r="D800" s="11" t="s">
        <v>1422</v>
      </c>
      <c r="E800" s="11" t="s">
        <v>1443</v>
      </c>
      <c r="F800" s="11" t="s">
        <v>189</v>
      </c>
      <c r="G800" s="11" t="n">
        <v>1</v>
      </c>
      <c r="H800" s="34" t="n">
        <v>1395.5</v>
      </c>
      <c r="I800" s="34" t="n">
        <v>1385</v>
      </c>
      <c r="J800" s="34" t="n">
        <v>10.5</v>
      </c>
      <c r="K800" s="34" t="n">
        <v>10.5</v>
      </c>
      <c r="L800" s="11" t="s">
        <v>989</v>
      </c>
      <c r="M800" s="11" t="s">
        <v>1250</v>
      </c>
      <c r="N800" s="11" t="s">
        <v>1251</v>
      </c>
      <c r="O800" s="11" t="s">
        <v>2005</v>
      </c>
      <c r="P800" s="11" t="s">
        <v>1557</v>
      </c>
      <c r="Q800" s="25" t="n">
        <f aca="false">SUMIFS('Commentary drivers'!$D:$D,'Commentary drivers'!$A:$A,A800)</f>
        <v>10.5</v>
      </c>
      <c r="R800" s="25" t="n">
        <f aca="false">SUMIFS('Commentary drivers'!$E:$E,'Commentary drivers'!$A:$A,A800)</f>
        <v>10.5</v>
      </c>
      <c r="S800" s="49" t="str">
        <f aca="false">IF(AND(ROUND(Q800-J800,4)=0,ROUND(R800-K800,1)=0),"✓","✗")</f>
        <v>✓</v>
      </c>
    </row>
    <row r="801" customFormat="false" ht="15" hidden="false" customHeight="false" outlineLevel="0" collapsed="false">
      <c r="A801" s="11" t="s">
        <v>2208</v>
      </c>
      <c r="B801" s="11" t="s">
        <v>133</v>
      </c>
      <c r="C801" s="11" t="s">
        <v>38</v>
      </c>
      <c r="D801" s="11" t="s">
        <v>1422</v>
      </c>
      <c r="E801" s="11" t="s">
        <v>1445</v>
      </c>
      <c r="F801" s="11" t="s">
        <v>201</v>
      </c>
      <c r="G801" s="11" t="n">
        <v>1</v>
      </c>
      <c r="H801" s="34" t="n">
        <v>584</v>
      </c>
      <c r="I801" s="34" t="n">
        <v>632</v>
      </c>
      <c r="J801" s="34" t="n">
        <v>-48</v>
      </c>
      <c r="K801" s="34" t="n">
        <v>-48</v>
      </c>
      <c r="L801" s="11" t="s">
        <v>990</v>
      </c>
      <c r="M801" s="11" t="s">
        <v>1250</v>
      </c>
      <c r="N801" s="11" t="s">
        <v>1251</v>
      </c>
      <c r="O801" s="11" t="s">
        <v>2005</v>
      </c>
      <c r="P801" s="11" t="s">
        <v>1557</v>
      </c>
      <c r="Q801" s="25" t="n">
        <f aca="false">SUMIFS('Commentary drivers'!$D:$D,'Commentary drivers'!$A:$A,A801)</f>
        <v>-48</v>
      </c>
      <c r="R801" s="25" t="n">
        <f aca="false">SUMIFS('Commentary drivers'!$E:$E,'Commentary drivers'!$A:$A,A801)</f>
        <v>-48</v>
      </c>
      <c r="S801" s="49" t="str">
        <f aca="false">IF(AND(ROUND(Q801-J801,4)=0,ROUND(R801-K801,1)=0),"✓","✗")</f>
        <v>✓</v>
      </c>
    </row>
    <row r="802" customFormat="false" ht="15" hidden="false" customHeight="false" outlineLevel="0" collapsed="false">
      <c r="A802" s="11" t="s">
        <v>2209</v>
      </c>
      <c r="B802" s="11" t="s">
        <v>133</v>
      </c>
      <c r="C802" s="11" t="s">
        <v>38</v>
      </c>
      <c r="D802" s="11" t="s">
        <v>1422</v>
      </c>
      <c r="E802" s="11" t="s">
        <v>1447</v>
      </c>
      <c r="F802" s="11" t="s">
        <v>331</v>
      </c>
      <c r="G802" s="11" t="n">
        <v>0</v>
      </c>
      <c r="H802" s="34" t="n">
        <v>1974.5</v>
      </c>
      <c r="I802" s="34" t="n">
        <v>2093</v>
      </c>
      <c r="J802" s="34" t="n">
        <v>-118.5</v>
      </c>
      <c r="K802" s="34" t="n">
        <v>-118.5</v>
      </c>
      <c r="L802" s="11" t="s">
        <v>991</v>
      </c>
      <c r="M802" s="11" t="s">
        <v>1250</v>
      </c>
      <c r="N802" s="11" t="s">
        <v>1251</v>
      </c>
      <c r="O802" s="11" t="s">
        <v>2005</v>
      </c>
      <c r="P802" s="11" t="s">
        <v>1557</v>
      </c>
      <c r="Q802" s="25" t="n">
        <f aca="false">SUMIFS('Commentary drivers'!$D:$D,'Commentary drivers'!$A:$A,A802)</f>
        <v>-118.5</v>
      </c>
      <c r="R802" s="25" t="n">
        <f aca="false">SUMIFS('Commentary drivers'!$E:$E,'Commentary drivers'!$A:$A,A802)</f>
        <v>-118.5</v>
      </c>
      <c r="S802" s="49" t="str">
        <f aca="false">IF(AND(ROUND(Q802-J802,4)=0,ROUND(R802-K802,1)=0),"✓","✗")</f>
        <v>✓</v>
      </c>
    </row>
    <row r="803" customFormat="false" ht="15" hidden="false" customHeight="false" outlineLevel="0" collapsed="false">
      <c r="A803" s="11" t="s">
        <v>2210</v>
      </c>
      <c r="B803" s="11" t="s">
        <v>133</v>
      </c>
      <c r="C803" s="11" t="s">
        <v>38</v>
      </c>
      <c r="D803" s="11" t="s">
        <v>1422</v>
      </c>
      <c r="E803" s="11" t="s">
        <v>1449</v>
      </c>
      <c r="F803" s="11" t="s">
        <v>230</v>
      </c>
      <c r="G803" s="11" t="n">
        <v>1</v>
      </c>
      <c r="H803" s="34" t="n">
        <v>701.5</v>
      </c>
      <c r="I803" s="34" t="n">
        <v>767</v>
      </c>
      <c r="J803" s="34" t="n">
        <v>-65.5</v>
      </c>
      <c r="K803" s="34" t="n">
        <v>-65.5</v>
      </c>
      <c r="L803" s="11" t="s">
        <v>934</v>
      </c>
      <c r="M803" s="11" t="s">
        <v>1250</v>
      </c>
      <c r="N803" s="11" t="s">
        <v>1251</v>
      </c>
      <c r="O803" s="11" t="s">
        <v>2005</v>
      </c>
      <c r="P803" s="11" t="s">
        <v>1557</v>
      </c>
      <c r="Q803" s="25" t="n">
        <f aca="false">SUMIFS('Commentary drivers'!$D:$D,'Commentary drivers'!$A:$A,A803)</f>
        <v>-65.5</v>
      </c>
      <c r="R803" s="25" t="n">
        <f aca="false">SUMIFS('Commentary drivers'!$E:$E,'Commentary drivers'!$A:$A,A803)</f>
        <v>-65.5</v>
      </c>
      <c r="S803" s="49" t="str">
        <f aca="false">IF(AND(ROUND(Q803-J803,4)=0,ROUND(R803-K803,1)=0),"✓","✗")</f>
        <v>✓</v>
      </c>
    </row>
    <row r="804" customFormat="false" ht="15" hidden="false" customHeight="false" outlineLevel="0" collapsed="false">
      <c r="A804" s="11" t="s">
        <v>2211</v>
      </c>
      <c r="B804" s="11" t="s">
        <v>133</v>
      </c>
      <c r="C804" s="11" t="s">
        <v>38</v>
      </c>
      <c r="D804" s="11" t="s">
        <v>1422</v>
      </c>
      <c r="E804" s="11" t="s">
        <v>1451</v>
      </c>
      <c r="F804" s="11" t="s">
        <v>242</v>
      </c>
      <c r="G804" s="11" t="n">
        <v>1</v>
      </c>
      <c r="H804" s="34" t="n">
        <v>1273</v>
      </c>
      <c r="I804" s="34" t="n">
        <v>1326</v>
      </c>
      <c r="J804" s="34" t="n">
        <v>-53</v>
      </c>
      <c r="K804" s="34" t="n">
        <v>-53</v>
      </c>
      <c r="L804" s="11" t="s">
        <v>940</v>
      </c>
      <c r="M804" s="11" t="s">
        <v>1315</v>
      </c>
      <c r="N804" s="11" t="s">
        <v>1251</v>
      </c>
      <c r="O804" s="11" t="s">
        <v>2005</v>
      </c>
      <c r="P804" s="11" t="s">
        <v>1557</v>
      </c>
      <c r="Q804" s="25" t="n">
        <f aca="false">SUMIFS('Commentary drivers'!$D:$D,'Commentary drivers'!$A:$A,A804)</f>
        <v>-53</v>
      </c>
      <c r="R804" s="25" t="n">
        <f aca="false">SUMIFS('Commentary drivers'!$E:$E,'Commentary drivers'!$A:$A,A804)</f>
        <v>-53</v>
      </c>
      <c r="S804" s="49" t="str">
        <f aca="false">IF(AND(ROUND(Q804-J804,4)=0,ROUND(R804-K804,1)=0),"✓","✗")</f>
        <v>✓</v>
      </c>
    </row>
    <row r="805" customFormat="false" ht="15" hidden="false" customHeight="false" outlineLevel="0" collapsed="false">
      <c r="A805" s="11" t="s">
        <v>2212</v>
      </c>
      <c r="B805" s="11" t="s">
        <v>133</v>
      </c>
      <c r="C805" s="11" t="s">
        <v>38</v>
      </c>
      <c r="D805" s="11" t="s">
        <v>1422</v>
      </c>
      <c r="E805" s="11" t="s">
        <v>1453</v>
      </c>
      <c r="F805" s="11" t="s">
        <v>334</v>
      </c>
      <c r="G805" s="11" t="n">
        <v>0</v>
      </c>
      <c r="H805" s="34" t="n">
        <v>1323.5</v>
      </c>
      <c r="I805" s="34" t="n">
        <v>1420</v>
      </c>
      <c r="J805" s="34" t="n">
        <v>-96.5</v>
      </c>
      <c r="K805" s="34" t="n">
        <v>-96.5</v>
      </c>
      <c r="L805" s="11" t="s">
        <v>992</v>
      </c>
      <c r="M805" s="11" t="s">
        <v>1250</v>
      </c>
      <c r="N805" s="11" t="s">
        <v>1251</v>
      </c>
      <c r="O805" s="11" t="s">
        <v>2005</v>
      </c>
      <c r="P805" s="11" t="s">
        <v>1557</v>
      </c>
      <c r="Q805" s="25" t="n">
        <f aca="false">SUMIFS('Commentary drivers'!$D:$D,'Commentary drivers'!$A:$A,A805)</f>
        <v>-96.5</v>
      </c>
      <c r="R805" s="25" t="n">
        <f aca="false">SUMIFS('Commentary drivers'!$E:$E,'Commentary drivers'!$A:$A,A805)</f>
        <v>-96.5</v>
      </c>
      <c r="S805" s="49" t="str">
        <f aca="false">IF(AND(ROUND(Q805-J805,4)=0,ROUND(R805-K805,1)=0),"✓","✗")</f>
        <v>✓</v>
      </c>
    </row>
    <row r="806" customFormat="false" ht="15" hidden="false" customHeight="false" outlineLevel="0" collapsed="false">
      <c r="A806" s="11" t="s">
        <v>2213</v>
      </c>
      <c r="B806" s="11" t="s">
        <v>133</v>
      </c>
      <c r="C806" s="11" t="s">
        <v>38</v>
      </c>
      <c r="D806" s="11" t="s">
        <v>1422</v>
      </c>
      <c r="E806" s="11" t="s">
        <v>1455</v>
      </c>
      <c r="F806" s="11" t="s">
        <v>233</v>
      </c>
      <c r="G806" s="11" t="n">
        <v>1</v>
      </c>
      <c r="H806" s="34" t="n">
        <v>289.5</v>
      </c>
      <c r="I806" s="34" t="n">
        <v>320</v>
      </c>
      <c r="J806" s="34" t="n">
        <v>-30.5</v>
      </c>
      <c r="K806" s="34" t="n">
        <v>-30.5</v>
      </c>
      <c r="L806" s="11" t="s">
        <v>935</v>
      </c>
      <c r="M806" s="11" t="s">
        <v>1250</v>
      </c>
      <c r="N806" s="11" t="s">
        <v>1251</v>
      </c>
      <c r="O806" s="11" t="s">
        <v>2005</v>
      </c>
      <c r="P806" s="11" t="s">
        <v>1557</v>
      </c>
      <c r="Q806" s="25" t="n">
        <f aca="false">SUMIFS('Commentary drivers'!$D:$D,'Commentary drivers'!$A:$A,A806)</f>
        <v>-30.5</v>
      </c>
      <c r="R806" s="25" t="n">
        <f aca="false">SUMIFS('Commentary drivers'!$E:$E,'Commentary drivers'!$A:$A,A806)</f>
        <v>-30.5</v>
      </c>
      <c r="S806" s="49" t="str">
        <f aca="false">IF(AND(ROUND(Q806-J806,4)=0,ROUND(R806-K806,1)=0),"✓","✗")</f>
        <v>✓</v>
      </c>
    </row>
    <row r="807" customFormat="false" ht="15" hidden="false" customHeight="false" outlineLevel="0" collapsed="false">
      <c r="A807" s="11" t="s">
        <v>2214</v>
      </c>
      <c r="B807" s="11" t="s">
        <v>133</v>
      </c>
      <c r="C807" s="11" t="s">
        <v>38</v>
      </c>
      <c r="D807" s="11" t="s">
        <v>1422</v>
      </c>
      <c r="E807" s="11" t="s">
        <v>1457</v>
      </c>
      <c r="F807" s="11" t="s">
        <v>204</v>
      </c>
      <c r="G807" s="11" t="n">
        <v>1</v>
      </c>
      <c r="H807" s="34" t="n">
        <v>450</v>
      </c>
      <c r="I807" s="34" t="n">
        <v>472</v>
      </c>
      <c r="J807" s="34" t="n">
        <v>-22</v>
      </c>
      <c r="K807" s="34" t="n">
        <v>-22</v>
      </c>
      <c r="L807" s="11" t="s">
        <v>993</v>
      </c>
      <c r="M807" s="11" t="s">
        <v>1250</v>
      </c>
      <c r="N807" s="11" t="s">
        <v>1251</v>
      </c>
      <c r="O807" s="11" t="s">
        <v>2005</v>
      </c>
      <c r="P807" s="11" t="s">
        <v>1557</v>
      </c>
      <c r="Q807" s="25" t="n">
        <f aca="false">SUMIFS('Commentary drivers'!$D:$D,'Commentary drivers'!$A:$A,A807)</f>
        <v>-22</v>
      </c>
      <c r="R807" s="25" t="n">
        <f aca="false">SUMIFS('Commentary drivers'!$E:$E,'Commentary drivers'!$A:$A,A807)</f>
        <v>-22</v>
      </c>
      <c r="S807" s="49" t="str">
        <f aca="false">IF(AND(ROUND(Q807-J807,4)=0,ROUND(R807-K807,1)=0),"✓","✗")</f>
        <v>✓</v>
      </c>
    </row>
    <row r="808" customFormat="false" ht="15" hidden="false" customHeight="false" outlineLevel="0" collapsed="false">
      <c r="A808" s="11" t="s">
        <v>2215</v>
      </c>
      <c r="B808" s="11" t="s">
        <v>133</v>
      </c>
      <c r="C808" s="11" t="s">
        <v>38</v>
      </c>
      <c r="D808" s="11" t="s">
        <v>1422</v>
      </c>
      <c r="E808" s="11" t="s">
        <v>1459</v>
      </c>
      <c r="F808" s="11" t="s">
        <v>207</v>
      </c>
      <c r="G808" s="11" t="n">
        <v>1</v>
      </c>
      <c r="H808" s="34" t="n">
        <v>584</v>
      </c>
      <c r="I808" s="34" t="n">
        <v>628</v>
      </c>
      <c r="J808" s="34" t="n">
        <v>-44</v>
      </c>
      <c r="K808" s="34" t="n">
        <v>-44</v>
      </c>
      <c r="L808" s="11" t="s">
        <v>994</v>
      </c>
      <c r="M808" s="11" t="s">
        <v>1250</v>
      </c>
      <c r="N808" s="11" t="s">
        <v>1251</v>
      </c>
      <c r="O808" s="11" t="s">
        <v>2005</v>
      </c>
      <c r="P808" s="11" t="s">
        <v>1557</v>
      </c>
      <c r="Q808" s="25" t="n">
        <f aca="false">SUMIFS('Commentary drivers'!$D:$D,'Commentary drivers'!$A:$A,A808)</f>
        <v>-44</v>
      </c>
      <c r="R808" s="25" t="n">
        <f aca="false">SUMIFS('Commentary drivers'!$E:$E,'Commentary drivers'!$A:$A,A808)</f>
        <v>-44</v>
      </c>
      <c r="S808" s="49" t="str">
        <f aca="false">IF(AND(ROUND(Q808-J808,4)=0,ROUND(R808-K808,1)=0),"✓","✗")</f>
        <v>✓</v>
      </c>
    </row>
    <row r="809" customFormat="false" ht="15" hidden="false" customHeight="false" outlineLevel="0" collapsed="false">
      <c r="A809" s="11" t="s">
        <v>2216</v>
      </c>
      <c r="B809" s="11" t="s">
        <v>133</v>
      </c>
      <c r="C809" s="11" t="s">
        <v>38</v>
      </c>
      <c r="D809" s="11" t="s">
        <v>1422</v>
      </c>
      <c r="E809" s="11" t="s">
        <v>1461</v>
      </c>
      <c r="F809" s="11" t="s">
        <v>339</v>
      </c>
      <c r="G809" s="11" t="n">
        <v>0</v>
      </c>
      <c r="H809" s="34" t="n">
        <v>13040.43</v>
      </c>
      <c r="I809" s="34" t="n">
        <v>13602.989</v>
      </c>
      <c r="J809" s="34" t="n">
        <v>-562.559</v>
      </c>
      <c r="K809" s="34" t="n">
        <v>-562.6</v>
      </c>
      <c r="L809" s="11" t="s">
        <v>995</v>
      </c>
      <c r="M809" s="11" t="s">
        <v>1250</v>
      </c>
      <c r="N809" s="11" t="s">
        <v>1251</v>
      </c>
      <c r="O809" s="11" t="s">
        <v>2005</v>
      </c>
      <c r="P809" s="11" t="s">
        <v>1557</v>
      </c>
      <c r="Q809" s="25" t="n">
        <f aca="false">SUMIFS('Commentary drivers'!$D:$D,'Commentary drivers'!$A:$A,A809)</f>
        <v>-562.559</v>
      </c>
      <c r="R809" s="25" t="n">
        <f aca="false">SUMIFS('Commentary drivers'!$E:$E,'Commentary drivers'!$A:$A,A809)</f>
        <v>-562.6</v>
      </c>
      <c r="S809" s="49" t="str">
        <f aca="false">IF(AND(ROUND(Q809-J809,4)=0,ROUND(R809-K809,1)=0),"✓","✗")</f>
        <v>✓</v>
      </c>
    </row>
    <row r="810" customFormat="false" ht="15" hidden="false" customHeight="false" outlineLevel="0" collapsed="false">
      <c r="A810" s="11" t="s">
        <v>2217</v>
      </c>
      <c r="B810" s="11" t="s">
        <v>133</v>
      </c>
      <c r="C810" s="11" t="s">
        <v>38</v>
      </c>
      <c r="D810" s="11" t="s">
        <v>1422</v>
      </c>
      <c r="E810" s="11" t="s">
        <v>1463</v>
      </c>
      <c r="F810" s="11" t="s">
        <v>96</v>
      </c>
      <c r="G810" s="11" t="n">
        <v>0</v>
      </c>
      <c r="H810" s="34" t="n">
        <v>2108.925</v>
      </c>
      <c r="I810" s="34" t="n">
        <v>2012.969</v>
      </c>
      <c r="J810" s="34" t="n">
        <v>95.956</v>
      </c>
      <c r="K810" s="34" t="n">
        <v>96</v>
      </c>
      <c r="L810" s="11" t="s">
        <v>996</v>
      </c>
      <c r="M810" s="11" t="s">
        <v>1250</v>
      </c>
      <c r="N810" s="11" t="s">
        <v>1251</v>
      </c>
      <c r="O810" s="11" t="s">
        <v>2005</v>
      </c>
      <c r="P810" s="11" t="s">
        <v>1557</v>
      </c>
      <c r="Q810" s="25" t="n">
        <f aca="false">SUMIFS('Commentary drivers'!$D:$D,'Commentary drivers'!$A:$A,A810)</f>
        <v>95.956</v>
      </c>
      <c r="R810" s="25" t="n">
        <f aca="false">SUMIFS('Commentary drivers'!$E:$E,'Commentary drivers'!$A:$A,A810)</f>
        <v>96</v>
      </c>
      <c r="S810" s="49" t="str">
        <f aca="false">IF(AND(ROUND(Q810-J810,4)=0,ROUND(R810-K810,1)=0),"✓","✗")</f>
        <v>✓</v>
      </c>
    </row>
    <row r="811" customFormat="false" ht="15" hidden="false" customHeight="false" outlineLevel="0" collapsed="false">
      <c r="A811" s="11" t="s">
        <v>2218</v>
      </c>
      <c r="B811" s="11" t="s">
        <v>133</v>
      </c>
      <c r="C811" s="11" t="s">
        <v>38</v>
      </c>
      <c r="D811" s="11" t="s">
        <v>1422</v>
      </c>
      <c r="E811" s="11" t="s">
        <v>1465</v>
      </c>
      <c r="F811" s="11" t="s">
        <v>343</v>
      </c>
      <c r="G811" s="11" t="n">
        <v>0</v>
      </c>
      <c r="H811" s="34" t="n">
        <v>-153</v>
      </c>
      <c r="I811" s="34" t="n">
        <v>-172</v>
      </c>
      <c r="J811" s="34" t="n">
        <v>19</v>
      </c>
      <c r="K811" s="34" t="n">
        <v>19</v>
      </c>
      <c r="L811" s="11" t="s">
        <v>997</v>
      </c>
      <c r="M811" s="11" t="s">
        <v>1250</v>
      </c>
      <c r="N811" s="11" t="s">
        <v>1251</v>
      </c>
      <c r="O811" s="11" t="s">
        <v>2005</v>
      </c>
      <c r="P811" s="11" t="s">
        <v>1557</v>
      </c>
      <c r="Q811" s="25" t="n">
        <f aca="false">SUMIFS('Commentary drivers'!$D:$D,'Commentary drivers'!$A:$A,A811)</f>
        <v>19</v>
      </c>
      <c r="R811" s="25" t="n">
        <f aca="false">SUMIFS('Commentary drivers'!$E:$E,'Commentary drivers'!$A:$A,A811)</f>
        <v>19</v>
      </c>
      <c r="S811" s="49" t="str">
        <f aca="false">IF(AND(ROUND(Q811-J811,4)=0,ROUND(R811-K811,1)=0),"✓","✗")</f>
        <v>✓</v>
      </c>
    </row>
    <row r="812" customFormat="false" ht="15" hidden="false" customHeight="false" outlineLevel="0" collapsed="false">
      <c r="A812" s="11" t="s">
        <v>2219</v>
      </c>
      <c r="B812" s="11" t="s">
        <v>133</v>
      </c>
      <c r="C812" s="11" t="s">
        <v>38</v>
      </c>
      <c r="D812" s="11" t="s">
        <v>1422</v>
      </c>
      <c r="E812" s="11" t="s">
        <v>1467</v>
      </c>
      <c r="F812" s="11" t="s">
        <v>345</v>
      </c>
      <c r="G812" s="11" t="n">
        <v>1</v>
      </c>
      <c r="H812" s="34" t="n">
        <v>89.5</v>
      </c>
      <c r="I812" s="34" t="n">
        <v>72</v>
      </c>
      <c r="J812" s="34" t="n">
        <v>17.5</v>
      </c>
      <c r="K812" s="34" t="n">
        <v>17.5</v>
      </c>
      <c r="L812" s="11" t="s">
        <v>945</v>
      </c>
      <c r="M812" s="11" t="s">
        <v>1250</v>
      </c>
      <c r="N812" s="11" t="s">
        <v>1251</v>
      </c>
      <c r="O812" s="11" t="s">
        <v>2005</v>
      </c>
      <c r="P812" s="11" t="s">
        <v>1557</v>
      </c>
      <c r="Q812" s="25" t="n">
        <f aca="false">SUMIFS('Commentary drivers'!$D:$D,'Commentary drivers'!$A:$A,A812)</f>
        <v>17.5</v>
      </c>
      <c r="R812" s="25" t="n">
        <f aca="false">SUMIFS('Commentary drivers'!$E:$E,'Commentary drivers'!$A:$A,A812)</f>
        <v>17.5</v>
      </c>
      <c r="S812" s="49" t="str">
        <f aca="false">IF(AND(ROUND(Q812-J812,4)=0,ROUND(R812-K812,1)=0),"✓","✗")</f>
        <v>✓</v>
      </c>
    </row>
    <row r="813" customFormat="false" ht="15" hidden="false" customHeight="false" outlineLevel="0" collapsed="false">
      <c r="A813" s="11" t="s">
        <v>2220</v>
      </c>
      <c r="B813" s="11" t="s">
        <v>133</v>
      </c>
      <c r="C813" s="11" t="s">
        <v>38</v>
      </c>
      <c r="D813" s="11" t="s">
        <v>1422</v>
      </c>
      <c r="E813" s="11" t="s">
        <v>1469</v>
      </c>
      <c r="F813" s="11" t="s">
        <v>346</v>
      </c>
      <c r="G813" s="11" t="n">
        <v>1</v>
      </c>
      <c r="H813" s="34" t="n">
        <v>242.5</v>
      </c>
      <c r="I813" s="34" t="n">
        <v>244</v>
      </c>
      <c r="J813" s="34" t="n">
        <v>-1.5</v>
      </c>
      <c r="K813" s="34" t="n">
        <v>-1.5</v>
      </c>
      <c r="L813" s="11" t="s">
        <v>946</v>
      </c>
      <c r="M813" s="11" t="s">
        <v>1250</v>
      </c>
      <c r="N813" s="11" t="s">
        <v>1262</v>
      </c>
      <c r="O813" s="11"/>
      <c r="P813" s="11"/>
      <c r="Q813" s="25" t="n">
        <f aca="false">SUMIFS('Commentary drivers'!$D:$D,'Commentary drivers'!$A:$A,A813)</f>
        <v>-1.5</v>
      </c>
      <c r="R813" s="25" t="n">
        <f aca="false">SUMIFS('Commentary drivers'!$E:$E,'Commentary drivers'!$A:$A,A813)</f>
        <v>-1.5</v>
      </c>
      <c r="S813" s="49" t="str">
        <f aca="false">IF(AND(ROUND(Q813-J813,4)=0,ROUND(R813-K813,1)=0),"✓","✗")</f>
        <v>✓</v>
      </c>
    </row>
    <row r="814" customFormat="false" ht="15" hidden="false" customHeight="false" outlineLevel="0" collapsed="false">
      <c r="A814" s="11" t="s">
        <v>2221</v>
      </c>
      <c r="B814" s="11" t="s">
        <v>133</v>
      </c>
      <c r="C814" s="11" t="s">
        <v>38</v>
      </c>
      <c r="D814" s="11" t="s">
        <v>1422</v>
      </c>
      <c r="E814" s="11" t="s">
        <v>1471</v>
      </c>
      <c r="F814" s="11" t="s">
        <v>347</v>
      </c>
      <c r="G814" s="11" t="n">
        <v>0</v>
      </c>
      <c r="H814" s="34" t="n">
        <v>260.5</v>
      </c>
      <c r="I814" s="34" t="n">
        <v>300</v>
      </c>
      <c r="J814" s="34" t="n">
        <v>-39.5</v>
      </c>
      <c r="K814" s="34" t="n">
        <v>-39.5</v>
      </c>
      <c r="L814" s="11" t="s">
        <v>948</v>
      </c>
      <c r="M814" s="11" t="s">
        <v>1250</v>
      </c>
      <c r="N814" s="11" t="s">
        <v>1251</v>
      </c>
      <c r="O814" s="11" t="s">
        <v>2005</v>
      </c>
      <c r="P814" s="11" t="s">
        <v>1557</v>
      </c>
      <c r="Q814" s="25" t="n">
        <f aca="false">SUMIFS('Commentary drivers'!$D:$D,'Commentary drivers'!$A:$A,A814)</f>
        <v>-39.5</v>
      </c>
      <c r="R814" s="25" t="n">
        <f aca="false">SUMIFS('Commentary drivers'!$E:$E,'Commentary drivers'!$A:$A,A814)</f>
        <v>-39.5</v>
      </c>
      <c r="S814" s="49" t="str">
        <f aca="false">IF(AND(ROUND(Q814-J814,4)=0,ROUND(R814-K814,1)=0),"✓","✗")</f>
        <v>✓</v>
      </c>
    </row>
    <row r="815" customFormat="false" ht="15" hidden="false" customHeight="false" outlineLevel="0" collapsed="false">
      <c r="A815" s="11" t="s">
        <v>2222</v>
      </c>
      <c r="B815" s="11" t="s">
        <v>133</v>
      </c>
      <c r="C815" s="11" t="s">
        <v>38</v>
      </c>
      <c r="D815" s="11" t="s">
        <v>1422</v>
      </c>
      <c r="E815" s="11" t="s">
        <v>1473</v>
      </c>
      <c r="F815" s="11" t="s">
        <v>97</v>
      </c>
      <c r="G815" s="11" t="n">
        <v>0</v>
      </c>
      <c r="H815" s="34" t="n">
        <v>1695.425</v>
      </c>
      <c r="I815" s="34" t="n">
        <v>1540.969</v>
      </c>
      <c r="J815" s="34" t="n">
        <v>154.456</v>
      </c>
      <c r="K815" s="34" t="n">
        <v>154.5</v>
      </c>
      <c r="L815" s="11" t="s">
        <v>998</v>
      </c>
      <c r="M815" s="11" t="s">
        <v>1250</v>
      </c>
      <c r="N815" s="11" t="s">
        <v>1251</v>
      </c>
      <c r="O815" s="11" t="s">
        <v>2005</v>
      </c>
      <c r="P815" s="11" t="s">
        <v>1557</v>
      </c>
      <c r="Q815" s="25" t="n">
        <f aca="false">SUMIFS('Commentary drivers'!$D:$D,'Commentary drivers'!$A:$A,A815)</f>
        <v>154.456</v>
      </c>
      <c r="R815" s="25" t="n">
        <f aca="false">SUMIFS('Commentary drivers'!$E:$E,'Commentary drivers'!$A:$A,A815)</f>
        <v>154.5</v>
      </c>
      <c r="S815" s="49" t="str">
        <f aca="false">IF(AND(ROUND(Q815-J815,4)=0,ROUND(R815-K815,1)=0),"✓","✗")</f>
        <v>✓</v>
      </c>
    </row>
    <row r="816" customFormat="false" ht="15" hidden="false" customHeight="false" outlineLevel="0" collapsed="false">
      <c r="A816" s="11" t="s">
        <v>2223</v>
      </c>
      <c r="B816" s="11" t="s">
        <v>134</v>
      </c>
      <c r="C816" s="11" t="s">
        <v>40</v>
      </c>
      <c r="D816" s="11" t="s">
        <v>1248</v>
      </c>
      <c r="E816" s="11" t="s">
        <v>1249</v>
      </c>
      <c r="F816" s="11" t="s">
        <v>153</v>
      </c>
      <c r="G816" s="11" t="n">
        <v>0</v>
      </c>
      <c r="H816" s="34" t="n">
        <v>1800</v>
      </c>
      <c r="I816" s="34" t="n">
        <v>1794.762</v>
      </c>
      <c r="J816" s="34" t="n">
        <v>5.238</v>
      </c>
      <c r="K816" s="34" t="n">
        <v>5.2</v>
      </c>
      <c r="L816" s="11" t="s">
        <v>1000</v>
      </c>
      <c r="M816" s="11" t="s">
        <v>1250</v>
      </c>
      <c r="N816" s="11" t="s">
        <v>1262</v>
      </c>
      <c r="O816" s="11"/>
      <c r="P816" s="11"/>
      <c r="Q816" s="25" t="n">
        <f aca="false">SUMIFS('Commentary drivers'!$D:$D,'Commentary drivers'!$A:$A,A816)</f>
        <v>5.238</v>
      </c>
      <c r="R816" s="25" t="n">
        <f aca="false">SUMIFS('Commentary drivers'!$E:$E,'Commentary drivers'!$A:$A,A816)</f>
        <v>5.2</v>
      </c>
      <c r="S816" s="49" t="str">
        <f aca="false">IF(AND(ROUND(Q816-J816,4)=0,ROUND(R816-K816,1)=0),"✓","✗")</f>
        <v>✓</v>
      </c>
    </row>
    <row r="817" customFormat="false" ht="15" hidden="false" customHeight="false" outlineLevel="0" collapsed="false">
      <c r="A817" s="11" t="s">
        <v>2224</v>
      </c>
      <c r="B817" s="11" t="s">
        <v>134</v>
      </c>
      <c r="C817" s="11" t="s">
        <v>40</v>
      </c>
      <c r="D817" s="11" t="s">
        <v>1248</v>
      </c>
      <c r="E817" s="11" t="s">
        <v>1255</v>
      </c>
      <c r="F817" s="11" t="s">
        <v>154</v>
      </c>
      <c r="G817" s="11" t="n">
        <v>0</v>
      </c>
      <c r="H817" s="34" t="n">
        <v>200</v>
      </c>
      <c r="I817" s="34" t="n">
        <v>205</v>
      </c>
      <c r="J817" s="34" t="n">
        <v>-5</v>
      </c>
      <c r="K817" s="34" t="n">
        <v>-5</v>
      </c>
      <c r="L817" s="11" t="s">
        <v>1001</v>
      </c>
      <c r="M817" s="11" t="s">
        <v>1250</v>
      </c>
      <c r="N817" s="11" t="s">
        <v>1262</v>
      </c>
      <c r="O817" s="11"/>
      <c r="P817" s="11"/>
      <c r="Q817" s="25" t="n">
        <f aca="false">SUMIFS('Commentary drivers'!$D:$D,'Commentary drivers'!$A:$A,A817)</f>
        <v>-5</v>
      </c>
      <c r="R817" s="25" t="n">
        <f aca="false">SUMIFS('Commentary drivers'!$E:$E,'Commentary drivers'!$A:$A,A817)</f>
        <v>-5</v>
      </c>
      <c r="S817" s="49" t="str">
        <f aca="false">IF(AND(ROUND(Q817-J817,4)=0,ROUND(R817-K817,1)=0),"✓","✗")</f>
        <v>✓</v>
      </c>
    </row>
    <row r="818" customFormat="false" ht="15" hidden="false" customHeight="false" outlineLevel="0" collapsed="false">
      <c r="A818" s="11" t="s">
        <v>2225</v>
      </c>
      <c r="B818" s="11" t="s">
        <v>134</v>
      </c>
      <c r="C818" s="11" t="s">
        <v>40</v>
      </c>
      <c r="D818" s="11" t="s">
        <v>1248</v>
      </c>
      <c r="E818" s="11" t="s">
        <v>1257</v>
      </c>
      <c r="F818" s="11" t="s">
        <v>91</v>
      </c>
      <c r="G818" s="11" t="n">
        <v>0</v>
      </c>
      <c r="H818" s="34" t="n">
        <v>2000</v>
      </c>
      <c r="I818" s="34" t="n">
        <v>1999.762</v>
      </c>
      <c r="J818" s="34" t="n">
        <v>0.238</v>
      </c>
      <c r="K818" s="34" t="n">
        <v>0.2</v>
      </c>
      <c r="L818" s="11" t="s">
        <v>1002</v>
      </c>
      <c r="M818" s="11" t="s">
        <v>1250</v>
      </c>
      <c r="N818" s="11" t="s">
        <v>1251</v>
      </c>
      <c r="O818" s="11" t="s">
        <v>2005</v>
      </c>
      <c r="P818" s="11" t="s">
        <v>1557</v>
      </c>
      <c r="Q818" s="25" t="n">
        <f aca="false">SUMIFS('Commentary drivers'!$D:$D,'Commentary drivers'!$A:$A,A818)</f>
        <v>0.238</v>
      </c>
      <c r="R818" s="25" t="n">
        <f aca="false">SUMIFS('Commentary drivers'!$E:$E,'Commentary drivers'!$A:$A,A818)</f>
        <v>0.199999999999996</v>
      </c>
      <c r="S818" s="49" t="str">
        <f aca="false">IF(AND(ROUND(Q818-J818,4)=0,ROUND(R818-K818,1)=0),"✓","✗")</f>
        <v>✓</v>
      </c>
    </row>
    <row r="819" customFormat="false" ht="15" hidden="false" customHeight="false" outlineLevel="0" collapsed="false">
      <c r="A819" s="11" t="s">
        <v>2226</v>
      </c>
      <c r="B819" s="11" t="s">
        <v>134</v>
      </c>
      <c r="C819" s="11" t="s">
        <v>40</v>
      </c>
      <c r="D819" s="11" t="s">
        <v>1248</v>
      </c>
      <c r="E819" s="11" t="s">
        <v>1259</v>
      </c>
      <c r="F819" s="11" t="s">
        <v>155</v>
      </c>
      <c r="G819" s="11" t="n">
        <v>0</v>
      </c>
      <c r="H819" s="34" t="n">
        <v>540</v>
      </c>
      <c r="I819" s="34" t="n">
        <v>533.38315</v>
      </c>
      <c r="J819" s="34" t="n">
        <v>6.61685</v>
      </c>
      <c r="K819" s="34" t="n">
        <v>6.6</v>
      </c>
      <c r="L819" s="11" t="s">
        <v>1003</v>
      </c>
      <c r="M819" s="11" t="s">
        <v>1250</v>
      </c>
      <c r="N819" s="11" t="s">
        <v>1251</v>
      </c>
      <c r="O819" s="11" t="s">
        <v>2005</v>
      </c>
      <c r="P819" s="11" t="s">
        <v>1557</v>
      </c>
      <c r="Q819" s="25" t="n">
        <f aca="false">SUMIFS('Commentary drivers'!$D:$D,'Commentary drivers'!$A:$A,A819)</f>
        <v>6.61685</v>
      </c>
      <c r="R819" s="25" t="n">
        <f aca="false">SUMIFS('Commentary drivers'!$E:$E,'Commentary drivers'!$A:$A,A819)</f>
        <v>6.6</v>
      </c>
      <c r="S819" s="49" t="str">
        <f aca="false">IF(AND(ROUND(Q819-J819,4)=0,ROUND(R819-K819,1)=0),"✓","✗")</f>
        <v>✓</v>
      </c>
    </row>
    <row r="820" customFormat="false" ht="15" hidden="false" customHeight="false" outlineLevel="0" collapsed="false">
      <c r="A820" s="11" t="s">
        <v>2227</v>
      </c>
      <c r="B820" s="11" t="s">
        <v>134</v>
      </c>
      <c r="C820" s="11" t="s">
        <v>40</v>
      </c>
      <c r="D820" s="11" t="s">
        <v>1248</v>
      </c>
      <c r="E820" s="11" t="s">
        <v>1261</v>
      </c>
      <c r="F820" s="11" t="s">
        <v>189</v>
      </c>
      <c r="G820" s="11" t="n">
        <v>1</v>
      </c>
      <c r="H820" s="34" t="n">
        <v>140</v>
      </c>
      <c r="I820" s="34" t="n">
        <v>139</v>
      </c>
      <c r="J820" s="34" t="n">
        <v>1</v>
      </c>
      <c r="K820" s="34" t="n">
        <v>1</v>
      </c>
      <c r="L820" s="11" t="s">
        <v>1004</v>
      </c>
      <c r="M820" s="11" t="s">
        <v>1250</v>
      </c>
      <c r="N820" s="11" t="s">
        <v>1262</v>
      </c>
      <c r="O820" s="11"/>
      <c r="P820" s="11"/>
      <c r="Q820" s="25" t="n">
        <f aca="false">SUMIFS('Commentary drivers'!$D:$D,'Commentary drivers'!$A:$A,A820)</f>
        <v>1</v>
      </c>
      <c r="R820" s="25" t="n">
        <f aca="false">SUMIFS('Commentary drivers'!$E:$E,'Commentary drivers'!$A:$A,A820)</f>
        <v>1</v>
      </c>
      <c r="S820" s="49" t="str">
        <f aca="false">IF(AND(ROUND(Q820-J820,4)=0,ROUND(R820-K820,1)=0),"✓","✗")</f>
        <v>✓</v>
      </c>
    </row>
    <row r="821" customFormat="false" ht="15" hidden="false" customHeight="false" outlineLevel="0" collapsed="false">
      <c r="A821" s="11" t="s">
        <v>2228</v>
      </c>
      <c r="B821" s="11" t="s">
        <v>134</v>
      </c>
      <c r="C821" s="11" t="s">
        <v>40</v>
      </c>
      <c r="D821" s="11" t="s">
        <v>1248</v>
      </c>
      <c r="E821" s="11" t="s">
        <v>1264</v>
      </c>
      <c r="F821" s="11" t="s">
        <v>192</v>
      </c>
      <c r="G821" s="11" t="n">
        <v>1</v>
      </c>
      <c r="H821" s="34" t="n">
        <v>100</v>
      </c>
      <c r="I821" s="34" t="n">
        <v>102.65125</v>
      </c>
      <c r="J821" s="34" t="n">
        <v>-2.65125</v>
      </c>
      <c r="K821" s="34" t="n">
        <v>-2.7</v>
      </c>
      <c r="L821" s="11" t="s">
        <v>1005</v>
      </c>
      <c r="M821" s="11" t="s">
        <v>1250</v>
      </c>
      <c r="N821" s="11" t="s">
        <v>1262</v>
      </c>
      <c r="O821" s="11"/>
      <c r="P821" s="11"/>
      <c r="Q821" s="25" t="n">
        <f aca="false">SUMIFS('Commentary drivers'!$D:$D,'Commentary drivers'!$A:$A,A821)</f>
        <v>-2.65125</v>
      </c>
      <c r="R821" s="25" t="n">
        <f aca="false">SUMIFS('Commentary drivers'!$E:$E,'Commentary drivers'!$A:$A,A821)</f>
        <v>-2.7</v>
      </c>
      <c r="S821" s="49" t="str">
        <f aca="false">IF(AND(ROUND(Q821-J821,4)=0,ROUND(R821-K821,1)=0),"✓","✗")</f>
        <v>✓</v>
      </c>
    </row>
    <row r="822" customFormat="false" ht="15" hidden="false" customHeight="false" outlineLevel="0" collapsed="false">
      <c r="A822" s="11" t="s">
        <v>2229</v>
      </c>
      <c r="B822" s="11" t="s">
        <v>134</v>
      </c>
      <c r="C822" s="11" t="s">
        <v>40</v>
      </c>
      <c r="D822" s="11" t="s">
        <v>1248</v>
      </c>
      <c r="E822" s="11" t="s">
        <v>1266</v>
      </c>
      <c r="F822" s="11" t="s">
        <v>195</v>
      </c>
      <c r="G822" s="11" t="n">
        <v>1</v>
      </c>
      <c r="H822" s="34" t="n">
        <v>84</v>
      </c>
      <c r="I822" s="34" t="n">
        <v>83.5359</v>
      </c>
      <c r="J822" s="34" t="n">
        <v>0.4641</v>
      </c>
      <c r="K822" s="34" t="n">
        <v>0.5</v>
      </c>
      <c r="L822" s="11" t="s">
        <v>1006</v>
      </c>
      <c r="M822" s="11" t="s">
        <v>1250</v>
      </c>
      <c r="N822" s="11" t="s">
        <v>1262</v>
      </c>
      <c r="O822" s="11"/>
      <c r="P822" s="11"/>
      <c r="Q822" s="25" t="n">
        <f aca="false">SUMIFS('Commentary drivers'!$D:$D,'Commentary drivers'!$A:$A,A822)</f>
        <v>0.4641</v>
      </c>
      <c r="R822" s="25" t="n">
        <f aca="false">SUMIFS('Commentary drivers'!$E:$E,'Commentary drivers'!$A:$A,A822)</f>
        <v>0.5</v>
      </c>
      <c r="S822" s="49" t="str">
        <f aca="false">IF(AND(ROUND(Q822-J822,4)=0,ROUND(R822-K822,1)=0),"✓","✗")</f>
        <v>✓</v>
      </c>
    </row>
    <row r="823" customFormat="false" ht="15" hidden="false" customHeight="false" outlineLevel="0" collapsed="false">
      <c r="A823" s="11" t="s">
        <v>2230</v>
      </c>
      <c r="B823" s="11" t="s">
        <v>134</v>
      </c>
      <c r="C823" s="11" t="s">
        <v>40</v>
      </c>
      <c r="D823" s="11" t="s">
        <v>1248</v>
      </c>
      <c r="E823" s="11" t="s">
        <v>1268</v>
      </c>
      <c r="F823" s="11" t="s">
        <v>198</v>
      </c>
      <c r="G823" s="11" t="n">
        <v>1</v>
      </c>
      <c r="H823" s="34" t="n">
        <v>160</v>
      </c>
      <c r="I823" s="34" t="n">
        <v>153.796</v>
      </c>
      <c r="J823" s="34" t="n">
        <v>6.204</v>
      </c>
      <c r="K823" s="34" t="n">
        <v>6.2</v>
      </c>
      <c r="L823" s="11" t="s">
        <v>1007</v>
      </c>
      <c r="M823" s="11" t="s">
        <v>1250</v>
      </c>
      <c r="N823" s="11" t="s">
        <v>1262</v>
      </c>
      <c r="O823" s="11"/>
      <c r="P823" s="11"/>
      <c r="Q823" s="25" t="n">
        <f aca="false">SUMIFS('Commentary drivers'!$D:$D,'Commentary drivers'!$A:$A,A823)</f>
        <v>6.204</v>
      </c>
      <c r="R823" s="25" t="n">
        <f aca="false">SUMIFS('Commentary drivers'!$E:$E,'Commentary drivers'!$A:$A,A823)</f>
        <v>6.2</v>
      </c>
      <c r="S823" s="49" t="str">
        <f aca="false">IF(AND(ROUND(Q823-J823,4)=0,ROUND(R823-K823,1)=0),"✓","✗")</f>
        <v>✓</v>
      </c>
    </row>
    <row r="824" customFormat="false" ht="15" hidden="false" customHeight="false" outlineLevel="0" collapsed="false">
      <c r="A824" s="11" t="s">
        <v>2231</v>
      </c>
      <c r="B824" s="11" t="s">
        <v>134</v>
      </c>
      <c r="C824" s="11" t="s">
        <v>40</v>
      </c>
      <c r="D824" s="11" t="s">
        <v>1248</v>
      </c>
      <c r="E824" s="11" t="s">
        <v>1270</v>
      </c>
      <c r="F824" s="11" t="s">
        <v>201</v>
      </c>
      <c r="G824" s="11" t="n">
        <v>1</v>
      </c>
      <c r="H824" s="34" t="n">
        <v>16</v>
      </c>
      <c r="I824" s="34" t="n">
        <v>14.4</v>
      </c>
      <c r="J824" s="34" t="n">
        <v>1.6</v>
      </c>
      <c r="K824" s="34" t="n">
        <v>1.6</v>
      </c>
      <c r="L824" s="11" t="s">
        <v>1008</v>
      </c>
      <c r="M824" s="11" t="s">
        <v>1250</v>
      </c>
      <c r="N824" s="11" t="s">
        <v>1262</v>
      </c>
      <c r="O824" s="11"/>
      <c r="P824" s="11"/>
      <c r="Q824" s="25" t="n">
        <f aca="false">SUMIFS('Commentary drivers'!$D:$D,'Commentary drivers'!$A:$A,A824)</f>
        <v>1.6</v>
      </c>
      <c r="R824" s="25" t="n">
        <f aca="false">SUMIFS('Commentary drivers'!$E:$E,'Commentary drivers'!$A:$A,A824)</f>
        <v>1.6</v>
      </c>
      <c r="S824" s="49" t="str">
        <f aca="false">IF(AND(ROUND(Q824-J824,4)=0,ROUND(R824-K824,1)=0),"✓","✗")</f>
        <v>✓</v>
      </c>
    </row>
    <row r="825" customFormat="false" ht="15" hidden="false" customHeight="false" outlineLevel="0" collapsed="false">
      <c r="A825" s="11" t="s">
        <v>2232</v>
      </c>
      <c r="B825" s="11" t="s">
        <v>134</v>
      </c>
      <c r="C825" s="11" t="s">
        <v>40</v>
      </c>
      <c r="D825" s="11" t="s">
        <v>1248</v>
      </c>
      <c r="E825" s="11" t="s">
        <v>1272</v>
      </c>
      <c r="F825" s="11" t="s">
        <v>204</v>
      </c>
      <c r="G825" s="11" t="n">
        <v>1</v>
      </c>
      <c r="H825" s="34" t="n">
        <v>20</v>
      </c>
      <c r="I825" s="34" t="n">
        <v>20</v>
      </c>
      <c r="J825" s="34" t="n">
        <v>0</v>
      </c>
      <c r="K825" s="34" t="n">
        <v>0</v>
      </c>
      <c r="L825" s="11" t="s">
        <v>1009</v>
      </c>
      <c r="M825" s="11" t="s">
        <v>1250</v>
      </c>
      <c r="N825" s="11" t="s">
        <v>1262</v>
      </c>
      <c r="O825" s="11"/>
      <c r="P825" s="11"/>
      <c r="Q825" s="25" t="n">
        <f aca="false">SUMIFS('Commentary drivers'!$D:$D,'Commentary drivers'!$A:$A,A825)</f>
        <v>0</v>
      </c>
      <c r="R825" s="25" t="n">
        <f aca="false">SUMIFS('Commentary drivers'!$E:$E,'Commentary drivers'!$A:$A,A825)</f>
        <v>0</v>
      </c>
      <c r="S825" s="49" t="str">
        <f aca="false">IF(AND(ROUND(Q825-J825,4)=0,ROUND(R825-K825,1)=0),"✓","✗")</f>
        <v>✓</v>
      </c>
    </row>
    <row r="826" customFormat="false" ht="15" hidden="false" customHeight="false" outlineLevel="0" collapsed="false">
      <c r="A826" s="11" t="s">
        <v>2233</v>
      </c>
      <c r="B826" s="11" t="s">
        <v>134</v>
      </c>
      <c r="C826" s="11" t="s">
        <v>40</v>
      </c>
      <c r="D826" s="11" t="s">
        <v>1248</v>
      </c>
      <c r="E826" s="11" t="s">
        <v>1274</v>
      </c>
      <c r="F826" s="11" t="s">
        <v>207</v>
      </c>
      <c r="G826" s="11" t="n">
        <v>1</v>
      </c>
      <c r="H826" s="34" t="n">
        <v>20</v>
      </c>
      <c r="I826" s="34" t="n">
        <v>20</v>
      </c>
      <c r="J826" s="34" t="n">
        <v>0</v>
      </c>
      <c r="K826" s="34" t="n">
        <v>0</v>
      </c>
      <c r="L826" s="11" t="s">
        <v>1010</v>
      </c>
      <c r="M826" s="11" t="s">
        <v>1250</v>
      </c>
      <c r="N826" s="11" t="s">
        <v>1262</v>
      </c>
      <c r="O826" s="11"/>
      <c r="P826" s="11"/>
      <c r="Q826" s="25" t="n">
        <f aca="false">SUMIFS('Commentary drivers'!$D:$D,'Commentary drivers'!$A:$A,A826)</f>
        <v>0</v>
      </c>
      <c r="R826" s="25" t="n">
        <f aca="false">SUMIFS('Commentary drivers'!$E:$E,'Commentary drivers'!$A:$A,A826)</f>
        <v>0</v>
      </c>
      <c r="S826" s="49" t="str">
        <f aca="false">IF(AND(ROUND(Q826-J826,4)=0,ROUND(R826-K826,1)=0),"✓","✗")</f>
        <v>✓</v>
      </c>
    </row>
    <row r="827" customFormat="false" ht="15" hidden="false" customHeight="false" outlineLevel="0" collapsed="false">
      <c r="A827" s="11" t="s">
        <v>2234</v>
      </c>
      <c r="B827" s="11" t="s">
        <v>134</v>
      </c>
      <c r="C827" s="11" t="s">
        <v>40</v>
      </c>
      <c r="D827" s="11" t="s">
        <v>1248</v>
      </c>
      <c r="E827" s="11" t="s">
        <v>1276</v>
      </c>
      <c r="F827" s="11" t="s">
        <v>156</v>
      </c>
      <c r="G827" s="11" t="n">
        <v>0</v>
      </c>
      <c r="H827" s="34" t="n">
        <v>120</v>
      </c>
      <c r="I827" s="34" t="n">
        <v>119.412</v>
      </c>
      <c r="J827" s="34" t="n">
        <v>0.588</v>
      </c>
      <c r="K827" s="34" t="n">
        <v>0.6</v>
      </c>
      <c r="L827" s="11" t="s">
        <v>1011</v>
      </c>
      <c r="M827" s="11" t="s">
        <v>1250</v>
      </c>
      <c r="N827" s="11" t="s">
        <v>1262</v>
      </c>
      <c r="O827" s="11"/>
      <c r="P827" s="11"/>
      <c r="Q827" s="25" t="n">
        <f aca="false">SUMIFS('Commentary drivers'!$D:$D,'Commentary drivers'!$A:$A,A827)</f>
        <v>0.588</v>
      </c>
      <c r="R827" s="25" t="n">
        <f aca="false">SUMIFS('Commentary drivers'!$E:$E,'Commentary drivers'!$A:$A,A827)</f>
        <v>0.6</v>
      </c>
      <c r="S827" s="49" t="str">
        <f aca="false">IF(AND(ROUND(Q827-J827,4)=0,ROUND(R827-K827,1)=0),"✓","✗")</f>
        <v>✓</v>
      </c>
    </row>
    <row r="828" customFormat="false" ht="15" hidden="false" customHeight="false" outlineLevel="0" collapsed="false">
      <c r="A828" s="11" t="s">
        <v>2235</v>
      </c>
      <c r="B828" s="11" t="s">
        <v>134</v>
      </c>
      <c r="C828" s="11" t="s">
        <v>40</v>
      </c>
      <c r="D828" s="11" t="s">
        <v>1248</v>
      </c>
      <c r="E828" s="11" t="s">
        <v>1278</v>
      </c>
      <c r="F828" s="11" t="s">
        <v>101</v>
      </c>
      <c r="G828" s="11" t="n">
        <v>0</v>
      </c>
      <c r="H828" s="34" t="n">
        <v>660</v>
      </c>
      <c r="I828" s="34" t="n">
        <v>652.79515</v>
      </c>
      <c r="J828" s="34" t="n">
        <v>7.20485</v>
      </c>
      <c r="K828" s="34" t="n">
        <v>7.2</v>
      </c>
      <c r="L828" s="11" t="s">
        <v>1012</v>
      </c>
      <c r="M828" s="11" t="s">
        <v>1250</v>
      </c>
      <c r="N828" s="11" t="s">
        <v>1251</v>
      </c>
      <c r="O828" s="11" t="s">
        <v>2005</v>
      </c>
      <c r="P828" s="11" t="s">
        <v>1557</v>
      </c>
      <c r="Q828" s="25" t="n">
        <f aca="false">SUMIFS('Commentary drivers'!$D:$D,'Commentary drivers'!$A:$A,A828)</f>
        <v>7.20485</v>
      </c>
      <c r="R828" s="25" t="n">
        <f aca="false">SUMIFS('Commentary drivers'!$E:$E,'Commentary drivers'!$A:$A,A828)</f>
        <v>7.2</v>
      </c>
      <c r="S828" s="49" t="str">
        <f aca="false">IF(AND(ROUND(Q828-J828,4)=0,ROUND(R828-K828,1)=0),"✓","✗")</f>
        <v>✓</v>
      </c>
    </row>
    <row r="829" customFormat="false" ht="15" hidden="false" customHeight="false" outlineLevel="0" collapsed="false">
      <c r="A829" s="11" t="s">
        <v>2236</v>
      </c>
      <c r="B829" s="11" t="s">
        <v>134</v>
      </c>
      <c r="C829" s="11" t="s">
        <v>40</v>
      </c>
      <c r="D829" s="11" t="s">
        <v>1248</v>
      </c>
      <c r="E829" s="11" t="s">
        <v>1280</v>
      </c>
      <c r="F829" s="11" t="s">
        <v>92</v>
      </c>
      <c r="G829" s="11" t="n">
        <v>0</v>
      </c>
      <c r="H829" s="34" t="n">
        <v>1340</v>
      </c>
      <c r="I829" s="34" t="n">
        <v>1346.96685</v>
      </c>
      <c r="J829" s="34" t="n">
        <v>-6.96685</v>
      </c>
      <c r="K829" s="34" t="n">
        <v>-7</v>
      </c>
      <c r="L829" s="11" t="s">
        <v>1013</v>
      </c>
      <c r="M829" s="11" t="s">
        <v>1250</v>
      </c>
      <c r="N829" s="11" t="s">
        <v>1251</v>
      </c>
      <c r="O829" s="11" t="s">
        <v>2005</v>
      </c>
      <c r="P829" s="11" t="s">
        <v>1557</v>
      </c>
      <c r="Q829" s="25" t="n">
        <f aca="false">SUMIFS('Commentary drivers'!$D:$D,'Commentary drivers'!$A:$A,A829)</f>
        <v>-6.96685</v>
      </c>
      <c r="R829" s="25" t="n">
        <f aca="false">SUMIFS('Commentary drivers'!$E:$E,'Commentary drivers'!$A:$A,A829)</f>
        <v>-7</v>
      </c>
      <c r="S829" s="49" t="str">
        <f aca="false">IF(AND(ROUND(Q829-J829,4)=0,ROUND(R829-K829,1)=0),"✓","✗")</f>
        <v>✓</v>
      </c>
    </row>
    <row r="830" customFormat="false" ht="15" hidden="false" customHeight="false" outlineLevel="0" collapsed="false">
      <c r="A830" s="11" t="s">
        <v>2237</v>
      </c>
      <c r="B830" s="11" t="s">
        <v>134</v>
      </c>
      <c r="C830" s="11" t="s">
        <v>40</v>
      </c>
      <c r="D830" s="11" t="s">
        <v>1248</v>
      </c>
      <c r="E830" s="11" t="s">
        <v>1282</v>
      </c>
      <c r="F830" s="11" t="s">
        <v>157</v>
      </c>
      <c r="G830" s="11" t="n">
        <v>0</v>
      </c>
      <c r="H830" s="34" t="n">
        <v>414</v>
      </c>
      <c r="I830" s="34" t="n">
        <v>422.95375</v>
      </c>
      <c r="J830" s="34" t="n">
        <v>-8.95375</v>
      </c>
      <c r="K830" s="34" t="n">
        <v>-9</v>
      </c>
      <c r="L830" s="11" t="s">
        <v>1014</v>
      </c>
      <c r="M830" s="11" t="s">
        <v>1250</v>
      </c>
      <c r="N830" s="11" t="s">
        <v>1251</v>
      </c>
      <c r="O830" s="11" t="s">
        <v>2005</v>
      </c>
      <c r="P830" s="11" t="s">
        <v>1557</v>
      </c>
      <c r="Q830" s="25" t="n">
        <f aca="false">SUMIFS('Commentary drivers'!$D:$D,'Commentary drivers'!$A:$A,A830)</f>
        <v>-8.95375</v>
      </c>
      <c r="R830" s="25" t="n">
        <f aca="false">SUMIFS('Commentary drivers'!$E:$E,'Commentary drivers'!$A:$A,A830)</f>
        <v>-9</v>
      </c>
      <c r="S830" s="49" t="str">
        <f aca="false">IF(AND(ROUND(Q830-J830,4)=0,ROUND(R830-K830,1)=0),"✓","✗")</f>
        <v>✓</v>
      </c>
    </row>
    <row r="831" customFormat="false" ht="15" hidden="false" customHeight="false" outlineLevel="0" collapsed="false">
      <c r="A831" s="11" t="s">
        <v>2238</v>
      </c>
      <c r="B831" s="11" t="s">
        <v>134</v>
      </c>
      <c r="C831" s="11" t="s">
        <v>40</v>
      </c>
      <c r="D831" s="11" t="s">
        <v>1248</v>
      </c>
      <c r="E831" s="11" t="s">
        <v>1284</v>
      </c>
      <c r="F831" s="11" t="s">
        <v>192</v>
      </c>
      <c r="G831" s="11" t="n">
        <v>1</v>
      </c>
      <c r="H831" s="34" t="n">
        <v>300</v>
      </c>
      <c r="I831" s="34" t="n">
        <v>307.95375</v>
      </c>
      <c r="J831" s="34" t="n">
        <v>-7.95375</v>
      </c>
      <c r="K831" s="34" t="n">
        <v>-8</v>
      </c>
      <c r="L831" s="11" t="s">
        <v>1015</v>
      </c>
      <c r="M831" s="11" t="s">
        <v>1250</v>
      </c>
      <c r="N831" s="11" t="s">
        <v>1262</v>
      </c>
      <c r="O831" s="11"/>
      <c r="P831" s="11"/>
      <c r="Q831" s="25" t="n">
        <f aca="false">SUMIFS('Commentary drivers'!$D:$D,'Commentary drivers'!$A:$A,A831)</f>
        <v>-7.95375</v>
      </c>
      <c r="R831" s="25" t="n">
        <f aca="false">SUMIFS('Commentary drivers'!$E:$E,'Commentary drivers'!$A:$A,A831)</f>
        <v>-8</v>
      </c>
      <c r="S831" s="49" t="str">
        <f aca="false">IF(AND(ROUND(Q831-J831,4)=0,ROUND(R831-K831,1)=0),"✓","✗")</f>
        <v>✓</v>
      </c>
    </row>
    <row r="832" customFormat="false" ht="15" hidden="false" customHeight="false" outlineLevel="0" collapsed="false">
      <c r="A832" s="11" t="s">
        <v>2239</v>
      </c>
      <c r="B832" s="11" t="s">
        <v>134</v>
      </c>
      <c r="C832" s="11" t="s">
        <v>40</v>
      </c>
      <c r="D832" s="11" t="s">
        <v>1248</v>
      </c>
      <c r="E832" s="11" t="s">
        <v>1286</v>
      </c>
      <c r="F832" s="11" t="s">
        <v>189</v>
      </c>
      <c r="G832" s="11" t="n">
        <v>1</v>
      </c>
      <c r="H832" s="34" t="n">
        <v>40</v>
      </c>
      <c r="I832" s="34" t="n">
        <v>41</v>
      </c>
      <c r="J832" s="34" t="n">
        <v>-1</v>
      </c>
      <c r="K832" s="34" t="n">
        <v>-1</v>
      </c>
      <c r="L832" s="11" t="s">
        <v>1016</v>
      </c>
      <c r="M832" s="11" t="s">
        <v>1250</v>
      </c>
      <c r="N832" s="11" t="s">
        <v>1262</v>
      </c>
      <c r="O832" s="11"/>
      <c r="P832" s="11"/>
      <c r="Q832" s="25" t="n">
        <f aca="false">SUMIFS('Commentary drivers'!$D:$D,'Commentary drivers'!$A:$A,A832)</f>
        <v>-1</v>
      </c>
      <c r="R832" s="25" t="n">
        <f aca="false">SUMIFS('Commentary drivers'!$E:$E,'Commentary drivers'!$A:$A,A832)</f>
        <v>-1</v>
      </c>
      <c r="S832" s="49" t="str">
        <f aca="false">IF(AND(ROUND(Q832-J832,4)=0,ROUND(R832-K832,1)=0),"✓","✗")</f>
        <v>✓</v>
      </c>
    </row>
    <row r="833" customFormat="false" ht="15" hidden="false" customHeight="false" outlineLevel="0" collapsed="false">
      <c r="A833" s="11" t="s">
        <v>2240</v>
      </c>
      <c r="B833" s="11" t="s">
        <v>134</v>
      </c>
      <c r="C833" s="11" t="s">
        <v>40</v>
      </c>
      <c r="D833" s="11" t="s">
        <v>1248</v>
      </c>
      <c r="E833" s="11" t="s">
        <v>1288</v>
      </c>
      <c r="F833" s="11" t="s">
        <v>201</v>
      </c>
      <c r="G833" s="11" t="n">
        <v>1</v>
      </c>
      <c r="H833" s="34" t="n">
        <v>24</v>
      </c>
      <c r="I833" s="34" t="n">
        <v>24</v>
      </c>
      <c r="J833" s="34" t="n">
        <v>0</v>
      </c>
      <c r="K833" s="34" t="n">
        <v>0</v>
      </c>
      <c r="L833" s="11" t="s">
        <v>1017</v>
      </c>
      <c r="M833" s="11" t="s">
        <v>1250</v>
      </c>
      <c r="N833" s="11" t="s">
        <v>1262</v>
      </c>
      <c r="O833" s="11"/>
      <c r="P833" s="11"/>
      <c r="Q833" s="25" t="n">
        <f aca="false">SUMIFS('Commentary drivers'!$D:$D,'Commentary drivers'!$A:$A,A833)</f>
        <v>0</v>
      </c>
      <c r="R833" s="25" t="n">
        <f aca="false">SUMIFS('Commentary drivers'!$E:$E,'Commentary drivers'!$A:$A,A833)</f>
        <v>0</v>
      </c>
      <c r="S833" s="49" t="str">
        <f aca="false">IF(AND(ROUND(Q833-J833,4)=0,ROUND(R833-K833,1)=0),"✓","✗")</f>
        <v>✓</v>
      </c>
    </row>
    <row r="834" customFormat="false" ht="15" hidden="false" customHeight="false" outlineLevel="0" collapsed="false">
      <c r="A834" s="11" t="s">
        <v>2241</v>
      </c>
      <c r="B834" s="11" t="s">
        <v>134</v>
      </c>
      <c r="C834" s="11" t="s">
        <v>40</v>
      </c>
      <c r="D834" s="11" t="s">
        <v>1248</v>
      </c>
      <c r="E834" s="11" t="s">
        <v>1290</v>
      </c>
      <c r="F834" s="11" t="s">
        <v>204</v>
      </c>
      <c r="G834" s="11" t="n">
        <v>1</v>
      </c>
      <c r="H834" s="34" t="n">
        <v>20</v>
      </c>
      <c r="I834" s="34" t="n">
        <v>20</v>
      </c>
      <c r="J834" s="34" t="n">
        <v>0</v>
      </c>
      <c r="K834" s="34" t="n">
        <v>0</v>
      </c>
      <c r="L834" s="11" t="s">
        <v>1009</v>
      </c>
      <c r="M834" s="11" t="s">
        <v>1250</v>
      </c>
      <c r="N834" s="11" t="s">
        <v>1262</v>
      </c>
      <c r="O834" s="11"/>
      <c r="P834" s="11"/>
      <c r="Q834" s="25" t="n">
        <f aca="false">SUMIFS('Commentary drivers'!$D:$D,'Commentary drivers'!$A:$A,A834)</f>
        <v>0</v>
      </c>
      <c r="R834" s="25" t="n">
        <f aca="false">SUMIFS('Commentary drivers'!$E:$E,'Commentary drivers'!$A:$A,A834)</f>
        <v>0</v>
      </c>
      <c r="S834" s="49" t="str">
        <f aca="false">IF(AND(ROUND(Q834-J834,4)=0,ROUND(R834-K834,1)=0),"✓","✗")</f>
        <v>✓</v>
      </c>
    </row>
    <row r="835" customFormat="false" ht="15" hidden="false" customHeight="false" outlineLevel="0" collapsed="false">
      <c r="A835" s="11" t="s">
        <v>2242</v>
      </c>
      <c r="B835" s="11" t="s">
        <v>134</v>
      </c>
      <c r="C835" s="11" t="s">
        <v>40</v>
      </c>
      <c r="D835" s="11" t="s">
        <v>1248</v>
      </c>
      <c r="E835" s="11" t="s">
        <v>1292</v>
      </c>
      <c r="F835" s="11" t="s">
        <v>207</v>
      </c>
      <c r="G835" s="11" t="n">
        <v>1</v>
      </c>
      <c r="H835" s="34" t="n">
        <v>30</v>
      </c>
      <c r="I835" s="34" t="n">
        <v>30</v>
      </c>
      <c r="J835" s="34" t="n">
        <v>0</v>
      </c>
      <c r="K835" s="34" t="n">
        <v>0</v>
      </c>
      <c r="L835" s="11" t="s">
        <v>1010</v>
      </c>
      <c r="M835" s="11" t="s">
        <v>1250</v>
      </c>
      <c r="N835" s="11" t="s">
        <v>1262</v>
      </c>
      <c r="O835" s="11"/>
      <c r="P835" s="11"/>
      <c r="Q835" s="25" t="n">
        <f aca="false">SUMIFS('Commentary drivers'!$D:$D,'Commentary drivers'!$A:$A,A835)</f>
        <v>0</v>
      </c>
      <c r="R835" s="25" t="n">
        <f aca="false">SUMIFS('Commentary drivers'!$E:$E,'Commentary drivers'!$A:$A,A835)</f>
        <v>0</v>
      </c>
      <c r="S835" s="49" t="str">
        <f aca="false">IF(AND(ROUND(Q835-J835,4)=0,ROUND(R835-K835,1)=0),"✓","✗")</f>
        <v>✓</v>
      </c>
    </row>
    <row r="836" customFormat="false" ht="15" hidden="false" customHeight="false" outlineLevel="0" collapsed="false">
      <c r="A836" s="11" t="s">
        <v>2243</v>
      </c>
      <c r="B836" s="11" t="s">
        <v>134</v>
      </c>
      <c r="C836" s="11" t="s">
        <v>40</v>
      </c>
      <c r="D836" s="11" t="s">
        <v>1248</v>
      </c>
      <c r="E836" s="11" t="s">
        <v>1294</v>
      </c>
      <c r="F836" s="11" t="s">
        <v>158</v>
      </c>
      <c r="G836" s="11" t="n">
        <v>0</v>
      </c>
      <c r="H836" s="34" t="n">
        <v>490</v>
      </c>
      <c r="I836" s="34" t="n">
        <v>497.7891</v>
      </c>
      <c r="J836" s="34" t="n">
        <v>-7.7891</v>
      </c>
      <c r="K836" s="34" t="n">
        <v>-7.8</v>
      </c>
      <c r="L836" s="11" t="s">
        <v>1018</v>
      </c>
      <c r="M836" s="11" t="s">
        <v>1250</v>
      </c>
      <c r="N836" s="11" t="s">
        <v>1251</v>
      </c>
      <c r="O836" s="11" t="s">
        <v>2005</v>
      </c>
      <c r="P836" s="11" t="s">
        <v>1557</v>
      </c>
      <c r="Q836" s="25" t="n">
        <f aca="false">SUMIFS('Commentary drivers'!$D:$D,'Commentary drivers'!$A:$A,A836)</f>
        <v>-7.7891</v>
      </c>
      <c r="R836" s="25" t="n">
        <f aca="false">SUMIFS('Commentary drivers'!$E:$E,'Commentary drivers'!$A:$A,A836)</f>
        <v>-7.8</v>
      </c>
      <c r="S836" s="49" t="str">
        <f aca="false">IF(AND(ROUND(Q836-J836,4)=0,ROUND(R836-K836,1)=0),"✓","✗")</f>
        <v>✓</v>
      </c>
    </row>
    <row r="837" customFormat="false" ht="15" hidden="false" customHeight="false" outlineLevel="0" collapsed="false">
      <c r="A837" s="11" t="s">
        <v>2244</v>
      </c>
      <c r="B837" s="11" t="s">
        <v>134</v>
      </c>
      <c r="C837" s="11" t="s">
        <v>40</v>
      </c>
      <c r="D837" s="11" t="s">
        <v>1248</v>
      </c>
      <c r="E837" s="11" t="s">
        <v>1296</v>
      </c>
      <c r="F837" s="11" t="s">
        <v>225</v>
      </c>
      <c r="G837" s="11" t="n">
        <v>1</v>
      </c>
      <c r="H837" s="34" t="n">
        <v>240</v>
      </c>
      <c r="I837" s="34" t="n">
        <v>251.388</v>
      </c>
      <c r="J837" s="34" t="n">
        <v>-11.388</v>
      </c>
      <c r="K837" s="34" t="n">
        <v>-11.4</v>
      </c>
      <c r="L837" s="11" t="s">
        <v>1019</v>
      </c>
      <c r="M837" s="11" t="s">
        <v>1250</v>
      </c>
      <c r="N837" s="11" t="s">
        <v>1251</v>
      </c>
      <c r="O837" s="11" t="s">
        <v>2005</v>
      </c>
      <c r="P837" s="11" t="s">
        <v>1557</v>
      </c>
      <c r="Q837" s="25" t="n">
        <f aca="false">SUMIFS('Commentary drivers'!$D:$D,'Commentary drivers'!$A:$A,A837)</f>
        <v>-11.388</v>
      </c>
      <c r="R837" s="25" t="n">
        <f aca="false">SUMIFS('Commentary drivers'!$E:$E,'Commentary drivers'!$A:$A,A837)</f>
        <v>-11.4</v>
      </c>
      <c r="S837" s="49" t="str">
        <f aca="false">IF(AND(ROUND(Q837-J837,4)=0,ROUND(R837-K837,1)=0),"✓","✗")</f>
        <v>✓</v>
      </c>
    </row>
    <row r="838" customFormat="false" ht="15" hidden="false" customHeight="false" outlineLevel="0" collapsed="false">
      <c r="A838" s="11" t="s">
        <v>2245</v>
      </c>
      <c r="B838" s="11" t="s">
        <v>134</v>
      </c>
      <c r="C838" s="11" t="s">
        <v>40</v>
      </c>
      <c r="D838" s="11" t="s">
        <v>1248</v>
      </c>
      <c r="E838" s="11" t="s">
        <v>1298</v>
      </c>
      <c r="F838" s="11" t="s">
        <v>195</v>
      </c>
      <c r="G838" s="11" t="n">
        <v>1</v>
      </c>
      <c r="H838" s="34" t="n">
        <v>36</v>
      </c>
      <c r="I838" s="34" t="n">
        <v>35.8011</v>
      </c>
      <c r="J838" s="34" t="n">
        <v>0.1989</v>
      </c>
      <c r="K838" s="34" t="n">
        <v>0.2</v>
      </c>
      <c r="L838" s="11" t="s">
        <v>1020</v>
      </c>
      <c r="M838" s="11" t="s">
        <v>1250</v>
      </c>
      <c r="N838" s="11" t="s">
        <v>1262</v>
      </c>
      <c r="O838" s="11"/>
      <c r="P838" s="11"/>
      <c r="Q838" s="25" t="n">
        <f aca="false">SUMIFS('Commentary drivers'!$D:$D,'Commentary drivers'!$A:$A,A838)</f>
        <v>0.1989</v>
      </c>
      <c r="R838" s="25" t="n">
        <f aca="false">SUMIFS('Commentary drivers'!$E:$E,'Commentary drivers'!$A:$A,A838)</f>
        <v>0.2</v>
      </c>
      <c r="S838" s="49" t="str">
        <f aca="false">IF(AND(ROUND(Q838-J838,4)=0,ROUND(R838-K838,1)=0),"✓","✗")</f>
        <v>✓</v>
      </c>
    </row>
    <row r="839" customFormat="false" ht="15" hidden="false" customHeight="false" outlineLevel="0" collapsed="false">
      <c r="A839" s="11" t="s">
        <v>2246</v>
      </c>
      <c r="B839" s="11" t="s">
        <v>134</v>
      </c>
      <c r="C839" s="11" t="s">
        <v>40</v>
      </c>
      <c r="D839" s="11" t="s">
        <v>1248</v>
      </c>
      <c r="E839" s="11" t="s">
        <v>1300</v>
      </c>
      <c r="F839" s="11" t="s">
        <v>230</v>
      </c>
      <c r="G839" s="11" t="n">
        <v>1</v>
      </c>
      <c r="H839" s="34" t="n">
        <v>100</v>
      </c>
      <c r="I839" s="34" t="n">
        <v>101</v>
      </c>
      <c r="J839" s="34" t="n">
        <v>-1</v>
      </c>
      <c r="K839" s="34" t="n">
        <v>-1</v>
      </c>
      <c r="L839" s="11" t="s">
        <v>1021</v>
      </c>
      <c r="M839" s="11" t="s">
        <v>1250</v>
      </c>
      <c r="N839" s="11" t="s">
        <v>1262</v>
      </c>
      <c r="O839" s="11"/>
      <c r="P839" s="11"/>
      <c r="Q839" s="25" t="n">
        <f aca="false">SUMIFS('Commentary drivers'!$D:$D,'Commentary drivers'!$A:$A,A839)</f>
        <v>-1</v>
      </c>
      <c r="R839" s="25" t="n">
        <f aca="false">SUMIFS('Commentary drivers'!$E:$E,'Commentary drivers'!$A:$A,A839)</f>
        <v>-1</v>
      </c>
      <c r="S839" s="49" t="str">
        <f aca="false">IF(AND(ROUND(Q839-J839,4)=0,ROUND(R839-K839,1)=0),"✓","✗")</f>
        <v>✓</v>
      </c>
    </row>
    <row r="840" customFormat="false" ht="15" hidden="false" customHeight="false" outlineLevel="0" collapsed="false">
      <c r="A840" s="11" t="s">
        <v>2247</v>
      </c>
      <c r="B840" s="11" t="s">
        <v>134</v>
      </c>
      <c r="C840" s="11" t="s">
        <v>40</v>
      </c>
      <c r="D840" s="11" t="s">
        <v>1248</v>
      </c>
      <c r="E840" s="11" t="s">
        <v>1302</v>
      </c>
      <c r="F840" s="11" t="s">
        <v>233</v>
      </c>
      <c r="G840" s="11" t="n">
        <v>1</v>
      </c>
      <c r="H840" s="34" t="n">
        <v>40</v>
      </c>
      <c r="I840" s="34" t="n">
        <v>40</v>
      </c>
      <c r="J840" s="34" t="n">
        <v>0</v>
      </c>
      <c r="K840" s="34" t="n">
        <v>0</v>
      </c>
      <c r="L840" s="11" t="s">
        <v>1022</v>
      </c>
      <c r="M840" s="11" t="s">
        <v>1250</v>
      </c>
      <c r="N840" s="11" t="s">
        <v>1262</v>
      </c>
      <c r="O840" s="11"/>
      <c r="P840" s="11"/>
      <c r="Q840" s="25" t="n">
        <f aca="false">SUMIFS('Commentary drivers'!$D:$D,'Commentary drivers'!$A:$A,A840)</f>
        <v>0</v>
      </c>
      <c r="R840" s="25" t="n">
        <f aca="false">SUMIFS('Commentary drivers'!$E:$E,'Commentary drivers'!$A:$A,A840)</f>
        <v>0</v>
      </c>
      <c r="S840" s="49" t="str">
        <f aca="false">IF(AND(ROUND(Q840-J840,4)=0,ROUND(R840-K840,1)=0),"✓","✗")</f>
        <v>✓</v>
      </c>
    </row>
    <row r="841" customFormat="false" ht="15" hidden="false" customHeight="false" outlineLevel="0" collapsed="false">
      <c r="A841" s="11" t="s">
        <v>2248</v>
      </c>
      <c r="B841" s="11" t="s">
        <v>134</v>
      </c>
      <c r="C841" s="11" t="s">
        <v>40</v>
      </c>
      <c r="D841" s="11" t="s">
        <v>1248</v>
      </c>
      <c r="E841" s="11" t="s">
        <v>1304</v>
      </c>
      <c r="F841" s="11" t="s">
        <v>189</v>
      </c>
      <c r="G841" s="11" t="n">
        <v>1</v>
      </c>
      <c r="H841" s="34" t="n">
        <v>20</v>
      </c>
      <c r="I841" s="34" t="n">
        <v>14</v>
      </c>
      <c r="J841" s="34" t="n">
        <v>6</v>
      </c>
      <c r="K841" s="34" t="n">
        <v>6</v>
      </c>
      <c r="L841" s="11" t="s">
        <v>1023</v>
      </c>
      <c r="M841" s="11" t="s">
        <v>1250</v>
      </c>
      <c r="N841" s="11" t="s">
        <v>1251</v>
      </c>
      <c r="O841" s="11" t="s">
        <v>2005</v>
      </c>
      <c r="P841" s="11" t="s">
        <v>1557</v>
      </c>
      <c r="Q841" s="25" t="n">
        <f aca="false">SUMIFS('Commentary drivers'!$D:$D,'Commentary drivers'!$A:$A,A841)</f>
        <v>6</v>
      </c>
      <c r="R841" s="25" t="n">
        <f aca="false">SUMIFS('Commentary drivers'!$E:$E,'Commentary drivers'!$A:$A,A841)</f>
        <v>6</v>
      </c>
      <c r="S841" s="49" t="str">
        <f aca="false">IF(AND(ROUND(Q841-J841,4)=0,ROUND(R841-K841,1)=0),"✓","✗")</f>
        <v>✓</v>
      </c>
    </row>
    <row r="842" customFormat="false" ht="15" hidden="false" customHeight="false" outlineLevel="0" collapsed="false">
      <c r="A842" s="11" t="s">
        <v>2249</v>
      </c>
      <c r="B842" s="11" t="s">
        <v>134</v>
      </c>
      <c r="C842" s="11" t="s">
        <v>40</v>
      </c>
      <c r="D842" s="11" t="s">
        <v>1248</v>
      </c>
      <c r="E842" s="11" t="s">
        <v>1306</v>
      </c>
      <c r="F842" s="11" t="s">
        <v>201</v>
      </c>
      <c r="G842" s="11" t="n">
        <v>1</v>
      </c>
      <c r="H842" s="34" t="n">
        <v>24</v>
      </c>
      <c r="I842" s="34" t="n">
        <v>25.6</v>
      </c>
      <c r="J842" s="34" t="n">
        <v>-1.6</v>
      </c>
      <c r="K842" s="34" t="n">
        <v>-1.6</v>
      </c>
      <c r="L842" s="11" t="s">
        <v>1024</v>
      </c>
      <c r="M842" s="11" t="s">
        <v>1250</v>
      </c>
      <c r="N842" s="11" t="s">
        <v>1262</v>
      </c>
      <c r="O842" s="11"/>
      <c r="P842" s="11"/>
      <c r="Q842" s="25" t="n">
        <f aca="false">SUMIFS('Commentary drivers'!$D:$D,'Commentary drivers'!$A:$A,A842)</f>
        <v>-1.6</v>
      </c>
      <c r="R842" s="25" t="n">
        <f aca="false">SUMIFS('Commentary drivers'!$E:$E,'Commentary drivers'!$A:$A,A842)</f>
        <v>-1.6</v>
      </c>
      <c r="S842" s="49" t="str">
        <f aca="false">IF(AND(ROUND(Q842-J842,4)=0,ROUND(R842-K842,1)=0),"✓","✗")</f>
        <v>✓</v>
      </c>
    </row>
    <row r="843" customFormat="false" ht="15" hidden="false" customHeight="false" outlineLevel="0" collapsed="false">
      <c r="A843" s="11" t="s">
        <v>2250</v>
      </c>
      <c r="B843" s="11" t="s">
        <v>134</v>
      </c>
      <c r="C843" s="11" t="s">
        <v>40</v>
      </c>
      <c r="D843" s="11" t="s">
        <v>1248</v>
      </c>
      <c r="E843" s="11" t="s">
        <v>1308</v>
      </c>
      <c r="F843" s="11" t="s">
        <v>204</v>
      </c>
      <c r="G843" s="11" t="n">
        <v>1</v>
      </c>
      <c r="H843" s="34" t="n">
        <v>10</v>
      </c>
      <c r="I843" s="34" t="n">
        <v>10</v>
      </c>
      <c r="J843" s="34" t="n">
        <v>0</v>
      </c>
      <c r="K843" s="34" t="n">
        <v>0</v>
      </c>
      <c r="L843" s="11" t="s">
        <v>1009</v>
      </c>
      <c r="M843" s="11" t="s">
        <v>1250</v>
      </c>
      <c r="N843" s="11" t="s">
        <v>1262</v>
      </c>
      <c r="O843" s="11"/>
      <c r="P843" s="11"/>
      <c r="Q843" s="25" t="n">
        <f aca="false">SUMIFS('Commentary drivers'!$D:$D,'Commentary drivers'!$A:$A,A843)</f>
        <v>0</v>
      </c>
      <c r="R843" s="25" t="n">
        <f aca="false">SUMIFS('Commentary drivers'!$E:$E,'Commentary drivers'!$A:$A,A843)</f>
        <v>0</v>
      </c>
      <c r="S843" s="49" t="str">
        <f aca="false">IF(AND(ROUND(Q843-J843,4)=0,ROUND(R843-K843,1)=0),"✓","✗")</f>
        <v>✓</v>
      </c>
    </row>
    <row r="844" customFormat="false" ht="15" hidden="false" customHeight="false" outlineLevel="0" collapsed="false">
      <c r="A844" s="11" t="s">
        <v>2251</v>
      </c>
      <c r="B844" s="11" t="s">
        <v>134</v>
      </c>
      <c r="C844" s="11" t="s">
        <v>40</v>
      </c>
      <c r="D844" s="11" t="s">
        <v>1248</v>
      </c>
      <c r="E844" s="11" t="s">
        <v>1310</v>
      </c>
      <c r="F844" s="11" t="s">
        <v>207</v>
      </c>
      <c r="G844" s="11" t="n">
        <v>1</v>
      </c>
      <c r="H844" s="34" t="n">
        <v>20</v>
      </c>
      <c r="I844" s="34" t="n">
        <v>20</v>
      </c>
      <c r="J844" s="34" t="n">
        <v>0</v>
      </c>
      <c r="K844" s="34" t="n">
        <v>0</v>
      </c>
      <c r="L844" s="11" t="s">
        <v>1010</v>
      </c>
      <c r="M844" s="11" t="s">
        <v>1250</v>
      </c>
      <c r="N844" s="11" t="s">
        <v>1262</v>
      </c>
      <c r="O844" s="11"/>
      <c r="P844" s="11"/>
      <c r="Q844" s="25" t="n">
        <f aca="false">SUMIFS('Commentary drivers'!$D:$D,'Commentary drivers'!$A:$A,A844)</f>
        <v>0</v>
      </c>
      <c r="R844" s="25" t="n">
        <f aca="false">SUMIFS('Commentary drivers'!$E:$E,'Commentary drivers'!$A:$A,A844)</f>
        <v>0</v>
      </c>
      <c r="S844" s="49" t="str">
        <f aca="false">IF(AND(ROUND(Q844-J844,4)=0,ROUND(R844-K844,1)=0),"✓","✗")</f>
        <v>✓</v>
      </c>
    </row>
    <row r="845" customFormat="false" ht="15" hidden="false" customHeight="false" outlineLevel="0" collapsed="false">
      <c r="A845" s="11" t="s">
        <v>2252</v>
      </c>
      <c r="B845" s="11" t="s">
        <v>134</v>
      </c>
      <c r="C845" s="11" t="s">
        <v>40</v>
      </c>
      <c r="D845" s="11" t="s">
        <v>1248</v>
      </c>
      <c r="E845" s="11" t="s">
        <v>1312</v>
      </c>
      <c r="F845" s="11" t="s">
        <v>159</v>
      </c>
      <c r="G845" s="11" t="n">
        <v>0</v>
      </c>
      <c r="H845" s="34" t="n">
        <v>216</v>
      </c>
      <c r="I845" s="34" t="n">
        <v>197</v>
      </c>
      <c r="J845" s="34" t="n">
        <v>19</v>
      </c>
      <c r="K845" s="34" t="n">
        <v>19</v>
      </c>
      <c r="L845" s="11" t="s">
        <v>1025</v>
      </c>
      <c r="M845" s="11" t="s">
        <v>1250</v>
      </c>
      <c r="N845" s="11" t="s">
        <v>1251</v>
      </c>
      <c r="O845" s="11" t="s">
        <v>2005</v>
      </c>
      <c r="P845" s="11" t="s">
        <v>1557</v>
      </c>
      <c r="Q845" s="25" t="n">
        <f aca="false">SUMIFS('Commentary drivers'!$D:$D,'Commentary drivers'!$A:$A,A845)</f>
        <v>19</v>
      </c>
      <c r="R845" s="25" t="n">
        <f aca="false">SUMIFS('Commentary drivers'!$E:$E,'Commentary drivers'!$A:$A,A845)</f>
        <v>19</v>
      </c>
      <c r="S845" s="49" t="str">
        <f aca="false">IF(AND(ROUND(Q845-J845,4)=0,ROUND(R845-K845,1)=0),"✓","✗")</f>
        <v>✓</v>
      </c>
    </row>
    <row r="846" customFormat="false" ht="15" hidden="false" customHeight="false" outlineLevel="0" collapsed="false">
      <c r="A846" s="11" t="s">
        <v>2253</v>
      </c>
      <c r="B846" s="11" t="s">
        <v>134</v>
      </c>
      <c r="C846" s="11" t="s">
        <v>40</v>
      </c>
      <c r="D846" s="11" t="s">
        <v>1248</v>
      </c>
      <c r="E846" s="11" t="s">
        <v>1314</v>
      </c>
      <c r="F846" s="11" t="s">
        <v>242</v>
      </c>
      <c r="G846" s="11" t="n">
        <v>1</v>
      </c>
      <c r="H846" s="34" t="n">
        <v>180</v>
      </c>
      <c r="I846" s="34" t="n">
        <v>161</v>
      </c>
      <c r="J846" s="34" t="n">
        <v>19</v>
      </c>
      <c r="K846" s="34" t="n">
        <v>19</v>
      </c>
      <c r="L846" s="11" t="s">
        <v>1026</v>
      </c>
      <c r="M846" s="11" t="s">
        <v>1315</v>
      </c>
      <c r="N846" s="11" t="s">
        <v>1251</v>
      </c>
      <c r="O846" s="11" t="s">
        <v>2005</v>
      </c>
      <c r="P846" s="11" t="s">
        <v>1557</v>
      </c>
      <c r="Q846" s="25" t="n">
        <f aca="false">SUMIFS('Commentary drivers'!$D:$D,'Commentary drivers'!$A:$A,A846)</f>
        <v>19</v>
      </c>
      <c r="R846" s="25" t="n">
        <f aca="false">SUMIFS('Commentary drivers'!$E:$E,'Commentary drivers'!$A:$A,A846)</f>
        <v>19</v>
      </c>
      <c r="S846" s="49" t="str">
        <f aca="false">IF(AND(ROUND(Q846-J846,4)=0,ROUND(R846-K846,1)=0),"✓","✗")</f>
        <v>✓</v>
      </c>
    </row>
    <row r="847" customFormat="false" ht="15" hidden="false" customHeight="false" outlineLevel="0" collapsed="false">
      <c r="A847" s="11" t="s">
        <v>2254</v>
      </c>
      <c r="B847" s="11" t="s">
        <v>134</v>
      </c>
      <c r="C847" s="11" t="s">
        <v>40</v>
      </c>
      <c r="D847" s="11" t="s">
        <v>1248</v>
      </c>
      <c r="E847" s="11" t="s">
        <v>1317</v>
      </c>
      <c r="F847" s="11" t="s">
        <v>201</v>
      </c>
      <c r="G847" s="11" t="n">
        <v>1</v>
      </c>
      <c r="H847" s="34" t="n">
        <v>16</v>
      </c>
      <c r="I847" s="34" t="n">
        <v>16</v>
      </c>
      <c r="J847" s="34" t="n">
        <v>0</v>
      </c>
      <c r="K847" s="34" t="n">
        <v>0</v>
      </c>
      <c r="L847" s="11" t="s">
        <v>1017</v>
      </c>
      <c r="M847" s="11" t="s">
        <v>1250</v>
      </c>
      <c r="N847" s="11" t="s">
        <v>1262</v>
      </c>
      <c r="O847" s="11"/>
      <c r="P847" s="11"/>
      <c r="Q847" s="25" t="n">
        <f aca="false">SUMIFS('Commentary drivers'!$D:$D,'Commentary drivers'!$A:$A,A847)</f>
        <v>0</v>
      </c>
      <c r="R847" s="25" t="n">
        <f aca="false">SUMIFS('Commentary drivers'!$E:$E,'Commentary drivers'!$A:$A,A847)</f>
        <v>0</v>
      </c>
      <c r="S847" s="49" t="str">
        <f aca="false">IF(AND(ROUND(Q847-J847,4)=0,ROUND(R847-K847,1)=0),"✓","✗")</f>
        <v>✓</v>
      </c>
    </row>
    <row r="848" customFormat="false" ht="15" hidden="false" customHeight="false" outlineLevel="0" collapsed="false">
      <c r="A848" s="11" t="s">
        <v>2255</v>
      </c>
      <c r="B848" s="11" t="s">
        <v>134</v>
      </c>
      <c r="C848" s="11" t="s">
        <v>40</v>
      </c>
      <c r="D848" s="11" t="s">
        <v>1248</v>
      </c>
      <c r="E848" s="11" t="s">
        <v>1319</v>
      </c>
      <c r="F848" s="11" t="s">
        <v>204</v>
      </c>
      <c r="G848" s="11" t="n">
        <v>1</v>
      </c>
      <c r="H848" s="34" t="n">
        <v>10</v>
      </c>
      <c r="I848" s="34" t="n">
        <v>10</v>
      </c>
      <c r="J848" s="34" t="n">
        <v>0</v>
      </c>
      <c r="K848" s="34" t="n">
        <v>0</v>
      </c>
      <c r="L848" s="11" t="s">
        <v>1009</v>
      </c>
      <c r="M848" s="11" t="s">
        <v>1250</v>
      </c>
      <c r="N848" s="11" t="s">
        <v>1262</v>
      </c>
      <c r="O848" s="11"/>
      <c r="P848" s="11"/>
      <c r="Q848" s="25" t="n">
        <f aca="false">SUMIFS('Commentary drivers'!$D:$D,'Commentary drivers'!$A:$A,A848)</f>
        <v>0</v>
      </c>
      <c r="R848" s="25" t="n">
        <f aca="false">SUMIFS('Commentary drivers'!$E:$E,'Commentary drivers'!$A:$A,A848)</f>
        <v>0</v>
      </c>
      <c r="S848" s="49" t="str">
        <f aca="false">IF(AND(ROUND(Q848-J848,4)=0,ROUND(R848-K848,1)=0),"✓","✗")</f>
        <v>✓</v>
      </c>
    </row>
    <row r="849" customFormat="false" ht="15" hidden="false" customHeight="false" outlineLevel="0" collapsed="false">
      <c r="A849" s="11" t="s">
        <v>2256</v>
      </c>
      <c r="B849" s="11" t="s">
        <v>134</v>
      </c>
      <c r="C849" s="11" t="s">
        <v>40</v>
      </c>
      <c r="D849" s="11" t="s">
        <v>1248</v>
      </c>
      <c r="E849" s="11" t="s">
        <v>1321</v>
      </c>
      <c r="F849" s="11" t="s">
        <v>207</v>
      </c>
      <c r="G849" s="11" t="n">
        <v>1</v>
      </c>
      <c r="H849" s="34" t="n">
        <v>10</v>
      </c>
      <c r="I849" s="34" t="n">
        <v>10</v>
      </c>
      <c r="J849" s="34" t="n">
        <v>0</v>
      </c>
      <c r="K849" s="34" t="n">
        <v>0</v>
      </c>
      <c r="L849" s="11" t="s">
        <v>1010</v>
      </c>
      <c r="M849" s="11" t="s">
        <v>1250</v>
      </c>
      <c r="N849" s="11" t="s">
        <v>1262</v>
      </c>
      <c r="O849" s="11"/>
      <c r="P849" s="11"/>
      <c r="Q849" s="25" t="n">
        <f aca="false">SUMIFS('Commentary drivers'!$D:$D,'Commentary drivers'!$A:$A,A849)</f>
        <v>0</v>
      </c>
      <c r="R849" s="25" t="n">
        <f aca="false">SUMIFS('Commentary drivers'!$E:$E,'Commentary drivers'!$A:$A,A849)</f>
        <v>0</v>
      </c>
      <c r="S849" s="49" t="str">
        <f aca="false">IF(AND(ROUND(Q849-J849,4)=0,ROUND(R849-K849,1)=0),"✓","✗")</f>
        <v>✓</v>
      </c>
    </row>
    <row r="850" customFormat="false" ht="15" hidden="false" customHeight="false" outlineLevel="0" collapsed="false">
      <c r="A850" s="11" t="s">
        <v>2257</v>
      </c>
      <c r="B850" s="11" t="s">
        <v>134</v>
      </c>
      <c r="C850" s="11" t="s">
        <v>40</v>
      </c>
      <c r="D850" s="11" t="s">
        <v>1248</v>
      </c>
      <c r="E850" s="11" t="s">
        <v>1323</v>
      </c>
      <c r="F850" s="11" t="s">
        <v>95</v>
      </c>
      <c r="G850" s="11" t="n">
        <v>0</v>
      </c>
      <c r="H850" s="34" t="n">
        <v>1120</v>
      </c>
      <c r="I850" s="34" t="n">
        <v>1117.74285</v>
      </c>
      <c r="J850" s="34" t="n">
        <v>2.25715</v>
      </c>
      <c r="K850" s="34" t="n">
        <v>2.3</v>
      </c>
      <c r="L850" s="11" t="s">
        <v>1027</v>
      </c>
      <c r="M850" s="11" t="s">
        <v>1250</v>
      </c>
      <c r="N850" s="11" t="s">
        <v>1251</v>
      </c>
      <c r="O850" s="11" t="s">
        <v>2005</v>
      </c>
      <c r="P850" s="11" t="s">
        <v>1557</v>
      </c>
      <c r="Q850" s="25" t="n">
        <f aca="false">SUMIFS('Commentary drivers'!$D:$D,'Commentary drivers'!$A:$A,A850)</f>
        <v>2.25715</v>
      </c>
      <c r="R850" s="25" t="n">
        <f aca="false">SUMIFS('Commentary drivers'!$E:$E,'Commentary drivers'!$A:$A,A850)</f>
        <v>2.3</v>
      </c>
      <c r="S850" s="49" t="str">
        <f aca="false">IF(AND(ROUND(Q850-J850,4)=0,ROUND(R850-K850,1)=0),"✓","✗")</f>
        <v>✓</v>
      </c>
    </row>
    <row r="851" customFormat="false" ht="15" hidden="false" customHeight="false" outlineLevel="0" collapsed="false">
      <c r="A851" s="11" t="s">
        <v>2258</v>
      </c>
      <c r="B851" s="11" t="s">
        <v>134</v>
      </c>
      <c r="C851" s="11" t="s">
        <v>40</v>
      </c>
      <c r="D851" s="11" t="s">
        <v>1248</v>
      </c>
      <c r="E851" s="11" t="s">
        <v>1325</v>
      </c>
      <c r="F851" s="11" t="s">
        <v>96</v>
      </c>
      <c r="G851" s="11" t="n">
        <v>0</v>
      </c>
      <c r="H851" s="34" t="n">
        <v>220</v>
      </c>
      <c r="I851" s="34" t="n">
        <v>229.224</v>
      </c>
      <c r="J851" s="34" t="n">
        <v>-9.224</v>
      </c>
      <c r="K851" s="34" t="n">
        <v>-9.2</v>
      </c>
      <c r="L851" s="11" t="s">
        <v>1028</v>
      </c>
      <c r="M851" s="11" t="s">
        <v>1250</v>
      </c>
      <c r="N851" s="11" t="s">
        <v>1251</v>
      </c>
      <c r="O851" s="11" t="s">
        <v>2005</v>
      </c>
      <c r="P851" s="11" t="s">
        <v>1557</v>
      </c>
      <c r="Q851" s="25" t="n">
        <f aca="false">SUMIFS('Commentary drivers'!$D:$D,'Commentary drivers'!$A:$A,A851)</f>
        <v>-9.224</v>
      </c>
      <c r="R851" s="25" t="n">
        <f aca="false">SUMIFS('Commentary drivers'!$E:$E,'Commentary drivers'!$A:$A,A851)</f>
        <v>-9.2</v>
      </c>
      <c r="S851" s="49" t="str">
        <f aca="false">IF(AND(ROUND(Q851-J851,4)=0,ROUND(R851-K851,1)=0),"✓","✗")</f>
        <v>✓</v>
      </c>
    </row>
    <row r="852" customFormat="false" ht="15" hidden="false" customHeight="false" outlineLevel="0" collapsed="false">
      <c r="A852" s="11" t="s">
        <v>2259</v>
      </c>
      <c r="B852" s="11" t="s">
        <v>134</v>
      </c>
      <c r="C852" s="11" t="s">
        <v>40</v>
      </c>
      <c r="D852" s="11" t="s">
        <v>1248</v>
      </c>
      <c r="E852" s="11" t="s">
        <v>1327</v>
      </c>
      <c r="F852" s="11" t="s">
        <v>160</v>
      </c>
      <c r="G852" s="11" t="n">
        <v>0</v>
      </c>
      <c r="H852" s="34" t="n">
        <v>10</v>
      </c>
      <c r="I852" s="34" t="n">
        <v>10</v>
      </c>
      <c r="J852" s="34" t="n">
        <v>0</v>
      </c>
      <c r="K852" s="34" t="n">
        <v>0</v>
      </c>
      <c r="L852" s="11" t="s">
        <v>1029</v>
      </c>
      <c r="M852" s="11" t="s">
        <v>1250</v>
      </c>
      <c r="N852" s="11" t="s">
        <v>1262</v>
      </c>
      <c r="O852" s="11"/>
      <c r="P852" s="11"/>
      <c r="Q852" s="25" t="n">
        <f aca="false">SUMIFS('Commentary drivers'!$D:$D,'Commentary drivers'!$A:$A,A852)</f>
        <v>0</v>
      </c>
      <c r="R852" s="25" t="n">
        <f aca="false">SUMIFS('Commentary drivers'!$E:$E,'Commentary drivers'!$A:$A,A852)</f>
        <v>0</v>
      </c>
      <c r="S852" s="49" t="str">
        <f aca="false">IF(AND(ROUND(Q852-J852,4)=0,ROUND(R852-K852,1)=0),"✓","✗")</f>
        <v>✓</v>
      </c>
    </row>
    <row r="853" customFormat="false" ht="15" hidden="false" customHeight="false" outlineLevel="0" collapsed="false">
      <c r="A853" s="11" t="s">
        <v>2260</v>
      </c>
      <c r="B853" s="11" t="s">
        <v>134</v>
      </c>
      <c r="C853" s="11" t="s">
        <v>40</v>
      </c>
      <c r="D853" s="11" t="s">
        <v>1248</v>
      </c>
      <c r="E853" s="11" t="s">
        <v>1329</v>
      </c>
      <c r="F853" s="11" t="s">
        <v>161</v>
      </c>
      <c r="G853" s="11" t="n">
        <v>0</v>
      </c>
      <c r="H853" s="34" t="n">
        <v>30</v>
      </c>
      <c r="I853" s="34" t="n">
        <v>30</v>
      </c>
      <c r="J853" s="34" t="n">
        <v>0</v>
      </c>
      <c r="K853" s="34" t="n">
        <v>0</v>
      </c>
      <c r="L853" s="11" t="s">
        <v>1030</v>
      </c>
      <c r="M853" s="11" t="s">
        <v>1250</v>
      </c>
      <c r="N853" s="11" t="s">
        <v>1262</v>
      </c>
      <c r="O853" s="11"/>
      <c r="P853" s="11"/>
      <c r="Q853" s="25" t="n">
        <f aca="false">SUMIFS('Commentary drivers'!$D:$D,'Commentary drivers'!$A:$A,A853)</f>
        <v>0</v>
      </c>
      <c r="R853" s="25" t="n">
        <f aca="false">SUMIFS('Commentary drivers'!$E:$E,'Commentary drivers'!$A:$A,A853)</f>
        <v>0</v>
      </c>
      <c r="S853" s="49" t="str">
        <f aca="false">IF(AND(ROUND(Q853-J853,4)=0,ROUND(R853-K853,1)=0),"✓","✗")</f>
        <v>✓</v>
      </c>
    </row>
    <row r="854" customFormat="false" ht="15" hidden="false" customHeight="false" outlineLevel="0" collapsed="false">
      <c r="A854" s="11" t="s">
        <v>2261</v>
      </c>
      <c r="B854" s="11" t="s">
        <v>134</v>
      </c>
      <c r="C854" s="11" t="s">
        <v>40</v>
      </c>
      <c r="D854" s="11" t="s">
        <v>1248</v>
      </c>
      <c r="E854" s="11" t="s">
        <v>1331</v>
      </c>
      <c r="F854" s="11" t="s">
        <v>162</v>
      </c>
      <c r="G854" s="11" t="n">
        <v>0</v>
      </c>
      <c r="H854" s="34" t="n">
        <v>200</v>
      </c>
      <c r="I854" s="34" t="n">
        <v>209.224</v>
      </c>
      <c r="J854" s="34" t="n">
        <v>-9.224</v>
      </c>
      <c r="K854" s="34" t="n">
        <v>-9.2</v>
      </c>
      <c r="L854" s="11" t="s">
        <v>1031</v>
      </c>
      <c r="M854" s="11" t="s">
        <v>1250</v>
      </c>
      <c r="N854" s="11" t="s">
        <v>1251</v>
      </c>
      <c r="O854" s="11" t="s">
        <v>2005</v>
      </c>
      <c r="P854" s="11" t="s">
        <v>1557</v>
      </c>
      <c r="Q854" s="25" t="n">
        <f aca="false">SUMIFS('Commentary drivers'!$D:$D,'Commentary drivers'!$A:$A,A854)</f>
        <v>-9.224</v>
      </c>
      <c r="R854" s="25" t="n">
        <f aca="false">SUMIFS('Commentary drivers'!$E:$E,'Commentary drivers'!$A:$A,A854)</f>
        <v>-9.2</v>
      </c>
      <c r="S854" s="49" t="str">
        <f aca="false">IF(AND(ROUND(Q854-J854,4)=0,ROUND(R854-K854,1)=0),"✓","✗")</f>
        <v>✓</v>
      </c>
    </row>
    <row r="855" customFormat="false" ht="15" hidden="false" customHeight="false" outlineLevel="0" collapsed="false">
      <c r="A855" s="11" t="s">
        <v>2262</v>
      </c>
      <c r="B855" s="11" t="s">
        <v>134</v>
      </c>
      <c r="C855" s="11" t="s">
        <v>40</v>
      </c>
      <c r="D855" s="11" t="s">
        <v>1248</v>
      </c>
      <c r="E855" s="11" t="s">
        <v>1333</v>
      </c>
      <c r="F855" s="11" t="s">
        <v>126</v>
      </c>
      <c r="G855" s="11" t="n">
        <v>0</v>
      </c>
      <c r="H855" s="34" t="n">
        <v>40</v>
      </c>
      <c r="I855" s="34" t="n">
        <v>38</v>
      </c>
      <c r="J855" s="34" t="n">
        <v>2</v>
      </c>
      <c r="K855" s="34" t="n">
        <v>2</v>
      </c>
      <c r="L855" s="11" t="s">
        <v>1032</v>
      </c>
      <c r="M855" s="11" t="s">
        <v>1250</v>
      </c>
      <c r="N855" s="11" t="s">
        <v>1262</v>
      </c>
      <c r="O855" s="11"/>
      <c r="P855" s="11"/>
      <c r="Q855" s="25" t="n">
        <f aca="false">SUMIFS('Commentary drivers'!$D:$D,'Commentary drivers'!$A:$A,A855)</f>
        <v>2</v>
      </c>
      <c r="R855" s="25" t="n">
        <f aca="false">SUMIFS('Commentary drivers'!$E:$E,'Commentary drivers'!$A:$A,A855)</f>
        <v>2</v>
      </c>
      <c r="S855" s="49" t="str">
        <f aca="false">IF(AND(ROUND(Q855-J855,4)=0,ROUND(R855-K855,1)=0),"✓","✗")</f>
        <v>✓</v>
      </c>
    </row>
    <row r="856" customFormat="false" ht="15" hidden="false" customHeight="false" outlineLevel="0" collapsed="false">
      <c r="A856" s="11" t="s">
        <v>2263</v>
      </c>
      <c r="B856" s="11" t="s">
        <v>134</v>
      </c>
      <c r="C856" s="11" t="s">
        <v>40</v>
      </c>
      <c r="D856" s="11" t="s">
        <v>1248</v>
      </c>
      <c r="E856" s="11" t="s">
        <v>1335</v>
      </c>
      <c r="F856" s="11" t="s">
        <v>97</v>
      </c>
      <c r="G856" s="11" t="n">
        <v>0</v>
      </c>
      <c r="H856" s="34" t="n">
        <v>160</v>
      </c>
      <c r="I856" s="34" t="n">
        <v>171.224</v>
      </c>
      <c r="J856" s="34" t="n">
        <v>-11.224</v>
      </c>
      <c r="K856" s="34" t="n">
        <v>-11.2</v>
      </c>
      <c r="L856" s="11" t="s">
        <v>1033</v>
      </c>
      <c r="M856" s="11" t="s">
        <v>1250</v>
      </c>
      <c r="N856" s="11" t="s">
        <v>1251</v>
      </c>
      <c r="O856" s="11" t="s">
        <v>2005</v>
      </c>
      <c r="P856" s="11" t="s">
        <v>1557</v>
      </c>
      <c r="Q856" s="25" t="n">
        <f aca="false">SUMIFS('Commentary drivers'!$D:$D,'Commentary drivers'!$A:$A,A856)</f>
        <v>-11.224</v>
      </c>
      <c r="R856" s="25" t="n">
        <f aca="false">SUMIFS('Commentary drivers'!$E:$E,'Commentary drivers'!$A:$A,A856)</f>
        <v>-11.2</v>
      </c>
      <c r="S856" s="49" t="str">
        <f aca="false">IF(AND(ROUND(Q856-J856,4)=0,ROUND(R856-K856,1)=0),"✓","✗")</f>
        <v>✓</v>
      </c>
    </row>
    <row r="857" customFormat="false" ht="15" hidden="false" customHeight="false" outlineLevel="0" collapsed="false">
      <c r="A857" s="11" t="s">
        <v>2264</v>
      </c>
      <c r="B857" s="11" t="s">
        <v>134</v>
      </c>
      <c r="C857" s="11" t="s">
        <v>40</v>
      </c>
      <c r="D857" s="11" t="s">
        <v>1337</v>
      </c>
      <c r="E857" s="11" t="s">
        <v>1338</v>
      </c>
      <c r="F857" s="11" t="s">
        <v>153</v>
      </c>
      <c r="G857" s="11" t="n">
        <v>0</v>
      </c>
      <c r="H857" s="34" t="n">
        <v>1800</v>
      </c>
      <c r="I857" s="34" t="n">
        <v>1794.762</v>
      </c>
      <c r="J857" s="34" t="n">
        <v>5.238</v>
      </c>
      <c r="K857" s="34" t="n">
        <v>5.2</v>
      </c>
      <c r="L857" s="11" t="s">
        <v>1000</v>
      </c>
      <c r="M857" s="11" t="s">
        <v>1250</v>
      </c>
      <c r="N857" s="11" t="s">
        <v>1262</v>
      </c>
      <c r="O857" s="11"/>
      <c r="P857" s="11"/>
      <c r="Q857" s="25" t="n">
        <f aca="false">SUMIFS('Commentary drivers'!$D:$D,'Commentary drivers'!$A:$A,A857)</f>
        <v>5.238</v>
      </c>
      <c r="R857" s="25" t="n">
        <f aca="false">SUMIFS('Commentary drivers'!$E:$E,'Commentary drivers'!$A:$A,A857)</f>
        <v>5.2</v>
      </c>
      <c r="S857" s="49" t="str">
        <f aca="false">IF(AND(ROUND(Q857-J857,4)=0,ROUND(R857-K857,1)=0),"✓","✗")</f>
        <v>✓</v>
      </c>
    </row>
    <row r="858" customFormat="false" ht="15" hidden="false" customHeight="false" outlineLevel="0" collapsed="false">
      <c r="A858" s="11" t="s">
        <v>2265</v>
      </c>
      <c r="B858" s="11" t="s">
        <v>134</v>
      </c>
      <c r="C858" s="11" t="s">
        <v>40</v>
      </c>
      <c r="D858" s="11" t="s">
        <v>1337</v>
      </c>
      <c r="E858" s="11" t="s">
        <v>1340</v>
      </c>
      <c r="F858" s="11" t="s">
        <v>154</v>
      </c>
      <c r="G858" s="11" t="n">
        <v>0</v>
      </c>
      <c r="H858" s="34" t="n">
        <v>200</v>
      </c>
      <c r="I858" s="34" t="n">
        <v>205</v>
      </c>
      <c r="J858" s="34" t="n">
        <v>-5</v>
      </c>
      <c r="K858" s="34" t="n">
        <v>-5</v>
      </c>
      <c r="L858" s="11" t="s">
        <v>1001</v>
      </c>
      <c r="M858" s="11" t="s">
        <v>1250</v>
      </c>
      <c r="N858" s="11" t="s">
        <v>1262</v>
      </c>
      <c r="O858" s="11"/>
      <c r="P858" s="11"/>
      <c r="Q858" s="25" t="n">
        <f aca="false">SUMIFS('Commentary drivers'!$D:$D,'Commentary drivers'!$A:$A,A858)</f>
        <v>-5</v>
      </c>
      <c r="R858" s="25" t="n">
        <f aca="false">SUMIFS('Commentary drivers'!$E:$E,'Commentary drivers'!$A:$A,A858)</f>
        <v>-5</v>
      </c>
      <c r="S858" s="49" t="str">
        <f aca="false">IF(AND(ROUND(Q858-J858,4)=0,ROUND(R858-K858,1)=0),"✓","✗")</f>
        <v>✓</v>
      </c>
    </row>
    <row r="859" customFormat="false" ht="15" hidden="false" customHeight="false" outlineLevel="0" collapsed="false">
      <c r="A859" s="11" t="s">
        <v>2266</v>
      </c>
      <c r="B859" s="11" t="s">
        <v>134</v>
      </c>
      <c r="C859" s="11" t="s">
        <v>40</v>
      </c>
      <c r="D859" s="11" t="s">
        <v>1337</v>
      </c>
      <c r="E859" s="11" t="s">
        <v>1342</v>
      </c>
      <c r="F859" s="11" t="s">
        <v>91</v>
      </c>
      <c r="G859" s="11" t="n">
        <v>0</v>
      </c>
      <c r="H859" s="34" t="n">
        <v>2000</v>
      </c>
      <c r="I859" s="34" t="n">
        <v>1999.762</v>
      </c>
      <c r="J859" s="34" t="n">
        <v>0.238</v>
      </c>
      <c r="K859" s="34" t="n">
        <v>0.2</v>
      </c>
      <c r="L859" s="11" t="s">
        <v>1002</v>
      </c>
      <c r="M859" s="11" t="s">
        <v>1250</v>
      </c>
      <c r="N859" s="11" t="s">
        <v>1251</v>
      </c>
      <c r="O859" s="11" t="s">
        <v>2005</v>
      </c>
      <c r="P859" s="11" t="s">
        <v>1557</v>
      </c>
      <c r="Q859" s="25" t="n">
        <f aca="false">SUMIFS('Commentary drivers'!$D:$D,'Commentary drivers'!$A:$A,A859)</f>
        <v>0.238</v>
      </c>
      <c r="R859" s="25" t="n">
        <f aca="false">SUMIFS('Commentary drivers'!$E:$E,'Commentary drivers'!$A:$A,A859)</f>
        <v>0.199999999999996</v>
      </c>
      <c r="S859" s="49" t="str">
        <f aca="false">IF(AND(ROUND(Q859-J859,4)=0,ROUND(R859-K859,1)=0),"✓","✗")</f>
        <v>✓</v>
      </c>
    </row>
    <row r="860" customFormat="false" ht="15" hidden="false" customHeight="false" outlineLevel="0" collapsed="false">
      <c r="A860" s="11" t="s">
        <v>2267</v>
      </c>
      <c r="B860" s="11" t="s">
        <v>134</v>
      </c>
      <c r="C860" s="11" t="s">
        <v>40</v>
      </c>
      <c r="D860" s="11" t="s">
        <v>1337</v>
      </c>
      <c r="E860" s="11" t="s">
        <v>1344</v>
      </c>
      <c r="F860" s="11" t="s">
        <v>164</v>
      </c>
      <c r="G860" s="11" t="n">
        <v>0</v>
      </c>
      <c r="H860" s="34" t="n">
        <v>544</v>
      </c>
      <c r="I860" s="34" t="n">
        <v>537.38315</v>
      </c>
      <c r="J860" s="34" t="n">
        <v>6.61685</v>
      </c>
      <c r="K860" s="34" t="n">
        <v>6.6</v>
      </c>
      <c r="L860" s="11" t="s">
        <v>1034</v>
      </c>
      <c r="M860" s="11" t="s">
        <v>1250</v>
      </c>
      <c r="N860" s="11" t="s">
        <v>1251</v>
      </c>
      <c r="O860" s="11" t="s">
        <v>2005</v>
      </c>
      <c r="P860" s="11" t="s">
        <v>1557</v>
      </c>
      <c r="Q860" s="25" t="n">
        <f aca="false">SUMIFS('Commentary drivers'!$D:$D,'Commentary drivers'!$A:$A,A860)</f>
        <v>6.61685</v>
      </c>
      <c r="R860" s="25" t="n">
        <f aca="false">SUMIFS('Commentary drivers'!$E:$E,'Commentary drivers'!$A:$A,A860)</f>
        <v>6.6</v>
      </c>
      <c r="S860" s="49" t="str">
        <f aca="false">IF(AND(ROUND(Q860-J860,4)=0,ROUND(R860-K860,1)=0),"✓","✗")</f>
        <v>✓</v>
      </c>
    </row>
    <row r="861" customFormat="false" ht="15" hidden="false" customHeight="false" outlineLevel="0" collapsed="false">
      <c r="A861" s="11" t="s">
        <v>2268</v>
      </c>
      <c r="B861" s="11" t="s">
        <v>134</v>
      </c>
      <c r="C861" s="11" t="s">
        <v>40</v>
      </c>
      <c r="D861" s="11" t="s">
        <v>1337</v>
      </c>
      <c r="E861" s="11" t="s">
        <v>1346</v>
      </c>
      <c r="F861" s="11" t="s">
        <v>257</v>
      </c>
      <c r="G861" s="11" t="n">
        <v>1</v>
      </c>
      <c r="H861" s="34" t="n">
        <v>140</v>
      </c>
      <c r="I861" s="34" t="n">
        <v>139</v>
      </c>
      <c r="J861" s="34" t="n">
        <v>1</v>
      </c>
      <c r="K861" s="34" t="n">
        <v>1</v>
      </c>
      <c r="L861" s="11" t="s">
        <v>1035</v>
      </c>
      <c r="M861" s="11" t="s">
        <v>1250</v>
      </c>
      <c r="N861" s="11" t="s">
        <v>1262</v>
      </c>
      <c r="O861" s="11"/>
      <c r="P861" s="11"/>
      <c r="Q861" s="25" t="n">
        <f aca="false">SUMIFS('Commentary drivers'!$D:$D,'Commentary drivers'!$A:$A,A861)</f>
        <v>1</v>
      </c>
      <c r="R861" s="25" t="n">
        <f aca="false">SUMIFS('Commentary drivers'!$E:$E,'Commentary drivers'!$A:$A,A861)</f>
        <v>1</v>
      </c>
      <c r="S861" s="49" t="str">
        <f aca="false">IF(AND(ROUND(Q861-J861,4)=0,ROUND(R861-K861,1)=0),"✓","✗")</f>
        <v>✓</v>
      </c>
    </row>
    <row r="862" customFormat="false" ht="15" hidden="false" customHeight="false" outlineLevel="0" collapsed="false">
      <c r="A862" s="11" t="s">
        <v>2269</v>
      </c>
      <c r="B862" s="11" t="s">
        <v>134</v>
      </c>
      <c r="C862" s="11" t="s">
        <v>40</v>
      </c>
      <c r="D862" s="11" t="s">
        <v>1337</v>
      </c>
      <c r="E862" s="11" t="s">
        <v>1348</v>
      </c>
      <c r="F862" s="11" t="s">
        <v>259</v>
      </c>
      <c r="G862" s="11" t="n">
        <v>1</v>
      </c>
      <c r="H862" s="34" t="n">
        <v>100</v>
      </c>
      <c r="I862" s="34" t="n">
        <v>102.65125</v>
      </c>
      <c r="J862" s="34" t="n">
        <v>-2.65125</v>
      </c>
      <c r="K862" s="34" t="n">
        <v>-2.7</v>
      </c>
      <c r="L862" s="11" t="s">
        <v>1036</v>
      </c>
      <c r="M862" s="11" t="s">
        <v>1250</v>
      </c>
      <c r="N862" s="11" t="s">
        <v>1262</v>
      </c>
      <c r="O862" s="11"/>
      <c r="P862" s="11"/>
      <c r="Q862" s="25" t="n">
        <f aca="false">SUMIFS('Commentary drivers'!$D:$D,'Commentary drivers'!$A:$A,A862)</f>
        <v>-2.65125</v>
      </c>
      <c r="R862" s="25" t="n">
        <f aca="false">SUMIFS('Commentary drivers'!$E:$E,'Commentary drivers'!$A:$A,A862)</f>
        <v>-2.7</v>
      </c>
      <c r="S862" s="49" t="str">
        <f aca="false">IF(AND(ROUND(Q862-J862,4)=0,ROUND(R862-K862,1)=0),"✓","✗")</f>
        <v>✓</v>
      </c>
    </row>
    <row r="863" customFormat="false" ht="15" hidden="false" customHeight="false" outlineLevel="0" collapsed="false">
      <c r="A863" s="11" t="s">
        <v>2270</v>
      </c>
      <c r="B863" s="11" t="s">
        <v>134</v>
      </c>
      <c r="C863" s="11" t="s">
        <v>40</v>
      </c>
      <c r="D863" s="11" t="s">
        <v>1337</v>
      </c>
      <c r="E863" s="11" t="s">
        <v>1350</v>
      </c>
      <c r="F863" s="11" t="s">
        <v>261</v>
      </c>
      <c r="G863" s="11" t="n">
        <v>1</v>
      </c>
      <c r="H863" s="34" t="n">
        <v>160</v>
      </c>
      <c r="I863" s="34" t="n">
        <v>153.796</v>
      </c>
      <c r="J863" s="34" t="n">
        <v>6.204</v>
      </c>
      <c r="K863" s="34" t="n">
        <v>6.2</v>
      </c>
      <c r="L863" s="11" t="s">
        <v>1037</v>
      </c>
      <c r="M863" s="11" t="s">
        <v>1250</v>
      </c>
      <c r="N863" s="11" t="s">
        <v>1262</v>
      </c>
      <c r="O863" s="11"/>
      <c r="P863" s="11"/>
      <c r="Q863" s="25" t="n">
        <f aca="false">SUMIFS('Commentary drivers'!$D:$D,'Commentary drivers'!$A:$A,A863)</f>
        <v>6.204</v>
      </c>
      <c r="R863" s="25" t="n">
        <f aca="false">SUMIFS('Commentary drivers'!$E:$E,'Commentary drivers'!$A:$A,A863)</f>
        <v>6.2</v>
      </c>
      <c r="S863" s="49" t="str">
        <f aca="false">IF(AND(ROUND(Q863-J863,4)=0,ROUND(R863-K863,1)=0),"✓","✗")</f>
        <v>✓</v>
      </c>
    </row>
    <row r="864" customFormat="false" ht="15" hidden="false" customHeight="false" outlineLevel="0" collapsed="false">
      <c r="A864" s="11" t="s">
        <v>2271</v>
      </c>
      <c r="B864" s="11" t="s">
        <v>134</v>
      </c>
      <c r="C864" s="11" t="s">
        <v>40</v>
      </c>
      <c r="D864" s="11" t="s">
        <v>1337</v>
      </c>
      <c r="E864" s="11" t="s">
        <v>1352</v>
      </c>
      <c r="F864" s="11" t="s">
        <v>263</v>
      </c>
      <c r="G864" s="11" t="n">
        <v>1</v>
      </c>
      <c r="H864" s="34" t="n">
        <v>84</v>
      </c>
      <c r="I864" s="34" t="n">
        <v>83.5359</v>
      </c>
      <c r="J864" s="34" t="n">
        <v>0.4641</v>
      </c>
      <c r="K864" s="34" t="n">
        <v>0.5</v>
      </c>
      <c r="L864" s="11" t="s">
        <v>1038</v>
      </c>
      <c r="M864" s="11" t="s">
        <v>1250</v>
      </c>
      <c r="N864" s="11" t="s">
        <v>1262</v>
      </c>
      <c r="O864" s="11"/>
      <c r="P864" s="11"/>
      <c r="Q864" s="25" t="n">
        <f aca="false">SUMIFS('Commentary drivers'!$D:$D,'Commentary drivers'!$A:$A,A864)</f>
        <v>0.4641</v>
      </c>
      <c r="R864" s="25" t="n">
        <f aca="false">SUMIFS('Commentary drivers'!$E:$E,'Commentary drivers'!$A:$A,A864)</f>
        <v>0.5</v>
      </c>
      <c r="S864" s="49" t="str">
        <f aca="false">IF(AND(ROUND(Q864-J864,4)=0,ROUND(R864-K864,1)=0),"✓","✗")</f>
        <v>✓</v>
      </c>
    </row>
    <row r="865" customFormat="false" ht="15" hidden="false" customHeight="false" outlineLevel="0" collapsed="false">
      <c r="A865" s="11" t="s">
        <v>2272</v>
      </c>
      <c r="B865" s="11" t="s">
        <v>134</v>
      </c>
      <c r="C865" s="11" t="s">
        <v>40</v>
      </c>
      <c r="D865" s="11" t="s">
        <v>1337</v>
      </c>
      <c r="E865" s="11" t="s">
        <v>1354</v>
      </c>
      <c r="F865" s="11" t="s">
        <v>265</v>
      </c>
      <c r="G865" s="11" t="n">
        <v>1</v>
      </c>
      <c r="H865" s="34" t="n">
        <v>20</v>
      </c>
      <c r="I865" s="34" t="n">
        <v>18.4</v>
      </c>
      <c r="J865" s="34" t="n">
        <v>1.6</v>
      </c>
      <c r="K865" s="34" t="n">
        <v>1.6</v>
      </c>
      <c r="L865" s="11" t="s">
        <v>1039</v>
      </c>
      <c r="M865" s="11" t="s">
        <v>1250</v>
      </c>
      <c r="N865" s="11" t="s">
        <v>1262</v>
      </c>
      <c r="O865" s="11"/>
      <c r="P865" s="11"/>
      <c r="Q865" s="25" t="n">
        <f aca="false">SUMIFS('Commentary drivers'!$D:$D,'Commentary drivers'!$A:$A,A865)</f>
        <v>1.6</v>
      </c>
      <c r="R865" s="25" t="n">
        <f aca="false">SUMIFS('Commentary drivers'!$E:$E,'Commentary drivers'!$A:$A,A865)</f>
        <v>1.6</v>
      </c>
      <c r="S865" s="49" t="str">
        <f aca="false">IF(AND(ROUND(Q865-J865,4)=0,ROUND(R865-K865,1)=0),"✓","✗")</f>
        <v>✓</v>
      </c>
    </row>
    <row r="866" customFormat="false" ht="15" hidden="false" customHeight="false" outlineLevel="0" collapsed="false">
      <c r="A866" s="11" t="s">
        <v>2273</v>
      </c>
      <c r="B866" s="11" t="s">
        <v>134</v>
      </c>
      <c r="C866" s="11" t="s">
        <v>40</v>
      </c>
      <c r="D866" s="11" t="s">
        <v>1337</v>
      </c>
      <c r="E866" s="11" t="s">
        <v>1356</v>
      </c>
      <c r="F866" s="11" t="s">
        <v>267</v>
      </c>
      <c r="G866" s="11" t="n">
        <v>1</v>
      </c>
      <c r="H866" s="34" t="n">
        <v>20</v>
      </c>
      <c r="I866" s="34" t="n">
        <v>20</v>
      </c>
      <c r="J866" s="34" t="n">
        <v>0</v>
      </c>
      <c r="K866" s="34" t="n">
        <v>0</v>
      </c>
      <c r="L866" s="11" t="s">
        <v>1040</v>
      </c>
      <c r="M866" s="11" t="s">
        <v>1250</v>
      </c>
      <c r="N866" s="11" t="s">
        <v>1262</v>
      </c>
      <c r="O866" s="11"/>
      <c r="P866" s="11"/>
      <c r="Q866" s="25" t="n">
        <f aca="false">SUMIFS('Commentary drivers'!$D:$D,'Commentary drivers'!$A:$A,A866)</f>
        <v>0</v>
      </c>
      <c r="R866" s="25" t="n">
        <f aca="false">SUMIFS('Commentary drivers'!$E:$E,'Commentary drivers'!$A:$A,A866)</f>
        <v>0</v>
      </c>
      <c r="S866" s="49" t="str">
        <f aca="false">IF(AND(ROUND(Q866-J866,4)=0,ROUND(R866-K866,1)=0),"✓","✗")</f>
        <v>✓</v>
      </c>
    </row>
    <row r="867" customFormat="false" ht="15" hidden="false" customHeight="false" outlineLevel="0" collapsed="false">
      <c r="A867" s="11" t="s">
        <v>2274</v>
      </c>
      <c r="B867" s="11" t="s">
        <v>134</v>
      </c>
      <c r="C867" s="11" t="s">
        <v>40</v>
      </c>
      <c r="D867" s="11" t="s">
        <v>1337</v>
      </c>
      <c r="E867" s="11" t="s">
        <v>1358</v>
      </c>
      <c r="F867" s="11" t="s">
        <v>269</v>
      </c>
      <c r="G867" s="11" t="n">
        <v>1</v>
      </c>
      <c r="H867" s="34" t="n">
        <v>20</v>
      </c>
      <c r="I867" s="34" t="n">
        <v>20</v>
      </c>
      <c r="J867" s="34" t="n">
        <v>0</v>
      </c>
      <c r="K867" s="34" t="n">
        <v>0</v>
      </c>
      <c r="L867" s="11" t="s">
        <v>1041</v>
      </c>
      <c r="M867" s="11" t="s">
        <v>1250</v>
      </c>
      <c r="N867" s="11" t="s">
        <v>1262</v>
      </c>
      <c r="O867" s="11"/>
      <c r="P867" s="11"/>
      <c r="Q867" s="25" t="n">
        <f aca="false">SUMIFS('Commentary drivers'!$D:$D,'Commentary drivers'!$A:$A,A867)</f>
        <v>0</v>
      </c>
      <c r="R867" s="25" t="n">
        <f aca="false">SUMIFS('Commentary drivers'!$E:$E,'Commentary drivers'!$A:$A,A867)</f>
        <v>0</v>
      </c>
      <c r="S867" s="49" t="str">
        <f aca="false">IF(AND(ROUND(Q867-J867,4)=0,ROUND(R867-K867,1)=0),"✓","✗")</f>
        <v>✓</v>
      </c>
    </row>
    <row r="868" customFormat="false" ht="15" hidden="false" customHeight="false" outlineLevel="0" collapsed="false">
      <c r="A868" s="11" t="s">
        <v>2275</v>
      </c>
      <c r="B868" s="11" t="s">
        <v>134</v>
      </c>
      <c r="C868" s="11" t="s">
        <v>40</v>
      </c>
      <c r="D868" s="11" t="s">
        <v>1337</v>
      </c>
      <c r="E868" s="11" t="s">
        <v>1360</v>
      </c>
      <c r="F868" s="11" t="s">
        <v>165</v>
      </c>
      <c r="G868" s="11" t="n">
        <v>0</v>
      </c>
      <c r="H868" s="34" t="n">
        <v>120</v>
      </c>
      <c r="I868" s="34" t="n">
        <v>119.412</v>
      </c>
      <c r="J868" s="34" t="n">
        <v>0.588</v>
      </c>
      <c r="K868" s="34" t="n">
        <v>0.6</v>
      </c>
      <c r="L868" s="11" t="s">
        <v>1042</v>
      </c>
      <c r="M868" s="11" t="s">
        <v>1250</v>
      </c>
      <c r="N868" s="11" t="s">
        <v>1251</v>
      </c>
      <c r="O868" s="11" t="s">
        <v>2005</v>
      </c>
      <c r="P868" s="11" t="s">
        <v>1557</v>
      </c>
      <c r="Q868" s="25" t="n">
        <f aca="false">SUMIFS('Commentary drivers'!$D:$D,'Commentary drivers'!$A:$A,A868)</f>
        <v>0.588</v>
      </c>
      <c r="R868" s="25" t="n">
        <f aca="false">SUMIFS('Commentary drivers'!$E:$E,'Commentary drivers'!$A:$A,A868)</f>
        <v>0.6</v>
      </c>
      <c r="S868" s="49" t="str">
        <f aca="false">IF(AND(ROUND(Q868-J868,4)=0,ROUND(R868-K868,1)=0),"✓","✗")</f>
        <v>✓</v>
      </c>
    </row>
    <row r="869" customFormat="false" ht="15" hidden="false" customHeight="false" outlineLevel="0" collapsed="false">
      <c r="A869" s="11" t="s">
        <v>2276</v>
      </c>
      <c r="B869" s="11" t="s">
        <v>134</v>
      </c>
      <c r="C869" s="11" t="s">
        <v>40</v>
      </c>
      <c r="D869" s="11" t="s">
        <v>1337</v>
      </c>
      <c r="E869" s="11" t="s">
        <v>1362</v>
      </c>
      <c r="F869" s="11" t="s">
        <v>272</v>
      </c>
      <c r="G869" s="11" t="n">
        <v>1</v>
      </c>
      <c r="H869" s="34" t="n">
        <v>120</v>
      </c>
      <c r="I869" s="34" t="n">
        <v>119.412</v>
      </c>
      <c r="J869" s="34" t="n">
        <v>0.588</v>
      </c>
      <c r="K869" s="34" t="n">
        <v>0.6</v>
      </c>
      <c r="L869" s="11" t="s">
        <v>1043</v>
      </c>
      <c r="M869" s="11" t="s">
        <v>1250</v>
      </c>
      <c r="N869" s="11" t="s">
        <v>1262</v>
      </c>
      <c r="O869" s="11"/>
      <c r="P869" s="11"/>
      <c r="Q869" s="25" t="n">
        <f aca="false">SUMIFS('Commentary drivers'!$D:$D,'Commentary drivers'!$A:$A,A869)</f>
        <v>0.588</v>
      </c>
      <c r="R869" s="25" t="n">
        <f aca="false">SUMIFS('Commentary drivers'!$E:$E,'Commentary drivers'!$A:$A,A869)</f>
        <v>0.6</v>
      </c>
      <c r="S869" s="49" t="str">
        <f aca="false">IF(AND(ROUND(Q869-J869,4)=0,ROUND(R869-K869,1)=0),"✓","✗")</f>
        <v>✓</v>
      </c>
    </row>
    <row r="870" customFormat="false" ht="15" hidden="false" customHeight="false" outlineLevel="0" collapsed="false">
      <c r="A870" s="11" t="s">
        <v>2277</v>
      </c>
      <c r="B870" s="11" t="s">
        <v>134</v>
      </c>
      <c r="C870" s="11" t="s">
        <v>40</v>
      </c>
      <c r="D870" s="11" t="s">
        <v>1337</v>
      </c>
      <c r="E870" s="11" t="s">
        <v>1364</v>
      </c>
      <c r="F870" s="11" t="s">
        <v>166</v>
      </c>
      <c r="G870" s="11" t="n">
        <v>0</v>
      </c>
      <c r="H870" s="34" t="n">
        <v>664</v>
      </c>
      <c r="I870" s="34" t="n">
        <v>656.79515</v>
      </c>
      <c r="J870" s="34" t="n">
        <v>7.20485</v>
      </c>
      <c r="K870" s="34" t="n">
        <v>7.2</v>
      </c>
      <c r="L870" s="11" t="s">
        <v>1044</v>
      </c>
      <c r="M870" s="11" t="s">
        <v>1250</v>
      </c>
      <c r="N870" s="11" t="s">
        <v>1251</v>
      </c>
      <c r="O870" s="11" t="s">
        <v>2005</v>
      </c>
      <c r="P870" s="11" t="s">
        <v>1557</v>
      </c>
      <c r="Q870" s="25" t="n">
        <f aca="false">SUMIFS('Commentary drivers'!$D:$D,'Commentary drivers'!$A:$A,A870)</f>
        <v>7.20485</v>
      </c>
      <c r="R870" s="25" t="n">
        <f aca="false">SUMIFS('Commentary drivers'!$E:$E,'Commentary drivers'!$A:$A,A870)</f>
        <v>7.2</v>
      </c>
      <c r="S870" s="49" t="str">
        <f aca="false">IF(AND(ROUND(Q870-J870,4)=0,ROUND(R870-K870,1)=0),"✓","✗")</f>
        <v>✓</v>
      </c>
    </row>
    <row r="871" customFormat="false" ht="15" hidden="false" customHeight="false" outlineLevel="0" collapsed="false">
      <c r="A871" s="11" t="s">
        <v>2278</v>
      </c>
      <c r="B871" s="11" t="s">
        <v>134</v>
      </c>
      <c r="C871" s="11" t="s">
        <v>40</v>
      </c>
      <c r="D871" s="11" t="s">
        <v>1337</v>
      </c>
      <c r="E871" s="11" t="s">
        <v>1366</v>
      </c>
      <c r="F871" s="11" t="s">
        <v>167</v>
      </c>
      <c r="G871" s="11" t="n">
        <v>0</v>
      </c>
      <c r="H871" s="34" t="n">
        <v>1336</v>
      </c>
      <c r="I871" s="34" t="n">
        <v>1342.96685</v>
      </c>
      <c r="J871" s="34" t="n">
        <v>-6.96685</v>
      </c>
      <c r="K871" s="34" t="n">
        <v>-7</v>
      </c>
      <c r="L871" s="11" t="s">
        <v>1045</v>
      </c>
      <c r="M871" s="11" t="s">
        <v>1250</v>
      </c>
      <c r="N871" s="11" t="s">
        <v>1251</v>
      </c>
      <c r="O871" s="11" t="s">
        <v>2005</v>
      </c>
      <c r="P871" s="11" t="s">
        <v>1557</v>
      </c>
      <c r="Q871" s="25" t="n">
        <f aca="false">SUMIFS('Commentary drivers'!$D:$D,'Commentary drivers'!$A:$A,A871)</f>
        <v>-6.96685</v>
      </c>
      <c r="R871" s="25" t="n">
        <f aca="false">SUMIFS('Commentary drivers'!$E:$E,'Commentary drivers'!$A:$A,A871)</f>
        <v>-7</v>
      </c>
      <c r="S871" s="49" t="str">
        <f aca="false">IF(AND(ROUND(Q871-J871,4)=0,ROUND(R871-K871,1)=0),"✓","✗")</f>
        <v>✓</v>
      </c>
    </row>
    <row r="872" customFormat="false" ht="15" hidden="false" customHeight="false" outlineLevel="0" collapsed="false">
      <c r="A872" s="11" t="s">
        <v>2279</v>
      </c>
      <c r="B872" s="11" t="s">
        <v>134</v>
      </c>
      <c r="C872" s="11" t="s">
        <v>40</v>
      </c>
      <c r="D872" s="11" t="s">
        <v>1337</v>
      </c>
      <c r="E872" s="11" t="s">
        <v>1368</v>
      </c>
      <c r="F872" s="11" t="s">
        <v>168</v>
      </c>
      <c r="G872" s="11" t="n">
        <v>0</v>
      </c>
      <c r="H872" s="34" t="n">
        <v>436</v>
      </c>
      <c r="I872" s="34" t="n">
        <v>442.1891</v>
      </c>
      <c r="J872" s="34" t="n">
        <v>-6.1891</v>
      </c>
      <c r="K872" s="34" t="n">
        <v>-6.2</v>
      </c>
      <c r="L872" s="11" t="s">
        <v>1046</v>
      </c>
      <c r="M872" s="11" t="s">
        <v>1250</v>
      </c>
      <c r="N872" s="11" t="s">
        <v>1251</v>
      </c>
      <c r="O872" s="11" t="s">
        <v>2005</v>
      </c>
      <c r="P872" s="11" t="s">
        <v>1557</v>
      </c>
      <c r="Q872" s="25" t="n">
        <f aca="false">SUMIFS('Commentary drivers'!$D:$D,'Commentary drivers'!$A:$A,A872)</f>
        <v>-6.1891</v>
      </c>
      <c r="R872" s="25" t="n">
        <f aca="false">SUMIFS('Commentary drivers'!$E:$E,'Commentary drivers'!$A:$A,A872)</f>
        <v>-6.2</v>
      </c>
      <c r="S872" s="49" t="str">
        <f aca="false">IF(AND(ROUND(Q872-J872,4)=0,ROUND(R872-K872,1)=0),"✓","✗")</f>
        <v>✓</v>
      </c>
    </row>
    <row r="873" customFormat="false" ht="15" hidden="false" customHeight="false" outlineLevel="0" collapsed="false">
      <c r="A873" s="11" t="s">
        <v>2280</v>
      </c>
      <c r="B873" s="11" t="s">
        <v>134</v>
      </c>
      <c r="C873" s="11" t="s">
        <v>40</v>
      </c>
      <c r="D873" s="11" t="s">
        <v>1337</v>
      </c>
      <c r="E873" s="11" t="s">
        <v>1370</v>
      </c>
      <c r="F873" s="11" t="s">
        <v>278</v>
      </c>
      <c r="G873" s="11" t="n">
        <v>1</v>
      </c>
      <c r="H873" s="34" t="n">
        <v>240</v>
      </c>
      <c r="I873" s="34" t="n">
        <v>251.388</v>
      </c>
      <c r="J873" s="34" t="n">
        <v>-11.388</v>
      </c>
      <c r="K873" s="34" t="n">
        <v>-11.4</v>
      </c>
      <c r="L873" s="11" t="s">
        <v>1047</v>
      </c>
      <c r="M873" s="11" t="s">
        <v>1250</v>
      </c>
      <c r="N873" s="11" t="s">
        <v>1251</v>
      </c>
      <c r="O873" s="11" t="s">
        <v>2005</v>
      </c>
      <c r="P873" s="11" t="s">
        <v>1557</v>
      </c>
      <c r="Q873" s="25" t="n">
        <f aca="false">SUMIFS('Commentary drivers'!$D:$D,'Commentary drivers'!$A:$A,A873)</f>
        <v>-11.388</v>
      </c>
      <c r="R873" s="25" t="n">
        <f aca="false">SUMIFS('Commentary drivers'!$E:$E,'Commentary drivers'!$A:$A,A873)</f>
        <v>-11.4</v>
      </c>
      <c r="S873" s="49" t="str">
        <f aca="false">IF(AND(ROUND(Q873-J873,4)=0,ROUND(R873-K873,1)=0),"✓","✗")</f>
        <v>✓</v>
      </c>
    </row>
    <row r="874" customFormat="false" ht="15" hidden="false" customHeight="false" outlineLevel="0" collapsed="false">
      <c r="A874" s="11" t="s">
        <v>2281</v>
      </c>
      <c r="B874" s="11" t="s">
        <v>134</v>
      </c>
      <c r="C874" s="11" t="s">
        <v>40</v>
      </c>
      <c r="D874" s="11" t="s">
        <v>1337</v>
      </c>
      <c r="E874" s="11" t="s">
        <v>1372</v>
      </c>
      <c r="F874" s="11" t="s">
        <v>280</v>
      </c>
      <c r="G874" s="11" t="n">
        <v>1</v>
      </c>
      <c r="H874" s="34" t="n">
        <v>36</v>
      </c>
      <c r="I874" s="34" t="n">
        <v>35.8011</v>
      </c>
      <c r="J874" s="34" t="n">
        <v>0.1989</v>
      </c>
      <c r="K874" s="34" t="n">
        <v>0.2</v>
      </c>
      <c r="L874" s="11" t="s">
        <v>1048</v>
      </c>
      <c r="M874" s="11" t="s">
        <v>1250</v>
      </c>
      <c r="N874" s="11" t="s">
        <v>1262</v>
      </c>
      <c r="O874" s="11"/>
      <c r="P874" s="11"/>
      <c r="Q874" s="25" t="n">
        <f aca="false">SUMIFS('Commentary drivers'!$D:$D,'Commentary drivers'!$A:$A,A874)</f>
        <v>0.1989</v>
      </c>
      <c r="R874" s="25" t="n">
        <f aca="false">SUMIFS('Commentary drivers'!$E:$E,'Commentary drivers'!$A:$A,A874)</f>
        <v>0.2</v>
      </c>
      <c r="S874" s="49" t="str">
        <f aca="false">IF(AND(ROUND(Q874-J874,4)=0,ROUND(R874-K874,1)=0),"✓","✗")</f>
        <v>✓</v>
      </c>
    </row>
    <row r="875" customFormat="false" ht="15" hidden="false" customHeight="false" outlineLevel="0" collapsed="false">
      <c r="A875" s="11" t="s">
        <v>2282</v>
      </c>
      <c r="B875" s="11" t="s">
        <v>134</v>
      </c>
      <c r="C875" s="11" t="s">
        <v>40</v>
      </c>
      <c r="D875" s="11" t="s">
        <v>1337</v>
      </c>
      <c r="E875" s="11" t="s">
        <v>1374</v>
      </c>
      <c r="F875" s="11" t="s">
        <v>282</v>
      </c>
      <c r="G875" s="11" t="n">
        <v>1</v>
      </c>
      <c r="H875" s="34" t="n">
        <v>100</v>
      </c>
      <c r="I875" s="34" t="n">
        <v>101</v>
      </c>
      <c r="J875" s="34" t="n">
        <v>-1</v>
      </c>
      <c r="K875" s="34" t="n">
        <v>-1</v>
      </c>
      <c r="L875" s="11" t="s">
        <v>1049</v>
      </c>
      <c r="M875" s="11" t="s">
        <v>1250</v>
      </c>
      <c r="N875" s="11" t="s">
        <v>1262</v>
      </c>
      <c r="O875" s="11"/>
      <c r="P875" s="11"/>
      <c r="Q875" s="25" t="n">
        <f aca="false">SUMIFS('Commentary drivers'!$D:$D,'Commentary drivers'!$A:$A,A875)</f>
        <v>-1</v>
      </c>
      <c r="R875" s="25" t="n">
        <f aca="false">SUMIFS('Commentary drivers'!$E:$E,'Commentary drivers'!$A:$A,A875)</f>
        <v>-1</v>
      </c>
      <c r="S875" s="49" t="str">
        <f aca="false">IF(AND(ROUND(Q875-J875,4)=0,ROUND(R875-K875,1)=0),"✓","✗")</f>
        <v>✓</v>
      </c>
    </row>
    <row r="876" customFormat="false" ht="15" hidden="false" customHeight="false" outlineLevel="0" collapsed="false">
      <c r="A876" s="11" t="s">
        <v>2283</v>
      </c>
      <c r="B876" s="11" t="s">
        <v>134</v>
      </c>
      <c r="C876" s="11" t="s">
        <v>40</v>
      </c>
      <c r="D876" s="11" t="s">
        <v>1337</v>
      </c>
      <c r="E876" s="11" t="s">
        <v>1376</v>
      </c>
      <c r="F876" s="11" t="s">
        <v>284</v>
      </c>
      <c r="G876" s="11" t="n">
        <v>1</v>
      </c>
      <c r="H876" s="34" t="n">
        <v>40</v>
      </c>
      <c r="I876" s="34" t="n">
        <v>40</v>
      </c>
      <c r="J876" s="34" t="n">
        <v>0</v>
      </c>
      <c r="K876" s="34" t="n">
        <v>0</v>
      </c>
      <c r="L876" s="11" t="s">
        <v>1050</v>
      </c>
      <c r="M876" s="11" t="s">
        <v>1250</v>
      </c>
      <c r="N876" s="11" t="s">
        <v>1262</v>
      </c>
      <c r="O876" s="11"/>
      <c r="P876" s="11"/>
      <c r="Q876" s="25" t="n">
        <f aca="false">SUMIFS('Commentary drivers'!$D:$D,'Commentary drivers'!$A:$A,A876)</f>
        <v>0</v>
      </c>
      <c r="R876" s="25" t="n">
        <f aca="false">SUMIFS('Commentary drivers'!$E:$E,'Commentary drivers'!$A:$A,A876)</f>
        <v>0</v>
      </c>
      <c r="S876" s="49" t="str">
        <f aca="false">IF(AND(ROUND(Q876-J876,4)=0,ROUND(R876-K876,1)=0),"✓","✗")</f>
        <v>✓</v>
      </c>
    </row>
    <row r="877" customFormat="false" ht="15" hidden="false" customHeight="false" outlineLevel="0" collapsed="false">
      <c r="A877" s="11" t="s">
        <v>2284</v>
      </c>
      <c r="B877" s="11" t="s">
        <v>134</v>
      </c>
      <c r="C877" s="11" t="s">
        <v>40</v>
      </c>
      <c r="D877" s="11" t="s">
        <v>1337</v>
      </c>
      <c r="E877" s="11" t="s">
        <v>1378</v>
      </c>
      <c r="F877" s="11" t="s">
        <v>286</v>
      </c>
      <c r="G877" s="11" t="n">
        <v>1</v>
      </c>
      <c r="H877" s="34" t="n">
        <v>20</v>
      </c>
      <c r="I877" s="34" t="n">
        <v>14</v>
      </c>
      <c r="J877" s="34" t="n">
        <v>6</v>
      </c>
      <c r="K877" s="34" t="n">
        <v>6</v>
      </c>
      <c r="L877" s="11" t="s">
        <v>1051</v>
      </c>
      <c r="M877" s="11" t="s">
        <v>1250</v>
      </c>
      <c r="N877" s="11" t="s">
        <v>1251</v>
      </c>
      <c r="O877" s="11" t="s">
        <v>2005</v>
      </c>
      <c r="P877" s="11" t="s">
        <v>1557</v>
      </c>
      <c r="Q877" s="25" t="n">
        <f aca="false">SUMIFS('Commentary drivers'!$D:$D,'Commentary drivers'!$A:$A,A877)</f>
        <v>6</v>
      </c>
      <c r="R877" s="25" t="n">
        <f aca="false">SUMIFS('Commentary drivers'!$E:$E,'Commentary drivers'!$A:$A,A877)</f>
        <v>6</v>
      </c>
      <c r="S877" s="49" t="str">
        <f aca="false">IF(AND(ROUND(Q877-J877,4)=0,ROUND(R877-K877,1)=0),"✓","✗")</f>
        <v>✓</v>
      </c>
    </row>
    <row r="878" customFormat="false" ht="15" hidden="false" customHeight="false" outlineLevel="0" collapsed="false">
      <c r="A878" s="11" t="s">
        <v>2285</v>
      </c>
      <c r="B878" s="11" t="s">
        <v>134</v>
      </c>
      <c r="C878" s="11" t="s">
        <v>40</v>
      </c>
      <c r="D878" s="11" t="s">
        <v>1337</v>
      </c>
      <c r="E878" s="11" t="s">
        <v>1380</v>
      </c>
      <c r="F878" s="11" t="s">
        <v>169</v>
      </c>
      <c r="G878" s="11" t="n">
        <v>0</v>
      </c>
      <c r="H878" s="34" t="n">
        <v>900</v>
      </c>
      <c r="I878" s="34" t="n">
        <v>900.77775</v>
      </c>
      <c r="J878" s="34" t="n">
        <v>-0.77775</v>
      </c>
      <c r="K878" s="34" t="n">
        <v>-0.8</v>
      </c>
      <c r="L878" s="11" t="s">
        <v>1052</v>
      </c>
      <c r="M878" s="11" t="s">
        <v>1250</v>
      </c>
      <c r="N878" s="11" t="s">
        <v>1251</v>
      </c>
      <c r="O878" s="11" t="s">
        <v>2005</v>
      </c>
      <c r="P878" s="11" t="s">
        <v>1557</v>
      </c>
      <c r="Q878" s="25" t="n">
        <f aca="false">SUMIFS('Commentary drivers'!$D:$D,'Commentary drivers'!$A:$A,A878)</f>
        <v>-0.777750000000001</v>
      </c>
      <c r="R878" s="25" t="n">
        <f aca="false">SUMIFS('Commentary drivers'!$E:$E,'Commentary drivers'!$A:$A,A878)</f>
        <v>-0.8</v>
      </c>
      <c r="S878" s="49" t="str">
        <f aca="false">IF(AND(ROUND(Q878-J878,4)=0,ROUND(R878-K878,1)=0),"✓","✗")</f>
        <v>✓</v>
      </c>
    </row>
    <row r="879" customFormat="false" ht="15" hidden="false" customHeight="false" outlineLevel="0" collapsed="false">
      <c r="A879" s="11" t="s">
        <v>2286</v>
      </c>
      <c r="B879" s="11" t="s">
        <v>134</v>
      </c>
      <c r="C879" s="11" t="s">
        <v>40</v>
      </c>
      <c r="D879" s="11" t="s">
        <v>1337</v>
      </c>
      <c r="E879" s="11" t="s">
        <v>1382</v>
      </c>
      <c r="F879" s="11" t="s">
        <v>170</v>
      </c>
      <c r="G879" s="11" t="n">
        <v>0</v>
      </c>
      <c r="H879" s="34" t="n">
        <v>60</v>
      </c>
      <c r="I879" s="34" t="n">
        <v>61.6</v>
      </c>
      <c r="J879" s="34" t="n">
        <v>-1.6</v>
      </c>
      <c r="K879" s="34" t="n">
        <v>-1.6</v>
      </c>
      <c r="L879" s="11" t="s">
        <v>1053</v>
      </c>
      <c r="M879" s="11" t="s">
        <v>1250</v>
      </c>
      <c r="N879" s="11" t="s">
        <v>1251</v>
      </c>
      <c r="O879" s="11" t="s">
        <v>2005</v>
      </c>
      <c r="P879" s="11" t="s">
        <v>1557</v>
      </c>
      <c r="Q879" s="25" t="n">
        <f aca="false">SUMIFS('Commentary drivers'!$D:$D,'Commentary drivers'!$A:$A,A879)</f>
        <v>-1.6</v>
      </c>
      <c r="R879" s="25" t="n">
        <f aca="false">SUMIFS('Commentary drivers'!$E:$E,'Commentary drivers'!$A:$A,A879)</f>
        <v>-1.6</v>
      </c>
      <c r="S879" s="49" t="str">
        <f aca="false">IF(AND(ROUND(Q879-J879,4)=0,ROUND(R879-K879,1)=0),"✓","✗")</f>
        <v>✓</v>
      </c>
    </row>
    <row r="880" customFormat="false" ht="15" hidden="false" customHeight="false" outlineLevel="0" collapsed="false">
      <c r="A880" s="11" t="s">
        <v>2287</v>
      </c>
      <c r="B880" s="11" t="s">
        <v>134</v>
      </c>
      <c r="C880" s="11" t="s">
        <v>40</v>
      </c>
      <c r="D880" s="11" t="s">
        <v>1337</v>
      </c>
      <c r="E880" s="11" t="s">
        <v>1384</v>
      </c>
      <c r="F880" s="11" t="s">
        <v>265</v>
      </c>
      <c r="G880" s="11" t="n">
        <v>1</v>
      </c>
      <c r="H880" s="34" t="n">
        <v>30</v>
      </c>
      <c r="I880" s="34" t="n">
        <v>31.6</v>
      </c>
      <c r="J880" s="34" t="n">
        <v>-1.6</v>
      </c>
      <c r="K880" s="34" t="n">
        <v>-1.6</v>
      </c>
      <c r="L880" s="11" t="s">
        <v>1054</v>
      </c>
      <c r="M880" s="11" t="s">
        <v>1250</v>
      </c>
      <c r="N880" s="11" t="s">
        <v>1262</v>
      </c>
      <c r="O880" s="11"/>
      <c r="P880" s="11"/>
      <c r="Q880" s="25" t="n">
        <f aca="false">SUMIFS('Commentary drivers'!$D:$D,'Commentary drivers'!$A:$A,A880)</f>
        <v>-1.6</v>
      </c>
      <c r="R880" s="25" t="n">
        <f aca="false">SUMIFS('Commentary drivers'!$E:$E,'Commentary drivers'!$A:$A,A880)</f>
        <v>-1.6</v>
      </c>
      <c r="S880" s="49" t="str">
        <f aca="false">IF(AND(ROUND(Q880-J880,4)=0,ROUND(R880-K880,1)=0),"✓","✗")</f>
        <v>✓</v>
      </c>
    </row>
    <row r="881" customFormat="false" ht="15" hidden="false" customHeight="false" outlineLevel="0" collapsed="false">
      <c r="A881" s="11" t="s">
        <v>2288</v>
      </c>
      <c r="B881" s="11" t="s">
        <v>134</v>
      </c>
      <c r="C881" s="11" t="s">
        <v>40</v>
      </c>
      <c r="D881" s="11" t="s">
        <v>1337</v>
      </c>
      <c r="E881" s="11" t="s">
        <v>1386</v>
      </c>
      <c r="F881" s="11" t="s">
        <v>267</v>
      </c>
      <c r="G881" s="11" t="n">
        <v>1</v>
      </c>
      <c r="H881" s="34" t="n">
        <v>10</v>
      </c>
      <c r="I881" s="34" t="n">
        <v>10</v>
      </c>
      <c r="J881" s="34" t="n">
        <v>0</v>
      </c>
      <c r="K881" s="34" t="n">
        <v>0</v>
      </c>
      <c r="L881" s="11" t="s">
        <v>1040</v>
      </c>
      <c r="M881" s="11" t="s">
        <v>1250</v>
      </c>
      <c r="N881" s="11" t="s">
        <v>1262</v>
      </c>
      <c r="O881" s="11"/>
      <c r="P881" s="11"/>
      <c r="Q881" s="25" t="n">
        <f aca="false">SUMIFS('Commentary drivers'!$D:$D,'Commentary drivers'!$A:$A,A881)</f>
        <v>0</v>
      </c>
      <c r="R881" s="25" t="n">
        <f aca="false">SUMIFS('Commentary drivers'!$E:$E,'Commentary drivers'!$A:$A,A881)</f>
        <v>0</v>
      </c>
      <c r="S881" s="49" t="str">
        <f aca="false">IF(AND(ROUND(Q881-J881,4)=0,ROUND(R881-K881,1)=0),"✓","✗")</f>
        <v>✓</v>
      </c>
    </row>
    <row r="882" customFormat="false" ht="15" hidden="false" customHeight="false" outlineLevel="0" collapsed="false">
      <c r="A882" s="11" t="s">
        <v>2289</v>
      </c>
      <c r="B882" s="11" t="s">
        <v>134</v>
      </c>
      <c r="C882" s="11" t="s">
        <v>40</v>
      </c>
      <c r="D882" s="11" t="s">
        <v>1337</v>
      </c>
      <c r="E882" s="11" t="s">
        <v>1388</v>
      </c>
      <c r="F882" s="11" t="s">
        <v>269</v>
      </c>
      <c r="G882" s="11" t="n">
        <v>1</v>
      </c>
      <c r="H882" s="34" t="n">
        <v>20</v>
      </c>
      <c r="I882" s="34" t="n">
        <v>20</v>
      </c>
      <c r="J882" s="34" t="n">
        <v>0</v>
      </c>
      <c r="K882" s="34" t="n">
        <v>0</v>
      </c>
      <c r="L882" s="11" t="s">
        <v>1041</v>
      </c>
      <c r="M882" s="11" t="s">
        <v>1250</v>
      </c>
      <c r="N882" s="11" t="s">
        <v>1262</v>
      </c>
      <c r="O882" s="11"/>
      <c r="P882" s="11"/>
      <c r="Q882" s="25" t="n">
        <f aca="false">SUMIFS('Commentary drivers'!$D:$D,'Commentary drivers'!$A:$A,A882)</f>
        <v>0</v>
      </c>
      <c r="R882" s="25" t="n">
        <f aca="false">SUMIFS('Commentary drivers'!$E:$E,'Commentary drivers'!$A:$A,A882)</f>
        <v>0</v>
      </c>
      <c r="S882" s="49" t="str">
        <f aca="false">IF(AND(ROUND(Q882-J882,4)=0,ROUND(R882-K882,1)=0),"✓","✗")</f>
        <v>✓</v>
      </c>
    </row>
    <row r="883" customFormat="false" ht="15" hidden="false" customHeight="false" outlineLevel="0" collapsed="false">
      <c r="A883" s="11" t="s">
        <v>2290</v>
      </c>
      <c r="B883" s="11" t="s">
        <v>134</v>
      </c>
      <c r="C883" s="11" t="s">
        <v>40</v>
      </c>
      <c r="D883" s="11" t="s">
        <v>1337</v>
      </c>
      <c r="E883" s="11" t="s">
        <v>1390</v>
      </c>
      <c r="F883" s="11" t="s">
        <v>157</v>
      </c>
      <c r="G883" s="11" t="n">
        <v>0</v>
      </c>
      <c r="H883" s="34" t="n">
        <v>420</v>
      </c>
      <c r="I883" s="34" t="n">
        <v>428.95375</v>
      </c>
      <c r="J883" s="34" t="n">
        <v>-8.95375</v>
      </c>
      <c r="K883" s="34" t="n">
        <v>-9</v>
      </c>
      <c r="L883" s="11" t="s">
        <v>1014</v>
      </c>
      <c r="M883" s="11" t="s">
        <v>1250</v>
      </c>
      <c r="N883" s="11" t="s">
        <v>1251</v>
      </c>
      <c r="O883" s="11" t="s">
        <v>2005</v>
      </c>
      <c r="P883" s="11" t="s">
        <v>1557</v>
      </c>
      <c r="Q883" s="25" t="n">
        <f aca="false">SUMIFS('Commentary drivers'!$D:$D,'Commentary drivers'!$A:$A,A883)</f>
        <v>-8.95375</v>
      </c>
      <c r="R883" s="25" t="n">
        <f aca="false">SUMIFS('Commentary drivers'!$E:$E,'Commentary drivers'!$A:$A,A883)</f>
        <v>-9</v>
      </c>
      <c r="S883" s="49" t="str">
        <f aca="false">IF(AND(ROUND(Q883-J883,4)=0,ROUND(R883-K883,1)=0),"✓","✗")</f>
        <v>✓</v>
      </c>
    </row>
    <row r="884" customFormat="false" ht="15" hidden="false" customHeight="false" outlineLevel="0" collapsed="false">
      <c r="A884" s="11" t="s">
        <v>2291</v>
      </c>
      <c r="B884" s="11" t="s">
        <v>134</v>
      </c>
      <c r="C884" s="11" t="s">
        <v>40</v>
      </c>
      <c r="D884" s="11" t="s">
        <v>1337</v>
      </c>
      <c r="E884" s="11" t="s">
        <v>1392</v>
      </c>
      <c r="F884" s="11" t="s">
        <v>296</v>
      </c>
      <c r="G884" s="11" t="n">
        <v>1</v>
      </c>
      <c r="H884" s="34" t="n">
        <v>300</v>
      </c>
      <c r="I884" s="34" t="n">
        <v>307.95375</v>
      </c>
      <c r="J884" s="34" t="n">
        <v>-7.95375</v>
      </c>
      <c r="K884" s="34" t="n">
        <v>-8</v>
      </c>
      <c r="L884" s="11" t="s">
        <v>1055</v>
      </c>
      <c r="M884" s="11" t="s">
        <v>1250</v>
      </c>
      <c r="N884" s="11" t="s">
        <v>1262</v>
      </c>
      <c r="O884" s="11"/>
      <c r="P884" s="11"/>
      <c r="Q884" s="25" t="n">
        <f aca="false">SUMIFS('Commentary drivers'!$D:$D,'Commentary drivers'!$A:$A,A884)</f>
        <v>-7.95375</v>
      </c>
      <c r="R884" s="25" t="n">
        <f aca="false">SUMIFS('Commentary drivers'!$E:$E,'Commentary drivers'!$A:$A,A884)</f>
        <v>-8</v>
      </c>
      <c r="S884" s="49" t="str">
        <f aca="false">IF(AND(ROUND(Q884-J884,4)=0,ROUND(R884-K884,1)=0),"✓","✗")</f>
        <v>✓</v>
      </c>
    </row>
    <row r="885" customFormat="false" ht="15" hidden="false" customHeight="false" outlineLevel="0" collapsed="false">
      <c r="A885" s="11" t="s">
        <v>2292</v>
      </c>
      <c r="B885" s="11" t="s">
        <v>134</v>
      </c>
      <c r="C885" s="11" t="s">
        <v>40</v>
      </c>
      <c r="D885" s="11" t="s">
        <v>1337</v>
      </c>
      <c r="E885" s="11" t="s">
        <v>1394</v>
      </c>
      <c r="F885" s="11" t="s">
        <v>298</v>
      </c>
      <c r="G885" s="11" t="n">
        <v>1</v>
      </c>
      <c r="H885" s="34" t="n">
        <v>40</v>
      </c>
      <c r="I885" s="34" t="n">
        <v>41</v>
      </c>
      <c r="J885" s="34" t="n">
        <v>-1</v>
      </c>
      <c r="K885" s="34" t="n">
        <v>-1</v>
      </c>
      <c r="L885" s="11" t="s">
        <v>1056</v>
      </c>
      <c r="M885" s="11" t="s">
        <v>1250</v>
      </c>
      <c r="N885" s="11" t="s">
        <v>1262</v>
      </c>
      <c r="O885" s="11"/>
      <c r="P885" s="11"/>
      <c r="Q885" s="25" t="n">
        <f aca="false">SUMIFS('Commentary drivers'!$D:$D,'Commentary drivers'!$A:$A,A885)</f>
        <v>-1</v>
      </c>
      <c r="R885" s="25" t="n">
        <f aca="false">SUMIFS('Commentary drivers'!$E:$E,'Commentary drivers'!$A:$A,A885)</f>
        <v>-1</v>
      </c>
      <c r="S885" s="49" t="str">
        <f aca="false">IF(AND(ROUND(Q885-J885,4)=0,ROUND(R885-K885,1)=0),"✓","✗")</f>
        <v>✓</v>
      </c>
    </row>
    <row r="886" customFormat="false" ht="15" hidden="false" customHeight="false" outlineLevel="0" collapsed="false">
      <c r="A886" s="11" t="s">
        <v>2293</v>
      </c>
      <c r="B886" s="11" t="s">
        <v>134</v>
      </c>
      <c r="C886" s="11" t="s">
        <v>40</v>
      </c>
      <c r="D886" s="11" t="s">
        <v>1337</v>
      </c>
      <c r="E886" s="11" t="s">
        <v>1396</v>
      </c>
      <c r="F886" s="11" t="s">
        <v>265</v>
      </c>
      <c r="G886" s="11" t="n">
        <v>1</v>
      </c>
      <c r="H886" s="34" t="n">
        <v>30</v>
      </c>
      <c r="I886" s="34" t="n">
        <v>30</v>
      </c>
      <c r="J886" s="34" t="n">
        <v>0</v>
      </c>
      <c r="K886" s="34" t="n">
        <v>0</v>
      </c>
      <c r="L886" s="11" t="s">
        <v>1057</v>
      </c>
      <c r="M886" s="11" t="s">
        <v>1250</v>
      </c>
      <c r="N886" s="11" t="s">
        <v>1262</v>
      </c>
      <c r="O886" s="11"/>
      <c r="P886" s="11"/>
      <c r="Q886" s="25" t="n">
        <f aca="false">SUMIFS('Commentary drivers'!$D:$D,'Commentary drivers'!$A:$A,A886)</f>
        <v>0</v>
      </c>
      <c r="R886" s="25" t="n">
        <f aca="false">SUMIFS('Commentary drivers'!$E:$E,'Commentary drivers'!$A:$A,A886)</f>
        <v>0</v>
      </c>
      <c r="S886" s="49" t="str">
        <f aca="false">IF(AND(ROUND(Q886-J886,4)=0,ROUND(R886-K886,1)=0),"✓","✗")</f>
        <v>✓</v>
      </c>
    </row>
    <row r="887" customFormat="false" ht="15" hidden="false" customHeight="false" outlineLevel="0" collapsed="false">
      <c r="A887" s="11" t="s">
        <v>2294</v>
      </c>
      <c r="B887" s="11" t="s">
        <v>134</v>
      </c>
      <c r="C887" s="11" t="s">
        <v>40</v>
      </c>
      <c r="D887" s="11" t="s">
        <v>1337</v>
      </c>
      <c r="E887" s="11" t="s">
        <v>1398</v>
      </c>
      <c r="F887" s="11" t="s">
        <v>267</v>
      </c>
      <c r="G887" s="11" t="n">
        <v>1</v>
      </c>
      <c r="H887" s="34" t="n">
        <v>20</v>
      </c>
      <c r="I887" s="34" t="n">
        <v>20</v>
      </c>
      <c r="J887" s="34" t="n">
        <v>0</v>
      </c>
      <c r="K887" s="34" t="n">
        <v>0</v>
      </c>
      <c r="L887" s="11" t="s">
        <v>1040</v>
      </c>
      <c r="M887" s="11" t="s">
        <v>1250</v>
      </c>
      <c r="N887" s="11" t="s">
        <v>1262</v>
      </c>
      <c r="O887" s="11"/>
      <c r="P887" s="11"/>
      <c r="Q887" s="25" t="n">
        <f aca="false">SUMIFS('Commentary drivers'!$D:$D,'Commentary drivers'!$A:$A,A887)</f>
        <v>0</v>
      </c>
      <c r="R887" s="25" t="n">
        <f aca="false">SUMIFS('Commentary drivers'!$E:$E,'Commentary drivers'!$A:$A,A887)</f>
        <v>0</v>
      </c>
      <c r="S887" s="49" t="str">
        <f aca="false">IF(AND(ROUND(Q887-J887,4)=0,ROUND(R887-K887,1)=0),"✓","✗")</f>
        <v>✓</v>
      </c>
    </row>
    <row r="888" customFormat="false" ht="15" hidden="false" customHeight="false" outlineLevel="0" collapsed="false">
      <c r="A888" s="11" t="s">
        <v>2295</v>
      </c>
      <c r="B888" s="11" t="s">
        <v>134</v>
      </c>
      <c r="C888" s="11" t="s">
        <v>40</v>
      </c>
      <c r="D888" s="11" t="s">
        <v>1337</v>
      </c>
      <c r="E888" s="11" t="s">
        <v>1400</v>
      </c>
      <c r="F888" s="11" t="s">
        <v>269</v>
      </c>
      <c r="G888" s="11" t="n">
        <v>1</v>
      </c>
      <c r="H888" s="34" t="n">
        <v>30</v>
      </c>
      <c r="I888" s="34" t="n">
        <v>30</v>
      </c>
      <c r="J888" s="34" t="n">
        <v>0</v>
      </c>
      <c r="K888" s="34" t="n">
        <v>0</v>
      </c>
      <c r="L888" s="11" t="s">
        <v>1041</v>
      </c>
      <c r="M888" s="11" t="s">
        <v>1250</v>
      </c>
      <c r="N888" s="11" t="s">
        <v>1262</v>
      </c>
      <c r="O888" s="11"/>
      <c r="P888" s="11"/>
      <c r="Q888" s="25" t="n">
        <f aca="false">SUMIFS('Commentary drivers'!$D:$D,'Commentary drivers'!$A:$A,A888)</f>
        <v>0</v>
      </c>
      <c r="R888" s="25" t="n">
        <f aca="false">SUMIFS('Commentary drivers'!$E:$E,'Commentary drivers'!$A:$A,A888)</f>
        <v>0</v>
      </c>
      <c r="S888" s="49" t="str">
        <f aca="false">IF(AND(ROUND(Q888-J888,4)=0,ROUND(R888-K888,1)=0),"✓","✗")</f>
        <v>✓</v>
      </c>
    </row>
    <row r="889" customFormat="false" ht="15" hidden="false" customHeight="false" outlineLevel="0" collapsed="false">
      <c r="A889" s="11" t="s">
        <v>2296</v>
      </c>
      <c r="B889" s="11" t="s">
        <v>134</v>
      </c>
      <c r="C889" s="11" t="s">
        <v>40</v>
      </c>
      <c r="D889" s="11" t="s">
        <v>1337</v>
      </c>
      <c r="E889" s="11" t="s">
        <v>1402</v>
      </c>
      <c r="F889" s="11" t="s">
        <v>159</v>
      </c>
      <c r="G889" s="11" t="n">
        <v>0</v>
      </c>
      <c r="H889" s="34" t="n">
        <v>200</v>
      </c>
      <c r="I889" s="34" t="n">
        <v>181</v>
      </c>
      <c r="J889" s="34" t="n">
        <v>19</v>
      </c>
      <c r="K889" s="34" t="n">
        <v>19</v>
      </c>
      <c r="L889" s="11" t="s">
        <v>1058</v>
      </c>
      <c r="M889" s="11" t="s">
        <v>1250</v>
      </c>
      <c r="N889" s="11" t="s">
        <v>1251</v>
      </c>
      <c r="O889" s="11" t="s">
        <v>2005</v>
      </c>
      <c r="P889" s="11" t="s">
        <v>1557</v>
      </c>
      <c r="Q889" s="25" t="n">
        <f aca="false">SUMIFS('Commentary drivers'!$D:$D,'Commentary drivers'!$A:$A,A889)</f>
        <v>19</v>
      </c>
      <c r="R889" s="25" t="n">
        <f aca="false">SUMIFS('Commentary drivers'!$E:$E,'Commentary drivers'!$A:$A,A889)</f>
        <v>19</v>
      </c>
      <c r="S889" s="49" t="str">
        <f aca="false">IF(AND(ROUND(Q889-J889,4)=0,ROUND(R889-K889,1)=0),"✓","✗")</f>
        <v>✓</v>
      </c>
    </row>
    <row r="890" customFormat="false" ht="15" hidden="false" customHeight="false" outlineLevel="0" collapsed="false">
      <c r="A890" s="11" t="s">
        <v>2297</v>
      </c>
      <c r="B890" s="11" t="s">
        <v>134</v>
      </c>
      <c r="C890" s="11" t="s">
        <v>40</v>
      </c>
      <c r="D890" s="11" t="s">
        <v>1337</v>
      </c>
      <c r="E890" s="11" t="s">
        <v>1404</v>
      </c>
      <c r="F890" s="11" t="s">
        <v>304</v>
      </c>
      <c r="G890" s="11" t="n">
        <v>1</v>
      </c>
      <c r="H890" s="34" t="n">
        <v>180</v>
      </c>
      <c r="I890" s="34" t="n">
        <v>161</v>
      </c>
      <c r="J890" s="34" t="n">
        <v>19</v>
      </c>
      <c r="K890" s="34" t="n">
        <v>19</v>
      </c>
      <c r="L890" s="11" t="s">
        <v>1059</v>
      </c>
      <c r="M890" s="11" t="s">
        <v>1315</v>
      </c>
      <c r="N890" s="11" t="s">
        <v>1251</v>
      </c>
      <c r="O890" s="11" t="s">
        <v>2005</v>
      </c>
      <c r="P890" s="11" t="s">
        <v>1557</v>
      </c>
      <c r="Q890" s="25" t="n">
        <f aca="false">SUMIFS('Commentary drivers'!$D:$D,'Commentary drivers'!$A:$A,A890)</f>
        <v>19</v>
      </c>
      <c r="R890" s="25" t="n">
        <f aca="false">SUMIFS('Commentary drivers'!$E:$E,'Commentary drivers'!$A:$A,A890)</f>
        <v>19</v>
      </c>
      <c r="S890" s="49" t="str">
        <f aca="false">IF(AND(ROUND(Q890-J890,4)=0,ROUND(R890-K890,1)=0),"✓","✗")</f>
        <v>✓</v>
      </c>
    </row>
    <row r="891" customFormat="false" ht="15" hidden="false" customHeight="false" outlineLevel="0" collapsed="false">
      <c r="A891" s="11" t="s">
        <v>2298</v>
      </c>
      <c r="B891" s="11" t="s">
        <v>134</v>
      </c>
      <c r="C891" s="11" t="s">
        <v>40</v>
      </c>
      <c r="D891" s="11" t="s">
        <v>1337</v>
      </c>
      <c r="E891" s="11" t="s">
        <v>1406</v>
      </c>
      <c r="F891" s="11" t="s">
        <v>267</v>
      </c>
      <c r="G891" s="11" t="n">
        <v>1</v>
      </c>
      <c r="H891" s="34" t="n">
        <v>10</v>
      </c>
      <c r="I891" s="34" t="n">
        <v>10</v>
      </c>
      <c r="J891" s="34" t="n">
        <v>0</v>
      </c>
      <c r="K891" s="34" t="n">
        <v>0</v>
      </c>
      <c r="L891" s="11" t="s">
        <v>1040</v>
      </c>
      <c r="M891" s="11" t="s">
        <v>1250</v>
      </c>
      <c r="N891" s="11" t="s">
        <v>1262</v>
      </c>
      <c r="O891" s="11"/>
      <c r="P891" s="11"/>
      <c r="Q891" s="25" t="n">
        <f aca="false">SUMIFS('Commentary drivers'!$D:$D,'Commentary drivers'!$A:$A,A891)</f>
        <v>0</v>
      </c>
      <c r="R891" s="25" t="n">
        <f aca="false">SUMIFS('Commentary drivers'!$E:$E,'Commentary drivers'!$A:$A,A891)</f>
        <v>0</v>
      </c>
      <c r="S891" s="49" t="str">
        <f aca="false">IF(AND(ROUND(Q891-J891,4)=0,ROUND(R891-K891,1)=0),"✓","✗")</f>
        <v>✓</v>
      </c>
    </row>
    <row r="892" customFormat="false" ht="15" hidden="false" customHeight="false" outlineLevel="0" collapsed="false">
      <c r="A892" s="11" t="s">
        <v>2299</v>
      </c>
      <c r="B892" s="11" t="s">
        <v>134</v>
      </c>
      <c r="C892" s="11" t="s">
        <v>40</v>
      </c>
      <c r="D892" s="11" t="s">
        <v>1337</v>
      </c>
      <c r="E892" s="11" t="s">
        <v>1408</v>
      </c>
      <c r="F892" s="11" t="s">
        <v>269</v>
      </c>
      <c r="G892" s="11" t="n">
        <v>1</v>
      </c>
      <c r="H892" s="34" t="n">
        <v>10</v>
      </c>
      <c r="I892" s="34" t="n">
        <v>10</v>
      </c>
      <c r="J892" s="34" t="n">
        <v>0</v>
      </c>
      <c r="K892" s="34" t="n">
        <v>0</v>
      </c>
      <c r="L892" s="11" t="s">
        <v>1041</v>
      </c>
      <c r="M892" s="11" t="s">
        <v>1250</v>
      </c>
      <c r="N892" s="11" t="s">
        <v>1262</v>
      </c>
      <c r="O892" s="11"/>
      <c r="P892" s="11"/>
      <c r="Q892" s="25" t="n">
        <f aca="false">SUMIFS('Commentary drivers'!$D:$D,'Commentary drivers'!$A:$A,A892)</f>
        <v>0</v>
      </c>
      <c r="R892" s="25" t="n">
        <f aca="false">SUMIFS('Commentary drivers'!$E:$E,'Commentary drivers'!$A:$A,A892)</f>
        <v>0</v>
      </c>
      <c r="S892" s="49" t="str">
        <f aca="false">IF(AND(ROUND(Q892-J892,4)=0,ROUND(R892-K892,1)=0),"✓","✗")</f>
        <v>✓</v>
      </c>
    </row>
    <row r="893" customFormat="false" ht="15" hidden="false" customHeight="false" outlineLevel="0" collapsed="false">
      <c r="A893" s="11" t="s">
        <v>2300</v>
      </c>
      <c r="B893" s="11" t="s">
        <v>134</v>
      </c>
      <c r="C893" s="11" t="s">
        <v>40</v>
      </c>
      <c r="D893" s="11" t="s">
        <v>1337</v>
      </c>
      <c r="E893" s="11" t="s">
        <v>1410</v>
      </c>
      <c r="F893" s="11" t="s">
        <v>171</v>
      </c>
      <c r="G893" s="11" t="n">
        <v>0</v>
      </c>
      <c r="H893" s="34" t="n">
        <v>680</v>
      </c>
      <c r="I893" s="34" t="n">
        <v>671.55375</v>
      </c>
      <c r="J893" s="34" t="n">
        <v>8.44625</v>
      </c>
      <c r="K893" s="34" t="n">
        <v>8.4</v>
      </c>
      <c r="L893" s="11" t="s">
        <v>1060</v>
      </c>
      <c r="M893" s="11" t="s">
        <v>1250</v>
      </c>
      <c r="N893" s="11" t="s">
        <v>1251</v>
      </c>
      <c r="O893" s="11" t="s">
        <v>2005</v>
      </c>
      <c r="P893" s="11" t="s">
        <v>1557</v>
      </c>
      <c r="Q893" s="25" t="n">
        <f aca="false">SUMIFS('Commentary drivers'!$D:$D,'Commentary drivers'!$A:$A,A893)</f>
        <v>8.44625</v>
      </c>
      <c r="R893" s="25" t="n">
        <f aca="false">SUMIFS('Commentary drivers'!$E:$E,'Commentary drivers'!$A:$A,A893)</f>
        <v>8.4</v>
      </c>
      <c r="S893" s="49" t="str">
        <f aca="false">IF(AND(ROUND(Q893-J893,4)=0,ROUND(R893-K893,1)=0),"✓","✗")</f>
        <v>✓</v>
      </c>
    </row>
    <row r="894" customFormat="false" ht="15" hidden="false" customHeight="false" outlineLevel="0" collapsed="false">
      <c r="A894" s="11" t="s">
        <v>2301</v>
      </c>
      <c r="B894" s="11" t="s">
        <v>134</v>
      </c>
      <c r="C894" s="11" t="s">
        <v>40</v>
      </c>
      <c r="D894" s="11" t="s">
        <v>1337</v>
      </c>
      <c r="E894" s="11" t="s">
        <v>1412</v>
      </c>
      <c r="F894" s="11" t="s">
        <v>96</v>
      </c>
      <c r="G894" s="11" t="n">
        <v>0</v>
      </c>
      <c r="H894" s="34" t="n">
        <v>220</v>
      </c>
      <c r="I894" s="34" t="n">
        <v>229.224</v>
      </c>
      <c r="J894" s="34" t="n">
        <v>-9.224</v>
      </c>
      <c r="K894" s="34" t="n">
        <v>-9.2</v>
      </c>
      <c r="L894" s="11" t="s">
        <v>1061</v>
      </c>
      <c r="M894" s="11" t="s">
        <v>1250</v>
      </c>
      <c r="N894" s="11" t="s">
        <v>1251</v>
      </c>
      <c r="O894" s="11" t="s">
        <v>2005</v>
      </c>
      <c r="P894" s="11" t="s">
        <v>1557</v>
      </c>
      <c r="Q894" s="25" t="n">
        <f aca="false">SUMIFS('Commentary drivers'!$D:$D,'Commentary drivers'!$A:$A,A894)</f>
        <v>-9.224</v>
      </c>
      <c r="R894" s="25" t="n">
        <f aca="false">SUMIFS('Commentary drivers'!$E:$E,'Commentary drivers'!$A:$A,A894)</f>
        <v>-9.2</v>
      </c>
      <c r="S894" s="49" t="str">
        <f aca="false">IF(AND(ROUND(Q894-J894,4)=0,ROUND(R894-K894,1)=0),"✓","✗")</f>
        <v>✓</v>
      </c>
    </row>
    <row r="895" customFormat="false" ht="15" hidden="false" customHeight="false" outlineLevel="0" collapsed="false">
      <c r="A895" s="11" t="s">
        <v>2302</v>
      </c>
      <c r="B895" s="11" t="s">
        <v>134</v>
      </c>
      <c r="C895" s="11" t="s">
        <v>40</v>
      </c>
      <c r="D895" s="11" t="s">
        <v>1337</v>
      </c>
      <c r="E895" s="11" t="s">
        <v>1414</v>
      </c>
      <c r="F895" s="11" t="s">
        <v>160</v>
      </c>
      <c r="G895" s="11" t="n">
        <v>0</v>
      </c>
      <c r="H895" s="34" t="n">
        <v>10</v>
      </c>
      <c r="I895" s="34" t="n">
        <v>10</v>
      </c>
      <c r="J895" s="34" t="n">
        <v>0</v>
      </c>
      <c r="K895" s="34" t="n">
        <v>0</v>
      </c>
      <c r="L895" s="11" t="s">
        <v>1029</v>
      </c>
      <c r="M895" s="11" t="s">
        <v>1250</v>
      </c>
      <c r="N895" s="11" t="s">
        <v>1262</v>
      </c>
      <c r="O895" s="11"/>
      <c r="P895" s="11"/>
      <c r="Q895" s="25" t="n">
        <f aca="false">SUMIFS('Commentary drivers'!$D:$D,'Commentary drivers'!$A:$A,A895)</f>
        <v>0</v>
      </c>
      <c r="R895" s="25" t="n">
        <f aca="false">SUMIFS('Commentary drivers'!$E:$E,'Commentary drivers'!$A:$A,A895)</f>
        <v>0</v>
      </c>
      <c r="S895" s="49" t="str">
        <f aca="false">IF(AND(ROUND(Q895-J895,4)=0,ROUND(R895-K895,1)=0),"✓","✗")</f>
        <v>✓</v>
      </c>
    </row>
    <row r="896" customFormat="false" ht="15" hidden="false" customHeight="false" outlineLevel="0" collapsed="false">
      <c r="A896" s="11" t="s">
        <v>2303</v>
      </c>
      <c r="B896" s="11" t="s">
        <v>134</v>
      </c>
      <c r="C896" s="11" t="s">
        <v>40</v>
      </c>
      <c r="D896" s="11" t="s">
        <v>1337</v>
      </c>
      <c r="E896" s="11" t="s">
        <v>1416</v>
      </c>
      <c r="F896" s="11" t="s">
        <v>161</v>
      </c>
      <c r="G896" s="11" t="n">
        <v>0</v>
      </c>
      <c r="H896" s="34" t="n">
        <v>30</v>
      </c>
      <c r="I896" s="34" t="n">
        <v>30</v>
      </c>
      <c r="J896" s="34" t="n">
        <v>0</v>
      </c>
      <c r="K896" s="34" t="n">
        <v>0</v>
      </c>
      <c r="L896" s="11" t="s">
        <v>1030</v>
      </c>
      <c r="M896" s="11" t="s">
        <v>1250</v>
      </c>
      <c r="N896" s="11" t="s">
        <v>1262</v>
      </c>
      <c r="O896" s="11"/>
      <c r="P896" s="11"/>
      <c r="Q896" s="25" t="n">
        <f aca="false">SUMIFS('Commentary drivers'!$D:$D,'Commentary drivers'!$A:$A,A896)</f>
        <v>0</v>
      </c>
      <c r="R896" s="25" t="n">
        <f aca="false">SUMIFS('Commentary drivers'!$E:$E,'Commentary drivers'!$A:$A,A896)</f>
        <v>0</v>
      </c>
      <c r="S896" s="49" t="str">
        <f aca="false">IF(AND(ROUND(Q896-J896,4)=0,ROUND(R896-K896,1)=0),"✓","✗")</f>
        <v>✓</v>
      </c>
    </row>
    <row r="897" customFormat="false" ht="15" hidden="false" customHeight="false" outlineLevel="0" collapsed="false">
      <c r="A897" s="11" t="s">
        <v>2304</v>
      </c>
      <c r="B897" s="11" t="s">
        <v>134</v>
      </c>
      <c r="C897" s="11" t="s">
        <v>40</v>
      </c>
      <c r="D897" s="11" t="s">
        <v>1337</v>
      </c>
      <c r="E897" s="11" t="s">
        <v>1418</v>
      </c>
      <c r="F897" s="11" t="s">
        <v>126</v>
      </c>
      <c r="G897" s="11" t="n">
        <v>0</v>
      </c>
      <c r="H897" s="34" t="n">
        <v>40</v>
      </c>
      <c r="I897" s="34" t="n">
        <v>38</v>
      </c>
      <c r="J897" s="34" t="n">
        <v>2</v>
      </c>
      <c r="K897" s="34" t="n">
        <v>2</v>
      </c>
      <c r="L897" s="11" t="s">
        <v>1032</v>
      </c>
      <c r="M897" s="11" t="s">
        <v>1250</v>
      </c>
      <c r="N897" s="11" t="s">
        <v>1262</v>
      </c>
      <c r="O897" s="11"/>
      <c r="P897" s="11"/>
      <c r="Q897" s="25" t="n">
        <f aca="false">SUMIFS('Commentary drivers'!$D:$D,'Commentary drivers'!$A:$A,A897)</f>
        <v>2</v>
      </c>
      <c r="R897" s="25" t="n">
        <f aca="false">SUMIFS('Commentary drivers'!$E:$E,'Commentary drivers'!$A:$A,A897)</f>
        <v>2</v>
      </c>
      <c r="S897" s="49" t="str">
        <f aca="false">IF(AND(ROUND(Q897-J897,4)=0,ROUND(R897-K897,1)=0),"✓","✗")</f>
        <v>✓</v>
      </c>
    </row>
    <row r="898" customFormat="false" ht="15" hidden="false" customHeight="false" outlineLevel="0" collapsed="false">
      <c r="A898" s="11" t="s">
        <v>2305</v>
      </c>
      <c r="B898" s="11" t="s">
        <v>134</v>
      </c>
      <c r="C898" s="11" t="s">
        <v>40</v>
      </c>
      <c r="D898" s="11" t="s">
        <v>1337</v>
      </c>
      <c r="E898" s="11" t="s">
        <v>1420</v>
      </c>
      <c r="F898" s="11" t="s">
        <v>97</v>
      </c>
      <c r="G898" s="11" t="n">
        <v>0</v>
      </c>
      <c r="H898" s="34" t="n">
        <v>160</v>
      </c>
      <c r="I898" s="34" t="n">
        <v>171.224</v>
      </c>
      <c r="J898" s="34" t="n">
        <v>-11.224</v>
      </c>
      <c r="K898" s="34" t="n">
        <v>-11.2</v>
      </c>
      <c r="L898" s="11" t="s">
        <v>1062</v>
      </c>
      <c r="M898" s="11" t="s">
        <v>1250</v>
      </c>
      <c r="N898" s="11" t="s">
        <v>1251</v>
      </c>
      <c r="O898" s="11" t="s">
        <v>2005</v>
      </c>
      <c r="P898" s="11" t="s">
        <v>1557</v>
      </c>
      <c r="Q898" s="25" t="n">
        <f aca="false">SUMIFS('Commentary drivers'!$D:$D,'Commentary drivers'!$A:$A,A898)</f>
        <v>-11.224</v>
      </c>
      <c r="R898" s="25" t="n">
        <f aca="false">SUMIFS('Commentary drivers'!$E:$E,'Commentary drivers'!$A:$A,A898)</f>
        <v>-11.2</v>
      </c>
      <c r="S898" s="49" t="str">
        <f aca="false">IF(AND(ROUND(Q898-J898,4)=0,ROUND(R898-K898,1)=0),"✓","✗")</f>
        <v>✓</v>
      </c>
    </row>
    <row r="899" customFormat="false" ht="15" hidden="false" customHeight="false" outlineLevel="0" collapsed="false">
      <c r="A899" s="11" t="s">
        <v>2306</v>
      </c>
      <c r="B899" s="11" t="s">
        <v>134</v>
      </c>
      <c r="C899" s="11" t="s">
        <v>40</v>
      </c>
      <c r="D899" s="11" t="s">
        <v>1422</v>
      </c>
      <c r="E899" s="11" t="s">
        <v>1423</v>
      </c>
      <c r="F899" s="11" t="s">
        <v>312</v>
      </c>
      <c r="G899" s="11" t="n">
        <v>0</v>
      </c>
      <c r="H899" s="34" t="n">
        <v>2000</v>
      </c>
      <c r="I899" s="34" t="n">
        <v>1999.762</v>
      </c>
      <c r="J899" s="34" t="n">
        <v>0.238</v>
      </c>
      <c r="K899" s="34" t="n">
        <v>0.2</v>
      </c>
      <c r="L899" s="11" t="s">
        <v>1063</v>
      </c>
      <c r="M899" s="11" t="s">
        <v>1250</v>
      </c>
      <c r="N899" s="11" t="s">
        <v>1251</v>
      </c>
      <c r="O899" s="11" t="s">
        <v>2005</v>
      </c>
      <c r="P899" s="11" t="s">
        <v>1557</v>
      </c>
      <c r="Q899" s="25" t="n">
        <f aca="false">SUMIFS('Commentary drivers'!$D:$D,'Commentary drivers'!$A:$A,A899)</f>
        <v>0.238</v>
      </c>
      <c r="R899" s="25" t="n">
        <f aca="false">SUMIFS('Commentary drivers'!$E:$E,'Commentary drivers'!$A:$A,A899)</f>
        <v>0.199999999999996</v>
      </c>
      <c r="S899" s="49" t="str">
        <f aca="false">IF(AND(ROUND(Q899-J899,4)=0,ROUND(R899-K899,1)=0),"✓","✗")</f>
        <v>✓</v>
      </c>
    </row>
    <row r="900" customFormat="false" ht="15" hidden="false" customHeight="false" outlineLevel="0" collapsed="false">
      <c r="A900" s="11" t="s">
        <v>2307</v>
      </c>
      <c r="B900" s="11" t="s">
        <v>134</v>
      </c>
      <c r="C900" s="11" t="s">
        <v>40</v>
      </c>
      <c r="D900" s="11" t="s">
        <v>1422</v>
      </c>
      <c r="E900" s="11" t="s">
        <v>1425</v>
      </c>
      <c r="F900" s="11" t="s">
        <v>314</v>
      </c>
      <c r="G900" s="11" t="n">
        <v>1</v>
      </c>
      <c r="H900" s="34" t="n">
        <v>1800</v>
      </c>
      <c r="I900" s="34" t="n">
        <v>1794.762</v>
      </c>
      <c r="J900" s="34" t="n">
        <v>5.238</v>
      </c>
      <c r="K900" s="34" t="n">
        <v>5.2</v>
      </c>
      <c r="L900" s="11" t="s">
        <v>1000</v>
      </c>
      <c r="M900" s="11" t="s">
        <v>1250</v>
      </c>
      <c r="N900" s="11" t="s">
        <v>1262</v>
      </c>
      <c r="O900" s="11"/>
      <c r="P900" s="11"/>
      <c r="Q900" s="25" t="n">
        <f aca="false">SUMIFS('Commentary drivers'!$D:$D,'Commentary drivers'!$A:$A,A900)</f>
        <v>5.238</v>
      </c>
      <c r="R900" s="25" t="n">
        <f aca="false">SUMIFS('Commentary drivers'!$E:$E,'Commentary drivers'!$A:$A,A900)</f>
        <v>5.2</v>
      </c>
      <c r="S900" s="49" t="str">
        <f aca="false">IF(AND(ROUND(Q900-J900,4)=0,ROUND(R900-K900,1)=0),"✓","✗")</f>
        <v>✓</v>
      </c>
    </row>
    <row r="901" customFormat="false" ht="15" hidden="false" customHeight="false" outlineLevel="0" collapsed="false">
      <c r="A901" s="11" t="s">
        <v>2308</v>
      </c>
      <c r="B901" s="11" t="s">
        <v>134</v>
      </c>
      <c r="C901" s="11" t="s">
        <v>40</v>
      </c>
      <c r="D901" s="11" t="s">
        <v>1422</v>
      </c>
      <c r="E901" s="11" t="s">
        <v>1427</v>
      </c>
      <c r="F901" s="11" t="s">
        <v>315</v>
      </c>
      <c r="G901" s="11" t="n">
        <v>1</v>
      </c>
      <c r="H901" s="34" t="n">
        <v>200</v>
      </c>
      <c r="I901" s="34" t="n">
        <v>205</v>
      </c>
      <c r="J901" s="34" t="n">
        <v>-5</v>
      </c>
      <c r="K901" s="34" t="n">
        <v>-5</v>
      </c>
      <c r="L901" s="11" t="s">
        <v>1001</v>
      </c>
      <c r="M901" s="11" t="s">
        <v>1250</v>
      </c>
      <c r="N901" s="11" t="s">
        <v>1262</v>
      </c>
      <c r="O901" s="11"/>
      <c r="P901" s="11"/>
      <c r="Q901" s="25" t="n">
        <f aca="false">SUMIFS('Commentary drivers'!$D:$D,'Commentary drivers'!$A:$A,A901)</f>
        <v>-5</v>
      </c>
      <c r="R901" s="25" t="n">
        <f aca="false">SUMIFS('Commentary drivers'!$E:$E,'Commentary drivers'!$A:$A,A901)</f>
        <v>-5</v>
      </c>
      <c r="S901" s="49" t="str">
        <f aca="false">IF(AND(ROUND(Q901-J901,4)=0,ROUND(R901-K901,1)=0),"✓","✗")</f>
        <v>✓</v>
      </c>
    </row>
    <row r="902" customFormat="false" ht="15" hidden="false" customHeight="false" outlineLevel="0" collapsed="false">
      <c r="A902" s="11" t="s">
        <v>2309</v>
      </c>
      <c r="B902" s="11" t="s">
        <v>134</v>
      </c>
      <c r="C902" s="11" t="s">
        <v>40</v>
      </c>
      <c r="D902" s="11" t="s">
        <v>1422</v>
      </c>
      <c r="E902" s="11" t="s">
        <v>1429</v>
      </c>
      <c r="F902" s="11" t="s">
        <v>316</v>
      </c>
      <c r="G902" s="11" t="n">
        <v>0</v>
      </c>
      <c r="H902" s="34" t="n">
        <v>1040</v>
      </c>
      <c r="I902" s="34" t="n">
        <v>1054.538</v>
      </c>
      <c r="J902" s="34" t="n">
        <v>-14.538</v>
      </c>
      <c r="K902" s="34" t="n">
        <v>-14.5</v>
      </c>
      <c r="L902" s="11" t="s">
        <v>1064</v>
      </c>
      <c r="M902" s="11" t="s">
        <v>1250</v>
      </c>
      <c r="N902" s="11" t="s">
        <v>1251</v>
      </c>
      <c r="O902" s="11" t="s">
        <v>2005</v>
      </c>
      <c r="P902" s="11" t="s">
        <v>1557</v>
      </c>
      <c r="Q902" s="25" t="n">
        <f aca="false">SUMIFS('Commentary drivers'!$D:$D,'Commentary drivers'!$A:$A,A902)</f>
        <v>-14.538</v>
      </c>
      <c r="R902" s="25" t="n">
        <f aca="false">SUMIFS('Commentary drivers'!$E:$E,'Commentary drivers'!$A:$A,A902)</f>
        <v>-14.5</v>
      </c>
      <c r="S902" s="49" t="str">
        <f aca="false">IF(AND(ROUND(Q902-J902,4)=0,ROUND(R902-K902,1)=0),"✓","✗")</f>
        <v>✓</v>
      </c>
    </row>
    <row r="903" customFormat="false" ht="15" hidden="false" customHeight="false" outlineLevel="0" collapsed="false">
      <c r="A903" s="11" t="s">
        <v>2310</v>
      </c>
      <c r="B903" s="11" t="s">
        <v>134</v>
      </c>
      <c r="C903" s="11" t="s">
        <v>40</v>
      </c>
      <c r="D903" s="11" t="s">
        <v>1422</v>
      </c>
      <c r="E903" s="11" t="s">
        <v>1431</v>
      </c>
      <c r="F903" s="11" t="s">
        <v>192</v>
      </c>
      <c r="G903" s="11" t="n">
        <v>1</v>
      </c>
      <c r="H903" s="34" t="n">
        <v>400</v>
      </c>
      <c r="I903" s="34" t="n">
        <v>410.605</v>
      </c>
      <c r="J903" s="34" t="n">
        <v>-10.605</v>
      </c>
      <c r="K903" s="34" t="n">
        <v>-10.6</v>
      </c>
      <c r="L903" s="11" t="s">
        <v>1065</v>
      </c>
      <c r="M903" s="11" t="s">
        <v>1250</v>
      </c>
      <c r="N903" s="11" t="s">
        <v>1251</v>
      </c>
      <c r="O903" s="11" t="s">
        <v>2005</v>
      </c>
      <c r="P903" s="11" t="s">
        <v>1557</v>
      </c>
      <c r="Q903" s="25" t="n">
        <f aca="false">SUMIFS('Commentary drivers'!$D:$D,'Commentary drivers'!$A:$A,A903)</f>
        <v>-10.605</v>
      </c>
      <c r="R903" s="25" t="n">
        <f aca="false">SUMIFS('Commentary drivers'!$E:$E,'Commentary drivers'!$A:$A,A903)</f>
        <v>-10.6</v>
      </c>
      <c r="S903" s="49" t="str">
        <f aca="false">IF(AND(ROUND(Q903-J903,4)=0,ROUND(R903-K903,1)=0),"✓","✗")</f>
        <v>✓</v>
      </c>
    </row>
    <row r="904" customFormat="false" ht="15" hidden="false" customHeight="false" outlineLevel="0" collapsed="false">
      <c r="A904" s="11" t="s">
        <v>2311</v>
      </c>
      <c r="B904" s="11" t="s">
        <v>134</v>
      </c>
      <c r="C904" s="11" t="s">
        <v>40</v>
      </c>
      <c r="D904" s="11" t="s">
        <v>1422</v>
      </c>
      <c r="E904" s="11" t="s">
        <v>1433</v>
      </c>
      <c r="F904" s="11" t="s">
        <v>195</v>
      </c>
      <c r="G904" s="11" t="n">
        <v>1</v>
      </c>
      <c r="H904" s="34" t="n">
        <v>120</v>
      </c>
      <c r="I904" s="34" t="n">
        <v>119.337</v>
      </c>
      <c r="J904" s="34" t="n">
        <v>0.663</v>
      </c>
      <c r="K904" s="34" t="n">
        <v>0.7</v>
      </c>
      <c r="L904" s="11" t="s">
        <v>1066</v>
      </c>
      <c r="M904" s="11" t="s">
        <v>1250</v>
      </c>
      <c r="N904" s="11" t="s">
        <v>1262</v>
      </c>
      <c r="O904" s="11"/>
      <c r="P904" s="11"/>
      <c r="Q904" s="25" t="n">
        <f aca="false">SUMIFS('Commentary drivers'!$D:$D,'Commentary drivers'!$A:$A,A904)</f>
        <v>0.663</v>
      </c>
      <c r="R904" s="25" t="n">
        <f aca="false">SUMIFS('Commentary drivers'!$E:$E,'Commentary drivers'!$A:$A,A904)</f>
        <v>0.7</v>
      </c>
      <c r="S904" s="49" t="str">
        <f aca="false">IF(AND(ROUND(Q904-J904,4)=0,ROUND(R904-K904,1)=0),"✓","✗")</f>
        <v>✓</v>
      </c>
    </row>
    <row r="905" customFormat="false" ht="15" hidden="false" customHeight="false" outlineLevel="0" collapsed="false">
      <c r="A905" s="11" t="s">
        <v>2312</v>
      </c>
      <c r="B905" s="11" t="s">
        <v>134</v>
      </c>
      <c r="C905" s="11" t="s">
        <v>40</v>
      </c>
      <c r="D905" s="11" t="s">
        <v>1422</v>
      </c>
      <c r="E905" s="11" t="s">
        <v>1435</v>
      </c>
      <c r="F905" s="11" t="s">
        <v>198</v>
      </c>
      <c r="G905" s="11" t="n">
        <v>1</v>
      </c>
      <c r="H905" s="34" t="n">
        <v>160</v>
      </c>
      <c r="I905" s="34" t="n">
        <v>153.796</v>
      </c>
      <c r="J905" s="34" t="n">
        <v>6.204</v>
      </c>
      <c r="K905" s="34" t="n">
        <v>6.2</v>
      </c>
      <c r="L905" s="11" t="s">
        <v>1007</v>
      </c>
      <c r="M905" s="11" t="s">
        <v>1250</v>
      </c>
      <c r="N905" s="11" t="s">
        <v>1262</v>
      </c>
      <c r="O905" s="11"/>
      <c r="P905" s="11"/>
      <c r="Q905" s="25" t="n">
        <f aca="false">SUMIFS('Commentary drivers'!$D:$D,'Commentary drivers'!$A:$A,A905)</f>
        <v>6.204</v>
      </c>
      <c r="R905" s="25" t="n">
        <f aca="false">SUMIFS('Commentary drivers'!$E:$E,'Commentary drivers'!$A:$A,A905)</f>
        <v>6.2</v>
      </c>
      <c r="S905" s="49" t="str">
        <f aca="false">IF(AND(ROUND(Q905-J905,4)=0,ROUND(R905-K905,1)=0),"✓","✗")</f>
        <v>✓</v>
      </c>
    </row>
    <row r="906" customFormat="false" ht="15" hidden="false" customHeight="false" outlineLevel="0" collapsed="false">
      <c r="A906" s="11" t="s">
        <v>2313</v>
      </c>
      <c r="B906" s="11" t="s">
        <v>134</v>
      </c>
      <c r="C906" s="11" t="s">
        <v>40</v>
      </c>
      <c r="D906" s="11" t="s">
        <v>1422</v>
      </c>
      <c r="E906" s="11" t="s">
        <v>1437</v>
      </c>
      <c r="F906" s="11" t="s">
        <v>323</v>
      </c>
      <c r="G906" s="11" t="n">
        <v>1</v>
      </c>
      <c r="H906" s="34" t="n">
        <v>120</v>
      </c>
      <c r="I906" s="34" t="n">
        <v>119.412</v>
      </c>
      <c r="J906" s="34" t="n">
        <v>0.588</v>
      </c>
      <c r="K906" s="34" t="n">
        <v>0.6</v>
      </c>
      <c r="L906" s="11" t="s">
        <v>1067</v>
      </c>
      <c r="M906" s="11" t="s">
        <v>1250</v>
      </c>
      <c r="N906" s="11" t="s">
        <v>1262</v>
      </c>
      <c r="O906" s="11"/>
      <c r="P906" s="11"/>
      <c r="Q906" s="25" t="n">
        <f aca="false">SUMIFS('Commentary drivers'!$D:$D,'Commentary drivers'!$A:$A,A906)</f>
        <v>0.588</v>
      </c>
      <c r="R906" s="25" t="n">
        <f aca="false">SUMIFS('Commentary drivers'!$E:$E,'Commentary drivers'!$A:$A,A906)</f>
        <v>0.6</v>
      </c>
      <c r="S906" s="49" t="str">
        <f aca="false">IF(AND(ROUND(Q906-J906,4)=0,ROUND(R906-K906,1)=0),"✓","✗")</f>
        <v>✓</v>
      </c>
    </row>
    <row r="907" customFormat="false" ht="15" hidden="false" customHeight="false" outlineLevel="0" collapsed="false">
      <c r="A907" s="11" t="s">
        <v>2314</v>
      </c>
      <c r="B907" s="11" t="s">
        <v>134</v>
      </c>
      <c r="C907" s="11" t="s">
        <v>40</v>
      </c>
      <c r="D907" s="11" t="s">
        <v>1422</v>
      </c>
      <c r="E907" s="11" t="s">
        <v>1439</v>
      </c>
      <c r="F907" s="11" t="s">
        <v>225</v>
      </c>
      <c r="G907" s="11" t="n">
        <v>1</v>
      </c>
      <c r="H907" s="34" t="n">
        <v>240</v>
      </c>
      <c r="I907" s="34" t="n">
        <v>251.388</v>
      </c>
      <c r="J907" s="34" t="n">
        <v>-11.388</v>
      </c>
      <c r="K907" s="34" t="n">
        <v>-11.4</v>
      </c>
      <c r="L907" s="11" t="s">
        <v>1019</v>
      </c>
      <c r="M907" s="11" t="s">
        <v>1250</v>
      </c>
      <c r="N907" s="11" t="s">
        <v>1251</v>
      </c>
      <c r="O907" s="11" t="s">
        <v>2005</v>
      </c>
      <c r="P907" s="11" t="s">
        <v>1557</v>
      </c>
      <c r="Q907" s="25" t="n">
        <f aca="false">SUMIFS('Commentary drivers'!$D:$D,'Commentary drivers'!$A:$A,A907)</f>
        <v>-11.388</v>
      </c>
      <c r="R907" s="25" t="n">
        <f aca="false">SUMIFS('Commentary drivers'!$E:$E,'Commentary drivers'!$A:$A,A907)</f>
        <v>-11.4</v>
      </c>
      <c r="S907" s="49" t="str">
        <f aca="false">IF(AND(ROUND(Q907-J907,4)=0,ROUND(R907-K907,1)=0),"✓","✗")</f>
        <v>✓</v>
      </c>
    </row>
    <row r="908" customFormat="false" ht="15" hidden="false" customHeight="false" outlineLevel="0" collapsed="false">
      <c r="A908" s="11" t="s">
        <v>2315</v>
      </c>
      <c r="B908" s="11" t="s">
        <v>134</v>
      </c>
      <c r="C908" s="11" t="s">
        <v>40</v>
      </c>
      <c r="D908" s="11" t="s">
        <v>1422</v>
      </c>
      <c r="E908" s="11" t="s">
        <v>1441</v>
      </c>
      <c r="F908" s="11" t="s">
        <v>325</v>
      </c>
      <c r="G908" s="11" t="n">
        <v>0</v>
      </c>
      <c r="H908" s="34" t="n">
        <v>280</v>
      </c>
      <c r="I908" s="34" t="n">
        <v>274</v>
      </c>
      <c r="J908" s="34" t="n">
        <v>6</v>
      </c>
      <c r="K908" s="34" t="n">
        <v>6</v>
      </c>
      <c r="L908" s="11" t="s">
        <v>1068</v>
      </c>
      <c r="M908" s="11" t="s">
        <v>1250</v>
      </c>
      <c r="N908" s="11" t="s">
        <v>1251</v>
      </c>
      <c r="O908" s="11" t="s">
        <v>2005</v>
      </c>
      <c r="P908" s="11" t="s">
        <v>1557</v>
      </c>
      <c r="Q908" s="25" t="n">
        <f aca="false">SUMIFS('Commentary drivers'!$D:$D,'Commentary drivers'!$A:$A,A908)</f>
        <v>6</v>
      </c>
      <c r="R908" s="25" t="n">
        <f aca="false">SUMIFS('Commentary drivers'!$E:$E,'Commentary drivers'!$A:$A,A908)</f>
        <v>6</v>
      </c>
      <c r="S908" s="49" t="str">
        <f aca="false">IF(AND(ROUND(Q908-J908,4)=0,ROUND(R908-K908,1)=0),"✓","✗")</f>
        <v>✓</v>
      </c>
    </row>
    <row r="909" customFormat="false" ht="15" hidden="false" customHeight="false" outlineLevel="0" collapsed="false">
      <c r="A909" s="11" t="s">
        <v>2316</v>
      </c>
      <c r="B909" s="11" t="s">
        <v>134</v>
      </c>
      <c r="C909" s="11" t="s">
        <v>40</v>
      </c>
      <c r="D909" s="11" t="s">
        <v>1422</v>
      </c>
      <c r="E909" s="11" t="s">
        <v>1443</v>
      </c>
      <c r="F909" s="11" t="s">
        <v>189</v>
      </c>
      <c r="G909" s="11" t="n">
        <v>1</v>
      </c>
      <c r="H909" s="34" t="n">
        <v>200</v>
      </c>
      <c r="I909" s="34" t="n">
        <v>194</v>
      </c>
      <c r="J909" s="34" t="n">
        <v>6</v>
      </c>
      <c r="K909" s="34" t="n">
        <v>6</v>
      </c>
      <c r="L909" s="11" t="s">
        <v>1069</v>
      </c>
      <c r="M909" s="11" t="s">
        <v>1250</v>
      </c>
      <c r="N909" s="11" t="s">
        <v>1262</v>
      </c>
      <c r="O909" s="11"/>
      <c r="P909" s="11"/>
      <c r="Q909" s="25" t="n">
        <f aca="false">SUMIFS('Commentary drivers'!$D:$D,'Commentary drivers'!$A:$A,A909)</f>
        <v>6</v>
      </c>
      <c r="R909" s="25" t="n">
        <f aca="false">SUMIFS('Commentary drivers'!$E:$E,'Commentary drivers'!$A:$A,A909)</f>
        <v>6</v>
      </c>
      <c r="S909" s="49" t="str">
        <f aca="false">IF(AND(ROUND(Q909-J909,4)=0,ROUND(R909-K909,1)=0),"✓","✗")</f>
        <v>✓</v>
      </c>
    </row>
    <row r="910" customFormat="false" ht="15" hidden="false" customHeight="false" outlineLevel="0" collapsed="false">
      <c r="A910" s="11" t="s">
        <v>2317</v>
      </c>
      <c r="B910" s="11" t="s">
        <v>134</v>
      </c>
      <c r="C910" s="11" t="s">
        <v>40</v>
      </c>
      <c r="D910" s="11" t="s">
        <v>1422</v>
      </c>
      <c r="E910" s="11" t="s">
        <v>1445</v>
      </c>
      <c r="F910" s="11" t="s">
        <v>201</v>
      </c>
      <c r="G910" s="11" t="n">
        <v>1</v>
      </c>
      <c r="H910" s="34" t="n">
        <v>80</v>
      </c>
      <c r="I910" s="34" t="n">
        <v>80</v>
      </c>
      <c r="J910" s="34" t="n">
        <v>0</v>
      </c>
      <c r="K910" s="34" t="n">
        <v>0</v>
      </c>
      <c r="L910" s="11" t="s">
        <v>1017</v>
      </c>
      <c r="M910" s="11" t="s">
        <v>1250</v>
      </c>
      <c r="N910" s="11" t="s">
        <v>1262</v>
      </c>
      <c r="O910" s="11"/>
      <c r="P910" s="11"/>
      <c r="Q910" s="25" t="n">
        <f aca="false">SUMIFS('Commentary drivers'!$D:$D,'Commentary drivers'!$A:$A,A910)</f>
        <v>0</v>
      </c>
      <c r="R910" s="25" t="n">
        <f aca="false">SUMIFS('Commentary drivers'!$E:$E,'Commentary drivers'!$A:$A,A910)</f>
        <v>0</v>
      </c>
      <c r="S910" s="49" t="str">
        <f aca="false">IF(AND(ROUND(Q910-J910,4)=0,ROUND(R910-K910,1)=0),"✓","✗")</f>
        <v>✓</v>
      </c>
    </row>
    <row r="911" customFormat="false" ht="15" hidden="false" customHeight="false" outlineLevel="0" collapsed="false">
      <c r="A911" s="11" t="s">
        <v>2318</v>
      </c>
      <c r="B911" s="11" t="s">
        <v>134</v>
      </c>
      <c r="C911" s="11" t="s">
        <v>40</v>
      </c>
      <c r="D911" s="11" t="s">
        <v>1422</v>
      </c>
      <c r="E911" s="11" t="s">
        <v>1447</v>
      </c>
      <c r="F911" s="11" t="s">
        <v>331</v>
      </c>
      <c r="G911" s="11" t="n">
        <v>0</v>
      </c>
      <c r="H911" s="34" t="n">
        <v>280</v>
      </c>
      <c r="I911" s="34" t="n">
        <v>262</v>
      </c>
      <c r="J911" s="34" t="n">
        <v>18</v>
      </c>
      <c r="K911" s="34" t="n">
        <v>18</v>
      </c>
      <c r="L911" s="11" t="s">
        <v>1070</v>
      </c>
      <c r="M911" s="11" t="s">
        <v>1250</v>
      </c>
      <c r="N911" s="11" t="s">
        <v>1251</v>
      </c>
      <c r="O911" s="11" t="s">
        <v>2005</v>
      </c>
      <c r="P911" s="11" t="s">
        <v>1557</v>
      </c>
      <c r="Q911" s="25" t="n">
        <f aca="false">SUMIFS('Commentary drivers'!$D:$D,'Commentary drivers'!$A:$A,A911)</f>
        <v>18</v>
      </c>
      <c r="R911" s="25" t="n">
        <f aca="false">SUMIFS('Commentary drivers'!$E:$E,'Commentary drivers'!$A:$A,A911)</f>
        <v>18</v>
      </c>
      <c r="S911" s="49" t="str">
        <f aca="false">IF(AND(ROUND(Q911-J911,4)=0,ROUND(R911-K911,1)=0),"✓","✗")</f>
        <v>✓</v>
      </c>
    </row>
    <row r="912" customFormat="false" ht="15" hidden="false" customHeight="false" outlineLevel="0" collapsed="false">
      <c r="A912" s="11" t="s">
        <v>2319</v>
      </c>
      <c r="B912" s="11" t="s">
        <v>134</v>
      </c>
      <c r="C912" s="11" t="s">
        <v>40</v>
      </c>
      <c r="D912" s="11" t="s">
        <v>1422</v>
      </c>
      <c r="E912" s="11" t="s">
        <v>1449</v>
      </c>
      <c r="F912" s="11" t="s">
        <v>230</v>
      </c>
      <c r="G912" s="11" t="n">
        <v>1</v>
      </c>
      <c r="H912" s="34" t="n">
        <v>100</v>
      </c>
      <c r="I912" s="34" t="n">
        <v>101</v>
      </c>
      <c r="J912" s="34" t="n">
        <v>-1</v>
      </c>
      <c r="K912" s="34" t="n">
        <v>-1</v>
      </c>
      <c r="L912" s="11" t="s">
        <v>1021</v>
      </c>
      <c r="M912" s="11" t="s">
        <v>1250</v>
      </c>
      <c r="N912" s="11" t="s">
        <v>1262</v>
      </c>
      <c r="O912" s="11"/>
      <c r="P912" s="11"/>
      <c r="Q912" s="25" t="n">
        <f aca="false">SUMIFS('Commentary drivers'!$D:$D,'Commentary drivers'!$A:$A,A912)</f>
        <v>-1</v>
      </c>
      <c r="R912" s="25" t="n">
        <f aca="false">SUMIFS('Commentary drivers'!$E:$E,'Commentary drivers'!$A:$A,A912)</f>
        <v>-1</v>
      </c>
      <c r="S912" s="49" t="str">
        <f aca="false">IF(AND(ROUND(Q912-J912,4)=0,ROUND(R912-K912,1)=0),"✓","✗")</f>
        <v>✓</v>
      </c>
    </row>
    <row r="913" customFormat="false" ht="15" hidden="false" customHeight="false" outlineLevel="0" collapsed="false">
      <c r="A913" s="11" t="s">
        <v>2320</v>
      </c>
      <c r="B913" s="11" t="s">
        <v>134</v>
      </c>
      <c r="C913" s="11" t="s">
        <v>40</v>
      </c>
      <c r="D913" s="11" t="s">
        <v>1422</v>
      </c>
      <c r="E913" s="11" t="s">
        <v>1451</v>
      </c>
      <c r="F913" s="11" t="s">
        <v>242</v>
      </c>
      <c r="G913" s="11" t="n">
        <v>1</v>
      </c>
      <c r="H913" s="34" t="n">
        <v>180</v>
      </c>
      <c r="I913" s="34" t="n">
        <v>161</v>
      </c>
      <c r="J913" s="34" t="n">
        <v>19</v>
      </c>
      <c r="K913" s="34" t="n">
        <v>19</v>
      </c>
      <c r="L913" s="11" t="s">
        <v>1026</v>
      </c>
      <c r="M913" s="11" t="s">
        <v>1315</v>
      </c>
      <c r="N913" s="11" t="s">
        <v>1251</v>
      </c>
      <c r="O913" s="11" t="s">
        <v>2005</v>
      </c>
      <c r="P913" s="11" t="s">
        <v>1557</v>
      </c>
      <c r="Q913" s="25" t="n">
        <f aca="false">SUMIFS('Commentary drivers'!$D:$D,'Commentary drivers'!$A:$A,A913)</f>
        <v>19</v>
      </c>
      <c r="R913" s="25" t="n">
        <f aca="false">SUMIFS('Commentary drivers'!$E:$E,'Commentary drivers'!$A:$A,A913)</f>
        <v>19</v>
      </c>
      <c r="S913" s="49" t="str">
        <f aca="false">IF(AND(ROUND(Q913-J913,4)=0,ROUND(R913-K913,1)=0),"✓","✗")</f>
        <v>✓</v>
      </c>
    </row>
    <row r="914" customFormat="false" ht="15" hidden="false" customHeight="false" outlineLevel="0" collapsed="false">
      <c r="A914" s="11" t="s">
        <v>2321</v>
      </c>
      <c r="B914" s="11" t="s">
        <v>134</v>
      </c>
      <c r="C914" s="11" t="s">
        <v>40</v>
      </c>
      <c r="D914" s="11" t="s">
        <v>1422</v>
      </c>
      <c r="E914" s="11" t="s">
        <v>1453</v>
      </c>
      <c r="F914" s="11" t="s">
        <v>334</v>
      </c>
      <c r="G914" s="11" t="n">
        <v>0</v>
      </c>
      <c r="H914" s="34" t="n">
        <v>180</v>
      </c>
      <c r="I914" s="34" t="n">
        <v>180</v>
      </c>
      <c r="J914" s="34" t="n">
        <v>0</v>
      </c>
      <c r="K914" s="34" t="n">
        <v>0</v>
      </c>
      <c r="L914" s="11" t="s">
        <v>1071</v>
      </c>
      <c r="M914" s="11" t="s">
        <v>1250</v>
      </c>
      <c r="N914" s="11" t="s">
        <v>1262</v>
      </c>
      <c r="O914" s="11"/>
      <c r="P914" s="11"/>
      <c r="Q914" s="25" t="n">
        <f aca="false">SUMIFS('Commentary drivers'!$D:$D,'Commentary drivers'!$A:$A,A914)</f>
        <v>0</v>
      </c>
      <c r="R914" s="25" t="n">
        <f aca="false">SUMIFS('Commentary drivers'!$E:$E,'Commentary drivers'!$A:$A,A914)</f>
        <v>0</v>
      </c>
      <c r="S914" s="49" t="str">
        <f aca="false">IF(AND(ROUND(Q914-J914,4)=0,ROUND(R914-K914,1)=0),"✓","✗")</f>
        <v>✓</v>
      </c>
    </row>
    <row r="915" customFormat="false" ht="15" hidden="false" customHeight="false" outlineLevel="0" collapsed="false">
      <c r="A915" s="11" t="s">
        <v>2322</v>
      </c>
      <c r="B915" s="11" t="s">
        <v>134</v>
      </c>
      <c r="C915" s="11" t="s">
        <v>40</v>
      </c>
      <c r="D915" s="11" t="s">
        <v>1422</v>
      </c>
      <c r="E915" s="11" t="s">
        <v>1455</v>
      </c>
      <c r="F915" s="11" t="s">
        <v>233</v>
      </c>
      <c r="G915" s="11" t="n">
        <v>1</v>
      </c>
      <c r="H915" s="34" t="n">
        <v>40</v>
      </c>
      <c r="I915" s="34" t="n">
        <v>40</v>
      </c>
      <c r="J915" s="34" t="n">
        <v>0</v>
      </c>
      <c r="K915" s="34" t="n">
        <v>0</v>
      </c>
      <c r="L915" s="11" t="s">
        <v>1022</v>
      </c>
      <c r="M915" s="11" t="s">
        <v>1250</v>
      </c>
      <c r="N915" s="11" t="s">
        <v>1262</v>
      </c>
      <c r="O915" s="11"/>
      <c r="P915" s="11"/>
      <c r="Q915" s="25" t="n">
        <f aca="false">SUMIFS('Commentary drivers'!$D:$D,'Commentary drivers'!$A:$A,A915)</f>
        <v>0</v>
      </c>
      <c r="R915" s="25" t="n">
        <f aca="false">SUMIFS('Commentary drivers'!$E:$E,'Commentary drivers'!$A:$A,A915)</f>
        <v>0</v>
      </c>
      <c r="S915" s="49" t="str">
        <f aca="false">IF(AND(ROUND(Q915-J915,4)=0,ROUND(R915-K915,1)=0),"✓","✗")</f>
        <v>✓</v>
      </c>
    </row>
    <row r="916" customFormat="false" ht="15" hidden="false" customHeight="false" outlineLevel="0" collapsed="false">
      <c r="A916" s="11" t="s">
        <v>2323</v>
      </c>
      <c r="B916" s="11" t="s">
        <v>134</v>
      </c>
      <c r="C916" s="11" t="s">
        <v>40</v>
      </c>
      <c r="D916" s="11" t="s">
        <v>1422</v>
      </c>
      <c r="E916" s="11" t="s">
        <v>1457</v>
      </c>
      <c r="F916" s="11" t="s">
        <v>204</v>
      </c>
      <c r="G916" s="11" t="n">
        <v>1</v>
      </c>
      <c r="H916" s="34" t="n">
        <v>60</v>
      </c>
      <c r="I916" s="34" t="n">
        <v>60</v>
      </c>
      <c r="J916" s="34" t="n">
        <v>0</v>
      </c>
      <c r="K916" s="34" t="n">
        <v>0</v>
      </c>
      <c r="L916" s="11" t="s">
        <v>1009</v>
      </c>
      <c r="M916" s="11" t="s">
        <v>1250</v>
      </c>
      <c r="N916" s="11" t="s">
        <v>1262</v>
      </c>
      <c r="O916" s="11"/>
      <c r="P916" s="11"/>
      <c r="Q916" s="25" t="n">
        <f aca="false">SUMIFS('Commentary drivers'!$D:$D,'Commentary drivers'!$A:$A,A916)</f>
        <v>0</v>
      </c>
      <c r="R916" s="25" t="n">
        <f aca="false">SUMIFS('Commentary drivers'!$E:$E,'Commentary drivers'!$A:$A,A916)</f>
        <v>0</v>
      </c>
      <c r="S916" s="49" t="str">
        <f aca="false">IF(AND(ROUND(Q916-J916,4)=0,ROUND(R916-K916,1)=0),"✓","✗")</f>
        <v>✓</v>
      </c>
    </row>
    <row r="917" customFormat="false" ht="15" hidden="false" customHeight="false" outlineLevel="0" collapsed="false">
      <c r="A917" s="11" t="s">
        <v>2324</v>
      </c>
      <c r="B917" s="11" t="s">
        <v>134</v>
      </c>
      <c r="C917" s="11" t="s">
        <v>40</v>
      </c>
      <c r="D917" s="11" t="s">
        <v>1422</v>
      </c>
      <c r="E917" s="11" t="s">
        <v>1459</v>
      </c>
      <c r="F917" s="11" t="s">
        <v>207</v>
      </c>
      <c r="G917" s="11" t="n">
        <v>1</v>
      </c>
      <c r="H917" s="34" t="n">
        <v>80</v>
      </c>
      <c r="I917" s="34" t="n">
        <v>80</v>
      </c>
      <c r="J917" s="34" t="n">
        <v>0</v>
      </c>
      <c r="K917" s="34" t="n">
        <v>0</v>
      </c>
      <c r="L917" s="11" t="s">
        <v>1010</v>
      </c>
      <c r="M917" s="11" t="s">
        <v>1250</v>
      </c>
      <c r="N917" s="11" t="s">
        <v>1262</v>
      </c>
      <c r="O917" s="11"/>
      <c r="P917" s="11"/>
      <c r="Q917" s="25" t="n">
        <f aca="false">SUMIFS('Commentary drivers'!$D:$D,'Commentary drivers'!$A:$A,A917)</f>
        <v>0</v>
      </c>
      <c r="R917" s="25" t="n">
        <f aca="false">SUMIFS('Commentary drivers'!$E:$E,'Commentary drivers'!$A:$A,A917)</f>
        <v>0</v>
      </c>
      <c r="S917" s="49" t="str">
        <f aca="false">IF(AND(ROUND(Q917-J917,4)=0,ROUND(R917-K917,1)=0),"✓","✗")</f>
        <v>✓</v>
      </c>
    </row>
    <row r="918" customFormat="false" ht="15" hidden="false" customHeight="false" outlineLevel="0" collapsed="false">
      <c r="A918" s="11" t="s">
        <v>2325</v>
      </c>
      <c r="B918" s="11" t="s">
        <v>134</v>
      </c>
      <c r="C918" s="11" t="s">
        <v>40</v>
      </c>
      <c r="D918" s="11" t="s">
        <v>1422</v>
      </c>
      <c r="E918" s="11" t="s">
        <v>1461</v>
      </c>
      <c r="F918" s="11" t="s">
        <v>339</v>
      </c>
      <c r="G918" s="11" t="n">
        <v>0</v>
      </c>
      <c r="H918" s="34" t="n">
        <v>1780</v>
      </c>
      <c r="I918" s="34" t="n">
        <v>1770.538</v>
      </c>
      <c r="J918" s="34" t="n">
        <v>9.462</v>
      </c>
      <c r="K918" s="34" t="n">
        <v>9.5</v>
      </c>
      <c r="L918" s="11" t="s">
        <v>1072</v>
      </c>
      <c r="M918" s="11" t="s">
        <v>1250</v>
      </c>
      <c r="N918" s="11" t="s">
        <v>1251</v>
      </c>
      <c r="O918" s="11" t="s">
        <v>2005</v>
      </c>
      <c r="P918" s="11" t="s">
        <v>1557</v>
      </c>
      <c r="Q918" s="25" t="n">
        <f aca="false">SUMIFS('Commentary drivers'!$D:$D,'Commentary drivers'!$A:$A,A918)</f>
        <v>9.462</v>
      </c>
      <c r="R918" s="25" t="n">
        <f aca="false">SUMIFS('Commentary drivers'!$E:$E,'Commentary drivers'!$A:$A,A918)</f>
        <v>9.5</v>
      </c>
      <c r="S918" s="49" t="str">
        <f aca="false">IF(AND(ROUND(Q918-J918,4)=0,ROUND(R918-K918,1)=0),"✓","✗")</f>
        <v>✓</v>
      </c>
    </row>
    <row r="919" customFormat="false" ht="15" hidden="false" customHeight="false" outlineLevel="0" collapsed="false">
      <c r="A919" s="11" t="s">
        <v>2326</v>
      </c>
      <c r="B919" s="11" t="s">
        <v>134</v>
      </c>
      <c r="C919" s="11" t="s">
        <v>40</v>
      </c>
      <c r="D919" s="11" t="s">
        <v>1422</v>
      </c>
      <c r="E919" s="11" t="s">
        <v>1463</v>
      </c>
      <c r="F919" s="11" t="s">
        <v>96</v>
      </c>
      <c r="G919" s="11" t="n">
        <v>0</v>
      </c>
      <c r="H919" s="34" t="n">
        <v>220</v>
      </c>
      <c r="I919" s="34" t="n">
        <v>229.224</v>
      </c>
      <c r="J919" s="34" t="n">
        <v>-9.224</v>
      </c>
      <c r="K919" s="34" t="n">
        <v>-9.2</v>
      </c>
      <c r="L919" s="11" t="s">
        <v>1073</v>
      </c>
      <c r="M919" s="11" t="s">
        <v>1250</v>
      </c>
      <c r="N919" s="11" t="s">
        <v>1251</v>
      </c>
      <c r="O919" s="11" t="s">
        <v>2005</v>
      </c>
      <c r="P919" s="11" t="s">
        <v>1557</v>
      </c>
      <c r="Q919" s="25" t="n">
        <f aca="false">SUMIFS('Commentary drivers'!$D:$D,'Commentary drivers'!$A:$A,A919)</f>
        <v>-9.224</v>
      </c>
      <c r="R919" s="25" t="n">
        <f aca="false">SUMIFS('Commentary drivers'!$E:$E,'Commentary drivers'!$A:$A,A919)</f>
        <v>-9.2</v>
      </c>
      <c r="S919" s="49" t="str">
        <f aca="false">IF(AND(ROUND(Q919-J919,4)=0,ROUND(R919-K919,1)=0),"✓","✗")</f>
        <v>✓</v>
      </c>
    </row>
    <row r="920" customFormat="false" ht="15" hidden="false" customHeight="false" outlineLevel="0" collapsed="false">
      <c r="A920" s="11" t="s">
        <v>2327</v>
      </c>
      <c r="B920" s="11" t="s">
        <v>134</v>
      </c>
      <c r="C920" s="11" t="s">
        <v>40</v>
      </c>
      <c r="D920" s="11" t="s">
        <v>1422</v>
      </c>
      <c r="E920" s="11" t="s">
        <v>1465</v>
      </c>
      <c r="F920" s="11" t="s">
        <v>343</v>
      </c>
      <c r="G920" s="11" t="n">
        <v>0</v>
      </c>
      <c r="H920" s="34" t="n">
        <v>-20</v>
      </c>
      <c r="I920" s="34" t="n">
        <v>-20</v>
      </c>
      <c r="J920" s="34" t="n">
        <v>0</v>
      </c>
      <c r="K920" s="34" t="n">
        <v>0</v>
      </c>
      <c r="L920" s="11" t="s">
        <v>1074</v>
      </c>
      <c r="M920" s="11" t="s">
        <v>1250</v>
      </c>
      <c r="N920" s="11" t="s">
        <v>1262</v>
      </c>
      <c r="O920" s="11"/>
      <c r="P920" s="11"/>
      <c r="Q920" s="25" t="n">
        <f aca="false">SUMIFS('Commentary drivers'!$D:$D,'Commentary drivers'!$A:$A,A920)</f>
        <v>0</v>
      </c>
      <c r="R920" s="25" t="n">
        <f aca="false">SUMIFS('Commentary drivers'!$E:$E,'Commentary drivers'!$A:$A,A920)</f>
        <v>0</v>
      </c>
      <c r="S920" s="49" t="str">
        <f aca="false">IF(AND(ROUND(Q920-J920,4)=0,ROUND(R920-K920,1)=0),"✓","✗")</f>
        <v>✓</v>
      </c>
    </row>
    <row r="921" customFormat="false" ht="15" hidden="false" customHeight="false" outlineLevel="0" collapsed="false">
      <c r="A921" s="11" t="s">
        <v>2328</v>
      </c>
      <c r="B921" s="11" t="s">
        <v>134</v>
      </c>
      <c r="C921" s="11" t="s">
        <v>40</v>
      </c>
      <c r="D921" s="11" t="s">
        <v>1422</v>
      </c>
      <c r="E921" s="11" t="s">
        <v>1467</v>
      </c>
      <c r="F921" s="11" t="s">
        <v>345</v>
      </c>
      <c r="G921" s="11" t="n">
        <v>1</v>
      </c>
      <c r="H921" s="34" t="n">
        <v>10</v>
      </c>
      <c r="I921" s="34" t="n">
        <v>10</v>
      </c>
      <c r="J921" s="34" t="n">
        <v>0</v>
      </c>
      <c r="K921" s="34" t="n">
        <v>0</v>
      </c>
      <c r="L921" s="11" t="s">
        <v>1029</v>
      </c>
      <c r="M921" s="11" t="s">
        <v>1250</v>
      </c>
      <c r="N921" s="11" t="s">
        <v>1262</v>
      </c>
      <c r="O921" s="11"/>
      <c r="P921" s="11"/>
      <c r="Q921" s="25" t="n">
        <f aca="false">SUMIFS('Commentary drivers'!$D:$D,'Commentary drivers'!$A:$A,A921)</f>
        <v>0</v>
      </c>
      <c r="R921" s="25" t="n">
        <f aca="false">SUMIFS('Commentary drivers'!$E:$E,'Commentary drivers'!$A:$A,A921)</f>
        <v>0</v>
      </c>
      <c r="S921" s="49" t="str">
        <f aca="false">IF(AND(ROUND(Q921-J921,4)=0,ROUND(R921-K921,1)=0),"✓","✗")</f>
        <v>✓</v>
      </c>
    </row>
    <row r="922" customFormat="false" ht="15" hidden="false" customHeight="false" outlineLevel="0" collapsed="false">
      <c r="A922" s="11" t="s">
        <v>2329</v>
      </c>
      <c r="B922" s="11" t="s">
        <v>134</v>
      </c>
      <c r="C922" s="11" t="s">
        <v>40</v>
      </c>
      <c r="D922" s="11" t="s">
        <v>1422</v>
      </c>
      <c r="E922" s="11" t="s">
        <v>1469</v>
      </c>
      <c r="F922" s="11" t="s">
        <v>346</v>
      </c>
      <c r="G922" s="11" t="n">
        <v>1</v>
      </c>
      <c r="H922" s="34" t="n">
        <v>30</v>
      </c>
      <c r="I922" s="34" t="n">
        <v>30</v>
      </c>
      <c r="J922" s="34" t="n">
        <v>0</v>
      </c>
      <c r="K922" s="34" t="n">
        <v>0</v>
      </c>
      <c r="L922" s="11" t="s">
        <v>1030</v>
      </c>
      <c r="M922" s="11" t="s">
        <v>1250</v>
      </c>
      <c r="N922" s="11" t="s">
        <v>1262</v>
      </c>
      <c r="O922" s="11"/>
      <c r="P922" s="11"/>
      <c r="Q922" s="25" t="n">
        <f aca="false">SUMIFS('Commentary drivers'!$D:$D,'Commentary drivers'!$A:$A,A922)</f>
        <v>0</v>
      </c>
      <c r="R922" s="25" t="n">
        <f aca="false">SUMIFS('Commentary drivers'!$E:$E,'Commentary drivers'!$A:$A,A922)</f>
        <v>0</v>
      </c>
      <c r="S922" s="49" t="str">
        <f aca="false">IF(AND(ROUND(Q922-J922,4)=0,ROUND(R922-K922,1)=0),"✓","✗")</f>
        <v>✓</v>
      </c>
    </row>
    <row r="923" customFormat="false" ht="15" hidden="false" customHeight="false" outlineLevel="0" collapsed="false">
      <c r="A923" s="11" t="s">
        <v>2330</v>
      </c>
      <c r="B923" s="11" t="s">
        <v>134</v>
      </c>
      <c r="C923" s="11" t="s">
        <v>40</v>
      </c>
      <c r="D923" s="11" t="s">
        <v>1422</v>
      </c>
      <c r="E923" s="11" t="s">
        <v>1471</v>
      </c>
      <c r="F923" s="11" t="s">
        <v>347</v>
      </c>
      <c r="G923" s="11" t="n">
        <v>0</v>
      </c>
      <c r="H923" s="34" t="n">
        <v>40</v>
      </c>
      <c r="I923" s="34" t="n">
        <v>38</v>
      </c>
      <c r="J923" s="34" t="n">
        <v>2</v>
      </c>
      <c r="K923" s="34" t="n">
        <v>2</v>
      </c>
      <c r="L923" s="11" t="s">
        <v>1032</v>
      </c>
      <c r="M923" s="11" t="s">
        <v>1250</v>
      </c>
      <c r="N923" s="11" t="s">
        <v>1262</v>
      </c>
      <c r="O923" s="11"/>
      <c r="P923" s="11"/>
      <c r="Q923" s="25" t="n">
        <f aca="false">SUMIFS('Commentary drivers'!$D:$D,'Commentary drivers'!$A:$A,A923)</f>
        <v>2</v>
      </c>
      <c r="R923" s="25" t="n">
        <f aca="false">SUMIFS('Commentary drivers'!$E:$E,'Commentary drivers'!$A:$A,A923)</f>
        <v>2</v>
      </c>
      <c r="S923" s="49" t="str">
        <f aca="false">IF(AND(ROUND(Q923-J923,4)=0,ROUND(R923-K923,1)=0),"✓","✗")</f>
        <v>✓</v>
      </c>
    </row>
    <row r="924" customFormat="false" ht="15" hidden="false" customHeight="false" outlineLevel="0" collapsed="false">
      <c r="A924" s="11" t="s">
        <v>2331</v>
      </c>
      <c r="B924" s="11" t="s">
        <v>134</v>
      </c>
      <c r="C924" s="11" t="s">
        <v>40</v>
      </c>
      <c r="D924" s="11" t="s">
        <v>1422</v>
      </c>
      <c r="E924" s="11" t="s">
        <v>1473</v>
      </c>
      <c r="F924" s="11" t="s">
        <v>97</v>
      </c>
      <c r="G924" s="11" t="n">
        <v>0</v>
      </c>
      <c r="H924" s="34" t="n">
        <v>160</v>
      </c>
      <c r="I924" s="34" t="n">
        <v>171.224</v>
      </c>
      <c r="J924" s="34" t="n">
        <v>-11.224</v>
      </c>
      <c r="K924" s="34" t="n">
        <v>-11.2</v>
      </c>
      <c r="L924" s="11" t="s">
        <v>1075</v>
      </c>
      <c r="M924" s="11" t="s">
        <v>1250</v>
      </c>
      <c r="N924" s="11" t="s">
        <v>1251</v>
      </c>
      <c r="O924" s="11" t="s">
        <v>2005</v>
      </c>
      <c r="P924" s="11" t="s">
        <v>1557</v>
      </c>
      <c r="Q924" s="25" t="n">
        <f aca="false">SUMIFS('Commentary drivers'!$D:$D,'Commentary drivers'!$A:$A,A924)</f>
        <v>-11.224</v>
      </c>
      <c r="R924" s="25" t="n">
        <f aca="false">SUMIFS('Commentary drivers'!$E:$E,'Commentary drivers'!$A:$A,A924)</f>
        <v>-11.2</v>
      </c>
      <c r="S924" s="49" t="str">
        <f aca="false">IF(AND(ROUND(Q924-J924,4)=0,ROUND(R924-K924,1)=0),"✓","✗")</f>
        <v>✓</v>
      </c>
    </row>
  </sheetData>
  <autoFilter ref="A1:S92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8"/>
    <col collapsed="false" customWidth="true" hidden="false" outlineLevel="0" max="3" min="3" style="0" width="50"/>
    <col collapsed="false" customWidth="true" hidden="false" outlineLevel="0" max="4" min="4" style="0" width="14"/>
    <col collapsed="false" customWidth="true" hidden="false" outlineLevel="0" max="5" min="5" style="0" width="12"/>
  </cols>
  <sheetData>
    <row r="1" customFormat="false" ht="15" hidden="false" customHeight="false" outlineLevel="0" collapsed="false">
      <c r="A1" s="3" t="s">
        <v>1232</v>
      </c>
      <c r="B1" s="3" t="s">
        <v>2332</v>
      </c>
      <c r="C1" s="3" t="s">
        <v>2333</v>
      </c>
      <c r="D1" s="3" t="s">
        <v>2334</v>
      </c>
      <c r="E1" s="3" t="s">
        <v>2335</v>
      </c>
    </row>
    <row r="2" customFormat="false" ht="15" hidden="false" customHeight="false" outlineLevel="0" collapsed="false">
      <c r="A2" s="11" t="s">
        <v>1247</v>
      </c>
      <c r="B2" s="11" t="n">
        <v>1</v>
      </c>
      <c r="C2" s="11" t="s">
        <v>2336</v>
      </c>
      <c r="D2" s="93" t="n">
        <v>55.594</v>
      </c>
      <c r="E2" s="34" t="n">
        <v>55.6</v>
      </c>
    </row>
    <row r="3" customFormat="false" ht="15" hidden="false" customHeight="false" outlineLevel="0" collapsed="false">
      <c r="A3" s="11" t="s">
        <v>1247</v>
      </c>
      <c r="B3" s="11" t="n">
        <v>2</v>
      </c>
      <c r="C3" s="11" t="s">
        <v>2337</v>
      </c>
      <c r="D3" s="93" t="n">
        <v>-30.885</v>
      </c>
      <c r="E3" s="34" t="n">
        <v>-30.9</v>
      </c>
    </row>
    <row r="4" customFormat="false" ht="15" hidden="false" customHeight="false" outlineLevel="0" collapsed="false">
      <c r="A4" s="11" t="s">
        <v>1247</v>
      </c>
      <c r="B4" s="11" t="n">
        <v>3</v>
      </c>
      <c r="C4" s="11" t="s">
        <v>2338</v>
      </c>
      <c r="D4" s="93" t="n">
        <v>-12.355</v>
      </c>
      <c r="E4" s="34" t="n">
        <v>-12.3</v>
      </c>
    </row>
    <row r="5" customFormat="false" ht="15" hidden="false" customHeight="false" outlineLevel="0" collapsed="false">
      <c r="A5" s="11" t="s">
        <v>1247</v>
      </c>
      <c r="B5" s="11" t="n">
        <v>4</v>
      </c>
      <c r="C5" s="11" t="s">
        <v>127</v>
      </c>
      <c r="D5" s="93" t="n">
        <v>11.119</v>
      </c>
      <c r="E5" s="34" t="n">
        <v>11.1</v>
      </c>
    </row>
    <row r="6" customFormat="false" ht="15" hidden="false" customHeight="false" outlineLevel="0" collapsed="false">
      <c r="A6" s="11" t="s">
        <v>1254</v>
      </c>
      <c r="B6" s="11" t="n">
        <v>1</v>
      </c>
      <c r="C6" s="11" t="s">
        <v>1184</v>
      </c>
      <c r="D6" s="93" t="n">
        <v>-60</v>
      </c>
      <c r="E6" s="34" t="n">
        <v>-60</v>
      </c>
    </row>
    <row r="7" customFormat="false" ht="15" hidden="false" customHeight="false" outlineLevel="0" collapsed="false">
      <c r="A7" s="11" t="s">
        <v>1254</v>
      </c>
      <c r="B7" s="11" t="n">
        <v>2</v>
      </c>
      <c r="C7" s="11" t="s">
        <v>2339</v>
      </c>
      <c r="D7" s="93" t="n">
        <v>45</v>
      </c>
      <c r="E7" s="34" t="n">
        <v>45</v>
      </c>
    </row>
    <row r="8" customFormat="false" ht="15" hidden="false" customHeight="false" outlineLevel="0" collapsed="false">
      <c r="A8" s="11" t="s">
        <v>1254</v>
      </c>
      <c r="B8" s="11" t="n">
        <v>3</v>
      </c>
      <c r="C8" s="11" t="s">
        <v>2340</v>
      </c>
      <c r="D8" s="93" t="n">
        <v>-20</v>
      </c>
      <c r="E8" s="34" t="n">
        <v>-20</v>
      </c>
    </row>
    <row r="9" customFormat="false" ht="15" hidden="false" customHeight="false" outlineLevel="0" collapsed="false">
      <c r="A9" s="11" t="s">
        <v>1254</v>
      </c>
      <c r="B9" s="11" t="n">
        <v>4</v>
      </c>
      <c r="C9" s="11" t="s">
        <v>127</v>
      </c>
      <c r="D9" s="93" t="n">
        <v>20</v>
      </c>
      <c r="E9" s="34" t="n">
        <v>20</v>
      </c>
    </row>
    <row r="10" customFormat="false" ht="15" hidden="false" customHeight="false" outlineLevel="0" collapsed="false">
      <c r="A10" s="11" t="s">
        <v>1256</v>
      </c>
      <c r="B10" s="11" t="n">
        <v>1</v>
      </c>
      <c r="C10" s="11" t="s">
        <v>1184</v>
      </c>
      <c r="D10" s="93" t="n">
        <v>-60</v>
      </c>
      <c r="E10" s="34" t="n">
        <v>-60</v>
      </c>
    </row>
    <row r="11" customFormat="false" ht="15" hidden="false" customHeight="false" outlineLevel="0" collapsed="false">
      <c r="A11" s="11" t="s">
        <v>1256</v>
      </c>
      <c r="B11" s="11" t="n">
        <v>2</v>
      </c>
      <c r="C11" s="11" t="s">
        <v>2336</v>
      </c>
      <c r="D11" s="93" t="n">
        <v>55.594</v>
      </c>
      <c r="E11" s="34" t="n">
        <v>55.6</v>
      </c>
    </row>
    <row r="12" customFormat="false" ht="15" hidden="false" customHeight="false" outlineLevel="0" collapsed="false">
      <c r="A12" s="11" t="s">
        <v>1256</v>
      </c>
      <c r="B12" s="11" t="n">
        <v>3</v>
      </c>
      <c r="C12" s="11" t="s">
        <v>2339</v>
      </c>
      <c r="D12" s="93" t="n">
        <v>45</v>
      </c>
      <c r="E12" s="34" t="n">
        <v>45</v>
      </c>
    </row>
    <row r="13" customFormat="false" ht="15" hidden="false" customHeight="false" outlineLevel="0" collapsed="false">
      <c r="A13" s="11" t="s">
        <v>1256</v>
      </c>
      <c r="B13" s="11" t="n">
        <v>4</v>
      </c>
      <c r="C13" s="11" t="s">
        <v>2341</v>
      </c>
      <c r="D13" s="93" t="n">
        <v>-32.121</v>
      </c>
      <c r="E13" s="34" t="n">
        <v>-32.1</v>
      </c>
    </row>
    <row r="14" customFormat="false" ht="15" hidden="false" customHeight="false" outlineLevel="0" collapsed="false">
      <c r="A14" s="11" t="s">
        <v>1258</v>
      </c>
      <c r="B14" s="11" t="n">
        <v>1</v>
      </c>
      <c r="C14" s="11" t="s">
        <v>1084</v>
      </c>
      <c r="D14" s="93" t="n">
        <v>5.78881</v>
      </c>
      <c r="E14" s="34" t="n">
        <v>5.8</v>
      </c>
    </row>
    <row r="15" customFormat="false" ht="15" hidden="false" customHeight="false" outlineLevel="0" collapsed="false">
      <c r="A15" s="11" t="s">
        <v>1258</v>
      </c>
      <c r="B15" s="11" t="n">
        <v>2</v>
      </c>
      <c r="C15" s="11" t="s">
        <v>2342</v>
      </c>
      <c r="D15" s="93" t="n">
        <v>4</v>
      </c>
      <c r="E15" s="34" t="n">
        <v>4</v>
      </c>
    </row>
    <row r="16" customFormat="false" ht="15" hidden="false" customHeight="false" outlineLevel="0" collapsed="false">
      <c r="A16" s="11" t="s">
        <v>1258</v>
      </c>
      <c r="B16" s="11" t="n">
        <v>3</v>
      </c>
      <c r="C16" s="11" t="s">
        <v>1083</v>
      </c>
      <c r="D16" s="93" t="n">
        <v>3.85936</v>
      </c>
      <c r="E16" s="34" t="n">
        <v>3.8</v>
      </c>
    </row>
    <row r="17" customFormat="false" ht="15" hidden="false" customHeight="false" outlineLevel="0" collapsed="false">
      <c r="A17" s="11" t="s">
        <v>1258</v>
      </c>
      <c r="B17" s="11" t="n">
        <v>4</v>
      </c>
      <c r="C17" s="11" t="s">
        <v>2343</v>
      </c>
      <c r="D17" s="93" t="n">
        <v>11.96465</v>
      </c>
      <c r="E17" s="34" t="n">
        <v>12</v>
      </c>
    </row>
    <row r="18" customFormat="false" ht="15" hidden="false" customHeight="false" outlineLevel="0" collapsed="false">
      <c r="A18" s="11" t="s">
        <v>1260</v>
      </c>
      <c r="B18" s="11" t="n">
        <v>1</v>
      </c>
      <c r="C18" s="11" t="s">
        <v>2342</v>
      </c>
      <c r="D18" s="93" t="n">
        <v>4</v>
      </c>
      <c r="E18" s="34" t="n">
        <v>4</v>
      </c>
    </row>
    <row r="19" customFormat="false" ht="15" hidden="false" customHeight="false" outlineLevel="0" collapsed="false">
      <c r="A19" s="11" t="s">
        <v>1263</v>
      </c>
      <c r="B19" s="11" t="n">
        <v>1</v>
      </c>
      <c r="C19" s="11" t="s">
        <v>1094</v>
      </c>
      <c r="D19" s="93" t="n">
        <v>-4.14702</v>
      </c>
      <c r="E19" s="34" t="n">
        <v>-4.1</v>
      </c>
    </row>
    <row r="20" customFormat="false" ht="15" hidden="false" customHeight="false" outlineLevel="0" collapsed="false">
      <c r="A20" s="11" t="s">
        <v>1263</v>
      </c>
      <c r="B20" s="11" t="n">
        <v>2</v>
      </c>
      <c r="C20" s="11" t="s">
        <v>1093</v>
      </c>
      <c r="D20" s="93" t="n">
        <v>4.14702</v>
      </c>
      <c r="E20" s="34" t="n">
        <v>4.1</v>
      </c>
    </row>
    <row r="21" customFormat="false" ht="15" hidden="false" customHeight="false" outlineLevel="0" collapsed="false">
      <c r="A21" s="11" t="s">
        <v>1263</v>
      </c>
      <c r="B21" s="11" t="n">
        <v>3</v>
      </c>
      <c r="C21" s="11" t="s">
        <v>1096</v>
      </c>
      <c r="D21" s="93" t="n">
        <v>2.22481</v>
      </c>
      <c r="E21" s="34" t="n">
        <v>2.2</v>
      </c>
    </row>
    <row r="22" customFormat="false" ht="15" hidden="false" customHeight="false" outlineLevel="0" collapsed="false">
      <c r="A22" s="11" t="s">
        <v>1263</v>
      </c>
      <c r="B22" s="11" t="n">
        <v>4</v>
      </c>
      <c r="C22" s="11" t="s">
        <v>2341</v>
      </c>
      <c r="D22" s="93" t="n">
        <v>4.75744</v>
      </c>
      <c r="E22" s="34" t="n">
        <v>4.8</v>
      </c>
    </row>
    <row r="23" customFormat="false" ht="15" hidden="false" customHeight="false" outlineLevel="0" collapsed="false">
      <c r="A23" s="11" t="s">
        <v>1265</v>
      </c>
      <c r="B23" s="11" t="n">
        <v>1</v>
      </c>
      <c r="C23" s="11" t="s">
        <v>1094</v>
      </c>
      <c r="D23" s="93" t="n">
        <v>-7.38226</v>
      </c>
      <c r="E23" s="34" t="n">
        <v>-7.4</v>
      </c>
    </row>
    <row r="24" customFormat="false" ht="15" hidden="false" customHeight="false" outlineLevel="0" collapsed="false">
      <c r="A24" s="11" t="s">
        <v>1265</v>
      </c>
      <c r="B24" s="11" t="n">
        <v>2</v>
      </c>
      <c r="C24" s="11" t="s">
        <v>1087</v>
      </c>
      <c r="D24" s="93" t="n">
        <v>2.1</v>
      </c>
      <c r="E24" s="34" t="n">
        <v>2.1</v>
      </c>
    </row>
    <row r="25" customFormat="false" ht="15" hidden="false" customHeight="false" outlineLevel="0" collapsed="false">
      <c r="A25" s="11" t="s">
        <v>1265</v>
      </c>
      <c r="B25" s="11" t="n">
        <v>3</v>
      </c>
      <c r="C25" s="11" t="s">
        <v>1086</v>
      </c>
      <c r="D25" s="93" t="n">
        <v>0.69516</v>
      </c>
      <c r="E25" s="34" t="n">
        <v>0.7</v>
      </c>
    </row>
    <row r="26" customFormat="false" ht="15" hidden="false" customHeight="false" outlineLevel="0" collapsed="false">
      <c r="A26" s="11" t="s">
        <v>1267</v>
      </c>
      <c r="B26" s="11" t="n">
        <v>1</v>
      </c>
      <c r="C26" s="11" t="s">
        <v>1093</v>
      </c>
      <c r="D26" s="93" t="n">
        <v>9.01681</v>
      </c>
      <c r="E26" s="34" t="n">
        <v>9</v>
      </c>
    </row>
    <row r="27" customFormat="false" ht="15" hidden="false" customHeight="false" outlineLevel="0" collapsed="false">
      <c r="A27" s="11" t="s">
        <v>1267</v>
      </c>
      <c r="B27" s="11" t="n">
        <v>2</v>
      </c>
      <c r="C27" s="11" t="s">
        <v>1084</v>
      </c>
      <c r="D27" s="93" t="n">
        <v>5.14081</v>
      </c>
      <c r="E27" s="34" t="n">
        <v>5.1</v>
      </c>
    </row>
    <row r="28" customFormat="false" ht="15" hidden="false" customHeight="false" outlineLevel="0" collapsed="false">
      <c r="A28" s="11" t="s">
        <v>1267</v>
      </c>
      <c r="B28" s="11" t="n">
        <v>3</v>
      </c>
      <c r="C28" s="11" t="s">
        <v>1086</v>
      </c>
      <c r="D28" s="93" t="n">
        <v>1.57338</v>
      </c>
      <c r="E28" s="34" t="n">
        <v>1.6</v>
      </c>
    </row>
    <row r="29" customFormat="false" ht="15" hidden="false" customHeight="false" outlineLevel="0" collapsed="false">
      <c r="A29" s="11" t="s">
        <v>1269</v>
      </c>
      <c r="B29" s="11" t="n">
        <v>1</v>
      </c>
      <c r="C29" s="11" t="s">
        <v>2344</v>
      </c>
      <c r="D29" s="93" t="n">
        <v>1.6</v>
      </c>
      <c r="E29" s="34" t="n">
        <v>1.6</v>
      </c>
    </row>
    <row r="30" customFormat="false" ht="15" hidden="false" customHeight="false" outlineLevel="0" collapsed="false">
      <c r="A30" s="11" t="s">
        <v>1269</v>
      </c>
      <c r="B30" s="11" t="n">
        <v>2</v>
      </c>
      <c r="C30" s="11" t="s">
        <v>2345</v>
      </c>
      <c r="D30" s="93" t="n">
        <v>0.72</v>
      </c>
      <c r="E30" s="34" t="n">
        <v>0.7</v>
      </c>
    </row>
    <row r="31" customFormat="false" ht="15" hidden="false" customHeight="false" outlineLevel="0" collapsed="false">
      <c r="A31" s="11" t="s">
        <v>1271</v>
      </c>
      <c r="B31" s="11" t="n">
        <v>1</v>
      </c>
      <c r="C31" s="11" t="s">
        <v>2346</v>
      </c>
      <c r="D31" s="93" t="n">
        <v>0.66667</v>
      </c>
      <c r="E31" s="34" t="n">
        <v>0.7</v>
      </c>
    </row>
    <row r="32" customFormat="false" ht="15" hidden="false" customHeight="false" outlineLevel="0" collapsed="false">
      <c r="A32" s="11" t="s">
        <v>1273</v>
      </c>
      <c r="B32" s="11" t="n">
        <v>1</v>
      </c>
      <c r="C32" s="11" t="s">
        <v>2347</v>
      </c>
      <c r="D32" s="93" t="n">
        <v>0.5</v>
      </c>
      <c r="E32" s="34" t="n">
        <v>0.5</v>
      </c>
    </row>
    <row r="33" customFormat="false" ht="15" hidden="false" customHeight="false" outlineLevel="0" collapsed="false">
      <c r="A33" s="11" t="s">
        <v>1275</v>
      </c>
      <c r="B33" s="11" t="n">
        <v>1</v>
      </c>
      <c r="C33" s="11" t="s">
        <v>1086</v>
      </c>
      <c r="D33" s="93" t="n">
        <v>0.888</v>
      </c>
      <c r="E33" s="34" t="n">
        <v>0.9</v>
      </c>
    </row>
    <row r="34" customFormat="false" ht="15" hidden="false" customHeight="false" outlineLevel="0" collapsed="false">
      <c r="A34" s="11" t="s">
        <v>1277</v>
      </c>
      <c r="B34" s="11" t="n">
        <v>1</v>
      </c>
      <c r="C34" s="11" t="s">
        <v>1084</v>
      </c>
      <c r="D34" s="93" t="n">
        <v>5.78881</v>
      </c>
      <c r="E34" s="34" t="n">
        <v>5.8</v>
      </c>
    </row>
    <row r="35" customFormat="false" ht="15" hidden="false" customHeight="false" outlineLevel="0" collapsed="false">
      <c r="A35" s="11" t="s">
        <v>1277</v>
      </c>
      <c r="B35" s="11" t="n">
        <v>2</v>
      </c>
      <c r="C35" s="11" t="s">
        <v>2342</v>
      </c>
      <c r="D35" s="93" t="n">
        <v>4</v>
      </c>
      <c r="E35" s="34" t="n">
        <v>4</v>
      </c>
    </row>
    <row r="36" customFormat="false" ht="15" hidden="false" customHeight="false" outlineLevel="0" collapsed="false">
      <c r="A36" s="11" t="s">
        <v>1277</v>
      </c>
      <c r="B36" s="11" t="n">
        <v>3</v>
      </c>
      <c r="C36" s="11" t="s">
        <v>1083</v>
      </c>
      <c r="D36" s="93" t="n">
        <v>3.85936</v>
      </c>
      <c r="E36" s="34" t="n">
        <v>3.9</v>
      </c>
    </row>
    <row r="37" customFormat="false" ht="15" hidden="false" customHeight="false" outlineLevel="0" collapsed="false">
      <c r="A37" s="11" t="s">
        <v>1277</v>
      </c>
      <c r="B37" s="11" t="n">
        <v>4</v>
      </c>
      <c r="C37" s="11" t="s">
        <v>2343</v>
      </c>
      <c r="D37" s="93" t="n">
        <v>12.85265</v>
      </c>
      <c r="E37" s="34" t="n">
        <v>12.8</v>
      </c>
    </row>
    <row r="38" customFormat="false" ht="15" hidden="false" customHeight="false" outlineLevel="0" collapsed="false">
      <c r="A38" s="11" t="s">
        <v>1279</v>
      </c>
      <c r="B38" s="11" t="n">
        <v>1</v>
      </c>
      <c r="C38" s="11" t="s">
        <v>101</v>
      </c>
      <c r="D38" s="93" t="n">
        <v>-26.50082</v>
      </c>
      <c r="E38" s="34" t="n">
        <v>-26.5</v>
      </c>
    </row>
    <row r="39" customFormat="false" ht="15" hidden="false" customHeight="false" outlineLevel="0" collapsed="false">
      <c r="A39" s="11" t="s">
        <v>1279</v>
      </c>
      <c r="B39" s="11" t="n">
        <v>2</v>
      </c>
      <c r="C39" s="11" t="s">
        <v>91</v>
      </c>
      <c r="D39" s="93" t="n">
        <v>8.473</v>
      </c>
      <c r="E39" s="34" t="n">
        <v>8.5</v>
      </c>
    </row>
    <row r="40" customFormat="false" ht="15" hidden="false" customHeight="false" outlineLevel="0" collapsed="false">
      <c r="A40" s="11" t="s">
        <v>1281</v>
      </c>
      <c r="B40" s="11" t="n">
        <v>1</v>
      </c>
      <c r="C40" s="11" t="s">
        <v>1083</v>
      </c>
      <c r="D40" s="93" t="n">
        <v>6.67443</v>
      </c>
      <c r="E40" s="34" t="n">
        <v>6.7</v>
      </c>
    </row>
    <row r="41" customFormat="false" ht="15" hidden="false" customHeight="false" outlineLevel="0" collapsed="false">
      <c r="A41" s="11" t="s">
        <v>1281</v>
      </c>
      <c r="B41" s="11" t="n">
        <v>2</v>
      </c>
      <c r="C41" s="11" t="s">
        <v>1085</v>
      </c>
      <c r="D41" s="93" t="n">
        <v>5.5197</v>
      </c>
      <c r="E41" s="34" t="n">
        <v>5.5</v>
      </c>
    </row>
    <row r="42" customFormat="false" ht="15" hidden="false" customHeight="false" outlineLevel="0" collapsed="false">
      <c r="A42" s="11" t="s">
        <v>1281</v>
      </c>
      <c r="B42" s="11" t="n">
        <v>3</v>
      </c>
      <c r="C42" s="11" t="s">
        <v>1087</v>
      </c>
      <c r="D42" s="93" t="n">
        <v>3.75</v>
      </c>
      <c r="E42" s="34" t="n">
        <v>3.8</v>
      </c>
    </row>
    <row r="43" customFormat="false" ht="15" hidden="false" customHeight="false" outlineLevel="0" collapsed="false">
      <c r="A43" s="11" t="s">
        <v>1281</v>
      </c>
      <c r="B43" s="11" t="n">
        <v>4</v>
      </c>
      <c r="C43" s="11" t="s">
        <v>2348</v>
      </c>
      <c r="D43" s="93" t="n">
        <v>5.61929</v>
      </c>
      <c r="E43" s="34" t="n">
        <v>5.6</v>
      </c>
    </row>
    <row r="44" customFormat="false" ht="15" hidden="false" customHeight="false" outlineLevel="0" collapsed="false">
      <c r="A44" s="11" t="s">
        <v>1283</v>
      </c>
      <c r="B44" s="11" t="n">
        <v>1</v>
      </c>
      <c r="C44" s="11" t="s">
        <v>1094</v>
      </c>
      <c r="D44" s="93" t="n">
        <v>-12.44106</v>
      </c>
      <c r="E44" s="34" t="n">
        <v>-12.5</v>
      </c>
    </row>
    <row r="45" customFormat="false" ht="15" hidden="false" customHeight="false" outlineLevel="0" collapsed="false">
      <c r="A45" s="11" t="s">
        <v>1283</v>
      </c>
      <c r="B45" s="11" t="n">
        <v>2</v>
      </c>
      <c r="C45" s="11" t="s">
        <v>1093</v>
      </c>
      <c r="D45" s="93" t="n">
        <v>12.44106</v>
      </c>
      <c r="E45" s="34" t="n">
        <v>12.4</v>
      </c>
    </row>
    <row r="46" customFormat="false" ht="15" hidden="false" customHeight="false" outlineLevel="0" collapsed="false">
      <c r="A46" s="11" t="s">
        <v>1283</v>
      </c>
      <c r="B46" s="11" t="n">
        <v>3</v>
      </c>
      <c r="C46" s="11" t="s">
        <v>1096</v>
      </c>
      <c r="D46" s="93" t="n">
        <v>6.67443</v>
      </c>
      <c r="E46" s="34" t="n">
        <v>6.7</v>
      </c>
    </row>
    <row r="47" customFormat="false" ht="15" hidden="false" customHeight="false" outlineLevel="0" collapsed="false">
      <c r="A47" s="11" t="s">
        <v>1283</v>
      </c>
      <c r="B47" s="11" t="n">
        <v>4</v>
      </c>
      <c r="C47" s="11" t="s">
        <v>2341</v>
      </c>
      <c r="D47" s="93" t="n">
        <v>14.27232</v>
      </c>
      <c r="E47" s="34" t="n">
        <v>14.3</v>
      </c>
    </row>
    <row r="48" customFormat="false" ht="15" hidden="false" customHeight="false" outlineLevel="0" collapsed="false">
      <c r="A48" s="11" t="s">
        <v>1285</v>
      </c>
      <c r="B48" s="11" t="n">
        <v>1</v>
      </c>
      <c r="C48" s="11" t="s">
        <v>2349</v>
      </c>
      <c r="D48" s="93" t="n">
        <v>-2</v>
      </c>
      <c r="E48" s="34" t="n">
        <v>-2</v>
      </c>
    </row>
    <row r="49" customFormat="false" ht="15" hidden="false" customHeight="false" outlineLevel="0" collapsed="false">
      <c r="A49" s="11" t="s">
        <v>1287</v>
      </c>
      <c r="B49" s="11" t="n">
        <v>1</v>
      </c>
      <c r="C49" s="11" t="s">
        <v>2345</v>
      </c>
      <c r="D49" s="93" t="n">
        <v>1.2</v>
      </c>
      <c r="E49" s="34" t="n">
        <v>1.2</v>
      </c>
    </row>
    <row r="50" customFormat="false" ht="15" hidden="false" customHeight="false" outlineLevel="0" collapsed="false">
      <c r="A50" s="11" t="s">
        <v>1289</v>
      </c>
      <c r="B50" s="11" t="n">
        <v>1</v>
      </c>
      <c r="C50" s="11" t="s">
        <v>2346</v>
      </c>
      <c r="D50" s="93" t="n">
        <v>0.66667</v>
      </c>
      <c r="E50" s="34" t="n">
        <v>0.7</v>
      </c>
    </row>
    <row r="51" customFormat="false" ht="15" hidden="false" customHeight="false" outlineLevel="0" collapsed="false">
      <c r="A51" s="11" t="s">
        <v>1291</v>
      </c>
      <c r="B51" s="11" t="n">
        <v>1</v>
      </c>
      <c r="C51" s="11" t="s">
        <v>2347</v>
      </c>
      <c r="D51" s="93" t="n">
        <v>0.75</v>
      </c>
      <c r="E51" s="34" t="n">
        <v>0.8</v>
      </c>
    </row>
    <row r="52" customFormat="false" ht="15" hidden="false" customHeight="false" outlineLevel="0" collapsed="false">
      <c r="A52" s="11" t="s">
        <v>1293</v>
      </c>
      <c r="B52" s="11" t="n">
        <v>1</v>
      </c>
      <c r="C52" s="11" t="s">
        <v>1181</v>
      </c>
      <c r="D52" s="93" t="n">
        <v>-55</v>
      </c>
      <c r="E52" s="34" t="n">
        <v>-55</v>
      </c>
    </row>
    <row r="53" customFormat="false" ht="15" hidden="false" customHeight="false" outlineLevel="0" collapsed="false">
      <c r="A53" s="11" t="s">
        <v>1293</v>
      </c>
      <c r="B53" s="11" t="n">
        <v>2</v>
      </c>
      <c r="C53" s="11" t="s">
        <v>2350</v>
      </c>
      <c r="D53" s="93" t="n">
        <v>10</v>
      </c>
      <c r="E53" s="34" t="n">
        <v>10</v>
      </c>
    </row>
    <row r="54" customFormat="false" ht="15" hidden="false" customHeight="false" outlineLevel="0" collapsed="false">
      <c r="A54" s="11" t="s">
        <v>1293</v>
      </c>
      <c r="B54" s="11" t="n">
        <v>3</v>
      </c>
      <c r="C54" s="11" t="s">
        <v>2351</v>
      </c>
      <c r="D54" s="93" t="n">
        <v>10</v>
      </c>
      <c r="E54" s="34" t="n">
        <v>10</v>
      </c>
    </row>
    <row r="55" customFormat="false" ht="15" hidden="false" customHeight="false" outlineLevel="0" collapsed="false">
      <c r="A55" s="11" t="s">
        <v>1293</v>
      </c>
      <c r="B55" s="11" t="n">
        <v>4</v>
      </c>
      <c r="C55" s="11" t="s">
        <v>2352</v>
      </c>
      <c r="D55" s="93" t="n">
        <v>19.22643</v>
      </c>
      <c r="E55" s="34" t="n">
        <v>19.2</v>
      </c>
    </row>
    <row r="56" customFormat="false" ht="15" hidden="false" customHeight="false" outlineLevel="0" collapsed="false">
      <c r="A56" s="11" t="s">
        <v>1295</v>
      </c>
      <c r="B56" s="11" t="n">
        <v>1</v>
      </c>
      <c r="C56" s="11" t="s">
        <v>1094</v>
      </c>
      <c r="D56" s="93" t="n">
        <v>-12.99</v>
      </c>
      <c r="E56" s="34" t="n">
        <v>-13</v>
      </c>
    </row>
    <row r="57" customFormat="false" ht="15" hidden="false" customHeight="false" outlineLevel="0" collapsed="false">
      <c r="A57" s="11" t="s">
        <v>1295</v>
      </c>
      <c r="B57" s="11" t="n">
        <v>2</v>
      </c>
      <c r="C57" s="11" t="s">
        <v>1093</v>
      </c>
      <c r="D57" s="93" t="n">
        <v>12.99</v>
      </c>
      <c r="E57" s="34" t="n">
        <v>13</v>
      </c>
    </row>
    <row r="58" customFormat="false" ht="15" hidden="false" customHeight="false" outlineLevel="0" collapsed="false">
      <c r="A58" s="11" t="s">
        <v>1295</v>
      </c>
      <c r="B58" s="11" t="n">
        <v>3</v>
      </c>
      <c r="C58" s="11" t="s">
        <v>1096</v>
      </c>
      <c r="D58" s="93" t="n">
        <v>9.018</v>
      </c>
      <c r="E58" s="34" t="n">
        <v>9</v>
      </c>
    </row>
    <row r="59" customFormat="false" ht="15" hidden="false" customHeight="false" outlineLevel="0" collapsed="false">
      <c r="A59" s="11" t="s">
        <v>1295</v>
      </c>
      <c r="B59" s="11" t="n">
        <v>4</v>
      </c>
      <c r="C59" s="11" t="s">
        <v>102</v>
      </c>
      <c r="D59" s="93" t="n">
        <v>5.661</v>
      </c>
      <c r="E59" s="34" t="n">
        <v>5.7</v>
      </c>
    </row>
    <row r="60" customFormat="false" ht="15" hidden="false" customHeight="false" outlineLevel="0" collapsed="false">
      <c r="A60" s="11" t="s">
        <v>1297</v>
      </c>
      <c r="B60" s="11" t="n">
        <v>1</v>
      </c>
      <c r="C60" s="11" t="s">
        <v>1094</v>
      </c>
      <c r="D60" s="93" t="n">
        <v>-3.16382</v>
      </c>
      <c r="E60" s="34" t="n">
        <v>-3.2</v>
      </c>
    </row>
    <row r="61" customFormat="false" ht="15" hidden="false" customHeight="false" outlineLevel="0" collapsed="false">
      <c r="A61" s="11" t="s">
        <v>1297</v>
      </c>
      <c r="B61" s="11" t="n">
        <v>2</v>
      </c>
      <c r="C61" s="11" t="s">
        <v>1087</v>
      </c>
      <c r="D61" s="93" t="n">
        <v>0.9</v>
      </c>
      <c r="E61" s="34" t="n">
        <v>0.9</v>
      </c>
    </row>
    <row r="62" customFormat="false" ht="15" hidden="false" customHeight="false" outlineLevel="0" collapsed="false">
      <c r="A62" s="11" t="s">
        <v>1297</v>
      </c>
      <c r="B62" s="11" t="n">
        <v>3</v>
      </c>
      <c r="C62" s="11" t="s">
        <v>1086</v>
      </c>
      <c r="D62" s="93" t="n">
        <v>0.29792</v>
      </c>
      <c r="E62" s="34" t="n">
        <v>0.3</v>
      </c>
    </row>
    <row r="63" customFormat="false" ht="15" hidden="false" customHeight="false" outlineLevel="0" collapsed="false">
      <c r="A63" s="11" t="s">
        <v>1299</v>
      </c>
      <c r="B63" s="11" t="n">
        <v>1</v>
      </c>
      <c r="C63" s="11" t="s">
        <v>1181</v>
      </c>
      <c r="D63" s="93" t="n">
        <v>-55</v>
      </c>
      <c r="E63" s="34" t="n">
        <v>-55</v>
      </c>
    </row>
    <row r="64" customFormat="false" ht="15" hidden="false" customHeight="false" outlineLevel="0" collapsed="false">
      <c r="A64" s="11" t="s">
        <v>1299</v>
      </c>
      <c r="B64" s="11" t="n">
        <v>2</v>
      </c>
      <c r="C64" s="11" t="s">
        <v>2350</v>
      </c>
      <c r="D64" s="93" t="n">
        <v>10</v>
      </c>
      <c r="E64" s="34" t="n">
        <v>10</v>
      </c>
    </row>
    <row r="65" customFormat="false" ht="15" hidden="false" customHeight="false" outlineLevel="0" collapsed="false">
      <c r="A65" s="11" t="s">
        <v>1299</v>
      </c>
      <c r="B65" s="11" t="n">
        <v>3</v>
      </c>
      <c r="C65" s="11" t="s">
        <v>1198</v>
      </c>
      <c r="D65" s="93" t="n">
        <v>3</v>
      </c>
      <c r="E65" s="34" t="n">
        <v>3</v>
      </c>
    </row>
    <row r="66" customFormat="false" ht="15" hidden="false" customHeight="false" outlineLevel="0" collapsed="false">
      <c r="A66" s="11" t="s">
        <v>1299</v>
      </c>
      <c r="B66" s="11" t="n">
        <v>4</v>
      </c>
      <c r="C66" s="11" t="s">
        <v>127</v>
      </c>
      <c r="D66" s="93" t="n">
        <v>2</v>
      </c>
      <c r="E66" s="34" t="n">
        <v>2</v>
      </c>
    </row>
    <row r="67" customFormat="false" ht="15" hidden="false" customHeight="false" outlineLevel="0" collapsed="false">
      <c r="A67" s="11" t="s">
        <v>1301</v>
      </c>
      <c r="B67" s="11" t="n">
        <v>1</v>
      </c>
      <c r="C67" s="11" t="s">
        <v>2353</v>
      </c>
      <c r="D67" s="93" t="n">
        <v>1</v>
      </c>
      <c r="E67" s="34" t="n">
        <v>1</v>
      </c>
    </row>
    <row r="68" customFormat="false" ht="15" hidden="false" customHeight="false" outlineLevel="0" collapsed="false">
      <c r="A68" s="11" t="s">
        <v>1303</v>
      </c>
      <c r="B68" s="11" t="n">
        <v>1</v>
      </c>
      <c r="C68" s="11" t="s">
        <v>2351</v>
      </c>
      <c r="D68" s="93" t="n">
        <v>10</v>
      </c>
      <c r="E68" s="34" t="n">
        <v>10</v>
      </c>
    </row>
    <row r="69" customFormat="false" ht="15" hidden="false" customHeight="false" outlineLevel="0" collapsed="false">
      <c r="A69" s="11" t="s">
        <v>1305</v>
      </c>
      <c r="B69" s="11" t="n">
        <v>1</v>
      </c>
      <c r="C69" s="11" t="s">
        <v>2344</v>
      </c>
      <c r="D69" s="93" t="n">
        <v>-1.6</v>
      </c>
      <c r="E69" s="34" t="n">
        <v>-1.6</v>
      </c>
    </row>
    <row r="70" customFormat="false" ht="15" hidden="false" customHeight="false" outlineLevel="0" collapsed="false">
      <c r="A70" s="11" t="s">
        <v>1305</v>
      </c>
      <c r="B70" s="11" t="n">
        <v>2</v>
      </c>
      <c r="C70" s="11" t="s">
        <v>2345</v>
      </c>
      <c r="D70" s="93" t="n">
        <v>1.28</v>
      </c>
      <c r="E70" s="34" t="n">
        <v>1.3</v>
      </c>
    </row>
    <row r="71" customFormat="false" ht="15" hidden="false" customHeight="false" outlineLevel="0" collapsed="false">
      <c r="A71" s="11" t="s">
        <v>1307</v>
      </c>
      <c r="B71" s="11" t="n">
        <v>1</v>
      </c>
      <c r="C71" s="11" t="s">
        <v>2346</v>
      </c>
      <c r="D71" s="93" t="n">
        <v>0.33333</v>
      </c>
      <c r="E71" s="34" t="n">
        <v>0.3</v>
      </c>
    </row>
    <row r="72" customFormat="false" ht="15" hidden="false" customHeight="false" outlineLevel="0" collapsed="false">
      <c r="A72" s="11" t="s">
        <v>1309</v>
      </c>
      <c r="B72" s="11" t="n">
        <v>1</v>
      </c>
      <c r="C72" s="11" t="s">
        <v>2347</v>
      </c>
      <c r="D72" s="93" t="n">
        <v>0.5</v>
      </c>
      <c r="E72" s="34" t="n">
        <v>0.5</v>
      </c>
    </row>
    <row r="73" customFormat="false" ht="15" hidden="false" customHeight="false" outlineLevel="0" collapsed="false">
      <c r="A73" s="11" t="s">
        <v>1311</v>
      </c>
      <c r="B73" s="11" t="n">
        <v>1</v>
      </c>
      <c r="C73" s="11" t="s">
        <v>2354</v>
      </c>
      <c r="D73" s="93" t="n">
        <v>8</v>
      </c>
      <c r="E73" s="34" t="n">
        <v>8</v>
      </c>
    </row>
    <row r="74" customFormat="false" ht="15" hidden="false" customHeight="false" outlineLevel="0" collapsed="false">
      <c r="A74" s="11" t="s">
        <v>1311</v>
      </c>
      <c r="B74" s="11" t="n">
        <v>2</v>
      </c>
      <c r="C74" s="11" t="s">
        <v>1190</v>
      </c>
      <c r="D74" s="93" t="n">
        <v>-5</v>
      </c>
      <c r="E74" s="34" t="n">
        <v>-5</v>
      </c>
    </row>
    <row r="75" customFormat="false" ht="15" hidden="false" customHeight="false" outlineLevel="0" collapsed="false">
      <c r="A75" s="11" t="s">
        <v>1311</v>
      </c>
      <c r="B75" s="11" t="n">
        <v>3</v>
      </c>
      <c r="C75" s="11" t="s">
        <v>2355</v>
      </c>
      <c r="D75" s="93" t="n">
        <v>3</v>
      </c>
      <c r="E75" s="34" t="n">
        <v>3</v>
      </c>
    </row>
    <row r="76" customFormat="false" ht="15" hidden="false" customHeight="false" outlineLevel="0" collapsed="false">
      <c r="A76" s="11" t="s">
        <v>1311</v>
      </c>
      <c r="B76" s="11" t="n">
        <v>4</v>
      </c>
      <c r="C76" s="11" t="s">
        <v>2356</v>
      </c>
      <c r="D76" s="93" t="n">
        <v>3.38333</v>
      </c>
      <c r="E76" s="34" t="n">
        <v>3.4</v>
      </c>
    </row>
    <row r="77" customFormat="false" ht="15" hidden="false" customHeight="false" outlineLevel="0" collapsed="false">
      <c r="A77" s="11" t="s">
        <v>1313</v>
      </c>
      <c r="B77" s="11" t="n">
        <v>1</v>
      </c>
      <c r="C77" s="11" t="s">
        <v>2354</v>
      </c>
      <c r="D77" s="93" t="n">
        <v>8</v>
      </c>
      <c r="E77" s="34" t="n">
        <v>8</v>
      </c>
    </row>
    <row r="78" customFormat="false" ht="15" hidden="false" customHeight="false" outlineLevel="0" collapsed="false">
      <c r="A78" s="11" t="s">
        <v>1313</v>
      </c>
      <c r="B78" s="11" t="n">
        <v>2</v>
      </c>
      <c r="C78" s="11" t="s">
        <v>1190</v>
      </c>
      <c r="D78" s="93" t="n">
        <v>-5</v>
      </c>
      <c r="E78" s="34" t="n">
        <v>-5</v>
      </c>
    </row>
    <row r="79" customFormat="false" ht="15" hidden="false" customHeight="false" outlineLevel="0" collapsed="false">
      <c r="A79" s="11" t="s">
        <v>1313</v>
      </c>
      <c r="B79" s="11" t="n">
        <v>3</v>
      </c>
      <c r="C79" s="11" t="s">
        <v>2355</v>
      </c>
      <c r="D79" s="93" t="n">
        <v>3</v>
      </c>
      <c r="E79" s="34" t="n">
        <v>3</v>
      </c>
    </row>
    <row r="80" customFormat="false" ht="15" hidden="false" customHeight="false" outlineLevel="0" collapsed="false">
      <c r="A80" s="11" t="s">
        <v>1313</v>
      </c>
      <c r="B80" s="11" t="n">
        <v>4</v>
      </c>
      <c r="C80" s="11" t="s">
        <v>127</v>
      </c>
      <c r="D80" s="93" t="n">
        <v>2</v>
      </c>
      <c r="E80" s="34" t="n">
        <v>2</v>
      </c>
    </row>
    <row r="81" customFormat="false" ht="15" hidden="false" customHeight="false" outlineLevel="0" collapsed="false">
      <c r="A81" s="11" t="s">
        <v>1316</v>
      </c>
      <c r="B81" s="11" t="n">
        <v>1</v>
      </c>
      <c r="C81" s="11" t="s">
        <v>2345</v>
      </c>
      <c r="D81" s="93" t="n">
        <v>0.8</v>
      </c>
      <c r="E81" s="34" t="n">
        <v>0.8</v>
      </c>
    </row>
    <row r="82" customFormat="false" ht="15" hidden="false" customHeight="false" outlineLevel="0" collapsed="false">
      <c r="A82" s="11" t="s">
        <v>1318</v>
      </c>
      <c r="B82" s="11" t="n">
        <v>1</v>
      </c>
      <c r="C82" s="11" t="s">
        <v>2346</v>
      </c>
      <c r="D82" s="93" t="n">
        <v>0.33333</v>
      </c>
      <c r="E82" s="34" t="n">
        <v>0.3</v>
      </c>
    </row>
    <row r="83" customFormat="false" ht="15" hidden="false" customHeight="false" outlineLevel="0" collapsed="false">
      <c r="A83" s="11" t="s">
        <v>1320</v>
      </c>
      <c r="B83" s="11" t="n">
        <v>1</v>
      </c>
      <c r="C83" s="11" t="s">
        <v>2347</v>
      </c>
      <c r="D83" s="93" t="n">
        <v>0.25</v>
      </c>
      <c r="E83" s="34" t="n">
        <v>0.3</v>
      </c>
    </row>
    <row r="84" customFormat="false" ht="15" hidden="false" customHeight="false" outlineLevel="0" collapsed="false">
      <c r="A84" s="11" t="s">
        <v>1322</v>
      </c>
      <c r="B84" s="11" t="n">
        <v>1</v>
      </c>
      <c r="C84" s="11" t="s">
        <v>157</v>
      </c>
      <c r="D84" s="93" t="n">
        <v>21.56342</v>
      </c>
      <c r="E84" s="34" t="n">
        <v>21.6</v>
      </c>
    </row>
    <row r="85" customFormat="false" ht="15" hidden="false" customHeight="false" outlineLevel="0" collapsed="false">
      <c r="A85" s="11" t="s">
        <v>1322</v>
      </c>
      <c r="B85" s="11" t="n">
        <v>2</v>
      </c>
      <c r="C85" s="11" t="s">
        <v>158</v>
      </c>
      <c r="D85" s="93" t="n">
        <v>-15.77357</v>
      </c>
      <c r="E85" s="34" t="n">
        <v>-15.8</v>
      </c>
    </row>
    <row r="86" customFormat="false" ht="15" hidden="false" customHeight="false" outlineLevel="0" collapsed="false">
      <c r="A86" s="11" t="s">
        <v>1322</v>
      </c>
      <c r="B86" s="11" t="n">
        <v>3</v>
      </c>
      <c r="C86" s="11" t="s">
        <v>159</v>
      </c>
      <c r="D86" s="93" t="n">
        <v>9.38333</v>
      </c>
      <c r="E86" s="34" t="n">
        <v>9.4</v>
      </c>
    </row>
    <row r="87" customFormat="false" ht="15" hidden="false" customHeight="false" outlineLevel="0" collapsed="false">
      <c r="A87" s="11" t="s">
        <v>1324</v>
      </c>
      <c r="B87" s="11" t="n">
        <v>1</v>
      </c>
      <c r="C87" s="11" t="s">
        <v>101</v>
      </c>
      <c r="D87" s="93" t="n">
        <v>-26.50082</v>
      </c>
      <c r="E87" s="34" t="n">
        <v>-26.5</v>
      </c>
    </row>
    <row r="88" customFormat="false" ht="15" hidden="false" customHeight="false" outlineLevel="0" collapsed="false">
      <c r="A88" s="11" t="s">
        <v>1324</v>
      </c>
      <c r="B88" s="11" t="n">
        <v>2</v>
      </c>
      <c r="C88" s="11" t="s">
        <v>95</v>
      </c>
      <c r="D88" s="93" t="n">
        <v>-15.17318</v>
      </c>
      <c r="E88" s="34" t="n">
        <v>-15.2</v>
      </c>
    </row>
    <row r="89" customFormat="false" ht="15" hidden="false" customHeight="false" outlineLevel="0" collapsed="false">
      <c r="A89" s="11" t="s">
        <v>1324</v>
      </c>
      <c r="B89" s="11" t="n">
        <v>3</v>
      </c>
      <c r="C89" s="11" t="s">
        <v>91</v>
      </c>
      <c r="D89" s="93" t="n">
        <v>8.473</v>
      </c>
      <c r="E89" s="34" t="n">
        <v>8.5</v>
      </c>
    </row>
    <row r="90" customFormat="false" ht="15" hidden="false" customHeight="false" outlineLevel="0" collapsed="false">
      <c r="A90" s="11" t="s">
        <v>1326</v>
      </c>
      <c r="B90" s="11" t="n">
        <v>1</v>
      </c>
      <c r="C90" s="11" t="s">
        <v>2357</v>
      </c>
      <c r="D90" s="93" t="n">
        <v>-1</v>
      </c>
      <c r="E90" s="34" t="n">
        <v>-1</v>
      </c>
    </row>
    <row r="91" customFormat="false" ht="15" hidden="false" customHeight="false" outlineLevel="0" collapsed="false">
      <c r="A91" s="11" t="s">
        <v>1330</v>
      </c>
      <c r="B91" s="11" t="n">
        <v>1</v>
      </c>
      <c r="C91" s="11" t="s">
        <v>101</v>
      </c>
      <c r="D91" s="93" t="n">
        <v>-26.50082</v>
      </c>
      <c r="E91" s="34" t="n">
        <v>-26.5</v>
      </c>
    </row>
    <row r="92" customFormat="false" ht="15" hidden="false" customHeight="false" outlineLevel="0" collapsed="false">
      <c r="A92" s="11" t="s">
        <v>1330</v>
      </c>
      <c r="B92" s="11" t="n">
        <v>2</v>
      </c>
      <c r="C92" s="11" t="s">
        <v>95</v>
      </c>
      <c r="D92" s="93" t="n">
        <v>-15.17318</v>
      </c>
      <c r="E92" s="34" t="n">
        <v>-15.2</v>
      </c>
    </row>
    <row r="93" customFormat="false" ht="15" hidden="false" customHeight="false" outlineLevel="0" collapsed="false">
      <c r="A93" s="11" t="s">
        <v>1330</v>
      </c>
      <c r="B93" s="11" t="n">
        <v>3</v>
      </c>
      <c r="C93" s="11" t="s">
        <v>91</v>
      </c>
      <c r="D93" s="93" t="n">
        <v>8.473</v>
      </c>
      <c r="E93" s="34" t="n">
        <v>8.5</v>
      </c>
    </row>
    <row r="94" customFormat="false" ht="15" hidden="false" customHeight="false" outlineLevel="0" collapsed="false">
      <c r="A94" s="11" t="s">
        <v>1330</v>
      </c>
      <c r="B94" s="11" t="n">
        <v>4</v>
      </c>
      <c r="C94" s="11" t="s">
        <v>127</v>
      </c>
      <c r="D94" s="93" t="n">
        <v>-1</v>
      </c>
      <c r="E94" s="34" t="n">
        <v>-1</v>
      </c>
    </row>
    <row r="95" customFormat="false" ht="15" hidden="false" customHeight="false" outlineLevel="0" collapsed="false">
      <c r="A95" s="11" t="s">
        <v>1332</v>
      </c>
      <c r="B95" s="11" t="n">
        <v>1</v>
      </c>
      <c r="C95" s="11" t="s">
        <v>2358</v>
      </c>
      <c r="D95" s="93" t="n">
        <v>4</v>
      </c>
      <c r="E95" s="34" t="n">
        <v>4</v>
      </c>
    </row>
    <row r="96" customFormat="false" ht="15" hidden="false" customHeight="false" outlineLevel="0" collapsed="false">
      <c r="A96" s="11" t="s">
        <v>1332</v>
      </c>
      <c r="B96" s="11" t="n">
        <v>2</v>
      </c>
      <c r="C96" s="11" t="s">
        <v>2359</v>
      </c>
      <c r="D96" s="93" t="n">
        <v>1</v>
      </c>
      <c r="E96" s="34" t="n">
        <v>1</v>
      </c>
    </row>
    <row r="97" customFormat="false" ht="15" hidden="false" customHeight="false" outlineLevel="0" collapsed="false">
      <c r="A97" s="11" t="s">
        <v>1334</v>
      </c>
      <c r="B97" s="11" t="n">
        <v>1</v>
      </c>
      <c r="C97" s="11" t="s">
        <v>101</v>
      </c>
      <c r="D97" s="93" t="n">
        <v>-26.50082</v>
      </c>
      <c r="E97" s="34" t="n">
        <v>-26.5</v>
      </c>
    </row>
    <row r="98" customFormat="false" ht="15" hidden="false" customHeight="false" outlineLevel="0" collapsed="false">
      <c r="A98" s="11" t="s">
        <v>1334</v>
      </c>
      <c r="B98" s="11" t="n">
        <v>2</v>
      </c>
      <c r="C98" s="11" t="s">
        <v>95</v>
      </c>
      <c r="D98" s="93" t="n">
        <v>-15.17318</v>
      </c>
      <c r="E98" s="34" t="n">
        <v>-15.2</v>
      </c>
    </row>
    <row r="99" customFormat="false" ht="15" hidden="false" customHeight="false" outlineLevel="0" collapsed="false">
      <c r="A99" s="11" t="s">
        <v>1334</v>
      </c>
      <c r="B99" s="11" t="n">
        <v>3</v>
      </c>
      <c r="C99" s="11" t="s">
        <v>91</v>
      </c>
      <c r="D99" s="93" t="n">
        <v>8.473</v>
      </c>
      <c r="E99" s="34" t="n">
        <v>8.5</v>
      </c>
    </row>
    <row r="100" customFormat="false" ht="15" hidden="false" customHeight="false" outlineLevel="0" collapsed="false">
      <c r="A100" s="11" t="s">
        <v>1334</v>
      </c>
      <c r="B100" s="11" t="n">
        <v>4</v>
      </c>
      <c r="C100" s="11" t="s">
        <v>102</v>
      </c>
      <c r="D100" s="93" t="n">
        <v>-6</v>
      </c>
      <c r="E100" s="34" t="n">
        <v>-6</v>
      </c>
    </row>
    <row r="101" customFormat="false" ht="15" hidden="false" customHeight="false" outlineLevel="0" collapsed="false">
      <c r="A101" s="11" t="s">
        <v>1336</v>
      </c>
      <c r="B101" s="11" t="n">
        <v>1</v>
      </c>
      <c r="C101" s="11" t="s">
        <v>2336</v>
      </c>
      <c r="D101" s="93" t="n">
        <v>55.594</v>
      </c>
      <c r="E101" s="34" t="n">
        <v>55.6</v>
      </c>
    </row>
    <row r="102" customFormat="false" ht="15" hidden="false" customHeight="false" outlineLevel="0" collapsed="false">
      <c r="A102" s="11" t="s">
        <v>1336</v>
      </c>
      <c r="B102" s="11" t="n">
        <v>2</v>
      </c>
      <c r="C102" s="11" t="s">
        <v>2337</v>
      </c>
      <c r="D102" s="93" t="n">
        <v>-30.885</v>
      </c>
      <c r="E102" s="34" t="n">
        <v>-30.9</v>
      </c>
    </row>
    <row r="103" customFormat="false" ht="15" hidden="false" customHeight="false" outlineLevel="0" collapsed="false">
      <c r="A103" s="11" t="s">
        <v>1336</v>
      </c>
      <c r="B103" s="11" t="n">
        <v>3</v>
      </c>
      <c r="C103" s="11" t="s">
        <v>2338</v>
      </c>
      <c r="D103" s="93" t="n">
        <v>-12.355</v>
      </c>
      <c r="E103" s="34" t="n">
        <v>-12.3</v>
      </c>
    </row>
    <row r="104" customFormat="false" ht="15" hidden="false" customHeight="false" outlineLevel="0" collapsed="false">
      <c r="A104" s="11" t="s">
        <v>1336</v>
      </c>
      <c r="B104" s="11" t="n">
        <v>4</v>
      </c>
      <c r="C104" s="11" t="s">
        <v>127</v>
      </c>
      <c r="D104" s="93" t="n">
        <v>11.119</v>
      </c>
      <c r="E104" s="34" t="n">
        <v>11.1</v>
      </c>
    </row>
    <row r="105" customFormat="false" ht="15" hidden="false" customHeight="false" outlineLevel="0" collapsed="false">
      <c r="A105" s="11" t="s">
        <v>1339</v>
      </c>
      <c r="B105" s="11" t="n">
        <v>1</v>
      </c>
      <c r="C105" s="11" t="s">
        <v>1184</v>
      </c>
      <c r="D105" s="93" t="n">
        <v>-60</v>
      </c>
      <c r="E105" s="34" t="n">
        <v>-60</v>
      </c>
    </row>
    <row r="106" customFormat="false" ht="15" hidden="false" customHeight="false" outlineLevel="0" collapsed="false">
      <c r="A106" s="11" t="s">
        <v>1339</v>
      </c>
      <c r="B106" s="11" t="n">
        <v>2</v>
      </c>
      <c r="C106" s="11" t="s">
        <v>2339</v>
      </c>
      <c r="D106" s="93" t="n">
        <v>45</v>
      </c>
      <c r="E106" s="34" t="n">
        <v>45</v>
      </c>
    </row>
    <row r="107" customFormat="false" ht="15" hidden="false" customHeight="false" outlineLevel="0" collapsed="false">
      <c r="A107" s="11" t="s">
        <v>1339</v>
      </c>
      <c r="B107" s="11" t="n">
        <v>3</v>
      </c>
      <c r="C107" s="11" t="s">
        <v>2340</v>
      </c>
      <c r="D107" s="93" t="n">
        <v>-20</v>
      </c>
      <c r="E107" s="34" t="n">
        <v>-20</v>
      </c>
    </row>
    <row r="108" customFormat="false" ht="15" hidden="false" customHeight="false" outlineLevel="0" collapsed="false">
      <c r="A108" s="11" t="s">
        <v>1339</v>
      </c>
      <c r="B108" s="11" t="n">
        <v>4</v>
      </c>
      <c r="C108" s="11" t="s">
        <v>127</v>
      </c>
      <c r="D108" s="93" t="n">
        <v>20</v>
      </c>
      <c r="E108" s="34" t="n">
        <v>20</v>
      </c>
    </row>
    <row r="109" customFormat="false" ht="15" hidden="false" customHeight="false" outlineLevel="0" collapsed="false">
      <c r="A109" s="11" t="s">
        <v>1341</v>
      </c>
      <c r="B109" s="11" t="n">
        <v>1</v>
      </c>
      <c r="C109" s="11" t="s">
        <v>1184</v>
      </c>
      <c r="D109" s="93" t="n">
        <v>-60</v>
      </c>
      <c r="E109" s="34" t="n">
        <v>-60</v>
      </c>
    </row>
    <row r="110" customFormat="false" ht="15" hidden="false" customHeight="false" outlineLevel="0" collapsed="false">
      <c r="A110" s="11" t="s">
        <v>1341</v>
      </c>
      <c r="B110" s="11" t="n">
        <v>2</v>
      </c>
      <c r="C110" s="11" t="s">
        <v>2336</v>
      </c>
      <c r="D110" s="93" t="n">
        <v>55.594</v>
      </c>
      <c r="E110" s="34" t="n">
        <v>55.6</v>
      </c>
    </row>
    <row r="111" customFormat="false" ht="15" hidden="false" customHeight="false" outlineLevel="0" collapsed="false">
      <c r="A111" s="11" t="s">
        <v>1341</v>
      </c>
      <c r="B111" s="11" t="n">
        <v>3</v>
      </c>
      <c r="C111" s="11" t="s">
        <v>2339</v>
      </c>
      <c r="D111" s="93" t="n">
        <v>45</v>
      </c>
      <c r="E111" s="34" t="n">
        <v>45</v>
      </c>
    </row>
    <row r="112" customFormat="false" ht="15" hidden="false" customHeight="false" outlineLevel="0" collapsed="false">
      <c r="A112" s="11" t="s">
        <v>1341</v>
      </c>
      <c r="B112" s="11" t="n">
        <v>4</v>
      </c>
      <c r="C112" s="11" t="s">
        <v>2341</v>
      </c>
      <c r="D112" s="93" t="n">
        <v>-32.121</v>
      </c>
      <c r="E112" s="34" t="n">
        <v>-32.1</v>
      </c>
    </row>
    <row r="113" customFormat="false" ht="15" hidden="false" customHeight="false" outlineLevel="0" collapsed="false">
      <c r="A113" s="11" t="s">
        <v>1343</v>
      </c>
      <c r="B113" s="11" t="n">
        <v>1</v>
      </c>
      <c r="C113" s="11" t="s">
        <v>1084</v>
      </c>
      <c r="D113" s="93" t="n">
        <v>5.78881</v>
      </c>
      <c r="E113" s="34" t="n">
        <v>5.8</v>
      </c>
    </row>
    <row r="114" customFormat="false" ht="15" hidden="false" customHeight="false" outlineLevel="0" collapsed="false">
      <c r="A114" s="11" t="s">
        <v>1343</v>
      </c>
      <c r="B114" s="11" t="n">
        <v>2</v>
      </c>
      <c r="C114" s="11" t="s">
        <v>2342</v>
      </c>
      <c r="D114" s="93" t="n">
        <v>4</v>
      </c>
      <c r="E114" s="34" t="n">
        <v>4</v>
      </c>
    </row>
    <row r="115" customFormat="false" ht="15" hidden="false" customHeight="false" outlineLevel="0" collapsed="false">
      <c r="A115" s="11" t="s">
        <v>1343</v>
      </c>
      <c r="B115" s="11" t="n">
        <v>3</v>
      </c>
      <c r="C115" s="11" t="s">
        <v>1083</v>
      </c>
      <c r="D115" s="93" t="n">
        <v>3.85936</v>
      </c>
      <c r="E115" s="34" t="n">
        <v>3.8</v>
      </c>
    </row>
    <row r="116" customFormat="false" ht="15" hidden="false" customHeight="false" outlineLevel="0" collapsed="false">
      <c r="A116" s="11" t="s">
        <v>1343</v>
      </c>
      <c r="B116" s="11" t="n">
        <v>4</v>
      </c>
      <c r="C116" s="11" t="s">
        <v>2343</v>
      </c>
      <c r="D116" s="93" t="n">
        <v>12.16465</v>
      </c>
      <c r="E116" s="34" t="n">
        <v>12.2</v>
      </c>
    </row>
    <row r="117" customFormat="false" ht="15" hidden="false" customHeight="false" outlineLevel="0" collapsed="false">
      <c r="A117" s="11" t="s">
        <v>1345</v>
      </c>
      <c r="B117" s="11" t="n">
        <v>1</v>
      </c>
      <c r="C117" s="11" t="s">
        <v>2342</v>
      </c>
      <c r="D117" s="93" t="n">
        <v>4</v>
      </c>
      <c r="E117" s="34" t="n">
        <v>4</v>
      </c>
    </row>
    <row r="118" customFormat="false" ht="15" hidden="false" customHeight="false" outlineLevel="0" collapsed="false">
      <c r="A118" s="11" t="s">
        <v>1347</v>
      </c>
      <c r="B118" s="11" t="n">
        <v>1</v>
      </c>
      <c r="C118" s="11" t="s">
        <v>1094</v>
      </c>
      <c r="D118" s="93" t="n">
        <v>-4.14702</v>
      </c>
      <c r="E118" s="34" t="n">
        <v>-4.1</v>
      </c>
    </row>
    <row r="119" customFormat="false" ht="15" hidden="false" customHeight="false" outlineLevel="0" collapsed="false">
      <c r="A119" s="11" t="s">
        <v>1347</v>
      </c>
      <c r="B119" s="11" t="n">
        <v>2</v>
      </c>
      <c r="C119" s="11" t="s">
        <v>1093</v>
      </c>
      <c r="D119" s="93" t="n">
        <v>4.14702</v>
      </c>
      <c r="E119" s="34" t="n">
        <v>4.1</v>
      </c>
    </row>
    <row r="120" customFormat="false" ht="15" hidden="false" customHeight="false" outlineLevel="0" collapsed="false">
      <c r="A120" s="11" t="s">
        <v>1347</v>
      </c>
      <c r="B120" s="11" t="n">
        <v>3</v>
      </c>
      <c r="C120" s="11" t="s">
        <v>1096</v>
      </c>
      <c r="D120" s="93" t="n">
        <v>2.22481</v>
      </c>
      <c r="E120" s="34" t="n">
        <v>2.2</v>
      </c>
    </row>
    <row r="121" customFormat="false" ht="15" hidden="false" customHeight="false" outlineLevel="0" collapsed="false">
      <c r="A121" s="11" t="s">
        <v>1347</v>
      </c>
      <c r="B121" s="11" t="n">
        <v>4</v>
      </c>
      <c r="C121" s="11" t="s">
        <v>2341</v>
      </c>
      <c r="D121" s="93" t="n">
        <v>4.75744</v>
      </c>
      <c r="E121" s="34" t="n">
        <v>4.8</v>
      </c>
    </row>
    <row r="122" customFormat="false" ht="15" hidden="false" customHeight="false" outlineLevel="0" collapsed="false">
      <c r="A122" s="11" t="s">
        <v>1349</v>
      </c>
      <c r="B122" s="11" t="n">
        <v>1</v>
      </c>
      <c r="C122" s="11" t="s">
        <v>1093</v>
      </c>
      <c r="D122" s="93" t="n">
        <v>9.01681</v>
      </c>
      <c r="E122" s="34" t="n">
        <v>9</v>
      </c>
    </row>
    <row r="123" customFormat="false" ht="15" hidden="false" customHeight="false" outlineLevel="0" collapsed="false">
      <c r="A123" s="11" t="s">
        <v>1349</v>
      </c>
      <c r="B123" s="11" t="n">
        <v>2</v>
      </c>
      <c r="C123" s="11" t="s">
        <v>1084</v>
      </c>
      <c r="D123" s="93" t="n">
        <v>5.14081</v>
      </c>
      <c r="E123" s="34" t="n">
        <v>5.1</v>
      </c>
    </row>
    <row r="124" customFormat="false" ht="15" hidden="false" customHeight="false" outlineLevel="0" collapsed="false">
      <c r="A124" s="11" t="s">
        <v>1349</v>
      </c>
      <c r="B124" s="11" t="n">
        <v>3</v>
      </c>
      <c r="C124" s="11" t="s">
        <v>1086</v>
      </c>
      <c r="D124" s="93" t="n">
        <v>1.57338</v>
      </c>
      <c r="E124" s="34" t="n">
        <v>1.6</v>
      </c>
    </row>
    <row r="125" customFormat="false" ht="15" hidden="false" customHeight="false" outlineLevel="0" collapsed="false">
      <c r="A125" s="11" t="s">
        <v>1351</v>
      </c>
      <c r="B125" s="11" t="n">
        <v>1</v>
      </c>
      <c r="C125" s="11" t="s">
        <v>1094</v>
      </c>
      <c r="D125" s="93" t="n">
        <v>-7.38226</v>
      </c>
      <c r="E125" s="34" t="n">
        <v>-7.4</v>
      </c>
    </row>
    <row r="126" customFormat="false" ht="15" hidden="false" customHeight="false" outlineLevel="0" collapsed="false">
      <c r="A126" s="11" t="s">
        <v>1351</v>
      </c>
      <c r="B126" s="11" t="n">
        <v>2</v>
      </c>
      <c r="C126" s="11" t="s">
        <v>1087</v>
      </c>
      <c r="D126" s="93" t="n">
        <v>2.1</v>
      </c>
      <c r="E126" s="34" t="n">
        <v>2.1</v>
      </c>
    </row>
    <row r="127" customFormat="false" ht="15" hidden="false" customHeight="false" outlineLevel="0" collapsed="false">
      <c r="A127" s="11" t="s">
        <v>1351</v>
      </c>
      <c r="B127" s="11" t="n">
        <v>3</v>
      </c>
      <c r="C127" s="11" t="s">
        <v>1086</v>
      </c>
      <c r="D127" s="93" t="n">
        <v>0.69516</v>
      </c>
      <c r="E127" s="34" t="n">
        <v>0.7</v>
      </c>
    </row>
    <row r="128" customFormat="false" ht="15" hidden="false" customHeight="false" outlineLevel="0" collapsed="false">
      <c r="A128" s="11" t="s">
        <v>1353</v>
      </c>
      <c r="B128" s="11" t="n">
        <v>1</v>
      </c>
      <c r="C128" s="11" t="s">
        <v>2344</v>
      </c>
      <c r="D128" s="93" t="n">
        <v>1.6</v>
      </c>
      <c r="E128" s="34" t="n">
        <v>1.6</v>
      </c>
    </row>
    <row r="129" customFormat="false" ht="15" hidden="false" customHeight="false" outlineLevel="0" collapsed="false">
      <c r="A129" s="11" t="s">
        <v>1353</v>
      </c>
      <c r="B129" s="11" t="n">
        <v>2</v>
      </c>
      <c r="C129" s="11" t="s">
        <v>2345</v>
      </c>
      <c r="D129" s="93" t="n">
        <v>0.92</v>
      </c>
      <c r="E129" s="34" t="n">
        <v>0.9</v>
      </c>
    </row>
    <row r="130" customFormat="false" ht="15" hidden="false" customHeight="false" outlineLevel="0" collapsed="false">
      <c r="A130" s="11" t="s">
        <v>1355</v>
      </c>
      <c r="B130" s="11" t="n">
        <v>1</v>
      </c>
      <c r="C130" s="11" t="s">
        <v>2346</v>
      </c>
      <c r="D130" s="93" t="n">
        <v>0.66667</v>
      </c>
      <c r="E130" s="34" t="n">
        <v>0.7</v>
      </c>
    </row>
    <row r="131" customFormat="false" ht="15" hidden="false" customHeight="false" outlineLevel="0" collapsed="false">
      <c r="A131" s="11" t="s">
        <v>1357</v>
      </c>
      <c r="B131" s="11" t="n">
        <v>1</v>
      </c>
      <c r="C131" s="11" t="s">
        <v>2347</v>
      </c>
      <c r="D131" s="93" t="n">
        <v>0.5</v>
      </c>
      <c r="E131" s="34" t="n">
        <v>0.5</v>
      </c>
    </row>
    <row r="132" customFormat="false" ht="15" hidden="false" customHeight="false" outlineLevel="0" collapsed="false">
      <c r="A132" s="11" t="s">
        <v>1359</v>
      </c>
      <c r="B132" s="11" t="n">
        <v>1</v>
      </c>
      <c r="C132" s="11" t="s">
        <v>1086</v>
      </c>
      <c r="D132" s="93" t="n">
        <v>0.888</v>
      </c>
      <c r="E132" s="34" t="n">
        <v>0.9</v>
      </c>
    </row>
    <row r="133" customFormat="false" ht="15" hidden="false" customHeight="false" outlineLevel="0" collapsed="false">
      <c r="A133" s="11" t="s">
        <v>1361</v>
      </c>
      <c r="B133" s="11" t="n">
        <v>1</v>
      </c>
      <c r="C133" s="11" t="s">
        <v>1086</v>
      </c>
      <c r="D133" s="93" t="n">
        <v>0.888</v>
      </c>
      <c r="E133" s="34" t="n">
        <v>0.9</v>
      </c>
    </row>
    <row r="134" customFormat="false" ht="15" hidden="false" customHeight="false" outlineLevel="0" collapsed="false">
      <c r="A134" s="11" t="s">
        <v>1363</v>
      </c>
      <c r="B134" s="11" t="n">
        <v>1</v>
      </c>
      <c r="C134" s="11" t="s">
        <v>164</v>
      </c>
      <c r="D134" s="93" t="n">
        <v>25.81282</v>
      </c>
      <c r="E134" s="34" t="n">
        <v>25.8</v>
      </c>
    </row>
    <row r="135" customFormat="false" ht="15" hidden="false" customHeight="false" outlineLevel="0" collapsed="false">
      <c r="A135" s="11" t="s">
        <v>1363</v>
      </c>
      <c r="B135" s="11" t="n">
        <v>2</v>
      </c>
      <c r="C135" s="11" t="s">
        <v>165</v>
      </c>
      <c r="D135" s="93" t="n">
        <v>0.888</v>
      </c>
      <c r="E135" s="34" t="n">
        <v>0.9</v>
      </c>
    </row>
    <row r="136" customFormat="false" ht="15" hidden="false" customHeight="false" outlineLevel="0" collapsed="false">
      <c r="A136" s="11" t="s">
        <v>1365</v>
      </c>
      <c r="B136" s="11" t="n">
        <v>1</v>
      </c>
      <c r="C136" s="11" t="s">
        <v>166</v>
      </c>
      <c r="D136" s="93" t="n">
        <v>-26.70082</v>
      </c>
      <c r="E136" s="34" t="n">
        <v>-26.7</v>
      </c>
    </row>
    <row r="137" customFormat="false" ht="15" hidden="false" customHeight="false" outlineLevel="0" collapsed="false">
      <c r="A137" s="11" t="s">
        <v>1365</v>
      </c>
      <c r="B137" s="11" t="n">
        <v>2</v>
      </c>
      <c r="C137" s="11" t="s">
        <v>91</v>
      </c>
      <c r="D137" s="93" t="n">
        <v>8.473</v>
      </c>
      <c r="E137" s="34" t="n">
        <v>8.5</v>
      </c>
    </row>
    <row r="138" customFormat="false" ht="15" hidden="false" customHeight="false" outlineLevel="0" collapsed="false">
      <c r="A138" s="11" t="s">
        <v>1367</v>
      </c>
      <c r="B138" s="11" t="n">
        <v>1</v>
      </c>
      <c r="C138" s="11" t="s">
        <v>1181</v>
      </c>
      <c r="D138" s="93" t="n">
        <v>-55</v>
      </c>
      <c r="E138" s="34" t="n">
        <v>-55</v>
      </c>
    </row>
    <row r="139" customFormat="false" ht="15" hidden="false" customHeight="false" outlineLevel="0" collapsed="false">
      <c r="A139" s="11" t="s">
        <v>1367</v>
      </c>
      <c r="B139" s="11" t="n">
        <v>2</v>
      </c>
      <c r="C139" s="11" t="s">
        <v>2350</v>
      </c>
      <c r="D139" s="93" t="n">
        <v>10</v>
      </c>
      <c r="E139" s="34" t="n">
        <v>10</v>
      </c>
    </row>
    <row r="140" customFormat="false" ht="15" hidden="false" customHeight="false" outlineLevel="0" collapsed="false">
      <c r="A140" s="11" t="s">
        <v>1367</v>
      </c>
      <c r="B140" s="11" t="n">
        <v>3</v>
      </c>
      <c r="C140" s="11" t="s">
        <v>2351</v>
      </c>
      <c r="D140" s="93" t="n">
        <v>10</v>
      </c>
      <c r="E140" s="34" t="n">
        <v>10</v>
      </c>
    </row>
    <row r="141" customFormat="false" ht="15" hidden="false" customHeight="false" outlineLevel="0" collapsed="false">
      <c r="A141" s="11" t="s">
        <v>1367</v>
      </c>
      <c r="B141" s="11" t="n">
        <v>4</v>
      </c>
      <c r="C141" s="11" t="s">
        <v>2348</v>
      </c>
      <c r="D141" s="93" t="n">
        <v>18.7131</v>
      </c>
      <c r="E141" s="34" t="n">
        <v>18.7</v>
      </c>
    </row>
    <row r="142" customFormat="false" ht="15" hidden="false" customHeight="false" outlineLevel="0" collapsed="false">
      <c r="A142" s="11" t="s">
        <v>1369</v>
      </c>
      <c r="B142" s="11" t="n">
        <v>1</v>
      </c>
      <c r="C142" s="11" t="s">
        <v>1094</v>
      </c>
      <c r="D142" s="93" t="n">
        <v>-12.99</v>
      </c>
      <c r="E142" s="34" t="n">
        <v>-13</v>
      </c>
    </row>
    <row r="143" customFormat="false" ht="15" hidden="false" customHeight="false" outlineLevel="0" collapsed="false">
      <c r="A143" s="11" t="s">
        <v>1369</v>
      </c>
      <c r="B143" s="11" t="n">
        <v>2</v>
      </c>
      <c r="C143" s="11" t="s">
        <v>1093</v>
      </c>
      <c r="D143" s="93" t="n">
        <v>12.99</v>
      </c>
      <c r="E143" s="34" t="n">
        <v>13</v>
      </c>
    </row>
    <row r="144" customFormat="false" ht="15" hidden="false" customHeight="false" outlineLevel="0" collapsed="false">
      <c r="A144" s="11" t="s">
        <v>1369</v>
      </c>
      <c r="B144" s="11" t="n">
        <v>3</v>
      </c>
      <c r="C144" s="11" t="s">
        <v>1096</v>
      </c>
      <c r="D144" s="93" t="n">
        <v>9.018</v>
      </c>
      <c r="E144" s="34" t="n">
        <v>9</v>
      </c>
    </row>
    <row r="145" customFormat="false" ht="15" hidden="false" customHeight="false" outlineLevel="0" collapsed="false">
      <c r="A145" s="11" t="s">
        <v>1369</v>
      </c>
      <c r="B145" s="11" t="n">
        <v>4</v>
      </c>
      <c r="C145" s="11" t="s">
        <v>102</v>
      </c>
      <c r="D145" s="93" t="n">
        <v>5.661</v>
      </c>
      <c r="E145" s="34" t="n">
        <v>5.7</v>
      </c>
    </row>
    <row r="146" customFormat="false" ht="15" hidden="false" customHeight="false" outlineLevel="0" collapsed="false">
      <c r="A146" s="11" t="s">
        <v>1371</v>
      </c>
      <c r="B146" s="11" t="n">
        <v>1</v>
      </c>
      <c r="C146" s="11" t="s">
        <v>1094</v>
      </c>
      <c r="D146" s="93" t="n">
        <v>-3.16382</v>
      </c>
      <c r="E146" s="34" t="n">
        <v>-3.2</v>
      </c>
    </row>
    <row r="147" customFormat="false" ht="15" hidden="false" customHeight="false" outlineLevel="0" collapsed="false">
      <c r="A147" s="11" t="s">
        <v>1371</v>
      </c>
      <c r="B147" s="11" t="n">
        <v>2</v>
      </c>
      <c r="C147" s="11" t="s">
        <v>1087</v>
      </c>
      <c r="D147" s="93" t="n">
        <v>0.9</v>
      </c>
      <c r="E147" s="34" t="n">
        <v>0.9</v>
      </c>
    </row>
    <row r="148" customFormat="false" ht="15" hidden="false" customHeight="false" outlineLevel="0" collapsed="false">
      <c r="A148" s="11" t="s">
        <v>1371</v>
      </c>
      <c r="B148" s="11" t="n">
        <v>3</v>
      </c>
      <c r="C148" s="11" t="s">
        <v>1086</v>
      </c>
      <c r="D148" s="93" t="n">
        <v>0.29792</v>
      </c>
      <c r="E148" s="34" t="n">
        <v>0.3</v>
      </c>
    </row>
    <row r="149" customFormat="false" ht="15" hidden="false" customHeight="false" outlineLevel="0" collapsed="false">
      <c r="A149" s="11" t="s">
        <v>1373</v>
      </c>
      <c r="B149" s="11" t="n">
        <v>1</v>
      </c>
      <c r="C149" s="11" t="s">
        <v>1181</v>
      </c>
      <c r="D149" s="93" t="n">
        <v>-55</v>
      </c>
      <c r="E149" s="34" t="n">
        <v>-55</v>
      </c>
    </row>
    <row r="150" customFormat="false" ht="15" hidden="false" customHeight="false" outlineLevel="0" collapsed="false">
      <c r="A150" s="11" t="s">
        <v>1373</v>
      </c>
      <c r="B150" s="11" t="n">
        <v>2</v>
      </c>
      <c r="C150" s="11" t="s">
        <v>2350</v>
      </c>
      <c r="D150" s="93" t="n">
        <v>10</v>
      </c>
      <c r="E150" s="34" t="n">
        <v>10</v>
      </c>
    </row>
    <row r="151" customFormat="false" ht="15" hidden="false" customHeight="false" outlineLevel="0" collapsed="false">
      <c r="A151" s="11" t="s">
        <v>1373</v>
      </c>
      <c r="B151" s="11" t="n">
        <v>3</v>
      </c>
      <c r="C151" s="11" t="s">
        <v>1198</v>
      </c>
      <c r="D151" s="93" t="n">
        <v>3</v>
      </c>
      <c r="E151" s="34" t="n">
        <v>3</v>
      </c>
    </row>
    <row r="152" customFormat="false" ht="15" hidden="false" customHeight="false" outlineLevel="0" collapsed="false">
      <c r="A152" s="11" t="s">
        <v>1373</v>
      </c>
      <c r="B152" s="11" t="n">
        <v>4</v>
      </c>
      <c r="C152" s="11" t="s">
        <v>127</v>
      </c>
      <c r="D152" s="93" t="n">
        <v>2</v>
      </c>
      <c r="E152" s="34" t="n">
        <v>2</v>
      </c>
    </row>
    <row r="153" customFormat="false" ht="15" hidden="false" customHeight="false" outlineLevel="0" collapsed="false">
      <c r="A153" s="11" t="s">
        <v>1375</v>
      </c>
      <c r="B153" s="11" t="n">
        <v>1</v>
      </c>
      <c r="C153" s="11" t="s">
        <v>2353</v>
      </c>
      <c r="D153" s="93" t="n">
        <v>1</v>
      </c>
      <c r="E153" s="34" t="n">
        <v>1</v>
      </c>
    </row>
    <row r="154" customFormat="false" ht="15" hidden="false" customHeight="false" outlineLevel="0" collapsed="false">
      <c r="A154" s="11" t="s">
        <v>1377</v>
      </c>
      <c r="B154" s="11" t="n">
        <v>1</v>
      </c>
      <c r="C154" s="11" t="s">
        <v>2351</v>
      </c>
      <c r="D154" s="93" t="n">
        <v>10</v>
      </c>
      <c r="E154" s="34" t="n">
        <v>10</v>
      </c>
    </row>
    <row r="155" customFormat="false" ht="15" hidden="false" customHeight="false" outlineLevel="0" collapsed="false">
      <c r="A155" s="11" t="s">
        <v>1379</v>
      </c>
      <c r="B155" s="11" t="n">
        <v>1</v>
      </c>
      <c r="C155" s="11" t="s">
        <v>166</v>
      </c>
      <c r="D155" s="93" t="n">
        <v>-26.70082</v>
      </c>
      <c r="E155" s="34" t="n">
        <v>-26.7</v>
      </c>
    </row>
    <row r="156" customFormat="false" ht="15" hidden="false" customHeight="false" outlineLevel="0" collapsed="false">
      <c r="A156" s="11" t="s">
        <v>1379</v>
      </c>
      <c r="B156" s="11" t="n">
        <v>2</v>
      </c>
      <c r="C156" s="11" t="s">
        <v>168</v>
      </c>
      <c r="D156" s="93" t="n">
        <v>16.2869</v>
      </c>
      <c r="E156" s="34" t="n">
        <v>16.3</v>
      </c>
    </row>
    <row r="157" customFormat="false" ht="15" hidden="false" customHeight="false" outlineLevel="0" collapsed="false">
      <c r="A157" s="11" t="s">
        <v>1379</v>
      </c>
      <c r="B157" s="11" t="n">
        <v>3</v>
      </c>
      <c r="C157" s="11" t="s">
        <v>91</v>
      </c>
      <c r="D157" s="93" t="n">
        <v>8.473</v>
      </c>
      <c r="E157" s="34" t="n">
        <v>8.5</v>
      </c>
    </row>
    <row r="158" customFormat="false" ht="15" hidden="false" customHeight="false" outlineLevel="0" collapsed="false">
      <c r="A158" s="11" t="s">
        <v>1381</v>
      </c>
      <c r="B158" s="11" t="n">
        <v>1</v>
      </c>
      <c r="C158" s="11" t="s">
        <v>2344</v>
      </c>
      <c r="D158" s="93" t="n">
        <v>-1.6</v>
      </c>
      <c r="E158" s="34" t="n">
        <v>-1.6</v>
      </c>
    </row>
    <row r="159" customFormat="false" ht="15" hidden="false" customHeight="false" outlineLevel="0" collapsed="false">
      <c r="A159" s="11" t="s">
        <v>1381</v>
      </c>
      <c r="B159" s="11" t="n">
        <v>2</v>
      </c>
      <c r="C159" s="11" t="s">
        <v>2345</v>
      </c>
      <c r="D159" s="93" t="n">
        <v>1.58</v>
      </c>
      <c r="E159" s="34" t="n">
        <v>1.6</v>
      </c>
    </row>
    <row r="160" customFormat="false" ht="15" hidden="false" customHeight="false" outlineLevel="0" collapsed="false">
      <c r="A160" s="11" t="s">
        <v>1381</v>
      </c>
      <c r="B160" s="11" t="n">
        <v>3</v>
      </c>
      <c r="C160" s="11" t="s">
        <v>2347</v>
      </c>
      <c r="D160" s="93" t="n">
        <v>0.5</v>
      </c>
      <c r="E160" s="34" t="n">
        <v>0.5</v>
      </c>
    </row>
    <row r="161" customFormat="false" ht="15" hidden="false" customHeight="false" outlineLevel="0" collapsed="false">
      <c r="A161" s="11" t="s">
        <v>1381</v>
      </c>
      <c r="B161" s="11" t="n">
        <v>4</v>
      </c>
      <c r="C161" s="11" t="s">
        <v>127</v>
      </c>
      <c r="D161" s="93" t="n">
        <v>0.33333</v>
      </c>
      <c r="E161" s="34" t="n">
        <v>0.3</v>
      </c>
    </row>
    <row r="162" customFormat="false" ht="15" hidden="false" customHeight="false" outlineLevel="0" collapsed="false">
      <c r="A162" s="11" t="s">
        <v>1383</v>
      </c>
      <c r="B162" s="11" t="n">
        <v>1</v>
      </c>
      <c r="C162" s="11" t="s">
        <v>2344</v>
      </c>
      <c r="D162" s="93" t="n">
        <v>-1.6</v>
      </c>
      <c r="E162" s="34" t="n">
        <v>-1.6</v>
      </c>
    </row>
    <row r="163" customFormat="false" ht="15" hidden="false" customHeight="false" outlineLevel="0" collapsed="false">
      <c r="A163" s="11" t="s">
        <v>1383</v>
      </c>
      <c r="B163" s="11" t="n">
        <v>2</v>
      </c>
      <c r="C163" s="11" t="s">
        <v>2345</v>
      </c>
      <c r="D163" s="93" t="n">
        <v>1.58</v>
      </c>
      <c r="E163" s="34" t="n">
        <v>1.6</v>
      </c>
    </row>
    <row r="164" customFormat="false" ht="15" hidden="false" customHeight="false" outlineLevel="0" collapsed="false">
      <c r="A164" s="11" t="s">
        <v>1385</v>
      </c>
      <c r="B164" s="11" t="n">
        <v>1</v>
      </c>
      <c r="C164" s="11" t="s">
        <v>2346</v>
      </c>
      <c r="D164" s="93" t="n">
        <v>0.33333</v>
      </c>
      <c r="E164" s="34" t="n">
        <v>0.3</v>
      </c>
    </row>
    <row r="165" customFormat="false" ht="15" hidden="false" customHeight="false" outlineLevel="0" collapsed="false">
      <c r="A165" s="11" t="s">
        <v>1387</v>
      </c>
      <c r="B165" s="11" t="n">
        <v>1</v>
      </c>
      <c r="C165" s="11" t="s">
        <v>2347</v>
      </c>
      <c r="D165" s="93" t="n">
        <v>0.5</v>
      </c>
      <c r="E165" s="34" t="n">
        <v>0.5</v>
      </c>
    </row>
    <row r="166" customFormat="false" ht="15" hidden="false" customHeight="false" outlineLevel="0" collapsed="false">
      <c r="A166" s="11" t="s">
        <v>1389</v>
      </c>
      <c r="B166" s="11" t="n">
        <v>1</v>
      </c>
      <c r="C166" s="11" t="s">
        <v>1083</v>
      </c>
      <c r="D166" s="93" t="n">
        <v>6.67443</v>
      </c>
      <c r="E166" s="34" t="n">
        <v>6.7</v>
      </c>
    </row>
    <row r="167" customFormat="false" ht="15" hidden="false" customHeight="false" outlineLevel="0" collapsed="false">
      <c r="A167" s="11" t="s">
        <v>1389</v>
      </c>
      <c r="B167" s="11" t="n">
        <v>2</v>
      </c>
      <c r="C167" s="11" t="s">
        <v>1085</v>
      </c>
      <c r="D167" s="93" t="n">
        <v>5.5197</v>
      </c>
      <c r="E167" s="34" t="n">
        <v>5.5</v>
      </c>
    </row>
    <row r="168" customFormat="false" ht="15" hidden="false" customHeight="false" outlineLevel="0" collapsed="false">
      <c r="A168" s="11" t="s">
        <v>1389</v>
      </c>
      <c r="B168" s="11" t="n">
        <v>3</v>
      </c>
      <c r="C168" s="11" t="s">
        <v>1087</v>
      </c>
      <c r="D168" s="93" t="n">
        <v>3.75</v>
      </c>
      <c r="E168" s="34" t="n">
        <v>3.8</v>
      </c>
    </row>
    <row r="169" customFormat="false" ht="15" hidden="false" customHeight="false" outlineLevel="0" collapsed="false">
      <c r="A169" s="11" t="s">
        <v>1389</v>
      </c>
      <c r="B169" s="11" t="n">
        <v>4</v>
      </c>
      <c r="C169" s="11" t="s">
        <v>2348</v>
      </c>
      <c r="D169" s="93" t="n">
        <v>5.91929</v>
      </c>
      <c r="E169" s="34" t="n">
        <v>5.9</v>
      </c>
    </row>
    <row r="170" customFormat="false" ht="15" hidden="false" customHeight="false" outlineLevel="0" collapsed="false">
      <c r="A170" s="11" t="s">
        <v>1391</v>
      </c>
      <c r="B170" s="11" t="n">
        <v>1</v>
      </c>
      <c r="C170" s="11" t="s">
        <v>1094</v>
      </c>
      <c r="D170" s="93" t="n">
        <v>-12.44106</v>
      </c>
      <c r="E170" s="34" t="n">
        <v>-12.5</v>
      </c>
    </row>
    <row r="171" customFormat="false" ht="15" hidden="false" customHeight="false" outlineLevel="0" collapsed="false">
      <c r="A171" s="11" t="s">
        <v>1391</v>
      </c>
      <c r="B171" s="11" t="n">
        <v>2</v>
      </c>
      <c r="C171" s="11" t="s">
        <v>1093</v>
      </c>
      <c r="D171" s="93" t="n">
        <v>12.44106</v>
      </c>
      <c r="E171" s="34" t="n">
        <v>12.4</v>
      </c>
    </row>
    <row r="172" customFormat="false" ht="15" hidden="false" customHeight="false" outlineLevel="0" collapsed="false">
      <c r="A172" s="11" t="s">
        <v>1391</v>
      </c>
      <c r="B172" s="11" t="n">
        <v>3</v>
      </c>
      <c r="C172" s="11" t="s">
        <v>1096</v>
      </c>
      <c r="D172" s="93" t="n">
        <v>6.67443</v>
      </c>
      <c r="E172" s="34" t="n">
        <v>6.7</v>
      </c>
    </row>
    <row r="173" customFormat="false" ht="15" hidden="false" customHeight="false" outlineLevel="0" collapsed="false">
      <c r="A173" s="11" t="s">
        <v>1391</v>
      </c>
      <c r="B173" s="11" t="n">
        <v>4</v>
      </c>
      <c r="C173" s="11" t="s">
        <v>2341</v>
      </c>
      <c r="D173" s="93" t="n">
        <v>14.27232</v>
      </c>
      <c r="E173" s="34" t="n">
        <v>14.3</v>
      </c>
    </row>
    <row r="174" customFormat="false" ht="15" hidden="false" customHeight="false" outlineLevel="0" collapsed="false">
      <c r="A174" s="11" t="s">
        <v>1393</v>
      </c>
      <c r="B174" s="11" t="n">
        <v>1</v>
      </c>
      <c r="C174" s="11" t="s">
        <v>2349</v>
      </c>
      <c r="D174" s="93" t="n">
        <v>-2</v>
      </c>
      <c r="E174" s="34" t="n">
        <v>-2</v>
      </c>
    </row>
    <row r="175" customFormat="false" ht="15" hidden="false" customHeight="false" outlineLevel="0" collapsed="false">
      <c r="A175" s="11" t="s">
        <v>1395</v>
      </c>
      <c r="B175" s="11" t="n">
        <v>1</v>
      </c>
      <c r="C175" s="11" t="s">
        <v>2345</v>
      </c>
      <c r="D175" s="93" t="n">
        <v>1.5</v>
      </c>
      <c r="E175" s="34" t="n">
        <v>1.5</v>
      </c>
    </row>
    <row r="176" customFormat="false" ht="15" hidden="false" customHeight="false" outlineLevel="0" collapsed="false">
      <c r="A176" s="11" t="s">
        <v>1397</v>
      </c>
      <c r="B176" s="11" t="n">
        <v>1</v>
      </c>
      <c r="C176" s="11" t="s">
        <v>2346</v>
      </c>
      <c r="D176" s="93" t="n">
        <v>0.66667</v>
      </c>
      <c r="E176" s="34" t="n">
        <v>0.7</v>
      </c>
    </row>
    <row r="177" customFormat="false" ht="15" hidden="false" customHeight="false" outlineLevel="0" collapsed="false">
      <c r="A177" s="11" t="s">
        <v>1399</v>
      </c>
      <c r="B177" s="11" t="n">
        <v>1</v>
      </c>
      <c r="C177" s="11" t="s">
        <v>2347</v>
      </c>
      <c r="D177" s="93" t="n">
        <v>0.75</v>
      </c>
      <c r="E177" s="34" t="n">
        <v>0.8</v>
      </c>
    </row>
    <row r="178" customFormat="false" ht="15" hidden="false" customHeight="false" outlineLevel="0" collapsed="false">
      <c r="A178" s="11" t="s">
        <v>1401</v>
      </c>
      <c r="B178" s="11" t="n">
        <v>1</v>
      </c>
      <c r="C178" s="11" t="s">
        <v>2354</v>
      </c>
      <c r="D178" s="93" t="n">
        <v>8</v>
      </c>
      <c r="E178" s="34" t="n">
        <v>8</v>
      </c>
    </row>
    <row r="179" customFormat="false" ht="15" hidden="false" customHeight="false" outlineLevel="0" collapsed="false">
      <c r="A179" s="11" t="s">
        <v>1401</v>
      </c>
      <c r="B179" s="11" t="n">
        <v>2</v>
      </c>
      <c r="C179" s="11" t="s">
        <v>1190</v>
      </c>
      <c r="D179" s="93" t="n">
        <v>-5</v>
      </c>
      <c r="E179" s="34" t="n">
        <v>-5</v>
      </c>
    </row>
    <row r="180" customFormat="false" ht="15" hidden="false" customHeight="false" outlineLevel="0" collapsed="false">
      <c r="A180" s="11" t="s">
        <v>1401</v>
      </c>
      <c r="B180" s="11" t="n">
        <v>3</v>
      </c>
      <c r="C180" s="11" t="s">
        <v>2355</v>
      </c>
      <c r="D180" s="93" t="n">
        <v>3</v>
      </c>
      <c r="E180" s="34" t="n">
        <v>3</v>
      </c>
    </row>
    <row r="181" customFormat="false" ht="15" hidden="false" customHeight="false" outlineLevel="0" collapsed="false">
      <c r="A181" s="11" t="s">
        <v>1401</v>
      </c>
      <c r="B181" s="11" t="n">
        <v>4</v>
      </c>
      <c r="C181" s="11" t="s">
        <v>109</v>
      </c>
      <c r="D181" s="93" t="n">
        <v>2.58333</v>
      </c>
      <c r="E181" s="34" t="n">
        <v>2.6</v>
      </c>
    </row>
    <row r="182" customFormat="false" ht="15" hidden="false" customHeight="false" outlineLevel="0" collapsed="false">
      <c r="A182" s="11" t="s">
        <v>1403</v>
      </c>
      <c r="B182" s="11" t="n">
        <v>1</v>
      </c>
      <c r="C182" s="11" t="s">
        <v>2354</v>
      </c>
      <c r="D182" s="93" t="n">
        <v>8</v>
      </c>
      <c r="E182" s="34" t="n">
        <v>8</v>
      </c>
    </row>
    <row r="183" customFormat="false" ht="15" hidden="false" customHeight="false" outlineLevel="0" collapsed="false">
      <c r="A183" s="11" t="s">
        <v>1403</v>
      </c>
      <c r="B183" s="11" t="n">
        <v>2</v>
      </c>
      <c r="C183" s="11" t="s">
        <v>1190</v>
      </c>
      <c r="D183" s="93" t="n">
        <v>-5</v>
      </c>
      <c r="E183" s="34" t="n">
        <v>-5</v>
      </c>
    </row>
    <row r="184" customFormat="false" ht="15" hidden="false" customHeight="false" outlineLevel="0" collapsed="false">
      <c r="A184" s="11" t="s">
        <v>1403</v>
      </c>
      <c r="B184" s="11" t="n">
        <v>3</v>
      </c>
      <c r="C184" s="11" t="s">
        <v>2355</v>
      </c>
      <c r="D184" s="93" t="n">
        <v>3</v>
      </c>
      <c r="E184" s="34" t="n">
        <v>3</v>
      </c>
    </row>
    <row r="185" customFormat="false" ht="15" hidden="false" customHeight="false" outlineLevel="0" collapsed="false">
      <c r="A185" s="11" t="s">
        <v>1403</v>
      </c>
      <c r="B185" s="11" t="n">
        <v>4</v>
      </c>
      <c r="C185" s="11" t="s">
        <v>127</v>
      </c>
      <c r="D185" s="93" t="n">
        <v>2</v>
      </c>
      <c r="E185" s="34" t="n">
        <v>2</v>
      </c>
    </row>
    <row r="186" customFormat="false" ht="15" hidden="false" customHeight="false" outlineLevel="0" collapsed="false">
      <c r="A186" s="11" t="s">
        <v>1405</v>
      </c>
      <c r="B186" s="11" t="n">
        <v>1</v>
      </c>
      <c r="C186" s="11" t="s">
        <v>2346</v>
      </c>
      <c r="D186" s="93" t="n">
        <v>0.33333</v>
      </c>
      <c r="E186" s="34" t="n">
        <v>0.3</v>
      </c>
    </row>
    <row r="187" customFormat="false" ht="15" hidden="false" customHeight="false" outlineLevel="0" collapsed="false">
      <c r="A187" s="11" t="s">
        <v>1407</v>
      </c>
      <c r="B187" s="11" t="n">
        <v>1</v>
      </c>
      <c r="C187" s="11" t="s">
        <v>2347</v>
      </c>
      <c r="D187" s="93" t="n">
        <v>0.25</v>
      </c>
      <c r="E187" s="34" t="n">
        <v>0.3</v>
      </c>
    </row>
    <row r="188" customFormat="false" ht="15" hidden="false" customHeight="false" outlineLevel="0" collapsed="false">
      <c r="A188" s="11" t="s">
        <v>1409</v>
      </c>
      <c r="B188" s="11" t="n">
        <v>1</v>
      </c>
      <c r="C188" s="11" t="s">
        <v>157</v>
      </c>
      <c r="D188" s="93" t="n">
        <v>21.86342</v>
      </c>
      <c r="E188" s="34" t="n">
        <v>21.9</v>
      </c>
    </row>
    <row r="189" customFormat="false" ht="15" hidden="false" customHeight="false" outlineLevel="0" collapsed="false">
      <c r="A189" s="11" t="s">
        <v>1409</v>
      </c>
      <c r="B189" s="11" t="n">
        <v>2</v>
      </c>
      <c r="C189" s="11" t="s">
        <v>159</v>
      </c>
      <c r="D189" s="93" t="n">
        <v>8.58333</v>
      </c>
      <c r="E189" s="34" t="n">
        <v>8.6</v>
      </c>
    </row>
    <row r="190" customFormat="false" ht="15" hidden="false" customHeight="false" outlineLevel="0" collapsed="false">
      <c r="A190" s="11" t="s">
        <v>1409</v>
      </c>
      <c r="B190" s="11" t="n">
        <v>3</v>
      </c>
      <c r="C190" s="11" t="s">
        <v>170</v>
      </c>
      <c r="D190" s="93" t="n">
        <v>0.81333</v>
      </c>
      <c r="E190" s="34" t="n">
        <v>0.8</v>
      </c>
    </row>
    <row r="191" customFormat="false" ht="15" hidden="false" customHeight="false" outlineLevel="0" collapsed="false">
      <c r="A191" s="11" t="s">
        <v>1411</v>
      </c>
      <c r="B191" s="11" t="n">
        <v>1</v>
      </c>
      <c r="C191" s="11" t="s">
        <v>171</v>
      </c>
      <c r="D191" s="93" t="n">
        <v>-31.26008</v>
      </c>
      <c r="E191" s="34" t="n">
        <v>-31.3</v>
      </c>
    </row>
    <row r="192" customFormat="false" ht="15" hidden="false" customHeight="false" outlineLevel="0" collapsed="false">
      <c r="A192" s="11" t="s">
        <v>1411</v>
      </c>
      <c r="B192" s="11" t="n">
        <v>2</v>
      </c>
      <c r="C192" s="11" t="s">
        <v>166</v>
      </c>
      <c r="D192" s="93" t="n">
        <v>-26.70082</v>
      </c>
      <c r="E192" s="34" t="n">
        <v>-26.7</v>
      </c>
    </row>
    <row r="193" customFormat="false" ht="15" hidden="false" customHeight="false" outlineLevel="0" collapsed="false">
      <c r="A193" s="11" t="s">
        <v>1411</v>
      </c>
      <c r="B193" s="11" t="n">
        <v>3</v>
      </c>
      <c r="C193" s="11" t="s">
        <v>168</v>
      </c>
      <c r="D193" s="93" t="n">
        <v>16.2869</v>
      </c>
      <c r="E193" s="34" t="n">
        <v>16.3</v>
      </c>
    </row>
    <row r="194" customFormat="false" ht="15" hidden="false" customHeight="false" outlineLevel="0" collapsed="false">
      <c r="A194" s="11" t="s">
        <v>1411</v>
      </c>
      <c r="B194" s="11" t="n">
        <v>4</v>
      </c>
      <c r="C194" s="11" t="s">
        <v>127</v>
      </c>
      <c r="D194" s="93" t="n">
        <v>8.473</v>
      </c>
      <c r="E194" s="34" t="n">
        <v>8.5</v>
      </c>
    </row>
    <row r="195" customFormat="false" ht="15" hidden="false" customHeight="false" outlineLevel="0" collapsed="false">
      <c r="A195" s="11" t="s">
        <v>1413</v>
      </c>
      <c r="B195" s="11" t="n">
        <v>1</v>
      </c>
      <c r="C195" s="11" t="s">
        <v>2357</v>
      </c>
      <c r="D195" s="93" t="n">
        <v>-1</v>
      </c>
      <c r="E195" s="34" t="n">
        <v>-1</v>
      </c>
    </row>
    <row r="196" customFormat="false" ht="15" hidden="false" customHeight="false" outlineLevel="0" collapsed="false">
      <c r="A196" s="11" t="s">
        <v>1417</v>
      </c>
      <c r="B196" s="11" t="n">
        <v>1</v>
      </c>
      <c r="C196" s="11" t="s">
        <v>2358</v>
      </c>
      <c r="D196" s="93" t="n">
        <v>4</v>
      </c>
      <c r="E196" s="34" t="n">
        <v>4</v>
      </c>
    </row>
    <row r="197" customFormat="false" ht="15" hidden="false" customHeight="false" outlineLevel="0" collapsed="false">
      <c r="A197" s="11" t="s">
        <v>1417</v>
      </c>
      <c r="B197" s="11" t="n">
        <v>2</v>
      </c>
      <c r="C197" s="11" t="s">
        <v>2359</v>
      </c>
      <c r="D197" s="93" t="n">
        <v>1</v>
      </c>
      <c r="E197" s="34" t="n">
        <v>1</v>
      </c>
    </row>
    <row r="198" customFormat="false" ht="15" hidden="false" customHeight="false" outlineLevel="0" collapsed="false">
      <c r="A198" s="11" t="s">
        <v>1419</v>
      </c>
      <c r="B198" s="11" t="n">
        <v>1</v>
      </c>
      <c r="C198" s="11" t="s">
        <v>171</v>
      </c>
      <c r="D198" s="93" t="n">
        <v>-31.26008</v>
      </c>
      <c r="E198" s="34" t="n">
        <v>-31.3</v>
      </c>
    </row>
    <row r="199" customFormat="false" ht="15" hidden="false" customHeight="false" outlineLevel="0" collapsed="false">
      <c r="A199" s="11" t="s">
        <v>1419</v>
      </c>
      <c r="B199" s="11" t="n">
        <v>2</v>
      </c>
      <c r="C199" s="11" t="s">
        <v>166</v>
      </c>
      <c r="D199" s="93" t="n">
        <v>-26.70082</v>
      </c>
      <c r="E199" s="34" t="n">
        <v>-26.7</v>
      </c>
    </row>
    <row r="200" customFormat="false" ht="15" hidden="false" customHeight="false" outlineLevel="0" collapsed="false">
      <c r="A200" s="11" t="s">
        <v>1419</v>
      </c>
      <c r="B200" s="11" t="n">
        <v>3</v>
      </c>
      <c r="C200" s="11" t="s">
        <v>168</v>
      </c>
      <c r="D200" s="93" t="n">
        <v>16.2869</v>
      </c>
      <c r="E200" s="34" t="n">
        <v>16.3</v>
      </c>
    </row>
    <row r="201" customFormat="false" ht="15" hidden="false" customHeight="false" outlineLevel="0" collapsed="false">
      <c r="A201" s="11" t="s">
        <v>1419</v>
      </c>
      <c r="B201" s="11" t="n">
        <v>4</v>
      </c>
      <c r="C201" s="11" t="s">
        <v>109</v>
      </c>
      <c r="D201" s="93" t="n">
        <v>2.473</v>
      </c>
      <c r="E201" s="34" t="n">
        <v>2.5</v>
      </c>
    </row>
    <row r="202" customFormat="false" ht="15" hidden="false" customHeight="false" outlineLevel="0" collapsed="false">
      <c r="A202" s="11" t="s">
        <v>1421</v>
      </c>
      <c r="B202" s="11" t="n">
        <v>1</v>
      </c>
      <c r="C202" s="11" t="s">
        <v>1184</v>
      </c>
      <c r="D202" s="93" t="n">
        <v>-60</v>
      </c>
      <c r="E202" s="34" t="n">
        <v>-60</v>
      </c>
    </row>
    <row r="203" customFormat="false" ht="15" hidden="false" customHeight="false" outlineLevel="0" collapsed="false">
      <c r="A203" s="11" t="s">
        <v>1421</v>
      </c>
      <c r="B203" s="11" t="n">
        <v>2</v>
      </c>
      <c r="C203" s="11" t="s">
        <v>2336</v>
      </c>
      <c r="D203" s="93" t="n">
        <v>55.594</v>
      </c>
      <c r="E203" s="34" t="n">
        <v>55.6</v>
      </c>
    </row>
    <row r="204" customFormat="false" ht="15" hidden="false" customHeight="false" outlineLevel="0" collapsed="false">
      <c r="A204" s="11" t="s">
        <v>1421</v>
      </c>
      <c r="B204" s="11" t="n">
        <v>3</v>
      </c>
      <c r="C204" s="11" t="s">
        <v>2339</v>
      </c>
      <c r="D204" s="93" t="n">
        <v>45</v>
      </c>
      <c r="E204" s="34" t="n">
        <v>45</v>
      </c>
    </row>
    <row r="205" customFormat="false" ht="15" hidden="false" customHeight="false" outlineLevel="0" collapsed="false">
      <c r="A205" s="11" t="s">
        <v>1421</v>
      </c>
      <c r="B205" s="11" t="n">
        <v>4</v>
      </c>
      <c r="C205" s="11" t="s">
        <v>2341</v>
      </c>
      <c r="D205" s="93" t="n">
        <v>-32.121</v>
      </c>
      <c r="E205" s="34" t="n">
        <v>-32.1</v>
      </c>
    </row>
    <row r="206" customFormat="false" ht="15" hidden="false" customHeight="false" outlineLevel="0" collapsed="false">
      <c r="A206" s="11" t="s">
        <v>1424</v>
      </c>
      <c r="B206" s="11" t="n">
        <v>1</v>
      </c>
      <c r="C206" s="11" t="s">
        <v>2336</v>
      </c>
      <c r="D206" s="93" t="n">
        <v>55.594</v>
      </c>
      <c r="E206" s="34" t="n">
        <v>55.6</v>
      </c>
    </row>
    <row r="207" customFormat="false" ht="15" hidden="false" customHeight="false" outlineLevel="0" collapsed="false">
      <c r="A207" s="11" t="s">
        <v>1424</v>
      </c>
      <c r="B207" s="11" t="n">
        <v>2</v>
      </c>
      <c r="C207" s="11" t="s">
        <v>2337</v>
      </c>
      <c r="D207" s="93" t="n">
        <v>-30.885</v>
      </c>
      <c r="E207" s="34" t="n">
        <v>-30.9</v>
      </c>
    </row>
    <row r="208" customFormat="false" ht="15" hidden="false" customHeight="false" outlineLevel="0" collapsed="false">
      <c r="A208" s="11" t="s">
        <v>1424</v>
      </c>
      <c r="B208" s="11" t="n">
        <v>3</v>
      </c>
      <c r="C208" s="11" t="s">
        <v>2338</v>
      </c>
      <c r="D208" s="93" t="n">
        <v>-12.355</v>
      </c>
      <c r="E208" s="34" t="n">
        <v>-12.3</v>
      </c>
    </row>
    <row r="209" customFormat="false" ht="15" hidden="false" customHeight="false" outlineLevel="0" collapsed="false">
      <c r="A209" s="11" t="s">
        <v>1424</v>
      </c>
      <c r="B209" s="11" t="n">
        <v>4</v>
      </c>
      <c r="C209" s="11" t="s">
        <v>127</v>
      </c>
      <c r="D209" s="93" t="n">
        <v>11.119</v>
      </c>
      <c r="E209" s="34" t="n">
        <v>11.1</v>
      </c>
    </row>
    <row r="210" customFormat="false" ht="15" hidden="false" customHeight="false" outlineLevel="0" collapsed="false">
      <c r="A210" s="11" t="s">
        <v>1426</v>
      </c>
      <c r="B210" s="11" t="n">
        <v>1</v>
      </c>
      <c r="C210" s="11" t="s">
        <v>1184</v>
      </c>
      <c r="D210" s="93" t="n">
        <v>-60</v>
      </c>
      <c r="E210" s="34" t="n">
        <v>-60</v>
      </c>
    </row>
    <row r="211" customFormat="false" ht="15" hidden="false" customHeight="false" outlineLevel="0" collapsed="false">
      <c r="A211" s="11" t="s">
        <v>1426</v>
      </c>
      <c r="B211" s="11" t="n">
        <v>2</v>
      </c>
      <c r="C211" s="11" t="s">
        <v>2339</v>
      </c>
      <c r="D211" s="93" t="n">
        <v>45</v>
      </c>
      <c r="E211" s="34" t="n">
        <v>45</v>
      </c>
    </row>
    <row r="212" customFormat="false" ht="15" hidden="false" customHeight="false" outlineLevel="0" collapsed="false">
      <c r="A212" s="11" t="s">
        <v>1426</v>
      </c>
      <c r="B212" s="11" t="n">
        <v>3</v>
      </c>
      <c r="C212" s="11" t="s">
        <v>2340</v>
      </c>
      <c r="D212" s="93" t="n">
        <v>-20</v>
      </c>
      <c r="E212" s="34" t="n">
        <v>-20</v>
      </c>
    </row>
    <row r="213" customFormat="false" ht="15" hidden="false" customHeight="false" outlineLevel="0" collapsed="false">
      <c r="A213" s="11" t="s">
        <v>1426</v>
      </c>
      <c r="B213" s="11" t="n">
        <v>4</v>
      </c>
      <c r="C213" s="11" t="s">
        <v>127</v>
      </c>
      <c r="D213" s="93" t="n">
        <v>20</v>
      </c>
      <c r="E213" s="34" t="n">
        <v>20</v>
      </c>
    </row>
    <row r="214" customFormat="false" ht="15" hidden="false" customHeight="false" outlineLevel="0" collapsed="false">
      <c r="A214" s="11" t="s">
        <v>1428</v>
      </c>
      <c r="B214" s="11" t="n">
        <v>1</v>
      </c>
      <c r="C214" s="11" t="s">
        <v>1083</v>
      </c>
      <c r="D214" s="93" t="n">
        <v>16.38797</v>
      </c>
      <c r="E214" s="34" t="n">
        <v>16.4</v>
      </c>
    </row>
    <row r="215" customFormat="false" ht="15" hidden="false" customHeight="false" outlineLevel="0" collapsed="false">
      <c r="A215" s="11" t="s">
        <v>1428</v>
      </c>
      <c r="B215" s="11" t="n">
        <v>2</v>
      </c>
      <c r="C215" s="11" t="s">
        <v>1085</v>
      </c>
      <c r="D215" s="93" t="n">
        <v>11.3496</v>
      </c>
      <c r="E215" s="34" t="n">
        <v>11.4</v>
      </c>
    </row>
    <row r="216" customFormat="false" ht="15" hidden="false" customHeight="false" outlineLevel="0" collapsed="false">
      <c r="A216" s="11" t="s">
        <v>1428</v>
      </c>
      <c r="B216" s="11" t="n">
        <v>3</v>
      </c>
      <c r="C216" s="11" t="s">
        <v>1087</v>
      </c>
      <c r="D216" s="93" t="n">
        <v>8</v>
      </c>
      <c r="E216" s="34" t="n">
        <v>8</v>
      </c>
    </row>
    <row r="217" customFormat="false" ht="15" hidden="false" customHeight="false" outlineLevel="0" collapsed="false">
      <c r="A217" s="11" t="s">
        <v>1428</v>
      </c>
      <c r="B217" s="11" t="n">
        <v>4</v>
      </c>
      <c r="C217" s="11" t="s">
        <v>109</v>
      </c>
      <c r="D217" s="93" t="n">
        <v>16.93643</v>
      </c>
      <c r="E217" s="34" t="n">
        <v>16.9</v>
      </c>
    </row>
    <row r="218" customFormat="false" ht="15" hidden="false" customHeight="false" outlineLevel="0" collapsed="false">
      <c r="A218" s="11" t="s">
        <v>1430</v>
      </c>
      <c r="B218" s="11" t="n">
        <v>1</v>
      </c>
      <c r="C218" s="11" t="s">
        <v>1094</v>
      </c>
      <c r="D218" s="93" t="n">
        <v>-16.58808</v>
      </c>
      <c r="E218" s="34" t="n">
        <v>-16.6</v>
      </c>
    </row>
    <row r="219" customFormat="false" ht="15" hidden="false" customHeight="false" outlineLevel="0" collapsed="false">
      <c r="A219" s="11" t="s">
        <v>1430</v>
      </c>
      <c r="B219" s="11" t="n">
        <v>2</v>
      </c>
      <c r="C219" s="11" t="s">
        <v>1093</v>
      </c>
      <c r="D219" s="93" t="n">
        <v>16.58808</v>
      </c>
      <c r="E219" s="34" t="n">
        <v>16.6</v>
      </c>
    </row>
    <row r="220" customFormat="false" ht="15" hidden="false" customHeight="false" outlineLevel="0" collapsed="false">
      <c r="A220" s="11" t="s">
        <v>1430</v>
      </c>
      <c r="B220" s="11" t="n">
        <v>3</v>
      </c>
      <c r="C220" s="11" t="s">
        <v>1096</v>
      </c>
      <c r="D220" s="93" t="n">
        <v>8.89924</v>
      </c>
      <c r="E220" s="34" t="n">
        <v>8.9</v>
      </c>
    </row>
    <row r="221" customFormat="false" ht="15" hidden="false" customHeight="false" outlineLevel="0" collapsed="false">
      <c r="A221" s="11" t="s">
        <v>1430</v>
      </c>
      <c r="B221" s="11" t="n">
        <v>4</v>
      </c>
      <c r="C221" s="11" t="s">
        <v>2341</v>
      </c>
      <c r="D221" s="93" t="n">
        <v>19.02976</v>
      </c>
      <c r="E221" s="34" t="n">
        <v>19</v>
      </c>
    </row>
    <row r="222" customFormat="false" ht="15" hidden="false" customHeight="false" outlineLevel="0" collapsed="false">
      <c r="A222" s="11" t="s">
        <v>1432</v>
      </c>
      <c r="B222" s="11" t="n">
        <v>1</v>
      </c>
      <c r="C222" s="11" t="s">
        <v>1094</v>
      </c>
      <c r="D222" s="93" t="n">
        <v>-10.54608</v>
      </c>
      <c r="E222" s="34" t="n">
        <v>-10.6</v>
      </c>
    </row>
    <row r="223" customFormat="false" ht="15" hidden="false" customHeight="false" outlineLevel="0" collapsed="false">
      <c r="A223" s="11" t="s">
        <v>1432</v>
      </c>
      <c r="B223" s="11" t="n">
        <v>2</v>
      </c>
      <c r="C223" s="11" t="s">
        <v>1087</v>
      </c>
      <c r="D223" s="93" t="n">
        <v>3</v>
      </c>
      <c r="E223" s="34" t="n">
        <v>3</v>
      </c>
    </row>
    <row r="224" customFormat="false" ht="15" hidden="false" customHeight="false" outlineLevel="0" collapsed="false">
      <c r="A224" s="11" t="s">
        <v>1432</v>
      </c>
      <c r="B224" s="11" t="n">
        <v>3</v>
      </c>
      <c r="C224" s="11" t="s">
        <v>1086</v>
      </c>
      <c r="D224" s="93" t="n">
        <v>0.99308</v>
      </c>
      <c r="E224" s="34" t="n">
        <v>1</v>
      </c>
    </row>
    <row r="225" customFormat="false" ht="15" hidden="false" customHeight="false" outlineLevel="0" collapsed="false">
      <c r="A225" s="11" t="s">
        <v>1434</v>
      </c>
      <c r="B225" s="11" t="n">
        <v>1</v>
      </c>
      <c r="C225" s="11" t="s">
        <v>1093</v>
      </c>
      <c r="D225" s="93" t="n">
        <v>9.01681</v>
      </c>
      <c r="E225" s="34" t="n">
        <v>9</v>
      </c>
    </row>
    <row r="226" customFormat="false" ht="15" hidden="false" customHeight="false" outlineLevel="0" collapsed="false">
      <c r="A226" s="11" t="s">
        <v>1434</v>
      </c>
      <c r="B226" s="11" t="n">
        <v>2</v>
      </c>
      <c r="C226" s="11" t="s">
        <v>1084</v>
      </c>
      <c r="D226" s="93" t="n">
        <v>5.14081</v>
      </c>
      <c r="E226" s="34" t="n">
        <v>5.1</v>
      </c>
    </row>
    <row r="227" customFormat="false" ht="15" hidden="false" customHeight="false" outlineLevel="0" collapsed="false">
      <c r="A227" s="11" t="s">
        <v>1434</v>
      </c>
      <c r="B227" s="11" t="n">
        <v>3</v>
      </c>
      <c r="C227" s="11" t="s">
        <v>1086</v>
      </c>
      <c r="D227" s="93" t="n">
        <v>1.57338</v>
      </c>
      <c r="E227" s="34" t="n">
        <v>1.6</v>
      </c>
    </row>
    <row r="228" customFormat="false" ht="15" hidden="false" customHeight="false" outlineLevel="0" collapsed="false">
      <c r="A228" s="11" t="s">
        <v>1436</v>
      </c>
      <c r="B228" s="11" t="n">
        <v>1</v>
      </c>
      <c r="C228" s="11" t="s">
        <v>1086</v>
      </c>
      <c r="D228" s="93" t="n">
        <v>0.888</v>
      </c>
      <c r="E228" s="34" t="n">
        <v>0.9</v>
      </c>
    </row>
    <row r="229" customFormat="false" ht="15" hidden="false" customHeight="false" outlineLevel="0" collapsed="false">
      <c r="A229" s="11" t="s">
        <v>1438</v>
      </c>
      <c r="B229" s="11" t="n">
        <v>1</v>
      </c>
      <c r="C229" s="11" t="s">
        <v>1094</v>
      </c>
      <c r="D229" s="93" t="n">
        <v>-12.99</v>
      </c>
      <c r="E229" s="34" t="n">
        <v>-13</v>
      </c>
    </row>
    <row r="230" customFormat="false" ht="15" hidden="false" customHeight="false" outlineLevel="0" collapsed="false">
      <c r="A230" s="11" t="s">
        <v>1438</v>
      </c>
      <c r="B230" s="11" t="n">
        <v>2</v>
      </c>
      <c r="C230" s="11" t="s">
        <v>1093</v>
      </c>
      <c r="D230" s="93" t="n">
        <v>12.99</v>
      </c>
      <c r="E230" s="34" t="n">
        <v>13</v>
      </c>
    </row>
    <row r="231" customFormat="false" ht="15" hidden="false" customHeight="false" outlineLevel="0" collapsed="false">
      <c r="A231" s="11" t="s">
        <v>1438</v>
      </c>
      <c r="B231" s="11" t="n">
        <v>3</v>
      </c>
      <c r="C231" s="11" t="s">
        <v>1096</v>
      </c>
      <c r="D231" s="93" t="n">
        <v>9.018</v>
      </c>
      <c r="E231" s="34" t="n">
        <v>9</v>
      </c>
    </row>
    <row r="232" customFormat="false" ht="15" hidden="false" customHeight="false" outlineLevel="0" collapsed="false">
      <c r="A232" s="11" t="s">
        <v>1438</v>
      </c>
      <c r="B232" s="11" t="n">
        <v>4</v>
      </c>
      <c r="C232" s="11" t="s">
        <v>102</v>
      </c>
      <c r="D232" s="93" t="n">
        <v>5.661</v>
      </c>
      <c r="E232" s="34" t="n">
        <v>5.7</v>
      </c>
    </row>
    <row r="233" customFormat="false" ht="15" hidden="false" customHeight="false" outlineLevel="0" collapsed="false">
      <c r="A233" s="11" t="s">
        <v>1440</v>
      </c>
      <c r="B233" s="11" t="n">
        <v>1</v>
      </c>
      <c r="C233" s="11" t="s">
        <v>2351</v>
      </c>
      <c r="D233" s="93" t="n">
        <v>10</v>
      </c>
      <c r="E233" s="34" t="n">
        <v>10</v>
      </c>
    </row>
    <row r="234" customFormat="false" ht="15" hidden="false" customHeight="false" outlineLevel="0" collapsed="false">
      <c r="A234" s="11" t="s">
        <v>1440</v>
      </c>
      <c r="B234" s="11" t="n">
        <v>2</v>
      </c>
      <c r="C234" s="11" t="s">
        <v>2345</v>
      </c>
      <c r="D234" s="93" t="n">
        <v>4</v>
      </c>
      <c r="E234" s="34" t="n">
        <v>4</v>
      </c>
    </row>
    <row r="235" customFormat="false" ht="15" hidden="false" customHeight="false" outlineLevel="0" collapsed="false">
      <c r="A235" s="11" t="s">
        <v>1440</v>
      </c>
      <c r="B235" s="11" t="n">
        <v>3</v>
      </c>
      <c r="C235" s="11" t="s">
        <v>2342</v>
      </c>
      <c r="D235" s="93" t="n">
        <v>4</v>
      </c>
      <c r="E235" s="34" t="n">
        <v>4</v>
      </c>
    </row>
    <row r="236" customFormat="false" ht="15" hidden="false" customHeight="false" outlineLevel="0" collapsed="false">
      <c r="A236" s="11" t="s">
        <v>1440</v>
      </c>
      <c r="B236" s="11" t="n">
        <v>4</v>
      </c>
      <c r="C236" s="11" t="s">
        <v>127</v>
      </c>
      <c r="D236" s="93" t="n">
        <v>-2</v>
      </c>
      <c r="E236" s="34" t="n">
        <v>-2</v>
      </c>
    </row>
    <row r="237" customFormat="false" ht="15" hidden="false" customHeight="false" outlineLevel="0" collapsed="false">
      <c r="A237" s="11" t="s">
        <v>1442</v>
      </c>
      <c r="B237" s="11" t="n">
        <v>1</v>
      </c>
      <c r="C237" s="11" t="s">
        <v>2351</v>
      </c>
      <c r="D237" s="93" t="n">
        <v>10</v>
      </c>
      <c r="E237" s="34" t="n">
        <v>10</v>
      </c>
    </row>
    <row r="238" customFormat="false" ht="15" hidden="false" customHeight="false" outlineLevel="0" collapsed="false">
      <c r="A238" s="11" t="s">
        <v>1442</v>
      </c>
      <c r="B238" s="11" t="n">
        <v>2</v>
      </c>
      <c r="C238" s="11" t="s">
        <v>2342</v>
      </c>
      <c r="D238" s="93" t="n">
        <v>4</v>
      </c>
      <c r="E238" s="34" t="n">
        <v>4</v>
      </c>
    </row>
    <row r="239" customFormat="false" ht="15" hidden="false" customHeight="false" outlineLevel="0" collapsed="false">
      <c r="A239" s="11" t="s">
        <v>1442</v>
      </c>
      <c r="B239" s="11" t="n">
        <v>3</v>
      </c>
      <c r="C239" s="11" t="s">
        <v>2349</v>
      </c>
      <c r="D239" s="93" t="n">
        <v>-2</v>
      </c>
      <c r="E239" s="34" t="n">
        <v>-2</v>
      </c>
    </row>
    <row r="240" customFormat="false" ht="15" hidden="false" customHeight="false" outlineLevel="0" collapsed="false">
      <c r="A240" s="11" t="s">
        <v>1444</v>
      </c>
      <c r="B240" s="11" t="n">
        <v>1</v>
      </c>
      <c r="C240" s="11" t="s">
        <v>2345</v>
      </c>
      <c r="D240" s="93" t="n">
        <v>4</v>
      </c>
      <c r="E240" s="34" t="n">
        <v>4</v>
      </c>
    </row>
    <row r="241" customFormat="false" ht="15" hidden="false" customHeight="false" outlineLevel="0" collapsed="false">
      <c r="A241" s="11" t="s">
        <v>1446</v>
      </c>
      <c r="B241" s="11" t="n">
        <v>1</v>
      </c>
      <c r="C241" s="11" t="s">
        <v>1181</v>
      </c>
      <c r="D241" s="93" t="n">
        <v>-55</v>
      </c>
      <c r="E241" s="34" t="n">
        <v>-55</v>
      </c>
    </row>
    <row r="242" customFormat="false" ht="15" hidden="false" customHeight="false" outlineLevel="0" collapsed="false">
      <c r="A242" s="11" t="s">
        <v>1446</v>
      </c>
      <c r="B242" s="11" t="n">
        <v>2</v>
      </c>
      <c r="C242" s="11" t="s">
        <v>2350</v>
      </c>
      <c r="D242" s="93" t="n">
        <v>10</v>
      </c>
      <c r="E242" s="34" t="n">
        <v>10</v>
      </c>
    </row>
    <row r="243" customFormat="false" ht="15" hidden="false" customHeight="false" outlineLevel="0" collapsed="false">
      <c r="A243" s="11" t="s">
        <v>1446</v>
      </c>
      <c r="B243" s="11" t="n">
        <v>3</v>
      </c>
      <c r="C243" s="11" t="s">
        <v>2354</v>
      </c>
      <c r="D243" s="93" t="n">
        <v>8</v>
      </c>
      <c r="E243" s="34" t="n">
        <v>8</v>
      </c>
    </row>
    <row r="244" customFormat="false" ht="15" hidden="false" customHeight="false" outlineLevel="0" collapsed="false">
      <c r="A244" s="11" t="s">
        <v>1446</v>
      </c>
      <c r="B244" s="11" t="n">
        <v>4</v>
      </c>
      <c r="C244" s="11" t="s">
        <v>2341</v>
      </c>
      <c r="D244" s="93" t="n">
        <v>5</v>
      </c>
      <c r="E244" s="34" t="n">
        <v>5</v>
      </c>
    </row>
    <row r="245" customFormat="false" ht="15" hidden="false" customHeight="false" outlineLevel="0" collapsed="false">
      <c r="A245" s="11" t="s">
        <v>1448</v>
      </c>
      <c r="B245" s="11" t="n">
        <v>1</v>
      </c>
      <c r="C245" s="11" t="s">
        <v>1181</v>
      </c>
      <c r="D245" s="93" t="n">
        <v>-55</v>
      </c>
      <c r="E245" s="34" t="n">
        <v>-55</v>
      </c>
    </row>
    <row r="246" customFormat="false" ht="15" hidden="false" customHeight="false" outlineLevel="0" collapsed="false">
      <c r="A246" s="11" t="s">
        <v>1448</v>
      </c>
      <c r="B246" s="11" t="n">
        <v>2</v>
      </c>
      <c r="C246" s="11" t="s">
        <v>2350</v>
      </c>
      <c r="D246" s="93" t="n">
        <v>10</v>
      </c>
      <c r="E246" s="34" t="n">
        <v>10</v>
      </c>
    </row>
    <row r="247" customFormat="false" ht="15" hidden="false" customHeight="false" outlineLevel="0" collapsed="false">
      <c r="A247" s="11" t="s">
        <v>1448</v>
      </c>
      <c r="B247" s="11" t="n">
        <v>3</v>
      </c>
      <c r="C247" s="11" t="s">
        <v>1198</v>
      </c>
      <c r="D247" s="93" t="n">
        <v>3</v>
      </c>
      <c r="E247" s="34" t="n">
        <v>3</v>
      </c>
    </row>
    <row r="248" customFormat="false" ht="15" hidden="false" customHeight="false" outlineLevel="0" collapsed="false">
      <c r="A248" s="11" t="s">
        <v>1448</v>
      </c>
      <c r="B248" s="11" t="n">
        <v>4</v>
      </c>
      <c r="C248" s="11" t="s">
        <v>127</v>
      </c>
      <c r="D248" s="93" t="n">
        <v>2</v>
      </c>
      <c r="E248" s="34" t="n">
        <v>2</v>
      </c>
    </row>
    <row r="249" customFormat="false" ht="15" hidden="false" customHeight="false" outlineLevel="0" collapsed="false">
      <c r="A249" s="11" t="s">
        <v>1450</v>
      </c>
      <c r="B249" s="11" t="n">
        <v>1</v>
      </c>
      <c r="C249" s="11" t="s">
        <v>2354</v>
      </c>
      <c r="D249" s="93" t="n">
        <v>8</v>
      </c>
      <c r="E249" s="34" t="n">
        <v>8</v>
      </c>
    </row>
    <row r="250" customFormat="false" ht="15" hidden="false" customHeight="false" outlineLevel="0" collapsed="false">
      <c r="A250" s="11" t="s">
        <v>1450</v>
      </c>
      <c r="B250" s="11" t="n">
        <v>2</v>
      </c>
      <c r="C250" s="11" t="s">
        <v>1190</v>
      </c>
      <c r="D250" s="93" t="n">
        <v>-5</v>
      </c>
      <c r="E250" s="34" t="n">
        <v>-5</v>
      </c>
    </row>
    <row r="251" customFormat="false" ht="15" hidden="false" customHeight="false" outlineLevel="0" collapsed="false">
      <c r="A251" s="11" t="s">
        <v>1450</v>
      </c>
      <c r="B251" s="11" t="n">
        <v>3</v>
      </c>
      <c r="C251" s="11" t="s">
        <v>2355</v>
      </c>
      <c r="D251" s="93" t="n">
        <v>3</v>
      </c>
      <c r="E251" s="34" t="n">
        <v>3</v>
      </c>
    </row>
    <row r="252" customFormat="false" ht="15" hidden="false" customHeight="false" outlineLevel="0" collapsed="false">
      <c r="A252" s="11" t="s">
        <v>1450</v>
      </c>
      <c r="B252" s="11" t="n">
        <v>4</v>
      </c>
      <c r="C252" s="11" t="s">
        <v>127</v>
      </c>
      <c r="D252" s="93" t="n">
        <v>2</v>
      </c>
      <c r="E252" s="34" t="n">
        <v>2</v>
      </c>
    </row>
    <row r="253" customFormat="false" ht="15" hidden="false" customHeight="false" outlineLevel="0" collapsed="false">
      <c r="A253" s="11" t="s">
        <v>1452</v>
      </c>
      <c r="B253" s="11" t="n">
        <v>1</v>
      </c>
      <c r="C253" s="11" t="s">
        <v>2347</v>
      </c>
      <c r="D253" s="93" t="n">
        <v>2</v>
      </c>
      <c r="E253" s="34" t="n">
        <v>2</v>
      </c>
    </row>
    <row r="254" customFormat="false" ht="15" hidden="false" customHeight="false" outlineLevel="0" collapsed="false">
      <c r="A254" s="11" t="s">
        <v>1452</v>
      </c>
      <c r="B254" s="11" t="n">
        <v>2</v>
      </c>
      <c r="C254" s="11" t="s">
        <v>2346</v>
      </c>
      <c r="D254" s="93" t="n">
        <v>2</v>
      </c>
      <c r="E254" s="34" t="n">
        <v>2</v>
      </c>
    </row>
    <row r="255" customFormat="false" ht="15" hidden="false" customHeight="false" outlineLevel="0" collapsed="false">
      <c r="A255" s="11" t="s">
        <v>1452</v>
      </c>
      <c r="B255" s="11" t="n">
        <v>3</v>
      </c>
      <c r="C255" s="11" t="s">
        <v>2353</v>
      </c>
      <c r="D255" s="93" t="n">
        <v>1</v>
      </c>
      <c r="E255" s="34" t="n">
        <v>1</v>
      </c>
    </row>
    <row r="256" customFormat="false" ht="15" hidden="false" customHeight="false" outlineLevel="0" collapsed="false">
      <c r="A256" s="11" t="s">
        <v>1454</v>
      </c>
      <c r="B256" s="11" t="n">
        <v>1</v>
      </c>
      <c r="C256" s="11" t="s">
        <v>2353</v>
      </c>
      <c r="D256" s="93" t="n">
        <v>1</v>
      </c>
      <c r="E256" s="34" t="n">
        <v>1</v>
      </c>
    </row>
    <row r="257" customFormat="false" ht="15" hidden="false" customHeight="false" outlineLevel="0" collapsed="false">
      <c r="A257" s="11" t="s">
        <v>1456</v>
      </c>
      <c r="B257" s="11" t="n">
        <v>1</v>
      </c>
      <c r="C257" s="11" t="s">
        <v>2346</v>
      </c>
      <c r="D257" s="93" t="n">
        <v>2</v>
      </c>
      <c r="E257" s="34" t="n">
        <v>2</v>
      </c>
    </row>
    <row r="258" customFormat="false" ht="15" hidden="false" customHeight="false" outlineLevel="0" collapsed="false">
      <c r="A258" s="11" t="s">
        <v>1458</v>
      </c>
      <c r="B258" s="11" t="n">
        <v>1</v>
      </c>
      <c r="C258" s="11" t="s">
        <v>2347</v>
      </c>
      <c r="D258" s="93" t="n">
        <v>2</v>
      </c>
      <c r="E258" s="34" t="n">
        <v>2</v>
      </c>
    </row>
    <row r="259" customFormat="false" ht="15" hidden="false" customHeight="false" outlineLevel="0" collapsed="false">
      <c r="A259" s="11" t="s">
        <v>1460</v>
      </c>
      <c r="B259" s="11" t="n">
        <v>1</v>
      </c>
      <c r="C259" s="11" t="s">
        <v>316</v>
      </c>
      <c r="D259" s="93" t="n">
        <v>52.674</v>
      </c>
      <c r="E259" s="34" t="n">
        <v>52.7</v>
      </c>
    </row>
    <row r="260" customFormat="false" ht="15" hidden="false" customHeight="false" outlineLevel="0" collapsed="false">
      <c r="A260" s="11" t="s">
        <v>1460</v>
      </c>
      <c r="B260" s="11" t="n">
        <v>2</v>
      </c>
      <c r="C260" s="11" t="s">
        <v>331</v>
      </c>
      <c r="D260" s="93" t="n">
        <v>-32</v>
      </c>
      <c r="E260" s="34" t="n">
        <v>-32</v>
      </c>
    </row>
    <row r="261" customFormat="false" ht="15" hidden="false" customHeight="false" outlineLevel="0" collapsed="false">
      <c r="A261" s="11" t="s">
        <v>1460</v>
      </c>
      <c r="B261" s="11" t="n">
        <v>3</v>
      </c>
      <c r="C261" s="11" t="s">
        <v>325</v>
      </c>
      <c r="D261" s="93" t="n">
        <v>16</v>
      </c>
      <c r="E261" s="34" t="n">
        <v>16</v>
      </c>
    </row>
    <row r="262" customFormat="false" ht="15" hidden="false" customHeight="false" outlineLevel="0" collapsed="false">
      <c r="A262" s="11" t="s">
        <v>1460</v>
      </c>
      <c r="B262" s="11" t="n">
        <v>4</v>
      </c>
      <c r="C262" s="11" t="s">
        <v>127</v>
      </c>
      <c r="D262" s="93" t="n">
        <v>5</v>
      </c>
      <c r="E262" s="34" t="n">
        <v>5</v>
      </c>
    </row>
    <row r="263" customFormat="false" ht="15" hidden="false" customHeight="false" outlineLevel="0" collapsed="false">
      <c r="A263" s="11" t="s">
        <v>1462</v>
      </c>
      <c r="B263" s="11" t="n">
        <v>1</v>
      </c>
      <c r="C263" s="11" t="s">
        <v>339</v>
      </c>
      <c r="D263" s="93" t="n">
        <v>-41.674</v>
      </c>
      <c r="E263" s="34" t="n">
        <v>-41.7</v>
      </c>
    </row>
    <row r="264" customFormat="false" ht="15" hidden="false" customHeight="false" outlineLevel="0" collapsed="false">
      <c r="A264" s="11" t="s">
        <v>1462</v>
      </c>
      <c r="B264" s="11" t="n">
        <v>2</v>
      </c>
      <c r="C264" s="11" t="s">
        <v>312</v>
      </c>
      <c r="D264" s="93" t="n">
        <v>8.473</v>
      </c>
      <c r="E264" s="34" t="n">
        <v>8.5</v>
      </c>
    </row>
    <row r="265" customFormat="false" ht="15" hidden="false" customHeight="false" outlineLevel="0" collapsed="false">
      <c r="A265" s="11" t="s">
        <v>1464</v>
      </c>
      <c r="B265" s="11" t="n">
        <v>1</v>
      </c>
      <c r="C265" s="11" t="s">
        <v>160</v>
      </c>
      <c r="D265" s="93" t="n">
        <v>-1</v>
      </c>
      <c r="E265" s="34" t="n">
        <v>-1</v>
      </c>
    </row>
    <row r="266" customFormat="false" ht="15" hidden="false" customHeight="false" outlineLevel="0" collapsed="false">
      <c r="A266" s="11" t="s">
        <v>1466</v>
      </c>
      <c r="B266" s="11" t="n">
        <v>1</v>
      </c>
      <c r="C266" s="11" t="s">
        <v>2357</v>
      </c>
      <c r="D266" s="93" t="n">
        <v>-1</v>
      </c>
      <c r="E266" s="34" t="n">
        <v>-1</v>
      </c>
    </row>
    <row r="267" customFormat="false" ht="15" hidden="false" customHeight="false" outlineLevel="0" collapsed="false">
      <c r="A267" s="11" t="s">
        <v>1470</v>
      </c>
      <c r="B267" s="11" t="n">
        <v>1</v>
      </c>
      <c r="C267" s="11" t="s">
        <v>2358</v>
      </c>
      <c r="D267" s="93" t="n">
        <v>4</v>
      </c>
      <c r="E267" s="34" t="n">
        <v>4</v>
      </c>
    </row>
    <row r="268" customFormat="false" ht="15" hidden="false" customHeight="false" outlineLevel="0" collapsed="false">
      <c r="A268" s="11" t="s">
        <v>1470</v>
      </c>
      <c r="B268" s="11" t="n">
        <v>2</v>
      </c>
      <c r="C268" s="11" t="s">
        <v>2359</v>
      </c>
      <c r="D268" s="93" t="n">
        <v>1</v>
      </c>
      <c r="E268" s="34" t="n">
        <v>1</v>
      </c>
    </row>
    <row r="269" customFormat="false" ht="15" hidden="false" customHeight="false" outlineLevel="0" collapsed="false">
      <c r="A269" s="11" t="s">
        <v>1472</v>
      </c>
      <c r="B269" s="11" t="n">
        <v>1</v>
      </c>
      <c r="C269" s="11" t="s">
        <v>339</v>
      </c>
      <c r="D269" s="93" t="n">
        <v>-41.674</v>
      </c>
      <c r="E269" s="34" t="n">
        <v>-41.7</v>
      </c>
    </row>
    <row r="270" customFormat="false" ht="15" hidden="false" customHeight="false" outlineLevel="0" collapsed="false">
      <c r="A270" s="11" t="s">
        <v>1472</v>
      </c>
      <c r="B270" s="11" t="n">
        <v>2</v>
      </c>
      <c r="C270" s="11" t="s">
        <v>312</v>
      </c>
      <c r="D270" s="93" t="n">
        <v>8.473</v>
      </c>
      <c r="E270" s="34" t="n">
        <v>8.5</v>
      </c>
    </row>
    <row r="271" customFormat="false" ht="15" hidden="false" customHeight="false" outlineLevel="0" collapsed="false">
      <c r="A271" s="11" t="s">
        <v>1472</v>
      </c>
      <c r="B271" s="11" t="n">
        <v>3</v>
      </c>
      <c r="C271" s="11" t="s">
        <v>126</v>
      </c>
      <c r="D271" s="93" t="n">
        <v>-5</v>
      </c>
      <c r="E271" s="34" t="n">
        <v>-5</v>
      </c>
    </row>
    <row r="272" customFormat="false" ht="15" hidden="false" customHeight="false" outlineLevel="0" collapsed="false">
      <c r="A272" s="11" t="s">
        <v>1472</v>
      </c>
      <c r="B272" s="11" t="n">
        <v>4</v>
      </c>
      <c r="C272" s="11" t="s">
        <v>127</v>
      </c>
      <c r="D272" s="93" t="n">
        <v>-1</v>
      </c>
      <c r="E272" s="34" t="n">
        <v>-1</v>
      </c>
    </row>
    <row r="273" customFormat="false" ht="15" hidden="false" customHeight="false" outlineLevel="0" collapsed="false">
      <c r="A273" s="11" t="s">
        <v>1474</v>
      </c>
      <c r="B273" s="11" t="n">
        <v>1</v>
      </c>
      <c r="C273" s="11" t="s">
        <v>2360</v>
      </c>
      <c r="D273" s="93" t="n">
        <v>-2654.3546</v>
      </c>
      <c r="E273" s="34" t="n">
        <v>-2654.4</v>
      </c>
    </row>
    <row r="274" customFormat="false" ht="15" hidden="false" customHeight="false" outlineLevel="0" collapsed="false">
      <c r="A274" s="11" t="s">
        <v>1474</v>
      </c>
      <c r="B274" s="11" t="n">
        <v>2</v>
      </c>
      <c r="C274" s="11" t="s">
        <v>2361</v>
      </c>
      <c r="D274" s="93" t="n">
        <v>1018.61276</v>
      </c>
      <c r="E274" s="34" t="n">
        <v>1018.6</v>
      </c>
    </row>
    <row r="275" customFormat="false" ht="15" hidden="false" customHeight="false" outlineLevel="0" collapsed="false">
      <c r="A275" s="11" t="s">
        <v>1474</v>
      </c>
      <c r="B275" s="11" t="n">
        <v>3</v>
      </c>
      <c r="C275" s="11" t="s">
        <v>2362</v>
      </c>
      <c r="D275" s="93" t="n">
        <v>765.956</v>
      </c>
      <c r="E275" s="34" t="n">
        <v>766</v>
      </c>
    </row>
    <row r="276" customFormat="false" ht="15" hidden="false" customHeight="false" outlineLevel="0" collapsed="false">
      <c r="A276" s="11" t="s">
        <v>1474</v>
      </c>
      <c r="B276" s="11" t="n">
        <v>4</v>
      </c>
      <c r="C276" s="11" t="s">
        <v>2341</v>
      </c>
      <c r="D276" s="93" t="n">
        <v>136</v>
      </c>
      <c r="E276" s="34" t="n">
        <v>136</v>
      </c>
    </row>
    <row r="277" customFormat="false" ht="15" hidden="false" customHeight="false" outlineLevel="0" collapsed="false">
      <c r="A277" s="11" t="s">
        <v>1477</v>
      </c>
      <c r="B277" s="11" t="n">
        <v>1</v>
      </c>
      <c r="C277" s="11" t="s">
        <v>2363</v>
      </c>
      <c r="D277" s="93" t="n">
        <v>1018.61276</v>
      </c>
      <c r="E277" s="34" t="n">
        <v>1018.6</v>
      </c>
    </row>
    <row r="278" customFormat="false" ht="15" hidden="false" customHeight="false" outlineLevel="0" collapsed="false">
      <c r="A278" s="11" t="s">
        <v>1477</v>
      </c>
      <c r="B278" s="11" t="n">
        <v>2</v>
      </c>
      <c r="C278" s="11" t="s">
        <v>2364</v>
      </c>
      <c r="D278" s="93" t="n">
        <v>-33</v>
      </c>
      <c r="E278" s="34" t="n">
        <v>-33</v>
      </c>
    </row>
    <row r="279" customFormat="false" ht="15" hidden="false" customHeight="false" outlineLevel="0" collapsed="false">
      <c r="A279" s="11" t="s">
        <v>1479</v>
      </c>
      <c r="B279" s="11" t="n">
        <v>1</v>
      </c>
      <c r="C279" s="11" t="s">
        <v>2365</v>
      </c>
      <c r="D279" s="93" t="n">
        <v>-2654.3546</v>
      </c>
      <c r="E279" s="34" t="n">
        <v>-2654.4</v>
      </c>
    </row>
    <row r="280" customFormat="false" ht="15" hidden="false" customHeight="false" outlineLevel="0" collapsed="false">
      <c r="A280" s="11" t="s">
        <v>1479</v>
      </c>
      <c r="B280" s="11" t="n">
        <v>2</v>
      </c>
      <c r="C280" s="11" t="s">
        <v>2366</v>
      </c>
      <c r="D280" s="93" t="n">
        <v>765.956</v>
      </c>
      <c r="E280" s="34" t="n">
        <v>766</v>
      </c>
    </row>
    <row r="281" customFormat="false" ht="15" hidden="false" customHeight="false" outlineLevel="0" collapsed="false">
      <c r="A281" s="11" t="s">
        <v>1479</v>
      </c>
      <c r="B281" s="11" t="n">
        <v>3</v>
      </c>
      <c r="C281" s="11" t="s">
        <v>2367</v>
      </c>
      <c r="D281" s="93" t="n">
        <v>200</v>
      </c>
      <c r="E281" s="34" t="n">
        <v>200</v>
      </c>
    </row>
    <row r="282" customFormat="false" ht="15" hidden="false" customHeight="false" outlineLevel="0" collapsed="false">
      <c r="A282" s="11" t="s">
        <v>1481</v>
      </c>
      <c r="B282" s="11" t="n">
        <v>1</v>
      </c>
      <c r="C282" s="11" t="s">
        <v>2368</v>
      </c>
      <c r="D282" s="93" t="n">
        <v>-46</v>
      </c>
      <c r="E282" s="34" t="n">
        <v>-46</v>
      </c>
    </row>
    <row r="283" customFormat="false" ht="15" hidden="false" customHeight="false" outlineLevel="0" collapsed="false">
      <c r="A283" s="11" t="s">
        <v>1483</v>
      </c>
      <c r="B283" s="11" t="n">
        <v>1</v>
      </c>
      <c r="C283" s="11" t="s">
        <v>2369</v>
      </c>
      <c r="D283" s="93" t="n">
        <v>55</v>
      </c>
      <c r="E283" s="34" t="n">
        <v>55</v>
      </c>
    </row>
    <row r="284" customFormat="false" ht="15" hidden="false" customHeight="false" outlineLevel="0" collapsed="false">
      <c r="A284" s="11" t="s">
        <v>1483</v>
      </c>
      <c r="B284" s="11" t="n">
        <v>2</v>
      </c>
      <c r="C284" s="11" t="s">
        <v>2370</v>
      </c>
      <c r="D284" s="93" t="n">
        <v>-40</v>
      </c>
      <c r="E284" s="34" t="n">
        <v>-40</v>
      </c>
    </row>
    <row r="285" customFormat="false" ht="15" hidden="false" customHeight="false" outlineLevel="0" collapsed="false">
      <c r="A285" s="11" t="s">
        <v>1485</v>
      </c>
      <c r="B285" s="11" t="n">
        <v>1</v>
      </c>
      <c r="C285" s="11" t="s">
        <v>2371</v>
      </c>
      <c r="D285" s="93" t="n">
        <v>-60</v>
      </c>
      <c r="E285" s="34" t="n">
        <v>-60</v>
      </c>
    </row>
    <row r="286" customFormat="false" ht="15" hidden="false" customHeight="false" outlineLevel="0" collapsed="false">
      <c r="A286" s="11" t="s">
        <v>1485</v>
      </c>
      <c r="B286" s="11" t="n">
        <v>2</v>
      </c>
      <c r="C286" s="11" t="s">
        <v>2372</v>
      </c>
      <c r="D286" s="93" t="n">
        <v>33</v>
      </c>
      <c r="E286" s="34" t="n">
        <v>33</v>
      </c>
    </row>
    <row r="287" customFormat="false" ht="15" hidden="false" customHeight="false" outlineLevel="0" collapsed="false">
      <c r="A287" s="11" t="s">
        <v>1487</v>
      </c>
      <c r="B287" s="11" t="n">
        <v>1</v>
      </c>
      <c r="C287" s="11" t="s">
        <v>395</v>
      </c>
      <c r="D287" s="93" t="n">
        <v>-60</v>
      </c>
      <c r="E287" s="34" t="n">
        <v>-60</v>
      </c>
    </row>
    <row r="288" customFormat="false" ht="15" hidden="false" customHeight="false" outlineLevel="0" collapsed="false">
      <c r="A288" s="11" t="s">
        <v>1487</v>
      </c>
      <c r="B288" s="11" t="n">
        <v>2</v>
      </c>
      <c r="C288" s="11" t="s">
        <v>421</v>
      </c>
      <c r="D288" s="93" t="n">
        <v>33</v>
      </c>
      <c r="E288" s="34" t="n">
        <v>33</v>
      </c>
    </row>
    <row r="289" customFormat="false" ht="15" hidden="false" customHeight="false" outlineLevel="0" collapsed="false">
      <c r="A289" s="11" t="s">
        <v>1489</v>
      </c>
      <c r="B289" s="11" t="n">
        <v>1</v>
      </c>
      <c r="C289" s="11" t="s">
        <v>351</v>
      </c>
      <c r="D289" s="93" t="n">
        <v>-733.78584</v>
      </c>
      <c r="E289" s="34" t="n">
        <v>-733.8</v>
      </c>
    </row>
    <row r="290" customFormat="false" ht="15" hidden="false" customHeight="false" outlineLevel="0" collapsed="false">
      <c r="A290" s="11" t="s">
        <v>1489</v>
      </c>
      <c r="B290" s="11" t="n">
        <v>2</v>
      </c>
      <c r="C290" s="11" t="s">
        <v>361</v>
      </c>
      <c r="D290" s="93" t="n">
        <v>-27</v>
      </c>
      <c r="E290" s="34" t="n">
        <v>-27</v>
      </c>
    </row>
    <row r="291" customFormat="false" ht="15" hidden="false" customHeight="false" outlineLevel="0" collapsed="false">
      <c r="A291" s="11" t="s">
        <v>1491</v>
      </c>
      <c r="B291" s="11" t="n">
        <v>1</v>
      </c>
      <c r="C291" s="11" t="s">
        <v>2373</v>
      </c>
      <c r="D291" s="93" t="n">
        <v>-1800</v>
      </c>
      <c r="E291" s="34" t="n">
        <v>-1800</v>
      </c>
    </row>
    <row r="292" customFormat="false" ht="15" hidden="false" customHeight="false" outlineLevel="0" collapsed="false">
      <c r="A292" s="11" t="s">
        <v>1491</v>
      </c>
      <c r="B292" s="11" t="n">
        <v>2</v>
      </c>
      <c r="C292" s="11" t="s">
        <v>2374</v>
      </c>
      <c r="D292" s="93" t="n">
        <v>765.956</v>
      </c>
      <c r="E292" s="34" t="n">
        <v>765.9</v>
      </c>
    </row>
    <row r="293" customFormat="false" ht="15" hidden="false" customHeight="false" outlineLevel="0" collapsed="false">
      <c r="A293" s="11" t="s">
        <v>1491</v>
      </c>
      <c r="B293" s="11" t="n">
        <v>3</v>
      </c>
      <c r="C293" s="11" t="s">
        <v>2375</v>
      </c>
      <c r="D293" s="93" t="n">
        <v>349</v>
      </c>
      <c r="E293" s="34" t="n">
        <v>349</v>
      </c>
    </row>
    <row r="294" customFormat="false" ht="15" hidden="false" customHeight="false" outlineLevel="0" collapsed="false">
      <c r="A294" s="11" t="s">
        <v>1491</v>
      </c>
      <c r="B294" s="11" t="n">
        <v>4</v>
      </c>
      <c r="C294" s="11" t="s">
        <v>2343</v>
      </c>
      <c r="D294" s="93" t="n">
        <v>-321.74184</v>
      </c>
      <c r="E294" s="34" t="n">
        <v>-321.7</v>
      </c>
    </row>
    <row r="295" customFormat="false" ht="15" hidden="false" customHeight="false" outlineLevel="0" collapsed="false">
      <c r="A295" s="11" t="s">
        <v>1493</v>
      </c>
      <c r="B295" s="11" t="n">
        <v>1</v>
      </c>
      <c r="C295" s="11" t="s">
        <v>2376</v>
      </c>
      <c r="D295" s="93" t="n">
        <v>349</v>
      </c>
      <c r="E295" s="34" t="n">
        <v>349</v>
      </c>
    </row>
    <row r="296" customFormat="false" ht="15" hidden="false" customHeight="false" outlineLevel="0" collapsed="false">
      <c r="A296" s="11" t="s">
        <v>1493</v>
      </c>
      <c r="B296" s="11" t="n">
        <v>2</v>
      </c>
      <c r="C296" s="11" t="s">
        <v>2377</v>
      </c>
      <c r="D296" s="93" t="n">
        <v>-307</v>
      </c>
      <c r="E296" s="34" t="n">
        <v>-307</v>
      </c>
    </row>
    <row r="297" customFormat="false" ht="15" hidden="false" customHeight="false" outlineLevel="0" collapsed="false">
      <c r="A297" s="11" t="s">
        <v>1495</v>
      </c>
      <c r="B297" s="11" t="n">
        <v>1</v>
      </c>
      <c r="C297" s="11" t="s">
        <v>2378</v>
      </c>
      <c r="D297" s="93" t="n">
        <v>-75</v>
      </c>
      <c r="E297" s="34" t="n">
        <v>-75</v>
      </c>
    </row>
    <row r="298" customFormat="false" ht="15" hidden="false" customHeight="false" outlineLevel="0" collapsed="false">
      <c r="A298" s="11" t="s">
        <v>1495</v>
      </c>
      <c r="B298" s="11" t="n">
        <v>2</v>
      </c>
      <c r="C298" s="11" t="s">
        <v>2379</v>
      </c>
      <c r="D298" s="93" t="n">
        <v>43.49244</v>
      </c>
      <c r="E298" s="34" t="n">
        <v>43.5</v>
      </c>
    </row>
    <row r="299" customFormat="false" ht="15" hidden="false" customHeight="false" outlineLevel="0" collapsed="false">
      <c r="A299" s="11" t="s">
        <v>1495</v>
      </c>
      <c r="B299" s="11" t="n">
        <v>3</v>
      </c>
      <c r="C299" s="11" t="s">
        <v>2380</v>
      </c>
      <c r="D299" s="93" t="n">
        <v>34</v>
      </c>
      <c r="E299" s="34" t="n">
        <v>34</v>
      </c>
    </row>
    <row r="300" customFormat="false" ht="15" hidden="false" customHeight="false" outlineLevel="0" collapsed="false">
      <c r="A300" s="11" t="s">
        <v>1495</v>
      </c>
      <c r="B300" s="11" t="n">
        <v>4</v>
      </c>
      <c r="C300" s="11" t="s">
        <v>2356</v>
      </c>
      <c r="D300" s="93" t="n">
        <v>-17.23428</v>
      </c>
      <c r="E300" s="34" t="n">
        <v>-17.2</v>
      </c>
    </row>
    <row r="301" customFormat="false" ht="15" hidden="false" customHeight="false" outlineLevel="0" collapsed="false">
      <c r="A301" s="11" t="s">
        <v>1497</v>
      </c>
      <c r="B301" s="11" t="n">
        <v>1</v>
      </c>
      <c r="C301" s="11" t="s">
        <v>2381</v>
      </c>
      <c r="D301" s="93" t="n">
        <v>-1800</v>
      </c>
      <c r="E301" s="34" t="n">
        <v>-1800</v>
      </c>
    </row>
    <row r="302" customFormat="false" ht="15" hidden="false" customHeight="false" outlineLevel="0" collapsed="false">
      <c r="A302" s="11" t="s">
        <v>1497</v>
      </c>
      <c r="B302" s="11" t="n">
        <v>2</v>
      </c>
      <c r="C302" s="11" t="s">
        <v>2382</v>
      </c>
      <c r="D302" s="93" t="n">
        <v>765.956</v>
      </c>
      <c r="E302" s="34" t="n">
        <v>766</v>
      </c>
    </row>
    <row r="303" customFormat="false" ht="15" hidden="false" customHeight="false" outlineLevel="0" collapsed="false">
      <c r="A303" s="11" t="s">
        <v>1499</v>
      </c>
      <c r="B303" s="11" t="n">
        <v>1</v>
      </c>
      <c r="C303" s="11" t="s">
        <v>2383</v>
      </c>
      <c r="D303" s="93" t="n">
        <v>6</v>
      </c>
      <c r="E303" s="34" t="n">
        <v>6</v>
      </c>
    </row>
    <row r="304" customFormat="false" ht="15" hidden="false" customHeight="false" outlineLevel="0" collapsed="false">
      <c r="A304" s="11" t="s">
        <v>1501</v>
      </c>
      <c r="B304" s="11" t="n">
        <v>1</v>
      </c>
      <c r="C304" s="11" t="s">
        <v>2384</v>
      </c>
      <c r="D304" s="93" t="n">
        <v>6</v>
      </c>
      <c r="E304" s="34" t="n">
        <v>6</v>
      </c>
    </row>
    <row r="305" customFormat="false" ht="15" hidden="false" customHeight="false" outlineLevel="0" collapsed="false">
      <c r="A305" s="11" t="s">
        <v>1505</v>
      </c>
      <c r="B305" s="11" t="n">
        <v>1</v>
      </c>
      <c r="C305" s="11" t="s">
        <v>367</v>
      </c>
      <c r="D305" s="93" t="n">
        <v>-1006.78584</v>
      </c>
      <c r="E305" s="34" t="n">
        <v>-1006.8</v>
      </c>
    </row>
    <row r="306" customFormat="false" ht="15" hidden="false" customHeight="false" outlineLevel="0" collapsed="false">
      <c r="A306" s="11" t="s">
        <v>1505</v>
      </c>
      <c r="B306" s="11" t="n">
        <v>2</v>
      </c>
      <c r="C306" s="11" t="s">
        <v>375</v>
      </c>
      <c r="D306" s="93" t="n">
        <v>6</v>
      </c>
      <c r="E306" s="34" t="n">
        <v>6</v>
      </c>
    </row>
    <row r="307" customFormat="false" ht="15" hidden="false" customHeight="false" outlineLevel="0" collapsed="false">
      <c r="A307" s="11" t="s">
        <v>1507</v>
      </c>
      <c r="B307" s="11" t="n">
        <v>1</v>
      </c>
      <c r="C307" s="11" t="s">
        <v>2385</v>
      </c>
      <c r="D307" s="93" t="n">
        <v>160</v>
      </c>
      <c r="E307" s="34" t="n">
        <v>160</v>
      </c>
    </row>
    <row r="308" customFormat="false" ht="15" hidden="false" customHeight="false" outlineLevel="0" collapsed="false">
      <c r="A308" s="11" t="s">
        <v>1507</v>
      </c>
      <c r="B308" s="11" t="n">
        <v>2</v>
      </c>
      <c r="C308" s="11" t="s">
        <v>2386</v>
      </c>
      <c r="D308" s="93" t="n">
        <v>80</v>
      </c>
      <c r="E308" s="34" t="n">
        <v>80</v>
      </c>
    </row>
    <row r="309" customFormat="false" ht="15" hidden="false" customHeight="false" outlineLevel="0" collapsed="false">
      <c r="A309" s="11" t="s">
        <v>1509</v>
      </c>
      <c r="B309" s="11" t="n">
        <v>1</v>
      </c>
      <c r="C309" s="11" t="s">
        <v>397</v>
      </c>
      <c r="D309" s="93" t="n">
        <v>80</v>
      </c>
      <c r="E309" s="34" t="n">
        <v>80</v>
      </c>
    </row>
    <row r="310" customFormat="false" ht="15" hidden="false" customHeight="false" outlineLevel="0" collapsed="false">
      <c r="A310" s="11" t="s">
        <v>1511</v>
      </c>
      <c r="B310" s="11" t="n">
        <v>1</v>
      </c>
      <c r="C310" s="11" t="s">
        <v>97</v>
      </c>
      <c r="D310" s="93" t="n">
        <v>160</v>
      </c>
      <c r="E310" s="34" t="n">
        <v>160</v>
      </c>
    </row>
    <row r="311" customFormat="false" ht="15" hidden="false" customHeight="false" outlineLevel="0" collapsed="false">
      <c r="A311" s="11" t="s">
        <v>1513</v>
      </c>
      <c r="B311" s="11" t="n">
        <v>1</v>
      </c>
      <c r="C311" s="11" t="s">
        <v>381</v>
      </c>
      <c r="D311" s="93" t="n">
        <v>-1000.78584</v>
      </c>
      <c r="E311" s="34" t="n">
        <v>-1000.8</v>
      </c>
    </row>
    <row r="312" customFormat="false" ht="15" hidden="false" customHeight="false" outlineLevel="0" collapsed="false">
      <c r="A312" s="11" t="s">
        <v>1513</v>
      </c>
      <c r="B312" s="11" t="n">
        <v>2</v>
      </c>
      <c r="C312" s="11" t="s">
        <v>383</v>
      </c>
      <c r="D312" s="93" t="n">
        <v>240</v>
      </c>
      <c r="E312" s="34" t="n">
        <v>240</v>
      </c>
    </row>
    <row r="313" customFormat="false" ht="15" hidden="false" customHeight="false" outlineLevel="0" collapsed="false">
      <c r="A313" s="11" t="s">
        <v>1515</v>
      </c>
      <c r="B313" s="11" t="n">
        <v>1</v>
      </c>
      <c r="C313" s="11" t="s">
        <v>2387</v>
      </c>
      <c r="D313" s="93" t="n">
        <v>-41.674</v>
      </c>
      <c r="E313" s="34" t="n">
        <v>-41.7</v>
      </c>
    </row>
    <row r="314" customFormat="false" ht="15" hidden="false" customHeight="false" outlineLevel="0" collapsed="false">
      <c r="A314" s="11" t="s">
        <v>1515</v>
      </c>
      <c r="B314" s="11" t="n">
        <v>2</v>
      </c>
      <c r="C314" s="11" t="s">
        <v>312</v>
      </c>
      <c r="D314" s="93" t="n">
        <v>8.473</v>
      </c>
      <c r="E314" s="34" t="n">
        <v>8.5</v>
      </c>
    </row>
    <row r="315" customFormat="false" ht="15" hidden="false" customHeight="false" outlineLevel="0" collapsed="false">
      <c r="A315" s="11" t="s">
        <v>1515</v>
      </c>
      <c r="B315" s="11" t="n">
        <v>3</v>
      </c>
      <c r="C315" s="11" t="s">
        <v>2388</v>
      </c>
      <c r="D315" s="93" t="n">
        <v>-5</v>
      </c>
      <c r="E315" s="34" t="n">
        <v>-5</v>
      </c>
    </row>
    <row r="316" customFormat="false" ht="15" hidden="false" customHeight="false" outlineLevel="0" collapsed="false">
      <c r="A316" s="11" t="s">
        <v>1515</v>
      </c>
      <c r="B316" s="11" t="n">
        <v>4</v>
      </c>
      <c r="C316" s="11" t="s">
        <v>127</v>
      </c>
      <c r="D316" s="93" t="n">
        <v>-1</v>
      </c>
      <c r="E316" s="34" t="n">
        <v>-1</v>
      </c>
    </row>
    <row r="317" customFormat="false" ht="15" hidden="false" customHeight="false" outlineLevel="0" collapsed="false">
      <c r="A317" s="11" t="s">
        <v>1518</v>
      </c>
      <c r="B317" s="11" t="n">
        <v>1</v>
      </c>
      <c r="C317" s="11" t="s">
        <v>2389</v>
      </c>
      <c r="D317" s="93" t="n">
        <v>2</v>
      </c>
      <c r="E317" s="34" t="n">
        <v>2</v>
      </c>
    </row>
    <row r="318" customFormat="false" ht="15" hidden="false" customHeight="false" outlineLevel="0" collapsed="false">
      <c r="A318" s="11" t="s">
        <v>1518</v>
      </c>
      <c r="B318" s="11" t="n">
        <v>2</v>
      </c>
      <c r="C318" s="11" t="s">
        <v>2390</v>
      </c>
      <c r="D318" s="93" t="n">
        <v>2</v>
      </c>
      <c r="E318" s="34" t="n">
        <v>2</v>
      </c>
    </row>
    <row r="319" customFormat="false" ht="15" hidden="false" customHeight="false" outlineLevel="0" collapsed="false">
      <c r="A319" s="11" t="s">
        <v>1518</v>
      </c>
      <c r="B319" s="11" t="n">
        <v>3</v>
      </c>
      <c r="C319" s="11" t="s">
        <v>2391</v>
      </c>
      <c r="D319" s="93" t="n">
        <v>1</v>
      </c>
      <c r="E319" s="34" t="n">
        <v>1</v>
      </c>
    </row>
    <row r="320" customFormat="false" ht="15" hidden="false" customHeight="false" outlineLevel="0" collapsed="false">
      <c r="A320" s="11" t="s">
        <v>1518</v>
      </c>
      <c r="B320" s="11" t="n">
        <v>4</v>
      </c>
      <c r="C320" s="11" t="s">
        <v>127</v>
      </c>
      <c r="D320" s="93" t="n">
        <v>1</v>
      </c>
      <c r="E320" s="34" t="n">
        <v>1</v>
      </c>
    </row>
    <row r="321" customFormat="false" ht="15" hidden="false" customHeight="false" outlineLevel="0" collapsed="false">
      <c r="A321" s="11" t="s">
        <v>1520</v>
      </c>
      <c r="B321" s="11" t="n">
        <v>1</v>
      </c>
      <c r="C321" s="11" t="s">
        <v>2346</v>
      </c>
      <c r="D321" s="93" t="n">
        <v>2</v>
      </c>
      <c r="E321" s="34" t="n">
        <v>2</v>
      </c>
    </row>
    <row r="322" customFormat="false" ht="15" hidden="false" customHeight="false" outlineLevel="0" collapsed="false">
      <c r="A322" s="11" t="s">
        <v>1522</v>
      </c>
      <c r="B322" s="11" t="n">
        <v>1</v>
      </c>
      <c r="C322" s="11" t="s">
        <v>2347</v>
      </c>
      <c r="D322" s="93" t="n">
        <v>2</v>
      </c>
      <c r="E322" s="34" t="n">
        <v>2</v>
      </c>
    </row>
    <row r="323" customFormat="false" ht="15" hidden="false" customHeight="false" outlineLevel="0" collapsed="false">
      <c r="A323" s="11" t="s">
        <v>1524</v>
      </c>
      <c r="B323" s="11" t="n">
        <v>1</v>
      </c>
      <c r="C323" s="11" t="s">
        <v>2353</v>
      </c>
      <c r="D323" s="93" t="n">
        <v>1</v>
      </c>
      <c r="E323" s="34" t="n">
        <v>1</v>
      </c>
    </row>
    <row r="324" customFormat="false" ht="15" hidden="false" customHeight="false" outlineLevel="0" collapsed="false">
      <c r="A324" s="11" t="s">
        <v>1526</v>
      </c>
      <c r="B324" s="11" t="n">
        <v>1</v>
      </c>
      <c r="C324" s="11" t="s">
        <v>2384</v>
      </c>
      <c r="D324" s="93" t="n">
        <v>1</v>
      </c>
      <c r="E324" s="34" t="n">
        <v>1</v>
      </c>
    </row>
    <row r="325" customFormat="false" ht="15" hidden="false" customHeight="false" outlineLevel="0" collapsed="false">
      <c r="A325" s="11" t="s">
        <v>1528</v>
      </c>
      <c r="B325" s="11" t="n">
        <v>1</v>
      </c>
      <c r="C325" s="11" t="s">
        <v>2362</v>
      </c>
      <c r="D325" s="93" t="n">
        <v>3163.903</v>
      </c>
      <c r="E325" s="34" t="n">
        <v>3163.9</v>
      </c>
    </row>
    <row r="326" customFormat="false" ht="15" hidden="false" customHeight="false" outlineLevel="0" collapsed="false">
      <c r="A326" s="11" t="s">
        <v>1528</v>
      </c>
      <c r="B326" s="11" t="n">
        <v>2</v>
      </c>
      <c r="C326" s="11" t="s">
        <v>2374</v>
      </c>
      <c r="D326" s="93" t="n">
        <v>-3163.903</v>
      </c>
      <c r="E326" s="34" t="n">
        <v>-3163.9</v>
      </c>
    </row>
    <row r="327" customFormat="false" ht="15" hidden="false" customHeight="false" outlineLevel="0" collapsed="false">
      <c r="A327" s="11" t="s">
        <v>1528</v>
      </c>
      <c r="B327" s="11" t="n">
        <v>3</v>
      </c>
      <c r="C327" s="11" t="s">
        <v>2360</v>
      </c>
      <c r="D327" s="93" t="n">
        <v>1669.92735</v>
      </c>
      <c r="E327" s="34" t="n">
        <v>1669.9</v>
      </c>
    </row>
    <row r="328" customFormat="false" ht="15" hidden="false" customHeight="false" outlineLevel="0" collapsed="false">
      <c r="A328" s="11" t="s">
        <v>1528</v>
      </c>
      <c r="B328" s="11" t="n">
        <v>4</v>
      </c>
      <c r="C328" s="11" t="s">
        <v>2392</v>
      </c>
      <c r="D328" s="93" t="n">
        <v>-107.82424</v>
      </c>
      <c r="E328" s="34" t="n">
        <v>-107.8</v>
      </c>
    </row>
    <row r="329" customFormat="false" ht="15" hidden="false" customHeight="false" outlineLevel="0" collapsed="false">
      <c r="A329" s="11" t="s">
        <v>1530</v>
      </c>
      <c r="B329" s="11" t="n">
        <v>1</v>
      </c>
      <c r="C329" s="11" t="s">
        <v>2366</v>
      </c>
      <c r="D329" s="93" t="n">
        <v>3163.903</v>
      </c>
      <c r="E329" s="34" t="n">
        <v>3163.9</v>
      </c>
    </row>
    <row r="330" customFormat="false" ht="15" hidden="false" customHeight="false" outlineLevel="0" collapsed="false">
      <c r="A330" s="11" t="s">
        <v>1530</v>
      </c>
      <c r="B330" s="11" t="n">
        <v>2</v>
      </c>
      <c r="C330" s="11" t="s">
        <v>2365</v>
      </c>
      <c r="D330" s="93" t="n">
        <v>1669.92735</v>
      </c>
      <c r="E330" s="34" t="n">
        <v>1669.9</v>
      </c>
    </row>
    <row r="331" customFormat="false" ht="15" hidden="false" customHeight="false" outlineLevel="0" collapsed="false">
      <c r="A331" s="11" t="s">
        <v>1530</v>
      </c>
      <c r="B331" s="11" t="n">
        <v>3</v>
      </c>
      <c r="C331" s="11" t="s">
        <v>2367</v>
      </c>
      <c r="D331" s="93" t="n">
        <v>15</v>
      </c>
      <c r="E331" s="34" t="n">
        <v>15</v>
      </c>
    </row>
    <row r="332" customFormat="false" ht="15" hidden="false" customHeight="false" outlineLevel="0" collapsed="false">
      <c r="A332" s="11" t="s">
        <v>1534</v>
      </c>
      <c r="B332" s="11" t="n">
        <v>1</v>
      </c>
      <c r="C332" s="11" t="s">
        <v>2369</v>
      </c>
      <c r="D332" s="93" t="n">
        <v>-15</v>
      </c>
      <c r="E332" s="34" t="n">
        <v>-15</v>
      </c>
    </row>
    <row r="333" customFormat="false" ht="15" hidden="false" customHeight="false" outlineLevel="0" collapsed="false">
      <c r="A333" s="11" t="s">
        <v>1536</v>
      </c>
      <c r="B333" s="11" t="n">
        <v>1</v>
      </c>
      <c r="C333" s="11" t="s">
        <v>2376</v>
      </c>
      <c r="D333" s="93" t="n">
        <v>42</v>
      </c>
      <c r="E333" s="34" t="n">
        <v>42</v>
      </c>
    </row>
    <row r="334" customFormat="false" ht="15" hidden="false" customHeight="false" outlineLevel="0" collapsed="false">
      <c r="A334" s="11" t="s">
        <v>1536</v>
      </c>
      <c r="B334" s="11" t="n">
        <v>2</v>
      </c>
      <c r="C334" s="11" t="s">
        <v>2377</v>
      </c>
      <c r="D334" s="93" t="n">
        <v>-3</v>
      </c>
      <c r="E334" s="34" t="n">
        <v>-3</v>
      </c>
    </row>
    <row r="335" customFormat="false" ht="15" hidden="false" customHeight="false" outlineLevel="0" collapsed="false">
      <c r="A335" s="11" t="s">
        <v>1538</v>
      </c>
      <c r="B335" s="11" t="n">
        <v>1</v>
      </c>
      <c r="C335" s="11" t="s">
        <v>2378</v>
      </c>
      <c r="D335" s="93" t="n">
        <v>-60</v>
      </c>
      <c r="E335" s="34" t="n">
        <v>-60</v>
      </c>
    </row>
    <row r="336" customFormat="false" ht="15" hidden="false" customHeight="false" outlineLevel="0" collapsed="false">
      <c r="A336" s="11" t="s">
        <v>1538</v>
      </c>
      <c r="B336" s="11" t="n">
        <v>2</v>
      </c>
      <c r="C336" s="11" t="s">
        <v>2393</v>
      </c>
      <c r="D336" s="93" t="n">
        <v>-55</v>
      </c>
      <c r="E336" s="34" t="n">
        <v>-55</v>
      </c>
    </row>
    <row r="337" customFormat="false" ht="15" hidden="false" customHeight="false" outlineLevel="0" collapsed="false">
      <c r="A337" s="11" t="s">
        <v>1538</v>
      </c>
      <c r="B337" s="11" t="n">
        <v>3</v>
      </c>
      <c r="C337" s="11" t="s">
        <v>2394</v>
      </c>
      <c r="D337" s="93" t="n">
        <v>-18</v>
      </c>
      <c r="E337" s="34" t="n">
        <v>-18</v>
      </c>
    </row>
    <row r="338" customFormat="false" ht="15" hidden="false" customHeight="false" outlineLevel="0" collapsed="false">
      <c r="A338" s="11" t="s">
        <v>1538</v>
      </c>
      <c r="B338" s="11" t="n">
        <v>4</v>
      </c>
      <c r="C338" s="11" t="s">
        <v>2356</v>
      </c>
      <c r="D338" s="93" t="n">
        <v>9.64876</v>
      </c>
      <c r="E338" s="34" t="n">
        <v>9.6</v>
      </c>
    </row>
    <row r="339" customFormat="false" ht="15" hidden="false" customHeight="false" outlineLevel="0" collapsed="false">
      <c r="A339" s="11" t="s">
        <v>1540</v>
      </c>
      <c r="B339" s="11" t="n">
        <v>1</v>
      </c>
      <c r="C339" s="11" t="s">
        <v>2382</v>
      </c>
      <c r="D339" s="93" t="n">
        <v>-3163.903</v>
      </c>
      <c r="E339" s="34" t="n">
        <v>-3163.9</v>
      </c>
    </row>
    <row r="340" customFormat="false" ht="15" hidden="false" customHeight="false" outlineLevel="0" collapsed="false">
      <c r="A340" s="11" t="s">
        <v>1540</v>
      </c>
      <c r="B340" s="11" t="n">
        <v>2</v>
      </c>
      <c r="C340" s="11" t="s">
        <v>2381</v>
      </c>
      <c r="D340" s="93" t="n">
        <v>-23.473</v>
      </c>
      <c r="E340" s="34" t="n">
        <v>-23.5</v>
      </c>
    </row>
    <row r="341" customFormat="false" ht="15" hidden="false" customHeight="false" outlineLevel="0" collapsed="false">
      <c r="A341" s="11" t="s">
        <v>1542</v>
      </c>
      <c r="B341" s="11" t="n">
        <v>1</v>
      </c>
      <c r="C341" s="11" t="s">
        <v>2362</v>
      </c>
      <c r="D341" s="93" t="n">
        <v>3163.903</v>
      </c>
      <c r="E341" s="34" t="n">
        <v>3163.9</v>
      </c>
    </row>
    <row r="342" customFormat="false" ht="15" hidden="false" customHeight="false" outlineLevel="0" collapsed="false">
      <c r="A342" s="11" t="s">
        <v>1542</v>
      </c>
      <c r="B342" s="11" t="n">
        <v>2</v>
      </c>
      <c r="C342" s="11" t="s">
        <v>2374</v>
      </c>
      <c r="D342" s="93" t="n">
        <v>-3163.903</v>
      </c>
      <c r="E342" s="34" t="n">
        <v>-3163.9</v>
      </c>
    </row>
    <row r="343" customFormat="false" ht="15" hidden="false" customHeight="false" outlineLevel="0" collapsed="false">
      <c r="A343" s="11" t="s">
        <v>1542</v>
      </c>
      <c r="B343" s="11" t="n">
        <v>3</v>
      </c>
      <c r="C343" s="11" t="s">
        <v>2360</v>
      </c>
      <c r="D343" s="93" t="n">
        <v>1669.92735</v>
      </c>
      <c r="E343" s="34" t="n">
        <v>1669.9</v>
      </c>
    </row>
    <row r="344" customFormat="false" ht="15" hidden="false" customHeight="false" outlineLevel="0" collapsed="false">
      <c r="A344" s="11" t="s">
        <v>1542</v>
      </c>
      <c r="B344" s="11" t="n">
        <v>4</v>
      </c>
      <c r="C344" s="11" t="s">
        <v>2395</v>
      </c>
      <c r="D344" s="93" t="n">
        <v>-141.02524</v>
      </c>
      <c r="E344" s="34" t="n">
        <v>-141</v>
      </c>
    </row>
    <row r="345" customFormat="false" ht="15" hidden="false" customHeight="false" outlineLevel="0" collapsed="false">
      <c r="A345" s="11" t="s">
        <v>1544</v>
      </c>
      <c r="B345" s="11" t="n">
        <v>1</v>
      </c>
      <c r="C345" s="11" t="s">
        <v>2396</v>
      </c>
      <c r="D345" s="93" t="n">
        <v>140</v>
      </c>
      <c r="E345" s="34" t="n">
        <v>140</v>
      </c>
    </row>
    <row r="346" customFormat="false" ht="15" hidden="false" customHeight="false" outlineLevel="0" collapsed="false">
      <c r="A346" s="11" t="s">
        <v>1546</v>
      </c>
      <c r="B346" s="11" t="n">
        <v>1</v>
      </c>
      <c r="C346" s="11" t="s">
        <v>421</v>
      </c>
      <c r="D346" s="93" t="n">
        <v>140</v>
      </c>
      <c r="E346" s="34" t="n">
        <v>140</v>
      </c>
    </row>
    <row r="347" customFormat="false" ht="15" hidden="false" customHeight="false" outlineLevel="0" collapsed="false">
      <c r="A347" s="11" t="s">
        <v>1554</v>
      </c>
      <c r="B347" s="11" t="n">
        <v>1</v>
      </c>
      <c r="C347" s="11" t="s">
        <v>417</v>
      </c>
      <c r="D347" s="93" t="n">
        <v>1528.90211</v>
      </c>
      <c r="E347" s="34" t="n">
        <v>1528.9</v>
      </c>
    </row>
    <row r="348" customFormat="false" ht="15" hidden="false" customHeight="false" outlineLevel="0" collapsed="false">
      <c r="A348" s="11" t="s">
        <v>1554</v>
      </c>
      <c r="B348" s="11" t="n">
        <v>2</v>
      </c>
      <c r="C348" s="11" t="s">
        <v>419</v>
      </c>
      <c r="D348" s="93" t="n">
        <v>140</v>
      </c>
      <c r="E348" s="34" t="n">
        <v>140</v>
      </c>
    </row>
    <row r="349" customFormat="false" ht="15" hidden="false" customHeight="false" outlineLevel="0" collapsed="false">
      <c r="A349" s="11" t="s">
        <v>1556</v>
      </c>
      <c r="B349" s="11" t="n">
        <v>1</v>
      </c>
      <c r="C349" s="11" t="s">
        <v>2336</v>
      </c>
      <c r="D349" s="93" t="n">
        <v>122.306</v>
      </c>
      <c r="E349" s="34" t="n">
        <v>122.3</v>
      </c>
    </row>
    <row r="350" customFormat="false" ht="15" hidden="false" customHeight="false" outlineLevel="0" collapsed="false">
      <c r="A350" s="11" t="s">
        <v>1556</v>
      </c>
      <c r="B350" s="11" t="n">
        <v>2</v>
      </c>
      <c r="C350" s="11" t="s">
        <v>2397</v>
      </c>
      <c r="D350" s="93" t="n">
        <v>67.948</v>
      </c>
      <c r="E350" s="34" t="n">
        <v>67.9</v>
      </c>
    </row>
    <row r="351" customFormat="false" ht="15" hidden="false" customHeight="false" outlineLevel="0" collapsed="false">
      <c r="A351" s="11" t="s">
        <v>1556</v>
      </c>
      <c r="B351" s="11" t="n">
        <v>3</v>
      </c>
      <c r="C351" s="11" t="s">
        <v>2338</v>
      </c>
      <c r="D351" s="93" t="n">
        <v>-43.24</v>
      </c>
      <c r="E351" s="34" t="n">
        <v>-43.2</v>
      </c>
    </row>
    <row r="352" customFormat="false" ht="15" hidden="false" customHeight="false" outlineLevel="0" collapsed="false">
      <c r="A352" s="11" t="s">
        <v>1556</v>
      </c>
      <c r="B352" s="11" t="n">
        <v>4</v>
      </c>
      <c r="C352" s="11" t="s">
        <v>127</v>
      </c>
      <c r="D352" s="93" t="n">
        <v>-14.824</v>
      </c>
      <c r="E352" s="34" t="n">
        <v>-14.8</v>
      </c>
    </row>
    <row r="353" customFormat="false" ht="15" hidden="false" customHeight="false" outlineLevel="0" collapsed="false">
      <c r="A353" s="11" t="s">
        <v>1558</v>
      </c>
      <c r="B353" s="11" t="n">
        <v>1</v>
      </c>
      <c r="C353" s="11" t="s">
        <v>2339</v>
      </c>
      <c r="D353" s="93" t="n">
        <v>125</v>
      </c>
      <c r="E353" s="34" t="n">
        <v>125</v>
      </c>
    </row>
    <row r="354" customFormat="false" ht="15" hidden="false" customHeight="false" outlineLevel="0" collapsed="false">
      <c r="A354" s="11" t="s">
        <v>1558</v>
      </c>
      <c r="B354" s="11" t="n">
        <v>2</v>
      </c>
      <c r="C354" s="11" t="s">
        <v>1184</v>
      </c>
      <c r="D354" s="93" t="n">
        <v>-60</v>
      </c>
      <c r="E354" s="34" t="n">
        <v>-60</v>
      </c>
    </row>
    <row r="355" customFormat="false" ht="15" hidden="false" customHeight="false" outlineLevel="0" collapsed="false">
      <c r="A355" s="11" t="s">
        <v>1558</v>
      </c>
      <c r="B355" s="11" t="n">
        <v>3</v>
      </c>
      <c r="C355" s="11" t="s">
        <v>2340</v>
      </c>
      <c r="D355" s="93" t="n">
        <v>50</v>
      </c>
      <c r="E355" s="34" t="n">
        <v>50</v>
      </c>
    </row>
    <row r="356" customFormat="false" ht="15" hidden="false" customHeight="false" outlineLevel="0" collapsed="false">
      <c r="A356" s="11" t="s">
        <v>1558</v>
      </c>
      <c r="B356" s="11" t="n">
        <v>4</v>
      </c>
      <c r="C356" s="11" t="s">
        <v>127</v>
      </c>
      <c r="D356" s="93" t="n">
        <v>20</v>
      </c>
      <c r="E356" s="34" t="n">
        <v>20</v>
      </c>
    </row>
    <row r="357" customFormat="false" ht="15" hidden="false" customHeight="false" outlineLevel="0" collapsed="false">
      <c r="A357" s="11" t="s">
        <v>1559</v>
      </c>
      <c r="B357" s="11" t="n">
        <v>1</v>
      </c>
      <c r="C357" s="11" t="s">
        <v>2339</v>
      </c>
      <c r="D357" s="93" t="n">
        <v>125</v>
      </c>
      <c r="E357" s="34" t="n">
        <v>125</v>
      </c>
    </row>
    <row r="358" customFormat="false" ht="15" hidden="false" customHeight="false" outlineLevel="0" collapsed="false">
      <c r="A358" s="11" t="s">
        <v>1559</v>
      </c>
      <c r="B358" s="11" t="n">
        <v>2</v>
      </c>
      <c r="C358" s="11" t="s">
        <v>2336</v>
      </c>
      <c r="D358" s="93" t="n">
        <v>122.306</v>
      </c>
      <c r="E358" s="34" t="n">
        <v>122.3</v>
      </c>
    </row>
    <row r="359" customFormat="false" ht="15" hidden="false" customHeight="false" outlineLevel="0" collapsed="false">
      <c r="A359" s="11" t="s">
        <v>1559</v>
      </c>
      <c r="B359" s="11" t="n">
        <v>3</v>
      </c>
      <c r="C359" s="11" t="s">
        <v>2397</v>
      </c>
      <c r="D359" s="93" t="n">
        <v>67.948</v>
      </c>
      <c r="E359" s="34" t="n">
        <v>68</v>
      </c>
    </row>
    <row r="360" customFormat="false" ht="15" hidden="false" customHeight="false" outlineLevel="0" collapsed="false">
      <c r="A360" s="11" t="s">
        <v>1559</v>
      </c>
      <c r="B360" s="11" t="n">
        <v>4</v>
      </c>
      <c r="C360" s="11" t="s">
        <v>2341</v>
      </c>
      <c r="D360" s="93" t="n">
        <v>-48.064</v>
      </c>
      <c r="E360" s="34" t="n">
        <v>-48.1</v>
      </c>
    </row>
    <row r="361" customFormat="false" ht="15" hidden="false" customHeight="false" outlineLevel="0" collapsed="false">
      <c r="A361" s="11" t="s">
        <v>1560</v>
      </c>
      <c r="B361" s="11" t="n">
        <v>1</v>
      </c>
      <c r="C361" s="11" t="s">
        <v>2342</v>
      </c>
      <c r="D361" s="93" t="n">
        <v>24.4</v>
      </c>
      <c r="E361" s="34" t="n">
        <v>24.4</v>
      </c>
    </row>
    <row r="362" customFormat="false" ht="15" hidden="false" customHeight="false" outlineLevel="0" collapsed="false">
      <c r="A362" s="11" t="s">
        <v>1560</v>
      </c>
      <c r="B362" s="11" t="n">
        <v>2</v>
      </c>
      <c r="C362" s="11" t="s">
        <v>2398</v>
      </c>
      <c r="D362" s="93" t="n">
        <v>14.0768</v>
      </c>
      <c r="E362" s="34" t="n">
        <v>14.1</v>
      </c>
    </row>
    <row r="363" customFormat="false" ht="15" hidden="false" customHeight="false" outlineLevel="0" collapsed="false">
      <c r="A363" s="11" t="s">
        <v>1560</v>
      </c>
      <c r="B363" s="11" t="n">
        <v>3</v>
      </c>
      <c r="C363" s="11" t="s">
        <v>2399</v>
      </c>
      <c r="D363" s="93" t="n">
        <v>3.8011</v>
      </c>
      <c r="E363" s="34" t="n">
        <v>3.8</v>
      </c>
    </row>
    <row r="364" customFormat="false" ht="15" hidden="false" customHeight="false" outlineLevel="0" collapsed="false">
      <c r="A364" s="11" t="s">
        <v>1560</v>
      </c>
      <c r="B364" s="11" t="n">
        <v>4</v>
      </c>
      <c r="C364" s="11" t="s">
        <v>2400</v>
      </c>
      <c r="D364" s="93" t="n">
        <v>13.45855</v>
      </c>
      <c r="E364" s="34" t="n">
        <v>13.4</v>
      </c>
    </row>
    <row r="365" customFormat="false" ht="15" hidden="false" customHeight="false" outlineLevel="0" collapsed="false">
      <c r="A365" s="11" t="s">
        <v>1561</v>
      </c>
      <c r="B365" s="11" t="n">
        <v>1</v>
      </c>
      <c r="C365" s="11" t="s">
        <v>2342</v>
      </c>
      <c r="D365" s="93" t="n">
        <v>24.4</v>
      </c>
      <c r="E365" s="34" t="n">
        <v>24.4</v>
      </c>
    </row>
    <row r="366" customFormat="false" ht="15" hidden="false" customHeight="false" outlineLevel="0" collapsed="false">
      <c r="A366" s="11" t="s">
        <v>1561</v>
      </c>
      <c r="B366" s="11" t="n">
        <v>2</v>
      </c>
      <c r="C366" s="11" t="s">
        <v>2401</v>
      </c>
      <c r="D366" s="93" t="n">
        <v>2</v>
      </c>
      <c r="E366" s="34" t="n">
        <v>2</v>
      </c>
    </row>
    <row r="367" customFormat="false" ht="15" hidden="false" customHeight="false" outlineLevel="0" collapsed="false">
      <c r="A367" s="11" t="s">
        <v>1561</v>
      </c>
      <c r="B367" s="11" t="n">
        <v>3</v>
      </c>
      <c r="C367" s="11" t="s">
        <v>2402</v>
      </c>
      <c r="D367" s="93" t="n">
        <v>0.5</v>
      </c>
      <c r="E367" s="34" t="n">
        <v>0.5</v>
      </c>
    </row>
    <row r="368" customFormat="false" ht="15" hidden="false" customHeight="false" outlineLevel="0" collapsed="false">
      <c r="A368" s="11" t="s">
        <v>1562</v>
      </c>
      <c r="B368" s="11" t="n">
        <v>1</v>
      </c>
      <c r="C368" s="11" t="s">
        <v>2398</v>
      </c>
      <c r="D368" s="93" t="n">
        <v>8.22</v>
      </c>
      <c r="E368" s="34" t="n">
        <v>8.2</v>
      </c>
    </row>
    <row r="369" customFormat="false" ht="15" hidden="false" customHeight="false" outlineLevel="0" collapsed="false">
      <c r="A369" s="11" t="s">
        <v>1562</v>
      </c>
      <c r="B369" s="11" t="n">
        <v>2</v>
      </c>
      <c r="C369" s="11" t="s">
        <v>2399</v>
      </c>
      <c r="D369" s="93" t="n">
        <v>1.082</v>
      </c>
      <c r="E369" s="34" t="n">
        <v>1.1</v>
      </c>
    </row>
    <row r="370" customFormat="false" ht="15" hidden="false" customHeight="false" outlineLevel="0" collapsed="false">
      <c r="A370" s="11" t="s">
        <v>1562</v>
      </c>
      <c r="B370" s="11" t="n">
        <v>3</v>
      </c>
      <c r="C370" s="11" t="s">
        <v>1088</v>
      </c>
      <c r="D370" s="93" t="n">
        <v>0.5</v>
      </c>
      <c r="E370" s="34" t="n">
        <v>0.5</v>
      </c>
    </row>
    <row r="371" customFormat="false" ht="15" hidden="false" customHeight="false" outlineLevel="0" collapsed="false">
      <c r="A371" s="11" t="s">
        <v>1562</v>
      </c>
      <c r="B371" s="11" t="n">
        <v>4</v>
      </c>
      <c r="C371" s="11" t="s">
        <v>102</v>
      </c>
      <c r="D371" s="93" t="n">
        <v>0.14475</v>
      </c>
      <c r="E371" s="34" t="n">
        <v>0.1</v>
      </c>
    </row>
    <row r="372" customFormat="false" ht="15" hidden="false" customHeight="false" outlineLevel="0" collapsed="false">
      <c r="A372" s="11" t="s">
        <v>1563</v>
      </c>
      <c r="B372" s="11" t="n">
        <v>1</v>
      </c>
      <c r="C372" s="11" t="s">
        <v>2398</v>
      </c>
      <c r="D372" s="93" t="n">
        <v>-5.8632</v>
      </c>
      <c r="E372" s="34" t="n">
        <v>-5.9</v>
      </c>
    </row>
    <row r="373" customFormat="false" ht="15" hidden="false" customHeight="false" outlineLevel="0" collapsed="false">
      <c r="A373" s="11" t="s">
        <v>1563</v>
      </c>
      <c r="B373" s="11" t="n">
        <v>2</v>
      </c>
      <c r="C373" s="11" t="s">
        <v>1087</v>
      </c>
      <c r="D373" s="93" t="n">
        <v>2.1</v>
      </c>
      <c r="E373" s="34" t="n">
        <v>2.1</v>
      </c>
    </row>
    <row r="374" customFormat="false" ht="15" hidden="false" customHeight="false" outlineLevel="0" collapsed="false">
      <c r="A374" s="11" t="s">
        <v>1563</v>
      </c>
      <c r="B374" s="11" t="n">
        <v>3</v>
      </c>
      <c r="C374" s="11" t="s">
        <v>2403</v>
      </c>
      <c r="D374" s="93" t="n">
        <v>-1.1732</v>
      </c>
      <c r="E374" s="34" t="n">
        <v>-1.2</v>
      </c>
    </row>
    <row r="375" customFormat="false" ht="15" hidden="false" customHeight="false" outlineLevel="0" collapsed="false">
      <c r="A375" s="11" t="s">
        <v>1563</v>
      </c>
      <c r="B375" s="11" t="n">
        <v>4</v>
      </c>
      <c r="C375" s="11" t="s">
        <v>127</v>
      </c>
      <c r="D375" s="93" t="n">
        <v>-0.3549</v>
      </c>
      <c r="E375" s="34" t="n">
        <v>-0.3</v>
      </c>
    </row>
    <row r="376" customFormat="false" ht="15" hidden="false" customHeight="false" outlineLevel="0" collapsed="false">
      <c r="A376" s="11" t="s">
        <v>1564</v>
      </c>
      <c r="B376" s="11" t="n">
        <v>1</v>
      </c>
      <c r="C376" s="11" t="s">
        <v>2398</v>
      </c>
      <c r="D376" s="93" t="n">
        <v>11.72</v>
      </c>
      <c r="E376" s="34" t="n">
        <v>11.7</v>
      </c>
    </row>
    <row r="377" customFormat="false" ht="15" hidden="false" customHeight="false" outlineLevel="0" collapsed="false">
      <c r="A377" s="11" t="s">
        <v>1564</v>
      </c>
      <c r="B377" s="11" t="n">
        <v>2</v>
      </c>
      <c r="C377" s="11" t="s">
        <v>2399</v>
      </c>
      <c r="D377" s="93" t="n">
        <v>3.074</v>
      </c>
      <c r="E377" s="34" t="n">
        <v>3.1</v>
      </c>
    </row>
    <row r="378" customFormat="false" ht="15" hidden="false" customHeight="false" outlineLevel="0" collapsed="false">
      <c r="A378" s="11" t="s">
        <v>1564</v>
      </c>
      <c r="B378" s="11" t="n">
        <v>3</v>
      </c>
      <c r="C378" s="11" t="s">
        <v>2403</v>
      </c>
      <c r="D378" s="93" t="n">
        <v>-0.177</v>
      </c>
      <c r="E378" s="34" t="n">
        <v>-0.2</v>
      </c>
    </row>
    <row r="379" customFormat="false" ht="15" hidden="false" customHeight="false" outlineLevel="0" collapsed="false">
      <c r="A379" s="11" t="s">
        <v>1565</v>
      </c>
      <c r="B379" s="11" t="n">
        <v>1</v>
      </c>
      <c r="C379" s="11" t="s">
        <v>2344</v>
      </c>
      <c r="D379" s="93" t="n">
        <v>3.16</v>
      </c>
      <c r="E379" s="34" t="n">
        <v>3.2</v>
      </c>
    </row>
    <row r="380" customFormat="false" ht="15" hidden="false" customHeight="false" outlineLevel="0" collapsed="false">
      <c r="A380" s="11" t="s">
        <v>1565</v>
      </c>
      <c r="B380" s="11" t="n">
        <v>2</v>
      </c>
      <c r="C380" s="11" t="s">
        <v>2345</v>
      </c>
      <c r="D380" s="93" t="n">
        <v>0.765</v>
      </c>
      <c r="E380" s="34" t="n">
        <v>0.8</v>
      </c>
    </row>
    <row r="381" customFormat="false" ht="15" hidden="false" customHeight="false" outlineLevel="0" collapsed="false">
      <c r="A381" s="11" t="s">
        <v>1565</v>
      </c>
      <c r="B381" s="11" t="n">
        <v>3</v>
      </c>
      <c r="C381" s="11" t="s">
        <v>2404</v>
      </c>
      <c r="D381" s="93" t="n">
        <v>0.544</v>
      </c>
      <c r="E381" s="34" t="n">
        <v>0.5</v>
      </c>
    </row>
    <row r="382" customFormat="false" ht="15" hidden="false" customHeight="false" outlineLevel="0" collapsed="false">
      <c r="A382" s="11" t="s">
        <v>1565</v>
      </c>
      <c r="B382" s="11" t="n">
        <v>4</v>
      </c>
      <c r="C382" s="11" t="s">
        <v>102</v>
      </c>
      <c r="D382" s="93" t="n">
        <v>0.595</v>
      </c>
      <c r="E382" s="34" t="n">
        <v>0.6</v>
      </c>
    </row>
    <row r="383" customFormat="false" ht="15" hidden="false" customHeight="false" outlineLevel="0" collapsed="false">
      <c r="A383" s="11" t="s">
        <v>1566</v>
      </c>
      <c r="B383" s="11" t="n">
        <v>1</v>
      </c>
      <c r="C383" s="11" t="s">
        <v>2405</v>
      </c>
      <c r="D383" s="93" t="n">
        <v>1</v>
      </c>
      <c r="E383" s="34" t="n">
        <v>1</v>
      </c>
    </row>
    <row r="384" customFormat="false" ht="15" hidden="false" customHeight="false" outlineLevel="0" collapsed="false">
      <c r="A384" s="11" t="s">
        <v>1566</v>
      </c>
      <c r="B384" s="11" t="n">
        <v>2</v>
      </c>
      <c r="C384" s="11" t="s">
        <v>2346</v>
      </c>
      <c r="D384" s="93" t="n">
        <v>1</v>
      </c>
      <c r="E384" s="34" t="n">
        <v>1</v>
      </c>
    </row>
    <row r="385" customFormat="false" ht="15" hidden="false" customHeight="false" outlineLevel="0" collapsed="false">
      <c r="A385" s="11" t="s">
        <v>1567</v>
      </c>
      <c r="B385" s="11" t="n">
        <v>1</v>
      </c>
      <c r="C385" s="11" t="s">
        <v>2347</v>
      </c>
      <c r="D385" s="93" t="n">
        <v>3</v>
      </c>
      <c r="E385" s="34" t="n">
        <v>3</v>
      </c>
    </row>
    <row r="386" customFormat="false" ht="15" hidden="false" customHeight="false" outlineLevel="0" collapsed="false">
      <c r="A386" s="11" t="s">
        <v>1567</v>
      </c>
      <c r="B386" s="11" t="n">
        <v>2</v>
      </c>
      <c r="C386" s="11" t="s">
        <v>2406</v>
      </c>
      <c r="D386" s="93" t="n">
        <v>-0.75</v>
      </c>
      <c r="E386" s="34" t="n">
        <v>-0.8</v>
      </c>
    </row>
    <row r="387" customFormat="false" ht="15" hidden="false" customHeight="false" outlineLevel="0" collapsed="false">
      <c r="A387" s="11" t="s">
        <v>1567</v>
      </c>
      <c r="B387" s="11" t="n">
        <v>3</v>
      </c>
      <c r="C387" s="11" t="s">
        <v>2407</v>
      </c>
      <c r="D387" s="93" t="n">
        <v>0.25</v>
      </c>
      <c r="E387" s="34" t="n">
        <v>0.3</v>
      </c>
    </row>
    <row r="388" customFormat="false" ht="15" hidden="false" customHeight="false" outlineLevel="0" collapsed="false">
      <c r="A388" s="11" t="s">
        <v>1568</v>
      </c>
      <c r="B388" s="11" t="n">
        <v>1</v>
      </c>
      <c r="C388" s="11" t="s">
        <v>2403</v>
      </c>
      <c r="D388" s="93" t="n">
        <v>-0.964</v>
      </c>
      <c r="E388" s="34" t="n">
        <v>-1</v>
      </c>
    </row>
    <row r="389" customFormat="false" ht="15" hidden="false" customHeight="false" outlineLevel="0" collapsed="false">
      <c r="A389" s="11" t="s">
        <v>1568</v>
      </c>
      <c r="B389" s="11" t="n">
        <v>2</v>
      </c>
      <c r="C389" s="11" t="s">
        <v>2399</v>
      </c>
      <c r="D389" s="93" t="n">
        <v>0.888</v>
      </c>
      <c r="E389" s="34" t="n">
        <v>0.9</v>
      </c>
    </row>
    <row r="390" customFormat="false" ht="15" hidden="false" customHeight="false" outlineLevel="0" collapsed="false">
      <c r="A390" s="11" t="s">
        <v>1569</v>
      </c>
      <c r="B390" s="11" t="n">
        <v>1</v>
      </c>
      <c r="C390" s="11" t="s">
        <v>2342</v>
      </c>
      <c r="D390" s="93" t="n">
        <v>24.4</v>
      </c>
      <c r="E390" s="34" t="n">
        <v>24.4</v>
      </c>
    </row>
    <row r="391" customFormat="false" ht="15" hidden="false" customHeight="false" outlineLevel="0" collapsed="false">
      <c r="A391" s="11" t="s">
        <v>1569</v>
      </c>
      <c r="B391" s="11" t="n">
        <v>2</v>
      </c>
      <c r="C391" s="11" t="s">
        <v>2398</v>
      </c>
      <c r="D391" s="93" t="n">
        <v>14.0768</v>
      </c>
      <c r="E391" s="34" t="n">
        <v>14.1</v>
      </c>
    </row>
    <row r="392" customFormat="false" ht="15" hidden="false" customHeight="false" outlineLevel="0" collapsed="false">
      <c r="A392" s="11" t="s">
        <v>1569</v>
      </c>
      <c r="B392" s="11" t="n">
        <v>3</v>
      </c>
      <c r="C392" s="11" t="s">
        <v>2399</v>
      </c>
      <c r="D392" s="93" t="n">
        <v>4.6891</v>
      </c>
      <c r="E392" s="34" t="n">
        <v>4.7</v>
      </c>
    </row>
    <row r="393" customFormat="false" ht="15" hidden="false" customHeight="false" outlineLevel="0" collapsed="false">
      <c r="A393" s="11" t="s">
        <v>1569</v>
      </c>
      <c r="B393" s="11" t="n">
        <v>4</v>
      </c>
      <c r="C393" s="11" t="s">
        <v>2400</v>
      </c>
      <c r="D393" s="93" t="n">
        <v>12.49455</v>
      </c>
      <c r="E393" s="34" t="n">
        <v>12.5</v>
      </c>
    </row>
    <row r="394" customFormat="false" ht="15" hidden="false" customHeight="false" outlineLevel="0" collapsed="false">
      <c r="A394" s="11" t="s">
        <v>1570</v>
      </c>
      <c r="B394" s="11" t="n">
        <v>1</v>
      </c>
      <c r="C394" s="11" t="s">
        <v>91</v>
      </c>
      <c r="D394" s="93" t="n">
        <v>267.19</v>
      </c>
      <c r="E394" s="34" t="n">
        <v>267.2</v>
      </c>
    </row>
    <row r="395" customFormat="false" ht="15" hidden="false" customHeight="false" outlineLevel="0" collapsed="false">
      <c r="A395" s="11" t="s">
        <v>1570</v>
      </c>
      <c r="B395" s="11" t="n">
        <v>2</v>
      </c>
      <c r="C395" s="11" t="s">
        <v>101</v>
      </c>
      <c r="D395" s="93" t="n">
        <v>-55.66045</v>
      </c>
      <c r="E395" s="34" t="n">
        <v>-55.7</v>
      </c>
    </row>
    <row r="396" customFormat="false" ht="15" hidden="false" customHeight="false" outlineLevel="0" collapsed="false">
      <c r="A396" s="11" t="s">
        <v>1571</v>
      </c>
      <c r="B396" s="11" t="n">
        <v>1</v>
      </c>
      <c r="C396" s="11" t="s">
        <v>2398</v>
      </c>
      <c r="D396" s="93" t="n">
        <v>24.66</v>
      </c>
      <c r="E396" s="34" t="n">
        <v>24.7</v>
      </c>
    </row>
    <row r="397" customFormat="false" ht="15" hidden="false" customHeight="false" outlineLevel="0" collapsed="false">
      <c r="A397" s="11" t="s">
        <v>1571</v>
      </c>
      <c r="B397" s="11" t="n">
        <v>2</v>
      </c>
      <c r="C397" s="11" t="s">
        <v>2349</v>
      </c>
      <c r="D397" s="93" t="n">
        <v>6</v>
      </c>
      <c r="E397" s="34" t="n">
        <v>6</v>
      </c>
    </row>
    <row r="398" customFormat="false" ht="15" hidden="false" customHeight="false" outlineLevel="0" collapsed="false">
      <c r="A398" s="11" t="s">
        <v>1571</v>
      </c>
      <c r="B398" s="11" t="n">
        <v>3</v>
      </c>
      <c r="C398" s="11" t="s">
        <v>2347</v>
      </c>
      <c r="D398" s="93" t="n">
        <v>4.5</v>
      </c>
      <c r="E398" s="34" t="n">
        <v>4.5</v>
      </c>
    </row>
    <row r="399" customFormat="false" ht="15" hidden="false" customHeight="false" outlineLevel="0" collapsed="false">
      <c r="A399" s="11" t="s">
        <v>1571</v>
      </c>
      <c r="B399" s="11" t="n">
        <v>4</v>
      </c>
      <c r="C399" s="11" t="s">
        <v>2392</v>
      </c>
      <c r="D399" s="93" t="n">
        <v>9.79027</v>
      </c>
      <c r="E399" s="34" t="n">
        <v>9.8</v>
      </c>
    </row>
    <row r="400" customFormat="false" ht="15" hidden="false" customHeight="false" outlineLevel="0" collapsed="false">
      <c r="A400" s="11" t="s">
        <v>1572</v>
      </c>
      <c r="B400" s="11" t="n">
        <v>1</v>
      </c>
      <c r="C400" s="11" t="s">
        <v>2398</v>
      </c>
      <c r="D400" s="93" t="n">
        <v>24.66</v>
      </c>
      <c r="E400" s="34" t="n">
        <v>24.7</v>
      </c>
    </row>
    <row r="401" customFormat="false" ht="15" hidden="false" customHeight="false" outlineLevel="0" collapsed="false">
      <c r="A401" s="11" t="s">
        <v>1572</v>
      </c>
      <c r="B401" s="11" t="n">
        <v>2</v>
      </c>
      <c r="C401" s="11" t="s">
        <v>2399</v>
      </c>
      <c r="D401" s="93" t="n">
        <v>3.246</v>
      </c>
      <c r="E401" s="34" t="n">
        <v>3.2</v>
      </c>
    </row>
    <row r="402" customFormat="false" ht="15" hidden="false" customHeight="false" outlineLevel="0" collapsed="false">
      <c r="A402" s="11" t="s">
        <v>1572</v>
      </c>
      <c r="B402" s="11" t="n">
        <v>3</v>
      </c>
      <c r="C402" s="11" t="s">
        <v>1088</v>
      </c>
      <c r="D402" s="93" t="n">
        <v>1.5</v>
      </c>
      <c r="E402" s="34" t="n">
        <v>1.5</v>
      </c>
    </row>
    <row r="403" customFormat="false" ht="15" hidden="false" customHeight="false" outlineLevel="0" collapsed="false">
      <c r="A403" s="11" t="s">
        <v>1572</v>
      </c>
      <c r="B403" s="11" t="n">
        <v>4</v>
      </c>
      <c r="C403" s="11" t="s">
        <v>102</v>
      </c>
      <c r="D403" s="93" t="n">
        <v>0.43425</v>
      </c>
      <c r="E403" s="34" t="n">
        <v>0.4</v>
      </c>
    </row>
    <row r="404" customFormat="false" ht="15" hidden="false" customHeight="false" outlineLevel="0" collapsed="false">
      <c r="A404" s="11" t="s">
        <v>1573</v>
      </c>
      <c r="B404" s="11" t="n">
        <v>1</v>
      </c>
      <c r="C404" s="11" t="s">
        <v>2349</v>
      </c>
      <c r="D404" s="93" t="n">
        <v>6</v>
      </c>
      <c r="E404" s="34" t="n">
        <v>6</v>
      </c>
    </row>
    <row r="405" customFormat="false" ht="15" hidden="false" customHeight="false" outlineLevel="0" collapsed="false">
      <c r="A405" s="11" t="s">
        <v>1574</v>
      </c>
      <c r="B405" s="11" t="n">
        <v>1</v>
      </c>
      <c r="C405" s="11" t="s">
        <v>2345</v>
      </c>
      <c r="D405" s="93" t="n">
        <v>1.35</v>
      </c>
      <c r="E405" s="34" t="n">
        <v>1.3</v>
      </c>
    </row>
    <row r="406" customFormat="false" ht="15" hidden="false" customHeight="false" outlineLevel="0" collapsed="false">
      <c r="A406" s="11" t="s">
        <v>1574</v>
      </c>
      <c r="B406" s="11" t="n">
        <v>2</v>
      </c>
      <c r="C406" s="11" t="s">
        <v>2404</v>
      </c>
      <c r="D406" s="93" t="n">
        <v>0.96</v>
      </c>
      <c r="E406" s="34" t="n">
        <v>1</v>
      </c>
    </row>
    <row r="407" customFormat="false" ht="15" hidden="false" customHeight="false" outlineLevel="0" collapsed="false">
      <c r="A407" s="11" t="s">
        <v>1574</v>
      </c>
      <c r="B407" s="11" t="n">
        <v>3</v>
      </c>
      <c r="C407" s="11" t="s">
        <v>2408</v>
      </c>
      <c r="D407" s="93" t="n">
        <v>0.9</v>
      </c>
      <c r="E407" s="34" t="n">
        <v>0.9</v>
      </c>
    </row>
    <row r="408" customFormat="false" ht="15" hidden="false" customHeight="false" outlineLevel="0" collapsed="false">
      <c r="A408" s="11" t="s">
        <v>1574</v>
      </c>
      <c r="B408" s="11" t="n">
        <v>4</v>
      </c>
      <c r="C408" s="11" t="s">
        <v>127</v>
      </c>
      <c r="D408" s="93" t="n">
        <v>0.15</v>
      </c>
      <c r="E408" s="34" t="n">
        <v>0.2</v>
      </c>
    </row>
    <row r="409" customFormat="false" ht="15" hidden="false" customHeight="false" outlineLevel="0" collapsed="false">
      <c r="A409" s="11" t="s">
        <v>1575</v>
      </c>
      <c r="B409" s="11" t="n">
        <v>1</v>
      </c>
      <c r="C409" s="11" t="s">
        <v>2405</v>
      </c>
      <c r="D409" s="93" t="n">
        <v>1</v>
      </c>
      <c r="E409" s="34" t="n">
        <v>1</v>
      </c>
    </row>
    <row r="410" customFormat="false" ht="15" hidden="false" customHeight="false" outlineLevel="0" collapsed="false">
      <c r="A410" s="11" t="s">
        <v>1575</v>
      </c>
      <c r="B410" s="11" t="n">
        <v>2</v>
      </c>
      <c r="C410" s="11" t="s">
        <v>2346</v>
      </c>
      <c r="D410" s="93" t="n">
        <v>1</v>
      </c>
      <c r="E410" s="34" t="n">
        <v>1</v>
      </c>
    </row>
    <row r="411" customFormat="false" ht="15" hidden="false" customHeight="false" outlineLevel="0" collapsed="false">
      <c r="A411" s="11" t="s">
        <v>1576</v>
      </c>
      <c r="B411" s="11" t="n">
        <v>1</v>
      </c>
      <c r="C411" s="11" t="s">
        <v>2347</v>
      </c>
      <c r="D411" s="93" t="n">
        <v>4.5</v>
      </c>
      <c r="E411" s="34" t="n">
        <v>4.5</v>
      </c>
    </row>
    <row r="412" customFormat="false" ht="15" hidden="false" customHeight="false" outlineLevel="0" collapsed="false">
      <c r="A412" s="11" t="s">
        <v>1576</v>
      </c>
      <c r="B412" s="11" t="n">
        <v>2</v>
      </c>
      <c r="C412" s="11" t="s">
        <v>2406</v>
      </c>
      <c r="D412" s="93" t="n">
        <v>-1.12499</v>
      </c>
      <c r="E412" s="34" t="n">
        <v>-1.1</v>
      </c>
    </row>
    <row r="413" customFormat="false" ht="15" hidden="false" customHeight="false" outlineLevel="0" collapsed="false">
      <c r="A413" s="11" t="s">
        <v>1576</v>
      </c>
      <c r="B413" s="11" t="n">
        <v>3</v>
      </c>
      <c r="C413" s="11" t="s">
        <v>2407</v>
      </c>
      <c r="D413" s="93" t="n">
        <v>0.37501</v>
      </c>
      <c r="E413" s="34" t="n">
        <v>0.4</v>
      </c>
    </row>
    <row r="414" customFormat="false" ht="15" hidden="false" customHeight="false" outlineLevel="0" collapsed="false">
      <c r="A414" s="11" t="s">
        <v>1577</v>
      </c>
      <c r="B414" s="11" t="n">
        <v>1</v>
      </c>
      <c r="C414" s="11" t="s">
        <v>1181</v>
      </c>
      <c r="D414" s="93" t="n">
        <v>77.25</v>
      </c>
      <c r="E414" s="34" t="n">
        <v>77.3</v>
      </c>
    </row>
    <row r="415" customFormat="false" ht="15" hidden="false" customHeight="false" outlineLevel="0" collapsed="false">
      <c r="A415" s="11" t="s">
        <v>1577</v>
      </c>
      <c r="B415" s="11" t="n">
        <v>2</v>
      </c>
      <c r="C415" s="11" t="s">
        <v>2398</v>
      </c>
      <c r="D415" s="93" t="n">
        <v>37.5372</v>
      </c>
      <c r="E415" s="34" t="n">
        <v>37.5</v>
      </c>
    </row>
    <row r="416" customFormat="false" ht="15" hidden="false" customHeight="false" outlineLevel="0" collapsed="false">
      <c r="A416" s="11" t="s">
        <v>1577</v>
      </c>
      <c r="B416" s="11" t="n">
        <v>3</v>
      </c>
      <c r="C416" s="11" t="s">
        <v>2351</v>
      </c>
      <c r="D416" s="93" t="n">
        <v>12</v>
      </c>
      <c r="E416" s="34" t="n">
        <v>12</v>
      </c>
    </row>
    <row r="417" customFormat="false" ht="15" hidden="false" customHeight="false" outlineLevel="0" collapsed="false">
      <c r="A417" s="11" t="s">
        <v>1577</v>
      </c>
      <c r="B417" s="11" t="n">
        <v>4</v>
      </c>
      <c r="C417" s="11" t="s">
        <v>2395</v>
      </c>
      <c r="D417" s="93" t="n">
        <v>25.9061</v>
      </c>
      <c r="E417" s="34" t="n">
        <v>25.9</v>
      </c>
    </row>
    <row r="418" customFormat="false" ht="15" hidden="false" customHeight="false" outlineLevel="0" collapsed="false">
      <c r="A418" s="11" t="s">
        <v>1578</v>
      </c>
      <c r="B418" s="11" t="n">
        <v>1</v>
      </c>
      <c r="C418" s="11" t="s">
        <v>2398</v>
      </c>
      <c r="D418" s="93" t="n">
        <v>40.05</v>
      </c>
      <c r="E418" s="34" t="n">
        <v>40.1</v>
      </c>
    </row>
    <row r="419" customFormat="false" ht="15" hidden="false" customHeight="false" outlineLevel="0" collapsed="false">
      <c r="A419" s="11" t="s">
        <v>1578</v>
      </c>
      <c r="B419" s="11" t="n">
        <v>2</v>
      </c>
      <c r="C419" s="11" t="s">
        <v>2399</v>
      </c>
      <c r="D419" s="93" t="n">
        <v>5.421</v>
      </c>
      <c r="E419" s="34" t="n">
        <v>5.4</v>
      </c>
    </row>
    <row r="420" customFormat="false" ht="15" hidden="false" customHeight="false" outlineLevel="0" collapsed="false">
      <c r="A420" s="11" t="s">
        <v>1578</v>
      </c>
      <c r="B420" s="11" t="n">
        <v>3</v>
      </c>
      <c r="C420" s="11" t="s">
        <v>2403</v>
      </c>
      <c r="D420" s="93" t="n">
        <v>1.504</v>
      </c>
      <c r="E420" s="34" t="n">
        <v>1.5</v>
      </c>
    </row>
    <row r="421" customFormat="false" ht="15" hidden="false" customHeight="false" outlineLevel="0" collapsed="false">
      <c r="A421" s="11" t="s">
        <v>1579</v>
      </c>
      <c r="B421" s="11" t="n">
        <v>1</v>
      </c>
      <c r="C421" s="11" t="s">
        <v>2398</v>
      </c>
      <c r="D421" s="93" t="n">
        <v>-2.5128</v>
      </c>
      <c r="E421" s="34" t="n">
        <v>-2.5</v>
      </c>
    </row>
    <row r="422" customFormat="false" ht="15" hidden="false" customHeight="false" outlineLevel="0" collapsed="false">
      <c r="A422" s="11" t="s">
        <v>1579</v>
      </c>
      <c r="B422" s="11" t="n">
        <v>2</v>
      </c>
      <c r="C422" s="11" t="s">
        <v>1087</v>
      </c>
      <c r="D422" s="93" t="n">
        <v>0.9</v>
      </c>
      <c r="E422" s="34" t="n">
        <v>0.9</v>
      </c>
    </row>
    <row r="423" customFormat="false" ht="15" hidden="false" customHeight="false" outlineLevel="0" collapsed="false">
      <c r="A423" s="11" t="s">
        <v>1579</v>
      </c>
      <c r="B423" s="11" t="n">
        <v>3</v>
      </c>
      <c r="C423" s="11" t="s">
        <v>2403</v>
      </c>
      <c r="D423" s="93" t="n">
        <v>-0.5028</v>
      </c>
      <c r="E423" s="34" t="n">
        <v>-0.5</v>
      </c>
    </row>
    <row r="424" customFormat="false" ht="15" hidden="false" customHeight="false" outlineLevel="0" collapsed="false">
      <c r="A424" s="11" t="s">
        <v>1579</v>
      </c>
      <c r="B424" s="11" t="n">
        <v>4</v>
      </c>
      <c r="C424" s="11" t="s">
        <v>127</v>
      </c>
      <c r="D424" s="93" t="n">
        <v>-0.1521</v>
      </c>
      <c r="E424" s="34" t="n">
        <v>-0.2</v>
      </c>
    </row>
    <row r="425" customFormat="false" ht="15" hidden="false" customHeight="false" outlineLevel="0" collapsed="false">
      <c r="A425" s="11" t="s">
        <v>1580</v>
      </c>
      <c r="B425" s="11" t="n">
        <v>1</v>
      </c>
      <c r="C425" s="11" t="s">
        <v>1181</v>
      </c>
      <c r="D425" s="93" t="n">
        <v>77.25</v>
      </c>
      <c r="E425" s="34" t="n">
        <v>77.3</v>
      </c>
    </row>
    <row r="426" customFormat="false" ht="15" hidden="false" customHeight="false" outlineLevel="0" collapsed="false">
      <c r="A426" s="11" t="s">
        <v>1580</v>
      </c>
      <c r="B426" s="11" t="n">
        <v>2</v>
      </c>
      <c r="C426" s="11" t="s">
        <v>1198</v>
      </c>
      <c r="D426" s="93" t="n">
        <v>8.2</v>
      </c>
      <c r="E426" s="34" t="n">
        <v>8.2</v>
      </c>
    </row>
    <row r="427" customFormat="false" ht="15" hidden="false" customHeight="false" outlineLevel="0" collapsed="false">
      <c r="A427" s="11" t="s">
        <v>1580</v>
      </c>
      <c r="B427" s="11" t="n">
        <v>3</v>
      </c>
      <c r="C427" s="11" t="s">
        <v>2409</v>
      </c>
      <c r="D427" s="93" t="n">
        <v>3</v>
      </c>
      <c r="E427" s="34" t="n">
        <v>3</v>
      </c>
    </row>
    <row r="428" customFormat="false" ht="15" hidden="false" customHeight="false" outlineLevel="0" collapsed="false">
      <c r="A428" s="11" t="s">
        <v>1580</v>
      </c>
      <c r="B428" s="11" t="n">
        <v>4</v>
      </c>
      <c r="C428" s="11" t="s">
        <v>127</v>
      </c>
      <c r="D428" s="93" t="n">
        <v>-3</v>
      </c>
      <c r="E428" s="34" t="n">
        <v>-3</v>
      </c>
    </row>
    <row r="429" customFormat="false" ht="15" hidden="false" customHeight="false" outlineLevel="0" collapsed="false">
      <c r="A429" s="11" t="s">
        <v>1581</v>
      </c>
      <c r="B429" s="11" t="n">
        <v>1</v>
      </c>
      <c r="C429" s="11" t="s">
        <v>2410</v>
      </c>
      <c r="D429" s="93" t="n">
        <v>5</v>
      </c>
      <c r="E429" s="34" t="n">
        <v>5</v>
      </c>
    </row>
    <row r="430" customFormat="false" ht="15" hidden="false" customHeight="false" outlineLevel="0" collapsed="false">
      <c r="A430" s="11" t="s">
        <v>1581</v>
      </c>
      <c r="B430" s="11" t="n">
        <v>2</v>
      </c>
      <c r="C430" s="11" t="s">
        <v>2411</v>
      </c>
      <c r="D430" s="93" t="n">
        <v>1.5</v>
      </c>
      <c r="E430" s="34" t="n">
        <v>1.5</v>
      </c>
    </row>
    <row r="431" customFormat="false" ht="15" hidden="false" customHeight="false" outlineLevel="0" collapsed="false">
      <c r="A431" s="11" t="s">
        <v>1581</v>
      </c>
      <c r="B431" s="11" t="n">
        <v>3</v>
      </c>
      <c r="C431" s="11" t="s">
        <v>2412</v>
      </c>
      <c r="D431" s="93" t="n">
        <v>-1</v>
      </c>
      <c r="E431" s="34" t="n">
        <v>-1</v>
      </c>
    </row>
    <row r="432" customFormat="false" ht="15" hidden="false" customHeight="false" outlineLevel="0" collapsed="false">
      <c r="A432" s="11" t="s">
        <v>1581</v>
      </c>
      <c r="B432" s="11" t="n">
        <v>4</v>
      </c>
      <c r="C432" s="11" t="s">
        <v>127</v>
      </c>
      <c r="D432" s="93" t="n">
        <v>1</v>
      </c>
      <c r="E432" s="34" t="n">
        <v>1</v>
      </c>
    </row>
    <row r="433" customFormat="false" ht="15" hidden="false" customHeight="false" outlineLevel="0" collapsed="false">
      <c r="A433" s="11" t="s">
        <v>1582</v>
      </c>
      <c r="B433" s="11" t="n">
        <v>1</v>
      </c>
      <c r="C433" s="11" t="s">
        <v>2351</v>
      </c>
      <c r="D433" s="93" t="n">
        <v>12</v>
      </c>
      <c r="E433" s="34" t="n">
        <v>12</v>
      </c>
    </row>
    <row r="434" customFormat="false" ht="15" hidden="false" customHeight="false" outlineLevel="0" collapsed="false">
      <c r="A434" s="11" t="s">
        <v>1583</v>
      </c>
      <c r="B434" s="11" t="n">
        <v>1</v>
      </c>
      <c r="C434" s="11" t="s">
        <v>2344</v>
      </c>
      <c r="D434" s="93" t="n">
        <v>-3.16</v>
      </c>
      <c r="E434" s="34" t="n">
        <v>-3.2</v>
      </c>
    </row>
    <row r="435" customFormat="false" ht="15" hidden="false" customHeight="false" outlineLevel="0" collapsed="false">
      <c r="A435" s="11" t="s">
        <v>1583</v>
      </c>
      <c r="B435" s="11" t="n">
        <v>2</v>
      </c>
      <c r="C435" s="11" t="s">
        <v>2345</v>
      </c>
      <c r="D435" s="93" t="n">
        <v>1.485</v>
      </c>
      <c r="E435" s="34" t="n">
        <v>1.5</v>
      </c>
    </row>
    <row r="436" customFormat="false" ht="15" hidden="false" customHeight="false" outlineLevel="0" collapsed="false">
      <c r="A436" s="11" t="s">
        <v>1583</v>
      </c>
      <c r="B436" s="11" t="n">
        <v>3</v>
      </c>
      <c r="C436" s="11" t="s">
        <v>2404</v>
      </c>
      <c r="D436" s="93" t="n">
        <v>1.056</v>
      </c>
      <c r="E436" s="34" t="n">
        <v>1.1</v>
      </c>
    </row>
    <row r="437" customFormat="false" ht="15" hidden="false" customHeight="false" outlineLevel="0" collapsed="false">
      <c r="A437" s="11" t="s">
        <v>1583</v>
      </c>
      <c r="B437" s="11" t="n">
        <v>4</v>
      </c>
      <c r="C437" s="11" t="s">
        <v>102</v>
      </c>
      <c r="D437" s="93" t="n">
        <v>1.155</v>
      </c>
      <c r="E437" s="34" t="n">
        <v>1.1</v>
      </c>
    </row>
    <row r="438" customFormat="false" ht="15" hidden="false" customHeight="false" outlineLevel="0" collapsed="false">
      <c r="A438" s="11" t="s">
        <v>1584</v>
      </c>
      <c r="B438" s="11" t="n">
        <v>1</v>
      </c>
      <c r="C438" s="11" t="s">
        <v>2405</v>
      </c>
      <c r="D438" s="93" t="n">
        <v>0.5</v>
      </c>
      <c r="E438" s="34" t="n">
        <v>0.5</v>
      </c>
    </row>
    <row r="439" customFormat="false" ht="15" hidden="false" customHeight="false" outlineLevel="0" collapsed="false">
      <c r="A439" s="11" t="s">
        <v>1584</v>
      </c>
      <c r="B439" s="11" t="n">
        <v>2</v>
      </c>
      <c r="C439" s="11" t="s">
        <v>2346</v>
      </c>
      <c r="D439" s="93" t="n">
        <v>0.5</v>
      </c>
      <c r="E439" s="34" t="n">
        <v>0.5</v>
      </c>
    </row>
    <row r="440" customFormat="false" ht="15" hidden="false" customHeight="false" outlineLevel="0" collapsed="false">
      <c r="A440" s="11" t="s">
        <v>1585</v>
      </c>
      <c r="B440" s="11" t="n">
        <v>1</v>
      </c>
      <c r="C440" s="11" t="s">
        <v>2347</v>
      </c>
      <c r="D440" s="93" t="n">
        <v>3</v>
      </c>
      <c r="E440" s="34" t="n">
        <v>3</v>
      </c>
    </row>
    <row r="441" customFormat="false" ht="15" hidden="false" customHeight="false" outlineLevel="0" collapsed="false">
      <c r="A441" s="11" t="s">
        <v>1585</v>
      </c>
      <c r="B441" s="11" t="n">
        <v>2</v>
      </c>
      <c r="C441" s="11" t="s">
        <v>2406</v>
      </c>
      <c r="D441" s="93" t="n">
        <v>-0.75</v>
      </c>
      <c r="E441" s="34" t="n">
        <v>-0.8</v>
      </c>
    </row>
    <row r="442" customFormat="false" ht="15" hidden="false" customHeight="false" outlineLevel="0" collapsed="false">
      <c r="A442" s="11" t="s">
        <v>1585</v>
      </c>
      <c r="B442" s="11" t="n">
        <v>3</v>
      </c>
      <c r="C442" s="11" t="s">
        <v>2407</v>
      </c>
      <c r="D442" s="93" t="n">
        <v>0.25</v>
      </c>
      <c r="E442" s="34" t="n">
        <v>0.3</v>
      </c>
    </row>
    <row r="443" customFormat="false" ht="15" hidden="false" customHeight="false" outlineLevel="0" collapsed="false">
      <c r="A443" s="11" t="s">
        <v>1586</v>
      </c>
      <c r="B443" s="11" t="n">
        <v>1</v>
      </c>
      <c r="C443" s="11" t="s">
        <v>1190</v>
      </c>
      <c r="D443" s="93" t="n">
        <v>28</v>
      </c>
      <c r="E443" s="34" t="n">
        <v>28</v>
      </c>
    </row>
    <row r="444" customFormat="false" ht="15" hidden="false" customHeight="false" outlineLevel="0" collapsed="false">
      <c r="A444" s="11" t="s">
        <v>1586</v>
      </c>
      <c r="B444" s="11" t="n">
        <v>2</v>
      </c>
      <c r="C444" s="11" t="s">
        <v>2413</v>
      </c>
      <c r="D444" s="93" t="n">
        <v>9.6</v>
      </c>
      <c r="E444" s="34" t="n">
        <v>9.6</v>
      </c>
    </row>
    <row r="445" customFormat="false" ht="15" hidden="false" customHeight="false" outlineLevel="0" collapsed="false">
      <c r="A445" s="11" t="s">
        <v>1586</v>
      </c>
      <c r="B445" s="11" t="n">
        <v>3</v>
      </c>
      <c r="C445" s="11" t="s">
        <v>2354</v>
      </c>
      <c r="D445" s="93" t="n">
        <v>4.2</v>
      </c>
      <c r="E445" s="34" t="n">
        <v>4.2</v>
      </c>
    </row>
    <row r="446" customFormat="false" ht="15" hidden="false" customHeight="false" outlineLevel="0" collapsed="false">
      <c r="A446" s="11" t="s">
        <v>1586</v>
      </c>
      <c r="B446" s="11" t="n">
        <v>4</v>
      </c>
      <c r="C446" s="11" t="s">
        <v>2352</v>
      </c>
      <c r="D446" s="93" t="n">
        <v>8.08998</v>
      </c>
      <c r="E446" s="34" t="n">
        <v>8.1</v>
      </c>
    </row>
    <row r="447" customFormat="false" ht="15" hidden="false" customHeight="false" outlineLevel="0" collapsed="false">
      <c r="A447" s="11" t="s">
        <v>1587</v>
      </c>
      <c r="B447" s="11" t="n">
        <v>1</v>
      </c>
      <c r="C447" s="11" t="s">
        <v>1190</v>
      </c>
      <c r="D447" s="93" t="n">
        <v>28</v>
      </c>
      <c r="E447" s="34" t="n">
        <v>28</v>
      </c>
    </row>
    <row r="448" customFormat="false" ht="15" hidden="false" customHeight="false" outlineLevel="0" collapsed="false">
      <c r="A448" s="11" t="s">
        <v>1587</v>
      </c>
      <c r="B448" s="11" t="n">
        <v>2</v>
      </c>
      <c r="C448" s="11" t="s">
        <v>2413</v>
      </c>
      <c r="D448" s="93" t="n">
        <v>9.6</v>
      </c>
      <c r="E448" s="34" t="n">
        <v>9.6</v>
      </c>
    </row>
    <row r="449" customFormat="false" ht="15" hidden="false" customHeight="false" outlineLevel="0" collapsed="false">
      <c r="A449" s="11" t="s">
        <v>1587</v>
      </c>
      <c r="B449" s="11" t="n">
        <v>3</v>
      </c>
      <c r="C449" s="11" t="s">
        <v>2354</v>
      </c>
      <c r="D449" s="93" t="n">
        <v>4.2</v>
      </c>
      <c r="E449" s="34" t="n">
        <v>4.2</v>
      </c>
    </row>
    <row r="450" customFormat="false" ht="15" hidden="false" customHeight="false" outlineLevel="0" collapsed="false">
      <c r="A450" s="11" t="s">
        <v>1587</v>
      </c>
      <c r="B450" s="11" t="n">
        <v>4</v>
      </c>
      <c r="C450" s="11" t="s">
        <v>102</v>
      </c>
      <c r="D450" s="93" t="n">
        <v>3.6</v>
      </c>
      <c r="E450" s="34" t="n">
        <v>3.6</v>
      </c>
    </row>
    <row r="451" customFormat="false" ht="15" hidden="false" customHeight="false" outlineLevel="0" collapsed="false">
      <c r="A451" s="11" t="s">
        <v>1588</v>
      </c>
      <c r="B451" s="11" t="n">
        <v>1</v>
      </c>
      <c r="C451" s="11" t="s">
        <v>2345</v>
      </c>
      <c r="D451" s="93" t="n">
        <v>0.9</v>
      </c>
      <c r="E451" s="34" t="n">
        <v>0.9</v>
      </c>
    </row>
    <row r="452" customFormat="false" ht="15" hidden="false" customHeight="false" outlineLevel="0" collapsed="false">
      <c r="A452" s="11" t="s">
        <v>1588</v>
      </c>
      <c r="B452" s="11" t="n">
        <v>2</v>
      </c>
      <c r="C452" s="11" t="s">
        <v>2404</v>
      </c>
      <c r="D452" s="93" t="n">
        <v>0.64</v>
      </c>
      <c r="E452" s="34" t="n">
        <v>0.6</v>
      </c>
    </row>
    <row r="453" customFormat="false" ht="15" hidden="false" customHeight="false" outlineLevel="0" collapsed="false">
      <c r="A453" s="11" t="s">
        <v>1588</v>
      </c>
      <c r="B453" s="11" t="n">
        <v>3</v>
      </c>
      <c r="C453" s="11" t="s">
        <v>2408</v>
      </c>
      <c r="D453" s="93" t="n">
        <v>0.6</v>
      </c>
      <c r="E453" s="34" t="n">
        <v>0.6</v>
      </c>
    </row>
    <row r="454" customFormat="false" ht="15" hidden="false" customHeight="false" outlineLevel="0" collapsed="false">
      <c r="A454" s="11" t="s">
        <v>1588</v>
      </c>
      <c r="B454" s="11" t="n">
        <v>4</v>
      </c>
      <c r="C454" s="11" t="s">
        <v>127</v>
      </c>
      <c r="D454" s="93" t="n">
        <v>0.1</v>
      </c>
      <c r="E454" s="34" t="n">
        <v>0.1</v>
      </c>
    </row>
    <row r="455" customFormat="false" ht="15" hidden="false" customHeight="false" outlineLevel="0" collapsed="false">
      <c r="A455" s="11" t="s">
        <v>1589</v>
      </c>
      <c r="B455" s="11" t="n">
        <v>1</v>
      </c>
      <c r="C455" s="11" t="s">
        <v>2405</v>
      </c>
      <c r="D455" s="93" t="n">
        <v>0.5</v>
      </c>
      <c r="E455" s="34" t="n">
        <v>0.5</v>
      </c>
    </row>
    <row r="456" customFormat="false" ht="15" hidden="false" customHeight="false" outlineLevel="0" collapsed="false">
      <c r="A456" s="11" t="s">
        <v>1589</v>
      </c>
      <c r="B456" s="11" t="n">
        <v>2</v>
      </c>
      <c r="C456" s="11" t="s">
        <v>2346</v>
      </c>
      <c r="D456" s="93" t="n">
        <v>0.5</v>
      </c>
      <c r="E456" s="34" t="n">
        <v>0.5</v>
      </c>
    </row>
    <row r="457" customFormat="false" ht="15" hidden="false" customHeight="false" outlineLevel="0" collapsed="false">
      <c r="A457" s="11" t="s">
        <v>1590</v>
      </c>
      <c r="B457" s="11" t="n">
        <v>1</v>
      </c>
      <c r="C457" s="11" t="s">
        <v>2347</v>
      </c>
      <c r="D457" s="93" t="n">
        <v>1.5</v>
      </c>
      <c r="E457" s="34" t="n">
        <v>1.5</v>
      </c>
    </row>
    <row r="458" customFormat="false" ht="15" hidden="false" customHeight="false" outlineLevel="0" collapsed="false">
      <c r="A458" s="11" t="s">
        <v>1590</v>
      </c>
      <c r="B458" s="11" t="n">
        <v>2</v>
      </c>
      <c r="C458" s="11" t="s">
        <v>2406</v>
      </c>
      <c r="D458" s="93" t="n">
        <v>-0.37501</v>
      </c>
      <c r="E458" s="34" t="n">
        <v>-0.4</v>
      </c>
    </row>
    <row r="459" customFormat="false" ht="15" hidden="false" customHeight="false" outlineLevel="0" collapsed="false">
      <c r="A459" s="11" t="s">
        <v>1590</v>
      </c>
      <c r="B459" s="11" t="n">
        <v>3</v>
      </c>
      <c r="C459" s="11" t="s">
        <v>2407</v>
      </c>
      <c r="D459" s="93" t="n">
        <v>0.12499</v>
      </c>
      <c r="E459" s="34" t="n">
        <v>0.1</v>
      </c>
    </row>
    <row r="460" customFormat="false" ht="15" hidden="false" customHeight="false" outlineLevel="0" collapsed="false">
      <c r="A460" s="11" t="s">
        <v>1591</v>
      </c>
      <c r="B460" s="11" t="n">
        <v>1</v>
      </c>
      <c r="C460" s="11" t="s">
        <v>158</v>
      </c>
      <c r="D460" s="93" t="n">
        <v>152.6933</v>
      </c>
      <c r="E460" s="34" t="n">
        <v>152.7</v>
      </c>
    </row>
    <row r="461" customFormat="false" ht="15" hidden="false" customHeight="false" outlineLevel="0" collapsed="false">
      <c r="A461" s="11" t="s">
        <v>1591</v>
      </c>
      <c r="B461" s="11" t="n">
        <v>2</v>
      </c>
      <c r="C461" s="11" t="s">
        <v>159</v>
      </c>
      <c r="D461" s="93" t="n">
        <v>49.88998</v>
      </c>
      <c r="E461" s="34" t="n">
        <v>49.9</v>
      </c>
    </row>
    <row r="462" customFormat="false" ht="15" hidden="false" customHeight="false" outlineLevel="0" collapsed="false">
      <c r="A462" s="11" t="s">
        <v>1591</v>
      </c>
      <c r="B462" s="11" t="n">
        <v>3</v>
      </c>
      <c r="C462" s="11" t="s">
        <v>157</v>
      </c>
      <c r="D462" s="93" t="n">
        <v>44.95027</v>
      </c>
      <c r="E462" s="34" t="n">
        <v>44.9</v>
      </c>
    </row>
    <row r="463" customFormat="false" ht="15" hidden="false" customHeight="false" outlineLevel="0" collapsed="false">
      <c r="A463" s="11" t="s">
        <v>1592</v>
      </c>
      <c r="B463" s="11" t="n">
        <v>1</v>
      </c>
      <c r="C463" s="11" t="s">
        <v>91</v>
      </c>
      <c r="D463" s="93" t="n">
        <v>267.19</v>
      </c>
      <c r="E463" s="34" t="n">
        <v>267.2</v>
      </c>
    </row>
    <row r="464" customFormat="false" ht="15" hidden="false" customHeight="false" outlineLevel="0" collapsed="false">
      <c r="A464" s="11" t="s">
        <v>1592</v>
      </c>
      <c r="B464" s="11" t="n">
        <v>2</v>
      </c>
      <c r="C464" s="11" t="s">
        <v>95</v>
      </c>
      <c r="D464" s="93" t="n">
        <v>-247.53355</v>
      </c>
      <c r="E464" s="34" t="n">
        <v>-247.5</v>
      </c>
    </row>
    <row r="465" customFormat="false" ht="15" hidden="false" customHeight="false" outlineLevel="0" collapsed="false">
      <c r="A465" s="11" t="s">
        <v>1592</v>
      </c>
      <c r="B465" s="11" t="n">
        <v>3</v>
      </c>
      <c r="C465" s="11" t="s">
        <v>101</v>
      </c>
      <c r="D465" s="93" t="n">
        <v>-55.66045</v>
      </c>
      <c r="E465" s="34" t="n">
        <v>-55.7</v>
      </c>
    </row>
    <row r="466" customFormat="false" ht="15" hidden="false" customHeight="false" outlineLevel="0" collapsed="false">
      <c r="A466" s="11" t="s">
        <v>1593</v>
      </c>
      <c r="B466" s="11" t="n">
        <v>1</v>
      </c>
      <c r="C466" s="11" t="s">
        <v>2357</v>
      </c>
      <c r="D466" s="93" t="n">
        <v>-1.5</v>
      </c>
      <c r="E466" s="34" t="n">
        <v>-1.5</v>
      </c>
    </row>
    <row r="467" customFormat="false" ht="15" hidden="false" customHeight="false" outlineLevel="0" collapsed="false">
      <c r="A467" s="11" t="s">
        <v>1594</v>
      </c>
      <c r="B467" s="11" t="n">
        <v>1</v>
      </c>
      <c r="C467" s="11" t="s">
        <v>2414</v>
      </c>
      <c r="D467" s="93" t="n">
        <v>-0.5</v>
      </c>
      <c r="E467" s="34" t="n">
        <v>-0.5</v>
      </c>
    </row>
    <row r="468" customFormat="false" ht="15" hidden="false" customHeight="false" outlineLevel="0" collapsed="false">
      <c r="A468" s="11" t="s">
        <v>1595</v>
      </c>
      <c r="B468" s="11" t="n">
        <v>1</v>
      </c>
      <c r="C468" s="11" t="s">
        <v>91</v>
      </c>
      <c r="D468" s="93" t="n">
        <v>267.19</v>
      </c>
      <c r="E468" s="34" t="n">
        <v>267.2</v>
      </c>
    </row>
    <row r="469" customFormat="false" ht="15" hidden="false" customHeight="false" outlineLevel="0" collapsed="false">
      <c r="A469" s="11" t="s">
        <v>1595</v>
      </c>
      <c r="B469" s="11" t="n">
        <v>2</v>
      </c>
      <c r="C469" s="11" t="s">
        <v>95</v>
      </c>
      <c r="D469" s="93" t="n">
        <v>-247.53355</v>
      </c>
      <c r="E469" s="34" t="n">
        <v>-247.5</v>
      </c>
    </row>
    <row r="470" customFormat="false" ht="15" hidden="false" customHeight="false" outlineLevel="0" collapsed="false">
      <c r="A470" s="11" t="s">
        <v>1595</v>
      </c>
      <c r="B470" s="11" t="n">
        <v>3</v>
      </c>
      <c r="C470" s="11" t="s">
        <v>101</v>
      </c>
      <c r="D470" s="93" t="n">
        <v>-55.66045</v>
      </c>
      <c r="E470" s="34" t="n">
        <v>-55.7</v>
      </c>
    </row>
    <row r="471" customFormat="false" ht="15" hidden="false" customHeight="false" outlineLevel="0" collapsed="false">
      <c r="A471" s="11" t="s">
        <v>1595</v>
      </c>
      <c r="B471" s="11" t="n">
        <v>4</v>
      </c>
      <c r="C471" s="11" t="s">
        <v>102</v>
      </c>
      <c r="D471" s="93" t="n">
        <v>-1</v>
      </c>
      <c r="E471" s="34" t="n">
        <v>-1</v>
      </c>
    </row>
    <row r="472" customFormat="false" ht="15" hidden="false" customHeight="false" outlineLevel="0" collapsed="false">
      <c r="A472" s="11" t="s">
        <v>1596</v>
      </c>
      <c r="B472" s="11" t="n">
        <v>1</v>
      </c>
      <c r="C472" s="11" t="s">
        <v>2358</v>
      </c>
      <c r="D472" s="93" t="n">
        <v>10</v>
      </c>
      <c r="E472" s="34" t="n">
        <v>10</v>
      </c>
    </row>
    <row r="473" customFormat="false" ht="15" hidden="false" customHeight="false" outlineLevel="0" collapsed="false">
      <c r="A473" s="11" t="s">
        <v>1596</v>
      </c>
      <c r="B473" s="11" t="n">
        <v>2</v>
      </c>
      <c r="C473" s="11" t="s">
        <v>2359</v>
      </c>
      <c r="D473" s="93" t="n">
        <v>1.5</v>
      </c>
      <c r="E473" s="34" t="n">
        <v>1.5</v>
      </c>
    </row>
    <row r="474" customFormat="false" ht="15" hidden="false" customHeight="false" outlineLevel="0" collapsed="false">
      <c r="A474" s="11" t="s">
        <v>1597</v>
      </c>
      <c r="B474" s="11" t="n">
        <v>1</v>
      </c>
      <c r="C474" s="11" t="s">
        <v>91</v>
      </c>
      <c r="D474" s="93" t="n">
        <v>267.19</v>
      </c>
      <c r="E474" s="34" t="n">
        <v>267.2</v>
      </c>
    </row>
    <row r="475" customFormat="false" ht="15" hidden="false" customHeight="false" outlineLevel="0" collapsed="false">
      <c r="A475" s="11" t="s">
        <v>1597</v>
      </c>
      <c r="B475" s="11" t="n">
        <v>2</v>
      </c>
      <c r="C475" s="11" t="s">
        <v>95</v>
      </c>
      <c r="D475" s="93" t="n">
        <v>-247.53355</v>
      </c>
      <c r="E475" s="34" t="n">
        <v>-247.5</v>
      </c>
    </row>
    <row r="476" customFormat="false" ht="15" hidden="false" customHeight="false" outlineLevel="0" collapsed="false">
      <c r="A476" s="11" t="s">
        <v>1597</v>
      </c>
      <c r="B476" s="11" t="n">
        <v>3</v>
      </c>
      <c r="C476" s="11" t="s">
        <v>101</v>
      </c>
      <c r="D476" s="93" t="n">
        <v>-55.66045</v>
      </c>
      <c r="E476" s="34" t="n">
        <v>-55.7</v>
      </c>
    </row>
    <row r="477" customFormat="false" ht="15" hidden="false" customHeight="false" outlineLevel="0" collapsed="false">
      <c r="A477" s="11" t="s">
        <v>1597</v>
      </c>
      <c r="B477" s="11" t="n">
        <v>4</v>
      </c>
      <c r="C477" s="11" t="s">
        <v>109</v>
      </c>
      <c r="D477" s="93" t="n">
        <v>-12.5</v>
      </c>
      <c r="E477" s="34" t="n">
        <v>-12.5</v>
      </c>
    </row>
    <row r="478" customFormat="false" ht="15" hidden="false" customHeight="false" outlineLevel="0" collapsed="false">
      <c r="A478" s="11" t="s">
        <v>1598</v>
      </c>
      <c r="B478" s="11" t="n">
        <v>1</v>
      </c>
      <c r="C478" s="11" t="s">
        <v>2336</v>
      </c>
      <c r="D478" s="93" t="n">
        <v>122.306</v>
      </c>
      <c r="E478" s="34" t="n">
        <v>122.3</v>
      </c>
    </row>
    <row r="479" customFormat="false" ht="15" hidden="false" customHeight="false" outlineLevel="0" collapsed="false">
      <c r="A479" s="11" t="s">
        <v>1598</v>
      </c>
      <c r="B479" s="11" t="n">
        <v>2</v>
      </c>
      <c r="C479" s="11" t="s">
        <v>2397</v>
      </c>
      <c r="D479" s="93" t="n">
        <v>67.948</v>
      </c>
      <c r="E479" s="34" t="n">
        <v>67.9</v>
      </c>
    </row>
    <row r="480" customFormat="false" ht="15" hidden="false" customHeight="false" outlineLevel="0" collapsed="false">
      <c r="A480" s="11" t="s">
        <v>1598</v>
      </c>
      <c r="B480" s="11" t="n">
        <v>3</v>
      </c>
      <c r="C480" s="11" t="s">
        <v>2338</v>
      </c>
      <c r="D480" s="93" t="n">
        <v>-43.24</v>
      </c>
      <c r="E480" s="34" t="n">
        <v>-43.2</v>
      </c>
    </row>
    <row r="481" customFormat="false" ht="15" hidden="false" customHeight="false" outlineLevel="0" collapsed="false">
      <c r="A481" s="11" t="s">
        <v>1598</v>
      </c>
      <c r="B481" s="11" t="n">
        <v>4</v>
      </c>
      <c r="C481" s="11" t="s">
        <v>127</v>
      </c>
      <c r="D481" s="93" t="n">
        <v>-14.824</v>
      </c>
      <c r="E481" s="34" t="n">
        <v>-14.8</v>
      </c>
    </row>
    <row r="482" customFormat="false" ht="15" hidden="false" customHeight="false" outlineLevel="0" collapsed="false">
      <c r="A482" s="11" t="s">
        <v>1599</v>
      </c>
      <c r="B482" s="11" t="n">
        <v>1</v>
      </c>
      <c r="C482" s="11" t="s">
        <v>2339</v>
      </c>
      <c r="D482" s="93" t="n">
        <v>125</v>
      </c>
      <c r="E482" s="34" t="n">
        <v>125</v>
      </c>
    </row>
    <row r="483" customFormat="false" ht="15" hidden="false" customHeight="false" outlineLevel="0" collapsed="false">
      <c r="A483" s="11" t="s">
        <v>1599</v>
      </c>
      <c r="B483" s="11" t="n">
        <v>2</v>
      </c>
      <c r="C483" s="11" t="s">
        <v>1184</v>
      </c>
      <c r="D483" s="93" t="n">
        <v>-60</v>
      </c>
      <c r="E483" s="34" t="n">
        <v>-60</v>
      </c>
    </row>
    <row r="484" customFormat="false" ht="15" hidden="false" customHeight="false" outlineLevel="0" collapsed="false">
      <c r="A484" s="11" t="s">
        <v>1599</v>
      </c>
      <c r="B484" s="11" t="n">
        <v>3</v>
      </c>
      <c r="C484" s="11" t="s">
        <v>2340</v>
      </c>
      <c r="D484" s="93" t="n">
        <v>50</v>
      </c>
      <c r="E484" s="34" t="n">
        <v>50</v>
      </c>
    </row>
    <row r="485" customFormat="false" ht="15" hidden="false" customHeight="false" outlineLevel="0" collapsed="false">
      <c r="A485" s="11" t="s">
        <v>1599</v>
      </c>
      <c r="B485" s="11" t="n">
        <v>4</v>
      </c>
      <c r="C485" s="11" t="s">
        <v>127</v>
      </c>
      <c r="D485" s="93" t="n">
        <v>20</v>
      </c>
      <c r="E485" s="34" t="n">
        <v>20</v>
      </c>
    </row>
    <row r="486" customFormat="false" ht="15" hidden="false" customHeight="false" outlineLevel="0" collapsed="false">
      <c r="A486" s="11" t="s">
        <v>1600</v>
      </c>
      <c r="B486" s="11" t="n">
        <v>1</v>
      </c>
      <c r="C486" s="11" t="s">
        <v>2339</v>
      </c>
      <c r="D486" s="93" t="n">
        <v>125</v>
      </c>
      <c r="E486" s="34" t="n">
        <v>125</v>
      </c>
    </row>
    <row r="487" customFormat="false" ht="15" hidden="false" customHeight="false" outlineLevel="0" collapsed="false">
      <c r="A487" s="11" t="s">
        <v>1600</v>
      </c>
      <c r="B487" s="11" t="n">
        <v>2</v>
      </c>
      <c r="C487" s="11" t="s">
        <v>2336</v>
      </c>
      <c r="D487" s="93" t="n">
        <v>122.306</v>
      </c>
      <c r="E487" s="34" t="n">
        <v>122.3</v>
      </c>
    </row>
    <row r="488" customFormat="false" ht="15" hidden="false" customHeight="false" outlineLevel="0" collapsed="false">
      <c r="A488" s="11" t="s">
        <v>1600</v>
      </c>
      <c r="B488" s="11" t="n">
        <v>3</v>
      </c>
      <c r="C488" s="11" t="s">
        <v>2397</v>
      </c>
      <c r="D488" s="93" t="n">
        <v>67.948</v>
      </c>
      <c r="E488" s="34" t="n">
        <v>68</v>
      </c>
    </row>
    <row r="489" customFormat="false" ht="15" hidden="false" customHeight="false" outlineLevel="0" collapsed="false">
      <c r="A489" s="11" t="s">
        <v>1600</v>
      </c>
      <c r="B489" s="11" t="n">
        <v>4</v>
      </c>
      <c r="C489" s="11" t="s">
        <v>2341</v>
      </c>
      <c r="D489" s="93" t="n">
        <v>-48.064</v>
      </c>
      <c r="E489" s="34" t="n">
        <v>-48.1</v>
      </c>
    </row>
    <row r="490" customFormat="false" ht="15" hidden="false" customHeight="false" outlineLevel="0" collapsed="false">
      <c r="A490" s="11" t="s">
        <v>1601</v>
      </c>
      <c r="B490" s="11" t="n">
        <v>1</v>
      </c>
      <c r="C490" s="11" t="s">
        <v>2342</v>
      </c>
      <c r="D490" s="93" t="n">
        <v>24.4</v>
      </c>
      <c r="E490" s="34" t="n">
        <v>24.4</v>
      </c>
    </row>
    <row r="491" customFormat="false" ht="15" hidden="false" customHeight="false" outlineLevel="0" collapsed="false">
      <c r="A491" s="11" t="s">
        <v>1601</v>
      </c>
      <c r="B491" s="11" t="n">
        <v>2</v>
      </c>
      <c r="C491" s="11" t="s">
        <v>2398</v>
      </c>
      <c r="D491" s="93" t="n">
        <v>14.0768</v>
      </c>
      <c r="E491" s="34" t="n">
        <v>14.1</v>
      </c>
    </row>
    <row r="492" customFormat="false" ht="15" hidden="false" customHeight="false" outlineLevel="0" collapsed="false">
      <c r="A492" s="11" t="s">
        <v>1601</v>
      </c>
      <c r="B492" s="11" t="n">
        <v>3</v>
      </c>
      <c r="C492" s="11" t="s">
        <v>2399</v>
      </c>
      <c r="D492" s="93" t="n">
        <v>3.8011</v>
      </c>
      <c r="E492" s="34" t="n">
        <v>3.8</v>
      </c>
    </row>
    <row r="493" customFormat="false" ht="15" hidden="false" customHeight="false" outlineLevel="0" collapsed="false">
      <c r="A493" s="11" t="s">
        <v>1601</v>
      </c>
      <c r="B493" s="11" t="n">
        <v>4</v>
      </c>
      <c r="C493" s="11" t="s">
        <v>2400</v>
      </c>
      <c r="D493" s="93" t="n">
        <v>14.01855</v>
      </c>
      <c r="E493" s="34" t="n">
        <v>14</v>
      </c>
    </row>
    <row r="494" customFormat="false" ht="15" hidden="false" customHeight="false" outlineLevel="0" collapsed="false">
      <c r="A494" s="11" t="s">
        <v>1602</v>
      </c>
      <c r="B494" s="11" t="n">
        <v>1</v>
      </c>
      <c r="C494" s="11" t="s">
        <v>2342</v>
      </c>
      <c r="D494" s="93" t="n">
        <v>24.4</v>
      </c>
      <c r="E494" s="34" t="n">
        <v>24.4</v>
      </c>
    </row>
    <row r="495" customFormat="false" ht="15" hidden="false" customHeight="false" outlineLevel="0" collapsed="false">
      <c r="A495" s="11" t="s">
        <v>1602</v>
      </c>
      <c r="B495" s="11" t="n">
        <v>2</v>
      </c>
      <c r="C495" s="11" t="s">
        <v>2401</v>
      </c>
      <c r="D495" s="93" t="n">
        <v>2</v>
      </c>
      <c r="E495" s="34" t="n">
        <v>2</v>
      </c>
    </row>
    <row r="496" customFormat="false" ht="15" hidden="false" customHeight="false" outlineLevel="0" collapsed="false">
      <c r="A496" s="11" t="s">
        <v>1602</v>
      </c>
      <c r="B496" s="11" t="n">
        <v>3</v>
      </c>
      <c r="C496" s="11" t="s">
        <v>2402</v>
      </c>
      <c r="D496" s="93" t="n">
        <v>0.5</v>
      </c>
      <c r="E496" s="34" t="n">
        <v>0.5</v>
      </c>
    </row>
    <row r="497" customFormat="false" ht="15" hidden="false" customHeight="false" outlineLevel="0" collapsed="false">
      <c r="A497" s="11" t="s">
        <v>1603</v>
      </c>
      <c r="B497" s="11" t="n">
        <v>1</v>
      </c>
      <c r="C497" s="11" t="s">
        <v>2398</v>
      </c>
      <c r="D497" s="93" t="n">
        <v>8.22</v>
      </c>
      <c r="E497" s="34" t="n">
        <v>8.2</v>
      </c>
    </row>
    <row r="498" customFormat="false" ht="15" hidden="false" customHeight="false" outlineLevel="0" collapsed="false">
      <c r="A498" s="11" t="s">
        <v>1603</v>
      </c>
      <c r="B498" s="11" t="n">
        <v>2</v>
      </c>
      <c r="C498" s="11" t="s">
        <v>2399</v>
      </c>
      <c r="D498" s="93" t="n">
        <v>1.082</v>
      </c>
      <c r="E498" s="34" t="n">
        <v>1.1</v>
      </c>
    </row>
    <row r="499" customFormat="false" ht="15" hidden="false" customHeight="false" outlineLevel="0" collapsed="false">
      <c r="A499" s="11" t="s">
        <v>1603</v>
      </c>
      <c r="B499" s="11" t="n">
        <v>3</v>
      </c>
      <c r="C499" s="11" t="s">
        <v>1088</v>
      </c>
      <c r="D499" s="93" t="n">
        <v>0.5</v>
      </c>
      <c r="E499" s="34" t="n">
        <v>0.5</v>
      </c>
    </row>
    <row r="500" customFormat="false" ht="15" hidden="false" customHeight="false" outlineLevel="0" collapsed="false">
      <c r="A500" s="11" t="s">
        <v>1603</v>
      </c>
      <c r="B500" s="11" t="n">
        <v>4</v>
      </c>
      <c r="C500" s="11" t="s">
        <v>102</v>
      </c>
      <c r="D500" s="93" t="n">
        <v>0.14475</v>
      </c>
      <c r="E500" s="34" t="n">
        <v>0.1</v>
      </c>
    </row>
    <row r="501" customFormat="false" ht="15" hidden="false" customHeight="false" outlineLevel="0" collapsed="false">
      <c r="A501" s="11" t="s">
        <v>1604</v>
      </c>
      <c r="B501" s="11" t="n">
        <v>1</v>
      </c>
      <c r="C501" s="11" t="s">
        <v>2398</v>
      </c>
      <c r="D501" s="93" t="n">
        <v>11.72</v>
      </c>
      <c r="E501" s="34" t="n">
        <v>11.7</v>
      </c>
    </row>
    <row r="502" customFormat="false" ht="15" hidden="false" customHeight="false" outlineLevel="0" collapsed="false">
      <c r="A502" s="11" t="s">
        <v>1604</v>
      </c>
      <c r="B502" s="11" t="n">
        <v>2</v>
      </c>
      <c r="C502" s="11" t="s">
        <v>2399</v>
      </c>
      <c r="D502" s="93" t="n">
        <v>3.074</v>
      </c>
      <c r="E502" s="34" t="n">
        <v>3.1</v>
      </c>
    </row>
    <row r="503" customFormat="false" ht="15" hidden="false" customHeight="false" outlineLevel="0" collapsed="false">
      <c r="A503" s="11" t="s">
        <v>1604</v>
      </c>
      <c r="B503" s="11" t="n">
        <v>3</v>
      </c>
      <c r="C503" s="11" t="s">
        <v>2403</v>
      </c>
      <c r="D503" s="93" t="n">
        <v>-0.177</v>
      </c>
      <c r="E503" s="34" t="n">
        <v>-0.2</v>
      </c>
    </row>
    <row r="504" customFormat="false" ht="15" hidden="false" customHeight="false" outlineLevel="0" collapsed="false">
      <c r="A504" s="11" t="s">
        <v>1605</v>
      </c>
      <c r="B504" s="11" t="n">
        <v>1</v>
      </c>
      <c r="C504" s="11" t="s">
        <v>2398</v>
      </c>
      <c r="D504" s="93" t="n">
        <v>-5.8632</v>
      </c>
      <c r="E504" s="34" t="n">
        <v>-5.9</v>
      </c>
    </row>
    <row r="505" customFormat="false" ht="15" hidden="false" customHeight="false" outlineLevel="0" collapsed="false">
      <c r="A505" s="11" t="s">
        <v>1605</v>
      </c>
      <c r="B505" s="11" t="n">
        <v>2</v>
      </c>
      <c r="C505" s="11" t="s">
        <v>1087</v>
      </c>
      <c r="D505" s="93" t="n">
        <v>2.1</v>
      </c>
      <c r="E505" s="34" t="n">
        <v>2.1</v>
      </c>
    </row>
    <row r="506" customFormat="false" ht="15" hidden="false" customHeight="false" outlineLevel="0" collapsed="false">
      <c r="A506" s="11" t="s">
        <v>1605</v>
      </c>
      <c r="B506" s="11" t="n">
        <v>3</v>
      </c>
      <c r="C506" s="11" t="s">
        <v>2403</v>
      </c>
      <c r="D506" s="93" t="n">
        <v>-1.1732</v>
      </c>
      <c r="E506" s="34" t="n">
        <v>-1.2</v>
      </c>
    </row>
    <row r="507" customFormat="false" ht="15" hidden="false" customHeight="false" outlineLevel="0" collapsed="false">
      <c r="A507" s="11" t="s">
        <v>1605</v>
      </c>
      <c r="B507" s="11" t="n">
        <v>4</v>
      </c>
      <c r="C507" s="11" t="s">
        <v>127</v>
      </c>
      <c r="D507" s="93" t="n">
        <v>-0.3549</v>
      </c>
      <c r="E507" s="34" t="n">
        <v>-0.3</v>
      </c>
    </row>
    <row r="508" customFormat="false" ht="15" hidden="false" customHeight="false" outlineLevel="0" collapsed="false">
      <c r="A508" s="11" t="s">
        <v>1606</v>
      </c>
      <c r="B508" s="11" t="n">
        <v>1</v>
      </c>
      <c r="C508" s="11" t="s">
        <v>2344</v>
      </c>
      <c r="D508" s="93" t="n">
        <v>3.16</v>
      </c>
      <c r="E508" s="34" t="n">
        <v>3.1</v>
      </c>
    </row>
    <row r="509" customFormat="false" ht="15" hidden="false" customHeight="false" outlineLevel="0" collapsed="false">
      <c r="A509" s="11" t="s">
        <v>1606</v>
      </c>
      <c r="B509" s="11" t="n">
        <v>2</v>
      </c>
      <c r="C509" s="11" t="s">
        <v>2345</v>
      </c>
      <c r="D509" s="93" t="n">
        <v>0.99</v>
      </c>
      <c r="E509" s="34" t="n">
        <v>1</v>
      </c>
    </row>
    <row r="510" customFormat="false" ht="15" hidden="false" customHeight="false" outlineLevel="0" collapsed="false">
      <c r="A510" s="11" t="s">
        <v>1606</v>
      </c>
      <c r="B510" s="11" t="n">
        <v>3</v>
      </c>
      <c r="C510" s="11" t="s">
        <v>2404</v>
      </c>
      <c r="D510" s="93" t="n">
        <v>0.704</v>
      </c>
      <c r="E510" s="34" t="n">
        <v>0.7</v>
      </c>
    </row>
    <row r="511" customFormat="false" ht="15" hidden="false" customHeight="false" outlineLevel="0" collapsed="false">
      <c r="A511" s="11" t="s">
        <v>1606</v>
      </c>
      <c r="B511" s="11" t="n">
        <v>4</v>
      </c>
      <c r="C511" s="11" t="s">
        <v>102</v>
      </c>
      <c r="D511" s="93" t="n">
        <v>0.77</v>
      </c>
      <c r="E511" s="34" t="n">
        <v>0.8</v>
      </c>
    </row>
    <row r="512" customFormat="false" ht="15" hidden="false" customHeight="false" outlineLevel="0" collapsed="false">
      <c r="A512" s="11" t="s">
        <v>1607</v>
      </c>
      <c r="B512" s="11" t="n">
        <v>1</v>
      </c>
      <c r="C512" s="11" t="s">
        <v>2405</v>
      </c>
      <c r="D512" s="93" t="n">
        <v>1</v>
      </c>
      <c r="E512" s="34" t="n">
        <v>1</v>
      </c>
    </row>
    <row r="513" customFormat="false" ht="15" hidden="false" customHeight="false" outlineLevel="0" collapsed="false">
      <c r="A513" s="11" t="s">
        <v>1607</v>
      </c>
      <c r="B513" s="11" t="n">
        <v>2</v>
      </c>
      <c r="C513" s="11" t="s">
        <v>2346</v>
      </c>
      <c r="D513" s="93" t="n">
        <v>1</v>
      </c>
      <c r="E513" s="34" t="n">
        <v>1</v>
      </c>
    </row>
    <row r="514" customFormat="false" ht="15" hidden="false" customHeight="false" outlineLevel="0" collapsed="false">
      <c r="A514" s="11" t="s">
        <v>1608</v>
      </c>
      <c r="B514" s="11" t="n">
        <v>1</v>
      </c>
      <c r="C514" s="11" t="s">
        <v>2347</v>
      </c>
      <c r="D514" s="93" t="n">
        <v>3</v>
      </c>
      <c r="E514" s="34" t="n">
        <v>3</v>
      </c>
    </row>
    <row r="515" customFormat="false" ht="15" hidden="false" customHeight="false" outlineLevel="0" collapsed="false">
      <c r="A515" s="11" t="s">
        <v>1608</v>
      </c>
      <c r="B515" s="11" t="n">
        <v>2</v>
      </c>
      <c r="C515" s="11" t="s">
        <v>2406</v>
      </c>
      <c r="D515" s="93" t="n">
        <v>-0.75</v>
      </c>
      <c r="E515" s="34" t="n">
        <v>-0.8</v>
      </c>
    </row>
    <row r="516" customFormat="false" ht="15" hidden="false" customHeight="false" outlineLevel="0" collapsed="false">
      <c r="A516" s="11" t="s">
        <v>1608</v>
      </c>
      <c r="B516" s="11" t="n">
        <v>3</v>
      </c>
      <c r="C516" s="11" t="s">
        <v>2407</v>
      </c>
      <c r="D516" s="93" t="n">
        <v>0.25</v>
      </c>
      <c r="E516" s="34" t="n">
        <v>0.3</v>
      </c>
    </row>
    <row r="517" customFormat="false" ht="15" hidden="false" customHeight="false" outlineLevel="0" collapsed="false">
      <c r="A517" s="11" t="s">
        <v>1609</v>
      </c>
      <c r="B517" s="11" t="n">
        <v>1</v>
      </c>
      <c r="C517" s="11" t="s">
        <v>2403</v>
      </c>
      <c r="D517" s="93" t="n">
        <v>-0.964</v>
      </c>
      <c r="E517" s="34" t="n">
        <v>-1</v>
      </c>
    </row>
    <row r="518" customFormat="false" ht="15" hidden="false" customHeight="false" outlineLevel="0" collapsed="false">
      <c r="A518" s="11" t="s">
        <v>1609</v>
      </c>
      <c r="B518" s="11" t="n">
        <v>2</v>
      </c>
      <c r="C518" s="11" t="s">
        <v>2399</v>
      </c>
      <c r="D518" s="93" t="n">
        <v>0.888</v>
      </c>
      <c r="E518" s="34" t="n">
        <v>0.9</v>
      </c>
    </row>
    <row r="519" customFormat="false" ht="15" hidden="false" customHeight="false" outlineLevel="0" collapsed="false">
      <c r="A519" s="11" t="s">
        <v>1610</v>
      </c>
      <c r="B519" s="11" t="n">
        <v>1</v>
      </c>
      <c r="C519" s="11" t="s">
        <v>2403</v>
      </c>
      <c r="D519" s="93" t="n">
        <v>-0.964</v>
      </c>
      <c r="E519" s="34" t="n">
        <v>-1</v>
      </c>
    </row>
    <row r="520" customFormat="false" ht="15" hidden="false" customHeight="false" outlineLevel="0" collapsed="false">
      <c r="A520" s="11" t="s">
        <v>1610</v>
      </c>
      <c r="B520" s="11" t="n">
        <v>2</v>
      </c>
      <c r="C520" s="11" t="s">
        <v>2399</v>
      </c>
      <c r="D520" s="93" t="n">
        <v>0.888</v>
      </c>
      <c r="E520" s="34" t="n">
        <v>0.9</v>
      </c>
    </row>
    <row r="521" customFormat="false" ht="15" hidden="false" customHeight="false" outlineLevel="0" collapsed="false">
      <c r="A521" s="11" t="s">
        <v>1611</v>
      </c>
      <c r="B521" s="11" t="n">
        <v>1</v>
      </c>
      <c r="C521" s="11" t="s">
        <v>164</v>
      </c>
      <c r="D521" s="93" t="n">
        <v>56.29645</v>
      </c>
      <c r="E521" s="34" t="n">
        <v>56.3</v>
      </c>
    </row>
    <row r="522" customFormat="false" ht="15" hidden="false" customHeight="false" outlineLevel="0" collapsed="false">
      <c r="A522" s="11" t="s">
        <v>1611</v>
      </c>
      <c r="B522" s="11" t="n">
        <v>2</v>
      </c>
      <c r="C522" s="11" t="s">
        <v>165</v>
      </c>
      <c r="D522" s="93" t="n">
        <v>-0.076</v>
      </c>
      <c r="E522" s="34" t="n">
        <v>-0.1</v>
      </c>
    </row>
    <row r="523" customFormat="false" ht="15" hidden="false" customHeight="false" outlineLevel="0" collapsed="false">
      <c r="A523" s="11" t="s">
        <v>1612</v>
      </c>
      <c r="B523" s="11" t="n">
        <v>1</v>
      </c>
      <c r="C523" s="11" t="s">
        <v>91</v>
      </c>
      <c r="D523" s="93" t="n">
        <v>267.19</v>
      </c>
      <c r="E523" s="34" t="n">
        <v>267.2</v>
      </c>
    </row>
    <row r="524" customFormat="false" ht="15" hidden="false" customHeight="false" outlineLevel="0" collapsed="false">
      <c r="A524" s="11" t="s">
        <v>1612</v>
      </c>
      <c r="B524" s="11" t="n">
        <v>2</v>
      </c>
      <c r="C524" s="11" t="s">
        <v>166</v>
      </c>
      <c r="D524" s="93" t="n">
        <v>-56.22045</v>
      </c>
      <c r="E524" s="34" t="n">
        <v>-56.2</v>
      </c>
    </row>
    <row r="525" customFormat="false" ht="15" hidden="false" customHeight="false" outlineLevel="0" collapsed="false">
      <c r="A525" s="11" t="s">
        <v>1613</v>
      </c>
      <c r="B525" s="11" t="n">
        <v>1</v>
      </c>
      <c r="C525" s="11" t="s">
        <v>1181</v>
      </c>
      <c r="D525" s="93" t="n">
        <v>77.25</v>
      </c>
      <c r="E525" s="34" t="n">
        <v>77.3</v>
      </c>
    </row>
    <row r="526" customFormat="false" ht="15" hidden="false" customHeight="false" outlineLevel="0" collapsed="false">
      <c r="A526" s="11" t="s">
        <v>1613</v>
      </c>
      <c r="B526" s="11" t="n">
        <v>2</v>
      </c>
      <c r="C526" s="11" t="s">
        <v>2398</v>
      </c>
      <c r="D526" s="93" t="n">
        <v>37.5372</v>
      </c>
      <c r="E526" s="34" t="n">
        <v>37.5</v>
      </c>
    </row>
    <row r="527" customFormat="false" ht="15" hidden="false" customHeight="false" outlineLevel="0" collapsed="false">
      <c r="A527" s="11" t="s">
        <v>1613</v>
      </c>
      <c r="B527" s="11" t="n">
        <v>3</v>
      </c>
      <c r="C527" s="11" t="s">
        <v>2351</v>
      </c>
      <c r="D527" s="93" t="n">
        <v>12</v>
      </c>
      <c r="E527" s="34" t="n">
        <v>12</v>
      </c>
    </row>
    <row r="528" customFormat="false" ht="15" hidden="false" customHeight="false" outlineLevel="0" collapsed="false">
      <c r="A528" s="11" t="s">
        <v>1613</v>
      </c>
      <c r="B528" s="11" t="n">
        <v>4</v>
      </c>
      <c r="C528" s="11" t="s">
        <v>2415</v>
      </c>
      <c r="D528" s="93" t="n">
        <v>21.8701</v>
      </c>
      <c r="E528" s="34" t="n">
        <v>21.9</v>
      </c>
    </row>
    <row r="529" customFormat="false" ht="15" hidden="false" customHeight="false" outlineLevel="0" collapsed="false">
      <c r="A529" s="11" t="s">
        <v>1614</v>
      </c>
      <c r="B529" s="11" t="n">
        <v>1</v>
      </c>
      <c r="C529" s="11" t="s">
        <v>2398</v>
      </c>
      <c r="D529" s="93" t="n">
        <v>40.05</v>
      </c>
      <c r="E529" s="34" t="n">
        <v>40.1</v>
      </c>
    </row>
    <row r="530" customFormat="false" ht="15" hidden="false" customHeight="false" outlineLevel="0" collapsed="false">
      <c r="A530" s="11" t="s">
        <v>1614</v>
      </c>
      <c r="B530" s="11" t="n">
        <v>2</v>
      </c>
      <c r="C530" s="11" t="s">
        <v>2399</v>
      </c>
      <c r="D530" s="93" t="n">
        <v>5.421</v>
      </c>
      <c r="E530" s="34" t="n">
        <v>5.4</v>
      </c>
    </row>
    <row r="531" customFormat="false" ht="15" hidden="false" customHeight="false" outlineLevel="0" collapsed="false">
      <c r="A531" s="11" t="s">
        <v>1614</v>
      </c>
      <c r="B531" s="11" t="n">
        <v>3</v>
      </c>
      <c r="C531" s="11" t="s">
        <v>2403</v>
      </c>
      <c r="D531" s="93" t="n">
        <v>1.504</v>
      </c>
      <c r="E531" s="34" t="n">
        <v>1.5</v>
      </c>
    </row>
    <row r="532" customFormat="false" ht="15" hidden="false" customHeight="false" outlineLevel="0" collapsed="false">
      <c r="A532" s="11" t="s">
        <v>1615</v>
      </c>
      <c r="B532" s="11" t="n">
        <v>1</v>
      </c>
      <c r="C532" s="11" t="s">
        <v>2398</v>
      </c>
      <c r="D532" s="93" t="n">
        <v>-2.5128</v>
      </c>
      <c r="E532" s="34" t="n">
        <v>-2.5</v>
      </c>
    </row>
    <row r="533" customFormat="false" ht="15" hidden="false" customHeight="false" outlineLevel="0" collapsed="false">
      <c r="A533" s="11" t="s">
        <v>1615</v>
      </c>
      <c r="B533" s="11" t="n">
        <v>2</v>
      </c>
      <c r="C533" s="11" t="s">
        <v>1087</v>
      </c>
      <c r="D533" s="93" t="n">
        <v>0.9</v>
      </c>
      <c r="E533" s="34" t="n">
        <v>0.9</v>
      </c>
    </row>
    <row r="534" customFormat="false" ht="15" hidden="false" customHeight="false" outlineLevel="0" collapsed="false">
      <c r="A534" s="11" t="s">
        <v>1615</v>
      </c>
      <c r="B534" s="11" t="n">
        <v>3</v>
      </c>
      <c r="C534" s="11" t="s">
        <v>2403</v>
      </c>
      <c r="D534" s="93" t="n">
        <v>-0.5028</v>
      </c>
      <c r="E534" s="34" t="n">
        <v>-0.5</v>
      </c>
    </row>
    <row r="535" customFormat="false" ht="15" hidden="false" customHeight="false" outlineLevel="0" collapsed="false">
      <c r="A535" s="11" t="s">
        <v>1615</v>
      </c>
      <c r="B535" s="11" t="n">
        <v>4</v>
      </c>
      <c r="C535" s="11" t="s">
        <v>127</v>
      </c>
      <c r="D535" s="93" t="n">
        <v>-0.1521</v>
      </c>
      <c r="E535" s="34" t="n">
        <v>-0.2</v>
      </c>
    </row>
    <row r="536" customFormat="false" ht="15" hidden="false" customHeight="false" outlineLevel="0" collapsed="false">
      <c r="A536" s="11" t="s">
        <v>1616</v>
      </c>
      <c r="B536" s="11" t="n">
        <v>1</v>
      </c>
      <c r="C536" s="11" t="s">
        <v>1181</v>
      </c>
      <c r="D536" s="93" t="n">
        <v>77.25</v>
      </c>
      <c r="E536" s="34" t="n">
        <v>77.3</v>
      </c>
    </row>
    <row r="537" customFormat="false" ht="15" hidden="false" customHeight="false" outlineLevel="0" collapsed="false">
      <c r="A537" s="11" t="s">
        <v>1616</v>
      </c>
      <c r="B537" s="11" t="n">
        <v>2</v>
      </c>
      <c r="C537" s="11" t="s">
        <v>1198</v>
      </c>
      <c r="D537" s="93" t="n">
        <v>8.2</v>
      </c>
      <c r="E537" s="34" t="n">
        <v>8.2</v>
      </c>
    </row>
    <row r="538" customFormat="false" ht="15" hidden="false" customHeight="false" outlineLevel="0" collapsed="false">
      <c r="A538" s="11" t="s">
        <v>1616</v>
      </c>
      <c r="B538" s="11" t="n">
        <v>3</v>
      </c>
      <c r="C538" s="11" t="s">
        <v>2409</v>
      </c>
      <c r="D538" s="93" t="n">
        <v>3</v>
      </c>
      <c r="E538" s="34" t="n">
        <v>3</v>
      </c>
    </row>
    <row r="539" customFormat="false" ht="15" hidden="false" customHeight="false" outlineLevel="0" collapsed="false">
      <c r="A539" s="11" t="s">
        <v>1616</v>
      </c>
      <c r="B539" s="11" t="n">
        <v>4</v>
      </c>
      <c r="C539" s="11" t="s">
        <v>127</v>
      </c>
      <c r="D539" s="93" t="n">
        <v>-3</v>
      </c>
      <c r="E539" s="34" t="n">
        <v>-3</v>
      </c>
    </row>
    <row r="540" customFormat="false" ht="15" hidden="false" customHeight="false" outlineLevel="0" collapsed="false">
      <c r="A540" s="11" t="s">
        <v>1617</v>
      </c>
      <c r="B540" s="11" t="n">
        <v>1</v>
      </c>
      <c r="C540" s="11" t="s">
        <v>2410</v>
      </c>
      <c r="D540" s="93" t="n">
        <v>5</v>
      </c>
      <c r="E540" s="34" t="n">
        <v>5</v>
      </c>
    </row>
    <row r="541" customFormat="false" ht="15" hidden="false" customHeight="false" outlineLevel="0" collapsed="false">
      <c r="A541" s="11" t="s">
        <v>1617</v>
      </c>
      <c r="B541" s="11" t="n">
        <v>2</v>
      </c>
      <c r="C541" s="11" t="s">
        <v>2411</v>
      </c>
      <c r="D541" s="93" t="n">
        <v>1.5</v>
      </c>
      <c r="E541" s="34" t="n">
        <v>1.5</v>
      </c>
    </row>
    <row r="542" customFormat="false" ht="15" hidden="false" customHeight="false" outlineLevel="0" collapsed="false">
      <c r="A542" s="11" t="s">
        <v>1617</v>
      </c>
      <c r="B542" s="11" t="n">
        <v>3</v>
      </c>
      <c r="C542" s="11" t="s">
        <v>2412</v>
      </c>
      <c r="D542" s="93" t="n">
        <v>-1</v>
      </c>
      <c r="E542" s="34" t="n">
        <v>-1</v>
      </c>
    </row>
    <row r="543" customFormat="false" ht="15" hidden="false" customHeight="false" outlineLevel="0" collapsed="false">
      <c r="A543" s="11" t="s">
        <v>1617</v>
      </c>
      <c r="B543" s="11" t="n">
        <v>4</v>
      </c>
      <c r="C543" s="11" t="s">
        <v>127</v>
      </c>
      <c r="D543" s="93" t="n">
        <v>1</v>
      </c>
      <c r="E543" s="34" t="n">
        <v>1</v>
      </c>
    </row>
    <row r="544" customFormat="false" ht="15" hidden="false" customHeight="false" outlineLevel="0" collapsed="false">
      <c r="A544" s="11" t="s">
        <v>1618</v>
      </c>
      <c r="B544" s="11" t="n">
        <v>1</v>
      </c>
      <c r="C544" s="11" t="s">
        <v>2351</v>
      </c>
      <c r="D544" s="93" t="n">
        <v>12</v>
      </c>
      <c r="E544" s="34" t="n">
        <v>12</v>
      </c>
    </row>
    <row r="545" customFormat="false" ht="15" hidden="false" customHeight="false" outlineLevel="0" collapsed="false">
      <c r="A545" s="11" t="s">
        <v>1619</v>
      </c>
      <c r="B545" s="11" t="n">
        <v>1</v>
      </c>
      <c r="C545" s="11" t="s">
        <v>91</v>
      </c>
      <c r="D545" s="93" t="n">
        <v>267.19</v>
      </c>
      <c r="E545" s="34" t="n">
        <v>267.2</v>
      </c>
    </row>
    <row r="546" customFormat="false" ht="15" hidden="false" customHeight="false" outlineLevel="0" collapsed="false">
      <c r="A546" s="11" t="s">
        <v>1619</v>
      </c>
      <c r="B546" s="11" t="n">
        <v>2</v>
      </c>
      <c r="C546" s="11" t="s">
        <v>168</v>
      </c>
      <c r="D546" s="93" t="n">
        <v>-148.6573</v>
      </c>
      <c r="E546" s="34" t="n">
        <v>-148.7</v>
      </c>
    </row>
    <row r="547" customFormat="false" ht="15" hidden="false" customHeight="false" outlineLevel="0" collapsed="false">
      <c r="A547" s="11" t="s">
        <v>1619</v>
      </c>
      <c r="B547" s="11" t="n">
        <v>3</v>
      </c>
      <c r="C547" s="11" t="s">
        <v>166</v>
      </c>
      <c r="D547" s="93" t="n">
        <v>-56.22045</v>
      </c>
      <c r="E547" s="34" t="n">
        <v>-56.2</v>
      </c>
    </row>
    <row r="548" customFormat="false" ht="15" hidden="false" customHeight="false" outlineLevel="0" collapsed="false">
      <c r="A548" s="11" t="s">
        <v>1620</v>
      </c>
      <c r="B548" s="11" t="n">
        <v>1</v>
      </c>
      <c r="C548" s="11" t="s">
        <v>2344</v>
      </c>
      <c r="D548" s="93" t="n">
        <v>-3.16</v>
      </c>
      <c r="E548" s="34" t="n">
        <v>-3.1</v>
      </c>
    </row>
    <row r="549" customFormat="false" ht="15" hidden="false" customHeight="false" outlineLevel="0" collapsed="false">
      <c r="A549" s="11" t="s">
        <v>1620</v>
      </c>
      <c r="B549" s="11" t="n">
        <v>2</v>
      </c>
      <c r="C549" s="11" t="s">
        <v>2347</v>
      </c>
      <c r="D549" s="93" t="n">
        <v>3</v>
      </c>
      <c r="E549" s="34" t="n">
        <v>3</v>
      </c>
    </row>
    <row r="550" customFormat="false" ht="15" hidden="false" customHeight="false" outlineLevel="0" collapsed="false">
      <c r="A550" s="11" t="s">
        <v>1620</v>
      </c>
      <c r="B550" s="11" t="n">
        <v>3</v>
      </c>
      <c r="C550" s="11" t="s">
        <v>2345</v>
      </c>
      <c r="D550" s="93" t="n">
        <v>1.82251</v>
      </c>
      <c r="E550" s="34" t="n">
        <v>1.8</v>
      </c>
    </row>
    <row r="551" customFormat="false" ht="15" hidden="false" customHeight="false" outlineLevel="0" collapsed="false">
      <c r="A551" s="11" t="s">
        <v>1620</v>
      </c>
      <c r="B551" s="11" t="n">
        <v>4</v>
      </c>
      <c r="C551" s="11" t="s">
        <v>2348</v>
      </c>
      <c r="D551" s="93" t="n">
        <v>3.21352</v>
      </c>
      <c r="E551" s="34" t="n">
        <v>3.2</v>
      </c>
    </row>
    <row r="552" customFormat="false" ht="15" hidden="false" customHeight="false" outlineLevel="0" collapsed="false">
      <c r="A552" s="11" t="s">
        <v>1621</v>
      </c>
      <c r="B552" s="11" t="n">
        <v>1</v>
      </c>
      <c r="C552" s="11" t="s">
        <v>2344</v>
      </c>
      <c r="D552" s="93" t="n">
        <v>-3.16</v>
      </c>
      <c r="E552" s="34" t="n">
        <v>-3.1</v>
      </c>
    </row>
    <row r="553" customFormat="false" ht="15" hidden="false" customHeight="false" outlineLevel="0" collapsed="false">
      <c r="A553" s="11" t="s">
        <v>1621</v>
      </c>
      <c r="B553" s="11" t="n">
        <v>2</v>
      </c>
      <c r="C553" s="11" t="s">
        <v>2345</v>
      </c>
      <c r="D553" s="93" t="n">
        <v>1.82251</v>
      </c>
      <c r="E553" s="34" t="n">
        <v>1.8</v>
      </c>
    </row>
    <row r="554" customFormat="false" ht="15" hidden="false" customHeight="false" outlineLevel="0" collapsed="false">
      <c r="A554" s="11" t="s">
        <v>1621</v>
      </c>
      <c r="B554" s="11" t="n">
        <v>3</v>
      </c>
      <c r="C554" s="11" t="s">
        <v>2404</v>
      </c>
      <c r="D554" s="93" t="n">
        <v>1.296</v>
      </c>
      <c r="E554" s="34" t="n">
        <v>1.3</v>
      </c>
    </row>
    <row r="555" customFormat="false" ht="15" hidden="false" customHeight="false" outlineLevel="0" collapsed="false">
      <c r="A555" s="11" t="s">
        <v>1621</v>
      </c>
      <c r="B555" s="11" t="n">
        <v>4</v>
      </c>
      <c r="C555" s="11" t="s">
        <v>102</v>
      </c>
      <c r="D555" s="93" t="n">
        <v>1.41752</v>
      </c>
      <c r="E555" s="34" t="n">
        <v>1.4</v>
      </c>
    </row>
    <row r="556" customFormat="false" ht="15" hidden="false" customHeight="false" outlineLevel="0" collapsed="false">
      <c r="A556" s="11" t="s">
        <v>1622</v>
      </c>
      <c r="B556" s="11" t="n">
        <v>1</v>
      </c>
      <c r="C556" s="11" t="s">
        <v>2405</v>
      </c>
      <c r="D556" s="93" t="n">
        <v>0.5</v>
      </c>
      <c r="E556" s="34" t="n">
        <v>0.5</v>
      </c>
    </row>
    <row r="557" customFormat="false" ht="15" hidden="false" customHeight="false" outlineLevel="0" collapsed="false">
      <c r="A557" s="11" t="s">
        <v>1622</v>
      </c>
      <c r="B557" s="11" t="n">
        <v>2</v>
      </c>
      <c r="C557" s="11" t="s">
        <v>2346</v>
      </c>
      <c r="D557" s="93" t="n">
        <v>0.5</v>
      </c>
      <c r="E557" s="34" t="n">
        <v>0.5</v>
      </c>
    </row>
    <row r="558" customFormat="false" ht="15" hidden="false" customHeight="false" outlineLevel="0" collapsed="false">
      <c r="A558" s="11" t="s">
        <v>1623</v>
      </c>
      <c r="B558" s="11" t="n">
        <v>1</v>
      </c>
      <c r="C558" s="11" t="s">
        <v>2347</v>
      </c>
      <c r="D558" s="93" t="n">
        <v>3</v>
      </c>
      <c r="E558" s="34" t="n">
        <v>3</v>
      </c>
    </row>
    <row r="559" customFormat="false" ht="15" hidden="false" customHeight="false" outlineLevel="0" collapsed="false">
      <c r="A559" s="11" t="s">
        <v>1623</v>
      </c>
      <c r="B559" s="11" t="n">
        <v>2</v>
      </c>
      <c r="C559" s="11" t="s">
        <v>2406</v>
      </c>
      <c r="D559" s="93" t="n">
        <v>-0.75</v>
      </c>
      <c r="E559" s="34" t="n">
        <v>-0.8</v>
      </c>
    </row>
    <row r="560" customFormat="false" ht="15" hidden="false" customHeight="false" outlineLevel="0" collapsed="false">
      <c r="A560" s="11" t="s">
        <v>1623</v>
      </c>
      <c r="B560" s="11" t="n">
        <v>3</v>
      </c>
      <c r="C560" s="11" t="s">
        <v>2407</v>
      </c>
      <c r="D560" s="93" t="n">
        <v>0.25</v>
      </c>
      <c r="E560" s="34" t="n">
        <v>0.3</v>
      </c>
    </row>
    <row r="561" customFormat="false" ht="15" hidden="false" customHeight="false" outlineLevel="0" collapsed="false">
      <c r="A561" s="11" t="s">
        <v>1624</v>
      </c>
      <c r="B561" s="11" t="n">
        <v>1</v>
      </c>
      <c r="C561" s="11" t="s">
        <v>2398</v>
      </c>
      <c r="D561" s="93" t="n">
        <v>24.66</v>
      </c>
      <c r="E561" s="34" t="n">
        <v>24.7</v>
      </c>
    </row>
    <row r="562" customFormat="false" ht="15" hidden="false" customHeight="false" outlineLevel="0" collapsed="false">
      <c r="A562" s="11" t="s">
        <v>1624</v>
      </c>
      <c r="B562" s="11" t="n">
        <v>2</v>
      </c>
      <c r="C562" s="11" t="s">
        <v>2349</v>
      </c>
      <c r="D562" s="93" t="n">
        <v>6</v>
      </c>
      <c r="E562" s="34" t="n">
        <v>6</v>
      </c>
    </row>
    <row r="563" customFormat="false" ht="15" hidden="false" customHeight="false" outlineLevel="0" collapsed="false">
      <c r="A563" s="11" t="s">
        <v>1624</v>
      </c>
      <c r="B563" s="11" t="n">
        <v>3</v>
      </c>
      <c r="C563" s="11" t="s">
        <v>2347</v>
      </c>
      <c r="D563" s="93" t="n">
        <v>4.5</v>
      </c>
      <c r="E563" s="34" t="n">
        <v>4.5</v>
      </c>
    </row>
    <row r="564" customFormat="false" ht="15" hidden="false" customHeight="false" outlineLevel="0" collapsed="false">
      <c r="A564" s="11" t="s">
        <v>1624</v>
      </c>
      <c r="B564" s="11" t="n">
        <v>4</v>
      </c>
      <c r="C564" s="11" t="s">
        <v>2392</v>
      </c>
      <c r="D564" s="93" t="n">
        <v>10.63024</v>
      </c>
      <c r="E564" s="34" t="n">
        <v>10.6</v>
      </c>
    </row>
    <row r="565" customFormat="false" ht="15" hidden="false" customHeight="false" outlineLevel="0" collapsed="false">
      <c r="A565" s="11" t="s">
        <v>1625</v>
      </c>
      <c r="B565" s="11" t="n">
        <v>1</v>
      </c>
      <c r="C565" s="11" t="s">
        <v>2398</v>
      </c>
      <c r="D565" s="93" t="n">
        <v>24.66</v>
      </c>
      <c r="E565" s="34" t="n">
        <v>24.7</v>
      </c>
    </row>
    <row r="566" customFormat="false" ht="15" hidden="false" customHeight="false" outlineLevel="0" collapsed="false">
      <c r="A566" s="11" t="s">
        <v>1625</v>
      </c>
      <c r="B566" s="11" t="n">
        <v>2</v>
      </c>
      <c r="C566" s="11" t="s">
        <v>2399</v>
      </c>
      <c r="D566" s="93" t="n">
        <v>3.246</v>
      </c>
      <c r="E566" s="34" t="n">
        <v>3.2</v>
      </c>
    </row>
    <row r="567" customFormat="false" ht="15" hidden="false" customHeight="false" outlineLevel="0" collapsed="false">
      <c r="A567" s="11" t="s">
        <v>1625</v>
      </c>
      <c r="B567" s="11" t="n">
        <v>3</v>
      </c>
      <c r="C567" s="11" t="s">
        <v>1088</v>
      </c>
      <c r="D567" s="93" t="n">
        <v>1.5</v>
      </c>
      <c r="E567" s="34" t="n">
        <v>1.5</v>
      </c>
    </row>
    <row r="568" customFormat="false" ht="15" hidden="false" customHeight="false" outlineLevel="0" collapsed="false">
      <c r="A568" s="11" t="s">
        <v>1625</v>
      </c>
      <c r="B568" s="11" t="n">
        <v>4</v>
      </c>
      <c r="C568" s="11" t="s">
        <v>102</v>
      </c>
      <c r="D568" s="93" t="n">
        <v>0.43425</v>
      </c>
      <c r="E568" s="34" t="n">
        <v>0.4</v>
      </c>
    </row>
    <row r="569" customFormat="false" ht="15" hidden="false" customHeight="false" outlineLevel="0" collapsed="false">
      <c r="A569" s="11" t="s">
        <v>1626</v>
      </c>
      <c r="B569" s="11" t="n">
        <v>1</v>
      </c>
      <c r="C569" s="11" t="s">
        <v>2349</v>
      </c>
      <c r="D569" s="93" t="n">
        <v>6</v>
      </c>
      <c r="E569" s="34" t="n">
        <v>6</v>
      </c>
    </row>
    <row r="570" customFormat="false" ht="15" hidden="false" customHeight="false" outlineLevel="0" collapsed="false">
      <c r="A570" s="11" t="s">
        <v>1627</v>
      </c>
      <c r="B570" s="11" t="n">
        <v>1</v>
      </c>
      <c r="C570" s="11" t="s">
        <v>2345</v>
      </c>
      <c r="D570" s="93" t="n">
        <v>1.68749</v>
      </c>
      <c r="E570" s="34" t="n">
        <v>1.7</v>
      </c>
    </row>
    <row r="571" customFormat="false" ht="15" hidden="false" customHeight="false" outlineLevel="0" collapsed="false">
      <c r="A571" s="11" t="s">
        <v>1627</v>
      </c>
      <c r="B571" s="11" t="n">
        <v>2</v>
      </c>
      <c r="C571" s="11" t="s">
        <v>2404</v>
      </c>
      <c r="D571" s="93" t="n">
        <v>1.2</v>
      </c>
      <c r="E571" s="34" t="n">
        <v>1.2</v>
      </c>
    </row>
    <row r="572" customFormat="false" ht="15" hidden="false" customHeight="false" outlineLevel="0" collapsed="false">
      <c r="A572" s="11" t="s">
        <v>1627</v>
      </c>
      <c r="B572" s="11" t="n">
        <v>3</v>
      </c>
      <c r="C572" s="11" t="s">
        <v>2408</v>
      </c>
      <c r="D572" s="93" t="n">
        <v>1.12499</v>
      </c>
      <c r="E572" s="34" t="n">
        <v>1.1</v>
      </c>
    </row>
    <row r="573" customFormat="false" ht="15" hidden="false" customHeight="false" outlineLevel="0" collapsed="false">
      <c r="A573" s="11" t="s">
        <v>1627</v>
      </c>
      <c r="B573" s="11" t="n">
        <v>4</v>
      </c>
      <c r="C573" s="11" t="s">
        <v>127</v>
      </c>
      <c r="D573" s="93" t="n">
        <v>0.18749</v>
      </c>
      <c r="E573" s="34" t="n">
        <v>0.2</v>
      </c>
    </row>
    <row r="574" customFormat="false" ht="15" hidden="false" customHeight="false" outlineLevel="0" collapsed="false">
      <c r="A574" s="11" t="s">
        <v>1628</v>
      </c>
      <c r="B574" s="11" t="n">
        <v>1</v>
      </c>
      <c r="C574" s="11" t="s">
        <v>2405</v>
      </c>
      <c r="D574" s="93" t="n">
        <v>1</v>
      </c>
      <c r="E574" s="34" t="n">
        <v>1</v>
      </c>
    </row>
    <row r="575" customFormat="false" ht="15" hidden="false" customHeight="false" outlineLevel="0" collapsed="false">
      <c r="A575" s="11" t="s">
        <v>1628</v>
      </c>
      <c r="B575" s="11" t="n">
        <v>2</v>
      </c>
      <c r="C575" s="11" t="s">
        <v>2346</v>
      </c>
      <c r="D575" s="93" t="n">
        <v>1</v>
      </c>
      <c r="E575" s="34" t="n">
        <v>1</v>
      </c>
    </row>
    <row r="576" customFormat="false" ht="15" hidden="false" customHeight="false" outlineLevel="0" collapsed="false">
      <c r="A576" s="11" t="s">
        <v>1629</v>
      </c>
      <c r="B576" s="11" t="n">
        <v>1</v>
      </c>
      <c r="C576" s="11" t="s">
        <v>2347</v>
      </c>
      <c r="D576" s="93" t="n">
        <v>4.5</v>
      </c>
      <c r="E576" s="34" t="n">
        <v>4.5</v>
      </c>
    </row>
    <row r="577" customFormat="false" ht="15" hidden="false" customHeight="false" outlineLevel="0" collapsed="false">
      <c r="A577" s="11" t="s">
        <v>1629</v>
      </c>
      <c r="B577" s="11" t="n">
        <v>2</v>
      </c>
      <c r="C577" s="11" t="s">
        <v>2406</v>
      </c>
      <c r="D577" s="93" t="n">
        <v>-1.12499</v>
      </c>
      <c r="E577" s="34" t="n">
        <v>-1.1</v>
      </c>
    </row>
    <row r="578" customFormat="false" ht="15" hidden="false" customHeight="false" outlineLevel="0" collapsed="false">
      <c r="A578" s="11" t="s">
        <v>1629</v>
      </c>
      <c r="B578" s="11" t="n">
        <v>3</v>
      </c>
      <c r="C578" s="11" t="s">
        <v>2407</v>
      </c>
      <c r="D578" s="93" t="n">
        <v>0.37501</v>
      </c>
      <c r="E578" s="34" t="n">
        <v>0.4</v>
      </c>
    </row>
    <row r="579" customFormat="false" ht="15" hidden="false" customHeight="false" outlineLevel="0" collapsed="false">
      <c r="A579" s="11" t="s">
        <v>1630</v>
      </c>
      <c r="B579" s="11" t="n">
        <v>1</v>
      </c>
      <c r="C579" s="11" t="s">
        <v>1190</v>
      </c>
      <c r="D579" s="93" t="n">
        <v>28</v>
      </c>
      <c r="E579" s="34" t="n">
        <v>28</v>
      </c>
    </row>
    <row r="580" customFormat="false" ht="15" hidden="false" customHeight="false" outlineLevel="0" collapsed="false">
      <c r="A580" s="11" t="s">
        <v>1630</v>
      </c>
      <c r="B580" s="11" t="n">
        <v>2</v>
      </c>
      <c r="C580" s="11" t="s">
        <v>2413</v>
      </c>
      <c r="D580" s="93" t="n">
        <v>9.6</v>
      </c>
      <c r="E580" s="34" t="n">
        <v>9.6</v>
      </c>
    </row>
    <row r="581" customFormat="false" ht="15" hidden="false" customHeight="false" outlineLevel="0" collapsed="false">
      <c r="A581" s="11" t="s">
        <v>1630</v>
      </c>
      <c r="B581" s="11" t="n">
        <v>3</v>
      </c>
      <c r="C581" s="11" t="s">
        <v>2354</v>
      </c>
      <c r="D581" s="93" t="n">
        <v>4.2</v>
      </c>
      <c r="E581" s="34" t="n">
        <v>4.2</v>
      </c>
    </row>
    <row r="582" customFormat="false" ht="15" hidden="false" customHeight="false" outlineLevel="0" collapsed="false">
      <c r="A582" s="11" t="s">
        <v>1630</v>
      </c>
      <c r="B582" s="11" t="n">
        <v>4</v>
      </c>
      <c r="C582" s="11" t="s">
        <v>2348</v>
      </c>
      <c r="D582" s="93" t="n">
        <v>5.84998</v>
      </c>
      <c r="E582" s="34" t="n">
        <v>5.8</v>
      </c>
    </row>
    <row r="583" customFormat="false" ht="15" hidden="false" customHeight="false" outlineLevel="0" collapsed="false">
      <c r="A583" s="11" t="s">
        <v>1631</v>
      </c>
      <c r="B583" s="11" t="n">
        <v>1</v>
      </c>
      <c r="C583" s="11" t="s">
        <v>1190</v>
      </c>
      <c r="D583" s="93" t="n">
        <v>28</v>
      </c>
      <c r="E583" s="34" t="n">
        <v>28</v>
      </c>
    </row>
    <row r="584" customFormat="false" ht="15" hidden="false" customHeight="false" outlineLevel="0" collapsed="false">
      <c r="A584" s="11" t="s">
        <v>1631</v>
      </c>
      <c r="B584" s="11" t="n">
        <v>2</v>
      </c>
      <c r="C584" s="11" t="s">
        <v>2413</v>
      </c>
      <c r="D584" s="93" t="n">
        <v>9.6</v>
      </c>
      <c r="E584" s="34" t="n">
        <v>9.6</v>
      </c>
    </row>
    <row r="585" customFormat="false" ht="15" hidden="false" customHeight="false" outlineLevel="0" collapsed="false">
      <c r="A585" s="11" t="s">
        <v>1631</v>
      </c>
      <c r="B585" s="11" t="n">
        <v>3</v>
      </c>
      <c r="C585" s="11" t="s">
        <v>2354</v>
      </c>
      <c r="D585" s="93" t="n">
        <v>4.2</v>
      </c>
      <c r="E585" s="34" t="n">
        <v>4.2</v>
      </c>
    </row>
    <row r="586" customFormat="false" ht="15" hidden="false" customHeight="false" outlineLevel="0" collapsed="false">
      <c r="A586" s="11" t="s">
        <v>1631</v>
      </c>
      <c r="B586" s="11" t="n">
        <v>4</v>
      </c>
      <c r="C586" s="11" t="s">
        <v>102</v>
      </c>
      <c r="D586" s="93" t="n">
        <v>3.6</v>
      </c>
      <c r="E586" s="34" t="n">
        <v>3.6</v>
      </c>
    </row>
    <row r="587" customFormat="false" ht="15" hidden="false" customHeight="false" outlineLevel="0" collapsed="false">
      <c r="A587" s="11" t="s">
        <v>1632</v>
      </c>
      <c r="B587" s="11" t="n">
        <v>1</v>
      </c>
      <c r="C587" s="11" t="s">
        <v>2405</v>
      </c>
      <c r="D587" s="93" t="n">
        <v>0.5</v>
      </c>
      <c r="E587" s="34" t="n">
        <v>0.5</v>
      </c>
    </row>
    <row r="588" customFormat="false" ht="15" hidden="false" customHeight="false" outlineLevel="0" collapsed="false">
      <c r="A588" s="11" t="s">
        <v>1632</v>
      </c>
      <c r="B588" s="11" t="n">
        <v>2</v>
      </c>
      <c r="C588" s="11" t="s">
        <v>2346</v>
      </c>
      <c r="D588" s="93" t="n">
        <v>0.5</v>
      </c>
      <c r="E588" s="34" t="n">
        <v>0.5</v>
      </c>
    </row>
    <row r="589" customFormat="false" ht="15" hidden="false" customHeight="false" outlineLevel="0" collapsed="false">
      <c r="A589" s="11" t="s">
        <v>1633</v>
      </c>
      <c r="B589" s="11" t="n">
        <v>1</v>
      </c>
      <c r="C589" s="11" t="s">
        <v>2347</v>
      </c>
      <c r="D589" s="93" t="n">
        <v>1.5</v>
      </c>
      <c r="E589" s="34" t="n">
        <v>1.5</v>
      </c>
    </row>
    <row r="590" customFormat="false" ht="15" hidden="false" customHeight="false" outlineLevel="0" collapsed="false">
      <c r="A590" s="11" t="s">
        <v>1633</v>
      </c>
      <c r="B590" s="11" t="n">
        <v>2</v>
      </c>
      <c r="C590" s="11" t="s">
        <v>2406</v>
      </c>
      <c r="D590" s="93" t="n">
        <v>-0.37501</v>
      </c>
      <c r="E590" s="34" t="n">
        <v>-0.4</v>
      </c>
    </row>
    <row r="591" customFormat="false" ht="15" hidden="false" customHeight="false" outlineLevel="0" collapsed="false">
      <c r="A591" s="11" t="s">
        <v>1633</v>
      </c>
      <c r="B591" s="11" t="n">
        <v>3</v>
      </c>
      <c r="C591" s="11" t="s">
        <v>2407</v>
      </c>
      <c r="D591" s="93" t="n">
        <v>0.12499</v>
      </c>
      <c r="E591" s="34" t="n">
        <v>0.1</v>
      </c>
    </row>
    <row r="592" customFormat="false" ht="15" hidden="false" customHeight="false" outlineLevel="0" collapsed="false">
      <c r="A592" s="11" t="s">
        <v>1634</v>
      </c>
      <c r="B592" s="11" t="n">
        <v>1</v>
      </c>
      <c r="C592" s="11" t="s">
        <v>159</v>
      </c>
      <c r="D592" s="93" t="n">
        <v>47.64998</v>
      </c>
      <c r="E592" s="34" t="n">
        <v>47.6</v>
      </c>
    </row>
    <row r="593" customFormat="false" ht="15" hidden="false" customHeight="false" outlineLevel="0" collapsed="false">
      <c r="A593" s="11" t="s">
        <v>1634</v>
      </c>
      <c r="B593" s="11" t="n">
        <v>2</v>
      </c>
      <c r="C593" s="11" t="s">
        <v>157</v>
      </c>
      <c r="D593" s="93" t="n">
        <v>45.79024</v>
      </c>
      <c r="E593" s="34" t="n">
        <v>45.8</v>
      </c>
    </row>
    <row r="594" customFormat="false" ht="15" hidden="false" customHeight="false" outlineLevel="0" collapsed="false">
      <c r="A594" s="11" t="s">
        <v>1634</v>
      </c>
      <c r="B594" s="11" t="n">
        <v>3</v>
      </c>
      <c r="C594" s="11" t="s">
        <v>170</v>
      </c>
      <c r="D594" s="93" t="n">
        <v>4.87603</v>
      </c>
      <c r="E594" s="34" t="n">
        <v>4.9</v>
      </c>
    </row>
    <row r="595" customFormat="false" ht="15" hidden="false" customHeight="false" outlineLevel="0" collapsed="false">
      <c r="A595" s="11" t="s">
        <v>1635</v>
      </c>
      <c r="B595" s="11" t="n">
        <v>1</v>
      </c>
      <c r="C595" s="11" t="s">
        <v>91</v>
      </c>
      <c r="D595" s="93" t="n">
        <v>267.19</v>
      </c>
      <c r="E595" s="34" t="n">
        <v>267.2</v>
      </c>
    </row>
    <row r="596" customFormat="false" ht="15" hidden="false" customHeight="false" outlineLevel="0" collapsed="false">
      <c r="A596" s="11" t="s">
        <v>1635</v>
      </c>
      <c r="B596" s="11" t="n">
        <v>2</v>
      </c>
      <c r="C596" s="11" t="s">
        <v>168</v>
      </c>
      <c r="D596" s="93" t="n">
        <v>-148.6573</v>
      </c>
      <c r="E596" s="34" t="n">
        <v>-148.7</v>
      </c>
    </row>
    <row r="597" customFormat="false" ht="15" hidden="false" customHeight="false" outlineLevel="0" collapsed="false">
      <c r="A597" s="11" t="s">
        <v>1635</v>
      </c>
      <c r="B597" s="11" t="n">
        <v>3</v>
      </c>
      <c r="C597" s="11" t="s">
        <v>171</v>
      </c>
      <c r="D597" s="93" t="n">
        <v>-98.31625</v>
      </c>
      <c r="E597" s="34" t="n">
        <v>-98.3</v>
      </c>
    </row>
    <row r="598" customFormat="false" ht="15" hidden="false" customHeight="false" outlineLevel="0" collapsed="false">
      <c r="A598" s="11" t="s">
        <v>1635</v>
      </c>
      <c r="B598" s="11" t="n">
        <v>4</v>
      </c>
      <c r="C598" s="11" t="s">
        <v>127</v>
      </c>
      <c r="D598" s="93" t="n">
        <v>-56.22045</v>
      </c>
      <c r="E598" s="34" t="n">
        <v>-56.2</v>
      </c>
    </row>
    <row r="599" customFormat="false" ht="15" hidden="false" customHeight="false" outlineLevel="0" collapsed="false">
      <c r="A599" s="11" t="s">
        <v>1636</v>
      </c>
      <c r="B599" s="11" t="n">
        <v>1</v>
      </c>
      <c r="C599" s="11" t="s">
        <v>2357</v>
      </c>
      <c r="D599" s="93" t="n">
        <v>-1.5</v>
      </c>
      <c r="E599" s="34" t="n">
        <v>-1.5</v>
      </c>
    </row>
    <row r="600" customFormat="false" ht="15" hidden="false" customHeight="false" outlineLevel="0" collapsed="false">
      <c r="A600" s="11" t="s">
        <v>1637</v>
      </c>
      <c r="B600" s="11" t="n">
        <v>1</v>
      </c>
      <c r="C600" s="11" t="s">
        <v>2414</v>
      </c>
      <c r="D600" s="93" t="n">
        <v>-0.5</v>
      </c>
      <c r="E600" s="34" t="n">
        <v>-0.5</v>
      </c>
    </row>
    <row r="601" customFormat="false" ht="15" hidden="false" customHeight="false" outlineLevel="0" collapsed="false">
      <c r="A601" s="11" t="s">
        <v>1638</v>
      </c>
      <c r="B601" s="11" t="n">
        <v>1</v>
      </c>
      <c r="C601" s="11" t="s">
        <v>2358</v>
      </c>
      <c r="D601" s="93" t="n">
        <v>10</v>
      </c>
      <c r="E601" s="34" t="n">
        <v>10</v>
      </c>
    </row>
    <row r="602" customFormat="false" ht="15" hidden="false" customHeight="false" outlineLevel="0" collapsed="false">
      <c r="A602" s="11" t="s">
        <v>1638</v>
      </c>
      <c r="B602" s="11" t="n">
        <v>2</v>
      </c>
      <c r="C602" s="11" t="s">
        <v>2359</v>
      </c>
      <c r="D602" s="93" t="n">
        <v>1.5</v>
      </c>
      <c r="E602" s="34" t="n">
        <v>1.5</v>
      </c>
    </row>
    <row r="603" customFormat="false" ht="15" hidden="false" customHeight="false" outlineLevel="0" collapsed="false">
      <c r="A603" s="11" t="s">
        <v>1639</v>
      </c>
      <c r="B603" s="11" t="n">
        <v>1</v>
      </c>
      <c r="C603" s="11" t="s">
        <v>91</v>
      </c>
      <c r="D603" s="93" t="n">
        <v>267.19</v>
      </c>
      <c r="E603" s="34" t="n">
        <v>267.2</v>
      </c>
    </row>
    <row r="604" customFormat="false" ht="15" hidden="false" customHeight="false" outlineLevel="0" collapsed="false">
      <c r="A604" s="11" t="s">
        <v>1639</v>
      </c>
      <c r="B604" s="11" t="n">
        <v>2</v>
      </c>
      <c r="C604" s="11" t="s">
        <v>168</v>
      </c>
      <c r="D604" s="93" t="n">
        <v>-148.6573</v>
      </c>
      <c r="E604" s="34" t="n">
        <v>-148.7</v>
      </c>
    </row>
    <row r="605" customFormat="false" ht="15" hidden="false" customHeight="false" outlineLevel="0" collapsed="false">
      <c r="A605" s="11" t="s">
        <v>1639</v>
      </c>
      <c r="B605" s="11" t="n">
        <v>3</v>
      </c>
      <c r="C605" s="11" t="s">
        <v>171</v>
      </c>
      <c r="D605" s="93" t="n">
        <v>-98.31625</v>
      </c>
      <c r="E605" s="34" t="n">
        <v>-98.3</v>
      </c>
    </row>
    <row r="606" customFormat="false" ht="15" hidden="false" customHeight="false" outlineLevel="0" collapsed="false">
      <c r="A606" s="11" t="s">
        <v>1639</v>
      </c>
      <c r="B606" s="11" t="n">
        <v>4</v>
      </c>
      <c r="C606" s="11" t="s">
        <v>2356</v>
      </c>
      <c r="D606" s="93" t="n">
        <v>-68.72045</v>
      </c>
      <c r="E606" s="34" t="n">
        <v>-68.7</v>
      </c>
    </row>
    <row r="607" customFormat="false" ht="15" hidden="false" customHeight="false" outlineLevel="0" collapsed="false">
      <c r="A607" s="11" t="s">
        <v>1640</v>
      </c>
      <c r="B607" s="11" t="n">
        <v>1</v>
      </c>
      <c r="C607" s="11" t="s">
        <v>2339</v>
      </c>
      <c r="D607" s="93" t="n">
        <v>125</v>
      </c>
      <c r="E607" s="34" t="n">
        <v>125</v>
      </c>
    </row>
    <row r="608" customFormat="false" ht="15" hidden="false" customHeight="false" outlineLevel="0" collapsed="false">
      <c r="A608" s="11" t="s">
        <v>1640</v>
      </c>
      <c r="B608" s="11" t="n">
        <v>2</v>
      </c>
      <c r="C608" s="11" t="s">
        <v>2336</v>
      </c>
      <c r="D608" s="93" t="n">
        <v>122.306</v>
      </c>
      <c r="E608" s="34" t="n">
        <v>122.3</v>
      </c>
    </row>
    <row r="609" customFormat="false" ht="15" hidden="false" customHeight="false" outlineLevel="0" collapsed="false">
      <c r="A609" s="11" t="s">
        <v>1640</v>
      </c>
      <c r="B609" s="11" t="n">
        <v>3</v>
      </c>
      <c r="C609" s="11" t="s">
        <v>2397</v>
      </c>
      <c r="D609" s="93" t="n">
        <v>67.948</v>
      </c>
      <c r="E609" s="34" t="n">
        <v>68</v>
      </c>
    </row>
    <row r="610" customFormat="false" ht="15" hidden="false" customHeight="false" outlineLevel="0" collapsed="false">
      <c r="A610" s="11" t="s">
        <v>1640</v>
      </c>
      <c r="B610" s="11" t="n">
        <v>4</v>
      </c>
      <c r="C610" s="11" t="s">
        <v>2341</v>
      </c>
      <c r="D610" s="93" t="n">
        <v>-48.064</v>
      </c>
      <c r="E610" s="34" t="n">
        <v>-48.1</v>
      </c>
    </row>
    <row r="611" customFormat="false" ht="15" hidden="false" customHeight="false" outlineLevel="0" collapsed="false">
      <c r="A611" s="11" t="s">
        <v>1641</v>
      </c>
      <c r="B611" s="11" t="n">
        <v>1</v>
      </c>
      <c r="C611" s="11" t="s">
        <v>2336</v>
      </c>
      <c r="D611" s="93" t="n">
        <v>122.306</v>
      </c>
      <c r="E611" s="34" t="n">
        <v>122.3</v>
      </c>
    </row>
    <row r="612" customFormat="false" ht="15" hidden="false" customHeight="false" outlineLevel="0" collapsed="false">
      <c r="A612" s="11" t="s">
        <v>1641</v>
      </c>
      <c r="B612" s="11" t="n">
        <v>2</v>
      </c>
      <c r="C612" s="11" t="s">
        <v>2397</v>
      </c>
      <c r="D612" s="93" t="n">
        <v>67.948</v>
      </c>
      <c r="E612" s="34" t="n">
        <v>67.9</v>
      </c>
    </row>
    <row r="613" customFormat="false" ht="15" hidden="false" customHeight="false" outlineLevel="0" collapsed="false">
      <c r="A613" s="11" t="s">
        <v>1641</v>
      </c>
      <c r="B613" s="11" t="n">
        <v>3</v>
      </c>
      <c r="C613" s="11" t="s">
        <v>2338</v>
      </c>
      <c r="D613" s="93" t="n">
        <v>-43.24</v>
      </c>
      <c r="E613" s="34" t="n">
        <v>-43.2</v>
      </c>
    </row>
    <row r="614" customFormat="false" ht="15" hidden="false" customHeight="false" outlineLevel="0" collapsed="false">
      <c r="A614" s="11" t="s">
        <v>1641</v>
      </c>
      <c r="B614" s="11" t="n">
        <v>4</v>
      </c>
      <c r="C614" s="11" t="s">
        <v>127</v>
      </c>
      <c r="D614" s="93" t="n">
        <v>-14.824</v>
      </c>
      <c r="E614" s="34" t="n">
        <v>-14.8</v>
      </c>
    </row>
    <row r="615" customFormat="false" ht="15" hidden="false" customHeight="false" outlineLevel="0" collapsed="false">
      <c r="A615" s="11" t="s">
        <v>1642</v>
      </c>
      <c r="B615" s="11" t="n">
        <v>1</v>
      </c>
      <c r="C615" s="11" t="s">
        <v>2339</v>
      </c>
      <c r="D615" s="93" t="n">
        <v>125</v>
      </c>
      <c r="E615" s="34" t="n">
        <v>125</v>
      </c>
    </row>
    <row r="616" customFormat="false" ht="15" hidden="false" customHeight="false" outlineLevel="0" collapsed="false">
      <c r="A616" s="11" t="s">
        <v>1642</v>
      </c>
      <c r="B616" s="11" t="n">
        <v>2</v>
      </c>
      <c r="C616" s="11" t="s">
        <v>1184</v>
      </c>
      <c r="D616" s="93" t="n">
        <v>-60</v>
      </c>
      <c r="E616" s="34" t="n">
        <v>-60</v>
      </c>
    </row>
    <row r="617" customFormat="false" ht="15" hidden="false" customHeight="false" outlineLevel="0" collapsed="false">
      <c r="A617" s="11" t="s">
        <v>1642</v>
      </c>
      <c r="B617" s="11" t="n">
        <v>3</v>
      </c>
      <c r="C617" s="11" t="s">
        <v>2340</v>
      </c>
      <c r="D617" s="93" t="n">
        <v>50</v>
      </c>
      <c r="E617" s="34" t="n">
        <v>50</v>
      </c>
    </row>
    <row r="618" customFormat="false" ht="15" hidden="false" customHeight="false" outlineLevel="0" collapsed="false">
      <c r="A618" s="11" t="s">
        <v>1642</v>
      </c>
      <c r="B618" s="11" t="n">
        <v>4</v>
      </c>
      <c r="C618" s="11" t="s">
        <v>127</v>
      </c>
      <c r="D618" s="93" t="n">
        <v>20</v>
      </c>
      <c r="E618" s="34" t="n">
        <v>20</v>
      </c>
    </row>
    <row r="619" customFormat="false" ht="15" hidden="false" customHeight="false" outlineLevel="0" collapsed="false">
      <c r="A619" s="11" t="s">
        <v>1643</v>
      </c>
      <c r="B619" s="11" t="n">
        <v>1</v>
      </c>
      <c r="C619" s="11" t="s">
        <v>2398</v>
      </c>
      <c r="D619" s="93" t="n">
        <v>76.274</v>
      </c>
      <c r="E619" s="34" t="n">
        <v>76.3</v>
      </c>
    </row>
    <row r="620" customFormat="false" ht="15" hidden="false" customHeight="false" outlineLevel="0" collapsed="false">
      <c r="A620" s="11" t="s">
        <v>1643</v>
      </c>
      <c r="B620" s="11" t="n">
        <v>2</v>
      </c>
      <c r="C620" s="11" t="s">
        <v>2399</v>
      </c>
      <c r="D620" s="93" t="n">
        <v>13.204</v>
      </c>
      <c r="E620" s="34" t="n">
        <v>13.2</v>
      </c>
    </row>
    <row r="621" customFormat="false" ht="15" hidden="false" customHeight="false" outlineLevel="0" collapsed="false">
      <c r="A621" s="11" t="s">
        <v>1643</v>
      </c>
      <c r="B621" s="11" t="n">
        <v>3</v>
      </c>
      <c r="C621" s="11" t="s">
        <v>1087</v>
      </c>
      <c r="D621" s="93" t="n">
        <v>4</v>
      </c>
      <c r="E621" s="34" t="n">
        <v>4</v>
      </c>
    </row>
    <row r="622" customFormat="false" ht="15" hidden="false" customHeight="false" outlineLevel="0" collapsed="false">
      <c r="A622" s="11" t="s">
        <v>1643</v>
      </c>
      <c r="B622" s="11" t="n">
        <v>4</v>
      </c>
      <c r="C622" s="11" t="s">
        <v>102</v>
      </c>
      <c r="D622" s="93" t="n">
        <v>0.266</v>
      </c>
      <c r="E622" s="34" t="n">
        <v>0.2</v>
      </c>
    </row>
    <row r="623" customFormat="false" ht="15" hidden="false" customHeight="false" outlineLevel="0" collapsed="false">
      <c r="A623" s="11" t="s">
        <v>1644</v>
      </c>
      <c r="B623" s="11" t="n">
        <v>1</v>
      </c>
      <c r="C623" s="11" t="s">
        <v>2398</v>
      </c>
      <c r="D623" s="93" t="n">
        <v>32.88</v>
      </c>
      <c r="E623" s="34" t="n">
        <v>32.9</v>
      </c>
    </row>
    <row r="624" customFormat="false" ht="15" hidden="false" customHeight="false" outlineLevel="0" collapsed="false">
      <c r="A624" s="11" t="s">
        <v>1644</v>
      </c>
      <c r="B624" s="11" t="n">
        <v>2</v>
      </c>
      <c r="C624" s="11" t="s">
        <v>2399</v>
      </c>
      <c r="D624" s="93" t="n">
        <v>4.328</v>
      </c>
      <c r="E624" s="34" t="n">
        <v>4.3</v>
      </c>
    </row>
    <row r="625" customFormat="false" ht="15" hidden="false" customHeight="false" outlineLevel="0" collapsed="false">
      <c r="A625" s="11" t="s">
        <v>1644</v>
      </c>
      <c r="B625" s="11" t="n">
        <v>3</v>
      </c>
      <c r="C625" s="11" t="s">
        <v>1088</v>
      </c>
      <c r="D625" s="93" t="n">
        <v>2</v>
      </c>
      <c r="E625" s="34" t="n">
        <v>2</v>
      </c>
    </row>
    <row r="626" customFormat="false" ht="15" hidden="false" customHeight="false" outlineLevel="0" collapsed="false">
      <c r="A626" s="11" t="s">
        <v>1644</v>
      </c>
      <c r="B626" s="11" t="n">
        <v>4</v>
      </c>
      <c r="C626" s="11" t="s">
        <v>102</v>
      </c>
      <c r="D626" s="93" t="n">
        <v>0.579</v>
      </c>
      <c r="E626" s="34" t="n">
        <v>0.6</v>
      </c>
    </row>
    <row r="627" customFormat="false" ht="15" hidden="false" customHeight="false" outlineLevel="0" collapsed="false">
      <c r="A627" s="11" t="s">
        <v>1645</v>
      </c>
      <c r="B627" s="11" t="n">
        <v>1</v>
      </c>
      <c r="C627" s="11" t="s">
        <v>2398</v>
      </c>
      <c r="D627" s="93" t="n">
        <v>-8.376</v>
      </c>
      <c r="E627" s="34" t="n">
        <v>-8.4</v>
      </c>
    </row>
    <row r="628" customFormat="false" ht="15" hidden="false" customHeight="false" outlineLevel="0" collapsed="false">
      <c r="A628" s="11" t="s">
        <v>1645</v>
      </c>
      <c r="B628" s="11" t="n">
        <v>2</v>
      </c>
      <c r="C628" s="11" t="s">
        <v>1087</v>
      </c>
      <c r="D628" s="93" t="n">
        <v>3</v>
      </c>
      <c r="E628" s="34" t="n">
        <v>3</v>
      </c>
    </row>
    <row r="629" customFormat="false" ht="15" hidden="false" customHeight="false" outlineLevel="0" collapsed="false">
      <c r="A629" s="11" t="s">
        <v>1645</v>
      </c>
      <c r="B629" s="11" t="n">
        <v>3</v>
      </c>
      <c r="C629" s="11" t="s">
        <v>2403</v>
      </c>
      <c r="D629" s="93" t="n">
        <v>-1.676</v>
      </c>
      <c r="E629" s="34" t="n">
        <v>-1.7</v>
      </c>
    </row>
    <row r="630" customFormat="false" ht="15" hidden="false" customHeight="false" outlineLevel="0" collapsed="false">
      <c r="A630" s="11" t="s">
        <v>1645</v>
      </c>
      <c r="B630" s="11" t="n">
        <v>4</v>
      </c>
      <c r="C630" s="11" t="s">
        <v>127</v>
      </c>
      <c r="D630" s="93" t="n">
        <v>-0.507</v>
      </c>
      <c r="E630" s="34" t="n">
        <v>-0.5</v>
      </c>
    </row>
    <row r="631" customFormat="false" ht="15" hidden="false" customHeight="false" outlineLevel="0" collapsed="false">
      <c r="A631" s="11" t="s">
        <v>1646</v>
      </c>
      <c r="B631" s="11" t="n">
        <v>1</v>
      </c>
      <c r="C631" s="11" t="s">
        <v>2398</v>
      </c>
      <c r="D631" s="93" t="n">
        <v>11.72</v>
      </c>
      <c r="E631" s="34" t="n">
        <v>11.7</v>
      </c>
    </row>
    <row r="632" customFormat="false" ht="15" hidden="false" customHeight="false" outlineLevel="0" collapsed="false">
      <c r="A632" s="11" t="s">
        <v>1646</v>
      </c>
      <c r="B632" s="11" t="n">
        <v>2</v>
      </c>
      <c r="C632" s="11" t="s">
        <v>2399</v>
      </c>
      <c r="D632" s="93" t="n">
        <v>3.074</v>
      </c>
      <c r="E632" s="34" t="n">
        <v>3.1</v>
      </c>
    </row>
    <row r="633" customFormat="false" ht="15" hidden="false" customHeight="false" outlineLevel="0" collapsed="false">
      <c r="A633" s="11" t="s">
        <v>1646</v>
      </c>
      <c r="B633" s="11" t="n">
        <v>3</v>
      </c>
      <c r="C633" s="11" t="s">
        <v>2403</v>
      </c>
      <c r="D633" s="93" t="n">
        <v>-0.177</v>
      </c>
      <c r="E633" s="34" t="n">
        <v>-0.2</v>
      </c>
    </row>
    <row r="634" customFormat="false" ht="15" hidden="false" customHeight="false" outlineLevel="0" collapsed="false">
      <c r="A634" s="11" t="s">
        <v>1647</v>
      </c>
      <c r="B634" s="11" t="n">
        <v>1</v>
      </c>
      <c r="C634" s="11" t="s">
        <v>2403</v>
      </c>
      <c r="D634" s="93" t="n">
        <v>-0.964</v>
      </c>
      <c r="E634" s="34" t="n">
        <v>-1</v>
      </c>
    </row>
    <row r="635" customFormat="false" ht="15" hidden="false" customHeight="false" outlineLevel="0" collapsed="false">
      <c r="A635" s="11" t="s">
        <v>1647</v>
      </c>
      <c r="B635" s="11" t="n">
        <v>2</v>
      </c>
      <c r="C635" s="11" t="s">
        <v>2399</v>
      </c>
      <c r="D635" s="93" t="n">
        <v>0.888</v>
      </c>
      <c r="E635" s="34" t="n">
        <v>0.9</v>
      </c>
    </row>
    <row r="636" customFormat="false" ht="15" hidden="false" customHeight="false" outlineLevel="0" collapsed="false">
      <c r="A636" s="11" t="s">
        <v>1648</v>
      </c>
      <c r="B636" s="11" t="n">
        <v>1</v>
      </c>
      <c r="C636" s="11" t="s">
        <v>2398</v>
      </c>
      <c r="D636" s="93" t="n">
        <v>40.05</v>
      </c>
      <c r="E636" s="34" t="n">
        <v>40.1</v>
      </c>
    </row>
    <row r="637" customFormat="false" ht="15" hidden="false" customHeight="false" outlineLevel="0" collapsed="false">
      <c r="A637" s="11" t="s">
        <v>1648</v>
      </c>
      <c r="B637" s="11" t="n">
        <v>2</v>
      </c>
      <c r="C637" s="11" t="s">
        <v>2399</v>
      </c>
      <c r="D637" s="93" t="n">
        <v>5.421</v>
      </c>
      <c r="E637" s="34" t="n">
        <v>5.4</v>
      </c>
    </row>
    <row r="638" customFormat="false" ht="15" hidden="false" customHeight="false" outlineLevel="0" collapsed="false">
      <c r="A638" s="11" t="s">
        <v>1648</v>
      </c>
      <c r="B638" s="11" t="n">
        <v>3</v>
      </c>
      <c r="C638" s="11" t="s">
        <v>2403</v>
      </c>
      <c r="D638" s="93" t="n">
        <v>1.504</v>
      </c>
      <c r="E638" s="34" t="n">
        <v>1.5</v>
      </c>
    </row>
    <row r="639" customFormat="false" ht="15" hidden="false" customHeight="false" outlineLevel="0" collapsed="false">
      <c r="A639" s="11" t="s">
        <v>1649</v>
      </c>
      <c r="B639" s="11" t="n">
        <v>1</v>
      </c>
      <c r="C639" s="11" t="s">
        <v>2342</v>
      </c>
      <c r="D639" s="93" t="n">
        <v>24.4</v>
      </c>
      <c r="E639" s="34" t="n">
        <v>24.4</v>
      </c>
    </row>
    <row r="640" customFormat="false" ht="15" hidden="false" customHeight="false" outlineLevel="0" collapsed="false">
      <c r="A640" s="11" t="s">
        <v>1649</v>
      </c>
      <c r="B640" s="11" t="n">
        <v>2</v>
      </c>
      <c r="C640" s="11" t="s">
        <v>2351</v>
      </c>
      <c r="D640" s="93" t="n">
        <v>12</v>
      </c>
      <c r="E640" s="34" t="n">
        <v>12</v>
      </c>
    </row>
    <row r="641" customFormat="false" ht="15" hidden="false" customHeight="false" outlineLevel="0" collapsed="false">
      <c r="A641" s="11" t="s">
        <v>1649</v>
      </c>
      <c r="B641" s="11" t="n">
        <v>3</v>
      </c>
      <c r="C641" s="11" t="s">
        <v>2349</v>
      </c>
      <c r="D641" s="93" t="n">
        <v>6</v>
      </c>
      <c r="E641" s="34" t="n">
        <v>6</v>
      </c>
    </row>
    <row r="642" customFormat="false" ht="15" hidden="false" customHeight="false" outlineLevel="0" collapsed="false">
      <c r="A642" s="11" t="s">
        <v>1649</v>
      </c>
      <c r="B642" s="11" t="n">
        <v>4</v>
      </c>
      <c r="C642" s="11" t="s">
        <v>2416</v>
      </c>
      <c r="D642" s="93" t="n">
        <v>13.7</v>
      </c>
      <c r="E642" s="34" t="n">
        <v>13.7</v>
      </c>
    </row>
    <row r="643" customFormat="false" ht="15" hidden="false" customHeight="false" outlineLevel="0" collapsed="false">
      <c r="A643" s="11" t="s">
        <v>1650</v>
      </c>
      <c r="B643" s="11" t="n">
        <v>1</v>
      </c>
      <c r="C643" s="11" t="s">
        <v>2342</v>
      </c>
      <c r="D643" s="93" t="n">
        <v>24.4</v>
      </c>
      <c r="E643" s="34" t="n">
        <v>24.4</v>
      </c>
    </row>
    <row r="644" customFormat="false" ht="15" hidden="false" customHeight="false" outlineLevel="0" collapsed="false">
      <c r="A644" s="11" t="s">
        <v>1650</v>
      </c>
      <c r="B644" s="11" t="n">
        <v>2</v>
      </c>
      <c r="C644" s="11" t="s">
        <v>2351</v>
      </c>
      <c r="D644" s="93" t="n">
        <v>12</v>
      </c>
      <c r="E644" s="34" t="n">
        <v>12</v>
      </c>
    </row>
    <row r="645" customFormat="false" ht="15" hidden="false" customHeight="false" outlineLevel="0" collapsed="false">
      <c r="A645" s="11" t="s">
        <v>1650</v>
      </c>
      <c r="B645" s="11" t="n">
        <v>3</v>
      </c>
      <c r="C645" s="11" t="s">
        <v>2349</v>
      </c>
      <c r="D645" s="93" t="n">
        <v>6</v>
      </c>
      <c r="E645" s="34" t="n">
        <v>6</v>
      </c>
    </row>
    <row r="646" customFormat="false" ht="15" hidden="false" customHeight="false" outlineLevel="0" collapsed="false">
      <c r="A646" s="11" t="s">
        <v>1650</v>
      </c>
      <c r="B646" s="11" t="n">
        <v>4</v>
      </c>
      <c r="C646" s="11" t="s">
        <v>102</v>
      </c>
      <c r="D646" s="93" t="n">
        <v>2.5</v>
      </c>
      <c r="E646" s="34" t="n">
        <v>2.5</v>
      </c>
    </row>
    <row r="647" customFormat="false" ht="15" hidden="false" customHeight="false" outlineLevel="0" collapsed="false">
      <c r="A647" s="11" t="s">
        <v>1651</v>
      </c>
      <c r="B647" s="11" t="n">
        <v>1</v>
      </c>
      <c r="C647" s="11" t="s">
        <v>2345</v>
      </c>
      <c r="D647" s="93" t="n">
        <v>4.5</v>
      </c>
      <c r="E647" s="34" t="n">
        <v>4.5</v>
      </c>
    </row>
    <row r="648" customFormat="false" ht="15" hidden="false" customHeight="false" outlineLevel="0" collapsed="false">
      <c r="A648" s="11" t="s">
        <v>1651</v>
      </c>
      <c r="B648" s="11" t="n">
        <v>2</v>
      </c>
      <c r="C648" s="11" t="s">
        <v>2404</v>
      </c>
      <c r="D648" s="93" t="n">
        <v>3.2</v>
      </c>
      <c r="E648" s="34" t="n">
        <v>3.2</v>
      </c>
    </row>
    <row r="649" customFormat="false" ht="15" hidden="false" customHeight="false" outlineLevel="0" collapsed="false">
      <c r="A649" s="11" t="s">
        <v>1651</v>
      </c>
      <c r="B649" s="11" t="n">
        <v>3</v>
      </c>
      <c r="C649" s="11" t="s">
        <v>2408</v>
      </c>
      <c r="D649" s="93" t="n">
        <v>3</v>
      </c>
      <c r="E649" s="34" t="n">
        <v>3</v>
      </c>
    </row>
    <row r="650" customFormat="false" ht="15" hidden="false" customHeight="false" outlineLevel="0" collapsed="false">
      <c r="A650" s="11" t="s">
        <v>1651</v>
      </c>
      <c r="B650" s="11" t="n">
        <v>4</v>
      </c>
      <c r="C650" s="11" t="s">
        <v>127</v>
      </c>
      <c r="D650" s="93" t="n">
        <v>0.5</v>
      </c>
      <c r="E650" s="34" t="n">
        <v>0.5</v>
      </c>
    </row>
    <row r="651" customFormat="false" ht="15" hidden="false" customHeight="false" outlineLevel="0" collapsed="false">
      <c r="A651" s="11" t="s">
        <v>1652</v>
      </c>
      <c r="B651" s="11" t="n">
        <v>1</v>
      </c>
      <c r="C651" s="11" t="s">
        <v>1181</v>
      </c>
      <c r="D651" s="93" t="n">
        <v>77.25</v>
      </c>
      <c r="E651" s="34" t="n">
        <v>77.3</v>
      </c>
    </row>
    <row r="652" customFormat="false" ht="15" hidden="false" customHeight="false" outlineLevel="0" collapsed="false">
      <c r="A652" s="11" t="s">
        <v>1652</v>
      </c>
      <c r="B652" s="11" t="n">
        <v>2</v>
      </c>
      <c r="C652" s="11" t="s">
        <v>1190</v>
      </c>
      <c r="D652" s="93" t="n">
        <v>28</v>
      </c>
      <c r="E652" s="34" t="n">
        <v>28</v>
      </c>
    </row>
    <row r="653" customFormat="false" ht="15" hidden="false" customHeight="false" outlineLevel="0" collapsed="false">
      <c r="A653" s="11" t="s">
        <v>1652</v>
      </c>
      <c r="B653" s="11" t="n">
        <v>3</v>
      </c>
      <c r="C653" s="11" t="s">
        <v>2413</v>
      </c>
      <c r="D653" s="93" t="n">
        <v>9.6</v>
      </c>
      <c r="E653" s="34" t="n">
        <v>9.6</v>
      </c>
    </row>
    <row r="654" customFormat="false" ht="15" hidden="false" customHeight="false" outlineLevel="0" collapsed="false">
      <c r="A654" s="11" t="s">
        <v>1652</v>
      </c>
      <c r="B654" s="11" t="n">
        <v>4</v>
      </c>
      <c r="C654" s="11" t="s">
        <v>2416</v>
      </c>
      <c r="D654" s="93" t="n">
        <v>16</v>
      </c>
      <c r="E654" s="34" t="n">
        <v>16</v>
      </c>
    </row>
    <row r="655" customFormat="false" ht="15" hidden="false" customHeight="false" outlineLevel="0" collapsed="false">
      <c r="A655" s="11" t="s">
        <v>1653</v>
      </c>
      <c r="B655" s="11" t="n">
        <v>1</v>
      </c>
      <c r="C655" s="11" t="s">
        <v>1181</v>
      </c>
      <c r="D655" s="93" t="n">
        <v>77.25</v>
      </c>
      <c r="E655" s="34" t="n">
        <v>77.3</v>
      </c>
    </row>
    <row r="656" customFormat="false" ht="15" hidden="false" customHeight="false" outlineLevel="0" collapsed="false">
      <c r="A656" s="11" t="s">
        <v>1653</v>
      </c>
      <c r="B656" s="11" t="n">
        <v>2</v>
      </c>
      <c r="C656" s="11" t="s">
        <v>1198</v>
      </c>
      <c r="D656" s="93" t="n">
        <v>8.2</v>
      </c>
      <c r="E656" s="34" t="n">
        <v>8.2</v>
      </c>
    </row>
    <row r="657" customFormat="false" ht="15" hidden="false" customHeight="false" outlineLevel="0" collapsed="false">
      <c r="A657" s="11" t="s">
        <v>1653</v>
      </c>
      <c r="B657" s="11" t="n">
        <v>3</v>
      </c>
      <c r="C657" s="11" t="s">
        <v>2409</v>
      </c>
      <c r="D657" s="93" t="n">
        <v>3</v>
      </c>
      <c r="E657" s="34" t="n">
        <v>3</v>
      </c>
    </row>
    <row r="658" customFormat="false" ht="15" hidden="false" customHeight="false" outlineLevel="0" collapsed="false">
      <c r="A658" s="11" t="s">
        <v>1653</v>
      </c>
      <c r="B658" s="11" t="n">
        <v>4</v>
      </c>
      <c r="C658" s="11" t="s">
        <v>127</v>
      </c>
      <c r="D658" s="93" t="n">
        <v>-3</v>
      </c>
      <c r="E658" s="34" t="n">
        <v>-3</v>
      </c>
    </row>
    <row r="659" customFormat="false" ht="15" hidden="false" customHeight="false" outlineLevel="0" collapsed="false">
      <c r="A659" s="11" t="s">
        <v>1654</v>
      </c>
      <c r="B659" s="11" t="n">
        <v>1</v>
      </c>
      <c r="C659" s="11" t="s">
        <v>1190</v>
      </c>
      <c r="D659" s="93" t="n">
        <v>28</v>
      </c>
      <c r="E659" s="34" t="n">
        <v>28</v>
      </c>
    </row>
    <row r="660" customFormat="false" ht="15" hidden="false" customHeight="false" outlineLevel="0" collapsed="false">
      <c r="A660" s="11" t="s">
        <v>1654</v>
      </c>
      <c r="B660" s="11" t="n">
        <v>2</v>
      </c>
      <c r="C660" s="11" t="s">
        <v>2413</v>
      </c>
      <c r="D660" s="93" t="n">
        <v>9.6</v>
      </c>
      <c r="E660" s="34" t="n">
        <v>9.6</v>
      </c>
    </row>
    <row r="661" customFormat="false" ht="15" hidden="false" customHeight="false" outlineLevel="0" collapsed="false">
      <c r="A661" s="11" t="s">
        <v>1654</v>
      </c>
      <c r="B661" s="11" t="n">
        <v>3</v>
      </c>
      <c r="C661" s="11" t="s">
        <v>2354</v>
      </c>
      <c r="D661" s="93" t="n">
        <v>4.2</v>
      </c>
      <c r="E661" s="34" t="n">
        <v>4.2</v>
      </c>
    </row>
    <row r="662" customFormat="false" ht="15" hidden="false" customHeight="false" outlineLevel="0" collapsed="false">
      <c r="A662" s="11" t="s">
        <v>1654</v>
      </c>
      <c r="B662" s="11" t="n">
        <v>4</v>
      </c>
      <c r="C662" s="11" t="s">
        <v>102</v>
      </c>
      <c r="D662" s="93" t="n">
        <v>3.6</v>
      </c>
      <c r="E662" s="34" t="n">
        <v>3.6</v>
      </c>
    </row>
    <row r="663" customFormat="false" ht="15" hidden="false" customHeight="false" outlineLevel="0" collapsed="false">
      <c r="A663" s="11" t="s">
        <v>1655</v>
      </c>
      <c r="B663" s="11" t="n">
        <v>1</v>
      </c>
      <c r="C663" s="11" t="s">
        <v>2347</v>
      </c>
      <c r="D663" s="93" t="n">
        <v>12</v>
      </c>
      <c r="E663" s="34" t="n">
        <v>12</v>
      </c>
    </row>
    <row r="664" customFormat="false" ht="15" hidden="false" customHeight="false" outlineLevel="0" collapsed="false">
      <c r="A664" s="11" t="s">
        <v>1655</v>
      </c>
      <c r="B664" s="11" t="n">
        <v>2</v>
      </c>
      <c r="C664" s="11" t="s">
        <v>2410</v>
      </c>
      <c r="D664" s="93" t="n">
        <v>5</v>
      </c>
      <c r="E664" s="34" t="n">
        <v>5</v>
      </c>
    </row>
    <row r="665" customFormat="false" ht="15" hidden="false" customHeight="false" outlineLevel="0" collapsed="false">
      <c r="A665" s="11" t="s">
        <v>1655</v>
      </c>
      <c r="B665" s="11" t="n">
        <v>3</v>
      </c>
      <c r="C665" s="11" t="s">
        <v>2406</v>
      </c>
      <c r="D665" s="93" t="n">
        <v>-3</v>
      </c>
      <c r="E665" s="34" t="n">
        <v>-3</v>
      </c>
    </row>
    <row r="666" customFormat="false" ht="15" hidden="false" customHeight="false" outlineLevel="0" collapsed="false">
      <c r="A666" s="11" t="s">
        <v>1655</v>
      </c>
      <c r="B666" s="11" t="n">
        <v>4</v>
      </c>
      <c r="C666" s="11" t="s">
        <v>2416</v>
      </c>
      <c r="D666" s="93" t="n">
        <v>8.5</v>
      </c>
      <c r="E666" s="34" t="n">
        <v>8.5</v>
      </c>
    </row>
    <row r="667" customFormat="false" ht="15" hidden="false" customHeight="false" outlineLevel="0" collapsed="false">
      <c r="A667" s="11" t="s">
        <v>1656</v>
      </c>
      <c r="B667" s="11" t="n">
        <v>1</v>
      </c>
      <c r="C667" s="11" t="s">
        <v>2410</v>
      </c>
      <c r="D667" s="93" t="n">
        <v>5</v>
      </c>
      <c r="E667" s="34" t="n">
        <v>5</v>
      </c>
    </row>
    <row r="668" customFormat="false" ht="15" hidden="false" customHeight="false" outlineLevel="0" collapsed="false">
      <c r="A668" s="11" t="s">
        <v>1656</v>
      </c>
      <c r="B668" s="11" t="n">
        <v>2</v>
      </c>
      <c r="C668" s="11" t="s">
        <v>2411</v>
      </c>
      <c r="D668" s="93" t="n">
        <v>1.5</v>
      </c>
      <c r="E668" s="34" t="n">
        <v>1.5</v>
      </c>
    </row>
    <row r="669" customFormat="false" ht="15" hidden="false" customHeight="false" outlineLevel="0" collapsed="false">
      <c r="A669" s="11" t="s">
        <v>1656</v>
      </c>
      <c r="B669" s="11" t="n">
        <v>3</v>
      </c>
      <c r="C669" s="11" t="s">
        <v>2412</v>
      </c>
      <c r="D669" s="93" t="n">
        <v>-1</v>
      </c>
      <c r="E669" s="34" t="n">
        <v>-1</v>
      </c>
    </row>
    <row r="670" customFormat="false" ht="15" hidden="false" customHeight="false" outlineLevel="0" collapsed="false">
      <c r="A670" s="11" t="s">
        <v>1656</v>
      </c>
      <c r="B670" s="11" t="n">
        <v>4</v>
      </c>
      <c r="C670" s="11" t="s">
        <v>127</v>
      </c>
      <c r="D670" s="93" t="n">
        <v>1</v>
      </c>
      <c r="E670" s="34" t="n">
        <v>1</v>
      </c>
    </row>
    <row r="671" customFormat="false" ht="15" hidden="false" customHeight="false" outlineLevel="0" collapsed="false">
      <c r="A671" s="11" t="s">
        <v>1657</v>
      </c>
      <c r="B671" s="11" t="n">
        <v>1</v>
      </c>
      <c r="C671" s="11" t="s">
        <v>2405</v>
      </c>
      <c r="D671" s="93" t="n">
        <v>3</v>
      </c>
      <c r="E671" s="34" t="n">
        <v>3</v>
      </c>
    </row>
    <row r="672" customFormat="false" ht="15" hidden="false" customHeight="false" outlineLevel="0" collapsed="false">
      <c r="A672" s="11" t="s">
        <v>1657</v>
      </c>
      <c r="B672" s="11" t="n">
        <v>2</v>
      </c>
      <c r="C672" s="11" t="s">
        <v>2346</v>
      </c>
      <c r="D672" s="93" t="n">
        <v>3</v>
      </c>
      <c r="E672" s="34" t="n">
        <v>3</v>
      </c>
    </row>
    <row r="673" customFormat="false" ht="15" hidden="false" customHeight="false" outlineLevel="0" collapsed="false">
      <c r="A673" s="11" t="s">
        <v>1658</v>
      </c>
      <c r="B673" s="11" t="n">
        <v>1</v>
      </c>
      <c r="C673" s="11" t="s">
        <v>2347</v>
      </c>
      <c r="D673" s="93" t="n">
        <v>12</v>
      </c>
      <c r="E673" s="34" t="n">
        <v>12</v>
      </c>
    </row>
    <row r="674" customFormat="false" ht="15" hidden="false" customHeight="false" outlineLevel="0" collapsed="false">
      <c r="A674" s="11" t="s">
        <v>1658</v>
      </c>
      <c r="B674" s="11" t="n">
        <v>2</v>
      </c>
      <c r="C674" s="11" t="s">
        <v>2406</v>
      </c>
      <c r="D674" s="93" t="n">
        <v>-3</v>
      </c>
      <c r="E674" s="34" t="n">
        <v>-3</v>
      </c>
    </row>
    <row r="675" customFormat="false" ht="15" hidden="false" customHeight="false" outlineLevel="0" collapsed="false">
      <c r="A675" s="11" t="s">
        <v>1658</v>
      </c>
      <c r="B675" s="11" t="n">
        <v>3</v>
      </c>
      <c r="C675" s="11" t="s">
        <v>2407</v>
      </c>
      <c r="D675" s="93" t="n">
        <v>1</v>
      </c>
      <c r="E675" s="34" t="n">
        <v>1</v>
      </c>
    </row>
    <row r="676" customFormat="false" ht="15" hidden="false" customHeight="false" outlineLevel="0" collapsed="false">
      <c r="A676" s="11" t="s">
        <v>1659</v>
      </c>
      <c r="B676" s="11" t="n">
        <v>1</v>
      </c>
      <c r="C676" s="11" t="s">
        <v>331</v>
      </c>
      <c r="D676" s="93" t="n">
        <v>130.85</v>
      </c>
      <c r="E676" s="34" t="n">
        <v>130.9</v>
      </c>
    </row>
    <row r="677" customFormat="false" ht="15" hidden="false" customHeight="false" outlineLevel="0" collapsed="false">
      <c r="A677" s="11" t="s">
        <v>1659</v>
      </c>
      <c r="B677" s="11" t="n">
        <v>2</v>
      </c>
      <c r="C677" s="11" t="s">
        <v>316</v>
      </c>
      <c r="D677" s="93" t="n">
        <v>93.744</v>
      </c>
      <c r="E677" s="34" t="n">
        <v>93.7</v>
      </c>
    </row>
    <row r="678" customFormat="false" ht="15" hidden="false" customHeight="false" outlineLevel="0" collapsed="false">
      <c r="A678" s="11" t="s">
        <v>1659</v>
      </c>
      <c r="B678" s="11" t="n">
        <v>3</v>
      </c>
      <c r="C678" s="11" t="s">
        <v>325</v>
      </c>
      <c r="D678" s="93" t="n">
        <v>56.1</v>
      </c>
      <c r="E678" s="34" t="n">
        <v>56.1</v>
      </c>
    </row>
    <row r="679" customFormat="false" ht="15" hidden="false" customHeight="false" outlineLevel="0" collapsed="false">
      <c r="A679" s="11" t="s">
        <v>1659</v>
      </c>
      <c r="B679" s="11" t="n">
        <v>4</v>
      </c>
      <c r="C679" s="11" t="s">
        <v>127</v>
      </c>
      <c r="D679" s="93" t="n">
        <v>22.5</v>
      </c>
      <c r="E679" s="34" t="n">
        <v>22.5</v>
      </c>
    </row>
    <row r="680" customFormat="false" ht="15" hidden="false" customHeight="false" outlineLevel="0" collapsed="false">
      <c r="A680" s="11" t="s">
        <v>1660</v>
      </c>
      <c r="B680" s="11" t="n">
        <v>1</v>
      </c>
      <c r="C680" s="11" t="s">
        <v>339</v>
      </c>
      <c r="D680" s="93" t="n">
        <v>-303.194</v>
      </c>
      <c r="E680" s="34" t="n">
        <v>-303.2</v>
      </c>
    </row>
    <row r="681" customFormat="false" ht="15" hidden="false" customHeight="false" outlineLevel="0" collapsed="false">
      <c r="A681" s="11" t="s">
        <v>1660</v>
      </c>
      <c r="B681" s="11" t="n">
        <v>2</v>
      </c>
      <c r="C681" s="11" t="s">
        <v>312</v>
      </c>
      <c r="D681" s="93" t="n">
        <v>267.19</v>
      </c>
      <c r="E681" s="34" t="n">
        <v>267.2</v>
      </c>
    </row>
    <row r="682" customFormat="false" ht="15" hidden="false" customHeight="false" outlineLevel="0" collapsed="false">
      <c r="A682" s="11" t="s">
        <v>1661</v>
      </c>
      <c r="B682" s="11" t="n">
        <v>1</v>
      </c>
      <c r="C682" s="11" t="s">
        <v>160</v>
      </c>
      <c r="D682" s="93" t="n">
        <v>-1.5</v>
      </c>
      <c r="E682" s="34" t="n">
        <v>-1.5</v>
      </c>
    </row>
    <row r="683" customFormat="false" ht="15" hidden="false" customHeight="false" outlineLevel="0" collapsed="false">
      <c r="A683" s="11" t="s">
        <v>1661</v>
      </c>
      <c r="B683" s="11" t="n">
        <v>2</v>
      </c>
      <c r="C683" s="11" t="s">
        <v>161</v>
      </c>
      <c r="D683" s="93" t="n">
        <v>0.5</v>
      </c>
      <c r="E683" s="34" t="n">
        <v>0.5</v>
      </c>
    </row>
    <row r="684" customFormat="false" ht="15" hidden="false" customHeight="false" outlineLevel="0" collapsed="false">
      <c r="A684" s="11" t="s">
        <v>1662</v>
      </c>
      <c r="B684" s="11" t="n">
        <v>1</v>
      </c>
      <c r="C684" s="11" t="s">
        <v>2357</v>
      </c>
      <c r="D684" s="93" t="n">
        <v>-1.5</v>
      </c>
      <c r="E684" s="34" t="n">
        <v>-1.5</v>
      </c>
    </row>
    <row r="685" customFormat="false" ht="15" hidden="false" customHeight="false" outlineLevel="0" collapsed="false">
      <c r="A685" s="11" t="s">
        <v>1663</v>
      </c>
      <c r="B685" s="11" t="n">
        <v>1</v>
      </c>
      <c r="C685" s="11" t="s">
        <v>2414</v>
      </c>
      <c r="D685" s="93" t="n">
        <v>-0.5</v>
      </c>
      <c r="E685" s="34" t="n">
        <v>-0.5</v>
      </c>
    </row>
    <row r="686" customFormat="false" ht="15" hidden="false" customHeight="false" outlineLevel="0" collapsed="false">
      <c r="A686" s="11" t="s">
        <v>1664</v>
      </c>
      <c r="B686" s="11" t="n">
        <v>1</v>
      </c>
      <c r="C686" s="11" t="s">
        <v>2358</v>
      </c>
      <c r="D686" s="93" t="n">
        <v>10</v>
      </c>
      <c r="E686" s="34" t="n">
        <v>10</v>
      </c>
    </row>
    <row r="687" customFormat="false" ht="15" hidden="false" customHeight="false" outlineLevel="0" collapsed="false">
      <c r="A687" s="11" t="s">
        <v>1664</v>
      </c>
      <c r="B687" s="11" t="n">
        <v>2</v>
      </c>
      <c r="C687" s="11" t="s">
        <v>2359</v>
      </c>
      <c r="D687" s="93" t="n">
        <v>1.5</v>
      </c>
      <c r="E687" s="34" t="n">
        <v>1.5</v>
      </c>
    </row>
    <row r="688" customFormat="false" ht="15" hidden="false" customHeight="false" outlineLevel="0" collapsed="false">
      <c r="A688" s="11" t="s">
        <v>1665</v>
      </c>
      <c r="B688" s="11" t="n">
        <v>1</v>
      </c>
      <c r="C688" s="11" t="s">
        <v>339</v>
      </c>
      <c r="D688" s="93" t="n">
        <v>-303.194</v>
      </c>
      <c r="E688" s="34" t="n">
        <v>-303.2</v>
      </c>
    </row>
    <row r="689" customFormat="false" ht="15" hidden="false" customHeight="false" outlineLevel="0" collapsed="false">
      <c r="A689" s="11" t="s">
        <v>1665</v>
      </c>
      <c r="B689" s="11" t="n">
        <v>2</v>
      </c>
      <c r="C689" s="11" t="s">
        <v>312</v>
      </c>
      <c r="D689" s="93" t="n">
        <v>267.19</v>
      </c>
      <c r="E689" s="34" t="n">
        <v>267.2</v>
      </c>
    </row>
    <row r="690" customFormat="false" ht="15" hidden="false" customHeight="false" outlineLevel="0" collapsed="false">
      <c r="A690" s="11" t="s">
        <v>1665</v>
      </c>
      <c r="B690" s="11" t="n">
        <v>3</v>
      </c>
      <c r="C690" s="11" t="s">
        <v>126</v>
      </c>
      <c r="D690" s="93" t="n">
        <v>-11.5</v>
      </c>
      <c r="E690" s="34" t="n">
        <v>-11.5</v>
      </c>
    </row>
    <row r="691" customFormat="false" ht="15" hidden="false" customHeight="false" outlineLevel="0" collapsed="false">
      <c r="A691" s="11" t="s">
        <v>1665</v>
      </c>
      <c r="B691" s="11" t="n">
        <v>4</v>
      </c>
      <c r="C691" s="11" t="s">
        <v>102</v>
      </c>
      <c r="D691" s="93" t="n">
        <v>-1</v>
      </c>
      <c r="E691" s="34" t="n">
        <v>-1</v>
      </c>
    </row>
    <row r="692" customFormat="false" ht="15" hidden="false" customHeight="false" outlineLevel="0" collapsed="false">
      <c r="A692" s="11" t="s">
        <v>1666</v>
      </c>
      <c r="B692" s="11" t="n">
        <v>1</v>
      </c>
      <c r="C692" s="11" t="s">
        <v>2362</v>
      </c>
      <c r="D692" s="93" t="n">
        <v>4695.815</v>
      </c>
      <c r="E692" s="34" t="n">
        <v>4695.8</v>
      </c>
    </row>
    <row r="693" customFormat="false" ht="15" hidden="false" customHeight="false" outlineLevel="0" collapsed="false">
      <c r="A693" s="11" t="s">
        <v>1666</v>
      </c>
      <c r="B693" s="11" t="n">
        <v>2</v>
      </c>
      <c r="C693" s="11" t="s">
        <v>2360</v>
      </c>
      <c r="D693" s="93" t="n">
        <v>-3638.78185</v>
      </c>
      <c r="E693" s="34" t="n">
        <v>-3638.8</v>
      </c>
    </row>
    <row r="694" customFormat="false" ht="15" hidden="false" customHeight="false" outlineLevel="0" collapsed="false">
      <c r="A694" s="11" t="s">
        <v>1666</v>
      </c>
      <c r="B694" s="11" t="n">
        <v>3</v>
      </c>
      <c r="C694" s="11" t="s">
        <v>2361</v>
      </c>
      <c r="D694" s="93" t="n">
        <v>508.32341</v>
      </c>
      <c r="E694" s="34" t="n">
        <v>508.4</v>
      </c>
    </row>
    <row r="695" customFormat="false" ht="15" hidden="false" customHeight="false" outlineLevel="0" collapsed="false">
      <c r="A695" s="11" t="s">
        <v>1666</v>
      </c>
      <c r="B695" s="11" t="n">
        <v>4</v>
      </c>
      <c r="C695" s="11" t="s">
        <v>2341</v>
      </c>
      <c r="D695" s="93" t="n">
        <v>133</v>
      </c>
      <c r="E695" s="34" t="n">
        <v>133</v>
      </c>
    </row>
    <row r="696" customFormat="false" ht="15" hidden="false" customHeight="false" outlineLevel="0" collapsed="false">
      <c r="A696" s="11" t="s">
        <v>1667</v>
      </c>
      <c r="B696" s="11" t="n">
        <v>1</v>
      </c>
      <c r="C696" s="11" t="s">
        <v>2363</v>
      </c>
      <c r="D696" s="93" t="n">
        <v>508.32341</v>
      </c>
      <c r="E696" s="34" t="n">
        <v>508.3</v>
      </c>
    </row>
    <row r="697" customFormat="false" ht="15" hidden="false" customHeight="false" outlineLevel="0" collapsed="false">
      <c r="A697" s="11" t="s">
        <v>1667</v>
      </c>
      <c r="B697" s="11" t="n">
        <v>2</v>
      </c>
      <c r="C697" s="11" t="s">
        <v>2364</v>
      </c>
      <c r="D697" s="93" t="n">
        <v>-206</v>
      </c>
      <c r="E697" s="34" t="n">
        <v>-206</v>
      </c>
    </row>
    <row r="698" customFormat="false" ht="15" hidden="false" customHeight="false" outlineLevel="0" collapsed="false">
      <c r="A698" s="11" t="s">
        <v>1668</v>
      </c>
      <c r="B698" s="11" t="n">
        <v>1</v>
      </c>
      <c r="C698" s="11" t="s">
        <v>2366</v>
      </c>
      <c r="D698" s="93" t="n">
        <v>4695.815</v>
      </c>
      <c r="E698" s="34" t="n">
        <v>4695.8</v>
      </c>
    </row>
    <row r="699" customFormat="false" ht="15" hidden="false" customHeight="false" outlineLevel="0" collapsed="false">
      <c r="A699" s="11" t="s">
        <v>1668</v>
      </c>
      <c r="B699" s="11" t="n">
        <v>2</v>
      </c>
      <c r="C699" s="11" t="s">
        <v>2365</v>
      </c>
      <c r="D699" s="93" t="n">
        <v>-3638.78185</v>
      </c>
      <c r="E699" s="34" t="n">
        <v>-3638.8</v>
      </c>
    </row>
    <row r="700" customFormat="false" ht="15" hidden="false" customHeight="false" outlineLevel="0" collapsed="false">
      <c r="A700" s="11" t="s">
        <v>1668</v>
      </c>
      <c r="B700" s="11" t="n">
        <v>3</v>
      </c>
      <c r="C700" s="11" t="s">
        <v>2367</v>
      </c>
      <c r="D700" s="93" t="n">
        <v>415</v>
      </c>
      <c r="E700" s="34" t="n">
        <v>415</v>
      </c>
    </row>
    <row r="701" customFormat="false" ht="15" hidden="false" customHeight="false" outlineLevel="0" collapsed="false">
      <c r="A701" s="11" t="s">
        <v>1669</v>
      </c>
      <c r="B701" s="11" t="n">
        <v>1</v>
      </c>
      <c r="C701" s="11" t="s">
        <v>2368</v>
      </c>
      <c r="D701" s="93" t="n">
        <v>-92</v>
      </c>
      <c r="E701" s="34" t="n">
        <v>-92</v>
      </c>
    </row>
    <row r="702" customFormat="false" ht="15" hidden="false" customHeight="false" outlineLevel="0" collapsed="false">
      <c r="A702" s="11" t="s">
        <v>1670</v>
      </c>
      <c r="B702" s="11" t="n">
        <v>1</v>
      </c>
      <c r="C702" s="11" t="s">
        <v>2369</v>
      </c>
      <c r="D702" s="93" t="n">
        <v>95</v>
      </c>
      <c r="E702" s="34" t="n">
        <v>95</v>
      </c>
    </row>
    <row r="703" customFormat="false" ht="15" hidden="false" customHeight="false" outlineLevel="0" collapsed="false">
      <c r="A703" s="11" t="s">
        <v>1670</v>
      </c>
      <c r="B703" s="11" t="n">
        <v>2</v>
      </c>
      <c r="C703" s="11" t="s">
        <v>2370</v>
      </c>
      <c r="D703" s="93" t="n">
        <v>-79</v>
      </c>
      <c r="E703" s="34" t="n">
        <v>-79</v>
      </c>
    </row>
    <row r="704" customFormat="false" ht="15" hidden="false" customHeight="false" outlineLevel="0" collapsed="false">
      <c r="A704" s="11" t="s">
        <v>1671</v>
      </c>
      <c r="B704" s="11" t="n">
        <v>1</v>
      </c>
      <c r="C704" s="11" t="s">
        <v>2372</v>
      </c>
      <c r="D704" s="93" t="n">
        <v>206</v>
      </c>
      <c r="E704" s="34" t="n">
        <v>206</v>
      </c>
    </row>
    <row r="705" customFormat="false" ht="15" hidden="false" customHeight="false" outlineLevel="0" collapsed="false">
      <c r="A705" s="11" t="s">
        <v>1671</v>
      </c>
      <c r="B705" s="11" t="n">
        <v>2</v>
      </c>
      <c r="C705" s="11" t="s">
        <v>2371</v>
      </c>
      <c r="D705" s="93" t="n">
        <v>-118</v>
      </c>
      <c r="E705" s="34" t="n">
        <v>-118</v>
      </c>
    </row>
    <row r="706" customFormat="false" ht="15" hidden="false" customHeight="false" outlineLevel="0" collapsed="false">
      <c r="A706" s="11" t="s">
        <v>1672</v>
      </c>
      <c r="B706" s="11" t="n">
        <v>1</v>
      </c>
      <c r="C706" s="11" t="s">
        <v>421</v>
      </c>
      <c r="D706" s="93" t="n">
        <v>206</v>
      </c>
      <c r="E706" s="34" t="n">
        <v>206</v>
      </c>
    </row>
    <row r="707" customFormat="false" ht="15" hidden="false" customHeight="false" outlineLevel="0" collapsed="false">
      <c r="A707" s="11" t="s">
        <v>1672</v>
      </c>
      <c r="B707" s="11" t="n">
        <v>2</v>
      </c>
      <c r="C707" s="11" t="s">
        <v>395</v>
      </c>
      <c r="D707" s="93" t="n">
        <v>-118</v>
      </c>
      <c r="E707" s="34" t="n">
        <v>-118</v>
      </c>
    </row>
    <row r="708" customFormat="false" ht="15" hidden="false" customHeight="false" outlineLevel="0" collapsed="false">
      <c r="A708" s="11" t="s">
        <v>1673</v>
      </c>
      <c r="B708" s="11" t="n">
        <v>1</v>
      </c>
      <c r="C708" s="11" t="s">
        <v>351</v>
      </c>
      <c r="D708" s="93" t="n">
        <v>1698.35656</v>
      </c>
      <c r="E708" s="34" t="n">
        <v>1698.4</v>
      </c>
    </row>
    <row r="709" customFormat="false" ht="15" hidden="false" customHeight="false" outlineLevel="0" collapsed="false">
      <c r="A709" s="11" t="s">
        <v>1673</v>
      </c>
      <c r="B709" s="11" t="n">
        <v>2</v>
      </c>
      <c r="C709" s="11" t="s">
        <v>361</v>
      </c>
      <c r="D709" s="93" t="n">
        <v>88</v>
      </c>
      <c r="E709" s="34" t="n">
        <v>88</v>
      </c>
    </row>
    <row r="710" customFormat="false" ht="15" hidden="false" customHeight="false" outlineLevel="0" collapsed="false">
      <c r="A710" s="11" t="s">
        <v>1674</v>
      </c>
      <c r="B710" s="11" t="n">
        <v>1</v>
      </c>
      <c r="C710" s="11" t="s">
        <v>2374</v>
      </c>
      <c r="D710" s="93" t="n">
        <v>4695.815</v>
      </c>
      <c r="E710" s="34" t="n">
        <v>4695.8</v>
      </c>
    </row>
    <row r="711" customFormat="false" ht="15" hidden="false" customHeight="false" outlineLevel="0" collapsed="false">
      <c r="A711" s="11" t="s">
        <v>1674</v>
      </c>
      <c r="B711" s="11" t="n">
        <v>2</v>
      </c>
      <c r="C711" s="11" t="s">
        <v>2373</v>
      </c>
      <c r="D711" s="93" t="n">
        <v>-3576.527</v>
      </c>
      <c r="E711" s="34" t="n">
        <v>-3576.5</v>
      </c>
    </row>
    <row r="712" customFormat="false" ht="15" hidden="false" customHeight="false" outlineLevel="0" collapsed="false">
      <c r="A712" s="11" t="s">
        <v>1674</v>
      </c>
      <c r="B712" s="11" t="n">
        <v>3</v>
      </c>
      <c r="C712" s="11" t="s">
        <v>2375</v>
      </c>
      <c r="D712" s="93" t="n">
        <v>656</v>
      </c>
      <c r="E712" s="34" t="n">
        <v>656</v>
      </c>
    </row>
    <row r="713" customFormat="false" ht="15" hidden="false" customHeight="false" outlineLevel="0" collapsed="false">
      <c r="A713" s="11" t="s">
        <v>1674</v>
      </c>
      <c r="B713" s="11" t="n">
        <v>4</v>
      </c>
      <c r="C713" s="11" t="s">
        <v>2343</v>
      </c>
      <c r="D713" s="93" t="n">
        <v>-517.13244</v>
      </c>
      <c r="E713" s="34" t="n">
        <v>-517.1</v>
      </c>
    </row>
    <row r="714" customFormat="false" ht="15" hidden="false" customHeight="false" outlineLevel="0" collapsed="false">
      <c r="A714" s="11" t="s">
        <v>1675</v>
      </c>
      <c r="B714" s="11" t="n">
        <v>1</v>
      </c>
      <c r="C714" s="11" t="s">
        <v>2376</v>
      </c>
      <c r="D714" s="93" t="n">
        <v>656</v>
      </c>
      <c r="E714" s="34" t="n">
        <v>656</v>
      </c>
    </row>
    <row r="715" customFormat="false" ht="15" hidden="false" customHeight="false" outlineLevel="0" collapsed="false">
      <c r="A715" s="11" t="s">
        <v>1675</v>
      </c>
      <c r="B715" s="11" t="n">
        <v>2</v>
      </c>
      <c r="C715" s="11" t="s">
        <v>2377</v>
      </c>
      <c r="D715" s="93" t="n">
        <v>-611</v>
      </c>
      <c r="E715" s="34" t="n">
        <v>-611</v>
      </c>
    </row>
    <row r="716" customFormat="false" ht="15" hidden="false" customHeight="false" outlineLevel="0" collapsed="false">
      <c r="A716" s="11" t="s">
        <v>1676</v>
      </c>
      <c r="B716" s="11" t="n">
        <v>1</v>
      </c>
      <c r="C716" s="11" t="s">
        <v>2393</v>
      </c>
      <c r="D716" s="93" t="n">
        <v>95</v>
      </c>
      <c r="E716" s="34" t="n">
        <v>95</v>
      </c>
    </row>
    <row r="717" customFormat="false" ht="15" hidden="false" customHeight="false" outlineLevel="0" collapsed="false">
      <c r="A717" s="11" t="s">
        <v>1676</v>
      </c>
      <c r="B717" s="11" t="n">
        <v>2</v>
      </c>
      <c r="C717" s="11" t="s">
        <v>2378</v>
      </c>
      <c r="D717" s="93" t="n">
        <v>-90</v>
      </c>
      <c r="E717" s="34" t="n">
        <v>-90</v>
      </c>
    </row>
    <row r="718" customFormat="false" ht="15" hidden="false" customHeight="false" outlineLevel="0" collapsed="false">
      <c r="A718" s="11" t="s">
        <v>1676</v>
      </c>
      <c r="B718" s="11" t="n">
        <v>3</v>
      </c>
      <c r="C718" s="11" t="s">
        <v>2379</v>
      </c>
      <c r="D718" s="93" t="n">
        <v>75.72672</v>
      </c>
      <c r="E718" s="34" t="n">
        <v>75.7</v>
      </c>
    </row>
    <row r="719" customFormat="false" ht="15" hidden="false" customHeight="false" outlineLevel="0" collapsed="false">
      <c r="A719" s="11" t="s">
        <v>1676</v>
      </c>
      <c r="B719" s="11" t="n">
        <v>4</v>
      </c>
      <c r="C719" s="11" t="s">
        <v>2356</v>
      </c>
      <c r="D719" s="93" t="n">
        <v>13.14084</v>
      </c>
      <c r="E719" s="34" t="n">
        <v>13.2</v>
      </c>
    </row>
    <row r="720" customFormat="false" ht="15" hidden="false" customHeight="false" outlineLevel="0" collapsed="false">
      <c r="A720" s="11" t="s">
        <v>1677</v>
      </c>
      <c r="B720" s="11" t="n">
        <v>1</v>
      </c>
      <c r="C720" s="11" t="s">
        <v>2382</v>
      </c>
      <c r="D720" s="93" t="n">
        <v>4695.815</v>
      </c>
      <c r="E720" s="34" t="n">
        <v>4695.8</v>
      </c>
    </row>
    <row r="721" customFormat="false" ht="15" hidden="false" customHeight="false" outlineLevel="0" collapsed="false">
      <c r="A721" s="11" t="s">
        <v>1677</v>
      </c>
      <c r="B721" s="11" t="n">
        <v>2</v>
      </c>
      <c r="C721" s="11" t="s">
        <v>2381</v>
      </c>
      <c r="D721" s="93" t="n">
        <v>-3576.527</v>
      </c>
      <c r="E721" s="34" t="n">
        <v>-3576.5</v>
      </c>
    </row>
    <row r="722" customFormat="false" ht="15" hidden="false" customHeight="false" outlineLevel="0" collapsed="false">
      <c r="A722" s="11" t="s">
        <v>1678</v>
      </c>
      <c r="B722" s="11" t="n">
        <v>1</v>
      </c>
      <c r="C722" s="11" t="s">
        <v>2383</v>
      </c>
      <c r="D722" s="93" t="n">
        <v>11</v>
      </c>
      <c r="E722" s="34" t="n">
        <v>11</v>
      </c>
    </row>
    <row r="723" customFormat="false" ht="15" hidden="false" customHeight="false" outlineLevel="0" collapsed="false">
      <c r="A723" s="11" t="s">
        <v>1679</v>
      </c>
      <c r="B723" s="11" t="n">
        <v>1</v>
      </c>
      <c r="C723" s="11" t="s">
        <v>2384</v>
      </c>
      <c r="D723" s="93" t="n">
        <v>11</v>
      </c>
      <c r="E723" s="34" t="n">
        <v>11</v>
      </c>
    </row>
    <row r="724" customFormat="false" ht="15" hidden="false" customHeight="false" outlineLevel="0" collapsed="false">
      <c r="A724" s="11" t="s">
        <v>1681</v>
      </c>
      <c r="B724" s="11" t="n">
        <v>1</v>
      </c>
      <c r="C724" s="11" t="s">
        <v>367</v>
      </c>
      <c r="D724" s="93" t="n">
        <v>1258.15556</v>
      </c>
      <c r="E724" s="34" t="n">
        <v>1258.2</v>
      </c>
    </row>
    <row r="725" customFormat="false" ht="15" hidden="false" customHeight="false" outlineLevel="0" collapsed="false">
      <c r="A725" s="11" t="s">
        <v>1681</v>
      </c>
      <c r="B725" s="11" t="n">
        <v>2</v>
      </c>
      <c r="C725" s="11" t="s">
        <v>375</v>
      </c>
      <c r="D725" s="93" t="n">
        <v>11</v>
      </c>
      <c r="E725" s="34" t="n">
        <v>11</v>
      </c>
    </row>
    <row r="726" customFormat="false" ht="15" hidden="false" customHeight="false" outlineLevel="0" collapsed="false">
      <c r="A726" s="11" t="s">
        <v>1682</v>
      </c>
      <c r="B726" s="11" t="n">
        <v>1</v>
      </c>
      <c r="C726" s="11" t="s">
        <v>2385</v>
      </c>
      <c r="D726" s="93" t="n">
        <v>359.201</v>
      </c>
      <c r="E726" s="34" t="n">
        <v>359.2</v>
      </c>
    </row>
    <row r="727" customFormat="false" ht="15" hidden="false" customHeight="false" outlineLevel="0" collapsed="false">
      <c r="A727" s="11" t="s">
        <v>1682</v>
      </c>
      <c r="B727" s="11" t="n">
        <v>2</v>
      </c>
      <c r="C727" s="11" t="s">
        <v>2386</v>
      </c>
      <c r="D727" s="93" t="n">
        <v>158</v>
      </c>
      <c r="E727" s="34" t="n">
        <v>158</v>
      </c>
    </row>
    <row r="728" customFormat="false" ht="15" hidden="false" customHeight="false" outlineLevel="0" collapsed="false">
      <c r="A728" s="11" t="s">
        <v>1683</v>
      </c>
      <c r="B728" s="11" t="n">
        <v>1</v>
      </c>
      <c r="C728" s="11" t="s">
        <v>397</v>
      </c>
      <c r="D728" s="93" t="n">
        <v>158</v>
      </c>
      <c r="E728" s="34" t="n">
        <v>158</v>
      </c>
    </row>
    <row r="729" customFormat="false" ht="15" hidden="false" customHeight="false" outlineLevel="0" collapsed="false">
      <c r="A729" s="11" t="s">
        <v>1684</v>
      </c>
      <c r="B729" s="11" t="n">
        <v>1</v>
      </c>
      <c r="C729" s="11" t="s">
        <v>97</v>
      </c>
      <c r="D729" s="93" t="n">
        <v>359.201</v>
      </c>
      <c r="E729" s="34" t="n">
        <v>359.2</v>
      </c>
    </row>
    <row r="730" customFormat="false" ht="15" hidden="false" customHeight="false" outlineLevel="0" collapsed="false">
      <c r="A730" s="11" t="s">
        <v>1685</v>
      </c>
      <c r="B730" s="11" t="n">
        <v>1</v>
      </c>
      <c r="C730" s="11" t="s">
        <v>381</v>
      </c>
      <c r="D730" s="93" t="n">
        <v>1269.15556</v>
      </c>
      <c r="E730" s="34" t="n">
        <v>1269.2</v>
      </c>
    </row>
    <row r="731" customFormat="false" ht="15" hidden="false" customHeight="false" outlineLevel="0" collapsed="false">
      <c r="A731" s="11" t="s">
        <v>1685</v>
      </c>
      <c r="B731" s="11" t="n">
        <v>2</v>
      </c>
      <c r="C731" s="11" t="s">
        <v>383</v>
      </c>
      <c r="D731" s="93" t="n">
        <v>517.201</v>
      </c>
      <c r="E731" s="34" t="n">
        <v>517.2</v>
      </c>
    </row>
    <row r="732" customFormat="false" ht="15" hidden="false" customHeight="false" outlineLevel="0" collapsed="false">
      <c r="A732" s="11" t="s">
        <v>1686</v>
      </c>
      <c r="B732" s="11" t="n">
        <v>1</v>
      </c>
      <c r="C732" s="11" t="s">
        <v>2387</v>
      </c>
      <c r="D732" s="93" t="n">
        <v>-303.194</v>
      </c>
      <c r="E732" s="34" t="n">
        <v>-303.2</v>
      </c>
    </row>
    <row r="733" customFormat="false" ht="15" hidden="false" customHeight="false" outlineLevel="0" collapsed="false">
      <c r="A733" s="11" t="s">
        <v>1686</v>
      </c>
      <c r="B733" s="11" t="n">
        <v>2</v>
      </c>
      <c r="C733" s="11" t="s">
        <v>312</v>
      </c>
      <c r="D733" s="93" t="n">
        <v>267.19</v>
      </c>
      <c r="E733" s="34" t="n">
        <v>267.2</v>
      </c>
    </row>
    <row r="734" customFormat="false" ht="15" hidden="false" customHeight="false" outlineLevel="0" collapsed="false">
      <c r="A734" s="11" t="s">
        <v>1686</v>
      </c>
      <c r="B734" s="11" t="n">
        <v>3</v>
      </c>
      <c r="C734" s="11" t="s">
        <v>2388</v>
      </c>
      <c r="D734" s="93" t="n">
        <v>-11.5</v>
      </c>
      <c r="E734" s="34" t="n">
        <v>-11.5</v>
      </c>
    </row>
    <row r="735" customFormat="false" ht="15" hidden="false" customHeight="false" outlineLevel="0" collapsed="false">
      <c r="A735" s="11" t="s">
        <v>1686</v>
      </c>
      <c r="B735" s="11" t="n">
        <v>4</v>
      </c>
      <c r="C735" s="11" t="s">
        <v>127</v>
      </c>
      <c r="D735" s="93" t="n">
        <v>-1</v>
      </c>
      <c r="E735" s="34" t="n">
        <v>-1</v>
      </c>
    </row>
    <row r="736" customFormat="false" ht="15" hidden="false" customHeight="false" outlineLevel="0" collapsed="false">
      <c r="A736" s="11" t="s">
        <v>1687</v>
      </c>
      <c r="B736" s="11" t="n">
        <v>1</v>
      </c>
      <c r="C736" s="11" t="s">
        <v>2390</v>
      </c>
      <c r="D736" s="93" t="n">
        <v>12</v>
      </c>
      <c r="E736" s="34" t="n">
        <v>12</v>
      </c>
    </row>
    <row r="737" customFormat="false" ht="15" hidden="false" customHeight="false" outlineLevel="0" collapsed="false">
      <c r="A737" s="11" t="s">
        <v>1687</v>
      </c>
      <c r="B737" s="11" t="n">
        <v>2</v>
      </c>
      <c r="C737" s="11" t="s">
        <v>2417</v>
      </c>
      <c r="D737" s="93" t="n">
        <v>5</v>
      </c>
      <c r="E737" s="34" t="n">
        <v>5</v>
      </c>
    </row>
    <row r="738" customFormat="false" ht="15" hidden="false" customHeight="false" outlineLevel="0" collapsed="false">
      <c r="A738" s="11" t="s">
        <v>1687</v>
      </c>
      <c r="B738" s="11" t="n">
        <v>3</v>
      </c>
      <c r="C738" s="11" t="s">
        <v>2418</v>
      </c>
      <c r="D738" s="93" t="n">
        <v>3</v>
      </c>
      <c r="E738" s="34" t="n">
        <v>3</v>
      </c>
    </row>
    <row r="739" customFormat="false" ht="15" hidden="false" customHeight="false" outlineLevel="0" collapsed="false">
      <c r="A739" s="11" t="s">
        <v>1687</v>
      </c>
      <c r="B739" s="11" t="n">
        <v>4</v>
      </c>
      <c r="C739" s="11" t="s">
        <v>2348</v>
      </c>
      <c r="D739" s="93" t="n">
        <v>4</v>
      </c>
      <c r="E739" s="34" t="n">
        <v>4</v>
      </c>
    </row>
    <row r="740" customFormat="false" ht="15" hidden="false" customHeight="false" outlineLevel="0" collapsed="false">
      <c r="A740" s="11" t="s">
        <v>1688</v>
      </c>
      <c r="B740" s="11" t="n">
        <v>1</v>
      </c>
      <c r="C740" s="11" t="s">
        <v>2405</v>
      </c>
      <c r="D740" s="93" t="n">
        <v>3</v>
      </c>
      <c r="E740" s="34" t="n">
        <v>3</v>
      </c>
    </row>
    <row r="741" customFormat="false" ht="15" hidden="false" customHeight="false" outlineLevel="0" collapsed="false">
      <c r="A741" s="11" t="s">
        <v>1688</v>
      </c>
      <c r="B741" s="11" t="n">
        <v>2</v>
      </c>
      <c r="C741" s="11" t="s">
        <v>2346</v>
      </c>
      <c r="D741" s="93" t="n">
        <v>3</v>
      </c>
      <c r="E741" s="34" t="n">
        <v>3</v>
      </c>
    </row>
    <row r="742" customFormat="false" ht="15" hidden="false" customHeight="false" outlineLevel="0" collapsed="false">
      <c r="A742" s="11" t="s">
        <v>1689</v>
      </c>
      <c r="B742" s="11" t="n">
        <v>1</v>
      </c>
      <c r="C742" s="11" t="s">
        <v>2347</v>
      </c>
      <c r="D742" s="93" t="n">
        <v>12</v>
      </c>
      <c r="E742" s="34" t="n">
        <v>12</v>
      </c>
    </row>
    <row r="743" customFormat="false" ht="15" hidden="false" customHeight="false" outlineLevel="0" collapsed="false">
      <c r="A743" s="11" t="s">
        <v>1689</v>
      </c>
      <c r="B743" s="11" t="n">
        <v>2</v>
      </c>
      <c r="C743" s="11" t="s">
        <v>2406</v>
      </c>
      <c r="D743" s="93" t="n">
        <v>-3</v>
      </c>
      <c r="E743" s="34" t="n">
        <v>-3</v>
      </c>
    </row>
    <row r="744" customFormat="false" ht="15" hidden="false" customHeight="false" outlineLevel="0" collapsed="false">
      <c r="A744" s="11" t="s">
        <v>1689</v>
      </c>
      <c r="B744" s="11" t="n">
        <v>3</v>
      </c>
      <c r="C744" s="11" t="s">
        <v>2407</v>
      </c>
      <c r="D744" s="93" t="n">
        <v>1</v>
      </c>
      <c r="E744" s="34" t="n">
        <v>1</v>
      </c>
    </row>
    <row r="745" customFormat="false" ht="15" hidden="false" customHeight="false" outlineLevel="0" collapsed="false">
      <c r="A745" s="11" t="s">
        <v>1690</v>
      </c>
      <c r="B745" s="11" t="n">
        <v>1</v>
      </c>
      <c r="C745" s="11" t="s">
        <v>2410</v>
      </c>
      <c r="D745" s="93" t="n">
        <v>5</v>
      </c>
      <c r="E745" s="34" t="n">
        <v>5</v>
      </c>
    </row>
    <row r="746" customFormat="false" ht="15" hidden="false" customHeight="false" outlineLevel="0" collapsed="false">
      <c r="A746" s="11" t="s">
        <v>1690</v>
      </c>
      <c r="B746" s="11" t="n">
        <v>2</v>
      </c>
      <c r="C746" s="11" t="s">
        <v>2411</v>
      </c>
      <c r="D746" s="93" t="n">
        <v>1.5</v>
      </c>
      <c r="E746" s="34" t="n">
        <v>1.5</v>
      </c>
    </row>
    <row r="747" customFormat="false" ht="15" hidden="false" customHeight="false" outlineLevel="0" collapsed="false">
      <c r="A747" s="11" t="s">
        <v>1690</v>
      </c>
      <c r="B747" s="11" t="n">
        <v>3</v>
      </c>
      <c r="C747" s="11" t="s">
        <v>2412</v>
      </c>
      <c r="D747" s="93" t="n">
        <v>-1</v>
      </c>
      <c r="E747" s="34" t="n">
        <v>-1</v>
      </c>
    </row>
    <row r="748" customFormat="false" ht="15" hidden="false" customHeight="false" outlineLevel="0" collapsed="false">
      <c r="A748" s="11" t="s">
        <v>1690</v>
      </c>
      <c r="B748" s="11" t="n">
        <v>4</v>
      </c>
      <c r="C748" s="11" t="s">
        <v>127</v>
      </c>
      <c r="D748" s="93" t="n">
        <v>1</v>
      </c>
      <c r="E748" s="34" t="n">
        <v>1</v>
      </c>
    </row>
    <row r="749" customFormat="false" ht="15" hidden="false" customHeight="false" outlineLevel="0" collapsed="false">
      <c r="A749" s="11" t="s">
        <v>1691</v>
      </c>
      <c r="B749" s="11" t="n">
        <v>1</v>
      </c>
      <c r="C749" s="11" t="s">
        <v>2384</v>
      </c>
      <c r="D749" s="93" t="n">
        <v>1.5</v>
      </c>
      <c r="E749" s="34" t="n">
        <v>1.5</v>
      </c>
    </row>
    <row r="750" customFormat="false" ht="15" hidden="false" customHeight="false" outlineLevel="0" collapsed="false">
      <c r="A750" s="11" t="s">
        <v>1692</v>
      </c>
      <c r="B750" s="11" t="n">
        <v>1</v>
      </c>
      <c r="C750" s="11" t="s">
        <v>2362</v>
      </c>
      <c r="D750" s="93" t="n">
        <v>-193.961</v>
      </c>
      <c r="E750" s="34" t="n">
        <v>-194</v>
      </c>
    </row>
    <row r="751" customFormat="false" ht="15" hidden="false" customHeight="false" outlineLevel="0" collapsed="false">
      <c r="A751" s="11" t="s">
        <v>1692</v>
      </c>
      <c r="B751" s="11" t="n">
        <v>2</v>
      </c>
      <c r="C751" s="11" t="s">
        <v>2374</v>
      </c>
      <c r="D751" s="93" t="n">
        <v>193.961</v>
      </c>
      <c r="E751" s="34" t="n">
        <v>194</v>
      </c>
    </row>
    <row r="752" customFormat="false" ht="15" hidden="false" customHeight="false" outlineLevel="0" collapsed="false">
      <c r="A752" s="11" t="s">
        <v>1692</v>
      </c>
      <c r="B752" s="11" t="n">
        <v>3</v>
      </c>
      <c r="C752" s="11" t="s">
        <v>2360</v>
      </c>
      <c r="D752" s="93" t="n">
        <v>135.7398</v>
      </c>
      <c r="E752" s="34" t="n">
        <v>135.7</v>
      </c>
    </row>
    <row r="753" customFormat="false" ht="15" hidden="false" customHeight="false" outlineLevel="0" collapsed="false">
      <c r="A753" s="11" t="s">
        <v>1692</v>
      </c>
      <c r="B753" s="11" t="n">
        <v>4</v>
      </c>
      <c r="C753" s="11" t="s">
        <v>2419</v>
      </c>
      <c r="D753" s="93" t="n">
        <v>-85.74084</v>
      </c>
      <c r="E753" s="34" t="n">
        <v>-85.7</v>
      </c>
    </row>
    <row r="754" customFormat="false" ht="15" hidden="false" customHeight="false" outlineLevel="0" collapsed="false">
      <c r="A754" s="11" t="s">
        <v>1693</v>
      </c>
      <c r="B754" s="11" t="n">
        <v>1</v>
      </c>
      <c r="C754" s="11" t="s">
        <v>2366</v>
      </c>
      <c r="D754" s="93" t="n">
        <v>-193.961</v>
      </c>
      <c r="E754" s="34" t="n">
        <v>-194</v>
      </c>
    </row>
    <row r="755" customFormat="false" ht="15" hidden="false" customHeight="false" outlineLevel="0" collapsed="false">
      <c r="A755" s="11" t="s">
        <v>1693</v>
      </c>
      <c r="B755" s="11" t="n">
        <v>2</v>
      </c>
      <c r="C755" s="11" t="s">
        <v>2365</v>
      </c>
      <c r="D755" s="93" t="n">
        <v>135.7398</v>
      </c>
      <c r="E755" s="34" t="n">
        <v>135.8</v>
      </c>
    </row>
    <row r="756" customFormat="false" ht="15" hidden="false" customHeight="false" outlineLevel="0" collapsed="false">
      <c r="A756" s="11" t="s">
        <v>1693</v>
      </c>
      <c r="B756" s="11" t="n">
        <v>3</v>
      </c>
      <c r="C756" s="11" t="s">
        <v>2367</v>
      </c>
      <c r="D756" s="93" t="n">
        <v>-135</v>
      </c>
      <c r="E756" s="34" t="n">
        <v>-135</v>
      </c>
    </row>
    <row r="757" customFormat="false" ht="15" hidden="false" customHeight="false" outlineLevel="0" collapsed="false">
      <c r="A757" s="11" t="s">
        <v>1694</v>
      </c>
      <c r="B757" s="11" t="n">
        <v>1</v>
      </c>
      <c r="C757" s="11" t="s">
        <v>2368</v>
      </c>
      <c r="D757" s="93" t="n">
        <v>3.2</v>
      </c>
      <c r="E757" s="34" t="n">
        <v>3.2</v>
      </c>
    </row>
    <row r="758" customFormat="false" ht="15" hidden="false" customHeight="false" outlineLevel="0" collapsed="false">
      <c r="A758" s="11" t="s">
        <v>1695</v>
      </c>
      <c r="B758" s="11" t="n">
        <v>1</v>
      </c>
      <c r="C758" s="11" t="s">
        <v>2369</v>
      </c>
      <c r="D758" s="93" t="n">
        <v>-15</v>
      </c>
      <c r="E758" s="34" t="n">
        <v>-15</v>
      </c>
    </row>
    <row r="759" customFormat="false" ht="15" hidden="false" customHeight="false" outlineLevel="0" collapsed="false">
      <c r="A759" s="11" t="s">
        <v>1696</v>
      </c>
      <c r="B759" s="11" t="n">
        <v>1</v>
      </c>
      <c r="C759" s="11" t="s">
        <v>2376</v>
      </c>
      <c r="D759" s="93" t="n">
        <v>68.9</v>
      </c>
      <c r="E759" s="34" t="n">
        <v>68.9</v>
      </c>
    </row>
    <row r="760" customFormat="false" ht="15" hidden="false" customHeight="false" outlineLevel="0" collapsed="false">
      <c r="A760" s="11" t="s">
        <v>1696</v>
      </c>
      <c r="B760" s="11" t="n">
        <v>2</v>
      </c>
      <c r="C760" s="11" t="s">
        <v>2377</v>
      </c>
      <c r="D760" s="93" t="n">
        <v>-37.833</v>
      </c>
      <c r="E760" s="34" t="n">
        <v>-37.8</v>
      </c>
    </row>
    <row r="761" customFormat="false" ht="15" hidden="false" customHeight="false" outlineLevel="0" collapsed="false">
      <c r="A761" s="11" t="s">
        <v>1697</v>
      </c>
      <c r="B761" s="11" t="n">
        <v>1</v>
      </c>
      <c r="C761" s="11" t="s">
        <v>2420</v>
      </c>
      <c r="D761" s="93" t="n">
        <v>102.667</v>
      </c>
      <c r="E761" s="34" t="n">
        <v>102.7</v>
      </c>
    </row>
    <row r="762" customFormat="false" ht="15" hidden="false" customHeight="false" outlineLevel="0" collapsed="false">
      <c r="A762" s="11" t="s">
        <v>1697</v>
      </c>
      <c r="B762" s="11" t="n">
        <v>2</v>
      </c>
      <c r="C762" s="11" t="s">
        <v>2393</v>
      </c>
      <c r="D762" s="93" t="n">
        <v>77.25</v>
      </c>
      <c r="E762" s="34" t="n">
        <v>77.3</v>
      </c>
    </row>
    <row r="763" customFormat="false" ht="15" hidden="false" customHeight="false" outlineLevel="0" collapsed="false">
      <c r="A763" s="11" t="s">
        <v>1697</v>
      </c>
      <c r="B763" s="11" t="n">
        <v>3</v>
      </c>
      <c r="C763" s="11" t="s">
        <v>2378</v>
      </c>
      <c r="D763" s="93" t="n">
        <v>-72.75</v>
      </c>
      <c r="E763" s="34" t="n">
        <v>-72.8</v>
      </c>
    </row>
    <row r="764" customFormat="false" ht="15" hidden="false" customHeight="false" outlineLevel="0" collapsed="false">
      <c r="A764" s="11" t="s">
        <v>1697</v>
      </c>
      <c r="B764" s="11" t="n">
        <v>4</v>
      </c>
      <c r="C764" s="11" t="s">
        <v>2341</v>
      </c>
      <c r="D764" s="93" t="n">
        <v>55.01516</v>
      </c>
      <c r="E764" s="34" t="n">
        <v>55</v>
      </c>
    </row>
    <row r="765" customFormat="false" ht="15" hidden="false" customHeight="false" outlineLevel="0" collapsed="false">
      <c r="A765" s="11" t="s">
        <v>1698</v>
      </c>
      <c r="B765" s="11" t="n">
        <v>1</v>
      </c>
      <c r="C765" s="11" t="s">
        <v>2382</v>
      </c>
      <c r="D765" s="93" t="n">
        <v>193.961</v>
      </c>
      <c r="E765" s="34" t="n">
        <v>194</v>
      </c>
    </row>
    <row r="766" customFormat="false" ht="15" hidden="false" customHeight="false" outlineLevel="0" collapsed="false">
      <c r="A766" s="11" t="s">
        <v>1698</v>
      </c>
      <c r="B766" s="11" t="n">
        <v>2</v>
      </c>
      <c r="C766" s="11" t="s">
        <v>2381</v>
      </c>
      <c r="D766" s="93" t="n">
        <v>-132.19</v>
      </c>
      <c r="E766" s="34" t="n">
        <v>-132.2</v>
      </c>
    </row>
    <row r="767" customFormat="false" ht="15" hidden="false" customHeight="false" outlineLevel="0" collapsed="false">
      <c r="A767" s="11" t="s">
        <v>1699</v>
      </c>
      <c r="B767" s="11" t="n">
        <v>1</v>
      </c>
      <c r="C767" s="11" t="s">
        <v>2421</v>
      </c>
      <c r="D767" s="93" t="n">
        <v>-303.194</v>
      </c>
      <c r="E767" s="34" t="n">
        <v>-303.2</v>
      </c>
    </row>
    <row r="768" customFormat="false" ht="15" hidden="false" customHeight="false" outlineLevel="0" collapsed="false">
      <c r="A768" s="11" t="s">
        <v>1699</v>
      </c>
      <c r="B768" s="11" t="n">
        <v>2</v>
      </c>
      <c r="C768" s="11" t="s">
        <v>2422</v>
      </c>
      <c r="D768" s="93" t="n">
        <v>267.19</v>
      </c>
      <c r="E768" s="34" t="n">
        <v>267.2</v>
      </c>
    </row>
    <row r="769" customFormat="false" ht="15" hidden="false" customHeight="false" outlineLevel="0" collapsed="false">
      <c r="A769" s="11" t="s">
        <v>1699</v>
      </c>
      <c r="B769" s="11" t="n">
        <v>3</v>
      </c>
      <c r="C769" s="11" t="s">
        <v>2362</v>
      </c>
      <c r="D769" s="93" t="n">
        <v>-193.961</v>
      </c>
      <c r="E769" s="34" t="n">
        <v>-194</v>
      </c>
    </row>
    <row r="770" customFormat="false" ht="15" hidden="false" customHeight="false" outlineLevel="0" collapsed="false">
      <c r="A770" s="11" t="s">
        <v>1699</v>
      </c>
      <c r="B770" s="11" t="n">
        <v>4</v>
      </c>
      <c r="C770" s="11" t="s">
        <v>2423</v>
      </c>
      <c r="D770" s="93" t="n">
        <v>255.45996</v>
      </c>
      <c r="E770" s="34" t="n">
        <v>255.5</v>
      </c>
    </row>
    <row r="771" customFormat="false" ht="15" hidden="false" customHeight="false" outlineLevel="0" collapsed="false">
      <c r="A771" s="11" t="s">
        <v>1700</v>
      </c>
      <c r="B771" s="11" t="n">
        <v>1</v>
      </c>
      <c r="C771" s="11" t="s">
        <v>2396</v>
      </c>
      <c r="D771" s="93" t="n">
        <v>-140</v>
      </c>
      <c r="E771" s="34" t="n">
        <v>-140</v>
      </c>
    </row>
    <row r="772" customFormat="false" ht="15" hidden="false" customHeight="false" outlineLevel="0" collapsed="false">
      <c r="A772" s="11" t="s">
        <v>1701</v>
      </c>
      <c r="B772" s="11" t="n">
        <v>1</v>
      </c>
      <c r="C772" s="11" t="s">
        <v>421</v>
      </c>
      <c r="D772" s="93" t="n">
        <v>-140</v>
      </c>
      <c r="E772" s="34" t="n">
        <v>-140</v>
      </c>
    </row>
    <row r="773" customFormat="false" ht="15" hidden="false" customHeight="false" outlineLevel="0" collapsed="false">
      <c r="A773" s="11" t="s">
        <v>1702</v>
      </c>
      <c r="B773" s="11" t="n">
        <v>1</v>
      </c>
      <c r="C773" s="11" t="s">
        <v>2424</v>
      </c>
      <c r="D773" s="93" t="n">
        <v>-12</v>
      </c>
      <c r="E773" s="34" t="n">
        <v>-12</v>
      </c>
    </row>
    <row r="774" customFormat="false" ht="15" hidden="false" customHeight="false" outlineLevel="0" collapsed="false">
      <c r="A774" s="11" t="s">
        <v>1704</v>
      </c>
      <c r="B774" s="11" t="n">
        <v>1</v>
      </c>
      <c r="C774" s="11" t="s">
        <v>2425</v>
      </c>
      <c r="D774" s="93" t="n">
        <v>-12</v>
      </c>
      <c r="E774" s="34" t="n">
        <v>-12</v>
      </c>
    </row>
    <row r="775" customFormat="false" ht="15" hidden="false" customHeight="false" outlineLevel="0" collapsed="false">
      <c r="A775" s="11" t="s">
        <v>1705</v>
      </c>
      <c r="B775" s="11" t="n">
        <v>1</v>
      </c>
      <c r="C775" s="11" t="s">
        <v>419</v>
      </c>
      <c r="D775" s="93" t="n">
        <v>-140</v>
      </c>
      <c r="E775" s="34" t="n">
        <v>-140</v>
      </c>
    </row>
    <row r="776" customFormat="false" ht="15" hidden="false" customHeight="false" outlineLevel="0" collapsed="false">
      <c r="A776" s="11" t="s">
        <v>1705</v>
      </c>
      <c r="B776" s="11" t="n">
        <v>2</v>
      </c>
      <c r="C776" s="11" t="s">
        <v>417</v>
      </c>
      <c r="D776" s="93" t="n">
        <v>25.49496</v>
      </c>
      <c r="E776" s="34" t="n">
        <v>25.5</v>
      </c>
    </row>
    <row r="777" customFormat="false" ht="15" hidden="false" customHeight="false" outlineLevel="0" collapsed="false">
      <c r="A777" s="11" t="s">
        <v>1705</v>
      </c>
      <c r="B777" s="11" t="n">
        <v>3</v>
      </c>
      <c r="C777" s="11" t="s">
        <v>423</v>
      </c>
      <c r="D777" s="93" t="n">
        <v>-12</v>
      </c>
      <c r="E777" s="34" t="n">
        <v>-12</v>
      </c>
    </row>
    <row r="778" customFormat="false" ht="15" hidden="false" customHeight="false" outlineLevel="0" collapsed="false">
      <c r="A778" s="11" t="s">
        <v>1706</v>
      </c>
      <c r="B778" s="11" t="n">
        <v>1</v>
      </c>
      <c r="C778" s="11" t="s">
        <v>2336</v>
      </c>
      <c r="D778" s="93" t="n">
        <v>381.742</v>
      </c>
      <c r="E778" s="34" t="n">
        <v>381.7</v>
      </c>
    </row>
    <row r="779" customFormat="false" ht="15" hidden="false" customHeight="false" outlineLevel="0" collapsed="false">
      <c r="A779" s="11" t="s">
        <v>1706</v>
      </c>
      <c r="B779" s="11" t="n">
        <v>2</v>
      </c>
      <c r="C779" s="11" t="s">
        <v>2337</v>
      </c>
      <c r="D779" s="93" t="n">
        <v>-145.778</v>
      </c>
      <c r="E779" s="34" t="n">
        <v>-145.8</v>
      </c>
    </row>
    <row r="780" customFormat="false" ht="15" hidden="false" customHeight="false" outlineLevel="0" collapsed="false">
      <c r="A780" s="11" t="s">
        <v>1706</v>
      </c>
      <c r="B780" s="11" t="n">
        <v>3</v>
      </c>
      <c r="C780" s="11" t="s">
        <v>2397</v>
      </c>
      <c r="D780" s="93" t="n">
        <v>82.772</v>
      </c>
      <c r="E780" s="34" t="n">
        <v>82.8</v>
      </c>
    </row>
    <row r="781" customFormat="false" ht="15" hidden="false" customHeight="false" outlineLevel="0" collapsed="false">
      <c r="A781" s="11" t="s">
        <v>1706</v>
      </c>
      <c r="B781" s="11" t="n">
        <v>4</v>
      </c>
      <c r="C781" s="11" t="s">
        <v>127</v>
      </c>
      <c r="D781" s="93" t="n">
        <v>-12.355</v>
      </c>
      <c r="E781" s="34" t="n">
        <v>-12.3</v>
      </c>
    </row>
    <row r="782" customFormat="false" ht="15" hidden="false" customHeight="false" outlineLevel="0" collapsed="false">
      <c r="A782" s="11" t="s">
        <v>1707</v>
      </c>
      <c r="B782" s="11" t="n">
        <v>1</v>
      </c>
      <c r="C782" s="11" t="s">
        <v>2339</v>
      </c>
      <c r="D782" s="93" t="n">
        <v>85</v>
      </c>
      <c r="E782" s="34" t="n">
        <v>85</v>
      </c>
    </row>
    <row r="783" customFormat="false" ht="15" hidden="false" customHeight="false" outlineLevel="0" collapsed="false">
      <c r="A783" s="11" t="s">
        <v>1707</v>
      </c>
      <c r="B783" s="11" t="n">
        <v>2</v>
      </c>
      <c r="C783" s="11" t="s">
        <v>2426</v>
      </c>
      <c r="D783" s="93" t="n">
        <v>-55</v>
      </c>
      <c r="E783" s="34" t="n">
        <v>-55</v>
      </c>
    </row>
    <row r="784" customFormat="false" ht="15" hidden="false" customHeight="false" outlineLevel="0" collapsed="false">
      <c r="A784" s="11" t="s">
        <v>1707</v>
      </c>
      <c r="B784" s="11" t="n">
        <v>3</v>
      </c>
      <c r="C784" s="11" t="s">
        <v>2340</v>
      </c>
      <c r="D784" s="93" t="n">
        <v>50</v>
      </c>
      <c r="E784" s="34" t="n">
        <v>50</v>
      </c>
    </row>
    <row r="785" customFormat="false" ht="15" hidden="false" customHeight="false" outlineLevel="0" collapsed="false">
      <c r="A785" s="11" t="s">
        <v>1707</v>
      </c>
      <c r="B785" s="11" t="n">
        <v>4</v>
      </c>
      <c r="C785" s="11" t="s">
        <v>109</v>
      </c>
      <c r="D785" s="93" t="n">
        <v>-10</v>
      </c>
      <c r="E785" s="34" t="n">
        <v>-10</v>
      </c>
    </row>
    <row r="786" customFormat="false" ht="15" hidden="false" customHeight="false" outlineLevel="0" collapsed="false">
      <c r="A786" s="11" t="s">
        <v>1708</v>
      </c>
      <c r="B786" s="11" t="n">
        <v>1</v>
      </c>
      <c r="C786" s="11" t="s">
        <v>2336</v>
      </c>
      <c r="D786" s="93" t="n">
        <v>381.742</v>
      </c>
      <c r="E786" s="34" t="n">
        <v>381.8</v>
      </c>
    </row>
    <row r="787" customFormat="false" ht="15" hidden="false" customHeight="false" outlineLevel="0" collapsed="false">
      <c r="A787" s="11" t="s">
        <v>1708</v>
      </c>
      <c r="B787" s="11" t="n">
        <v>2</v>
      </c>
      <c r="C787" s="11" t="s">
        <v>2337</v>
      </c>
      <c r="D787" s="93" t="n">
        <v>-145.778</v>
      </c>
      <c r="E787" s="34" t="n">
        <v>-145.8</v>
      </c>
    </row>
    <row r="788" customFormat="false" ht="15" hidden="false" customHeight="false" outlineLevel="0" collapsed="false">
      <c r="A788" s="11" t="s">
        <v>1708</v>
      </c>
      <c r="B788" s="11" t="n">
        <v>3</v>
      </c>
      <c r="C788" s="11" t="s">
        <v>2339</v>
      </c>
      <c r="D788" s="93" t="n">
        <v>85</v>
      </c>
      <c r="E788" s="34" t="n">
        <v>85</v>
      </c>
    </row>
    <row r="789" customFormat="false" ht="15" hidden="false" customHeight="false" outlineLevel="0" collapsed="false">
      <c r="A789" s="11" t="s">
        <v>1708</v>
      </c>
      <c r="B789" s="11" t="n">
        <v>4</v>
      </c>
      <c r="C789" s="11" t="s">
        <v>2348</v>
      </c>
      <c r="D789" s="93" t="n">
        <v>55.417</v>
      </c>
      <c r="E789" s="34" t="n">
        <v>55.4</v>
      </c>
    </row>
    <row r="790" customFormat="false" ht="15" hidden="false" customHeight="false" outlineLevel="0" collapsed="false">
      <c r="A790" s="11" t="s">
        <v>1709</v>
      </c>
      <c r="B790" s="11" t="n">
        <v>1</v>
      </c>
      <c r="C790" s="11" t="s">
        <v>2398</v>
      </c>
      <c r="D790" s="93" t="n">
        <v>57.2847</v>
      </c>
      <c r="E790" s="34" t="n">
        <v>57.3</v>
      </c>
    </row>
    <row r="791" customFormat="false" ht="15" hidden="false" customHeight="false" outlineLevel="0" collapsed="false">
      <c r="A791" s="11" t="s">
        <v>1709</v>
      </c>
      <c r="B791" s="11" t="n">
        <v>2</v>
      </c>
      <c r="C791" s="11" t="s">
        <v>2342</v>
      </c>
      <c r="D791" s="93" t="n">
        <v>36</v>
      </c>
      <c r="E791" s="34" t="n">
        <v>36</v>
      </c>
    </row>
    <row r="792" customFormat="false" ht="15" hidden="false" customHeight="false" outlineLevel="0" collapsed="false">
      <c r="A792" s="11" t="s">
        <v>1709</v>
      </c>
      <c r="B792" s="11" t="n">
        <v>3</v>
      </c>
      <c r="C792" s="11" t="s">
        <v>2399</v>
      </c>
      <c r="D792" s="93" t="n">
        <v>9.8386</v>
      </c>
      <c r="E792" s="34" t="n">
        <v>9.8</v>
      </c>
    </row>
    <row r="793" customFormat="false" ht="15" hidden="false" customHeight="false" outlineLevel="0" collapsed="false">
      <c r="A793" s="11" t="s">
        <v>1709</v>
      </c>
      <c r="B793" s="11" t="n">
        <v>4</v>
      </c>
      <c r="C793" s="11" t="s">
        <v>2427</v>
      </c>
      <c r="D793" s="93" t="n">
        <v>25.40952</v>
      </c>
      <c r="E793" s="34" t="n">
        <v>25.4</v>
      </c>
    </row>
    <row r="794" customFormat="false" ht="15" hidden="false" customHeight="false" outlineLevel="0" collapsed="false">
      <c r="A794" s="11" t="s">
        <v>1710</v>
      </c>
      <c r="B794" s="11" t="n">
        <v>1</v>
      </c>
      <c r="C794" s="11" t="s">
        <v>2342</v>
      </c>
      <c r="D794" s="93" t="n">
        <v>36</v>
      </c>
      <c r="E794" s="34" t="n">
        <v>36</v>
      </c>
    </row>
    <row r="795" customFormat="false" ht="15" hidden="false" customHeight="false" outlineLevel="0" collapsed="false">
      <c r="A795" s="11" t="s">
        <v>1710</v>
      </c>
      <c r="B795" s="11" t="n">
        <v>2</v>
      </c>
      <c r="C795" s="11" t="s">
        <v>2401</v>
      </c>
      <c r="D795" s="93" t="n">
        <v>2</v>
      </c>
      <c r="E795" s="34" t="n">
        <v>2</v>
      </c>
    </row>
    <row r="796" customFormat="false" ht="15" hidden="false" customHeight="false" outlineLevel="0" collapsed="false">
      <c r="A796" s="11" t="s">
        <v>1710</v>
      </c>
      <c r="B796" s="11" t="n">
        <v>3</v>
      </c>
      <c r="C796" s="11" t="s">
        <v>2402</v>
      </c>
      <c r="D796" s="93" t="n">
        <v>1</v>
      </c>
      <c r="E796" s="34" t="n">
        <v>1</v>
      </c>
    </row>
    <row r="797" customFormat="false" ht="15" hidden="false" customHeight="false" outlineLevel="0" collapsed="false">
      <c r="A797" s="11" t="s">
        <v>1711</v>
      </c>
      <c r="B797" s="11" t="n">
        <v>1</v>
      </c>
      <c r="C797" s="11" t="s">
        <v>2398</v>
      </c>
      <c r="D797" s="93" t="n">
        <v>19.7755</v>
      </c>
      <c r="E797" s="34" t="n">
        <v>19.8</v>
      </c>
    </row>
    <row r="798" customFormat="false" ht="15" hidden="false" customHeight="false" outlineLevel="0" collapsed="false">
      <c r="A798" s="11" t="s">
        <v>1711</v>
      </c>
      <c r="B798" s="11" t="n">
        <v>2</v>
      </c>
      <c r="C798" s="11" t="s">
        <v>2399</v>
      </c>
      <c r="D798" s="93" t="n">
        <v>2.0195</v>
      </c>
      <c r="E798" s="34" t="n">
        <v>2</v>
      </c>
    </row>
    <row r="799" customFormat="false" ht="15" hidden="false" customHeight="false" outlineLevel="0" collapsed="false">
      <c r="A799" s="11" t="s">
        <v>1711</v>
      </c>
      <c r="B799" s="11" t="n">
        <v>3</v>
      </c>
      <c r="C799" s="11" t="s">
        <v>2403</v>
      </c>
      <c r="D799" s="93" t="n">
        <v>1.58225</v>
      </c>
      <c r="E799" s="34" t="n">
        <v>1.6</v>
      </c>
    </row>
    <row r="800" customFormat="false" ht="15" hidden="false" customHeight="false" outlineLevel="0" collapsed="false">
      <c r="A800" s="11" t="s">
        <v>1711</v>
      </c>
      <c r="B800" s="11" t="n">
        <v>4</v>
      </c>
      <c r="C800" s="11" t="s">
        <v>102</v>
      </c>
      <c r="D800" s="93" t="n">
        <v>1.75</v>
      </c>
      <c r="E800" s="34" t="n">
        <v>1.7</v>
      </c>
    </row>
    <row r="801" customFormat="false" ht="15" hidden="false" customHeight="false" outlineLevel="0" collapsed="false">
      <c r="A801" s="11" t="s">
        <v>1712</v>
      </c>
      <c r="B801" s="11" t="n">
        <v>1</v>
      </c>
      <c r="C801" s="11" t="s">
        <v>2398</v>
      </c>
      <c r="D801" s="93" t="n">
        <v>8.1172</v>
      </c>
      <c r="E801" s="34" t="n">
        <v>8.1</v>
      </c>
    </row>
    <row r="802" customFormat="false" ht="15" hidden="false" customHeight="false" outlineLevel="0" collapsed="false">
      <c r="A802" s="11" t="s">
        <v>1712</v>
      </c>
      <c r="B802" s="11" t="n">
        <v>2</v>
      </c>
      <c r="C802" s="11" t="s">
        <v>1087</v>
      </c>
      <c r="D802" s="93" t="n">
        <v>2.1</v>
      </c>
      <c r="E802" s="34" t="n">
        <v>2.1</v>
      </c>
    </row>
    <row r="803" customFormat="false" ht="15" hidden="false" customHeight="false" outlineLevel="0" collapsed="false">
      <c r="A803" s="11" t="s">
        <v>1712</v>
      </c>
      <c r="B803" s="11" t="n">
        <v>3</v>
      </c>
      <c r="C803" s="11" t="s">
        <v>2399</v>
      </c>
      <c r="D803" s="93" t="n">
        <v>1.7451</v>
      </c>
      <c r="E803" s="34" t="n">
        <v>1.7</v>
      </c>
    </row>
    <row r="804" customFormat="false" ht="15" hidden="false" customHeight="false" outlineLevel="0" collapsed="false">
      <c r="A804" s="11" t="s">
        <v>1712</v>
      </c>
      <c r="B804" s="11" t="n">
        <v>4</v>
      </c>
      <c r="C804" s="11" t="s">
        <v>127</v>
      </c>
      <c r="D804" s="93" t="n">
        <v>0.6496</v>
      </c>
      <c r="E804" s="34" t="n">
        <v>0.7</v>
      </c>
    </row>
    <row r="805" customFormat="false" ht="15" hidden="false" customHeight="false" outlineLevel="0" collapsed="false">
      <c r="A805" s="11" t="s">
        <v>1713</v>
      </c>
      <c r="B805" s="11" t="n">
        <v>1</v>
      </c>
      <c r="C805" s="11" t="s">
        <v>2398</v>
      </c>
      <c r="D805" s="93" t="n">
        <v>29.392</v>
      </c>
      <c r="E805" s="34" t="n">
        <v>29.4</v>
      </c>
    </row>
    <row r="806" customFormat="false" ht="15" hidden="false" customHeight="false" outlineLevel="0" collapsed="false">
      <c r="A806" s="11" t="s">
        <v>1713</v>
      </c>
      <c r="B806" s="11" t="n">
        <v>2</v>
      </c>
      <c r="C806" s="11" t="s">
        <v>2399</v>
      </c>
      <c r="D806" s="93" t="n">
        <v>6.074</v>
      </c>
      <c r="E806" s="34" t="n">
        <v>6.1</v>
      </c>
    </row>
    <row r="807" customFormat="false" ht="15" hidden="false" customHeight="false" outlineLevel="0" collapsed="false">
      <c r="A807" s="11" t="s">
        <v>1713</v>
      </c>
      <c r="B807" s="11" t="n">
        <v>3</v>
      </c>
      <c r="C807" s="11" t="s">
        <v>2403</v>
      </c>
      <c r="D807" s="93" t="n">
        <v>2.351</v>
      </c>
      <c r="E807" s="34" t="n">
        <v>2.3</v>
      </c>
    </row>
    <row r="808" customFormat="false" ht="15" hidden="false" customHeight="false" outlineLevel="0" collapsed="false">
      <c r="A808" s="11" t="s">
        <v>1714</v>
      </c>
      <c r="B808" s="11" t="n">
        <v>1</v>
      </c>
      <c r="C808" s="11" t="s">
        <v>2344</v>
      </c>
      <c r="D808" s="93" t="n">
        <v>3.2</v>
      </c>
      <c r="E808" s="34" t="n">
        <v>3.2</v>
      </c>
    </row>
    <row r="809" customFormat="false" ht="15" hidden="false" customHeight="false" outlineLevel="0" collapsed="false">
      <c r="A809" s="11" t="s">
        <v>1714</v>
      </c>
      <c r="B809" s="11" t="n">
        <v>2</v>
      </c>
      <c r="C809" s="11" t="s">
        <v>2404</v>
      </c>
      <c r="D809" s="93" t="n">
        <v>0.96</v>
      </c>
      <c r="E809" s="34" t="n">
        <v>1</v>
      </c>
    </row>
    <row r="810" customFormat="false" ht="15" hidden="false" customHeight="false" outlineLevel="0" collapsed="false">
      <c r="A810" s="11" t="s">
        <v>1714</v>
      </c>
      <c r="B810" s="11" t="n">
        <v>3</v>
      </c>
      <c r="C810" s="11" t="s">
        <v>2345</v>
      </c>
      <c r="D810" s="93" t="n">
        <v>0.8</v>
      </c>
      <c r="E810" s="34" t="n">
        <v>0.8</v>
      </c>
    </row>
    <row r="811" customFormat="false" ht="15" hidden="false" customHeight="false" outlineLevel="0" collapsed="false">
      <c r="A811" s="11" t="s">
        <v>1714</v>
      </c>
      <c r="B811" s="11" t="n">
        <v>4</v>
      </c>
      <c r="C811" s="11" t="s">
        <v>109</v>
      </c>
      <c r="D811" s="93" t="n">
        <v>1.6</v>
      </c>
      <c r="E811" s="34" t="n">
        <v>1.6</v>
      </c>
    </row>
    <row r="812" customFormat="false" ht="15" hidden="false" customHeight="false" outlineLevel="0" collapsed="false">
      <c r="A812" s="11" t="s">
        <v>1715</v>
      </c>
      <c r="B812" s="11" t="n">
        <v>1</v>
      </c>
      <c r="C812" s="11" t="s">
        <v>2346</v>
      </c>
      <c r="D812" s="93" t="n">
        <v>2</v>
      </c>
      <c r="E812" s="34" t="n">
        <v>2</v>
      </c>
    </row>
    <row r="813" customFormat="false" ht="15" hidden="false" customHeight="false" outlineLevel="0" collapsed="false">
      <c r="A813" s="11" t="s">
        <v>1715</v>
      </c>
      <c r="B813" s="11" t="n">
        <v>2</v>
      </c>
      <c r="C813" s="11" t="s">
        <v>2405</v>
      </c>
      <c r="D813" s="93" t="n">
        <v>1.66667</v>
      </c>
      <c r="E813" s="34" t="n">
        <v>1.7</v>
      </c>
    </row>
    <row r="814" customFormat="false" ht="15" hidden="false" customHeight="false" outlineLevel="0" collapsed="false">
      <c r="A814" s="11" t="s">
        <v>1716</v>
      </c>
      <c r="B814" s="11" t="n">
        <v>1</v>
      </c>
      <c r="C814" s="11" t="s">
        <v>2347</v>
      </c>
      <c r="D814" s="93" t="n">
        <v>4</v>
      </c>
      <c r="E814" s="34" t="n">
        <v>4</v>
      </c>
    </row>
    <row r="815" customFormat="false" ht="15" hidden="false" customHeight="false" outlineLevel="0" collapsed="false">
      <c r="A815" s="11" t="s">
        <v>1716</v>
      </c>
      <c r="B815" s="11" t="n">
        <v>2</v>
      </c>
      <c r="C815" s="11" t="s">
        <v>2406</v>
      </c>
      <c r="D815" s="93" t="n">
        <v>-1.25</v>
      </c>
      <c r="E815" s="34" t="n">
        <v>-1.2</v>
      </c>
    </row>
    <row r="816" customFormat="false" ht="15" hidden="false" customHeight="false" outlineLevel="0" collapsed="false">
      <c r="A816" s="11" t="s">
        <v>1716</v>
      </c>
      <c r="B816" s="11" t="n">
        <v>3</v>
      </c>
      <c r="C816" s="11" t="s">
        <v>2407</v>
      </c>
      <c r="D816" s="93" t="n">
        <v>1</v>
      </c>
      <c r="E816" s="34" t="n">
        <v>1</v>
      </c>
    </row>
    <row r="817" customFormat="false" ht="15" hidden="false" customHeight="false" outlineLevel="0" collapsed="false">
      <c r="A817" s="11" t="s">
        <v>1717</v>
      </c>
      <c r="B817" s="11" t="n">
        <v>1</v>
      </c>
      <c r="C817" s="11" t="s">
        <v>2398</v>
      </c>
      <c r="D817" s="93" t="n">
        <v>12.979</v>
      </c>
      <c r="E817" s="34" t="n">
        <v>13</v>
      </c>
    </row>
    <row r="818" customFormat="false" ht="15" hidden="false" customHeight="false" outlineLevel="0" collapsed="false">
      <c r="A818" s="11" t="s">
        <v>1717</v>
      </c>
      <c r="B818" s="11" t="n">
        <v>2</v>
      </c>
      <c r="C818" s="11" t="s">
        <v>2399</v>
      </c>
      <c r="D818" s="93" t="n">
        <v>2.388</v>
      </c>
      <c r="E818" s="34" t="n">
        <v>2.4</v>
      </c>
    </row>
    <row r="819" customFormat="false" ht="15" hidden="false" customHeight="false" outlineLevel="0" collapsed="false">
      <c r="A819" s="11" t="s">
        <v>1717</v>
      </c>
      <c r="B819" s="11" t="n">
        <v>3</v>
      </c>
      <c r="C819" s="11" t="s">
        <v>2403</v>
      </c>
      <c r="D819" s="93" t="n">
        <v>1.038</v>
      </c>
      <c r="E819" s="34" t="n">
        <v>1</v>
      </c>
    </row>
    <row r="820" customFormat="false" ht="15" hidden="false" customHeight="false" outlineLevel="0" collapsed="false">
      <c r="A820" s="11" t="s">
        <v>1718</v>
      </c>
      <c r="B820" s="11" t="n">
        <v>1</v>
      </c>
      <c r="C820" s="11" t="s">
        <v>2398</v>
      </c>
      <c r="D820" s="93" t="n">
        <v>70.2637</v>
      </c>
      <c r="E820" s="34" t="n">
        <v>70.3</v>
      </c>
    </row>
    <row r="821" customFormat="false" ht="15" hidden="false" customHeight="false" outlineLevel="0" collapsed="false">
      <c r="A821" s="11" t="s">
        <v>1718</v>
      </c>
      <c r="B821" s="11" t="n">
        <v>2</v>
      </c>
      <c r="C821" s="11" t="s">
        <v>2342</v>
      </c>
      <c r="D821" s="93" t="n">
        <v>36</v>
      </c>
      <c r="E821" s="34" t="n">
        <v>36</v>
      </c>
    </row>
    <row r="822" customFormat="false" ht="15" hidden="false" customHeight="false" outlineLevel="0" collapsed="false">
      <c r="A822" s="11" t="s">
        <v>1718</v>
      </c>
      <c r="B822" s="11" t="n">
        <v>3</v>
      </c>
      <c r="C822" s="11" t="s">
        <v>2399</v>
      </c>
      <c r="D822" s="93" t="n">
        <v>12.2266</v>
      </c>
      <c r="E822" s="34" t="n">
        <v>12.2</v>
      </c>
    </row>
    <row r="823" customFormat="false" ht="15" hidden="false" customHeight="false" outlineLevel="0" collapsed="false">
      <c r="A823" s="11" t="s">
        <v>1718</v>
      </c>
      <c r="B823" s="11" t="n">
        <v>4</v>
      </c>
      <c r="C823" s="11" t="s">
        <v>2427</v>
      </c>
      <c r="D823" s="93" t="n">
        <v>26.44752</v>
      </c>
      <c r="E823" s="34" t="n">
        <v>26.4</v>
      </c>
    </row>
    <row r="824" customFormat="false" ht="15" hidden="false" customHeight="false" outlineLevel="0" collapsed="false">
      <c r="A824" s="11" t="s">
        <v>1719</v>
      </c>
      <c r="B824" s="11" t="n">
        <v>1</v>
      </c>
      <c r="C824" s="11" t="s">
        <v>91</v>
      </c>
      <c r="D824" s="93" t="n">
        <v>376.381</v>
      </c>
      <c r="E824" s="34" t="n">
        <v>376.4</v>
      </c>
    </row>
    <row r="825" customFormat="false" ht="15" hidden="false" customHeight="false" outlineLevel="0" collapsed="false">
      <c r="A825" s="11" t="s">
        <v>1719</v>
      </c>
      <c r="B825" s="11" t="n">
        <v>2</v>
      </c>
      <c r="C825" s="11" t="s">
        <v>101</v>
      </c>
      <c r="D825" s="93" t="n">
        <v>-144.93782</v>
      </c>
      <c r="E825" s="34" t="n">
        <v>-145</v>
      </c>
    </row>
    <row r="826" customFormat="false" ht="15" hidden="false" customHeight="false" outlineLevel="0" collapsed="false">
      <c r="A826" s="11" t="s">
        <v>1720</v>
      </c>
      <c r="B826" s="11" t="n">
        <v>1</v>
      </c>
      <c r="C826" s="11" t="s">
        <v>2398</v>
      </c>
      <c r="D826" s="93" t="n">
        <v>59.3265</v>
      </c>
      <c r="E826" s="34" t="n">
        <v>59.3</v>
      </c>
    </row>
    <row r="827" customFormat="false" ht="15" hidden="false" customHeight="false" outlineLevel="0" collapsed="false">
      <c r="A827" s="11" t="s">
        <v>1720</v>
      </c>
      <c r="B827" s="11" t="n">
        <v>2</v>
      </c>
      <c r="C827" s="11" t="s">
        <v>2349</v>
      </c>
      <c r="D827" s="93" t="n">
        <v>8</v>
      </c>
      <c r="E827" s="34" t="n">
        <v>8</v>
      </c>
    </row>
    <row r="828" customFormat="false" ht="15" hidden="false" customHeight="false" outlineLevel="0" collapsed="false">
      <c r="A828" s="11" t="s">
        <v>1720</v>
      </c>
      <c r="B828" s="11" t="n">
        <v>3</v>
      </c>
      <c r="C828" s="11" t="s">
        <v>2399</v>
      </c>
      <c r="D828" s="93" t="n">
        <v>6.0585</v>
      </c>
      <c r="E828" s="34" t="n">
        <v>6.1</v>
      </c>
    </row>
    <row r="829" customFormat="false" ht="15" hidden="false" customHeight="false" outlineLevel="0" collapsed="false">
      <c r="A829" s="11" t="s">
        <v>1720</v>
      </c>
      <c r="B829" s="11" t="n">
        <v>4</v>
      </c>
      <c r="C829" s="11" t="s">
        <v>2419</v>
      </c>
      <c r="D829" s="93" t="n">
        <v>26.58842</v>
      </c>
      <c r="E829" s="34" t="n">
        <v>26.6</v>
      </c>
    </row>
    <row r="830" customFormat="false" ht="15" hidden="false" customHeight="false" outlineLevel="0" collapsed="false">
      <c r="A830" s="11" t="s">
        <v>1721</v>
      </c>
      <c r="B830" s="11" t="n">
        <v>1</v>
      </c>
      <c r="C830" s="11" t="s">
        <v>2398</v>
      </c>
      <c r="D830" s="93" t="n">
        <v>59.3265</v>
      </c>
      <c r="E830" s="34" t="n">
        <v>59.3</v>
      </c>
    </row>
    <row r="831" customFormat="false" ht="15" hidden="false" customHeight="false" outlineLevel="0" collapsed="false">
      <c r="A831" s="11" t="s">
        <v>1721</v>
      </c>
      <c r="B831" s="11" t="n">
        <v>2</v>
      </c>
      <c r="C831" s="11" t="s">
        <v>2399</v>
      </c>
      <c r="D831" s="93" t="n">
        <v>6.0585</v>
      </c>
      <c r="E831" s="34" t="n">
        <v>6.1</v>
      </c>
    </row>
    <row r="832" customFormat="false" ht="15" hidden="false" customHeight="false" outlineLevel="0" collapsed="false">
      <c r="A832" s="11" t="s">
        <v>1721</v>
      </c>
      <c r="B832" s="11" t="n">
        <v>3</v>
      </c>
      <c r="C832" s="11" t="s">
        <v>2403</v>
      </c>
      <c r="D832" s="93" t="n">
        <v>4.74675</v>
      </c>
      <c r="E832" s="34" t="n">
        <v>4.7</v>
      </c>
    </row>
    <row r="833" customFormat="false" ht="15" hidden="false" customHeight="false" outlineLevel="0" collapsed="false">
      <c r="A833" s="11" t="s">
        <v>1721</v>
      </c>
      <c r="B833" s="11" t="n">
        <v>4</v>
      </c>
      <c r="C833" s="11" t="s">
        <v>102</v>
      </c>
      <c r="D833" s="93" t="n">
        <v>5.25</v>
      </c>
      <c r="E833" s="34" t="n">
        <v>5.3</v>
      </c>
    </row>
    <row r="834" customFormat="false" ht="15" hidden="false" customHeight="false" outlineLevel="0" collapsed="false">
      <c r="A834" s="11" t="s">
        <v>1722</v>
      </c>
      <c r="B834" s="11" t="n">
        <v>1</v>
      </c>
      <c r="C834" s="11" t="s">
        <v>2349</v>
      </c>
      <c r="D834" s="93" t="n">
        <v>8</v>
      </c>
      <c r="E834" s="34" t="n">
        <v>8</v>
      </c>
    </row>
    <row r="835" customFormat="false" ht="15" hidden="false" customHeight="false" outlineLevel="0" collapsed="false">
      <c r="A835" s="11" t="s">
        <v>1722</v>
      </c>
      <c r="B835" s="11" t="n">
        <v>2</v>
      </c>
      <c r="C835" s="11" t="s">
        <v>2428</v>
      </c>
      <c r="D835" s="93" t="n">
        <v>1</v>
      </c>
      <c r="E835" s="34" t="n">
        <v>1</v>
      </c>
    </row>
    <row r="836" customFormat="false" ht="15" hidden="false" customHeight="false" outlineLevel="0" collapsed="false">
      <c r="A836" s="11" t="s">
        <v>1723</v>
      </c>
      <c r="B836" s="11" t="n">
        <v>1</v>
      </c>
      <c r="C836" s="11" t="s">
        <v>2404</v>
      </c>
      <c r="D836" s="93" t="n">
        <v>1.8</v>
      </c>
      <c r="E836" s="34" t="n">
        <v>1.8</v>
      </c>
    </row>
    <row r="837" customFormat="false" ht="15" hidden="false" customHeight="false" outlineLevel="0" collapsed="false">
      <c r="A837" s="11" t="s">
        <v>1723</v>
      </c>
      <c r="B837" s="11" t="n">
        <v>2</v>
      </c>
      <c r="C837" s="11" t="s">
        <v>2345</v>
      </c>
      <c r="D837" s="93" t="n">
        <v>1.5</v>
      </c>
      <c r="E837" s="34" t="n">
        <v>1.5</v>
      </c>
    </row>
    <row r="838" customFormat="false" ht="15" hidden="false" customHeight="false" outlineLevel="0" collapsed="false">
      <c r="A838" s="11" t="s">
        <v>1723</v>
      </c>
      <c r="B838" s="11" t="n">
        <v>3</v>
      </c>
      <c r="C838" s="11" t="s">
        <v>2408</v>
      </c>
      <c r="D838" s="93" t="n">
        <v>1.2</v>
      </c>
      <c r="E838" s="34" t="n">
        <v>1.2</v>
      </c>
    </row>
    <row r="839" customFormat="false" ht="15" hidden="false" customHeight="false" outlineLevel="0" collapsed="false">
      <c r="A839" s="11" t="s">
        <v>1723</v>
      </c>
      <c r="B839" s="11" t="n">
        <v>4</v>
      </c>
      <c r="C839" s="11" t="s">
        <v>102</v>
      </c>
      <c r="D839" s="93" t="n">
        <v>1.8</v>
      </c>
      <c r="E839" s="34" t="n">
        <v>1.8</v>
      </c>
    </row>
    <row r="840" customFormat="false" ht="15" hidden="false" customHeight="false" outlineLevel="0" collapsed="false">
      <c r="A840" s="11" t="s">
        <v>1724</v>
      </c>
      <c r="B840" s="11" t="n">
        <v>1</v>
      </c>
      <c r="C840" s="11" t="s">
        <v>2346</v>
      </c>
      <c r="D840" s="93" t="n">
        <v>2</v>
      </c>
      <c r="E840" s="34" t="n">
        <v>2</v>
      </c>
    </row>
    <row r="841" customFormat="false" ht="15" hidden="false" customHeight="false" outlineLevel="0" collapsed="false">
      <c r="A841" s="11" t="s">
        <v>1724</v>
      </c>
      <c r="B841" s="11" t="n">
        <v>2</v>
      </c>
      <c r="C841" s="11" t="s">
        <v>2405</v>
      </c>
      <c r="D841" s="93" t="n">
        <v>1.66667</v>
      </c>
      <c r="E841" s="34" t="n">
        <v>1.7</v>
      </c>
    </row>
    <row r="842" customFormat="false" ht="15" hidden="false" customHeight="false" outlineLevel="0" collapsed="false">
      <c r="A842" s="11" t="s">
        <v>1725</v>
      </c>
      <c r="B842" s="11" t="n">
        <v>1</v>
      </c>
      <c r="C842" s="11" t="s">
        <v>2347</v>
      </c>
      <c r="D842" s="93" t="n">
        <v>6</v>
      </c>
      <c r="E842" s="34" t="n">
        <v>6</v>
      </c>
    </row>
    <row r="843" customFormat="false" ht="15" hidden="false" customHeight="false" outlineLevel="0" collapsed="false">
      <c r="A843" s="11" t="s">
        <v>1725</v>
      </c>
      <c r="B843" s="11" t="n">
        <v>2</v>
      </c>
      <c r="C843" s="11" t="s">
        <v>2406</v>
      </c>
      <c r="D843" s="93" t="n">
        <v>-1.875</v>
      </c>
      <c r="E843" s="34" t="n">
        <v>-1.9</v>
      </c>
    </row>
    <row r="844" customFormat="false" ht="15" hidden="false" customHeight="false" outlineLevel="0" collapsed="false">
      <c r="A844" s="11" t="s">
        <v>1725</v>
      </c>
      <c r="B844" s="11" t="n">
        <v>3</v>
      </c>
      <c r="C844" s="11" t="s">
        <v>2407</v>
      </c>
      <c r="D844" s="93" t="n">
        <v>1.5</v>
      </c>
      <c r="E844" s="34" t="n">
        <v>1.5</v>
      </c>
    </row>
    <row r="845" customFormat="false" ht="15" hidden="false" customHeight="false" outlineLevel="0" collapsed="false">
      <c r="A845" s="11" t="s">
        <v>1726</v>
      </c>
      <c r="B845" s="11" t="n">
        <v>1</v>
      </c>
      <c r="C845" s="11" t="s">
        <v>2398</v>
      </c>
      <c r="D845" s="93" t="n">
        <v>62.1848</v>
      </c>
      <c r="E845" s="34" t="n">
        <v>62.2</v>
      </c>
    </row>
    <row r="846" customFormat="false" ht="15" hidden="false" customHeight="false" outlineLevel="0" collapsed="false">
      <c r="A846" s="11" t="s">
        <v>1726</v>
      </c>
      <c r="B846" s="11" t="n">
        <v>2</v>
      </c>
      <c r="C846" s="11" t="s">
        <v>2351</v>
      </c>
      <c r="D846" s="93" t="n">
        <v>12</v>
      </c>
      <c r="E846" s="34" t="n">
        <v>12</v>
      </c>
    </row>
    <row r="847" customFormat="false" ht="15" hidden="false" customHeight="false" outlineLevel="0" collapsed="false">
      <c r="A847" s="11" t="s">
        <v>1726</v>
      </c>
      <c r="B847" s="11" t="n">
        <v>3</v>
      </c>
      <c r="C847" s="11" t="s">
        <v>2411</v>
      </c>
      <c r="D847" s="93" t="n">
        <v>11</v>
      </c>
      <c r="E847" s="34" t="n">
        <v>11</v>
      </c>
    </row>
    <row r="848" customFormat="false" ht="15" hidden="false" customHeight="false" outlineLevel="0" collapsed="false">
      <c r="A848" s="11" t="s">
        <v>1726</v>
      </c>
      <c r="B848" s="11" t="n">
        <v>4</v>
      </c>
      <c r="C848" s="11" t="s">
        <v>2429</v>
      </c>
      <c r="D848" s="93" t="n">
        <v>62.36163</v>
      </c>
      <c r="E848" s="34" t="n">
        <v>62.3</v>
      </c>
    </row>
    <row r="849" customFormat="false" ht="15" hidden="false" customHeight="false" outlineLevel="0" collapsed="false">
      <c r="A849" s="11" t="s">
        <v>1727</v>
      </c>
      <c r="B849" s="11" t="n">
        <v>1</v>
      </c>
      <c r="C849" s="11" t="s">
        <v>2398</v>
      </c>
      <c r="D849" s="93" t="n">
        <v>58.706</v>
      </c>
      <c r="E849" s="34" t="n">
        <v>58.7</v>
      </c>
    </row>
    <row r="850" customFormat="false" ht="15" hidden="false" customHeight="false" outlineLevel="0" collapsed="false">
      <c r="A850" s="11" t="s">
        <v>1727</v>
      </c>
      <c r="B850" s="11" t="n">
        <v>2</v>
      </c>
      <c r="C850" s="11" t="s">
        <v>2399</v>
      </c>
      <c r="D850" s="93" t="n">
        <v>7.671</v>
      </c>
      <c r="E850" s="34" t="n">
        <v>7.7</v>
      </c>
    </row>
    <row r="851" customFormat="false" ht="15" hidden="false" customHeight="false" outlineLevel="0" collapsed="false">
      <c r="A851" s="11" t="s">
        <v>1727</v>
      </c>
      <c r="B851" s="11" t="n">
        <v>3</v>
      </c>
      <c r="C851" s="11" t="s">
        <v>2403</v>
      </c>
      <c r="D851" s="93" t="n">
        <v>4.696</v>
      </c>
      <c r="E851" s="34" t="n">
        <v>4.7</v>
      </c>
    </row>
    <row r="852" customFormat="false" ht="15" hidden="false" customHeight="false" outlineLevel="0" collapsed="false">
      <c r="A852" s="11" t="s">
        <v>1728</v>
      </c>
      <c r="B852" s="11" t="n">
        <v>1</v>
      </c>
      <c r="C852" s="11" t="s">
        <v>2398</v>
      </c>
      <c r="D852" s="93" t="n">
        <v>3.4788</v>
      </c>
      <c r="E852" s="34" t="n">
        <v>3.5</v>
      </c>
    </row>
    <row r="853" customFormat="false" ht="15" hidden="false" customHeight="false" outlineLevel="0" collapsed="false">
      <c r="A853" s="11" t="s">
        <v>1728</v>
      </c>
      <c r="B853" s="11" t="n">
        <v>2</v>
      </c>
      <c r="C853" s="11" t="s">
        <v>1087</v>
      </c>
      <c r="D853" s="93" t="n">
        <v>0.9</v>
      </c>
      <c r="E853" s="34" t="n">
        <v>0.9</v>
      </c>
    </row>
    <row r="854" customFormat="false" ht="15" hidden="false" customHeight="false" outlineLevel="0" collapsed="false">
      <c r="A854" s="11" t="s">
        <v>1728</v>
      </c>
      <c r="B854" s="11" t="n">
        <v>3</v>
      </c>
      <c r="C854" s="11" t="s">
        <v>2399</v>
      </c>
      <c r="D854" s="93" t="n">
        <v>0.7479</v>
      </c>
      <c r="E854" s="34" t="n">
        <v>0.7</v>
      </c>
    </row>
    <row r="855" customFormat="false" ht="15" hidden="false" customHeight="false" outlineLevel="0" collapsed="false">
      <c r="A855" s="11" t="s">
        <v>1728</v>
      </c>
      <c r="B855" s="11" t="n">
        <v>4</v>
      </c>
      <c r="C855" s="11" t="s">
        <v>127</v>
      </c>
      <c r="D855" s="93" t="n">
        <v>0.2784</v>
      </c>
      <c r="E855" s="34" t="n">
        <v>0.3</v>
      </c>
    </row>
    <row r="856" customFormat="false" ht="15" hidden="false" customHeight="false" outlineLevel="0" collapsed="false">
      <c r="A856" s="11" t="s">
        <v>1729</v>
      </c>
      <c r="B856" s="11" t="n">
        <v>1</v>
      </c>
      <c r="C856" s="11" t="s">
        <v>1181</v>
      </c>
      <c r="D856" s="93" t="n">
        <v>10</v>
      </c>
      <c r="E856" s="34" t="n">
        <v>10</v>
      </c>
    </row>
    <row r="857" customFormat="false" ht="15" hidden="false" customHeight="false" outlineLevel="0" collapsed="false">
      <c r="A857" s="11" t="s">
        <v>1729</v>
      </c>
      <c r="B857" s="11" t="n">
        <v>2</v>
      </c>
      <c r="C857" s="11" t="s">
        <v>1198</v>
      </c>
      <c r="D857" s="93" t="n">
        <v>10</v>
      </c>
      <c r="E857" s="34" t="n">
        <v>10</v>
      </c>
    </row>
    <row r="858" customFormat="false" ht="15" hidden="false" customHeight="false" outlineLevel="0" collapsed="false">
      <c r="A858" s="11" t="s">
        <v>1729</v>
      </c>
      <c r="B858" s="11" t="n">
        <v>3</v>
      </c>
      <c r="C858" s="11" t="s">
        <v>2350</v>
      </c>
      <c r="D858" s="93" t="n">
        <v>7</v>
      </c>
      <c r="E858" s="34" t="n">
        <v>7</v>
      </c>
    </row>
    <row r="859" customFormat="false" ht="15" hidden="false" customHeight="false" outlineLevel="0" collapsed="false">
      <c r="A859" s="11" t="s">
        <v>1729</v>
      </c>
      <c r="B859" s="11" t="n">
        <v>4</v>
      </c>
      <c r="C859" s="11" t="s">
        <v>127</v>
      </c>
      <c r="D859" s="93" t="n">
        <v>5</v>
      </c>
      <c r="E859" s="34" t="n">
        <v>5</v>
      </c>
    </row>
    <row r="860" customFormat="false" ht="15" hidden="false" customHeight="false" outlineLevel="0" collapsed="false">
      <c r="A860" s="11" t="s">
        <v>1730</v>
      </c>
      <c r="B860" s="11" t="n">
        <v>1</v>
      </c>
      <c r="C860" s="11" t="s">
        <v>2411</v>
      </c>
      <c r="D860" s="93" t="n">
        <v>11</v>
      </c>
      <c r="E860" s="34" t="n">
        <v>11</v>
      </c>
    </row>
    <row r="861" customFormat="false" ht="15" hidden="false" customHeight="false" outlineLevel="0" collapsed="false">
      <c r="A861" s="11" t="s">
        <v>1730</v>
      </c>
      <c r="B861" s="11" t="n">
        <v>2</v>
      </c>
      <c r="C861" s="11" t="s">
        <v>2410</v>
      </c>
      <c r="D861" s="93" t="n">
        <v>6</v>
      </c>
      <c r="E861" s="34" t="n">
        <v>6</v>
      </c>
    </row>
    <row r="862" customFormat="false" ht="15" hidden="false" customHeight="false" outlineLevel="0" collapsed="false">
      <c r="A862" s="11" t="s">
        <v>1730</v>
      </c>
      <c r="B862" s="11" t="n">
        <v>3</v>
      </c>
      <c r="C862" s="11" t="s">
        <v>2412</v>
      </c>
      <c r="D862" s="93" t="n">
        <v>-3.455</v>
      </c>
      <c r="E862" s="34" t="n">
        <v>-3.5</v>
      </c>
    </row>
    <row r="863" customFormat="false" ht="15" hidden="false" customHeight="false" outlineLevel="0" collapsed="false">
      <c r="A863" s="11" t="s">
        <v>1730</v>
      </c>
      <c r="B863" s="11" t="n">
        <v>4</v>
      </c>
      <c r="C863" s="11" t="s">
        <v>102</v>
      </c>
      <c r="D863" s="93" t="n">
        <v>3</v>
      </c>
      <c r="E863" s="34" t="n">
        <v>3</v>
      </c>
    </row>
    <row r="864" customFormat="false" ht="15" hidden="false" customHeight="false" outlineLevel="0" collapsed="false">
      <c r="A864" s="11" t="s">
        <v>1731</v>
      </c>
      <c r="B864" s="11" t="n">
        <v>1</v>
      </c>
      <c r="C864" s="11" t="s">
        <v>2351</v>
      </c>
      <c r="D864" s="93" t="n">
        <v>12</v>
      </c>
      <c r="E864" s="34" t="n">
        <v>12</v>
      </c>
    </row>
    <row r="865" customFormat="false" ht="15" hidden="false" customHeight="false" outlineLevel="0" collapsed="false">
      <c r="A865" s="11" t="s">
        <v>1731</v>
      </c>
      <c r="B865" s="11" t="n">
        <v>2</v>
      </c>
      <c r="C865" s="11" t="s">
        <v>2430</v>
      </c>
      <c r="D865" s="93" t="n">
        <v>1</v>
      </c>
      <c r="E865" s="34" t="n">
        <v>1</v>
      </c>
    </row>
    <row r="866" customFormat="false" ht="15" hidden="false" customHeight="false" outlineLevel="0" collapsed="false">
      <c r="A866" s="11" t="s">
        <v>1732</v>
      </c>
      <c r="B866" s="11" t="n">
        <v>1</v>
      </c>
      <c r="C866" s="11" t="s">
        <v>2344</v>
      </c>
      <c r="D866" s="93" t="n">
        <v>-3.2</v>
      </c>
      <c r="E866" s="34" t="n">
        <v>-3.2</v>
      </c>
    </row>
    <row r="867" customFormat="false" ht="15" hidden="false" customHeight="false" outlineLevel="0" collapsed="false">
      <c r="A867" s="11" t="s">
        <v>1732</v>
      </c>
      <c r="B867" s="11" t="n">
        <v>2</v>
      </c>
      <c r="C867" s="11" t="s">
        <v>2404</v>
      </c>
      <c r="D867" s="93" t="n">
        <v>2.04</v>
      </c>
      <c r="E867" s="34" t="n">
        <v>2</v>
      </c>
    </row>
    <row r="868" customFormat="false" ht="15" hidden="false" customHeight="false" outlineLevel="0" collapsed="false">
      <c r="A868" s="11" t="s">
        <v>1732</v>
      </c>
      <c r="B868" s="11" t="n">
        <v>3</v>
      </c>
      <c r="C868" s="11" t="s">
        <v>2345</v>
      </c>
      <c r="D868" s="93" t="n">
        <v>1.7</v>
      </c>
      <c r="E868" s="34" t="n">
        <v>1.7</v>
      </c>
    </row>
    <row r="869" customFormat="false" ht="15" hidden="false" customHeight="false" outlineLevel="0" collapsed="false">
      <c r="A869" s="11" t="s">
        <v>1732</v>
      </c>
      <c r="B869" s="11" t="n">
        <v>4</v>
      </c>
      <c r="C869" s="11" t="s">
        <v>109</v>
      </c>
      <c r="D869" s="93" t="n">
        <v>3.4</v>
      </c>
      <c r="E869" s="34" t="n">
        <v>3.4</v>
      </c>
    </row>
    <row r="870" customFormat="false" ht="15" hidden="false" customHeight="false" outlineLevel="0" collapsed="false">
      <c r="A870" s="11" t="s">
        <v>1733</v>
      </c>
      <c r="B870" s="11" t="n">
        <v>1</v>
      </c>
      <c r="C870" s="11" t="s">
        <v>2346</v>
      </c>
      <c r="D870" s="93" t="n">
        <v>1</v>
      </c>
      <c r="E870" s="34" t="n">
        <v>1</v>
      </c>
    </row>
    <row r="871" customFormat="false" ht="15" hidden="false" customHeight="false" outlineLevel="0" collapsed="false">
      <c r="A871" s="11" t="s">
        <v>1733</v>
      </c>
      <c r="B871" s="11" t="n">
        <v>2</v>
      </c>
      <c r="C871" s="11" t="s">
        <v>2405</v>
      </c>
      <c r="D871" s="93" t="n">
        <v>0.83333</v>
      </c>
      <c r="E871" s="34" t="n">
        <v>0.8</v>
      </c>
    </row>
    <row r="872" customFormat="false" ht="15" hidden="false" customHeight="false" outlineLevel="0" collapsed="false">
      <c r="A872" s="11" t="s">
        <v>1734</v>
      </c>
      <c r="B872" s="11" t="n">
        <v>1</v>
      </c>
      <c r="C872" s="11" t="s">
        <v>2347</v>
      </c>
      <c r="D872" s="93" t="n">
        <v>4</v>
      </c>
      <c r="E872" s="34" t="n">
        <v>4</v>
      </c>
    </row>
    <row r="873" customFormat="false" ht="15" hidden="false" customHeight="false" outlineLevel="0" collapsed="false">
      <c r="A873" s="11" t="s">
        <v>1734</v>
      </c>
      <c r="B873" s="11" t="n">
        <v>2</v>
      </c>
      <c r="C873" s="11" t="s">
        <v>2406</v>
      </c>
      <c r="D873" s="93" t="n">
        <v>-1.25</v>
      </c>
      <c r="E873" s="34" t="n">
        <v>-1.2</v>
      </c>
    </row>
    <row r="874" customFormat="false" ht="15" hidden="false" customHeight="false" outlineLevel="0" collapsed="false">
      <c r="A874" s="11" t="s">
        <v>1734</v>
      </c>
      <c r="B874" s="11" t="n">
        <v>3</v>
      </c>
      <c r="C874" s="11" t="s">
        <v>2407</v>
      </c>
      <c r="D874" s="93" t="n">
        <v>1</v>
      </c>
      <c r="E874" s="34" t="n">
        <v>1</v>
      </c>
    </row>
    <row r="875" customFormat="false" ht="15" hidden="false" customHeight="false" outlineLevel="0" collapsed="false">
      <c r="A875" s="11" t="s">
        <v>1735</v>
      </c>
      <c r="B875" s="11" t="n">
        <v>1</v>
      </c>
      <c r="C875" s="11" t="s">
        <v>2413</v>
      </c>
      <c r="D875" s="93" t="n">
        <v>20</v>
      </c>
      <c r="E875" s="34" t="n">
        <v>20</v>
      </c>
    </row>
    <row r="876" customFormat="false" ht="15" hidden="false" customHeight="false" outlineLevel="0" collapsed="false">
      <c r="A876" s="11" t="s">
        <v>1735</v>
      </c>
      <c r="B876" s="11" t="n">
        <v>2</v>
      </c>
      <c r="C876" s="11" t="s">
        <v>1190</v>
      </c>
      <c r="D876" s="93" t="n">
        <v>10</v>
      </c>
      <c r="E876" s="34" t="n">
        <v>10</v>
      </c>
    </row>
    <row r="877" customFormat="false" ht="15" hidden="false" customHeight="false" outlineLevel="0" collapsed="false">
      <c r="A877" s="11" t="s">
        <v>1735</v>
      </c>
      <c r="B877" s="11" t="n">
        <v>3</v>
      </c>
      <c r="C877" s="11" t="s">
        <v>2354</v>
      </c>
      <c r="D877" s="93" t="n">
        <v>10</v>
      </c>
      <c r="E877" s="34" t="n">
        <v>10</v>
      </c>
    </row>
    <row r="878" customFormat="false" ht="15" hidden="false" customHeight="false" outlineLevel="0" collapsed="false">
      <c r="A878" s="11" t="s">
        <v>1735</v>
      </c>
      <c r="B878" s="11" t="n">
        <v>4</v>
      </c>
      <c r="C878" s="11" t="s">
        <v>2392</v>
      </c>
      <c r="D878" s="93" t="n">
        <v>12.90833</v>
      </c>
      <c r="E878" s="34" t="n">
        <v>12.9</v>
      </c>
    </row>
    <row r="879" customFormat="false" ht="15" hidden="false" customHeight="false" outlineLevel="0" collapsed="false">
      <c r="A879" s="11" t="s">
        <v>1736</v>
      </c>
      <c r="B879" s="11" t="n">
        <v>1</v>
      </c>
      <c r="C879" s="11" t="s">
        <v>2413</v>
      </c>
      <c r="D879" s="93" t="n">
        <v>20</v>
      </c>
      <c r="E879" s="34" t="n">
        <v>20</v>
      </c>
    </row>
    <row r="880" customFormat="false" ht="15" hidden="false" customHeight="false" outlineLevel="0" collapsed="false">
      <c r="A880" s="11" t="s">
        <v>1736</v>
      </c>
      <c r="B880" s="11" t="n">
        <v>2</v>
      </c>
      <c r="C880" s="11" t="s">
        <v>1190</v>
      </c>
      <c r="D880" s="93" t="n">
        <v>10</v>
      </c>
      <c r="E880" s="34" t="n">
        <v>10</v>
      </c>
    </row>
    <row r="881" customFormat="false" ht="15" hidden="false" customHeight="false" outlineLevel="0" collapsed="false">
      <c r="A881" s="11" t="s">
        <v>1736</v>
      </c>
      <c r="B881" s="11" t="n">
        <v>3</v>
      </c>
      <c r="C881" s="11" t="s">
        <v>2354</v>
      </c>
      <c r="D881" s="93" t="n">
        <v>10</v>
      </c>
      <c r="E881" s="34" t="n">
        <v>10</v>
      </c>
    </row>
    <row r="882" customFormat="false" ht="15" hidden="false" customHeight="false" outlineLevel="0" collapsed="false">
      <c r="A882" s="11" t="s">
        <v>1736</v>
      </c>
      <c r="B882" s="11" t="n">
        <v>4</v>
      </c>
      <c r="C882" s="11" t="s">
        <v>102</v>
      </c>
      <c r="D882" s="93" t="n">
        <v>5</v>
      </c>
      <c r="E882" s="34" t="n">
        <v>5</v>
      </c>
    </row>
    <row r="883" customFormat="false" ht="15" hidden="false" customHeight="false" outlineLevel="0" collapsed="false">
      <c r="A883" s="11" t="s">
        <v>1737</v>
      </c>
      <c r="B883" s="11" t="n">
        <v>1</v>
      </c>
      <c r="C883" s="11" t="s">
        <v>2404</v>
      </c>
      <c r="D883" s="93" t="n">
        <v>1.2</v>
      </c>
      <c r="E883" s="34" t="n">
        <v>1.2</v>
      </c>
    </row>
    <row r="884" customFormat="false" ht="15" hidden="false" customHeight="false" outlineLevel="0" collapsed="false">
      <c r="A884" s="11" t="s">
        <v>1737</v>
      </c>
      <c r="B884" s="11" t="n">
        <v>2</v>
      </c>
      <c r="C884" s="11" t="s">
        <v>2345</v>
      </c>
      <c r="D884" s="93" t="n">
        <v>1</v>
      </c>
      <c r="E884" s="34" t="n">
        <v>1</v>
      </c>
    </row>
    <row r="885" customFormat="false" ht="15" hidden="false" customHeight="false" outlineLevel="0" collapsed="false">
      <c r="A885" s="11" t="s">
        <v>1737</v>
      </c>
      <c r="B885" s="11" t="n">
        <v>3</v>
      </c>
      <c r="C885" s="11" t="s">
        <v>2408</v>
      </c>
      <c r="D885" s="93" t="n">
        <v>0.8</v>
      </c>
      <c r="E885" s="34" t="n">
        <v>0.8</v>
      </c>
    </row>
    <row r="886" customFormat="false" ht="15" hidden="false" customHeight="false" outlineLevel="0" collapsed="false">
      <c r="A886" s="11" t="s">
        <v>1737</v>
      </c>
      <c r="B886" s="11" t="n">
        <v>4</v>
      </c>
      <c r="C886" s="11" t="s">
        <v>102</v>
      </c>
      <c r="D886" s="93" t="n">
        <v>1.2</v>
      </c>
      <c r="E886" s="34" t="n">
        <v>1.2</v>
      </c>
    </row>
    <row r="887" customFormat="false" ht="15" hidden="false" customHeight="false" outlineLevel="0" collapsed="false">
      <c r="A887" s="11" t="s">
        <v>1738</v>
      </c>
      <c r="B887" s="11" t="n">
        <v>1</v>
      </c>
      <c r="C887" s="11" t="s">
        <v>2346</v>
      </c>
      <c r="D887" s="93" t="n">
        <v>1</v>
      </c>
      <c r="E887" s="34" t="n">
        <v>1</v>
      </c>
    </row>
    <row r="888" customFormat="false" ht="15" hidden="false" customHeight="false" outlineLevel="0" collapsed="false">
      <c r="A888" s="11" t="s">
        <v>1738</v>
      </c>
      <c r="B888" s="11" t="n">
        <v>2</v>
      </c>
      <c r="C888" s="11" t="s">
        <v>2405</v>
      </c>
      <c r="D888" s="93" t="n">
        <v>0.83333</v>
      </c>
      <c r="E888" s="34" t="n">
        <v>0.8</v>
      </c>
    </row>
    <row r="889" customFormat="false" ht="15" hidden="false" customHeight="false" outlineLevel="0" collapsed="false">
      <c r="A889" s="11" t="s">
        <v>1739</v>
      </c>
      <c r="B889" s="11" t="n">
        <v>1</v>
      </c>
      <c r="C889" s="11" t="s">
        <v>2347</v>
      </c>
      <c r="D889" s="93" t="n">
        <v>2</v>
      </c>
      <c r="E889" s="34" t="n">
        <v>2</v>
      </c>
    </row>
    <row r="890" customFormat="false" ht="15" hidden="false" customHeight="false" outlineLevel="0" collapsed="false">
      <c r="A890" s="11" t="s">
        <v>1739</v>
      </c>
      <c r="B890" s="11" t="n">
        <v>2</v>
      </c>
      <c r="C890" s="11" t="s">
        <v>2406</v>
      </c>
      <c r="D890" s="93" t="n">
        <v>-0.625</v>
      </c>
      <c r="E890" s="34" t="n">
        <v>-0.6</v>
      </c>
    </row>
    <row r="891" customFormat="false" ht="15" hidden="false" customHeight="false" outlineLevel="0" collapsed="false">
      <c r="A891" s="11" t="s">
        <v>1739</v>
      </c>
      <c r="B891" s="11" t="n">
        <v>3</v>
      </c>
      <c r="C891" s="11" t="s">
        <v>2407</v>
      </c>
      <c r="D891" s="93" t="n">
        <v>0.5</v>
      </c>
      <c r="E891" s="34" t="n">
        <v>0.5</v>
      </c>
    </row>
    <row r="892" customFormat="false" ht="15" hidden="false" customHeight="false" outlineLevel="0" collapsed="false">
      <c r="A892" s="11" t="s">
        <v>1740</v>
      </c>
      <c r="B892" s="11" t="n">
        <v>1</v>
      </c>
      <c r="C892" s="11" t="s">
        <v>158</v>
      </c>
      <c r="D892" s="93" t="n">
        <v>147.54643</v>
      </c>
      <c r="E892" s="34" t="n">
        <v>147.5</v>
      </c>
    </row>
    <row r="893" customFormat="false" ht="15" hidden="false" customHeight="false" outlineLevel="0" collapsed="false">
      <c r="A893" s="11" t="s">
        <v>1740</v>
      </c>
      <c r="B893" s="11" t="n">
        <v>2</v>
      </c>
      <c r="C893" s="11" t="s">
        <v>157</v>
      </c>
      <c r="D893" s="93" t="n">
        <v>99.97342</v>
      </c>
      <c r="E893" s="34" t="n">
        <v>100</v>
      </c>
    </row>
    <row r="894" customFormat="false" ht="15" hidden="false" customHeight="false" outlineLevel="0" collapsed="false">
      <c r="A894" s="11" t="s">
        <v>1740</v>
      </c>
      <c r="B894" s="11" t="n">
        <v>3</v>
      </c>
      <c r="C894" s="11" t="s">
        <v>159</v>
      </c>
      <c r="D894" s="93" t="n">
        <v>52.90833</v>
      </c>
      <c r="E894" s="34" t="n">
        <v>52.9</v>
      </c>
    </row>
    <row r="895" customFormat="false" ht="15" hidden="false" customHeight="false" outlineLevel="0" collapsed="false">
      <c r="A895" s="11" t="s">
        <v>1741</v>
      </c>
      <c r="B895" s="11" t="n">
        <v>1</v>
      </c>
      <c r="C895" s="11" t="s">
        <v>91</v>
      </c>
      <c r="D895" s="93" t="n">
        <v>376.381</v>
      </c>
      <c r="E895" s="34" t="n">
        <v>376.4</v>
      </c>
    </row>
    <row r="896" customFormat="false" ht="15" hidden="false" customHeight="false" outlineLevel="0" collapsed="false">
      <c r="A896" s="11" t="s">
        <v>1741</v>
      </c>
      <c r="B896" s="11" t="n">
        <v>2</v>
      </c>
      <c r="C896" s="11" t="s">
        <v>95</v>
      </c>
      <c r="D896" s="93" t="n">
        <v>-300.42818</v>
      </c>
      <c r="E896" s="34" t="n">
        <v>-300.4</v>
      </c>
    </row>
    <row r="897" customFormat="false" ht="15" hidden="false" customHeight="false" outlineLevel="0" collapsed="false">
      <c r="A897" s="11" t="s">
        <v>1741</v>
      </c>
      <c r="B897" s="11" t="n">
        <v>3</v>
      </c>
      <c r="C897" s="11" t="s">
        <v>101</v>
      </c>
      <c r="D897" s="93" t="n">
        <v>-144.93782</v>
      </c>
      <c r="E897" s="34" t="n">
        <v>-145</v>
      </c>
    </row>
    <row r="898" customFormat="false" ht="15" hidden="false" customHeight="false" outlineLevel="0" collapsed="false">
      <c r="A898" s="11" t="s">
        <v>1742</v>
      </c>
      <c r="B898" s="11" t="n">
        <v>1</v>
      </c>
      <c r="C898" s="11" t="s">
        <v>2357</v>
      </c>
      <c r="D898" s="93" t="n">
        <v>-3</v>
      </c>
      <c r="E898" s="34" t="n">
        <v>-3</v>
      </c>
    </row>
    <row r="899" customFormat="false" ht="15" hidden="false" customHeight="false" outlineLevel="0" collapsed="false">
      <c r="A899" s="11" t="s">
        <v>1743</v>
      </c>
      <c r="B899" s="11" t="n">
        <v>1</v>
      </c>
      <c r="C899" s="11" t="s">
        <v>2414</v>
      </c>
      <c r="D899" s="93" t="n">
        <v>-2</v>
      </c>
      <c r="E899" s="34" t="n">
        <v>-2</v>
      </c>
    </row>
    <row r="900" customFormat="false" ht="15" hidden="false" customHeight="false" outlineLevel="0" collapsed="false">
      <c r="A900" s="11" t="s">
        <v>1744</v>
      </c>
      <c r="B900" s="11" t="n">
        <v>1</v>
      </c>
      <c r="C900" s="11" t="s">
        <v>91</v>
      </c>
      <c r="D900" s="93" t="n">
        <v>376.381</v>
      </c>
      <c r="E900" s="34" t="n">
        <v>376.4</v>
      </c>
    </row>
    <row r="901" customFormat="false" ht="15" hidden="false" customHeight="false" outlineLevel="0" collapsed="false">
      <c r="A901" s="11" t="s">
        <v>1744</v>
      </c>
      <c r="B901" s="11" t="n">
        <v>2</v>
      </c>
      <c r="C901" s="11" t="s">
        <v>95</v>
      </c>
      <c r="D901" s="93" t="n">
        <v>-300.42818</v>
      </c>
      <c r="E901" s="34" t="n">
        <v>-300.4</v>
      </c>
    </row>
    <row r="902" customFormat="false" ht="15" hidden="false" customHeight="false" outlineLevel="0" collapsed="false">
      <c r="A902" s="11" t="s">
        <v>1744</v>
      </c>
      <c r="B902" s="11" t="n">
        <v>3</v>
      </c>
      <c r="C902" s="11" t="s">
        <v>101</v>
      </c>
      <c r="D902" s="93" t="n">
        <v>-144.93782</v>
      </c>
      <c r="E902" s="34" t="n">
        <v>-145</v>
      </c>
    </row>
    <row r="903" customFormat="false" ht="15" hidden="false" customHeight="false" outlineLevel="0" collapsed="false">
      <c r="A903" s="11" t="s">
        <v>1744</v>
      </c>
      <c r="B903" s="11" t="n">
        <v>4</v>
      </c>
      <c r="C903" s="11" t="s">
        <v>102</v>
      </c>
      <c r="D903" s="93" t="n">
        <v>-1</v>
      </c>
      <c r="E903" s="34" t="n">
        <v>-1</v>
      </c>
    </row>
    <row r="904" customFormat="false" ht="15" hidden="false" customHeight="false" outlineLevel="0" collapsed="false">
      <c r="A904" s="11" t="s">
        <v>1745</v>
      </c>
      <c r="B904" s="11" t="n">
        <v>1</v>
      </c>
      <c r="C904" s="11" t="s">
        <v>2358</v>
      </c>
      <c r="D904" s="93" t="n">
        <v>14</v>
      </c>
      <c r="E904" s="34" t="n">
        <v>14</v>
      </c>
    </row>
    <row r="905" customFormat="false" ht="15" hidden="false" customHeight="false" outlineLevel="0" collapsed="false">
      <c r="A905" s="11" t="s">
        <v>1745</v>
      </c>
      <c r="B905" s="11" t="n">
        <v>2</v>
      </c>
      <c r="C905" s="11" t="s">
        <v>2359</v>
      </c>
      <c r="D905" s="93" t="n">
        <v>2</v>
      </c>
      <c r="E905" s="34" t="n">
        <v>2</v>
      </c>
    </row>
    <row r="906" customFormat="false" ht="15" hidden="false" customHeight="false" outlineLevel="0" collapsed="false">
      <c r="A906" s="11" t="s">
        <v>1746</v>
      </c>
      <c r="B906" s="11" t="n">
        <v>1</v>
      </c>
      <c r="C906" s="11" t="s">
        <v>91</v>
      </c>
      <c r="D906" s="93" t="n">
        <v>376.381</v>
      </c>
      <c r="E906" s="34" t="n">
        <v>376.4</v>
      </c>
    </row>
    <row r="907" customFormat="false" ht="15" hidden="false" customHeight="false" outlineLevel="0" collapsed="false">
      <c r="A907" s="11" t="s">
        <v>1746</v>
      </c>
      <c r="B907" s="11" t="n">
        <v>2</v>
      </c>
      <c r="C907" s="11" t="s">
        <v>95</v>
      </c>
      <c r="D907" s="93" t="n">
        <v>-300.42818</v>
      </c>
      <c r="E907" s="34" t="n">
        <v>-300.4</v>
      </c>
    </row>
    <row r="908" customFormat="false" ht="15" hidden="false" customHeight="false" outlineLevel="0" collapsed="false">
      <c r="A908" s="11" t="s">
        <v>1746</v>
      </c>
      <c r="B908" s="11" t="n">
        <v>3</v>
      </c>
      <c r="C908" s="11" t="s">
        <v>101</v>
      </c>
      <c r="D908" s="93" t="n">
        <v>-144.93782</v>
      </c>
      <c r="E908" s="34" t="n">
        <v>-145</v>
      </c>
    </row>
    <row r="909" customFormat="false" ht="15" hidden="false" customHeight="false" outlineLevel="0" collapsed="false">
      <c r="A909" s="11" t="s">
        <v>1746</v>
      </c>
      <c r="B909" s="11" t="n">
        <v>4</v>
      </c>
      <c r="C909" s="11" t="s">
        <v>109</v>
      </c>
      <c r="D909" s="93" t="n">
        <v>-17</v>
      </c>
      <c r="E909" s="34" t="n">
        <v>-17</v>
      </c>
    </row>
    <row r="910" customFormat="false" ht="15" hidden="false" customHeight="false" outlineLevel="0" collapsed="false">
      <c r="A910" s="11" t="s">
        <v>1747</v>
      </c>
      <c r="B910" s="11" t="n">
        <v>1</v>
      </c>
      <c r="C910" s="11" t="s">
        <v>2336</v>
      </c>
      <c r="D910" s="93" t="n">
        <v>381.742</v>
      </c>
      <c r="E910" s="34" t="n">
        <v>381.7</v>
      </c>
    </row>
    <row r="911" customFormat="false" ht="15" hidden="false" customHeight="false" outlineLevel="0" collapsed="false">
      <c r="A911" s="11" t="s">
        <v>1747</v>
      </c>
      <c r="B911" s="11" t="n">
        <v>2</v>
      </c>
      <c r="C911" s="11" t="s">
        <v>2337</v>
      </c>
      <c r="D911" s="93" t="n">
        <v>-145.778</v>
      </c>
      <c r="E911" s="34" t="n">
        <v>-145.8</v>
      </c>
    </row>
    <row r="912" customFormat="false" ht="15" hidden="false" customHeight="false" outlineLevel="0" collapsed="false">
      <c r="A912" s="11" t="s">
        <v>1747</v>
      </c>
      <c r="B912" s="11" t="n">
        <v>3</v>
      </c>
      <c r="C912" s="11" t="s">
        <v>2397</v>
      </c>
      <c r="D912" s="93" t="n">
        <v>82.772</v>
      </c>
      <c r="E912" s="34" t="n">
        <v>82.8</v>
      </c>
    </row>
    <row r="913" customFormat="false" ht="15" hidden="false" customHeight="false" outlineLevel="0" collapsed="false">
      <c r="A913" s="11" t="s">
        <v>1747</v>
      </c>
      <c r="B913" s="11" t="n">
        <v>4</v>
      </c>
      <c r="C913" s="11" t="s">
        <v>127</v>
      </c>
      <c r="D913" s="93" t="n">
        <v>-12.355</v>
      </c>
      <c r="E913" s="34" t="n">
        <v>-12.3</v>
      </c>
    </row>
    <row r="914" customFormat="false" ht="15" hidden="false" customHeight="false" outlineLevel="0" collapsed="false">
      <c r="A914" s="11" t="s">
        <v>1748</v>
      </c>
      <c r="B914" s="11" t="n">
        <v>1</v>
      </c>
      <c r="C914" s="11" t="s">
        <v>2339</v>
      </c>
      <c r="D914" s="93" t="n">
        <v>85</v>
      </c>
      <c r="E914" s="34" t="n">
        <v>85</v>
      </c>
    </row>
    <row r="915" customFormat="false" ht="15" hidden="false" customHeight="false" outlineLevel="0" collapsed="false">
      <c r="A915" s="11" t="s">
        <v>1748</v>
      </c>
      <c r="B915" s="11" t="n">
        <v>2</v>
      </c>
      <c r="C915" s="11" t="s">
        <v>2426</v>
      </c>
      <c r="D915" s="93" t="n">
        <v>-55</v>
      </c>
      <c r="E915" s="34" t="n">
        <v>-55</v>
      </c>
    </row>
    <row r="916" customFormat="false" ht="15" hidden="false" customHeight="false" outlineLevel="0" collapsed="false">
      <c r="A916" s="11" t="s">
        <v>1748</v>
      </c>
      <c r="B916" s="11" t="n">
        <v>3</v>
      </c>
      <c r="C916" s="11" t="s">
        <v>2340</v>
      </c>
      <c r="D916" s="93" t="n">
        <v>50</v>
      </c>
      <c r="E916" s="34" t="n">
        <v>50</v>
      </c>
    </row>
    <row r="917" customFormat="false" ht="15" hidden="false" customHeight="false" outlineLevel="0" collapsed="false">
      <c r="A917" s="11" t="s">
        <v>1748</v>
      </c>
      <c r="B917" s="11" t="n">
        <v>4</v>
      </c>
      <c r="C917" s="11" t="s">
        <v>109</v>
      </c>
      <c r="D917" s="93" t="n">
        <v>-10</v>
      </c>
      <c r="E917" s="34" t="n">
        <v>-10</v>
      </c>
    </row>
    <row r="918" customFormat="false" ht="15" hidden="false" customHeight="false" outlineLevel="0" collapsed="false">
      <c r="A918" s="11" t="s">
        <v>1749</v>
      </c>
      <c r="B918" s="11" t="n">
        <v>1</v>
      </c>
      <c r="C918" s="11" t="s">
        <v>2336</v>
      </c>
      <c r="D918" s="93" t="n">
        <v>381.742</v>
      </c>
      <c r="E918" s="34" t="n">
        <v>381.8</v>
      </c>
    </row>
    <row r="919" customFormat="false" ht="15" hidden="false" customHeight="false" outlineLevel="0" collapsed="false">
      <c r="A919" s="11" t="s">
        <v>1749</v>
      </c>
      <c r="B919" s="11" t="n">
        <v>2</v>
      </c>
      <c r="C919" s="11" t="s">
        <v>2337</v>
      </c>
      <c r="D919" s="93" t="n">
        <v>-145.778</v>
      </c>
      <c r="E919" s="34" t="n">
        <v>-145.8</v>
      </c>
    </row>
    <row r="920" customFormat="false" ht="15" hidden="false" customHeight="false" outlineLevel="0" collapsed="false">
      <c r="A920" s="11" t="s">
        <v>1749</v>
      </c>
      <c r="B920" s="11" t="n">
        <v>3</v>
      </c>
      <c r="C920" s="11" t="s">
        <v>2339</v>
      </c>
      <c r="D920" s="93" t="n">
        <v>85</v>
      </c>
      <c r="E920" s="34" t="n">
        <v>85</v>
      </c>
    </row>
    <row r="921" customFormat="false" ht="15" hidden="false" customHeight="false" outlineLevel="0" collapsed="false">
      <c r="A921" s="11" t="s">
        <v>1749</v>
      </c>
      <c r="B921" s="11" t="n">
        <v>4</v>
      </c>
      <c r="C921" s="11" t="s">
        <v>2348</v>
      </c>
      <c r="D921" s="93" t="n">
        <v>55.417</v>
      </c>
      <c r="E921" s="34" t="n">
        <v>55.4</v>
      </c>
    </row>
    <row r="922" customFormat="false" ht="15" hidden="false" customHeight="false" outlineLevel="0" collapsed="false">
      <c r="A922" s="11" t="s">
        <v>1750</v>
      </c>
      <c r="B922" s="11" t="n">
        <v>1</v>
      </c>
      <c r="C922" s="11" t="s">
        <v>2398</v>
      </c>
      <c r="D922" s="93" t="n">
        <v>57.2847</v>
      </c>
      <c r="E922" s="34" t="n">
        <v>57.3</v>
      </c>
    </row>
    <row r="923" customFormat="false" ht="15" hidden="false" customHeight="false" outlineLevel="0" collapsed="false">
      <c r="A923" s="11" t="s">
        <v>1750</v>
      </c>
      <c r="B923" s="11" t="n">
        <v>2</v>
      </c>
      <c r="C923" s="11" t="s">
        <v>2342</v>
      </c>
      <c r="D923" s="93" t="n">
        <v>36</v>
      </c>
      <c r="E923" s="34" t="n">
        <v>36</v>
      </c>
    </row>
    <row r="924" customFormat="false" ht="15" hidden="false" customHeight="false" outlineLevel="0" collapsed="false">
      <c r="A924" s="11" t="s">
        <v>1750</v>
      </c>
      <c r="B924" s="11" t="n">
        <v>3</v>
      </c>
      <c r="C924" s="11" t="s">
        <v>2399</v>
      </c>
      <c r="D924" s="93" t="n">
        <v>9.8386</v>
      </c>
      <c r="E924" s="34" t="n">
        <v>9.8</v>
      </c>
    </row>
    <row r="925" customFormat="false" ht="15" hidden="false" customHeight="false" outlineLevel="0" collapsed="false">
      <c r="A925" s="11" t="s">
        <v>1750</v>
      </c>
      <c r="B925" s="11" t="n">
        <v>4</v>
      </c>
      <c r="C925" s="11" t="s">
        <v>2427</v>
      </c>
      <c r="D925" s="93" t="n">
        <v>26.45952</v>
      </c>
      <c r="E925" s="34" t="n">
        <v>26.5</v>
      </c>
    </row>
    <row r="926" customFormat="false" ht="15" hidden="false" customHeight="false" outlineLevel="0" collapsed="false">
      <c r="A926" s="11" t="s">
        <v>1751</v>
      </c>
      <c r="B926" s="11" t="n">
        <v>1</v>
      </c>
      <c r="C926" s="11" t="s">
        <v>2342</v>
      </c>
      <c r="D926" s="93" t="n">
        <v>36</v>
      </c>
      <c r="E926" s="34" t="n">
        <v>36</v>
      </c>
    </row>
    <row r="927" customFormat="false" ht="15" hidden="false" customHeight="false" outlineLevel="0" collapsed="false">
      <c r="A927" s="11" t="s">
        <v>1751</v>
      </c>
      <c r="B927" s="11" t="n">
        <v>2</v>
      </c>
      <c r="C927" s="11" t="s">
        <v>2401</v>
      </c>
      <c r="D927" s="93" t="n">
        <v>2</v>
      </c>
      <c r="E927" s="34" t="n">
        <v>2</v>
      </c>
    </row>
    <row r="928" customFormat="false" ht="15" hidden="false" customHeight="false" outlineLevel="0" collapsed="false">
      <c r="A928" s="11" t="s">
        <v>1751</v>
      </c>
      <c r="B928" s="11" t="n">
        <v>3</v>
      </c>
      <c r="C928" s="11" t="s">
        <v>2402</v>
      </c>
      <c r="D928" s="93" t="n">
        <v>1</v>
      </c>
      <c r="E928" s="34" t="n">
        <v>1</v>
      </c>
    </row>
    <row r="929" customFormat="false" ht="15" hidden="false" customHeight="false" outlineLevel="0" collapsed="false">
      <c r="A929" s="11" t="s">
        <v>1752</v>
      </c>
      <c r="B929" s="11" t="n">
        <v>1</v>
      </c>
      <c r="C929" s="11" t="s">
        <v>2398</v>
      </c>
      <c r="D929" s="93" t="n">
        <v>19.7755</v>
      </c>
      <c r="E929" s="34" t="n">
        <v>19.8</v>
      </c>
    </row>
    <row r="930" customFormat="false" ht="15" hidden="false" customHeight="false" outlineLevel="0" collapsed="false">
      <c r="A930" s="11" t="s">
        <v>1752</v>
      </c>
      <c r="B930" s="11" t="n">
        <v>2</v>
      </c>
      <c r="C930" s="11" t="s">
        <v>2399</v>
      </c>
      <c r="D930" s="93" t="n">
        <v>2.0195</v>
      </c>
      <c r="E930" s="34" t="n">
        <v>2</v>
      </c>
    </row>
    <row r="931" customFormat="false" ht="15" hidden="false" customHeight="false" outlineLevel="0" collapsed="false">
      <c r="A931" s="11" t="s">
        <v>1752</v>
      </c>
      <c r="B931" s="11" t="n">
        <v>3</v>
      </c>
      <c r="C931" s="11" t="s">
        <v>2403</v>
      </c>
      <c r="D931" s="93" t="n">
        <v>1.58225</v>
      </c>
      <c r="E931" s="34" t="n">
        <v>1.6</v>
      </c>
    </row>
    <row r="932" customFormat="false" ht="15" hidden="false" customHeight="false" outlineLevel="0" collapsed="false">
      <c r="A932" s="11" t="s">
        <v>1752</v>
      </c>
      <c r="B932" s="11" t="n">
        <v>4</v>
      </c>
      <c r="C932" s="11" t="s">
        <v>102</v>
      </c>
      <c r="D932" s="93" t="n">
        <v>1.75</v>
      </c>
      <c r="E932" s="34" t="n">
        <v>1.7</v>
      </c>
    </row>
    <row r="933" customFormat="false" ht="15" hidden="false" customHeight="false" outlineLevel="0" collapsed="false">
      <c r="A933" s="11" t="s">
        <v>1753</v>
      </c>
      <c r="B933" s="11" t="n">
        <v>1</v>
      </c>
      <c r="C933" s="11" t="s">
        <v>2398</v>
      </c>
      <c r="D933" s="93" t="n">
        <v>29.392</v>
      </c>
      <c r="E933" s="34" t="n">
        <v>29.4</v>
      </c>
    </row>
    <row r="934" customFormat="false" ht="15" hidden="false" customHeight="false" outlineLevel="0" collapsed="false">
      <c r="A934" s="11" t="s">
        <v>1753</v>
      </c>
      <c r="B934" s="11" t="n">
        <v>2</v>
      </c>
      <c r="C934" s="11" t="s">
        <v>2399</v>
      </c>
      <c r="D934" s="93" t="n">
        <v>6.074</v>
      </c>
      <c r="E934" s="34" t="n">
        <v>6.1</v>
      </c>
    </row>
    <row r="935" customFormat="false" ht="15" hidden="false" customHeight="false" outlineLevel="0" collapsed="false">
      <c r="A935" s="11" t="s">
        <v>1753</v>
      </c>
      <c r="B935" s="11" t="n">
        <v>3</v>
      </c>
      <c r="C935" s="11" t="s">
        <v>2403</v>
      </c>
      <c r="D935" s="93" t="n">
        <v>2.351</v>
      </c>
      <c r="E935" s="34" t="n">
        <v>2.3</v>
      </c>
    </row>
    <row r="936" customFormat="false" ht="15" hidden="false" customHeight="false" outlineLevel="0" collapsed="false">
      <c r="A936" s="11" t="s">
        <v>1754</v>
      </c>
      <c r="B936" s="11" t="n">
        <v>1</v>
      </c>
      <c r="C936" s="11" t="s">
        <v>2398</v>
      </c>
      <c r="D936" s="93" t="n">
        <v>8.1172</v>
      </c>
      <c r="E936" s="34" t="n">
        <v>8.1</v>
      </c>
    </row>
    <row r="937" customFormat="false" ht="15" hidden="false" customHeight="false" outlineLevel="0" collapsed="false">
      <c r="A937" s="11" t="s">
        <v>1754</v>
      </c>
      <c r="B937" s="11" t="n">
        <v>2</v>
      </c>
      <c r="C937" s="11" t="s">
        <v>1087</v>
      </c>
      <c r="D937" s="93" t="n">
        <v>2.1</v>
      </c>
      <c r="E937" s="34" t="n">
        <v>2.1</v>
      </c>
    </row>
    <row r="938" customFormat="false" ht="15" hidden="false" customHeight="false" outlineLevel="0" collapsed="false">
      <c r="A938" s="11" t="s">
        <v>1754</v>
      </c>
      <c r="B938" s="11" t="n">
        <v>3</v>
      </c>
      <c r="C938" s="11" t="s">
        <v>2399</v>
      </c>
      <c r="D938" s="93" t="n">
        <v>1.7451</v>
      </c>
      <c r="E938" s="34" t="n">
        <v>1.7</v>
      </c>
    </row>
    <row r="939" customFormat="false" ht="15" hidden="false" customHeight="false" outlineLevel="0" collapsed="false">
      <c r="A939" s="11" t="s">
        <v>1754</v>
      </c>
      <c r="B939" s="11" t="n">
        <v>4</v>
      </c>
      <c r="C939" s="11" t="s">
        <v>127</v>
      </c>
      <c r="D939" s="93" t="n">
        <v>0.6496</v>
      </c>
      <c r="E939" s="34" t="n">
        <v>0.7</v>
      </c>
    </row>
    <row r="940" customFormat="false" ht="15" hidden="false" customHeight="false" outlineLevel="0" collapsed="false">
      <c r="A940" s="11" t="s">
        <v>1755</v>
      </c>
      <c r="B940" s="11" t="n">
        <v>1</v>
      </c>
      <c r="C940" s="11" t="s">
        <v>2344</v>
      </c>
      <c r="D940" s="93" t="n">
        <v>3.2</v>
      </c>
      <c r="E940" s="34" t="n">
        <v>3.2</v>
      </c>
    </row>
    <row r="941" customFormat="false" ht="15" hidden="false" customHeight="false" outlineLevel="0" collapsed="false">
      <c r="A941" s="11" t="s">
        <v>1755</v>
      </c>
      <c r="B941" s="11" t="n">
        <v>2</v>
      </c>
      <c r="C941" s="11" t="s">
        <v>2404</v>
      </c>
      <c r="D941" s="93" t="n">
        <v>1.26</v>
      </c>
      <c r="E941" s="34" t="n">
        <v>1.3</v>
      </c>
    </row>
    <row r="942" customFormat="false" ht="15" hidden="false" customHeight="false" outlineLevel="0" collapsed="false">
      <c r="A942" s="11" t="s">
        <v>1755</v>
      </c>
      <c r="B942" s="11" t="n">
        <v>3</v>
      </c>
      <c r="C942" s="11" t="s">
        <v>2345</v>
      </c>
      <c r="D942" s="93" t="n">
        <v>1.05</v>
      </c>
      <c r="E942" s="34" t="n">
        <v>1</v>
      </c>
    </row>
    <row r="943" customFormat="false" ht="15" hidden="false" customHeight="false" outlineLevel="0" collapsed="false">
      <c r="A943" s="11" t="s">
        <v>1755</v>
      </c>
      <c r="B943" s="11" t="n">
        <v>4</v>
      </c>
      <c r="C943" s="11" t="s">
        <v>109</v>
      </c>
      <c r="D943" s="93" t="n">
        <v>2.1</v>
      </c>
      <c r="E943" s="34" t="n">
        <v>2.1</v>
      </c>
    </row>
    <row r="944" customFormat="false" ht="15" hidden="false" customHeight="false" outlineLevel="0" collapsed="false">
      <c r="A944" s="11" t="s">
        <v>1756</v>
      </c>
      <c r="B944" s="11" t="n">
        <v>1</v>
      </c>
      <c r="C944" s="11" t="s">
        <v>2346</v>
      </c>
      <c r="D944" s="93" t="n">
        <v>2</v>
      </c>
      <c r="E944" s="34" t="n">
        <v>2</v>
      </c>
    </row>
    <row r="945" customFormat="false" ht="15" hidden="false" customHeight="false" outlineLevel="0" collapsed="false">
      <c r="A945" s="11" t="s">
        <v>1756</v>
      </c>
      <c r="B945" s="11" t="n">
        <v>2</v>
      </c>
      <c r="C945" s="11" t="s">
        <v>2405</v>
      </c>
      <c r="D945" s="93" t="n">
        <v>1.66667</v>
      </c>
      <c r="E945" s="34" t="n">
        <v>1.7</v>
      </c>
    </row>
    <row r="946" customFormat="false" ht="15" hidden="false" customHeight="false" outlineLevel="0" collapsed="false">
      <c r="A946" s="11" t="s">
        <v>1757</v>
      </c>
      <c r="B946" s="11" t="n">
        <v>1</v>
      </c>
      <c r="C946" s="11" t="s">
        <v>2347</v>
      </c>
      <c r="D946" s="93" t="n">
        <v>4</v>
      </c>
      <c r="E946" s="34" t="n">
        <v>4</v>
      </c>
    </row>
    <row r="947" customFormat="false" ht="15" hidden="false" customHeight="false" outlineLevel="0" collapsed="false">
      <c r="A947" s="11" t="s">
        <v>1757</v>
      </c>
      <c r="B947" s="11" t="n">
        <v>2</v>
      </c>
      <c r="C947" s="11" t="s">
        <v>2406</v>
      </c>
      <c r="D947" s="93" t="n">
        <v>-1.25</v>
      </c>
      <c r="E947" s="34" t="n">
        <v>-1.2</v>
      </c>
    </row>
    <row r="948" customFormat="false" ht="15" hidden="false" customHeight="false" outlineLevel="0" collapsed="false">
      <c r="A948" s="11" t="s">
        <v>1757</v>
      </c>
      <c r="B948" s="11" t="n">
        <v>3</v>
      </c>
      <c r="C948" s="11" t="s">
        <v>2407</v>
      </c>
      <c r="D948" s="93" t="n">
        <v>1</v>
      </c>
      <c r="E948" s="34" t="n">
        <v>1</v>
      </c>
    </row>
    <row r="949" customFormat="false" ht="15" hidden="false" customHeight="false" outlineLevel="0" collapsed="false">
      <c r="A949" s="11" t="s">
        <v>1758</v>
      </c>
      <c r="B949" s="11" t="n">
        <v>1</v>
      </c>
      <c r="C949" s="11" t="s">
        <v>2398</v>
      </c>
      <c r="D949" s="93" t="n">
        <v>12.979</v>
      </c>
      <c r="E949" s="34" t="n">
        <v>13</v>
      </c>
    </row>
    <row r="950" customFormat="false" ht="15" hidden="false" customHeight="false" outlineLevel="0" collapsed="false">
      <c r="A950" s="11" t="s">
        <v>1758</v>
      </c>
      <c r="B950" s="11" t="n">
        <v>2</v>
      </c>
      <c r="C950" s="11" t="s">
        <v>2399</v>
      </c>
      <c r="D950" s="93" t="n">
        <v>2.388</v>
      </c>
      <c r="E950" s="34" t="n">
        <v>2.4</v>
      </c>
    </row>
    <row r="951" customFormat="false" ht="15" hidden="false" customHeight="false" outlineLevel="0" collapsed="false">
      <c r="A951" s="11" t="s">
        <v>1758</v>
      </c>
      <c r="B951" s="11" t="n">
        <v>3</v>
      </c>
      <c r="C951" s="11" t="s">
        <v>2403</v>
      </c>
      <c r="D951" s="93" t="n">
        <v>1.038</v>
      </c>
      <c r="E951" s="34" t="n">
        <v>1</v>
      </c>
    </row>
    <row r="952" customFormat="false" ht="15" hidden="false" customHeight="false" outlineLevel="0" collapsed="false">
      <c r="A952" s="11" t="s">
        <v>1759</v>
      </c>
      <c r="B952" s="11" t="n">
        <v>1</v>
      </c>
      <c r="C952" s="11" t="s">
        <v>2398</v>
      </c>
      <c r="D952" s="93" t="n">
        <v>12.979</v>
      </c>
      <c r="E952" s="34" t="n">
        <v>13</v>
      </c>
    </row>
    <row r="953" customFormat="false" ht="15" hidden="false" customHeight="false" outlineLevel="0" collapsed="false">
      <c r="A953" s="11" t="s">
        <v>1759</v>
      </c>
      <c r="B953" s="11" t="n">
        <v>2</v>
      </c>
      <c r="C953" s="11" t="s">
        <v>2399</v>
      </c>
      <c r="D953" s="93" t="n">
        <v>2.388</v>
      </c>
      <c r="E953" s="34" t="n">
        <v>2.4</v>
      </c>
    </row>
    <row r="954" customFormat="false" ht="15" hidden="false" customHeight="false" outlineLevel="0" collapsed="false">
      <c r="A954" s="11" t="s">
        <v>1759</v>
      </c>
      <c r="B954" s="11" t="n">
        <v>3</v>
      </c>
      <c r="C954" s="11" t="s">
        <v>2403</v>
      </c>
      <c r="D954" s="93" t="n">
        <v>1.038</v>
      </c>
      <c r="E954" s="34" t="n">
        <v>1</v>
      </c>
    </row>
    <row r="955" customFormat="false" ht="15" hidden="false" customHeight="false" outlineLevel="0" collapsed="false">
      <c r="A955" s="11" t="s">
        <v>1760</v>
      </c>
      <c r="B955" s="11" t="n">
        <v>1</v>
      </c>
      <c r="C955" s="11" t="s">
        <v>164</v>
      </c>
      <c r="D955" s="93" t="n">
        <v>129.58282</v>
      </c>
      <c r="E955" s="34" t="n">
        <v>129.6</v>
      </c>
    </row>
    <row r="956" customFormat="false" ht="15" hidden="false" customHeight="false" outlineLevel="0" collapsed="false">
      <c r="A956" s="11" t="s">
        <v>1760</v>
      </c>
      <c r="B956" s="11" t="n">
        <v>2</v>
      </c>
      <c r="C956" s="11" t="s">
        <v>165</v>
      </c>
      <c r="D956" s="93" t="n">
        <v>16.405</v>
      </c>
      <c r="E956" s="34" t="n">
        <v>16.4</v>
      </c>
    </row>
    <row r="957" customFormat="false" ht="15" hidden="false" customHeight="false" outlineLevel="0" collapsed="false">
      <c r="A957" s="11" t="s">
        <v>1761</v>
      </c>
      <c r="B957" s="11" t="n">
        <v>1</v>
      </c>
      <c r="C957" s="11" t="s">
        <v>91</v>
      </c>
      <c r="D957" s="93" t="n">
        <v>376.381</v>
      </c>
      <c r="E957" s="34" t="n">
        <v>376.4</v>
      </c>
    </row>
    <row r="958" customFormat="false" ht="15" hidden="false" customHeight="false" outlineLevel="0" collapsed="false">
      <c r="A958" s="11" t="s">
        <v>1761</v>
      </c>
      <c r="B958" s="11" t="n">
        <v>2</v>
      </c>
      <c r="C958" s="11" t="s">
        <v>166</v>
      </c>
      <c r="D958" s="93" t="n">
        <v>-145.98782</v>
      </c>
      <c r="E958" s="34" t="n">
        <v>-146</v>
      </c>
    </row>
    <row r="959" customFormat="false" ht="15" hidden="false" customHeight="false" outlineLevel="0" collapsed="false">
      <c r="A959" s="11" t="s">
        <v>1762</v>
      </c>
      <c r="B959" s="11" t="n">
        <v>1</v>
      </c>
      <c r="C959" s="11" t="s">
        <v>2398</v>
      </c>
      <c r="D959" s="93" t="n">
        <v>62.1848</v>
      </c>
      <c r="E959" s="34" t="n">
        <v>62.2</v>
      </c>
    </row>
    <row r="960" customFormat="false" ht="15" hidden="false" customHeight="false" outlineLevel="0" collapsed="false">
      <c r="A960" s="11" t="s">
        <v>1762</v>
      </c>
      <c r="B960" s="11" t="n">
        <v>2</v>
      </c>
      <c r="C960" s="11" t="s">
        <v>2351</v>
      </c>
      <c r="D960" s="93" t="n">
        <v>12</v>
      </c>
      <c r="E960" s="34" t="n">
        <v>12</v>
      </c>
    </row>
    <row r="961" customFormat="false" ht="15" hidden="false" customHeight="false" outlineLevel="0" collapsed="false">
      <c r="A961" s="11" t="s">
        <v>1762</v>
      </c>
      <c r="B961" s="11" t="n">
        <v>3</v>
      </c>
      <c r="C961" s="11" t="s">
        <v>2411</v>
      </c>
      <c r="D961" s="93" t="n">
        <v>11</v>
      </c>
      <c r="E961" s="34" t="n">
        <v>11</v>
      </c>
    </row>
    <row r="962" customFormat="false" ht="15" hidden="false" customHeight="false" outlineLevel="0" collapsed="false">
      <c r="A962" s="11" t="s">
        <v>1762</v>
      </c>
      <c r="B962" s="11" t="n">
        <v>4</v>
      </c>
      <c r="C962" s="11" t="s">
        <v>2392</v>
      </c>
      <c r="D962" s="93" t="n">
        <v>52.8383</v>
      </c>
      <c r="E962" s="34" t="n">
        <v>52.8</v>
      </c>
    </row>
    <row r="963" customFormat="false" ht="15" hidden="false" customHeight="false" outlineLevel="0" collapsed="false">
      <c r="A963" s="11" t="s">
        <v>1763</v>
      </c>
      <c r="B963" s="11" t="n">
        <v>1</v>
      </c>
      <c r="C963" s="11" t="s">
        <v>2398</v>
      </c>
      <c r="D963" s="93" t="n">
        <v>58.706</v>
      </c>
      <c r="E963" s="34" t="n">
        <v>58.7</v>
      </c>
    </row>
    <row r="964" customFormat="false" ht="15" hidden="false" customHeight="false" outlineLevel="0" collapsed="false">
      <c r="A964" s="11" t="s">
        <v>1763</v>
      </c>
      <c r="B964" s="11" t="n">
        <v>2</v>
      </c>
      <c r="C964" s="11" t="s">
        <v>2399</v>
      </c>
      <c r="D964" s="93" t="n">
        <v>7.671</v>
      </c>
      <c r="E964" s="34" t="n">
        <v>7.7</v>
      </c>
    </row>
    <row r="965" customFormat="false" ht="15" hidden="false" customHeight="false" outlineLevel="0" collapsed="false">
      <c r="A965" s="11" t="s">
        <v>1763</v>
      </c>
      <c r="B965" s="11" t="n">
        <v>3</v>
      </c>
      <c r="C965" s="11" t="s">
        <v>2403</v>
      </c>
      <c r="D965" s="93" t="n">
        <v>4.696</v>
      </c>
      <c r="E965" s="34" t="n">
        <v>4.7</v>
      </c>
    </row>
    <row r="966" customFormat="false" ht="15" hidden="false" customHeight="false" outlineLevel="0" collapsed="false">
      <c r="A966" s="11" t="s">
        <v>1764</v>
      </c>
      <c r="B966" s="11" t="n">
        <v>1</v>
      </c>
      <c r="C966" s="11" t="s">
        <v>2398</v>
      </c>
      <c r="D966" s="93" t="n">
        <v>3.4788</v>
      </c>
      <c r="E966" s="34" t="n">
        <v>3.5</v>
      </c>
    </row>
    <row r="967" customFormat="false" ht="15" hidden="false" customHeight="false" outlineLevel="0" collapsed="false">
      <c r="A967" s="11" t="s">
        <v>1764</v>
      </c>
      <c r="B967" s="11" t="n">
        <v>2</v>
      </c>
      <c r="C967" s="11" t="s">
        <v>1087</v>
      </c>
      <c r="D967" s="93" t="n">
        <v>0.9</v>
      </c>
      <c r="E967" s="34" t="n">
        <v>0.9</v>
      </c>
    </row>
    <row r="968" customFormat="false" ht="15" hidden="false" customHeight="false" outlineLevel="0" collapsed="false">
      <c r="A968" s="11" t="s">
        <v>1764</v>
      </c>
      <c r="B968" s="11" t="n">
        <v>3</v>
      </c>
      <c r="C968" s="11" t="s">
        <v>2399</v>
      </c>
      <c r="D968" s="93" t="n">
        <v>0.7479</v>
      </c>
      <c r="E968" s="34" t="n">
        <v>0.7</v>
      </c>
    </row>
    <row r="969" customFormat="false" ht="15" hidden="false" customHeight="false" outlineLevel="0" collapsed="false">
      <c r="A969" s="11" t="s">
        <v>1764</v>
      </c>
      <c r="B969" s="11" t="n">
        <v>4</v>
      </c>
      <c r="C969" s="11" t="s">
        <v>127</v>
      </c>
      <c r="D969" s="93" t="n">
        <v>0.2784</v>
      </c>
      <c r="E969" s="34" t="n">
        <v>0.3</v>
      </c>
    </row>
    <row r="970" customFormat="false" ht="15" hidden="false" customHeight="false" outlineLevel="0" collapsed="false">
      <c r="A970" s="11" t="s">
        <v>1765</v>
      </c>
      <c r="B970" s="11" t="n">
        <v>1</v>
      </c>
      <c r="C970" s="11" t="s">
        <v>1181</v>
      </c>
      <c r="D970" s="93" t="n">
        <v>10</v>
      </c>
      <c r="E970" s="34" t="n">
        <v>10</v>
      </c>
    </row>
    <row r="971" customFormat="false" ht="15" hidden="false" customHeight="false" outlineLevel="0" collapsed="false">
      <c r="A971" s="11" t="s">
        <v>1765</v>
      </c>
      <c r="B971" s="11" t="n">
        <v>2</v>
      </c>
      <c r="C971" s="11" t="s">
        <v>1198</v>
      </c>
      <c r="D971" s="93" t="n">
        <v>10</v>
      </c>
      <c r="E971" s="34" t="n">
        <v>10</v>
      </c>
    </row>
    <row r="972" customFormat="false" ht="15" hidden="false" customHeight="false" outlineLevel="0" collapsed="false">
      <c r="A972" s="11" t="s">
        <v>1765</v>
      </c>
      <c r="B972" s="11" t="n">
        <v>3</v>
      </c>
      <c r="C972" s="11" t="s">
        <v>2350</v>
      </c>
      <c r="D972" s="93" t="n">
        <v>7</v>
      </c>
      <c r="E972" s="34" t="n">
        <v>7</v>
      </c>
    </row>
    <row r="973" customFormat="false" ht="15" hidden="false" customHeight="false" outlineLevel="0" collapsed="false">
      <c r="A973" s="11" t="s">
        <v>1765</v>
      </c>
      <c r="B973" s="11" t="n">
        <v>4</v>
      </c>
      <c r="C973" s="11" t="s">
        <v>127</v>
      </c>
      <c r="D973" s="93" t="n">
        <v>5</v>
      </c>
      <c r="E973" s="34" t="n">
        <v>5</v>
      </c>
    </row>
    <row r="974" customFormat="false" ht="15" hidden="false" customHeight="false" outlineLevel="0" collapsed="false">
      <c r="A974" s="11" t="s">
        <v>1766</v>
      </c>
      <c r="B974" s="11" t="n">
        <v>1</v>
      </c>
      <c r="C974" s="11" t="s">
        <v>2411</v>
      </c>
      <c r="D974" s="93" t="n">
        <v>11</v>
      </c>
      <c r="E974" s="34" t="n">
        <v>11</v>
      </c>
    </row>
    <row r="975" customFormat="false" ht="15" hidden="false" customHeight="false" outlineLevel="0" collapsed="false">
      <c r="A975" s="11" t="s">
        <v>1766</v>
      </c>
      <c r="B975" s="11" t="n">
        <v>2</v>
      </c>
      <c r="C975" s="11" t="s">
        <v>2410</v>
      </c>
      <c r="D975" s="93" t="n">
        <v>6</v>
      </c>
      <c r="E975" s="34" t="n">
        <v>6</v>
      </c>
    </row>
    <row r="976" customFormat="false" ht="15" hidden="false" customHeight="false" outlineLevel="0" collapsed="false">
      <c r="A976" s="11" t="s">
        <v>1766</v>
      </c>
      <c r="B976" s="11" t="n">
        <v>3</v>
      </c>
      <c r="C976" s="11" t="s">
        <v>2412</v>
      </c>
      <c r="D976" s="93" t="n">
        <v>-3.455</v>
      </c>
      <c r="E976" s="34" t="n">
        <v>-3.5</v>
      </c>
    </row>
    <row r="977" customFormat="false" ht="15" hidden="false" customHeight="false" outlineLevel="0" collapsed="false">
      <c r="A977" s="11" t="s">
        <v>1766</v>
      </c>
      <c r="B977" s="11" t="n">
        <v>4</v>
      </c>
      <c r="C977" s="11" t="s">
        <v>102</v>
      </c>
      <c r="D977" s="93" t="n">
        <v>3</v>
      </c>
      <c r="E977" s="34" t="n">
        <v>3</v>
      </c>
    </row>
    <row r="978" customFormat="false" ht="15" hidden="false" customHeight="false" outlineLevel="0" collapsed="false">
      <c r="A978" s="11" t="s">
        <v>1767</v>
      </c>
      <c r="B978" s="11" t="n">
        <v>1</v>
      </c>
      <c r="C978" s="11" t="s">
        <v>2351</v>
      </c>
      <c r="D978" s="93" t="n">
        <v>12</v>
      </c>
      <c r="E978" s="34" t="n">
        <v>12</v>
      </c>
    </row>
    <row r="979" customFormat="false" ht="15" hidden="false" customHeight="false" outlineLevel="0" collapsed="false">
      <c r="A979" s="11" t="s">
        <v>1767</v>
      </c>
      <c r="B979" s="11" t="n">
        <v>2</v>
      </c>
      <c r="C979" s="11" t="s">
        <v>2430</v>
      </c>
      <c r="D979" s="93" t="n">
        <v>1</v>
      </c>
      <c r="E979" s="34" t="n">
        <v>1</v>
      </c>
    </row>
    <row r="980" customFormat="false" ht="15" hidden="false" customHeight="false" outlineLevel="0" collapsed="false">
      <c r="A980" s="11" t="s">
        <v>1768</v>
      </c>
      <c r="B980" s="11" t="n">
        <v>1</v>
      </c>
      <c r="C980" s="11" t="s">
        <v>91</v>
      </c>
      <c r="D980" s="93" t="n">
        <v>376.381</v>
      </c>
      <c r="E980" s="34" t="n">
        <v>376.4</v>
      </c>
    </row>
    <row r="981" customFormat="false" ht="15" hidden="false" customHeight="false" outlineLevel="0" collapsed="false">
      <c r="A981" s="11" t="s">
        <v>1768</v>
      </c>
      <c r="B981" s="11" t="n">
        <v>2</v>
      </c>
      <c r="C981" s="11" t="s">
        <v>166</v>
      </c>
      <c r="D981" s="93" t="n">
        <v>-145.98782</v>
      </c>
      <c r="E981" s="34" t="n">
        <v>-146</v>
      </c>
    </row>
    <row r="982" customFormat="false" ht="15" hidden="false" customHeight="false" outlineLevel="0" collapsed="false">
      <c r="A982" s="11" t="s">
        <v>1768</v>
      </c>
      <c r="B982" s="11" t="n">
        <v>3</v>
      </c>
      <c r="C982" s="11" t="s">
        <v>168</v>
      </c>
      <c r="D982" s="93" t="n">
        <v>-138.0231</v>
      </c>
      <c r="E982" s="34" t="n">
        <v>-138</v>
      </c>
    </row>
    <row r="983" customFormat="false" ht="15" hidden="false" customHeight="false" outlineLevel="0" collapsed="false">
      <c r="A983" s="11" t="s">
        <v>1769</v>
      </c>
      <c r="B983" s="11" t="n">
        <v>1</v>
      </c>
      <c r="C983" s="11" t="s">
        <v>2347</v>
      </c>
      <c r="D983" s="93" t="n">
        <v>4</v>
      </c>
      <c r="E983" s="34" t="n">
        <v>4</v>
      </c>
    </row>
    <row r="984" customFormat="false" ht="15" hidden="false" customHeight="false" outlineLevel="0" collapsed="false">
      <c r="A984" s="11" t="s">
        <v>1769</v>
      </c>
      <c r="B984" s="11" t="n">
        <v>2</v>
      </c>
      <c r="C984" s="11" t="s">
        <v>2344</v>
      </c>
      <c r="D984" s="93" t="n">
        <v>-3.2</v>
      </c>
      <c r="E984" s="34" t="n">
        <v>-3.2</v>
      </c>
    </row>
    <row r="985" customFormat="false" ht="15" hidden="false" customHeight="false" outlineLevel="0" collapsed="false">
      <c r="A985" s="11" t="s">
        <v>1769</v>
      </c>
      <c r="B985" s="11" t="n">
        <v>3</v>
      </c>
      <c r="C985" s="11" t="s">
        <v>2404</v>
      </c>
      <c r="D985" s="93" t="n">
        <v>2.49</v>
      </c>
      <c r="E985" s="34" t="n">
        <v>2.5</v>
      </c>
    </row>
    <row r="986" customFormat="false" ht="15" hidden="false" customHeight="false" outlineLevel="0" collapsed="false">
      <c r="A986" s="11" t="s">
        <v>1769</v>
      </c>
      <c r="B986" s="11" t="n">
        <v>4</v>
      </c>
      <c r="C986" s="11" t="s">
        <v>2343</v>
      </c>
      <c r="D986" s="93" t="n">
        <v>7.80833</v>
      </c>
      <c r="E986" s="34" t="n">
        <v>7.8</v>
      </c>
    </row>
    <row r="987" customFormat="false" ht="15" hidden="false" customHeight="false" outlineLevel="0" collapsed="false">
      <c r="A987" s="11" t="s">
        <v>1770</v>
      </c>
      <c r="B987" s="11" t="n">
        <v>1</v>
      </c>
      <c r="C987" s="11" t="s">
        <v>2344</v>
      </c>
      <c r="D987" s="93" t="n">
        <v>-3.2</v>
      </c>
      <c r="E987" s="34" t="n">
        <v>-3.2</v>
      </c>
    </row>
    <row r="988" customFormat="false" ht="15" hidden="false" customHeight="false" outlineLevel="0" collapsed="false">
      <c r="A988" s="11" t="s">
        <v>1770</v>
      </c>
      <c r="B988" s="11" t="n">
        <v>2</v>
      </c>
      <c r="C988" s="11" t="s">
        <v>2404</v>
      </c>
      <c r="D988" s="93" t="n">
        <v>2.49</v>
      </c>
      <c r="E988" s="34" t="n">
        <v>2.5</v>
      </c>
    </row>
    <row r="989" customFormat="false" ht="15" hidden="false" customHeight="false" outlineLevel="0" collapsed="false">
      <c r="A989" s="11" t="s">
        <v>1770</v>
      </c>
      <c r="B989" s="11" t="n">
        <v>3</v>
      </c>
      <c r="C989" s="11" t="s">
        <v>2345</v>
      </c>
      <c r="D989" s="93" t="n">
        <v>2.075</v>
      </c>
      <c r="E989" s="34" t="n">
        <v>2.1</v>
      </c>
    </row>
    <row r="990" customFormat="false" ht="15" hidden="false" customHeight="false" outlineLevel="0" collapsed="false">
      <c r="A990" s="11" t="s">
        <v>1770</v>
      </c>
      <c r="B990" s="11" t="n">
        <v>4</v>
      </c>
      <c r="C990" s="11" t="s">
        <v>109</v>
      </c>
      <c r="D990" s="93" t="n">
        <v>4.15</v>
      </c>
      <c r="E990" s="34" t="n">
        <v>4.1</v>
      </c>
    </row>
    <row r="991" customFormat="false" ht="15" hidden="false" customHeight="false" outlineLevel="0" collapsed="false">
      <c r="A991" s="11" t="s">
        <v>1771</v>
      </c>
      <c r="B991" s="11" t="n">
        <v>1</v>
      </c>
      <c r="C991" s="11" t="s">
        <v>2346</v>
      </c>
      <c r="D991" s="93" t="n">
        <v>1</v>
      </c>
      <c r="E991" s="34" t="n">
        <v>1</v>
      </c>
    </row>
    <row r="992" customFormat="false" ht="15" hidden="false" customHeight="false" outlineLevel="0" collapsed="false">
      <c r="A992" s="11" t="s">
        <v>1771</v>
      </c>
      <c r="B992" s="11" t="n">
        <v>2</v>
      </c>
      <c r="C992" s="11" t="s">
        <v>2405</v>
      </c>
      <c r="D992" s="93" t="n">
        <v>0.83333</v>
      </c>
      <c r="E992" s="34" t="n">
        <v>0.8</v>
      </c>
    </row>
    <row r="993" customFormat="false" ht="15" hidden="false" customHeight="false" outlineLevel="0" collapsed="false">
      <c r="A993" s="11" t="s">
        <v>1772</v>
      </c>
      <c r="B993" s="11" t="n">
        <v>1</v>
      </c>
      <c r="C993" s="11" t="s">
        <v>2347</v>
      </c>
      <c r="D993" s="93" t="n">
        <v>4</v>
      </c>
      <c r="E993" s="34" t="n">
        <v>4</v>
      </c>
    </row>
    <row r="994" customFormat="false" ht="15" hidden="false" customHeight="false" outlineLevel="0" collapsed="false">
      <c r="A994" s="11" t="s">
        <v>1772</v>
      </c>
      <c r="B994" s="11" t="n">
        <v>2</v>
      </c>
      <c r="C994" s="11" t="s">
        <v>2406</v>
      </c>
      <c r="D994" s="93" t="n">
        <v>-1.25</v>
      </c>
      <c r="E994" s="34" t="n">
        <v>-1.2</v>
      </c>
    </row>
    <row r="995" customFormat="false" ht="15" hidden="false" customHeight="false" outlineLevel="0" collapsed="false">
      <c r="A995" s="11" t="s">
        <v>1772</v>
      </c>
      <c r="B995" s="11" t="n">
        <v>3</v>
      </c>
      <c r="C995" s="11" t="s">
        <v>2407</v>
      </c>
      <c r="D995" s="93" t="n">
        <v>1</v>
      </c>
      <c r="E995" s="34" t="n">
        <v>1</v>
      </c>
    </row>
    <row r="996" customFormat="false" ht="15" hidden="false" customHeight="false" outlineLevel="0" collapsed="false">
      <c r="A996" s="11" t="s">
        <v>1773</v>
      </c>
      <c r="B996" s="11" t="n">
        <v>1</v>
      </c>
      <c r="C996" s="11" t="s">
        <v>2398</v>
      </c>
      <c r="D996" s="93" t="n">
        <v>59.3265</v>
      </c>
      <c r="E996" s="34" t="n">
        <v>59.3</v>
      </c>
    </row>
    <row r="997" customFormat="false" ht="15" hidden="false" customHeight="false" outlineLevel="0" collapsed="false">
      <c r="A997" s="11" t="s">
        <v>1773</v>
      </c>
      <c r="B997" s="11" t="n">
        <v>2</v>
      </c>
      <c r="C997" s="11" t="s">
        <v>2349</v>
      </c>
      <c r="D997" s="93" t="n">
        <v>8</v>
      </c>
      <c r="E997" s="34" t="n">
        <v>8</v>
      </c>
    </row>
    <row r="998" customFormat="false" ht="15" hidden="false" customHeight="false" outlineLevel="0" collapsed="false">
      <c r="A998" s="11" t="s">
        <v>1773</v>
      </c>
      <c r="B998" s="11" t="n">
        <v>3</v>
      </c>
      <c r="C998" s="11" t="s">
        <v>2399</v>
      </c>
      <c r="D998" s="93" t="n">
        <v>6.0585</v>
      </c>
      <c r="E998" s="34" t="n">
        <v>6</v>
      </c>
    </row>
    <row r="999" customFormat="false" ht="15" hidden="false" customHeight="false" outlineLevel="0" collapsed="false">
      <c r="A999" s="11" t="s">
        <v>1773</v>
      </c>
      <c r="B999" s="11" t="n">
        <v>4</v>
      </c>
      <c r="C999" s="11" t="s">
        <v>2419</v>
      </c>
      <c r="D999" s="93" t="n">
        <v>28.16342</v>
      </c>
      <c r="E999" s="34" t="n">
        <v>28.2</v>
      </c>
    </row>
    <row r="1000" customFormat="false" ht="15" hidden="false" customHeight="false" outlineLevel="0" collapsed="false">
      <c r="A1000" s="11" t="s">
        <v>1774</v>
      </c>
      <c r="B1000" s="11" t="n">
        <v>1</v>
      </c>
      <c r="C1000" s="11" t="s">
        <v>2398</v>
      </c>
      <c r="D1000" s="93" t="n">
        <v>59.3265</v>
      </c>
      <c r="E1000" s="34" t="n">
        <v>59.3</v>
      </c>
    </row>
    <row r="1001" customFormat="false" ht="15" hidden="false" customHeight="false" outlineLevel="0" collapsed="false">
      <c r="A1001" s="11" t="s">
        <v>1774</v>
      </c>
      <c r="B1001" s="11" t="n">
        <v>2</v>
      </c>
      <c r="C1001" s="11" t="s">
        <v>2399</v>
      </c>
      <c r="D1001" s="93" t="n">
        <v>6.0585</v>
      </c>
      <c r="E1001" s="34" t="n">
        <v>6.1</v>
      </c>
    </row>
    <row r="1002" customFormat="false" ht="15" hidden="false" customHeight="false" outlineLevel="0" collapsed="false">
      <c r="A1002" s="11" t="s">
        <v>1774</v>
      </c>
      <c r="B1002" s="11" t="n">
        <v>3</v>
      </c>
      <c r="C1002" s="11" t="s">
        <v>2403</v>
      </c>
      <c r="D1002" s="93" t="n">
        <v>4.74675</v>
      </c>
      <c r="E1002" s="34" t="n">
        <v>4.7</v>
      </c>
    </row>
    <row r="1003" customFormat="false" ht="15" hidden="false" customHeight="false" outlineLevel="0" collapsed="false">
      <c r="A1003" s="11" t="s">
        <v>1774</v>
      </c>
      <c r="B1003" s="11" t="n">
        <v>4</v>
      </c>
      <c r="C1003" s="11" t="s">
        <v>102</v>
      </c>
      <c r="D1003" s="93" t="n">
        <v>5.25</v>
      </c>
      <c r="E1003" s="34" t="n">
        <v>5.3</v>
      </c>
    </row>
    <row r="1004" customFormat="false" ht="15" hidden="false" customHeight="false" outlineLevel="0" collapsed="false">
      <c r="A1004" s="11" t="s">
        <v>1775</v>
      </c>
      <c r="B1004" s="11" t="n">
        <v>1</v>
      </c>
      <c r="C1004" s="11" t="s">
        <v>2349</v>
      </c>
      <c r="D1004" s="93" t="n">
        <v>8</v>
      </c>
      <c r="E1004" s="34" t="n">
        <v>8</v>
      </c>
    </row>
    <row r="1005" customFormat="false" ht="15" hidden="false" customHeight="false" outlineLevel="0" collapsed="false">
      <c r="A1005" s="11" t="s">
        <v>1775</v>
      </c>
      <c r="B1005" s="11" t="n">
        <v>2</v>
      </c>
      <c r="C1005" s="11" t="s">
        <v>2428</v>
      </c>
      <c r="D1005" s="93" t="n">
        <v>1</v>
      </c>
      <c r="E1005" s="34" t="n">
        <v>1</v>
      </c>
    </row>
    <row r="1006" customFormat="false" ht="15" hidden="false" customHeight="false" outlineLevel="0" collapsed="false">
      <c r="A1006" s="11" t="s">
        <v>1776</v>
      </c>
      <c r="B1006" s="11" t="n">
        <v>1</v>
      </c>
      <c r="C1006" s="11" t="s">
        <v>2404</v>
      </c>
      <c r="D1006" s="93" t="n">
        <v>2.25</v>
      </c>
      <c r="E1006" s="34" t="n">
        <v>2.2</v>
      </c>
    </row>
    <row r="1007" customFormat="false" ht="15" hidden="false" customHeight="false" outlineLevel="0" collapsed="false">
      <c r="A1007" s="11" t="s">
        <v>1776</v>
      </c>
      <c r="B1007" s="11" t="n">
        <v>2</v>
      </c>
      <c r="C1007" s="11" t="s">
        <v>2345</v>
      </c>
      <c r="D1007" s="93" t="n">
        <v>1.875</v>
      </c>
      <c r="E1007" s="34" t="n">
        <v>1.9</v>
      </c>
    </row>
    <row r="1008" customFormat="false" ht="15" hidden="false" customHeight="false" outlineLevel="0" collapsed="false">
      <c r="A1008" s="11" t="s">
        <v>1776</v>
      </c>
      <c r="B1008" s="11" t="n">
        <v>3</v>
      </c>
      <c r="C1008" s="11" t="s">
        <v>2408</v>
      </c>
      <c r="D1008" s="93" t="n">
        <v>1.5</v>
      </c>
      <c r="E1008" s="34" t="n">
        <v>1.5</v>
      </c>
    </row>
    <row r="1009" customFormat="false" ht="15" hidden="false" customHeight="false" outlineLevel="0" collapsed="false">
      <c r="A1009" s="11" t="s">
        <v>1776</v>
      </c>
      <c r="B1009" s="11" t="n">
        <v>4</v>
      </c>
      <c r="C1009" s="11" t="s">
        <v>102</v>
      </c>
      <c r="D1009" s="93" t="n">
        <v>2.25</v>
      </c>
      <c r="E1009" s="34" t="n">
        <v>2.3</v>
      </c>
    </row>
    <row r="1010" customFormat="false" ht="15" hidden="false" customHeight="false" outlineLevel="0" collapsed="false">
      <c r="A1010" s="11" t="s">
        <v>1777</v>
      </c>
      <c r="B1010" s="11" t="n">
        <v>1</v>
      </c>
      <c r="C1010" s="11" t="s">
        <v>2346</v>
      </c>
      <c r="D1010" s="93" t="n">
        <v>2</v>
      </c>
      <c r="E1010" s="34" t="n">
        <v>2</v>
      </c>
    </row>
    <row r="1011" customFormat="false" ht="15" hidden="false" customHeight="false" outlineLevel="0" collapsed="false">
      <c r="A1011" s="11" t="s">
        <v>1777</v>
      </c>
      <c r="B1011" s="11" t="n">
        <v>2</v>
      </c>
      <c r="C1011" s="11" t="s">
        <v>2405</v>
      </c>
      <c r="D1011" s="93" t="n">
        <v>1.66667</v>
      </c>
      <c r="E1011" s="34" t="n">
        <v>1.7</v>
      </c>
    </row>
    <row r="1012" customFormat="false" ht="15" hidden="false" customHeight="false" outlineLevel="0" collapsed="false">
      <c r="A1012" s="11" t="s">
        <v>1778</v>
      </c>
      <c r="B1012" s="11" t="n">
        <v>1</v>
      </c>
      <c r="C1012" s="11" t="s">
        <v>2347</v>
      </c>
      <c r="D1012" s="93" t="n">
        <v>6</v>
      </c>
      <c r="E1012" s="34" t="n">
        <v>6</v>
      </c>
    </row>
    <row r="1013" customFormat="false" ht="15" hidden="false" customHeight="false" outlineLevel="0" collapsed="false">
      <c r="A1013" s="11" t="s">
        <v>1778</v>
      </c>
      <c r="B1013" s="11" t="n">
        <v>2</v>
      </c>
      <c r="C1013" s="11" t="s">
        <v>2406</v>
      </c>
      <c r="D1013" s="93" t="n">
        <v>-1.875</v>
      </c>
      <c r="E1013" s="34" t="n">
        <v>-1.9</v>
      </c>
    </row>
    <row r="1014" customFormat="false" ht="15" hidden="false" customHeight="false" outlineLevel="0" collapsed="false">
      <c r="A1014" s="11" t="s">
        <v>1778</v>
      </c>
      <c r="B1014" s="11" t="n">
        <v>3</v>
      </c>
      <c r="C1014" s="11" t="s">
        <v>2407</v>
      </c>
      <c r="D1014" s="93" t="n">
        <v>1.5</v>
      </c>
      <c r="E1014" s="34" t="n">
        <v>1.5</v>
      </c>
    </row>
    <row r="1015" customFormat="false" ht="15" hidden="false" customHeight="false" outlineLevel="0" collapsed="false">
      <c r="A1015" s="11" t="s">
        <v>1779</v>
      </c>
      <c r="B1015" s="11" t="n">
        <v>1</v>
      </c>
      <c r="C1015" s="11" t="s">
        <v>2413</v>
      </c>
      <c r="D1015" s="93" t="n">
        <v>20</v>
      </c>
      <c r="E1015" s="34" t="n">
        <v>20</v>
      </c>
    </row>
    <row r="1016" customFormat="false" ht="15" hidden="false" customHeight="false" outlineLevel="0" collapsed="false">
      <c r="A1016" s="11" t="s">
        <v>1779</v>
      </c>
      <c r="B1016" s="11" t="n">
        <v>2</v>
      </c>
      <c r="C1016" s="11" t="s">
        <v>1190</v>
      </c>
      <c r="D1016" s="93" t="n">
        <v>10</v>
      </c>
      <c r="E1016" s="34" t="n">
        <v>10</v>
      </c>
    </row>
    <row r="1017" customFormat="false" ht="15" hidden="false" customHeight="false" outlineLevel="0" collapsed="false">
      <c r="A1017" s="11" t="s">
        <v>1779</v>
      </c>
      <c r="B1017" s="11" t="n">
        <v>3</v>
      </c>
      <c r="C1017" s="11" t="s">
        <v>2354</v>
      </c>
      <c r="D1017" s="93" t="n">
        <v>10</v>
      </c>
      <c r="E1017" s="34" t="n">
        <v>10</v>
      </c>
    </row>
    <row r="1018" customFormat="false" ht="15" hidden="false" customHeight="false" outlineLevel="0" collapsed="false">
      <c r="A1018" s="11" t="s">
        <v>1779</v>
      </c>
      <c r="B1018" s="11" t="n">
        <v>4</v>
      </c>
      <c r="C1018" s="11" t="s">
        <v>2348</v>
      </c>
      <c r="D1018" s="93" t="n">
        <v>8.70833</v>
      </c>
      <c r="E1018" s="34" t="n">
        <v>8.7</v>
      </c>
    </row>
    <row r="1019" customFormat="false" ht="15" hidden="false" customHeight="false" outlineLevel="0" collapsed="false">
      <c r="A1019" s="11" t="s">
        <v>1780</v>
      </c>
      <c r="B1019" s="11" t="n">
        <v>1</v>
      </c>
      <c r="C1019" s="11" t="s">
        <v>2413</v>
      </c>
      <c r="D1019" s="93" t="n">
        <v>20</v>
      </c>
      <c r="E1019" s="34" t="n">
        <v>20</v>
      </c>
    </row>
    <row r="1020" customFormat="false" ht="15" hidden="false" customHeight="false" outlineLevel="0" collapsed="false">
      <c r="A1020" s="11" t="s">
        <v>1780</v>
      </c>
      <c r="B1020" s="11" t="n">
        <v>2</v>
      </c>
      <c r="C1020" s="11" t="s">
        <v>1190</v>
      </c>
      <c r="D1020" s="93" t="n">
        <v>10</v>
      </c>
      <c r="E1020" s="34" t="n">
        <v>10</v>
      </c>
    </row>
    <row r="1021" customFormat="false" ht="15" hidden="false" customHeight="false" outlineLevel="0" collapsed="false">
      <c r="A1021" s="11" t="s">
        <v>1780</v>
      </c>
      <c r="B1021" s="11" t="n">
        <v>3</v>
      </c>
      <c r="C1021" s="11" t="s">
        <v>2354</v>
      </c>
      <c r="D1021" s="93" t="n">
        <v>10</v>
      </c>
      <c r="E1021" s="34" t="n">
        <v>10</v>
      </c>
    </row>
    <row r="1022" customFormat="false" ht="15" hidden="false" customHeight="false" outlineLevel="0" collapsed="false">
      <c r="A1022" s="11" t="s">
        <v>1780</v>
      </c>
      <c r="B1022" s="11" t="n">
        <v>4</v>
      </c>
      <c r="C1022" s="11" t="s">
        <v>102</v>
      </c>
      <c r="D1022" s="93" t="n">
        <v>5</v>
      </c>
      <c r="E1022" s="34" t="n">
        <v>5</v>
      </c>
    </row>
    <row r="1023" customFormat="false" ht="15" hidden="false" customHeight="false" outlineLevel="0" collapsed="false">
      <c r="A1023" s="11" t="s">
        <v>1781</v>
      </c>
      <c r="B1023" s="11" t="n">
        <v>1</v>
      </c>
      <c r="C1023" s="11" t="s">
        <v>2346</v>
      </c>
      <c r="D1023" s="93" t="n">
        <v>1</v>
      </c>
      <c r="E1023" s="34" t="n">
        <v>1</v>
      </c>
    </row>
    <row r="1024" customFormat="false" ht="15" hidden="false" customHeight="false" outlineLevel="0" collapsed="false">
      <c r="A1024" s="11" t="s">
        <v>1781</v>
      </c>
      <c r="B1024" s="11" t="n">
        <v>2</v>
      </c>
      <c r="C1024" s="11" t="s">
        <v>2405</v>
      </c>
      <c r="D1024" s="93" t="n">
        <v>0.83333</v>
      </c>
      <c r="E1024" s="34" t="n">
        <v>0.8</v>
      </c>
    </row>
    <row r="1025" customFormat="false" ht="15" hidden="false" customHeight="false" outlineLevel="0" collapsed="false">
      <c r="A1025" s="11" t="s">
        <v>1782</v>
      </c>
      <c r="B1025" s="11" t="n">
        <v>1</v>
      </c>
      <c r="C1025" s="11" t="s">
        <v>2347</v>
      </c>
      <c r="D1025" s="93" t="n">
        <v>2</v>
      </c>
      <c r="E1025" s="34" t="n">
        <v>2</v>
      </c>
    </row>
    <row r="1026" customFormat="false" ht="15" hidden="false" customHeight="false" outlineLevel="0" collapsed="false">
      <c r="A1026" s="11" t="s">
        <v>1782</v>
      </c>
      <c r="B1026" s="11" t="n">
        <v>2</v>
      </c>
      <c r="C1026" s="11" t="s">
        <v>2406</v>
      </c>
      <c r="D1026" s="93" t="n">
        <v>-0.625</v>
      </c>
      <c r="E1026" s="34" t="n">
        <v>-0.6</v>
      </c>
    </row>
    <row r="1027" customFormat="false" ht="15" hidden="false" customHeight="false" outlineLevel="0" collapsed="false">
      <c r="A1027" s="11" t="s">
        <v>1782</v>
      </c>
      <c r="B1027" s="11" t="n">
        <v>3</v>
      </c>
      <c r="C1027" s="11" t="s">
        <v>2407</v>
      </c>
      <c r="D1027" s="93" t="n">
        <v>0.5</v>
      </c>
      <c r="E1027" s="34" t="n">
        <v>0.5</v>
      </c>
    </row>
    <row r="1028" customFormat="false" ht="15" hidden="false" customHeight="false" outlineLevel="0" collapsed="false">
      <c r="A1028" s="11" t="s">
        <v>1783</v>
      </c>
      <c r="B1028" s="11" t="n">
        <v>1</v>
      </c>
      <c r="C1028" s="11" t="s">
        <v>157</v>
      </c>
      <c r="D1028" s="93" t="n">
        <v>101.54842</v>
      </c>
      <c r="E1028" s="34" t="n">
        <v>101.6</v>
      </c>
    </row>
    <row r="1029" customFormat="false" ht="15" hidden="false" customHeight="false" outlineLevel="0" collapsed="false">
      <c r="A1029" s="11" t="s">
        <v>1783</v>
      </c>
      <c r="B1029" s="11" t="n">
        <v>2</v>
      </c>
      <c r="C1029" s="11" t="s">
        <v>159</v>
      </c>
      <c r="D1029" s="93" t="n">
        <v>48.70833</v>
      </c>
      <c r="E1029" s="34" t="n">
        <v>48.7</v>
      </c>
    </row>
    <row r="1030" customFormat="false" ht="15" hidden="false" customHeight="false" outlineLevel="0" collapsed="false">
      <c r="A1030" s="11" t="s">
        <v>1783</v>
      </c>
      <c r="B1030" s="11" t="n">
        <v>3</v>
      </c>
      <c r="C1030" s="11" t="s">
        <v>170</v>
      </c>
      <c r="D1030" s="93" t="n">
        <v>11.09833</v>
      </c>
      <c r="E1030" s="34" t="n">
        <v>11.1</v>
      </c>
    </row>
    <row r="1031" customFormat="false" ht="15" hidden="false" customHeight="false" outlineLevel="0" collapsed="false">
      <c r="A1031" s="11" t="s">
        <v>1784</v>
      </c>
      <c r="B1031" s="11" t="n">
        <v>1</v>
      </c>
      <c r="C1031" s="11" t="s">
        <v>91</v>
      </c>
      <c r="D1031" s="93" t="n">
        <v>376.381</v>
      </c>
      <c r="E1031" s="34" t="n">
        <v>376.4</v>
      </c>
    </row>
    <row r="1032" customFormat="false" ht="15" hidden="false" customHeight="false" outlineLevel="0" collapsed="false">
      <c r="A1032" s="11" t="s">
        <v>1784</v>
      </c>
      <c r="B1032" s="11" t="n">
        <v>2</v>
      </c>
      <c r="C1032" s="11" t="s">
        <v>171</v>
      </c>
      <c r="D1032" s="93" t="n">
        <v>-161.35508</v>
      </c>
      <c r="E1032" s="34" t="n">
        <v>-161.4</v>
      </c>
    </row>
    <row r="1033" customFormat="false" ht="15" hidden="false" customHeight="false" outlineLevel="0" collapsed="false">
      <c r="A1033" s="11" t="s">
        <v>1784</v>
      </c>
      <c r="B1033" s="11" t="n">
        <v>3</v>
      </c>
      <c r="C1033" s="11" t="s">
        <v>166</v>
      </c>
      <c r="D1033" s="93" t="n">
        <v>-145.98782</v>
      </c>
      <c r="E1033" s="34" t="n">
        <v>-146</v>
      </c>
    </row>
    <row r="1034" customFormat="false" ht="15" hidden="false" customHeight="false" outlineLevel="0" collapsed="false">
      <c r="A1034" s="11" t="s">
        <v>1784</v>
      </c>
      <c r="B1034" s="11" t="n">
        <v>4</v>
      </c>
      <c r="C1034" s="11" t="s">
        <v>127</v>
      </c>
      <c r="D1034" s="93" t="n">
        <v>-138.0231</v>
      </c>
      <c r="E1034" s="34" t="n">
        <v>-138</v>
      </c>
    </row>
    <row r="1035" customFormat="false" ht="15" hidden="false" customHeight="false" outlineLevel="0" collapsed="false">
      <c r="A1035" s="11" t="s">
        <v>1785</v>
      </c>
      <c r="B1035" s="11" t="n">
        <v>1</v>
      </c>
      <c r="C1035" s="11" t="s">
        <v>2357</v>
      </c>
      <c r="D1035" s="93" t="n">
        <v>-3</v>
      </c>
      <c r="E1035" s="34" t="n">
        <v>-3</v>
      </c>
    </row>
    <row r="1036" customFormat="false" ht="15" hidden="false" customHeight="false" outlineLevel="0" collapsed="false">
      <c r="A1036" s="11" t="s">
        <v>1786</v>
      </c>
      <c r="B1036" s="11" t="n">
        <v>1</v>
      </c>
      <c r="C1036" s="11" t="s">
        <v>2414</v>
      </c>
      <c r="D1036" s="93" t="n">
        <v>-2</v>
      </c>
      <c r="E1036" s="34" t="n">
        <v>-2</v>
      </c>
    </row>
    <row r="1037" customFormat="false" ht="15" hidden="false" customHeight="false" outlineLevel="0" collapsed="false">
      <c r="A1037" s="11" t="s">
        <v>1787</v>
      </c>
      <c r="B1037" s="11" t="n">
        <v>1</v>
      </c>
      <c r="C1037" s="11" t="s">
        <v>2358</v>
      </c>
      <c r="D1037" s="93" t="n">
        <v>14</v>
      </c>
      <c r="E1037" s="34" t="n">
        <v>14</v>
      </c>
    </row>
    <row r="1038" customFormat="false" ht="15" hidden="false" customHeight="false" outlineLevel="0" collapsed="false">
      <c r="A1038" s="11" t="s">
        <v>1787</v>
      </c>
      <c r="B1038" s="11" t="n">
        <v>2</v>
      </c>
      <c r="C1038" s="11" t="s">
        <v>2359</v>
      </c>
      <c r="D1038" s="93" t="n">
        <v>2</v>
      </c>
      <c r="E1038" s="34" t="n">
        <v>2</v>
      </c>
    </row>
    <row r="1039" customFormat="false" ht="15" hidden="false" customHeight="false" outlineLevel="0" collapsed="false">
      <c r="A1039" s="11" t="s">
        <v>1788</v>
      </c>
      <c r="B1039" s="11" t="n">
        <v>1</v>
      </c>
      <c r="C1039" s="11" t="s">
        <v>91</v>
      </c>
      <c r="D1039" s="93" t="n">
        <v>376.381</v>
      </c>
      <c r="E1039" s="34" t="n">
        <v>376.4</v>
      </c>
    </row>
    <row r="1040" customFormat="false" ht="15" hidden="false" customHeight="false" outlineLevel="0" collapsed="false">
      <c r="A1040" s="11" t="s">
        <v>1788</v>
      </c>
      <c r="B1040" s="11" t="n">
        <v>2</v>
      </c>
      <c r="C1040" s="11" t="s">
        <v>171</v>
      </c>
      <c r="D1040" s="93" t="n">
        <v>-161.35508</v>
      </c>
      <c r="E1040" s="34" t="n">
        <v>-161.4</v>
      </c>
    </row>
    <row r="1041" customFormat="false" ht="15" hidden="false" customHeight="false" outlineLevel="0" collapsed="false">
      <c r="A1041" s="11" t="s">
        <v>1788</v>
      </c>
      <c r="B1041" s="11" t="n">
        <v>3</v>
      </c>
      <c r="C1041" s="11" t="s">
        <v>166</v>
      </c>
      <c r="D1041" s="93" t="n">
        <v>-145.98782</v>
      </c>
      <c r="E1041" s="34" t="n">
        <v>-146</v>
      </c>
    </row>
    <row r="1042" customFormat="false" ht="15" hidden="false" customHeight="false" outlineLevel="0" collapsed="false">
      <c r="A1042" s="11" t="s">
        <v>1788</v>
      </c>
      <c r="B1042" s="11" t="n">
        <v>4</v>
      </c>
      <c r="C1042" s="11" t="s">
        <v>2356</v>
      </c>
      <c r="D1042" s="93" t="n">
        <v>-155.0231</v>
      </c>
      <c r="E1042" s="34" t="n">
        <v>-155</v>
      </c>
    </row>
    <row r="1043" customFormat="false" ht="15" hidden="false" customHeight="false" outlineLevel="0" collapsed="false">
      <c r="A1043" s="11" t="s">
        <v>1789</v>
      </c>
      <c r="B1043" s="11" t="n">
        <v>1</v>
      </c>
      <c r="C1043" s="11" t="s">
        <v>2336</v>
      </c>
      <c r="D1043" s="93" t="n">
        <v>381.742</v>
      </c>
      <c r="E1043" s="34" t="n">
        <v>381.8</v>
      </c>
    </row>
    <row r="1044" customFormat="false" ht="15" hidden="false" customHeight="false" outlineLevel="0" collapsed="false">
      <c r="A1044" s="11" t="s">
        <v>1789</v>
      </c>
      <c r="B1044" s="11" t="n">
        <v>2</v>
      </c>
      <c r="C1044" s="11" t="s">
        <v>2337</v>
      </c>
      <c r="D1044" s="93" t="n">
        <v>-145.778</v>
      </c>
      <c r="E1044" s="34" t="n">
        <v>-145.8</v>
      </c>
    </row>
    <row r="1045" customFormat="false" ht="15" hidden="false" customHeight="false" outlineLevel="0" collapsed="false">
      <c r="A1045" s="11" t="s">
        <v>1789</v>
      </c>
      <c r="B1045" s="11" t="n">
        <v>3</v>
      </c>
      <c r="C1045" s="11" t="s">
        <v>2339</v>
      </c>
      <c r="D1045" s="93" t="n">
        <v>85</v>
      </c>
      <c r="E1045" s="34" t="n">
        <v>85</v>
      </c>
    </row>
    <row r="1046" customFormat="false" ht="15" hidden="false" customHeight="false" outlineLevel="0" collapsed="false">
      <c r="A1046" s="11" t="s">
        <v>1789</v>
      </c>
      <c r="B1046" s="11" t="n">
        <v>4</v>
      </c>
      <c r="C1046" s="11" t="s">
        <v>2348</v>
      </c>
      <c r="D1046" s="93" t="n">
        <v>55.417</v>
      </c>
      <c r="E1046" s="34" t="n">
        <v>55.4</v>
      </c>
    </row>
    <row r="1047" customFormat="false" ht="15" hidden="false" customHeight="false" outlineLevel="0" collapsed="false">
      <c r="A1047" s="11" t="s">
        <v>1790</v>
      </c>
      <c r="B1047" s="11" t="n">
        <v>1</v>
      </c>
      <c r="C1047" s="11" t="s">
        <v>2336</v>
      </c>
      <c r="D1047" s="93" t="n">
        <v>381.742</v>
      </c>
      <c r="E1047" s="34" t="n">
        <v>381.7</v>
      </c>
    </row>
    <row r="1048" customFormat="false" ht="15" hidden="false" customHeight="false" outlineLevel="0" collapsed="false">
      <c r="A1048" s="11" t="s">
        <v>1790</v>
      </c>
      <c r="B1048" s="11" t="n">
        <v>2</v>
      </c>
      <c r="C1048" s="11" t="s">
        <v>2337</v>
      </c>
      <c r="D1048" s="93" t="n">
        <v>-145.778</v>
      </c>
      <c r="E1048" s="34" t="n">
        <v>-145.8</v>
      </c>
    </row>
    <row r="1049" customFormat="false" ht="15" hidden="false" customHeight="false" outlineLevel="0" collapsed="false">
      <c r="A1049" s="11" t="s">
        <v>1790</v>
      </c>
      <c r="B1049" s="11" t="n">
        <v>3</v>
      </c>
      <c r="C1049" s="11" t="s">
        <v>2397</v>
      </c>
      <c r="D1049" s="93" t="n">
        <v>82.772</v>
      </c>
      <c r="E1049" s="34" t="n">
        <v>82.8</v>
      </c>
    </row>
    <row r="1050" customFormat="false" ht="15" hidden="false" customHeight="false" outlineLevel="0" collapsed="false">
      <c r="A1050" s="11" t="s">
        <v>1790</v>
      </c>
      <c r="B1050" s="11" t="n">
        <v>4</v>
      </c>
      <c r="C1050" s="11" t="s">
        <v>127</v>
      </c>
      <c r="D1050" s="93" t="n">
        <v>-12.355</v>
      </c>
      <c r="E1050" s="34" t="n">
        <v>-12.3</v>
      </c>
    </row>
    <row r="1051" customFormat="false" ht="15" hidden="false" customHeight="false" outlineLevel="0" collapsed="false">
      <c r="A1051" s="11" t="s">
        <v>1791</v>
      </c>
      <c r="B1051" s="11" t="n">
        <v>1</v>
      </c>
      <c r="C1051" s="11" t="s">
        <v>2339</v>
      </c>
      <c r="D1051" s="93" t="n">
        <v>85</v>
      </c>
      <c r="E1051" s="34" t="n">
        <v>85</v>
      </c>
    </row>
    <row r="1052" customFormat="false" ht="15" hidden="false" customHeight="false" outlineLevel="0" collapsed="false">
      <c r="A1052" s="11" t="s">
        <v>1791</v>
      </c>
      <c r="B1052" s="11" t="n">
        <v>2</v>
      </c>
      <c r="C1052" s="11" t="s">
        <v>2426</v>
      </c>
      <c r="D1052" s="93" t="n">
        <v>-55</v>
      </c>
      <c r="E1052" s="34" t="n">
        <v>-55</v>
      </c>
    </row>
    <row r="1053" customFormat="false" ht="15" hidden="false" customHeight="false" outlineLevel="0" collapsed="false">
      <c r="A1053" s="11" t="s">
        <v>1791</v>
      </c>
      <c r="B1053" s="11" t="n">
        <v>3</v>
      </c>
      <c r="C1053" s="11" t="s">
        <v>2340</v>
      </c>
      <c r="D1053" s="93" t="n">
        <v>50</v>
      </c>
      <c r="E1053" s="34" t="n">
        <v>50</v>
      </c>
    </row>
    <row r="1054" customFormat="false" ht="15" hidden="false" customHeight="false" outlineLevel="0" collapsed="false">
      <c r="A1054" s="11" t="s">
        <v>1791</v>
      </c>
      <c r="B1054" s="11" t="n">
        <v>4</v>
      </c>
      <c r="C1054" s="11" t="s">
        <v>109</v>
      </c>
      <c r="D1054" s="93" t="n">
        <v>-10</v>
      </c>
      <c r="E1054" s="34" t="n">
        <v>-10</v>
      </c>
    </row>
    <row r="1055" customFormat="false" ht="15" hidden="false" customHeight="false" outlineLevel="0" collapsed="false">
      <c r="A1055" s="11" t="s">
        <v>1792</v>
      </c>
      <c r="B1055" s="11" t="n">
        <v>1</v>
      </c>
      <c r="C1055" s="11" t="s">
        <v>2398</v>
      </c>
      <c r="D1055" s="93" t="n">
        <v>191.775</v>
      </c>
      <c r="E1055" s="34" t="n">
        <v>191.8</v>
      </c>
    </row>
    <row r="1056" customFormat="false" ht="15" hidden="false" customHeight="false" outlineLevel="0" collapsed="false">
      <c r="A1056" s="11" t="s">
        <v>1792</v>
      </c>
      <c r="B1056" s="11" t="n">
        <v>2</v>
      </c>
      <c r="C1056" s="11" t="s">
        <v>2399</v>
      </c>
      <c r="D1056" s="93" t="n">
        <v>26.704</v>
      </c>
      <c r="E1056" s="34" t="n">
        <v>26.7</v>
      </c>
    </row>
    <row r="1057" customFormat="false" ht="15" hidden="false" customHeight="false" outlineLevel="0" collapsed="false">
      <c r="A1057" s="11" t="s">
        <v>1792</v>
      </c>
      <c r="B1057" s="11" t="n">
        <v>3</v>
      </c>
      <c r="C1057" s="11" t="s">
        <v>2403</v>
      </c>
      <c r="D1057" s="93" t="n">
        <v>15.342</v>
      </c>
      <c r="E1057" s="34" t="n">
        <v>15.3</v>
      </c>
    </row>
    <row r="1058" customFormat="false" ht="15" hidden="false" customHeight="false" outlineLevel="0" collapsed="false">
      <c r="A1058" s="11" t="s">
        <v>1792</v>
      </c>
      <c r="B1058" s="11" t="n">
        <v>4</v>
      </c>
      <c r="C1058" s="11" t="s">
        <v>102</v>
      </c>
      <c r="D1058" s="93" t="n">
        <v>10</v>
      </c>
      <c r="E1058" s="34" t="n">
        <v>10</v>
      </c>
    </row>
    <row r="1059" customFormat="false" ht="15" hidden="false" customHeight="false" outlineLevel="0" collapsed="false">
      <c r="A1059" s="11" t="s">
        <v>1793</v>
      </c>
      <c r="B1059" s="11" t="n">
        <v>1</v>
      </c>
      <c r="C1059" s="11" t="s">
        <v>2398</v>
      </c>
      <c r="D1059" s="93" t="n">
        <v>79.102</v>
      </c>
      <c r="E1059" s="34" t="n">
        <v>79.1</v>
      </c>
    </row>
    <row r="1060" customFormat="false" ht="15" hidden="false" customHeight="false" outlineLevel="0" collapsed="false">
      <c r="A1060" s="11" t="s">
        <v>1793</v>
      </c>
      <c r="B1060" s="11" t="n">
        <v>2</v>
      </c>
      <c r="C1060" s="11" t="s">
        <v>2399</v>
      </c>
      <c r="D1060" s="93" t="n">
        <v>8.078</v>
      </c>
      <c r="E1060" s="34" t="n">
        <v>8.1</v>
      </c>
    </row>
    <row r="1061" customFormat="false" ht="15" hidden="false" customHeight="false" outlineLevel="0" collapsed="false">
      <c r="A1061" s="11" t="s">
        <v>1793</v>
      </c>
      <c r="B1061" s="11" t="n">
        <v>3</v>
      </c>
      <c r="C1061" s="11" t="s">
        <v>2403</v>
      </c>
      <c r="D1061" s="93" t="n">
        <v>6.329</v>
      </c>
      <c r="E1061" s="34" t="n">
        <v>6.3</v>
      </c>
    </row>
    <row r="1062" customFormat="false" ht="15" hidden="false" customHeight="false" outlineLevel="0" collapsed="false">
      <c r="A1062" s="11" t="s">
        <v>1793</v>
      </c>
      <c r="B1062" s="11" t="n">
        <v>4</v>
      </c>
      <c r="C1062" s="11" t="s">
        <v>102</v>
      </c>
      <c r="D1062" s="93" t="n">
        <v>7</v>
      </c>
      <c r="E1062" s="34" t="n">
        <v>7</v>
      </c>
    </row>
    <row r="1063" customFormat="false" ht="15" hidden="false" customHeight="false" outlineLevel="0" collapsed="false">
      <c r="A1063" s="11" t="s">
        <v>1794</v>
      </c>
      <c r="B1063" s="11" t="n">
        <v>1</v>
      </c>
      <c r="C1063" s="11" t="s">
        <v>2398</v>
      </c>
      <c r="D1063" s="93" t="n">
        <v>11.596</v>
      </c>
      <c r="E1063" s="34" t="n">
        <v>11.6</v>
      </c>
    </row>
    <row r="1064" customFormat="false" ht="15" hidden="false" customHeight="false" outlineLevel="0" collapsed="false">
      <c r="A1064" s="11" t="s">
        <v>1794</v>
      </c>
      <c r="B1064" s="11" t="n">
        <v>2</v>
      </c>
      <c r="C1064" s="11" t="s">
        <v>1087</v>
      </c>
      <c r="D1064" s="93" t="n">
        <v>3</v>
      </c>
      <c r="E1064" s="34" t="n">
        <v>3</v>
      </c>
    </row>
    <row r="1065" customFormat="false" ht="15" hidden="false" customHeight="false" outlineLevel="0" collapsed="false">
      <c r="A1065" s="11" t="s">
        <v>1794</v>
      </c>
      <c r="B1065" s="11" t="n">
        <v>3</v>
      </c>
      <c r="C1065" s="11" t="s">
        <v>2399</v>
      </c>
      <c r="D1065" s="93" t="n">
        <v>2.493</v>
      </c>
      <c r="E1065" s="34" t="n">
        <v>2.5</v>
      </c>
    </row>
    <row r="1066" customFormat="false" ht="15" hidden="false" customHeight="false" outlineLevel="0" collapsed="false">
      <c r="A1066" s="11" t="s">
        <v>1794</v>
      </c>
      <c r="B1066" s="11" t="n">
        <v>4</v>
      </c>
      <c r="C1066" s="11" t="s">
        <v>127</v>
      </c>
      <c r="D1066" s="93" t="n">
        <v>0.928</v>
      </c>
      <c r="E1066" s="34" t="n">
        <v>0.9</v>
      </c>
    </row>
    <row r="1067" customFormat="false" ht="15" hidden="false" customHeight="false" outlineLevel="0" collapsed="false">
      <c r="A1067" s="11" t="s">
        <v>1795</v>
      </c>
      <c r="B1067" s="11" t="n">
        <v>1</v>
      </c>
      <c r="C1067" s="11" t="s">
        <v>2398</v>
      </c>
      <c r="D1067" s="93" t="n">
        <v>29.392</v>
      </c>
      <c r="E1067" s="34" t="n">
        <v>29.4</v>
      </c>
    </row>
    <row r="1068" customFormat="false" ht="15" hidden="false" customHeight="false" outlineLevel="0" collapsed="false">
      <c r="A1068" s="11" t="s">
        <v>1795</v>
      </c>
      <c r="B1068" s="11" t="n">
        <v>2</v>
      </c>
      <c r="C1068" s="11" t="s">
        <v>2399</v>
      </c>
      <c r="D1068" s="93" t="n">
        <v>6.074</v>
      </c>
      <c r="E1068" s="34" t="n">
        <v>6.1</v>
      </c>
    </row>
    <row r="1069" customFormat="false" ht="15" hidden="false" customHeight="false" outlineLevel="0" collapsed="false">
      <c r="A1069" s="11" t="s">
        <v>1795</v>
      </c>
      <c r="B1069" s="11" t="n">
        <v>3</v>
      </c>
      <c r="C1069" s="11" t="s">
        <v>2403</v>
      </c>
      <c r="D1069" s="93" t="n">
        <v>2.351</v>
      </c>
      <c r="E1069" s="34" t="n">
        <v>2.3</v>
      </c>
    </row>
    <row r="1070" customFormat="false" ht="15" hidden="false" customHeight="false" outlineLevel="0" collapsed="false">
      <c r="A1070" s="11" t="s">
        <v>1796</v>
      </c>
      <c r="B1070" s="11" t="n">
        <v>1</v>
      </c>
      <c r="C1070" s="11" t="s">
        <v>2398</v>
      </c>
      <c r="D1070" s="93" t="n">
        <v>12.979</v>
      </c>
      <c r="E1070" s="34" t="n">
        <v>13</v>
      </c>
    </row>
    <row r="1071" customFormat="false" ht="15" hidden="false" customHeight="false" outlineLevel="0" collapsed="false">
      <c r="A1071" s="11" t="s">
        <v>1796</v>
      </c>
      <c r="B1071" s="11" t="n">
        <v>2</v>
      </c>
      <c r="C1071" s="11" t="s">
        <v>2399</v>
      </c>
      <c r="D1071" s="93" t="n">
        <v>2.388</v>
      </c>
      <c r="E1071" s="34" t="n">
        <v>2.4</v>
      </c>
    </row>
    <row r="1072" customFormat="false" ht="15" hidden="false" customHeight="false" outlineLevel="0" collapsed="false">
      <c r="A1072" s="11" t="s">
        <v>1796</v>
      </c>
      <c r="B1072" s="11" t="n">
        <v>3</v>
      </c>
      <c r="C1072" s="11" t="s">
        <v>2403</v>
      </c>
      <c r="D1072" s="93" t="n">
        <v>1.038</v>
      </c>
      <c r="E1072" s="34" t="n">
        <v>1</v>
      </c>
    </row>
    <row r="1073" customFormat="false" ht="15" hidden="false" customHeight="false" outlineLevel="0" collapsed="false">
      <c r="A1073" s="11" t="s">
        <v>1797</v>
      </c>
      <c r="B1073" s="11" t="n">
        <v>1</v>
      </c>
      <c r="C1073" s="11" t="s">
        <v>2398</v>
      </c>
      <c r="D1073" s="93" t="n">
        <v>58.706</v>
      </c>
      <c r="E1073" s="34" t="n">
        <v>58.7</v>
      </c>
    </row>
    <row r="1074" customFormat="false" ht="15" hidden="false" customHeight="false" outlineLevel="0" collapsed="false">
      <c r="A1074" s="11" t="s">
        <v>1797</v>
      </c>
      <c r="B1074" s="11" t="n">
        <v>2</v>
      </c>
      <c r="C1074" s="11" t="s">
        <v>2399</v>
      </c>
      <c r="D1074" s="93" t="n">
        <v>7.671</v>
      </c>
      <c r="E1074" s="34" t="n">
        <v>7.7</v>
      </c>
    </row>
    <row r="1075" customFormat="false" ht="15" hidden="false" customHeight="false" outlineLevel="0" collapsed="false">
      <c r="A1075" s="11" t="s">
        <v>1797</v>
      </c>
      <c r="B1075" s="11" t="n">
        <v>3</v>
      </c>
      <c r="C1075" s="11" t="s">
        <v>2403</v>
      </c>
      <c r="D1075" s="93" t="n">
        <v>4.696</v>
      </c>
      <c r="E1075" s="34" t="n">
        <v>4.7</v>
      </c>
    </row>
    <row r="1076" customFormat="false" ht="15" hidden="false" customHeight="false" outlineLevel="0" collapsed="false">
      <c r="A1076" s="11" t="s">
        <v>1798</v>
      </c>
      <c r="B1076" s="11" t="n">
        <v>1</v>
      </c>
      <c r="C1076" s="11" t="s">
        <v>2342</v>
      </c>
      <c r="D1076" s="93" t="n">
        <v>36</v>
      </c>
      <c r="E1076" s="34" t="n">
        <v>36</v>
      </c>
    </row>
    <row r="1077" customFormat="false" ht="15" hidden="false" customHeight="false" outlineLevel="0" collapsed="false">
      <c r="A1077" s="11" t="s">
        <v>1798</v>
      </c>
      <c r="B1077" s="11" t="n">
        <v>2</v>
      </c>
      <c r="C1077" s="11" t="s">
        <v>2351</v>
      </c>
      <c r="D1077" s="93" t="n">
        <v>12</v>
      </c>
      <c r="E1077" s="34" t="n">
        <v>12</v>
      </c>
    </row>
    <row r="1078" customFormat="false" ht="15" hidden="false" customHeight="false" outlineLevel="0" collapsed="false">
      <c r="A1078" s="11" t="s">
        <v>1798</v>
      </c>
      <c r="B1078" s="11" t="n">
        <v>3</v>
      </c>
      <c r="C1078" s="11" t="s">
        <v>2349</v>
      </c>
      <c r="D1078" s="93" t="n">
        <v>8</v>
      </c>
      <c r="E1078" s="34" t="n">
        <v>8</v>
      </c>
    </row>
    <row r="1079" customFormat="false" ht="15" hidden="false" customHeight="false" outlineLevel="0" collapsed="false">
      <c r="A1079" s="11" t="s">
        <v>1798</v>
      </c>
      <c r="B1079" s="11" t="n">
        <v>4</v>
      </c>
      <c r="C1079" s="11" t="s">
        <v>2431</v>
      </c>
      <c r="D1079" s="93" t="n">
        <v>26</v>
      </c>
      <c r="E1079" s="34" t="n">
        <v>26</v>
      </c>
    </row>
    <row r="1080" customFormat="false" ht="15" hidden="false" customHeight="false" outlineLevel="0" collapsed="false">
      <c r="A1080" s="11" t="s">
        <v>1799</v>
      </c>
      <c r="B1080" s="11" t="n">
        <v>1</v>
      </c>
      <c r="C1080" s="11" t="s">
        <v>2342</v>
      </c>
      <c r="D1080" s="93" t="n">
        <v>36</v>
      </c>
      <c r="E1080" s="34" t="n">
        <v>36</v>
      </c>
    </row>
    <row r="1081" customFormat="false" ht="15" hidden="false" customHeight="false" outlineLevel="0" collapsed="false">
      <c r="A1081" s="11" t="s">
        <v>1799</v>
      </c>
      <c r="B1081" s="11" t="n">
        <v>2</v>
      </c>
      <c r="C1081" s="11" t="s">
        <v>2351</v>
      </c>
      <c r="D1081" s="93" t="n">
        <v>12</v>
      </c>
      <c r="E1081" s="34" t="n">
        <v>12</v>
      </c>
    </row>
    <row r="1082" customFormat="false" ht="15" hidden="false" customHeight="false" outlineLevel="0" collapsed="false">
      <c r="A1082" s="11" t="s">
        <v>1799</v>
      </c>
      <c r="B1082" s="11" t="n">
        <v>3</v>
      </c>
      <c r="C1082" s="11" t="s">
        <v>2349</v>
      </c>
      <c r="D1082" s="93" t="n">
        <v>8</v>
      </c>
      <c r="E1082" s="34" t="n">
        <v>8</v>
      </c>
    </row>
    <row r="1083" customFormat="false" ht="15" hidden="false" customHeight="false" outlineLevel="0" collapsed="false">
      <c r="A1083" s="11" t="s">
        <v>1799</v>
      </c>
      <c r="B1083" s="11" t="n">
        <v>4</v>
      </c>
      <c r="C1083" s="11" t="s">
        <v>2356</v>
      </c>
      <c r="D1083" s="93" t="n">
        <v>5</v>
      </c>
      <c r="E1083" s="34" t="n">
        <v>5</v>
      </c>
    </row>
    <row r="1084" customFormat="false" ht="15" hidden="false" customHeight="false" outlineLevel="0" collapsed="false">
      <c r="A1084" s="11" t="s">
        <v>1800</v>
      </c>
      <c r="B1084" s="11" t="n">
        <v>1</v>
      </c>
      <c r="C1084" s="11" t="s">
        <v>2404</v>
      </c>
      <c r="D1084" s="93" t="n">
        <v>6</v>
      </c>
      <c r="E1084" s="34" t="n">
        <v>6</v>
      </c>
    </row>
    <row r="1085" customFormat="false" ht="15" hidden="false" customHeight="false" outlineLevel="0" collapsed="false">
      <c r="A1085" s="11" t="s">
        <v>1800</v>
      </c>
      <c r="B1085" s="11" t="n">
        <v>2</v>
      </c>
      <c r="C1085" s="11" t="s">
        <v>2345</v>
      </c>
      <c r="D1085" s="93" t="n">
        <v>5</v>
      </c>
      <c r="E1085" s="34" t="n">
        <v>5</v>
      </c>
    </row>
    <row r="1086" customFormat="false" ht="15" hidden="false" customHeight="false" outlineLevel="0" collapsed="false">
      <c r="A1086" s="11" t="s">
        <v>1800</v>
      </c>
      <c r="B1086" s="11" t="n">
        <v>3</v>
      </c>
      <c r="C1086" s="11" t="s">
        <v>2408</v>
      </c>
      <c r="D1086" s="93" t="n">
        <v>4</v>
      </c>
      <c r="E1086" s="34" t="n">
        <v>4</v>
      </c>
    </row>
    <row r="1087" customFormat="false" ht="15" hidden="false" customHeight="false" outlineLevel="0" collapsed="false">
      <c r="A1087" s="11" t="s">
        <v>1800</v>
      </c>
      <c r="B1087" s="11" t="n">
        <v>4</v>
      </c>
      <c r="C1087" s="11" t="s">
        <v>102</v>
      </c>
      <c r="D1087" s="93" t="n">
        <v>6</v>
      </c>
      <c r="E1087" s="34" t="n">
        <v>6</v>
      </c>
    </row>
    <row r="1088" customFormat="false" ht="15" hidden="false" customHeight="false" outlineLevel="0" collapsed="false">
      <c r="A1088" s="11" t="s">
        <v>1801</v>
      </c>
      <c r="B1088" s="11" t="n">
        <v>1</v>
      </c>
      <c r="C1088" s="11" t="s">
        <v>2413</v>
      </c>
      <c r="D1088" s="93" t="n">
        <v>20</v>
      </c>
      <c r="E1088" s="34" t="n">
        <v>20</v>
      </c>
    </row>
    <row r="1089" customFormat="false" ht="15" hidden="false" customHeight="false" outlineLevel="0" collapsed="false">
      <c r="A1089" s="11" t="s">
        <v>1801</v>
      </c>
      <c r="B1089" s="11" t="n">
        <v>2</v>
      </c>
      <c r="C1089" s="11" t="s">
        <v>1190</v>
      </c>
      <c r="D1089" s="93" t="n">
        <v>10</v>
      </c>
      <c r="E1089" s="34" t="n">
        <v>10</v>
      </c>
    </row>
    <row r="1090" customFormat="false" ht="15" hidden="false" customHeight="false" outlineLevel="0" collapsed="false">
      <c r="A1090" s="11" t="s">
        <v>1801</v>
      </c>
      <c r="B1090" s="11" t="n">
        <v>3</v>
      </c>
      <c r="C1090" s="11" t="s">
        <v>1181</v>
      </c>
      <c r="D1090" s="93" t="n">
        <v>10</v>
      </c>
      <c r="E1090" s="34" t="n">
        <v>10</v>
      </c>
    </row>
    <row r="1091" customFormat="false" ht="15" hidden="false" customHeight="false" outlineLevel="0" collapsed="false">
      <c r="A1091" s="11" t="s">
        <v>1801</v>
      </c>
      <c r="B1091" s="11" t="n">
        <v>4</v>
      </c>
      <c r="C1091" s="11" t="s">
        <v>2416</v>
      </c>
      <c r="D1091" s="93" t="n">
        <v>37</v>
      </c>
      <c r="E1091" s="34" t="n">
        <v>37</v>
      </c>
    </row>
    <row r="1092" customFormat="false" ht="15" hidden="false" customHeight="false" outlineLevel="0" collapsed="false">
      <c r="A1092" s="11" t="s">
        <v>1802</v>
      </c>
      <c r="B1092" s="11" t="n">
        <v>1</v>
      </c>
      <c r="C1092" s="11" t="s">
        <v>1181</v>
      </c>
      <c r="D1092" s="93" t="n">
        <v>10</v>
      </c>
      <c r="E1092" s="34" t="n">
        <v>10</v>
      </c>
    </row>
    <row r="1093" customFormat="false" ht="15" hidden="false" customHeight="false" outlineLevel="0" collapsed="false">
      <c r="A1093" s="11" t="s">
        <v>1802</v>
      </c>
      <c r="B1093" s="11" t="n">
        <v>2</v>
      </c>
      <c r="C1093" s="11" t="s">
        <v>1198</v>
      </c>
      <c r="D1093" s="93" t="n">
        <v>10</v>
      </c>
      <c r="E1093" s="34" t="n">
        <v>10</v>
      </c>
    </row>
    <row r="1094" customFormat="false" ht="15" hidden="false" customHeight="false" outlineLevel="0" collapsed="false">
      <c r="A1094" s="11" t="s">
        <v>1802</v>
      </c>
      <c r="B1094" s="11" t="n">
        <v>3</v>
      </c>
      <c r="C1094" s="11" t="s">
        <v>2350</v>
      </c>
      <c r="D1094" s="93" t="n">
        <v>7</v>
      </c>
      <c r="E1094" s="34" t="n">
        <v>7</v>
      </c>
    </row>
    <row r="1095" customFormat="false" ht="15" hidden="false" customHeight="false" outlineLevel="0" collapsed="false">
      <c r="A1095" s="11" t="s">
        <v>1802</v>
      </c>
      <c r="B1095" s="11" t="n">
        <v>4</v>
      </c>
      <c r="C1095" s="11" t="s">
        <v>127</v>
      </c>
      <c r="D1095" s="93" t="n">
        <v>5</v>
      </c>
      <c r="E1095" s="34" t="n">
        <v>5</v>
      </c>
    </row>
    <row r="1096" customFormat="false" ht="15" hidden="false" customHeight="false" outlineLevel="0" collapsed="false">
      <c r="A1096" s="11" t="s">
        <v>1803</v>
      </c>
      <c r="B1096" s="11" t="n">
        <v>1</v>
      </c>
      <c r="C1096" s="11" t="s">
        <v>2413</v>
      </c>
      <c r="D1096" s="93" t="n">
        <v>20</v>
      </c>
      <c r="E1096" s="34" t="n">
        <v>20</v>
      </c>
    </row>
    <row r="1097" customFormat="false" ht="15" hidden="false" customHeight="false" outlineLevel="0" collapsed="false">
      <c r="A1097" s="11" t="s">
        <v>1803</v>
      </c>
      <c r="B1097" s="11" t="n">
        <v>2</v>
      </c>
      <c r="C1097" s="11" t="s">
        <v>1190</v>
      </c>
      <c r="D1097" s="93" t="n">
        <v>10</v>
      </c>
      <c r="E1097" s="34" t="n">
        <v>10</v>
      </c>
    </row>
    <row r="1098" customFormat="false" ht="15" hidden="false" customHeight="false" outlineLevel="0" collapsed="false">
      <c r="A1098" s="11" t="s">
        <v>1803</v>
      </c>
      <c r="B1098" s="11" t="n">
        <v>3</v>
      </c>
      <c r="C1098" s="11" t="s">
        <v>2354</v>
      </c>
      <c r="D1098" s="93" t="n">
        <v>10</v>
      </c>
      <c r="E1098" s="34" t="n">
        <v>10</v>
      </c>
    </row>
    <row r="1099" customFormat="false" ht="15" hidden="false" customHeight="false" outlineLevel="0" collapsed="false">
      <c r="A1099" s="11" t="s">
        <v>1803</v>
      </c>
      <c r="B1099" s="11" t="n">
        <v>4</v>
      </c>
      <c r="C1099" s="11" t="s">
        <v>102</v>
      </c>
      <c r="D1099" s="93" t="n">
        <v>5</v>
      </c>
      <c r="E1099" s="34" t="n">
        <v>5</v>
      </c>
    </row>
    <row r="1100" customFormat="false" ht="15" hidden="false" customHeight="false" outlineLevel="0" collapsed="false">
      <c r="A1100" s="11" t="s">
        <v>1804</v>
      </c>
      <c r="B1100" s="11" t="n">
        <v>1</v>
      </c>
      <c r="C1100" s="11" t="s">
        <v>2347</v>
      </c>
      <c r="D1100" s="93" t="n">
        <v>16</v>
      </c>
      <c r="E1100" s="34" t="n">
        <v>16</v>
      </c>
    </row>
    <row r="1101" customFormat="false" ht="15" hidden="false" customHeight="false" outlineLevel="0" collapsed="false">
      <c r="A1101" s="11" t="s">
        <v>1804</v>
      </c>
      <c r="B1101" s="11" t="n">
        <v>2</v>
      </c>
      <c r="C1101" s="11" t="s">
        <v>2411</v>
      </c>
      <c r="D1101" s="93" t="n">
        <v>11</v>
      </c>
      <c r="E1101" s="34" t="n">
        <v>11</v>
      </c>
    </row>
    <row r="1102" customFormat="false" ht="15" hidden="false" customHeight="false" outlineLevel="0" collapsed="false">
      <c r="A1102" s="11" t="s">
        <v>1804</v>
      </c>
      <c r="B1102" s="11" t="n">
        <v>3</v>
      </c>
      <c r="C1102" s="11" t="s">
        <v>2410</v>
      </c>
      <c r="D1102" s="93" t="n">
        <v>6</v>
      </c>
      <c r="E1102" s="34" t="n">
        <v>6</v>
      </c>
    </row>
    <row r="1103" customFormat="false" ht="15" hidden="false" customHeight="false" outlineLevel="0" collapsed="false">
      <c r="A1103" s="11" t="s">
        <v>1804</v>
      </c>
      <c r="B1103" s="11" t="n">
        <v>4</v>
      </c>
      <c r="C1103" s="11" t="s">
        <v>2348</v>
      </c>
      <c r="D1103" s="93" t="n">
        <v>9.545</v>
      </c>
      <c r="E1103" s="34" t="n">
        <v>9.5</v>
      </c>
    </row>
    <row r="1104" customFormat="false" ht="15" hidden="false" customHeight="false" outlineLevel="0" collapsed="false">
      <c r="A1104" s="11" t="s">
        <v>1805</v>
      </c>
      <c r="B1104" s="11" t="n">
        <v>1</v>
      </c>
      <c r="C1104" s="11" t="s">
        <v>2411</v>
      </c>
      <c r="D1104" s="93" t="n">
        <v>11</v>
      </c>
      <c r="E1104" s="34" t="n">
        <v>11</v>
      </c>
    </row>
    <row r="1105" customFormat="false" ht="15" hidden="false" customHeight="false" outlineLevel="0" collapsed="false">
      <c r="A1105" s="11" t="s">
        <v>1805</v>
      </c>
      <c r="B1105" s="11" t="n">
        <v>2</v>
      </c>
      <c r="C1105" s="11" t="s">
        <v>2410</v>
      </c>
      <c r="D1105" s="93" t="n">
        <v>6</v>
      </c>
      <c r="E1105" s="34" t="n">
        <v>6</v>
      </c>
    </row>
    <row r="1106" customFormat="false" ht="15" hidden="false" customHeight="false" outlineLevel="0" collapsed="false">
      <c r="A1106" s="11" t="s">
        <v>1805</v>
      </c>
      <c r="B1106" s="11" t="n">
        <v>3</v>
      </c>
      <c r="C1106" s="11" t="s">
        <v>2412</v>
      </c>
      <c r="D1106" s="93" t="n">
        <v>-3.455</v>
      </c>
      <c r="E1106" s="34" t="n">
        <v>-3.5</v>
      </c>
    </row>
    <row r="1107" customFormat="false" ht="15" hidden="false" customHeight="false" outlineLevel="0" collapsed="false">
      <c r="A1107" s="11" t="s">
        <v>1805</v>
      </c>
      <c r="B1107" s="11" t="n">
        <v>4</v>
      </c>
      <c r="C1107" s="11" t="s">
        <v>102</v>
      </c>
      <c r="D1107" s="93" t="n">
        <v>3</v>
      </c>
      <c r="E1107" s="34" t="n">
        <v>3</v>
      </c>
    </row>
    <row r="1108" customFormat="false" ht="15" hidden="false" customHeight="false" outlineLevel="0" collapsed="false">
      <c r="A1108" s="11" t="s">
        <v>1806</v>
      </c>
      <c r="B1108" s="11" t="n">
        <v>1</v>
      </c>
      <c r="C1108" s="11" t="s">
        <v>2346</v>
      </c>
      <c r="D1108" s="93" t="n">
        <v>6</v>
      </c>
      <c r="E1108" s="34" t="n">
        <v>6</v>
      </c>
    </row>
    <row r="1109" customFormat="false" ht="15" hidden="false" customHeight="false" outlineLevel="0" collapsed="false">
      <c r="A1109" s="11" t="s">
        <v>1806</v>
      </c>
      <c r="B1109" s="11" t="n">
        <v>2</v>
      </c>
      <c r="C1109" s="11" t="s">
        <v>2405</v>
      </c>
      <c r="D1109" s="93" t="n">
        <v>5</v>
      </c>
      <c r="E1109" s="34" t="n">
        <v>5</v>
      </c>
    </row>
    <row r="1110" customFormat="false" ht="15" hidden="false" customHeight="false" outlineLevel="0" collapsed="false">
      <c r="A1110" s="11" t="s">
        <v>1807</v>
      </c>
      <c r="B1110" s="11" t="n">
        <v>1</v>
      </c>
      <c r="C1110" s="11" t="s">
        <v>2347</v>
      </c>
      <c r="D1110" s="93" t="n">
        <v>16</v>
      </c>
      <c r="E1110" s="34" t="n">
        <v>16</v>
      </c>
    </row>
    <row r="1111" customFormat="false" ht="15" hidden="false" customHeight="false" outlineLevel="0" collapsed="false">
      <c r="A1111" s="11" t="s">
        <v>1807</v>
      </c>
      <c r="B1111" s="11" t="n">
        <v>2</v>
      </c>
      <c r="C1111" s="11" t="s">
        <v>2406</v>
      </c>
      <c r="D1111" s="93" t="n">
        <v>-5</v>
      </c>
      <c r="E1111" s="34" t="n">
        <v>-5</v>
      </c>
    </row>
    <row r="1112" customFormat="false" ht="15" hidden="false" customHeight="false" outlineLevel="0" collapsed="false">
      <c r="A1112" s="11" t="s">
        <v>1807</v>
      </c>
      <c r="B1112" s="11" t="n">
        <v>3</v>
      </c>
      <c r="C1112" s="11" t="s">
        <v>2407</v>
      </c>
      <c r="D1112" s="93" t="n">
        <v>4</v>
      </c>
      <c r="E1112" s="34" t="n">
        <v>4</v>
      </c>
    </row>
    <row r="1113" customFormat="false" ht="15" hidden="false" customHeight="false" outlineLevel="0" collapsed="false">
      <c r="A1113" s="11" t="s">
        <v>1808</v>
      </c>
      <c r="B1113" s="11" t="n">
        <v>1</v>
      </c>
      <c r="C1113" s="11" t="s">
        <v>316</v>
      </c>
      <c r="D1113" s="93" t="n">
        <v>243.821</v>
      </c>
      <c r="E1113" s="34" t="n">
        <v>243.8</v>
      </c>
    </row>
    <row r="1114" customFormat="false" ht="15" hidden="false" customHeight="false" outlineLevel="0" collapsed="false">
      <c r="A1114" s="11" t="s">
        <v>1808</v>
      </c>
      <c r="B1114" s="11" t="n">
        <v>2</v>
      </c>
      <c r="C1114" s="11" t="s">
        <v>325</v>
      </c>
      <c r="D1114" s="93" t="n">
        <v>82</v>
      </c>
      <c r="E1114" s="34" t="n">
        <v>82</v>
      </c>
    </row>
    <row r="1115" customFormat="false" ht="15" hidden="false" customHeight="false" outlineLevel="0" collapsed="false">
      <c r="A1115" s="11" t="s">
        <v>1808</v>
      </c>
      <c r="B1115" s="11" t="n">
        <v>3</v>
      </c>
      <c r="C1115" s="11" t="s">
        <v>331</v>
      </c>
      <c r="D1115" s="93" t="n">
        <v>77</v>
      </c>
      <c r="E1115" s="34" t="n">
        <v>77</v>
      </c>
    </row>
    <row r="1116" customFormat="false" ht="15" hidden="false" customHeight="false" outlineLevel="0" collapsed="false">
      <c r="A1116" s="11" t="s">
        <v>1808</v>
      </c>
      <c r="B1116" s="11" t="n">
        <v>4</v>
      </c>
      <c r="C1116" s="11" t="s">
        <v>127</v>
      </c>
      <c r="D1116" s="93" t="n">
        <v>42.545</v>
      </c>
      <c r="E1116" s="34" t="n">
        <v>42.6</v>
      </c>
    </row>
    <row r="1117" customFormat="false" ht="15" hidden="false" customHeight="false" outlineLevel="0" collapsed="false">
      <c r="A1117" s="11" t="s">
        <v>1809</v>
      </c>
      <c r="B1117" s="11" t="n">
        <v>1</v>
      </c>
      <c r="C1117" s="11" t="s">
        <v>339</v>
      </c>
      <c r="D1117" s="93" t="n">
        <v>-445.366</v>
      </c>
      <c r="E1117" s="34" t="n">
        <v>-445.4</v>
      </c>
    </row>
    <row r="1118" customFormat="false" ht="15" hidden="false" customHeight="false" outlineLevel="0" collapsed="false">
      <c r="A1118" s="11" t="s">
        <v>1809</v>
      </c>
      <c r="B1118" s="11" t="n">
        <v>2</v>
      </c>
      <c r="C1118" s="11" t="s">
        <v>312</v>
      </c>
      <c r="D1118" s="93" t="n">
        <v>376.381</v>
      </c>
      <c r="E1118" s="34" t="n">
        <v>376.4</v>
      </c>
    </row>
    <row r="1119" customFormat="false" ht="15" hidden="false" customHeight="false" outlineLevel="0" collapsed="false">
      <c r="A1119" s="11" t="s">
        <v>1810</v>
      </c>
      <c r="B1119" s="11" t="n">
        <v>1</v>
      </c>
      <c r="C1119" s="11" t="s">
        <v>160</v>
      </c>
      <c r="D1119" s="93" t="n">
        <v>-3</v>
      </c>
      <c r="E1119" s="34" t="n">
        <v>-3</v>
      </c>
    </row>
    <row r="1120" customFormat="false" ht="15" hidden="false" customHeight="false" outlineLevel="0" collapsed="false">
      <c r="A1120" s="11" t="s">
        <v>1810</v>
      </c>
      <c r="B1120" s="11" t="n">
        <v>2</v>
      </c>
      <c r="C1120" s="11" t="s">
        <v>161</v>
      </c>
      <c r="D1120" s="93" t="n">
        <v>2</v>
      </c>
      <c r="E1120" s="34" t="n">
        <v>2</v>
      </c>
    </row>
    <row r="1121" customFormat="false" ht="15" hidden="false" customHeight="false" outlineLevel="0" collapsed="false">
      <c r="A1121" s="11" t="s">
        <v>1811</v>
      </c>
      <c r="B1121" s="11" t="n">
        <v>1</v>
      </c>
      <c r="C1121" s="11" t="s">
        <v>2357</v>
      </c>
      <c r="D1121" s="93" t="n">
        <v>-3</v>
      </c>
      <c r="E1121" s="34" t="n">
        <v>-3</v>
      </c>
    </row>
    <row r="1122" customFormat="false" ht="15" hidden="false" customHeight="false" outlineLevel="0" collapsed="false">
      <c r="A1122" s="11" t="s">
        <v>1812</v>
      </c>
      <c r="B1122" s="11" t="n">
        <v>1</v>
      </c>
      <c r="C1122" s="11" t="s">
        <v>2414</v>
      </c>
      <c r="D1122" s="93" t="n">
        <v>-2</v>
      </c>
      <c r="E1122" s="34" t="n">
        <v>-2</v>
      </c>
    </row>
    <row r="1123" customFormat="false" ht="15" hidden="false" customHeight="false" outlineLevel="0" collapsed="false">
      <c r="A1123" s="11" t="s">
        <v>1813</v>
      </c>
      <c r="B1123" s="11" t="n">
        <v>1</v>
      </c>
      <c r="C1123" s="11" t="s">
        <v>2358</v>
      </c>
      <c r="D1123" s="93" t="n">
        <v>14</v>
      </c>
      <c r="E1123" s="34" t="n">
        <v>14</v>
      </c>
    </row>
    <row r="1124" customFormat="false" ht="15" hidden="false" customHeight="false" outlineLevel="0" collapsed="false">
      <c r="A1124" s="11" t="s">
        <v>1813</v>
      </c>
      <c r="B1124" s="11" t="n">
        <v>2</v>
      </c>
      <c r="C1124" s="11" t="s">
        <v>2359</v>
      </c>
      <c r="D1124" s="93" t="n">
        <v>2</v>
      </c>
      <c r="E1124" s="34" t="n">
        <v>2</v>
      </c>
    </row>
    <row r="1125" customFormat="false" ht="15" hidden="false" customHeight="false" outlineLevel="0" collapsed="false">
      <c r="A1125" s="11" t="s">
        <v>1814</v>
      </c>
      <c r="B1125" s="11" t="n">
        <v>1</v>
      </c>
      <c r="C1125" s="11" t="s">
        <v>339</v>
      </c>
      <c r="D1125" s="93" t="n">
        <v>-445.366</v>
      </c>
      <c r="E1125" s="34" t="n">
        <v>-445.4</v>
      </c>
    </row>
    <row r="1126" customFormat="false" ht="15" hidden="false" customHeight="false" outlineLevel="0" collapsed="false">
      <c r="A1126" s="11" t="s">
        <v>1814</v>
      </c>
      <c r="B1126" s="11" t="n">
        <v>2</v>
      </c>
      <c r="C1126" s="11" t="s">
        <v>312</v>
      </c>
      <c r="D1126" s="93" t="n">
        <v>376.381</v>
      </c>
      <c r="E1126" s="34" t="n">
        <v>376.4</v>
      </c>
    </row>
    <row r="1127" customFormat="false" ht="15" hidden="false" customHeight="false" outlineLevel="0" collapsed="false">
      <c r="A1127" s="11" t="s">
        <v>1814</v>
      </c>
      <c r="B1127" s="11" t="n">
        <v>3</v>
      </c>
      <c r="C1127" s="11" t="s">
        <v>126</v>
      </c>
      <c r="D1127" s="93" t="n">
        <v>-16</v>
      </c>
      <c r="E1127" s="34" t="n">
        <v>-16</v>
      </c>
    </row>
    <row r="1128" customFormat="false" ht="15" hidden="false" customHeight="false" outlineLevel="0" collapsed="false">
      <c r="A1128" s="11" t="s">
        <v>1814</v>
      </c>
      <c r="B1128" s="11" t="n">
        <v>4</v>
      </c>
      <c r="C1128" s="11" t="s">
        <v>102</v>
      </c>
      <c r="D1128" s="93" t="n">
        <v>-1</v>
      </c>
      <c r="E1128" s="34" t="n">
        <v>-1</v>
      </c>
    </row>
    <row r="1129" customFormat="false" ht="15" hidden="false" customHeight="false" outlineLevel="0" collapsed="false">
      <c r="A1129" s="11" t="s">
        <v>1815</v>
      </c>
      <c r="B1129" s="11" t="n">
        <v>1</v>
      </c>
      <c r="C1129" s="11" t="s">
        <v>2360</v>
      </c>
      <c r="D1129" s="93" t="n">
        <v>-21831.88785</v>
      </c>
      <c r="E1129" s="34" t="n">
        <v>-21831.9</v>
      </c>
    </row>
    <row r="1130" customFormat="false" ht="15" hidden="false" customHeight="false" outlineLevel="0" collapsed="false">
      <c r="A1130" s="11" t="s">
        <v>1815</v>
      </c>
      <c r="B1130" s="11" t="n">
        <v>2</v>
      </c>
      <c r="C1130" s="11" t="s">
        <v>2362</v>
      </c>
      <c r="D1130" s="93" t="n">
        <v>20585.73</v>
      </c>
      <c r="E1130" s="34" t="n">
        <v>20585.8</v>
      </c>
    </row>
    <row r="1131" customFormat="false" ht="15" hidden="false" customHeight="false" outlineLevel="0" collapsed="false">
      <c r="A1131" s="11" t="s">
        <v>1815</v>
      </c>
      <c r="B1131" s="11" t="n">
        <v>3</v>
      </c>
      <c r="C1131" s="11" t="s">
        <v>2361</v>
      </c>
      <c r="D1131" s="93" t="n">
        <v>4091.80085</v>
      </c>
      <c r="E1131" s="34" t="n">
        <v>4091.8</v>
      </c>
    </row>
    <row r="1132" customFormat="false" ht="15" hidden="false" customHeight="false" outlineLevel="0" collapsed="false">
      <c r="A1132" s="11" t="s">
        <v>1815</v>
      </c>
      <c r="B1132" s="11" t="n">
        <v>4</v>
      </c>
      <c r="C1132" s="11" t="s">
        <v>2348</v>
      </c>
      <c r="D1132" s="93" t="n">
        <v>1169.818</v>
      </c>
      <c r="E1132" s="34" t="n">
        <v>1169.8</v>
      </c>
    </row>
    <row r="1133" customFormat="false" ht="15" hidden="false" customHeight="false" outlineLevel="0" collapsed="false">
      <c r="A1133" s="11" t="s">
        <v>1816</v>
      </c>
      <c r="B1133" s="11" t="n">
        <v>1</v>
      </c>
      <c r="C1133" s="11" t="s">
        <v>2363</v>
      </c>
      <c r="D1133" s="93" t="n">
        <v>4091.80085</v>
      </c>
      <c r="E1133" s="34" t="n">
        <v>4091.8</v>
      </c>
    </row>
    <row r="1134" customFormat="false" ht="15" hidden="false" customHeight="false" outlineLevel="0" collapsed="false">
      <c r="A1134" s="11" t="s">
        <v>1816</v>
      </c>
      <c r="B1134" s="11" t="n">
        <v>2</v>
      </c>
      <c r="C1134" s="11" t="s">
        <v>2364</v>
      </c>
      <c r="D1134" s="93" t="n">
        <v>-536</v>
      </c>
      <c r="E1134" s="34" t="n">
        <v>-536</v>
      </c>
    </row>
    <row r="1135" customFormat="false" ht="15" hidden="false" customHeight="false" outlineLevel="0" collapsed="false">
      <c r="A1135" s="11" t="s">
        <v>1816</v>
      </c>
      <c r="B1135" s="11" t="n">
        <v>3</v>
      </c>
      <c r="C1135" s="11" t="s">
        <v>2432</v>
      </c>
      <c r="D1135" s="93" t="n">
        <v>-370</v>
      </c>
      <c r="E1135" s="34" t="n">
        <v>-370</v>
      </c>
    </row>
    <row r="1136" customFormat="false" ht="15" hidden="false" customHeight="false" outlineLevel="0" collapsed="false">
      <c r="A1136" s="11" t="s">
        <v>1817</v>
      </c>
      <c r="B1136" s="11" t="n">
        <v>1</v>
      </c>
      <c r="C1136" s="11" t="s">
        <v>2365</v>
      </c>
      <c r="D1136" s="93" t="n">
        <v>-21831.88785</v>
      </c>
      <c r="E1136" s="34" t="n">
        <v>-21831.9</v>
      </c>
    </row>
    <row r="1137" customFormat="false" ht="15" hidden="false" customHeight="false" outlineLevel="0" collapsed="false">
      <c r="A1137" s="11" t="s">
        <v>1817</v>
      </c>
      <c r="B1137" s="11" t="n">
        <v>2</v>
      </c>
      <c r="C1137" s="11" t="s">
        <v>2366</v>
      </c>
      <c r="D1137" s="93" t="n">
        <v>20585.73</v>
      </c>
      <c r="E1137" s="34" t="n">
        <v>20585.7</v>
      </c>
    </row>
    <row r="1138" customFormat="false" ht="15" hidden="false" customHeight="false" outlineLevel="0" collapsed="false">
      <c r="A1138" s="11" t="s">
        <v>1817</v>
      </c>
      <c r="B1138" s="11" t="n">
        <v>3</v>
      </c>
      <c r="C1138" s="11" t="s">
        <v>2367</v>
      </c>
      <c r="D1138" s="93" t="n">
        <v>1865</v>
      </c>
      <c r="E1138" s="34" t="n">
        <v>1865</v>
      </c>
    </row>
    <row r="1139" customFormat="false" ht="15" hidden="false" customHeight="false" outlineLevel="0" collapsed="false">
      <c r="A1139" s="11" t="s">
        <v>1818</v>
      </c>
      <c r="B1139" s="11" t="n">
        <v>1</v>
      </c>
      <c r="C1139" s="11" t="s">
        <v>2433</v>
      </c>
      <c r="D1139" s="93" t="n">
        <v>540</v>
      </c>
      <c r="E1139" s="34" t="n">
        <v>540</v>
      </c>
    </row>
    <row r="1140" customFormat="false" ht="15" hidden="false" customHeight="false" outlineLevel="0" collapsed="false">
      <c r="A1140" s="11" t="s">
        <v>1818</v>
      </c>
      <c r="B1140" s="11" t="n">
        <v>2</v>
      </c>
      <c r="C1140" s="11" t="s">
        <v>2368</v>
      </c>
      <c r="D1140" s="93" t="n">
        <v>-507.5</v>
      </c>
      <c r="E1140" s="34" t="n">
        <v>-507.5</v>
      </c>
    </row>
    <row r="1141" customFormat="false" ht="15" hidden="false" customHeight="false" outlineLevel="0" collapsed="false">
      <c r="A1141" s="11" t="s">
        <v>1819</v>
      </c>
      <c r="B1141" s="11" t="n">
        <v>1</v>
      </c>
      <c r="C1141" s="11" t="s">
        <v>2369</v>
      </c>
      <c r="D1141" s="93" t="n">
        <v>585</v>
      </c>
      <c r="E1141" s="34" t="n">
        <v>585</v>
      </c>
    </row>
    <row r="1142" customFormat="false" ht="15" hidden="false" customHeight="false" outlineLevel="0" collapsed="false">
      <c r="A1142" s="11" t="s">
        <v>1819</v>
      </c>
      <c r="B1142" s="11" t="n">
        <v>2</v>
      </c>
      <c r="C1142" s="11" t="s">
        <v>2370</v>
      </c>
      <c r="D1142" s="93" t="n">
        <v>-406.682</v>
      </c>
      <c r="E1142" s="34" t="n">
        <v>-406.7</v>
      </c>
    </row>
    <row r="1143" customFormat="false" ht="15" hidden="false" customHeight="false" outlineLevel="0" collapsed="false">
      <c r="A1143" s="11" t="s">
        <v>1820</v>
      </c>
      <c r="B1143" s="11" t="n">
        <v>1</v>
      </c>
      <c r="C1143" s="11" t="s">
        <v>2371</v>
      </c>
      <c r="D1143" s="93" t="n">
        <v>-656</v>
      </c>
      <c r="E1143" s="34" t="n">
        <v>-656</v>
      </c>
    </row>
    <row r="1144" customFormat="false" ht="15" hidden="false" customHeight="false" outlineLevel="0" collapsed="false">
      <c r="A1144" s="11" t="s">
        <v>1820</v>
      </c>
      <c r="B1144" s="11" t="n">
        <v>2</v>
      </c>
      <c r="C1144" s="11" t="s">
        <v>2372</v>
      </c>
      <c r="D1144" s="93" t="n">
        <v>536</v>
      </c>
      <c r="E1144" s="34" t="n">
        <v>536</v>
      </c>
    </row>
    <row r="1145" customFormat="false" ht="15" hidden="false" customHeight="false" outlineLevel="0" collapsed="false">
      <c r="A1145" s="11" t="s">
        <v>1821</v>
      </c>
      <c r="B1145" s="11" t="n">
        <v>1</v>
      </c>
      <c r="C1145" s="11" t="s">
        <v>395</v>
      </c>
      <c r="D1145" s="93" t="n">
        <v>-656</v>
      </c>
      <c r="E1145" s="34" t="n">
        <v>-656</v>
      </c>
    </row>
    <row r="1146" customFormat="false" ht="15" hidden="false" customHeight="false" outlineLevel="0" collapsed="false">
      <c r="A1146" s="11" t="s">
        <v>1821</v>
      </c>
      <c r="B1146" s="11" t="n">
        <v>2</v>
      </c>
      <c r="C1146" s="11" t="s">
        <v>421</v>
      </c>
      <c r="D1146" s="93" t="n">
        <v>536</v>
      </c>
      <c r="E1146" s="34" t="n">
        <v>536</v>
      </c>
    </row>
    <row r="1147" customFormat="false" ht="15" hidden="false" customHeight="false" outlineLevel="0" collapsed="false">
      <c r="A1147" s="11" t="s">
        <v>1822</v>
      </c>
      <c r="B1147" s="11" t="n">
        <v>1</v>
      </c>
      <c r="C1147" s="11" t="s">
        <v>351</v>
      </c>
      <c r="D1147" s="93" t="n">
        <v>4015.461</v>
      </c>
      <c r="E1147" s="34" t="n">
        <v>4015.5</v>
      </c>
    </row>
    <row r="1148" customFormat="false" ht="15" hidden="false" customHeight="false" outlineLevel="0" collapsed="false">
      <c r="A1148" s="11" t="s">
        <v>1822</v>
      </c>
      <c r="B1148" s="11" t="n">
        <v>2</v>
      </c>
      <c r="C1148" s="11" t="s">
        <v>361</v>
      </c>
      <c r="D1148" s="93" t="n">
        <v>-120</v>
      </c>
      <c r="E1148" s="34" t="n">
        <v>-120</v>
      </c>
    </row>
    <row r="1149" customFormat="false" ht="15" hidden="false" customHeight="false" outlineLevel="0" collapsed="false">
      <c r="A1149" s="11" t="s">
        <v>1823</v>
      </c>
      <c r="B1149" s="11" t="n">
        <v>1</v>
      </c>
      <c r="C1149" s="11" t="s">
        <v>2374</v>
      </c>
      <c r="D1149" s="93" t="n">
        <v>20585.73</v>
      </c>
      <c r="E1149" s="34" t="n">
        <v>20585.7</v>
      </c>
    </row>
    <row r="1150" customFormat="false" ht="15" hidden="false" customHeight="false" outlineLevel="0" collapsed="false">
      <c r="A1150" s="11" t="s">
        <v>1823</v>
      </c>
      <c r="B1150" s="11" t="n">
        <v>2</v>
      </c>
      <c r="C1150" s="11" t="s">
        <v>2373</v>
      </c>
      <c r="D1150" s="93" t="n">
        <v>-20389.299</v>
      </c>
      <c r="E1150" s="34" t="n">
        <v>-20389.3</v>
      </c>
    </row>
    <row r="1151" customFormat="false" ht="15" hidden="false" customHeight="false" outlineLevel="0" collapsed="false">
      <c r="A1151" s="11" t="s">
        <v>1823</v>
      </c>
      <c r="B1151" s="11" t="n">
        <v>3</v>
      </c>
      <c r="C1151" s="11" t="s">
        <v>2375</v>
      </c>
      <c r="D1151" s="93" t="n">
        <v>3400.5</v>
      </c>
      <c r="E1151" s="34" t="n">
        <v>3400.5</v>
      </c>
    </row>
    <row r="1152" customFormat="false" ht="15" hidden="false" customHeight="false" outlineLevel="0" collapsed="false">
      <c r="A1152" s="11" t="s">
        <v>1823</v>
      </c>
      <c r="B1152" s="11" t="n">
        <v>4</v>
      </c>
      <c r="C1152" s="11" t="s">
        <v>2431</v>
      </c>
      <c r="D1152" s="93" t="n">
        <v>-3229.543</v>
      </c>
      <c r="E1152" s="34" t="n">
        <v>-3229.5</v>
      </c>
    </row>
    <row r="1153" customFormat="false" ht="15" hidden="false" customHeight="false" outlineLevel="0" collapsed="false">
      <c r="A1153" s="11" t="s">
        <v>1824</v>
      </c>
      <c r="B1153" s="11" t="n">
        <v>1</v>
      </c>
      <c r="C1153" s="11" t="s">
        <v>2376</v>
      </c>
      <c r="D1153" s="93" t="n">
        <v>3400.5</v>
      </c>
      <c r="E1153" s="34" t="n">
        <v>3400.5</v>
      </c>
    </row>
    <row r="1154" customFormat="false" ht="15" hidden="false" customHeight="false" outlineLevel="0" collapsed="false">
      <c r="A1154" s="11" t="s">
        <v>1824</v>
      </c>
      <c r="B1154" s="11" t="n">
        <v>2</v>
      </c>
      <c r="C1154" s="11" t="s">
        <v>2377</v>
      </c>
      <c r="D1154" s="93" t="n">
        <v>-3291.5</v>
      </c>
      <c r="E1154" s="34" t="n">
        <v>-3291.5</v>
      </c>
    </row>
    <row r="1155" customFormat="false" ht="15" hidden="false" customHeight="false" outlineLevel="0" collapsed="false">
      <c r="A1155" s="11" t="s">
        <v>1825</v>
      </c>
      <c r="B1155" s="11" t="n">
        <v>1</v>
      </c>
      <c r="C1155" s="11" t="s">
        <v>2379</v>
      </c>
      <c r="D1155" s="93" t="n">
        <v>387.54172</v>
      </c>
      <c r="E1155" s="34" t="n">
        <v>387.6</v>
      </c>
    </row>
    <row r="1156" customFormat="false" ht="15" hidden="false" customHeight="false" outlineLevel="0" collapsed="false">
      <c r="A1156" s="11" t="s">
        <v>1825</v>
      </c>
      <c r="B1156" s="11" t="n">
        <v>2</v>
      </c>
      <c r="C1156" s="11" t="s">
        <v>2434</v>
      </c>
      <c r="D1156" s="93" t="n">
        <v>-369.87072</v>
      </c>
      <c r="E1156" s="34" t="n">
        <v>-369.9</v>
      </c>
    </row>
    <row r="1157" customFormat="false" ht="15" hidden="false" customHeight="false" outlineLevel="0" collapsed="false">
      <c r="A1157" s="11" t="s">
        <v>1825</v>
      </c>
      <c r="B1157" s="11" t="n">
        <v>3</v>
      </c>
      <c r="C1157" s="11" t="s">
        <v>2380</v>
      </c>
      <c r="D1157" s="93" t="n">
        <v>312</v>
      </c>
      <c r="E1157" s="34" t="n">
        <v>312</v>
      </c>
    </row>
    <row r="1158" customFormat="false" ht="15" hidden="false" customHeight="false" outlineLevel="0" collapsed="false">
      <c r="A1158" s="11" t="s">
        <v>1825</v>
      </c>
      <c r="B1158" s="11" t="n">
        <v>4</v>
      </c>
      <c r="C1158" s="11" t="s">
        <v>2341</v>
      </c>
      <c r="D1158" s="93" t="n">
        <v>-267.714</v>
      </c>
      <c r="E1158" s="34" t="n">
        <v>-267.7</v>
      </c>
    </row>
    <row r="1159" customFormat="false" ht="15" hidden="false" customHeight="false" outlineLevel="0" collapsed="false">
      <c r="A1159" s="11" t="s">
        <v>1826</v>
      </c>
      <c r="B1159" s="11" t="n">
        <v>1</v>
      </c>
      <c r="C1159" s="11" t="s">
        <v>2382</v>
      </c>
      <c r="D1159" s="93" t="n">
        <v>20585.73</v>
      </c>
      <c r="E1159" s="34" t="n">
        <v>20585.7</v>
      </c>
    </row>
    <row r="1160" customFormat="false" ht="15" hidden="false" customHeight="false" outlineLevel="0" collapsed="false">
      <c r="A1160" s="11" t="s">
        <v>1826</v>
      </c>
      <c r="B1160" s="11" t="n">
        <v>2</v>
      </c>
      <c r="C1160" s="11" t="s">
        <v>2381</v>
      </c>
      <c r="D1160" s="93" t="n">
        <v>-20389.299</v>
      </c>
      <c r="E1160" s="34" t="n">
        <v>-20389.3</v>
      </c>
    </row>
    <row r="1161" customFormat="false" ht="15" hidden="false" customHeight="false" outlineLevel="0" collapsed="false">
      <c r="A1161" s="11" t="s">
        <v>1827</v>
      </c>
      <c r="B1161" s="11" t="n">
        <v>1</v>
      </c>
      <c r="C1161" s="11" t="s">
        <v>2435</v>
      </c>
      <c r="D1161" s="93" t="n">
        <v>-400</v>
      </c>
      <c r="E1161" s="34" t="n">
        <v>-400</v>
      </c>
    </row>
    <row r="1162" customFormat="false" ht="15" hidden="false" customHeight="false" outlineLevel="0" collapsed="false">
      <c r="A1162" s="11" t="s">
        <v>1827</v>
      </c>
      <c r="B1162" s="11" t="n">
        <v>2</v>
      </c>
      <c r="C1162" s="11" t="s">
        <v>2383</v>
      </c>
      <c r="D1162" s="93" t="n">
        <v>54.5</v>
      </c>
      <c r="E1162" s="34" t="n">
        <v>54.5</v>
      </c>
    </row>
    <row r="1163" customFormat="false" ht="15" hidden="false" customHeight="false" outlineLevel="0" collapsed="false">
      <c r="A1163" s="11" t="s">
        <v>1828</v>
      </c>
      <c r="B1163" s="11" t="n">
        <v>1</v>
      </c>
      <c r="C1163" s="11" t="s">
        <v>2384</v>
      </c>
      <c r="D1163" s="93" t="n">
        <v>54.5</v>
      </c>
      <c r="E1163" s="34" t="n">
        <v>54.5</v>
      </c>
    </row>
    <row r="1164" customFormat="false" ht="15" hidden="false" customHeight="false" outlineLevel="0" collapsed="false">
      <c r="A1164" s="11" t="s">
        <v>1829</v>
      </c>
      <c r="B1164" s="11" t="n">
        <v>1</v>
      </c>
      <c r="C1164" s="11" t="s">
        <v>2436</v>
      </c>
      <c r="D1164" s="93" t="n">
        <v>-400</v>
      </c>
      <c r="E1164" s="34" t="n">
        <v>-400</v>
      </c>
    </row>
    <row r="1165" customFormat="false" ht="15" hidden="false" customHeight="false" outlineLevel="0" collapsed="false">
      <c r="A1165" s="11" t="s">
        <v>1830</v>
      </c>
      <c r="B1165" s="11" t="n">
        <v>1</v>
      </c>
      <c r="C1165" s="11" t="s">
        <v>367</v>
      </c>
      <c r="D1165" s="93" t="n">
        <v>367.388</v>
      </c>
      <c r="E1165" s="34" t="n">
        <v>367.4</v>
      </c>
    </row>
    <row r="1166" customFormat="false" ht="15" hidden="false" customHeight="false" outlineLevel="0" collapsed="false">
      <c r="A1166" s="11" t="s">
        <v>1830</v>
      </c>
      <c r="B1166" s="11" t="n">
        <v>2</v>
      </c>
      <c r="C1166" s="11" t="s">
        <v>375</v>
      </c>
      <c r="D1166" s="93" t="n">
        <v>-345.5</v>
      </c>
      <c r="E1166" s="34" t="n">
        <v>-345.5</v>
      </c>
    </row>
    <row r="1167" customFormat="false" ht="15" hidden="false" customHeight="false" outlineLevel="0" collapsed="false">
      <c r="A1167" s="11" t="s">
        <v>1831</v>
      </c>
      <c r="B1167" s="11" t="n">
        <v>1</v>
      </c>
      <c r="C1167" s="11" t="s">
        <v>2385</v>
      </c>
      <c r="D1167" s="93" t="n">
        <v>2999.573</v>
      </c>
      <c r="E1167" s="34" t="n">
        <v>2999.6</v>
      </c>
    </row>
    <row r="1168" customFormat="false" ht="15" hidden="false" customHeight="false" outlineLevel="0" collapsed="false">
      <c r="A1168" s="11" t="s">
        <v>1831</v>
      </c>
      <c r="B1168" s="11" t="n">
        <v>2</v>
      </c>
      <c r="C1168" s="11" t="s">
        <v>2386</v>
      </c>
      <c r="D1168" s="93" t="n">
        <v>844</v>
      </c>
      <c r="E1168" s="34" t="n">
        <v>844</v>
      </c>
    </row>
    <row r="1169" customFormat="false" ht="15" hidden="false" customHeight="false" outlineLevel="0" collapsed="false">
      <c r="A1169" s="11" t="s">
        <v>1831</v>
      </c>
      <c r="B1169" s="11" t="n">
        <v>3</v>
      </c>
      <c r="C1169" s="11" t="s">
        <v>2437</v>
      </c>
      <c r="D1169" s="93" t="n">
        <v>30</v>
      </c>
      <c r="E1169" s="34" t="n">
        <v>30</v>
      </c>
    </row>
    <row r="1170" customFormat="false" ht="15" hidden="false" customHeight="false" outlineLevel="0" collapsed="false">
      <c r="A1170" s="11" t="s">
        <v>1832</v>
      </c>
      <c r="B1170" s="11" t="n">
        <v>1</v>
      </c>
      <c r="C1170" s="11" t="s">
        <v>397</v>
      </c>
      <c r="D1170" s="93" t="n">
        <v>844</v>
      </c>
      <c r="E1170" s="34" t="n">
        <v>844</v>
      </c>
    </row>
    <row r="1171" customFormat="false" ht="15" hidden="false" customHeight="false" outlineLevel="0" collapsed="false">
      <c r="A1171" s="11" t="s">
        <v>1832</v>
      </c>
      <c r="B1171" s="11" t="n">
        <v>2</v>
      </c>
      <c r="C1171" s="11" t="s">
        <v>2425</v>
      </c>
      <c r="D1171" s="93" t="n">
        <v>30</v>
      </c>
      <c r="E1171" s="34" t="n">
        <v>30</v>
      </c>
    </row>
    <row r="1172" customFormat="false" ht="15" hidden="false" customHeight="false" outlineLevel="0" collapsed="false">
      <c r="A1172" s="11" t="s">
        <v>1833</v>
      </c>
      <c r="B1172" s="11" t="n">
        <v>1</v>
      </c>
      <c r="C1172" s="11" t="s">
        <v>97</v>
      </c>
      <c r="D1172" s="93" t="n">
        <v>2999.573</v>
      </c>
      <c r="E1172" s="34" t="n">
        <v>2999.6</v>
      </c>
    </row>
    <row r="1173" customFormat="false" ht="15" hidden="false" customHeight="false" outlineLevel="0" collapsed="false">
      <c r="A1173" s="11" t="s">
        <v>1834</v>
      </c>
      <c r="B1173" s="11" t="n">
        <v>1</v>
      </c>
      <c r="C1173" s="11" t="s">
        <v>383</v>
      </c>
      <c r="D1173" s="93" t="n">
        <v>3873.573</v>
      </c>
      <c r="E1173" s="34" t="n">
        <v>3873.6</v>
      </c>
    </row>
    <row r="1174" customFormat="false" ht="15" hidden="false" customHeight="false" outlineLevel="0" collapsed="false">
      <c r="A1174" s="11" t="s">
        <v>1834</v>
      </c>
      <c r="B1174" s="11" t="n">
        <v>2</v>
      </c>
      <c r="C1174" s="11" t="s">
        <v>381</v>
      </c>
      <c r="D1174" s="93" t="n">
        <v>21.888</v>
      </c>
      <c r="E1174" s="34" t="n">
        <v>21.9</v>
      </c>
    </row>
    <row r="1175" customFormat="false" ht="15" hidden="false" customHeight="false" outlineLevel="0" collapsed="false">
      <c r="A1175" s="11" t="s">
        <v>1835</v>
      </c>
      <c r="B1175" s="11" t="n">
        <v>1</v>
      </c>
      <c r="C1175" s="11" t="s">
        <v>2387</v>
      </c>
      <c r="D1175" s="93" t="n">
        <v>-445.366</v>
      </c>
      <c r="E1175" s="34" t="n">
        <v>-445.4</v>
      </c>
    </row>
    <row r="1176" customFormat="false" ht="15" hidden="false" customHeight="false" outlineLevel="0" collapsed="false">
      <c r="A1176" s="11" t="s">
        <v>1835</v>
      </c>
      <c r="B1176" s="11" t="n">
        <v>2</v>
      </c>
      <c r="C1176" s="11" t="s">
        <v>312</v>
      </c>
      <c r="D1176" s="93" t="n">
        <v>376.381</v>
      </c>
      <c r="E1176" s="34" t="n">
        <v>376.4</v>
      </c>
    </row>
    <row r="1177" customFormat="false" ht="15" hidden="false" customHeight="false" outlineLevel="0" collapsed="false">
      <c r="A1177" s="11" t="s">
        <v>1835</v>
      </c>
      <c r="B1177" s="11" t="n">
        <v>3</v>
      </c>
      <c r="C1177" s="11" t="s">
        <v>2388</v>
      </c>
      <c r="D1177" s="93" t="n">
        <v>-16</v>
      </c>
      <c r="E1177" s="34" t="n">
        <v>-16</v>
      </c>
    </row>
    <row r="1178" customFormat="false" ht="15" hidden="false" customHeight="false" outlineLevel="0" collapsed="false">
      <c r="A1178" s="11" t="s">
        <v>1835</v>
      </c>
      <c r="B1178" s="11" t="n">
        <v>4</v>
      </c>
      <c r="C1178" s="11" t="s">
        <v>127</v>
      </c>
      <c r="D1178" s="93" t="n">
        <v>-1</v>
      </c>
      <c r="E1178" s="34" t="n">
        <v>-1</v>
      </c>
    </row>
    <row r="1179" customFormat="false" ht="15" hidden="false" customHeight="false" outlineLevel="0" collapsed="false">
      <c r="A1179" s="11" t="s">
        <v>1836</v>
      </c>
      <c r="B1179" s="11" t="n">
        <v>1</v>
      </c>
      <c r="C1179" s="11" t="s">
        <v>2390</v>
      </c>
      <c r="D1179" s="93" t="n">
        <v>16</v>
      </c>
      <c r="E1179" s="34" t="n">
        <v>16</v>
      </c>
    </row>
    <row r="1180" customFormat="false" ht="15" hidden="false" customHeight="false" outlineLevel="0" collapsed="false">
      <c r="A1180" s="11" t="s">
        <v>1836</v>
      </c>
      <c r="B1180" s="11" t="n">
        <v>2</v>
      </c>
      <c r="C1180" s="11" t="s">
        <v>2438</v>
      </c>
      <c r="D1180" s="93" t="n">
        <v>11</v>
      </c>
      <c r="E1180" s="34" t="n">
        <v>11</v>
      </c>
    </row>
    <row r="1181" customFormat="false" ht="15" hidden="false" customHeight="false" outlineLevel="0" collapsed="false">
      <c r="A1181" s="11" t="s">
        <v>1836</v>
      </c>
      <c r="B1181" s="11" t="n">
        <v>3</v>
      </c>
      <c r="C1181" s="11" t="s">
        <v>2417</v>
      </c>
      <c r="D1181" s="93" t="n">
        <v>6</v>
      </c>
      <c r="E1181" s="34" t="n">
        <v>6</v>
      </c>
    </row>
    <row r="1182" customFormat="false" ht="15" hidden="false" customHeight="false" outlineLevel="0" collapsed="false">
      <c r="A1182" s="11" t="s">
        <v>1836</v>
      </c>
      <c r="B1182" s="11" t="n">
        <v>4</v>
      </c>
      <c r="C1182" s="11" t="s">
        <v>2343</v>
      </c>
      <c r="D1182" s="93" t="n">
        <v>11.545</v>
      </c>
      <c r="E1182" s="34" t="n">
        <v>11.5</v>
      </c>
    </row>
    <row r="1183" customFormat="false" ht="15" hidden="false" customHeight="false" outlineLevel="0" collapsed="false">
      <c r="A1183" s="11" t="s">
        <v>1837</v>
      </c>
      <c r="B1183" s="11" t="n">
        <v>1</v>
      </c>
      <c r="C1183" s="11" t="s">
        <v>2346</v>
      </c>
      <c r="D1183" s="93" t="n">
        <v>6</v>
      </c>
      <c r="E1183" s="34" t="n">
        <v>6</v>
      </c>
    </row>
    <row r="1184" customFormat="false" ht="15" hidden="false" customHeight="false" outlineLevel="0" collapsed="false">
      <c r="A1184" s="11" t="s">
        <v>1837</v>
      </c>
      <c r="B1184" s="11" t="n">
        <v>2</v>
      </c>
      <c r="C1184" s="11" t="s">
        <v>2405</v>
      </c>
      <c r="D1184" s="93" t="n">
        <v>5</v>
      </c>
      <c r="E1184" s="34" t="n">
        <v>5</v>
      </c>
    </row>
    <row r="1185" customFormat="false" ht="15" hidden="false" customHeight="false" outlineLevel="0" collapsed="false">
      <c r="A1185" s="11" t="s">
        <v>1838</v>
      </c>
      <c r="B1185" s="11" t="n">
        <v>1</v>
      </c>
      <c r="C1185" s="11" t="s">
        <v>2347</v>
      </c>
      <c r="D1185" s="93" t="n">
        <v>16</v>
      </c>
      <c r="E1185" s="34" t="n">
        <v>16</v>
      </c>
    </row>
    <row r="1186" customFormat="false" ht="15" hidden="false" customHeight="false" outlineLevel="0" collapsed="false">
      <c r="A1186" s="11" t="s">
        <v>1838</v>
      </c>
      <c r="B1186" s="11" t="n">
        <v>2</v>
      </c>
      <c r="C1186" s="11" t="s">
        <v>2406</v>
      </c>
      <c r="D1186" s="93" t="n">
        <v>-5</v>
      </c>
      <c r="E1186" s="34" t="n">
        <v>-5</v>
      </c>
    </row>
    <row r="1187" customFormat="false" ht="15" hidden="false" customHeight="false" outlineLevel="0" collapsed="false">
      <c r="A1187" s="11" t="s">
        <v>1838</v>
      </c>
      <c r="B1187" s="11" t="n">
        <v>3</v>
      </c>
      <c r="C1187" s="11" t="s">
        <v>2407</v>
      </c>
      <c r="D1187" s="93" t="n">
        <v>4</v>
      </c>
      <c r="E1187" s="34" t="n">
        <v>4</v>
      </c>
    </row>
    <row r="1188" customFormat="false" ht="15" hidden="false" customHeight="false" outlineLevel="0" collapsed="false">
      <c r="A1188" s="11" t="s">
        <v>1839</v>
      </c>
      <c r="B1188" s="11" t="n">
        <v>1</v>
      </c>
      <c r="C1188" s="11" t="s">
        <v>2411</v>
      </c>
      <c r="D1188" s="93" t="n">
        <v>11</v>
      </c>
      <c r="E1188" s="34" t="n">
        <v>11</v>
      </c>
    </row>
    <row r="1189" customFormat="false" ht="15" hidden="false" customHeight="false" outlineLevel="0" collapsed="false">
      <c r="A1189" s="11" t="s">
        <v>1839</v>
      </c>
      <c r="B1189" s="11" t="n">
        <v>2</v>
      </c>
      <c r="C1189" s="11" t="s">
        <v>2410</v>
      </c>
      <c r="D1189" s="93" t="n">
        <v>6</v>
      </c>
      <c r="E1189" s="34" t="n">
        <v>6</v>
      </c>
    </row>
    <row r="1190" customFormat="false" ht="15" hidden="false" customHeight="false" outlineLevel="0" collapsed="false">
      <c r="A1190" s="11" t="s">
        <v>1839</v>
      </c>
      <c r="B1190" s="11" t="n">
        <v>3</v>
      </c>
      <c r="C1190" s="11" t="s">
        <v>2412</v>
      </c>
      <c r="D1190" s="93" t="n">
        <v>-3.455</v>
      </c>
      <c r="E1190" s="34" t="n">
        <v>-3.5</v>
      </c>
    </row>
    <row r="1191" customFormat="false" ht="15" hidden="false" customHeight="false" outlineLevel="0" collapsed="false">
      <c r="A1191" s="11" t="s">
        <v>1839</v>
      </c>
      <c r="B1191" s="11" t="n">
        <v>4</v>
      </c>
      <c r="C1191" s="11" t="s">
        <v>102</v>
      </c>
      <c r="D1191" s="93" t="n">
        <v>3</v>
      </c>
      <c r="E1191" s="34" t="n">
        <v>3</v>
      </c>
    </row>
    <row r="1192" customFormat="false" ht="15" hidden="false" customHeight="false" outlineLevel="0" collapsed="false">
      <c r="A1192" s="11" t="s">
        <v>1840</v>
      </c>
      <c r="B1192" s="11" t="n">
        <v>1</v>
      </c>
      <c r="C1192" s="11" t="s">
        <v>2384</v>
      </c>
      <c r="D1192" s="93" t="n">
        <v>2</v>
      </c>
      <c r="E1192" s="34" t="n">
        <v>2</v>
      </c>
    </row>
    <row r="1193" customFormat="false" ht="15" hidden="false" customHeight="false" outlineLevel="0" collapsed="false">
      <c r="A1193" s="11" t="s">
        <v>1841</v>
      </c>
      <c r="B1193" s="11" t="n">
        <v>1</v>
      </c>
      <c r="C1193" s="11" t="s">
        <v>2360</v>
      </c>
      <c r="D1193" s="93" t="n">
        <v>491.69645</v>
      </c>
      <c r="E1193" s="34" t="n">
        <v>491.7</v>
      </c>
    </row>
    <row r="1194" customFormat="false" ht="15" hidden="false" customHeight="false" outlineLevel="0" collapsed="false">
      <c r="A1194" s="11" t="s">
        <v>1841</v>
      </c>
      <c r="B1194" s="11" t="n">
        <v>2</v>
      </c>
      <c r="C1194" s="11" t="s">
        <v>2373</v>
      </c>
      <c r="D1194" s="93" t="n">
        <v>-306.381</v>
      </c>
      <c r="E1194" s="34" t="n">
        <v>-306.4</v>
      </c>
    </row>
    <row r="1195" customFormat="false" ht="15" hidden="false" customHeight="false" outlineLevel="0" collapsed="false">
      <c r="A1195" s="11" t="s">
        <v>1841</v>
      </c>
      <c r="B1195" s="11" t="n">
        <v>3</v>
      </c>
      <c r="C1195" s="11" t="s">
        <v>2362</v>
      </c>
      <c r="D1195" s="93" t="n">
        <v>-195.194</v>
      </c>
      <c r="E1195" s="34" t="n">
        <v>-195.2</v>
      </c>
    </row>
    <row r="1196" customFormat="false" ht="15" hidden="false" customHeight="false" outlineLevel="0" collapsed="false">
      <c r="A1196" s="11" t="s">
        <v>1841</v>
      </c>
      <c r="B1196" s="11" t="n">
        <v>4</v>
      </c>
      <c r="C1196" s="11" t="s">
        <v>2439</v>
      </c>
      <c r="D1196" s="93" t="n">
        <v>114.8304</v>
      </c>
      <c r="E1196" s="34" t="n">
        <v>114.9</v>
      </c>
    </row>
    <row r="1197" customFormat="false" ht="15" hidden="false" customHeight="false" outlineLevel="0" collapsed="false">
      <c r="A1197" s="11" t="s">
        <v>1842</v>
      </c>
      <c r="B1197" s="11" t="n">
        <v>1</v>
      </c>
      <c r="C1197" s="11" t="s">
        <v>2365</v>
      </c>
      <c r="D1197" s="93" t="n">
        <v>491.69645</v>
      </c>
      <c r="E1197" s="34" t="n">
        <v>491.7</v>
      </c>
    </row>
    <row r="1198" customFormat="false" ht="15" hidden="false" customHeight="false" outlineLevel="0" collapsed="false">
      <c r="A1198" s="11" t="s">
        <v>1842</v>
      </c>
      <c r="B1198" s="11" t="n">
        <v>2</v>
      </c>
      <c r="C1198" s="11" t="s">
        <v>2366</v>
      </c>
      <c r="D1198" s="93" t="n">
        <v>-195.194</v>
      </c>
      <c r="E1198" s="34" t="n">
        <v>-195.2</v>
      </c>
    </row>
    <row r="1199" customFormat="false" ht="15" hidden="false" customHeight="false" outlineLevel="0" collapsed="false">
      <c r="A1199" s="11" t="s">
        <v>1842</v>
      </c>
      <c r="B1199" s="11" t="n">
        <v>3</v>
      </c>
      <c r="C1199" s="11" t="s">
        <v>2367</v>
      </c>
      <c r="D1199" s="93" t="n">
        <v>-70</v>
      </c>
      <c r="E1199" s="34" t="n">
        <v>-70</v>
      </c>
    </row>
    <row r="1200" customFormat="false" ht="15" hidden="false" customHeight="false" outlineLevel="0" collapsed="false">
      <c r="A1200" s="11" t="s">
        <v>1843</v>
      </c>
      <c r="B1200" s="11" t="n">
        <v>1</v>
      </c>
      <c r="C1200" s="11" t="s">
        <v>2368</v>
      </c>
      <c r="D1200" s="93" t="n">
        <v>10</v>
      </c>
      <c r="E1200" s="34" t="n">
        <v>10</v>
      </c>
    </row>
    <row r="1201" customFormat="false" ht="15" hidden="false" customHeight="false" outlineLevel="0" collapsed="false">
      <c r="A1201" s="11" t="s">
        <v>1844</v>
      </c>
      <c r="B1201" s="11" t="n">
        <v>1</v>
      </c>
      <c r="C1201" s="11" t="s">
        <v>2369</v>
      </c>
      <c r="D1201" s="93" t="n">
        <v>-20</v>
      </c>
      <c r="E1201" s="34" t="n">
        <v>-20</v>
      </c>
    </row>
    <row r="1202" customFormat="false" ht="15" hidden="false" customHeight="false" outlineLevel="0" collapsed="false">
      <c r="A1202" s="11" t="s">
        <v>1845</v>
      </c>
      <c r="B1202" s="11" t="n">
        <v>1</v>
      </c>
      <c r="C1202" s="11" t="s">
        <v>2376</v>
      </c>
      <c r="D1202" s="93" t="n">
        <v>109</v>
      </c>
      <c r="E1202" s="34" t="n">
        <v>109</v>
      </c>
    </row>
    <row r="1203" customFormat="false" ht="15" hidden="false" customHeight="false" outlineLevel="0" collapsed="false">
      <c r="A1203" s="11" t="s">
        <v>1845</v>
      </c>
      <c r="B1203" s="11" t="n">
        <v>2</v>
      </c>
      <c r="C1203" s="11" t="s">
        <v>2377</v>
      </c>
      <c r="D1203" s="93" t="n">
        <v>-72.001</v>
      </c>
      <c r="E1203" s="34" t="n">
        <v>-72</v>
      </c>
    </row>
    <row r="1204" customFormat="false" ht="15" hidden="false" customHeight="false" outlineLevel="0" collapsed="false">
      <c r="A1204" s="11" t="s">
        <v>1846</v>
      </c>
      <c r="B1204" s="11" t="n">
        <v>1</v>
      </c>
      <c r="C1204" s="11" t="s">
        <v>2378</v>
      </c>
      <c r="D1204" s="93" t="n">
        <v>-67</v>
      </c>
      <c r="E1204" s="34" t="n">
        <v>-67</v>
      </c>
    </row>
    <row r="1205" customFormat="false" ht="15" hidden="false" customHeight="false" outlineLevel="0" collapsed="false">
      <c r="A1205" s="11" t="s">
        <v>1846</v>
      </c>
      <c r="B1205" s="11" t="n">
        <v>2</v>
      </c>
      <c r="C1205" s="11" t="s">
        <v>2379</v>
      </c>
      <c r="D1205" s="93" t="n">
        <v>17.671</v>
      </c>
      <c r="E1205" s="34" t="n">
        <v>17.7</v>
      </c>
    </row>
    <row r="1206" customFormat="false" ht="15" hidden="false" customHeight="false" outlineLevel="0" collapsed="false">
      <c r="A1206" s="11" t="s">
        <v>1846</v>
      </c>
      <c r="B1206" s="11" t="n">
        <v>3</v>
      </c>
      <c r="C1206" s="11" t="s">
        <v>2394</v>
      </c>
      <c r="D1206" s="93" t="n">
        <v>-15.25</v>
      </c>
      <c r="E1206" s="34" t="n">
        <v>-15.3</v>
      </c>
    </row>
    <row r="1207" customFormat="false" ht="15" hidden="false" customHeight="false" outlineLevel="0" collapsed="false">
      <c r="A1207" s="11" t="s">
        <v>1846</v>
      </c>
      <c r="B1207" s="11" t="n">
        <v>4</v>
      </c>
      <c r="C1207" s="11" t="s">
        <v>2356</v>
      </c>
      <c r="D1207" s="93" t="n">
        <v>27.2164</v>
      </c>
      <c r="E1207" s="34" t="n">
        <v>27.2</v>
      </c>
    </row>
    <row r="1208" customFormat="false" ht="15" hidden="false" customHeight="false" outlineLevel="0" collapsed="false">
      <c r="A1208" s="11" t="s">
        <v>1847</v>
      </c>
      <c r="B1208" s="11" t="n">
        <v>1</v>
      </c>
      <c r="C1208" s="11" t="s">
        <v>2381</v>
      </c>
      <c r="D1208" s="93" t="n">
        <v>-306.381</v>
      </c>
      <c r="E1208" s="34" t="n">
        <v>-306.4</v>
      </c>
    </row>
    <row r="1209" customFormat="false" ht="15" hidden="false" customHeight="false" outlineLevel="0" collapsed="false">
      <c r="A1209" s="11" t="s">
        <v>1847</v>
      </c>
      <c r="B1209" s="11" t="n">
        <v>2</v>
      </c>
      <c r="C1209" s="11" t="s">
        <v>2382</v>
      </c>
      <c r="D1209" s="93" t="n">
        <v>195.194</v>
      </c>
      <c r="E1209" s="34" t="n">
        <v>195.2</v>
      </c>
    </row>
    <row r="1210" customFormat="false" ht="15" hidden="false" customHeight="false" outlineLevel="0" collapsed="false">
      <c r="A1210" s="11" t="s">
        <v>1848</v>
      </c>
      <c r="B1210" s="11" t="n">
        <v>1</v>
      </c>
      <c r="C1210" s="11" t="s">
        <v>2360</v>
      </c>
      <c r="D1210" s="93" t="n">
        <v>491.69645</v>
      </c>
      <c r="E1210" s="34" t="n">
        <v>491.7</v>
      </c>
    </row>
    <row r="1211" customFormat="false" ht="15" hidden="false" customHeight="false" outlineLevel="0" collapsed="false">
      <c r="A1211" s="11" t="s">
        <v>1848</v>
      </c>
      <c r="B1211" s="11" t="n">
        <v>2</v>
      </c>
      <c r="C1211" s="11" t="s">
        <v>2421</v>
      </c>
      <c r="D1211" s="93" t="n">
        <v>-445.366</v>
      </c>
      <c r="E1211" s="34" t="n">
        <v>-445.4</v>
      </c>
    </row>
    <row r="1212" customFormat="false" ht="15" hidden="false" customHeight="false" outlineLevel="0" collapsed="false">
      <c r="A1212" s="11" t="s">
        <v>1848</v>
      </c>
      <c r="B1212" s="11" t="n">
        <v>3</v>
      </c>
      <c r="C1212" s="11" t="s">
        <v>2422</v>
      </c>
      <c r="D1212" s="93" t="n">
        <v>376.381</v>
      </c>
      <c r="E1212" s="34" t="n">
        <v>376.4</v>
      </c>
    </row>
    <row r="1213" customFormat="false" ht="15" hidden="false" customHeight="false" outlineLevel="0" collapsed="false">
      <c r="A1213" s="11" t="s">
        <v>1848</v>
      </c>
      <c r="B1213" s="11" t="n">
        <v>4</v>
      </c>
      <c r="C1213" s="11" t="s">
        <v>2423</v>
      </c>
      <c r="D1213" s="93" t="n">
        <v>-359.1996</v>
      </c>
      <c r="E1213" s="34" t="n">
        <v>-359.2</v>
      </c>
    </row>
    <row r="1214" customFormat="false" ht="15" hidden="false" customHeight="false" outlineLevel="0" collapsed="false">
      <c r="A1214" s="11" t="s">
        <v>1854</v>
      </c>
      <c r="B1214" s="11" t="n">
        <v>1</v>
      </c>
      <c r="C1214" s="11" t="s">
        <v>417</v>
      </c>
      <c r="D1214" s="93" t="n">
        <v>63.51185</v>
      </c>
      <c r="E1214" s="34" t="n">
        <v>63.5</v>
      </c>
    </row>
    <row r="1215" customFormat="false" ht="15" hidden="false" customHeight="false" outlineLevel="0" collapsed="false">
      <c r="A1215" s="11" t="s">
        <v>1855</v>
      </c>
      <c r="B1215" s="11" t="n">
        <v>1</v>
      </c>
      <c r="C1215" s="11" t="s">
        <v>2336</v>
      </c>
      <c r="D1215" s="93" t="n">
        <v>2318.866</v>
      </c>
      <c r="E1215" s="34" t="n">
        <v>2318.9</v>
      </c>
    </row>
    <row r="1216" customFormat="false" ht="15" hidden="false" customHeight="false" outlineLevel="0" collapsed="false">
      <c r="A1216" s="11" t="s">
        <v>1855</v>
      </c>
      <c r="B1216" s="11" t="n">
        <v>2</v>
      </c>
      <c r="C1216" s="11" t="s">
        <v>2397</v>
      </c>
      <c r="D1216" s="93" t="n">
        <v>1190.939</v>
      </c>
      <c r="E1216" s="34" t="n">
        <v>1190.9</v>
      </c>
    </row>
    <row r="1217" customFormat="false" ht="15" hidden="false" customHeight="false" outlineLevel="0" collapsed="false">
      <c r="A1217" s="11" t="s">
        <v>1855</v>
      </c>
      <c r="B1217" s="11" t="n">
        <v>3</v>
      </c>
      <c r="C1217" s="11" t="s">
        <v>2338</v>
      </c>
      <c r="D1217" s="93" t="n">
        <v>-606.586</v>
      </c>
      <c r="E1217" s="34" t="n">
        <v>-606.6</v>
      </c>
    </row>
    <row r="1218" customFormat="false" ht="15" hidden="false" customHeight="false" outlineLevel="0" collapsed="false">
      <c r="A1218" s="11" t="s">
        <v>1855</v>
      </c>
      <c r="B1218" s="11" t="n">
        <v>4</v>
      </c>
      <c r="C1218" s="11" t="s">
        <v>127</v>
      </c>
      <c r="D1218" s="93" t="n">
        <v>-207.552</v>
      </c>
      <c r="E1218" s="34" t="n">
        <v>-207.5</v>
      </c>
    </row>
    <row r="1219" customFormat="false" ht="15" hidden="false" customHeight="false" outlineLevel="0" collapsed="false">
      <c r="A1219" s="11" t="s">
        <v>1856</v>
      </c>
      <c r="B1219" s="11" t="n">
        <v>1</v>
      </c>
      <c r="C1219" s="11" t="s">
        <v>1184</v>
      </c>
      <c r="D1219" s="93" t="n">
        <v>360</v>
      </c>
      <c r="E1219" s="34" t="n">
        <v>360</v>
      </c>
    </row>
    <row r="1220" customFormat="false" ht="15" hidden="false" customHeight="false" outlineLevel="0" collapsed="false">
      <c r="A1220" s="11" t="s">
        <v>1856</v>
      </c>
      <c r="B1220" s="11" t="n">
        <v>2</v>
      </c>
      <c r="C1220" s="11" t="s">
        <v>2440</v>
      </c>
      <c r="D1220" s="93" t="n">
        <v>-270</v>
      </c>
      <c r="E1220" s="34" t="n">
        <v>-270</v>
      </c>
    </row>
    <row r="1221" customFormat="false" ht="15" hidden="false" customHeight="false" outlineLevel="0" collapsed="false">
      <c r="A1221" s="11" t="s">
        <v>1856</v>
      </c>
      <c r="B1221" s="11" t="n">
        <v>3</v>
      </c>
      <c r="C1221" s="11" t="s">
        <v>2441</v>
      </c>
      <c r="D1221" s="93" t="n">
        <v>-245</v>
      </c>
      <c r="E1221" s="34" t="n">
        <v>-245</v>
      </c>
    </row>
    <row r="1222" customFormat="false" ht="15" hidden="false" customHeight="false" outlineLevel="0" collapsed="false">
      <c r="A1222" s="11" t="s">
        <v>1856</v>
      </c>
      <c r="B1222" s="11" t="n">
        <v>4</v>
      </c>
      <c r="C1222" s="11" t="s">
        <v>2416</v>
      </c>
      <c r="D1222" s="93" t="n">
        <v>595</v>
      </c>
      <c r="E1222" s="34" t="n">
        <v>595</v>
      </c>
    </row>
    <row r="1223" customFormat="false" ht="15" hidden="false" customHeight="false" outlineLevel="0" collapsed="false">
      <c r="A1223" s="11" t="s">
        <v>1857</v>
      </c>
      <c r="B1223" s="11" t="n">
        <v>1</v>
      </c>
      <c r="C1223" s="11" t="s">
        <v>2336</v>
      </c>
      <c r="D1223" s="93" t="n">
        <v>2318.866</v>
      </c>
      <c r="E1223" s="34" t="n">
        <v>2318.9</v>
      </c>
    </row>
    <row r="1224" customFormat="false" ht="15" hidden="false" customHeight="false" outlineLevel="0" collapsed="false">
      <c r="A1224" s="11" t="s">
        <v>1857</v>
      </c>
      <c r="B1224" s="11" t="n">
        <v>2</v>
      </c>
      <c r="C1224" s="11" t="s">
        <v>2397</v>
      </c>
      <c r="D1224" s="93" t="n">
        <v>1190.939</v>
      </c>
      <c r="E1224" s="34" t="n">
        <v>1190.9</v>
      </c>
    </row>
    <row r="1225" customFormat="false" ht="15" hidden="false" customHeight="false" outlineLevel="0" collapsed="false">
      <c r="A1225" s="11" t="s">
        <v>1857</v>
      </c>
      <c r="B1225" s="11" t="n">
        <v>3</v>
      </c>
      <c r="C1225" s="11" t="s">
        <v>2338</v>
      </c>
      <c r="D1225" s="93" t="n">
        <v>-606.586</v>
      </c>
      <c r="E1225" s="34" t="n">
        <v>-606.6</v>
      </c>
    </row>
    <row r="1226" customFormat="false" ht="15" hidden="false" customHeight="false" outlineLevel="0" collapsed="false">
      <c r="A1226" s="11" t="s">
        <v>1857</v>
      </c>
      <c r="B1226" s="11" t="n">
        <v>4</v>
      </c>
      <c r="C1226" s="11" t="s">
        <v>2415</v>
      </c>
      <c r="D1226" s="93" t="n">
        <v>232.448</v>
      </c>
      <c r="E1226" s="34" t="n">
        <v>232.5</v>
      </c>
    </row>
    <row r="1227" customFormat="false" ht="15" hidden="false" customHeight="false" outlineLevel="0" collapsed="false">
      <c r="A1227" s="11" t="s">
        <v>1858</v>
      </c>
      <c r="B1227" s="11" t="n">
        <v>1</v>
      </c>
      <c r="C1227" s="11" t="s">
        <v>2398</v>
      </c>
      <c r="D1227" s="93" t="n">
        <v>427.9743</v>
      </c>
      <c r="E1227" s="34" t="n">
        <v>428</v>
      </c>
    </row>
    <row r="1228" customFormat="false" ht="15" hidden="false" customHeight="false" outlineLevel="0" collapsed="false">
      <c r="A1228" s="11" t="s">
        <v>1858</v>
      </c>
      <c r="B1228" s="11" t="n">
        <v>2</v>
      </c>
      <c r="C1228" s="11" t="s">
        <v>2342</v>
      </c>
      <c r="D1228" s="93" t="n">
        <v>230</v>
      </c>
      <c r="E1228" s="34" t="n">
        <v>230</v>
      </c>
    </row>
    <row r="1229" customFormat="false" ht="15" hidden="false" customHeight="false" outlineLevel="0" collapsed="false">
      <c r="A1229" s="11" t="s">
        <v>1858</v>
      </c>
      <c r="B1229" s="11" t="n">
        <v>3</v>
      </c>
      <c r="C1229" s="11" t="s">
        <v>2399</v>
      </c>
      <c r="D1229" s="93" t="n">
        <v>76.3821</v>
      </c>
      <c r="E1229" s="34" t="n">
        <v>76.4</v>
      </c>
    </row>
    <row r="1230" customFormat="false" ht="15" hidden="false" customHeight="false" outlineLevel="0" collapsed="false">
      <c r="A1230" s="11" t="s">
        <v>1858</v>
      </c>
      <c r="B1230" s="11" t="n">
        <v>4</v>
      </c>
      <c r="C1230" s="11" t="s">
        <v>2442</v>
      </c>
      <c r="D1230" s="93" t="n">
        <v>153.7233</v>
      </c>
      <c r="E1230" s="34" t="n">
        <v>153.7</v>
      </c>
    </row>
    <row r="1231" customFormat="false" ht="15" hidden="false" customHeight="false" outlineLevel="0" collapsed="false">
      <c r="A1231" s="11" t="s">
        <v>1859</v>
      </c>
      <c r="B1231" s="11" t="n">
        <v>1</v>
      </c>
      <c r="C1231" s="11" t="s">
        <v>2342</v>
      </c>
      <c r="D1231" s="93" t="n">
        <v>230</v>
      </c>
      <c r="E1231" s="34" t="n">
        <v>230</v>
      </c>
    </row>
    <row r="1232" customFormat="false" ht="15" hidden="false" customHeight="false" outlineLevel="0" collapsed="false">
      <c r="A1232" s="11" t="s">
        <v>1859</v>
      </c>
      <c r="B1232" s="11" t="n">
        <v>2</v>
      </c>
      <c r="C1232" s="11" t="s">
        <v>2401</v>
      </c>
      <c r="D1232" s="93" t="n">
        <v>10</v>
      </c>
      <c r="E1232" s="34" t="n">
        <v>10</v>
      </c>
    </row>
    <row r="1233" customFormat="false" ht="15" hidden="false" customHeight="false" outlineLevel="0" collapsed="false">
      <c r="A1233" s="11" t="s">
        <v>1859</v>
      </c>
      <c r="B1233" s="11" t="n">
        <v>3</v>
      </c>
      <c r="C1233" s="11" t="s">
        <v>2402</v>
      </c>
      <c r="D1233" s="93" t="n">
        <v>9.5</v>
      </c>
      <c r="E1233" s="34" t="n">
        <v>9.5</v>
      </c>
    </row>
    <row r="1234" customFormat="false" ht="15" hidden="false" customHeight="false" outlineLevel="0" collapsed="false">
      <c r="A1234" s="11" t="s">
        <v>1860</v>
      </c>
      <c r="B1234" s="11" t="n">
        <v>1</v>
      </c>
      <c r="C1234" s="11" t="s">
        <v>2398</v>
      </c>
      <c r="D1234" s="93" t="n">
        <v>138.8015</v>
      </c>
      <c r="E1234" s="34" t="n">
        <v>138.8</v>
      </c>
    </row>
    <row r="1235" customFormat="false" ht="15" hidden="false" customHeight="false" outlineLevel="0" collapsed="false">
      <c r="A1235" s="11" t="s">
        <v>1860</v>
      </c>
      <c r="B1235" s="11" t="n">
        <v>2</v>
      </c>
      <c r="C1235" s="11" t="s">
        <v>2399</v>
      </c>
      <c r="D1235" s="93" t="n">
        <v>15.207</v>
      </c>
      <c r="E1235" s="34" t="n">
        <v>15.2</v>
      </c>
    </row>
    <row r="1236" customFormat="false" ht="15" hidden="false" customHeight="false" outlineLevel="0" collapsed="false">
      <c r="A1236" s="11" t="s">
        <v>1860</v>
      </c>
      <c r="B1236" s="11" t="n">
        <v>3</v>
      </c>
      <c r="C1236" s="11" t="s">
        <v>2403</v>
      </c>
      <c r="D1236" s="93" t="n">
        <v>12.19125</v>
      </c>
      <c r="E1236" s="34" t="n">
        <v>12.2</v>
      </c>
    </row>
    <row r="1237" customFormat="false" ht="15" hidden="false" customHeight="false" outlineLevel="0" collapsed="false">
      <c r="A1237" s="11" t="s">
        <v>1860</v>
      </c>
      <c r="B1237" s="11" t="n">
        <v>4</v>
      </c>
      <c r="C1237" s="11" t="s">
        <v>102</v>
      </c>
      <c r="D1237" s="93" t="n">
        <v>2.375</v>
      </c>
      <c r="E1237" s="34" t="n">
        <v>2.4</v>
      </c>
    </row>
    <row r="1238" customFormat="false" ht="15" hidden="false" customHeight="false" outlineLevel="0" collapsed="false">
      <c r="A1238" s="11" t="s">
        <v>1861</v>
      </c>
      <c r="B1238" s="11" t="n">
        <v>1</v>
      </c>
      <c r="C1238" s="11" t="s">
        <v>2398</v>
      </c>
      <c r="D1238" s="93" t="n">
        <v>116.8048</v>
      </c>
      <c r="E1238" s="34" t="n">
        <v>116.8</v>
      </c>
    </row>
    <row r="1239" customFormat="false" ht="15" hidden="false" customHeight="false" outlineLevel="0" collapsed="false">
      <c r="A1239" s="11" t="s">
        <v>1861</v>
      </c>
      <c r="B1239" s="11" t="n">
        <v>2</v>
      </c>
      <c r="C1239" s="11" t="s">
        <v>2399</v>
      </c>
      <c r="D1239" s="93" t="n">
        <v>22.2411</v>
      </c>
      <c r="E1239" s="34" t="n">
        <v>22.2</v>
      </c>
    </row>
    <row r="1240" customFormat="false" ht="15" hidden="false" customHeight="false" outlineLevel="0" collapsed="false">
      <c r="A1240" s="11" t="s">
        <v>1861</v>
      </c>
      <c r="B1240" s="11" t="n">
        <v>3</v>
      </c>
      <c r="C1240" s="11" t="s">
        <v>2403</v>
      </c>
      <c r="D1240" s="93" t="n">
        <v>10.2914</v>
      </c>
      <c r="E1240" s="34" t="n">
        <v>10.3</v>
      </c>
    </row>
    <row r="1241" customFormat="false" ht="15" hidden="false" customHeight="false" outlineLevel="0" collapsed="false">
      <c r="A1241" s="11" t="s">
        <v>1861</v>
      </c>
      <c r="B1241" s="11" t="n">
        <v>4</v>
      </c>
      <c r="C1241" s="11" t="s">
        <v>127</v>
      </c>
      <c r="D1241" s="93" t="n">
        <v>2.1</v>
      </c>
      <c r="E1241" s="34" t="n">
        <v>2.1</v>
      </c>
    </row>
    <row r="1242" customFormat="false" ht="15" hidden="false" customHeight="false" outlineLevel="0" collapsed="false">
      <c r="A1242" s="11" t="s">
        <v>1862</v>
      </c>
      <c r="B1242" s="11" t="n">
        <v>1</v>
      </c>
      <c r="C1242" s="11" t="s">
        <v>2398</v>
      </c>
      <c r="D1242" s="93" t="n">
        <v>172.368</v>
      </c>
      <c r="E1242" s="34" t="n">
        <v>172.4</v>
      </c>
    </row>
    <row r="1243" customFormat="false" ht="15" hidden="false" customHeight="false" outlineLevel="0" collapsed="false">
      <c r="A1243" s="11" t="s">
        <v>1862</v>
      </c>
      <c r="B1243" s="11" t="n">
        <v>2</v>
      </c>
      <c r="C1243" s="11" t="s">
        <v>2399</v>
      </c>
      <c r="D1243" s="93" t="n">
        <v>38.934</v>
      </c>
      <c r="E1243" s="34" t="n">
        <v>38.9</v>
      </c>
    </row>
    <row r="1244" customFormat="false" ht="15" hidden="false" customHeight="false" outlineLevel="0" collapsed="false">
      <c r="A1244" s="11" t="s">
        <v>1862</v>
      </c>
      <c r="B1244" s="11" t="n">
        <v>3</v>
      </c>
      <c r="C1244" s="11" t="s">
        <v>2403</v>
      </c>
      <c r="D1244" s="93" t="n">
        <v>14.937</v>
      </c>
      <c r="E1244" s="34" t="n">
        <v>14.9</v>
      </c>
    </row>
    <row r="1245" customFormat="false" ht="15" hidden="false" customHeight="false" outlineLevel="0" collapsed="false">
      <c r="A1245" s="11" t="s">
        <v>1863</v>
      </c>
      <c r="B1245" s="11" t="n">
        <v>1</v>
      </c>
      <c r="C1245" s="11" t="s">
        <v>2344</v>
      </c>
      <c r="D1245" s="93" t="n">
        <v>15.31613</v>
      </c>
      <c r="E1245" s="34" t="n">
        <v>15.3</v>
      </c>
    </row>
    <row r="1246" customFormat="false" ht="15" hidden="false" customHeight="false" outlineLevel="0" collapsed="false">
      <c r="A1246" s="11" t="s">
        <v>1863</v>
      </c>
      <c r="B1246" s="11" t="n">
        <v>2</v>
      </c>
      <c r="C1246" s="11" t="s">
        <v>2404</v>
      </c>
      <c r="D1246" s="93" t="n">
        <v>7.21532</v>
      </c>
      <c r="E1246" s="34" t="n">
        <v>7.2</v>
      </c>
    </row>
    <row r="1247" customFormat="false" ht="15" hidden="false" customHeight="false" outlineLevel="0" collapsed="false">
      <c r="A1247" s="11" t="s">
        <v>1863</v>
      </c>
      <c r="B1247" s="11" t="n">
        <v>3</v>
      </c>
      <c r="C1247" s="11" t="s">
        <v>2443</v>
      </c>
      <c r="D1247" s="93" t="n">
        <v>6.00174</v>
      </c>
      <c r="E1247" s="34" t="n">
        <v>6</v>
      </c>
    </row>
    <row r="1248" customFormat="false" ht="15" hidden="false" customHeight="false" outlineLevel="0" collapsed="false">
      <c r="A1248" s="11" t="s">
        <v>1863</v>
      </c>
      <c r="B1248" s="11" t="n">
        <v>4</v>
      </c>
      <c r="C1248" s="11" t="s">
        <v>109</v>
      </c>
      <c r="D1248" s="93" t="n">
        <v>8.46214</v>
      </c>
      <c r="E1248" s="34" t="n">
        <v>8.5</v>
      </c>
    </row>
    <row r="1249" customFormat="false" ht="15" hidden="false" customHeight="false" outlineLevel="0" collapsed="false">
      <c r="A1249" s="11" t="s">
        <v>1864</v>
      </c>
      <c r="B1249" s="11" t="n">
        <v>1</v>
      </c>
      <c r="C1249" s="11" t="s">
        <v>2405</v>
      </c>
      <c r="D1249" s="93" t="n">
        <v>13.66667</v>
      </c>
      <c r="E1249" s="34" t="n">
        <v>13.7</v>
      </c>
    </row>
    <row r="1250" customFormat="false" ht="15" hidden="false" customHeight="false" outlineLevel="0" collapsed="false">
      <c r="A1250" s="11" t="s">
        <v>1864</v>
      </c>
      <c r="B1250" s="11" t="n">
        <v>2</v>
      </c>
      <c r="C1250" s="11" t="s">
        <v>2346</v>
      </c>
      <c r="D1250" s="93" t="n">
        <v>12.33332</v>
      </c>
      <c r="E1250" s="34" t="n">
        <v>12.3</v>
      </c>
    </row>
    <row r="1251" customFormat="false" ht="15" hidden="false" customHeight="false" outlineLevel="0" collapsed="false">
      <c r="A1251" s="11" t="s">
        <v>1864</v>
      </c>
      <c r="B1251" s="11" t="n">
        <v>3</v>
      </c>
      <c r="C1251" s="11" t="s">
        <v>2444</v>
      </c>
      <c r="D1251" s="93" t="n">
        <v>1.33333</v>
      </c>
      <c r="E1251" s="34" t="n">
        <v>1.3</v>
      </c>
    </row>
    <row r="1252" customFormat="false" ht="15" hidden="false" customHeight="false" outlineLevel="0" collapsed="false">
      <c r="A1252" s="11" t="s">
        <v>1865</v>
      </c>
      <c r="B1252" s="11" t="n">
        <v>1</v>
      </c>
      <c r="C1252" s="11" t="s">
        <v>2407</v>
      </c>
      <c r="D1252" s="93" t="n">
        <v>21.75</v>
      </c>
      <c r="E1252" s="34" t="n">
        <v>21.8</v>
      </c>
    </row>
    <row r="1253" customFormat="false" ht="15" hidden="false" customHeight="false" outlineLevel="0" collapsed="false">
      <c r="A1253" s="11" t="s">
        <v>1865</v>
      </c>
      <c r="B1253" s="11" t="n">
        <v>2</v>
      </c>
      <c r="C1253" s="11" t="s">
        <v>2347</v>
      </c>
      <c r="D1253" s="93" t="n">
        <v>16.5</v>
      </c>
      <c r="E1253" s="34" t="n">
        <v>16.5</v>
      </c>
    </row>
    <row r="1254" customFormat="false" ht="15" hidden="false" customHeight="false" outlineLevel="0" collapsed="false">
      <c r="A1254" s="11" t="s">
        <v>1865</v>
      </c>
      <c r="B1254" s="11" t="n">
        <v>3</v>
      </c>
      <c r="C1254" s="11" t="s">
        <v>2406</v>
      </c>
      <c r="D1254" s="93" t="n">
        <v>-10.25</v>
      </c>
      <c r="E1254" s="34" t="n">
        <v>-10.3</v>
      </c>
    </row>
    <row r="1255" customFormat="false" ht="15" hidden="false" customHeight="false" outlineLevel="0" collapsed="false">
      <c r="A1255" s="11" t="s">
        <v>1866</v>
      </c>
      <c r="B1255" s="11" t="n">
        <v>1</v>
      </c>
      <c r="C1255" s="11" t="s">
        <v>2398</v>
      </c>
      <c r="D1255" s="93" t="n">
        <v>168.715</v>
      </c>
      <c r="E1255" s="34" t="n">
        <v>168.7</v>
      </c>
    </row>
    <row r="1256" customFormat="false" ht="15" hidden="false" customHeight="false" outlineLevel="0" collapsed="false">
      <c r="A1256" s="11" t="s">
        <v>1866</v>
      </c>
      <c r="B1256" s="11" t="n">
        <v>2</v>
      </c>
      <c r="C1256" s="11" t="s">
        <v>2399</v>
      </c>
      <c r="D1256" s="93" t="n">
        <v>27.868</v>
      </c>
      <c r="E1256" s="34" t="n">
        <v>27.9</v>
      </c>
    </row>
    <row r="1257" customFormat="false" ht="15" hidden="false" customHeight="false" outlineLevel="0" collapsed="false">
      <c r="A1257" s="11" t="s">
        <v>1866</v>
      </c>
      <c r="B1257" s="11" t="n">
        <v>3</v>
      </c>
      <c r="C1257" s="11" t="s">
        <v>2403</v>
      </c>
      <c r="D1257" s="93" t="n">
        <v>14.833</v>
      </c>
      <c r="E1257" s="34" t="n">
        <v>14.8</v>
      </c>
    </row>
    <row r="1258" customFormat="false" ht="15" hidden="false" customHeight="false" outlineLevel="0" collapsed="false">
      <c r="A1258" s="11" t="s">
        <v>1867</v>
      </c>
      <c r="B1258" s="11" t="n">
        <v>1</v>
      </c>
      <c r="C1258" s="11" t="s">
        <v>2398</v>
      </c>
      <c r="D1258" s="93" t="n">
        <v>596.6893</v>
      </c>
      <c r="E1258" s="34" t="n">
        <v>596.7</v>
      </c>
    </row>
    <row r="1259" customFormat="false" ht="15" hidden="false" customHeight="false" outlineLevel="0" collapsed="false">
      <c r="A1259" s="11" t="s">
        <v>1867</v>
      </c>
      <c r="B1259" s="11" t="n">
        <v>2</v>
      </c>
      <c r="C1259" s="11" t="s">
        <v>2342</v>
      </c>
      <c r="D1259" s="93" t="n">
        <v>230</v>
      </c>
      <c r="E1259" s="34" t="n">
        <v>230</v>
      </c>
    </row>
    <row r="1260" customFormat="false" ht="15" hidden="false" customHeight="false" outlineLevel="0" collapsed="false">
      <c r="A1260" s="11" t="s">
        <v>1867</v>
      </c>
      <c r="B1260" s="11" t="n">
        <v>3</v>
      </c>
      <c r="C1260" s="11" t="s">
        <v>2399</v>
      </c>
      <c r="D1260" s="93" t="n">
        <v>104.2501</v>
      </c>
      <c r="E1260" s="34" t="n">
        <v>104.2</v>
      </c>
    </row>
    <row r="1261" customFormat="false" ht="15" hidden="false" customHeight="false" outlineLevel="0" collapsed="false">
      <c r="A1261" s="11" t="s">
        <v>1867</v>
      </c>
      <c r="B1261" s="11" t="n">
        <v>4</v>
      </c>
      <c r="C1261" s="11" t="s">
        <v>2442</v>
      </c>
      <c r="D1261" s="93" t="n">
        <v>168.5563</v>
      </c>
      <c r="E1261" s="34" t="n">
        <v>168.6</v>
      </c>
    </row>
    <row r="1262" customFormat="false" ht="15" hidden="false" customHeight="false" outlineLevel="0" collapsed="false">
      <c r="A1262" s="11" t="s">
        <v>1868</v>
      </c>
      <c r="B1262" s="11" t="n">
        <v>1</v>
      </c>
      <c r="C1262" s="11" t="s">
        <v>91</v>
      </c>
      <c r="D1262" s="93" t="n">
        <v>3135.667</v>
      </c>
      <c r="E1262" s="34" t="n">
        <v>3135.7</v>
      </c>
    </row>
    <row r="1263" customFormat="false" ht="15" hidden="false" customHeight="false" outlineLevel="0" collapsed="false">
      <c r="A1263" s="11" t="s">
        <v>1868</v>
      </c>
      <c r="B1263" s="11" t="n">
        <v>2</v>
      </c>
      <c r="C1263" s="11" t="s">
        <v>101</v>
      </c>
      <c r="D1263" s="93" t="n">
        <v>-1099.4957</v>
      </c>
      <c r="E1263" s="34" t="n">
        <v>-1099.5</v>
      </c>
    </row>
    <row r="1264" customFormat="false" ht="15" hidden="false" customHeight="false" outlineLevel="0" collapsed="false">
      <c r="A1264" s="11" t="s">
        <v>1869</v>
      </c>
      <c r="B1264" s="11" t="n">
        <v>1</v>
      </c>
      <c r="C1264" s="11" t="s">
        <v>2398</v>
      </c>
      <c r="D1264" s="93" t="n">
        <v>416.4045</v>
      </c>
      <c r="E1264" s="34" t="n">
        <v>416.4</v>
      </c>
    </row>
    <row r="1265" customFormat="false" ht="15" hidden="false" customHeight="false" outlineLevel="0" collapsed="false">
      <c r="A1265" s="11" t="s">
        <v>1869</v>
      </c>
      <c r="B1265" s="11" t="n">
        <v>2</v>
      </c>
      <c r="C1265" s="11" t="s">
        <v>2349</v>
      </c>
      <c r="D1265" s="93" t="n">
        <v>66</v>
      </c>
      <c r="E1265" s="34" t="n">
        <v>66</v>
      </c>
    </row>
    <row r="1266" customFormat="false" ht="15" hidden="false" customHeight="false" outlineLevel="0" collapsed="false">
      <c r="A1266" s="11" t="s">
        <v>1869</v>
      </c>
      <c r="B1266" s="11" t="n">
        <v>3</v>
      </c>
      <c r="C1266" s="11" t="s">
        <v>2399</v>
      </c>
      <c r="D1266" s="93" t="n">
        <v>45.621</v>
      </c>
      <c r="E1266" s="34" t="n">
        <v>45.6</v>
      </c>
    </row>
    <row r="1267" customFormat="false" ht="15" hidden="false" customHeight="false" outlineLevel="0" collapsed="false">
      <c r="A1267" s="11" t="s">
        <v>1869</v>
      </c>
      <c r="B1267" s="11" t="n">
        <v>4</v>
      </c>
      <c r="C1267" s="11" t="s">
        <v>2427</v>
      </c>
      <c r="D1267" s="93" t="n">
        <v>164.30265</v>
      </c>
      <c r="E1267" s="34" t="n">
        <v>164.3</v>
      </c>
    </row>
    <row r="1268" customFormat="false" ht="15" hidden="false" customHeight="false" outlineLevel="0" collapsed="false">
      <c r="A1268" s="11" t="s">
        <v>1870</v>
      </c>
      <c r="B1268" s="11" t="n">
        <v>1</v>
      </c>
      <c r="C1268" s="11" t="s">
        <v>2398</v>
      </c>
      <c r="D1268" s="93" t="n">
        <v>416.4045</v>
      </c>
      <c r="E1268" s="34" t="n">
        <v>416.4</v>
      </c>
    </row>
    <row r="1269" customFormat="false" ht="15" hidden="false" customHeight="false" outlineLevel="0" collapsed="false">
      <c r="A1269" s="11" t="s">
        <v>1870</v>
      </c>
      <c r="B1269" s="11" t="n">
        <v>2</v>
      </c>
      <c r="C1269" s="11" t="s">
        <v>2399</v>
      </c>
      <c r="D1269" s="93" t="n">
        <v>45.621</v>
      </c>
      <c r="E1269" s="34" t="n">
        <v>45.6</v>
      </c>
    </row>
    <row r="1270" customFormat="false" ht="15" hidden="false" customHeight="false" outlineLevel="0" collapsed="false">
      <c r="A1270" s="11" t="s">
        <v>1870</v>
      </c>
      <c r="B1270" s="11" t="n">
        <v>3</v>
      </c>
      <c r="C1270" s="11" t="s">
        <v>2403</v>
      </c>
      <c r="D1270" s="93" t="n">
        <v>36.57375</v>
      </c>
      <c r="E1270" s="34" t="n">
        <v>36.6</v>
      </c>
    </row>
    <row r="1271" customFormat="false" ht="15" hidden="false" customHeight="false" outlineLevel="0" collapsed="false">
      <c r="A1271" s="11" t="s">
        <v>1870</v>
      </c>
      <c r="B1271" s="11" t="n">
        <v>4</v>
      </c>
      <c r="C1271" s="11" t="s">
        <v>102</v>
      </c>
      <c r="D1271" s="93" t="n">
        <v>7.125</v>
      </c>
      <c r="E1271" s="34" t="n">
        <v>7.1</v>
      </c>
    </row>
    <row r="1272" customFormat="false" ht="15" hidden="false" customHeight="false" outlineLevel="0" collapsed="false">
      <c r="A1272" s="11" t="s">
        <v>1871</v>
      </c>
      <c r="B1272" s="11" t="n">
        <v>1</v>
      </c>
      <c r="C1272" s="11" t="s">
        <v>2349</v>
      </c>
      <c r="D1272" s="93" t="n">
        <v>66</v>
      </c>
      <c r="E1272" s="34" t="n">
        <v>66</v>
      </c>
    </row>
    <row r="1273" customFormat="false" ht="15" hidden="false" customHeight="false" outlineLevel="0" collapsed="false">
      <c r="A1273" s="11" t="s">
        <v>1871</v>
      </c>
      <c r="B1273" s="11" t="n">
        <v>2</v>
      </c>
      <c r="C1273" s="11" t="s">
        <v>2428</v>
      </c>
      <c r="D1273" s="93" t="n">
        <v>8</v>
      </c>
      <c r="E1273" s="34" t="n">
        <v>8</v>
      </c>
    </row>
    <row r="1274" customFormat="false" ht="15" hidden="false" customHeight="false" outlineLevel="0" collapsed="false">
      <c r="A1274" s="11" t="s">
        <v>1872</v>
      </c>
      <c r="B1274" s="11" t="n">
        <v>1</v>
      </c>
      <c r="C1274" s="11" t="s">
        <v>2404</v>
      </c>
      <c r="D1274" s="93" t="n">
        <v>14.31064</v>
      </c>
      <c r="E1274" s="34" t="n">
        <v>14.3</v>
      </c>
    </row>
    <row r="1275" customFormat="false" ht="15" hidden="false" customHeight="false" outlineLevel="0" collapsed="false">
      <c r="A1275" s="11" t="s">
        <v>1872</v>
      </c>
      <c r="B1275" s="11" t="n">
        <v>2</v>
      </c>
      <c r="C1275" s="11" t="s">
        <v>2443</v>
      </c>
      <c r="D1275" s="93" t="n">
        <v>11.92339</v>
      </c>
      <c r="E1275" s="34" t="n">
        <v>11.9</v>
      </c>
    </row>
    <row r="1276" customFormat="false" ht="15" hidden="false" customHeight="false" outlineLevel="0" collapsed="false">
      <c r="A1276" s="11" t="s">
        <v>1872</v>
      </c>
      <c r="B1276" s="11" t="n">
        <v>3</v>
      </c>
      <c r="C1276" s="11" t="s">
        <v>2408</v>
      </c>
      <c r="D1276" s="93" t="n">
        <v>8.64681</v>
      </c>
      <c r="E1276" s="34" t="n">
        <v>8.7</v>
      </c>
    </row>
    <row r="1277" customFormat="false" ht="15" hidden="false" customHeight="false" outlineLevel="0" collapsed="false">
      <c r="A1277" s="11" t="s">
        <v>1872</v>
      </c>
      <c r="B1277" s="11" t="n">
        <v>4</v>
      </c>
      <c r="C1277" s="11" t="s">
        <v>109</v>
      </c>
      <c r="D1277" s="93" t="n">
        <v>8.38976</v>
      </c>
      <c r="E1277" s="34" t="n">
        <v>8.4</v>
      </c>
    </row>
    <row r="1278" customFormat="false" ht="15" hidden="false" customHeight="false" outlineLevel="0" collapsed="false">
      <c r="A1278" s="11" t="s">
        <v>1873</v>
      </c>
      <c r="B1278" s="11" t="n">
        <v>1</v>
      </c>
      <c r="C1278" s="11" t="s">
        <v>2405</v>
      </c>
      <c r="D1278" s="93" t="n">
        <v>13.66667</v>
      </c>
      <c r="E1278" s="34" t="n">
        <v>13.7</v>
      </c>
    </row>
    <row r="1279" customFormat="false" ht="15" hidden="false" customHeight="false" outlineLevel="0" collapsed="false">
      <c r="A1279" s="11" t="s">
        <v>1873</v>
      </c>
      <c r="B1279" s="11" t="n">
        <v>2</v>
      </c>
      <c r="C1279" s="11" t="s">
        <v>2346</v>
      </c>
      <c r="D1279" s="93" t="n">
        <v>12.33332</v>
      </c>
      <c r="E1279" s="34" t="n">
        <v>12.3</v>
      </c>
    </row>
    <row r="1280" customFormat="false" ht="15" hidden="false" customHeight="false" outlineLevel="0" collapsed="false">
      <c r="A1280" s="11" t="s">
        <v>1873</v>
      </c>
      <c r="B1280" s="11" t="n">
        <v>3</v>
      </c>
      <c r="C1280" s="11" t="s">
        <v>2444</v>
      </c>
      <c r="D1280" s="93" t="n">
        <v>1.33333</v>
      </c>
      <c r="E1280" s="34" t="n">
        <v>1.3</v>
      </c>
    </row>
    <row r="1281" customFormat="false" ht="15" hidden="false" customHeight="false" outlineLevel="0" collapsed="false">
      <c r="A1281" s="11" t="s">
        <v>1874</v>
      </c>
      <c r="B1281" s="11" t="n">
        <v>1</v>
      </c>
      <c r="C1281" s="11" t="s">
        <v>2407</v>
      </c>
      <c r="D1281" s="93" t="n">
        <v>32.62498</v>
      </c>
      <c r="E1281" s="34" t="n">
        <v>32.6</v>
      </c>
    </row>
    <row r="1282" customFormat="false" ht="15" hidden="false" customHeight="false" outlineLevel="0" collapsed="false">
      <c r="A1282" s="11" t="s">
        <v>1874</v>
      </c>
      <c r="B1282" s="11" t="n">
        <v>2</v>
      </c>
      <c r="C1282" s="11" t="s">
        <v>2347</v>
      </c>
      <c r="D1282" s="93" t="n">
        <v>24.75</v>
      </c>
      <c r="E1282" s="34" t="n">
        <v>24.8</v>
      </c>
    </row>
    <row r="1283" customFormat="false" ht="15" hidden="false" customHeight="false" outlineLevel="0" collapsed="false">
      <c r="A1283" s="11" t="s">
        <v>1874</v>
      </c>
      <c r="B1283" s="11" t="n">
        <v>3</v>
      </c>
      <c r="C1283" s="11" t="s">
        <v>2406</v>
      </c>
      <c r="D1283" s="93" t="n">
        <v>-15.375</v>
      </c>
      <c r="E1283" s="34" t="n">
        <v>-15.4</v>
      </c>
    </row>
    <row r="1284" customFormat="false" ht="15" hidden="false" customHeight="false" outlineLevel="0" collapsed="false">
      <c r="A1284" s="11" t="s">
        <v>1875</v>
      </c>
      <c r="B1284" s="11" t="n">
        <v>1</v>
      </c>
      <c r="C1284" s="11" t="s">
        <v>2398</v>
      </c>
      <c r="D1284" s="93" t="n">
        <v>426.1042</v>
      </c>
      <c r="E1284" s="34" t="n">
        <v>426.1</v>
      </c>
    </row>
    <row r="1285" customFormat="false" ht="15" hidden="false" customHeight="false" outlineLevel="0" collapsed="false">
      <c r="A1285" s="11" t="s">
        <v>1875</v>
      </c>
      <c r="B1285" s="11" t="n">
        <v>2</v>
      </c>
      <c r="C1285" s="11" t="s">
        <v>2411</v>
      </c>
      <c r="D1285" s="93" t="n">
        <v>80.5</v>
      </c>
      <c r="E1285" s="34" t="n">
        <v>80.5</v>
      </c>
    </row>
    <row r="1286" customFormat="false" ht="15" hidden="false" customHeight="false" outlineLevel="0" collapsed="false">
      <c r="A1286" s="11" t="s">
        <v>1875</v>
      </c>
      <c r="B1286" s="11" t="n">
        <v>3</v>
      </c>
      <c r="C1286" s="11" t="s">
        <v>2399</v>
      </c>
      <c r="D1286" s="93" t="n">
        <v>62.6529</v>
      </c>
      <c r="E1286" s="34" t="n">
        <v>62.7</v>
      </c>
    </row>
    <row r="1287" customFormat="false" ht="15" hidden="false" customHeight="false" outlineLevel="0" collapsed="false">
      <c r="A1287" s="11" t="s">
        <v>1875</v>
      </c>
      <c r="B1287" s="11" t="n">
        <v>4</v>
      </c>
      <c r="C1287" s="11" t="s">
        <v>2445</v>
      </c>
      <c r="D1287" s="93" t="n">
        <v>377.25121</v>
      </c>
      <c r="E1287" s="34" t="n">
        <v>377.2</v>
      </c>
    </row>
    <row r="1288" customFormat="false" ht="15" hidden="false" customHeight="false" outlineLevel="0" collapsed="false">
      <c r="A1288" s="11" t="s">
        <v>1876</v>
      </c>
      <c r="B1288" s="11" t="n">
        <v>1</v>
      </c>
      <c r="C1288" s="11" t="s">
        <v>2398</v>
      </c>
      <c r="D1288" s="93" t="n">
        <v>376.045</v>
      </c>
      <c r="E1288" s="34" t="n">
        <v>376.1</v>
      </c>
    </row>
    <row r="1289" customFormat="false" ht="15" hidden="false" customHeight="false" outlineLevel="0" collapsed="false">
      <c r="A1289" s="11" t="s">
        <v>1876</v>
      </c>
      <c r="B1289" s="11" t="n">
        <v>2</v>
      </c>
      <c r="C1289" s="11" t="s">
        <v>2399</v>
      </c>
      <c r="D1289" s="93" t="n">
        <v>53.121</v>
      </c>
      <c r="E1289" s="34" t="n">
        <v>53.1</v>
      </c>
    </row>
    <row r="1290" customFormat="false" ht="15" hidden="false" customHeight="false" outlineLevel="0" collapsed="false">
      <c r="A1290" s="11" t="s">
        <v>1876</v>
      </c>
      <c r="B1290" s="11" t="n">
        <v>3</v>
      </c>
      <c r="C1290" s="11" t="s">
        <v>2403</v>
      </c>
      <c r="D1290" s="93" t="n">
        <v>32.794</v>
      </c>
      <c r="E1290" s="34" t="n">
        <v>32.8</v>
      </c>
    </row>
    <row r="1291" customFormat="false" ht="15" hidden="false" customHeight="false" outlineLevel="0" collapsed="false">
      <c r="A1291" s="11" t="s">
        <v>1876</v>
      </c>
      <c r="B1291" s="11" t="n">
        <v>4</v>
      </c>
      <c r="C1291" s="11" t="s">
        <v>127</v>
      </c>
      <c r="D1291" s="93" t="n">
        <v>6</v>
      </c>
      <c r="E1291" s="34" t="n">
        <v>6</v>
      </c>
    </row>
    <row r="1292" customFormat="false" ht="15" hidden="false" customHeight="false" outlineLevel="0" collapsed="false">
      <c r="A1292" s="11" t="s">
        <v>1877</v>
      </c>
      <c r="B1292" s="11" t="n">
        <v>1</v>
      </c>
      <c r="C1292" s="11" t="s">
        <v>2398</v>
      </c>
      <c r="D1292" s="93" t="n">
        <v>50.0592</v>
      </c>
      <c r="E1292" s="34" t="n">
        <v>50.1</v>
      </c>
    </row>
    <row r="1293" customFormat="false" ht="15" hidden="false" customHeight="false" outlineLevel="0" collapsed="false">
      <c r="A1293" s="11" t="s">
        <v>1877</v>
      </c>
      <c r="B1293" s="11" t="n">
        <v>2</v>
      </c>
      <c r="C1293" s="11" t="s">
        <v>2399</v>
      </c>
      <c r="D1293" s="93" t="n">
        <v>9.5319</v>
      </c>
      <c r="E1293" s="34" t="n">
        <v>9.5</v>
      </c>
    </row>
    <row r="1294" customFormat="false" ht="15" hidden="false" customHeight="false" outlineLevel="0" collapsed="false">
      <c r="A1294" s="11" t="s">
        <v>1877</v>
      </c>
      <c r="B1294" s="11" t="n">
        <v>3</v>
      </c>
      <c r="C1294" s="11" t="s">
        <v>2403</v>
      </c>
      <c r="D1294" s="93" t="n">
        <v>4.4106</v>
      </c>
      <c r="E1294" s="34" t="n">
        <v>4.4</v>
      </c>
    </row>
    <row r="1295" customFormat="false" ht="15" hidden="false" customHeight="false" outlineLevel="0" collapsed="false">
      <c r="A1295" s="11" t="s">
        <v>1877</v>
      </c>
      <c r="B1295" s="11" t="n">
        <v>4</v>
      </c>
      <c r="C1295" s="11" t="s">
        <v>127</v>
      </c>
      <c r="D1295" s="93" t="n">
        <v>0.9</v>
      </c>
      <c r="E1295" s="34" t="n">
        <v>0.9</v>
      </c>
    </row>
    <row r="1296" customFormat="false" ht="15" hidden="false" customHeight="false" outlineLevel="0" collapsed="false">
      <c r="A1296" s="11" t="s">
        <v>1878</v>
      </c>
      <c r="B1296" s="11" t="n">
        <v>1</v>
      </c>
      <c r="C1296" s="11" t="s">
        <v>1198</v>
      </c>
      <c r="D1296" s="93" t="n">
        <v>61</v>
      </c>
      <c r="E1296" s="34" t="n">
        <v>61</v>
      </c>
    </row>
    <row r="1297" customFormat="false" ht="15" hidden="false" customHeight="false" outlineLevel="0" collapsed="false">
      <c r="A1297" s="11" t="s">
        <v>1878</v>
      </c>
      <c r="B1297" s="11" t="n">
        <v>2</v>
      </c>
      <c r="C1297" s="11" t="s">
        <v>2350</v>
      </c>
      <c r="D1297" s="93" t="n">
        <v>35</v>
      </c>
      <c r="E1297" s="34" t="n">
        <v>35</v>
      </c>
    </row>
    <row r="1298" customFormat="false" ht="15" hidden="false" customHeight="false" outlineLevel="0" collapsed="false">
      <c r="A1298" s="11" t="s">
        <v>1878</v>
      </c>
      <c r="B1298" s="11" t="n">
        <v>3</v>
      </c>
      <c r="C1298" s="11" t="s">
        <v>1181</v>
      </c>
      <c r="D1298" s="93" t="n">
        <v>34.5</v>
      </c>
      <c r="E1298" s="34" t="n">
        <v>34.5</v>
      </c>
    </row>
    <row r="1299" customFormat="false" ht="15" hidden="false" customHeight="false" outlineLevel="0" collapsed="false">
      <c r="A1299" s="11" t="s">
        <v>1878</v>
      </c>
      <c r="B1299" s="11" t="n">
        <v>4</v>
      </c>
      <c r="C1299" s="11" t="s">
        <v>127</v>
      </c>
      <c r="D1299" s="93" t="n">
        <v>33</v>
      </c>
      <c r="E1299" s="34" t="n">
        <v>33</v>
      </c>
    </row>
    <row r="1300" customFormat="false" ht="15" hidden="false" customHeight="false" outlineLevel="0" collapsed="false">
      <c r="A1300" s="11" t="s">
        <v>1879</v>
      </c>
      <c r="B1300" s="11" t="n">
        <v>1</v>
      </c>
      <c r="C1300" s="11" t="s">
        <v>2411</v>
      </c>
      <c r="D1300" s="93" t="n">
        <v>80.5</v>
      </c>
      <c r="E1300" s="34" t="n">
        <v>80.5</v>
      </c>
    </row>
    <row r="1301" customFormat="false" ht="15" hidden="false" customHeight="false" outlineLevel="0" collapsed="false">
      <c r="A1301" s="11" t="s">
        <v>1879</v>
      </c>
      <c r="B1301" s="11" t="n">
        <v>2</v>
      </c>
      <c r="C1301" s="11" t="s">
        <v>2446</v>
      </c>
      <c r="D1301" s="93" t="n">
        <v>61</v>
      </c>
      <c r="E1301" s="34" t="n">
        <v>61</v>
      </c>
    </row>
    <row r="1302" customFormat="false" ht="15" hidden="false" customHeight="false" outlineLevel="0" collapsed="false">
      <c r="A1302" s="11" t="s">
        <v>1879</v>
      </c>
      <c r="B1302" s="11" t="n">
        <v>3</v>
      </c>
      <c r="C1302" s="11" t="s">
        <v>2412</v>
      </c>
      <c r="D1302" s="93" t="n">
        <v>-32.818</v>
      </c>
      <c r="E1302" s="34" t="n">
        <v>-32.8</v>
      </c>
    </row>
    <row r="1303" customFormat="false" ht="15" hidden="false" customHeight="false" outlineLevel="0" collapsed="false">
      <c r="A1303" s="11" t="s">
        <v>1879</v>
      </c>
      <c r="B1303" s="11" t="n">
        <v>4</v>
      </c>
      <c r="C1303" s="11" t="s">
        <v>102</v>
      </c>
      <c r="D1303" s="93" t="n">
        <v>28</v>
      </c>
      <c r="E1303" s="34" t="n">
        <v>28</v>
      </c>
    </row>
    <row r="1304" customFormat="false" ht="15" hidden="false" customHeight="false" outlineLevel="0" collapsed="false">
      <c r="A1304" s="11" t="s">
        <v>1880</v>
      </c>
      <c r="B1304" s="11" t="n">
        <v>1</v>
      </c>
      <c r="C1304" s="11" t="s">
        <v>2351</v>
      </c>
      <c r="D1304" s="93" t="n">
        <v>24</v>
      </c>
      <c r="E1304" s="34" t="n">
        <v>24</v>
      </c>
    </row>
    <row r="1305" customFormat="false" ht="15" hidden="false" customHeight="false" outlineLevel="0" collapsed="false">
      <c r="A1305" s="11" t="s">
        <v>1880</v>
      </c>
      <c r="B1305" s="11" t="n">
        <v>2</v>
      </c>
      <c r="C1305" s="11" t="s">
        <v>2430</v>
      </c>
      <c r="D1305" s="93" t="n">
        <v>8</v>
      </c>
      <c r="E1305" s="34" t="n">
        <v>8</v>
      </c>
    </row>
    <row r="1306" customFormat="false" ht="15" hidden="false" customHeight="false" outlineLevel="0" collapsed="false">
      <c r="A1306" s="11" t="s">
        <v>1881</v>
      </c>
      <c r="B1306" s="11" t="n">
        <v>1</v>
      </c>
      <c r="C1306" s="11" t="s">
        <v>2404</v>
      </c>
      <c r="D1306" s="93" t="n">
        <v>16.33789</v>
      </c>
      <c r="E1306" s="34" t="n">
        <v>16.3</v>
      </c>
    </row>
    <row r="1307" customFormat="false" ht="15" hidden="false" customHeight="false" outlineLevel="0" collapsed="false">
      <c r="A1307" s="11" t="s">
        <v>1881</v>
      </c>
      <c r="B1307" s="11" t="n">
        <v>2</v>
      </c>
      <c r="C1307" s="11" t="s">
        <v>2443</v>
      </c>
      <c r="D1307" s="93" t="n">
        <v>13.61532</v>
      </c>
      <c r="E1307" s="34" t="n">
        <v>13.6</v>
      </c>
    </row>
    <row r="1308" customFormat="false" ht="15" hidden="false" customHeight="false" outlineLevel="0" collapsed="false">
      <c r="A1308" s="11" t="s">
        <v>1881</v>
      </c>
      <c r="B1308" s="11" t="n">
        <v>3</v>
      </c>
      <c r="C1308" s="11" t="s">
        <v>2408</v>
      </c>
      <c r="D1308" s="93" t="n">
        <v>9.87062</v>
      </c>
      <c r="E1308" s="34" t="n">
        <v>9.9</v>
      </c>
    </row>
    <row r="1309" customFormat="false" ht="15" hidden="false" customHeight="false" outlineLevel="0" collapsed="false">
      <c r="A1309" s="11" t="s">
        <v>1881</v>
      </c>
      <c r="B1309" s="11" t="n">
        <v>4</v>
      </c>
      <c r="C1309" s="11" t="s">
        <v>109</v>
      </c>
      <c r="D1309" s="93" t="n">
        <v>-0.0259</v>
      </c>
      <c r="E1309" s="34" t="n">
        <v>0</v>
      </c>
    </row>
    <row r="1310" customFormat="false" ht="15" hidden="false" customHeight="false" outlineLevel="0" collapsed="false">
      <c r="A1310" s="11" t="s">
        <v>1882</v>
      </c>
      <c r="B1310" s="11" t="n">
        <v>1</v>
      </c>
      <c r="C1310" s="11" t="s">
        <v>2405</v>
      </c>
      <c r="D1310" s="93" t="n">
        <v>6.83333</v>
      </c>
      <c r="E1310" s="34" t="n">
        <v>6.8</v>
      </c>
    </row>
    <row r="1311" customFormat="false" ht="15" hidden="false" customHeight="false" outlineLevel="0" collapsed="false">
      <c r="A1311" s="11" t="s">
        <v>1882</v>
      </c>
      <c r="B1311" s="11" t="n">
        <v>2</v>
      </c>
      <c r="C1311" s="11" t="s">
        <v>2346</v>
      </c>
      <c r="D1311" s="93" t="n">
        <v>6.16668</v>
      </c>
      <c r="E1311" s="34" t="n">
        <v>6.2</v>
      </c>
    </row>
    <row r="1312" customFormat="false" ht="15" hidden="false" customHeight="false" outlineLevel="0" collapsed="false">
      <c r="A1312" s="11" t="s">
        <v>1882</v>
      </c>
      <c r="B1312" s="11" t="n">
        <v>3</v>
      </c>
      <c r="C1312" s="11" t="s">
        <v>2444</v>
      </c>
      <c r="D1312" s="93" t="n">
        <v>0.66667</v>
      </c>
      <c r="E1312" s="34" t="n">
        <v>0.7</v>
      </c>
    </row>
    <row r="1313" customFormat="false" ht="15" hidden="false" customHeight="false" outlineLevel="0" collapsed="false">
      <c r="A1313" s="11" t="s">
        <v>1883</v>
      </c>
      <c r="B1313" s="11" t="n">
        <v>1</v>
      </c>
      <c r="C1313" s="11" t="s">
        <v>2407</v>
      </c>
      <c r="D1313" s="93" t="n">
        <v>21.75</v>
      </c>
      <c r="E1313" s="34" t="n">
        <v>21.8</v>
      </c>
    </row>
    <row r="1314" customFormat="false" ht="15" hidden="false" customHeight="false" outlineLevel="0" collapsed="false">
      <c r="A1314" s="11" t="s">
        <v>1883</v>
      </c>
      <c r="B1314" s="11" t="n">
        <v>2</v>
      </c>
      <c r="C1314" s="11" t="s">
        <v>2347</v>
      </c>
      <c r="D1314" s="93" t="n">
        <v>16.5</v>
      </c>
      <c r="E1314" s="34" t="n">
        <v>16.5</v>
      </c>
    </row>
    <row r="1315" customFormat="false" ht="15" hidden="false" customHeight="false" outlineLevel="0" collapsed="false">
      <c r="A1315" s="11" t="s">
        <v>1883</v>
      </c>
      <c r="B1315" s="11" t="n">
        <v>3</v>
      </c>
      <c r="C1315" s="11" t="s">
        <v>2406</v>
      </c>
      <c r="D1315" s="93" t="n">
        <v>-10.25</v>
      </c>
      <c r="E1315" s="34" t="n">
        <v>-10.3</v>
      </c>
    </row>
    <row r="1316" customFormat="false" ht="15" hidden="false" customHeight="false" outlineLevel="0" collapsed="false">
      <c r="A1316" s="11" t="s">
        <v>1884</v>
      </c>
      <c r="B1316" s="11" t="n">
        <v>1</v>
      </c>
      <c r="C1316" s="11" t="s">
        <v>2413</v>
      </c>
      <c r="D1316" s="93" t="n">
        <v>136</v>
      </c>
      <c r="E1316" s="34" t="n">
        <v>136</v>
      </c>
    </row>
    <row r="1317" customFormat="false" ht="15" hidden="false" customHeight="false" outlineLevel="0" collapsed="false">
      <c r="A1317" s="11" t="s">
        <v>1884</v>
      </c>
      <c r="B1317" s="11" t="n">
        <v>2</v>
      </c>
      <c r="C1317" s="11" t="s">
        <v>2354</v>
      </c>
      <c r="D1317" s="93" t="n">
        <v>35</v>
      </c>
      <c r="E1317" s="34" t="n">
        <v>35</v>
      </c>
    </row>
    <row r="1318" customFormat="false" ht="15" hidden="false" customHeight="false" outlineLevel="0" collapsed="false">
      <c r="A1318" s="11" t="s">
        <v>1884</v>
      </c>
      <c r="B1318" s="11" t="n">
        <v>3</v>
      </c>
      <c r="C1318" s="11" t="s">
        <v>1190</v>
      </c>
      <c r="D1318" s="93" t="n">
        <v>23.5</v>
      </c>
      <c r="E1318" s="34" t="n">
        <v>23.5</v>
      </c>
    </row>
    <row r="1319" customFormat="false" ht="15" hidden="false" customHeight="false" outlineLevel="0" collapsed="false">
      <c r="A1319" s="11" t="s">
        <v>1884</v>
      </c>
      <c r="B1319" s="11" t="n">
        <v>4</v>
      </c>
      <c r="C1319" s="11" t="s">
        <v>2419</v>
      </c>
      <c r="D1319" s="93" t="n">
        <v>71.60284</v>
      </c>
      <c r="E1319" s="34" t="n">
        <v>71.6</v>
      </c>
    </row>
    <row r="1320" customFormat="false" ht="15" hidden="false" customHeight="false" outlineLevel="0" collapsed="false">
      <c r="A1320" s="11" t="s">
        <v>1885</v>
      </c>
      <c r="B1320" s="11" t="n">
        <v>1</v>
      </c>
      <c r="C1320" s="11" t="s">
        <v>2413</v>
      </c>
      <c r="D1320" s="93" t="n">
        <v>136</v>
      </c>
      <c r="E1320" s="34" t="n">
        <v>136</v>
      </c>
    </row>
    <row r="1321" customFormat="false" ht="15" hidden="false" customHeight="false" outlineLevel="0" collapsed="false">
      <c r="A1321" s="11" t="s">
        <v>1885</v>
      </c>
      <c r="B1321" s="11" t="n">
        <v>2</v>
      </c>
      <c r="C1321" s="11" t="s">
        <v>2354</v>
      </c>
      <c r="D1321" s="93" t="n">
        <v>35</v>
      </c>
      <c r="E1321" s="34" t="n">
        <v>35</v>
      </c>
    </row>
    <row r="1322" customFormat="false" ht="15" hidden="false" customHeight="false" outlineLevel="0" collapsed="false">
      <c r="A1322" s="11" t="s">
        <v>1885</v>
      </c>
      <c r="B1322" s="11" t="n">
        <v>3</v>
      </c>
      <c r="C1322" s="11" t="s">
        <v>1190</v>
      </c>
      <c r="D1322" s="93" t="n">
        <v>23.5</v>
      </c>
      <c r="E1322" s="34" t="n">
        <v>23.5</v>
      </c>
    </row>
    <row r="1323" customFormat="false" ht="15" hidden="false" customHeight="false" outlineLevel="0" collapsed="false">
      <c r="A1323" s="11" t="s">
        <v>1885</v>
      </c>
      <c r="B1323" s="11" t="n">
        <v>4</v>
      </c>
      <c r="C1323" s="11" t="s">
        <v>102</v>
      </c>
      <c r="D1323" s="93" t="n">
        <v>20</v>
      </c>
      <c r="E1323" s="34" t="n">
        <v>20</v>
      </c>
    </row>
    <row r="1324" customFormat="false" ht="15" hidden="false" customHeight="false" outlineLevel="0" collapsed="false">
      <c r="A1324" s="11" t="s">
        <v>1886</v>
      </c>
      <c r="B1324" s="11" t="n">
        <v>1</v>
      </c>
      <c r="C1324" s="11" t="s">
        <v>2404</v>
      </c>
      <c r="D1324" s="93" t="n">
        <v>10.13615</v>
      </c>
      <c r="E1324" s="34" t="n">
        <v>10.1</v>
      </c>
    </row>
    <row r="1325" customFormat="false" ht="15" hidden="false" customHeight="false" outlineLevel="0" collapsed="false">
      <c r="A1325" s="11" t="s">
        <v>1886</v>
      </c>
      <c r="B1325" s="11" t="n">
        <v>2</v>
      </c>
      <c r="C1325" s="11" t="s">
        <v>2443</v>
      </c>
      <c r="D1325" s="93" t="n">
        <v>8.45955</v>
      </c>
      <c r="E1325" s="34" t="n">
        <v>8.4</v>
      </c>
    </row>
    <row r="1326" customFormat="false" ht="15" hidden="false" customHeight="false" outlineLevel="0" collapsed="false">
      <c r="A1326" s="11" t="s">
        <v>1886</v>
      </c>
      <c r="B1326" s="11" t="n">
        <v>3</v>
      </c>
      <c r="C1326" s="11" t="s">
        <v>2344</v>
      </c>
      <c r="D1326" s="93" t="n">
        <v>-6.43402</v>
      </c>
      <c r="E1326" s="34" t="n">
        <v>-6.4</v>
      </c>
    </row>
    <row r="1327" customFormat="false" ht="15" hidden="false" customHeight="false" outlineLevel="0" collapsed="false">
      <c r="A1327" s="11" t="s">
        <v>1886</v>
      </c>
      <c r="B1327" s="11" t="n">
        <v>4</v>
      </c>
      <c r="C1327" s="11" t="s">
        <v>109</v>
      </c>
      <c r="D1327" s="93" t="n">
        <v>11.77446</v>
      </c>
      <c r="E1327" s="34" t="n">
        <v>11.8</v>
      </c>
    </row>
    <row r="1328" customFormat="false" ht="15" hidden="false" customHeight="false" outlineLevel="0" collapsed="false">
      <c r="A1328" s="11" t="s">
        <v>1887</v>
      </c>
      <c r="B1328" s="11" t="n">
        <v>1</v>
      </c>
      <c r="C1328" s="11" t="s">
        <v>2405</v>
      </c>
      <c r="D1328" s="93" t="n">
        <v>6.83333</v>
      </c>
      <c r="E1328" s="34" t="n">
        <v>6.8</v>
      </c>
    </row>
    <row r="1329" customFormat="false" ht="15" hidden="false" customHeight="false" outlineLevel="0" collapsed="false">
      <c r="A1329" s="11" t="s">
        <v>1887</v>
      </c>
      <c r="B1329" s="11" t="n">
        <v>2</v>
      </c>
      <c r="C1329" s="11" t="s">
        <v>2346</v>
      </c>
      <c r="D1329" s="93" t="n">
        <v>6.16668</v>
      </c>
      <c r="E1329" s="34" t="n">
        <v>6.2</v>
      </c>
    </row>
    <row r="1330" customFormat="false" ht="15" hidden="false" customHeight="false" outlineLevel="0" collapsed="false">
      <c r="A1330" s="11" t="s">
        <v>1887</v>
      </c>
      <c r="B1330" s="11" t="n">
        <v>3</v>
      </c>
      <c r="C1330" s="11" t="s">
        <v>2444</v>
      </c>
      <c r="D1330" s="93" t="n">
        <v>0.66667</v>
      </c>
      <c r="E1330" s="34" t="n">
        <v>0.7</v>
      </c>
    </row>
    <row r="1331" customFormat="false" ht="15" hidden="false" customHeight="false" outlineLevel="0" collapsed="false">
      <c r="A1331" s="11" t="s">
        <v>1888</v>
      </c>
      <c r="B1331" s="11" t="n">
        <v>1</v>
      </c>
      <c r="C1331" s="11" t="s">
        <v>2407</v>
      </c>
      <c r="D1331" s="93" t="n">
        <v>10.87502</v>
      </c>
      <c r="E1331" s="34" t="n">
        <v>10.9</v>
      </c>
    </row>
    <row r="1332" customFormat="false" ht="15" hidden="false" customHeight="false" outlineLevel="0" collapsed="false">
      <c r="A1332" s="11" t="s">
        <v>1888</v>
      </c>
      <c r="B1332" s="11" t="n">
        <v>2</v>
      </c>
      <c r="C1332" s="11" t="s">
        <v>2347</v>
      </c>
      <c r="D1332" s="93" t="n">
        <v>8.25</v>
      </c>
      <c r="E1332" s="34" t="n">
        <v>8.2</v>
      </c>
    </row>
    <row r="1333" customFormat="false" ht="15" hidden="false" customHeight="false" outlineLevel="0" collapsed="false">
      <c r="A1333" s="11" t="s">
        <v>1888</v>
      </c>
      <c r="B1333" s="11" t="n">
        <v>3</v>
      </c>
      <c r="C1333" s="11" t="s">
        <v>2406</v>
      </c>
      <c r="D1333" s="93" t="n">
        <v>-5.125</v>
      </c>
      <c r="E1333" s="34" t="n">
        <v>-5.1</v>
      </c>
    </row>
    <row r="1334" customFormat="false" ht="15" hidden="false" customHeight="false" outlineLevel="0" collapsed="false">
      <c r="A1334" s="11" t="s">
        <v>1889</v>
      </c>
      <c r="B1334" s="11" t="n">
        <v>1</v>
      </c>
      <c r="C1334" s="11" t="s">
        <v>158</v>
      </c>
      <c r="D1334" s="93" t="n">
        <v>946.50831</v>
      </c>
      <c r="E1334" s="34" t="n">
        <v>946.5</v>
      </c>
    </row>
    <row r="1335" customFormat="false" ht="15" hidden="false" customHeight="false" outlineLevel="0" collapsed="false">
      <c r="A1335" s="11" t="s">
        <v>1889</v>
      </c>
      <c r="B1335" s="11" t="n">
        <v>2</v>
      </c>
      <c r="C1335" s="11" t="s">
        <v>157</v>
      </c>
      <c r="D1335" s="93" t="n">
        <v>692.32815</v>
      </c>
      <c r="E1335" s="34" t="n">
        <v>692.3</v>
      </c>
    </row>
    <row r="1336" customFormat="false" ht="15" hidden="false" customHeight="false" outlineLevel="0" collapsed="false">
      <c r="A1336" s="11" t="s">
        <v>1889</v>
      </c>
      <c r="B1336" s="11" t="n">
        <v>3</v>
      </c>
      <c r="C1336" s="11" t="s">
        <v>159</v>
      </c>
      <c r="D1336" s="93" t="n">
        <v>266.10284</v>
      </c>
      <c r="E1336" s="34" t="n">
        <v>266.1</v>
      </c>
    </row>
    <row r="1337" customFormat="false" ht="15" hidden="false" customHeight="false" outlineLevel="0" collapsed="false">
      <c r="A1337" s="11" t="s">
        <v>1890</v>
      </c>
      <c r="B1337" s="11" t="n">
        <v>1</v>
      </c>
      <c r="C1337" s="11" t="s">
        <v>91</v>
      </c>
      <c r="D1337" s="93" t="n">
        <v>3135.667</v>
      </c>
      <c r="E1337" s="34" t="n">
        <v>3135.7</v>
      </c>
    </row>
    <row r="1338" customFormat="false" ht="15" hidden="false" customHeight="false" outlineLevel="0" collapsed="false">
      <c r="A1338" s="11" t="s">
        <v>1890</v>
      </c>
      <c r="B1338" s="11" t="n">
        <v>2</v>
      </c>
      <c r="C1338" s="11" t="s">
        <v>95</v>
      </c>
      <c r="D1338" s="93" t="n">
        <v>-1904.9393</v>
      </c>
      <c r="E1338" s="34" t="n">
        <v>-1905</v>
      </c>
    </row>
    <row r="1339" customFormat="false" ht="15" hidden="false" customHeight="false" outlineLevel="0" collapsed="false">
      <c r="A1339" s="11" t="s">
        <v>1890</v>
      </c>
      <c r="B1339" s="11" t="n">
        <v>3</v>
      </c>
      <c r="C1339" s="11" t="s">
        <v>101</v>
      </c>
      <c r="D1339" s="93" t="n">
        <v>-1099.4957</v>
      </c>
      <c r="E1339" s="34" t="n">
        <v>-1099.5</v>
      </c>
    </row>
    <row r="1340" customFormat="false" ht="15" hidden="false" customHeight="false" outlineLevel="0" collapsed="false">
      <c r="A1340" s="11" t="s">
        <v>1891</v>
      </c>
      <c r="B1340" s="11" t="n">
        <v>1</v>
      </c>
      <c r="C1340" s="11" t="s">
        <v>2357</v>
      </c>
      <c r="D1340" s="93" t="n">
        <v>-18.5</v>
      </c>
      <c r="E1340" s="34" t="n">
        <v>-18.5</v>
      </c>
    </row>
    <row r="1341" customFormat="false" ht="15" hidden="false" customHeight="false" outlineLevel="0" collapsed="false">
      <c r="A1341" s="11" t="s">
        <v>1892</v>
      </c>
      <c r="B1341" s="11" t="n">
        <v>1</v>
      </c>
      <c r="C1341" s="11" t="s">
        <v>2414</v>
      </c>
      <c r="D1341" s="93" t="n">
        <v>-17.5</v>
      </c>
      <c r="E1341" s="34" t="n">
        <v>-17.5</v>
      </c>
    </row>
    <row r="1342" customFormat="false" ht="15" hidden="false" customHeight="false" outlineLevel="0" collapsed="false">
      <c r="A1342" s="11" t="s">
        <v>1893</v>
      </c>
      <c r="B1342" s="11" t="n">
        <v>1</v>
      </c>
      <c r="C1342" s="11" t="s">
        <v>91</v>
      </c>
      <c r="D1342" s="93" t="n">
        <v>3135.667</v>
      </c>
      <c r="E1342" s="34" t="n">
        <v>3135.7</v>
      </c>
    </row>
    <row r="1343" customFormat="false" ht="15" hidden="false" customHeight="false" outlineLevel="0" collapsed="false">
      <c r="A1343" s="11" t="s">
        <v>1893</v>
      </c>
      <c r="B1343" s="11" t="n">
        <v>2</v>
      </c>
      <c r="C1343" s="11" t="s">
        <v>95</v>
      </c>
      <c r="D1343" s="93" t="n">
        <v>-1904.9393</v>
      </c>
      <c r="E1343" s="34" t="n">
        <v>-1905</v>
      </c>
    </row>
    <row r="1344" customFormat="false" ht="15" hidden="false" customHeight="false" outlineLevel="0" collapsed="false">
      <c r="A1344" s="11" t="s">
        <v>1893</v>
      </c>
      <c r="B1344" s="11" t="n">
        <v>3</v>
      </c>
      <c r="C1344" s="11" t="s">
        <v>101</v>
      </c>
      <c r="D1344" s="93" t="n">
        <v>-1099.4957</v>
      </c>
      <c r="E1344" s="34" t="n">
        <v>-1099.5</v>
      </c>
    </row>
    <row r="1345" customFormat="false" ht="15" hidden="false" customHeight="false" outlineLevel="0" collapsed="false">
      <c r="A1345" s="11" t="s">
        <v>1893</v>
      </c>
      <c r="B1345" s="11" t="n">
        <v>4</v>
      </c>
      <c r="C1345" s="11" t="s">
        <v>102</v>
      </c>
      <c r="D1345" s="93" t="n">
        <v>-1</v>
      </c>
      <c r="E1345" s="34" t="n">
        <v>-1</v>
      </c>
    </row>
    <row r="1346" customFormat="false" ht="15" hidden="false" customHeight="false" outlineLevel="0" collapsed="false">
      <c r="A1346" s="11" t="s">
        <v>1894</v>
      </c>
      <c r="B1346" s="11" t="n">
        <v>1</v>
      </c>
      <c r="C1346" s="11" t="s">
        <v>2358</v>
      </c>
      <c r="D1346" s="93" t="n">
        <v>70</v>
      </c>
      <c r="E1346" s="34" t="n">
        <v>70</v>
      </c>
    </row>
    <row r="1347" customFormat="false" ht="15" hidden="false" customHeight="false" outlineLevel="0" collapsed="false">
      <c r="A1347" s="11" t="s">
        <v>1894</v>
      </c>
      <c r="B1347" s="11" t="n">
        <v>2</v>
      </c>
      <c r="C1347" s="11" t="s">
        <v>2359</v>
      </c>
      <c r="D1347" s="93" t="n">
        <v>10.5</v>
      </c>
      <c r="E1347" s="34" t="n">
        <v>10.5</v>
      </c>
    </row>
    <row r="1348" customFormat="false" ht="15" hidden="false" customHeight="false" outlineLevel="0" collapsed="false">
      <c r="A1348" s="11" t="s">
        <v>1895</v>
      </c>
      <c r="B1348" s="11" t="n">
        <v>1</v>
      </c>
      <c r="C1348" s="11" t="s">
        <v>91</v>
      </c>
      <c r="D1348" s="93" t="n">
        <v>3135.667</v>
      </c>
      <c r="E1348" s="34" t="n">
        <v>3135.7</v>
      </c>
    </row>
    <row r="1349" customFormat="false" ht="15" hidden="false" customHeight="false" outlineLevel="0" collapsed="false">
      <c r="A1349" s="11" t="s">
        <v>1895</v>
      </c>
      <c r="B1349" s="11" t="n">
        <v>2</v>
      </c>
      <c r="C1349" s="11" t="s">
        <v>95</v>
      </c>
      <c r="D1349" s="93" t="n">
        <v>-1904.9393</v>
      </c>
      <c r="E1349" s="34" t="n">
        <v>-1905</v>
      </c>
    </row>
    <row r="1350" customFormat="false" ht="15" hidden="false" customHeight="false" outlineLevel="0" collapsed="false">
      <c r="A1350" s="11" t="s">
        <v>1895</v>
      </c>
      <c r="B1350" s="11" t="n">
        <v>3</v>
      </c>
      <c r="C1350" s="11" t="s">
        <v>101</v>
      </c>
      <c r="D1350" s="93" t="n">
        <v>-1099.4957</v>
      </c>
      <c r="E1350" s="34" t="n">
        <v>-1099.5</v>
      </c>
    </row>
    <row r="1351" customFormat="false" ht="15" hidden="false" customHeight="false" outlineLevel="0" collapsed="false">
      <c r="A1351" s="11" t="s">
        <v>1895</v>
      </c>
      <c r="B1351" s="11" t="n">
        <v>4</v>
      </c>
      <c r="C1351" s="11" t="s">
        <v>109</v>
      </c>
      <c r="D1351" s="93" t="n">
        <v>-81.5</v>
      </c>
      <c r="E1351" s="34" t="n">
        <v>-81.5</v>
      </c>
    </row>
    <row r="1352" customFormat="false" ht="15" hidden="false" customHeight="false" outlineLevel="0" collapsed="false">
      <c r="A1352" s="11" t="s">
        <v>1896</v>
      </c>
      <c r="B1352" s="11" t="n">
        <v>1</v>
      </c>
      <c r="C1352" s="11" t="s">
        <v>2336</v>
      </c>
      <c r="D1352" s="93" t="n">
        <v>2318.866</v>
      </c>
      <c r="E1352" s="34" t="n">
        <v>2318.9</v>
      </c>
    </row>
    <row r="1353" customFormat="false" ht="15" hidden="false" customHeight="false" outlineLevel="0" collapsed="false">
      <c r="A1353" s="11" t="s">
        <v>1896</v>
      </c>
      <c r="B1353" s="11" t="n">
        <v>2</v>
      </c>
      <c r="C1353" s="11" t="s">
        <v>2397</v>
      </c>
      <c r="D1353" s="93" t="n">
        <v>1190.939</v>
      </c>
      <c r="E1353" s="34" t="n">
        <v>1190.9</v>
      </c>
    </row>
    <row r="1354" customFormat="false" ht="15" hidden="false" customHeight="false" outlineLevel="0" collapsed="false">
      <c r="A1354" s="11" t="s">
        <v>1896</v>
      </c>
      <c r="B1354" s="11" t="n">
        <v>3</v>
      </c>
      <c r="C1354" s="11" t="s">
        <v>2338</v>
      </c>
      <c r="D1354" s="93" t="n">
        <v>-606.586</v>
      </c>
      <c r="E1354" s="34" t="n">
        <v>-606.6</v>
      </c>
    </row>
    <row r="1355" customFormat="false" ht="15" hidden="false" customHeight="false" outlineLevel="0" collapsed="false">
      <c r="A1355" s="11" t="s">
        <v>1896</v>
      </c>
      <c r="B1355" s="11" t="n">
        <v>4</v>
      </c>
      <c r="C1355" s="11" t="s">
        <v>127</v>
      </c>
      <c r="D1355" s="93" t="n">
        <v>-207.552</v>
      </c>
      <c r="E1355" s="34" t="n">
        <v>-207.5</v>
      </c>
    </row>
    <row r="1356" customFormat="false" ht="15" hidden="false" customHeight="false" outlineLevel="0" collapsed="false">
      <c r="A1356" s="11" t="s">
        <v>1897</v>
      </c>
      <c r="B1356" s="11" t="n">
        <v>1</v>
      </c>
      <c r="C1356" s="11" t="s">
        <v>1184</v>
      </c>
      <c r="D1356" s="93" t="n">
        <v>360</v>
      </c>
      <c r="E1356" s="34" t="n">
        <v>360</v>
      </c>
    </row>
    <row r="1357" customFormat="false" ht="15" hidden="false" customHeight="false" outlineLevel="0" collapsed="false">
      <c r="A1357" s="11" t="s">
        <v>1897</v>
      </c>
      <c r="B1357" s="11" t="n">
        <v>2</v>
      </c>
      <c r="C1357" s="11" t="s">
        <v>2440</v>
      </c>
      <c r="D1357" s="93" t="n">
        <v>-270</v>
      </c>
      <c r="E1357" s="34" t="n">
        <v>-270</v>
      </c>
    </row>
    <row r="1358" customFormat="false" ht="15" hidden="false" customHeight="false" outlineLevel="0" collapsed="false">
      <c r="A1358" s="11" t="s">
        <v>1897</v>
      </c>
      <c r="B1358" s="11" t="n">
        <v>3</v>
      </c>
      <c r="C1358" s="11" t="s">
        <v>2441</v>
      </c>
      <c r="D1358" s="93" t="n">
        <v>-245</v>
      </c>
      <c r="E1358" s="34" t="n">
        <v>-245</v>
      </c>
    </row>
    <row r="1359" customFormat="false" ht="15" hidden="false" customHeight="false" outlineLevel="0" collapsed="false">
      <c r="A1359" s="11" t="s">
        <v>1897</v>
      </c>
      <c r="B1359" s="11" t="n">
        <v>4</v>
      </c>
      <c r="C1359" s="11" t="s">
        <v>2416</v>
      </c>
      <c r="D1359" s="93" t="n">
        <v>595</v>
      </c>
      <c r="E1359" s="34" t="n">
        <v>595</v>
      </c>
    </row>
    <row r="1360" customFormat="false" ht="15" hidden="false" customHeight="false" outlineLevel="0" collapsed="false">
      <c r="A1360" s="11" t="s">
        <v>1898</v>
      </c>
      <c r="B1360" s="11" t="n">
        <v>1</v>
      </c>
      <c r="C1360" s="11" t="s">
        <v>2336</v>
      </c>
      <c r="D1360" s="93" t="n">
        <v>2318.866</v>
      </c>
      <c r="E1360" s="34" t="n">
        <v>2318.9</v>
      </c>
    </row>
    <row r="1361" customFormat="false" ht="15" hidden="false" customHeight="false" outlineLevel="0" collapsed="false">
      <c r="A1361" s="11" t="s">
        <v>1898</v>
      </c>
      <c r="B1361" s="11" t="n">
        <v>2</v>
      </c>
      <c r="C1361" s="11" t="s">
        <v>2397</v>
      </c>
      <c r="D1361" s="93" t="n">
        <v>1190.939</v>
      </c>
      <c r="E1361" s="34" t="n">
        <v>1190.9</v>
      </c>
    </row>
    <row r="1362" customFormat="false" ht="15" hidden="false" customHeight="false" outlineLevel="0" collapsed="false">
      <c r="A1362" s="11" t="s">
        <v>1898</v>
      </c>
      <c r="B1362" s="11" t="n">
        <v>3</v>
      </c>
      <c r="C1362" s="11" t="s">
        <v>2338</v>
      </c>
      <c r="D1362" s="93" t="n">
        <v>-606.586</v>
      </c>
      <c r="E1362" s="34" t="n">
        <v>-606.6</v>
      </c>
    </row>
    <row r="1363" customFormat="false" ht="15" hidden="false" customHeight="false" outlineLevel="0" collapsed="false">
      <c r="A1363" s="11" t="s">
        <v>1898</v>
      </c>
      <c r="B1363" s="11" t="n">
        <v>4</v>
      </c>
      <c r="C1363" s="11" t="s">
        <v>2415</v>
      </c>
      <c r="D1363" s="93" t="n">
        <v>232.448</v>
      </c>
      <c r="E1363" s="34" t="n">
        <v>232.5</v>
      </c>
    </row>
    <row r="1364" customFormat="false" ht="15" hidden="false" customHeight="false" outlineLevel="0" collapsed="false">
      <c r="A1364" s="11" t="s">
        <v>1899</v>
      </c>
      <c r="B1364" s="11" t="n">
        <v>1</v>
      </c>
      <c r="C1364" s="11" t="s">
        <v>2398</v>
      </c>
      <c r="D1364" s="93" t="n">
        <v>427.9743</v>
      </c>
      <c r="E1364" s="34" t="n">
        <v>428</v>
      </c>
    </row>
    <row r="1365" customFormat="false" ht="15" hidden="false" customHeight="false" outlineLevel="0" collapsed="false">
      <c r="A1365" s="11" t="s">
        <v>1899</v>
      </c>
      <c r="B1365" s="11" t="n">
        <v>2</v>
      </c>
      <c r="C1365" s="11" t="s">
        <v>2342</v>
      </c>
      <c r="D1365" s="93" t="n">
        <v>230</v>
      </c>
      <c r="E1365" s="34" t="n">
        <v>230</v>
      </c>
    </row>
    <row r="1366" customFormat="false" ht="15" hidden="false" customHeight="false" outlineLevel="0" collapsed="false">
      <c r="A1366" s="11" t="s">
        <v>1899</v>
      </c>
      <c r="B1366" s="11" t="n">
        <v>3</v>
      </c>
      <c r="C1366" s="11" t="s">
        <v>2399</v>
      </c>
      <c r="D1366" s="93" t="n">
        <v>76.3821</v>
      </c>
      <c r="E1366" s="34" t="n">
        <v>76.4</v>
      </c>
    </row>
    <row r="1367" customFormat="false" ht="15" hidden="false" customHeight="false" outlineLevel="0" collapsed="false">
      <c r="A1367" s="11" t="s">
        <v>1899</v>
      </c>
      <c r="B1367" s="11" t="n">
        <v>4</v>
      </c>
      <c r="C1367" s="11" t="s">
        <v>2442</v>
      </c>
      <c r="D1367" s="93" t="n">
        <v>159.70728</v>
      </c>
      <c r="E1367" s="34" t="n">
        <v>159.7</v>
      </c>
    </row>
    <row r="1368" customFormat="false" ht="15" hidden="false" customHeight="false" outlineLevel="0" collapsed="false">
      <c r="A1368" s="11" t="s">
        <v>1900</v>
      </c>
      <c r="B1368" s="11" t="n">
        <v>1</v>
      </c>
      <c r="C1368" s="11" t="s">
        <v>2342</v>
      </c>
      <c r="D1368" s="93" t="n">
        <v>230</v>
      </c>
      <c r="E1368" s="34" t="n">
        <v>230</v>
      </c>
    </row>
    <row r="1369" customFormat="false" ht="15" hidden="false" customHeight="false" outlineLevel="0" collapsed="false">
      <c r="A1369" s="11" t="s">
        <v>1900</v>
      </c>
      <c r="B1369" s="11" t="n">
        <v>2</v>
      </c>
      <c r="C1369" s="11" t="s">
        <v>2401</v>
      </c>
      <c r="D1369" s="93" t="n">
        <v>10</v>
      </c>
      <c r="E1369" s="34" t="n">
        <v>10</v>
      </c>
    </row>
    <row r="1370" customFormat="false" ht="15" hidden="false" customHeight="false" outlineLevel="0" collapsed="false">
      <c r="A1370" s="11" t="s">
        <v>1900</v>
      </c>
      <c r="B1370" s="11" t="n">
        <v>3</v>
      </c>
      <c r="C1370" s="11" t="s">
        <v>2402</v>
      </c>
      <c r="D1370" s="93" t="n">
        <v>9.5</v>
      </c>
      <c r="E1370" s="34" t="n">
        <v>9.5</v>
      </c>
    </row>
    <row r="1371" customFormat="false" ht="15" hidden="false" customHeight="false" outlineLevel="0" collapsed="false">
      <c r="A1371" s="11" t="s">
        <v>1901</v>
      </c>
      <c r="B1371" s="11" t="n">
        <v>1</v>
      </c>
      <c r="C1371" s="11" t="s">
        <v>2398</v>
      </c>
      <c r="D1371" s="93" t="n">
        <v>138.8015</v>
      </c>
      <c r="E1371" s="34" t="n">
        <v>138.8</v>
      </c>
    </row>
    <row r="1372" customFormat="false" ht="15" hidden="false" customHeight="false" outlineLevel="0" collapsed="false">
      <c r="A1372" s="11" t="s">
        <v>1901</v>
      </c>
      <c r="B1372" s="11" t="n">
        <v>2</v>
      </c>
      <c r="C1372" s="11" t="s">
        <v>2399</v>
      </c>
      <c r="D1372" s="93" t="n">
        <v>15.207</v>
      </c>
      <c r="E1372" s="34" t="n">
        <v>15.2</v>
      </c>
    </row>
    <row r="1373" customFormat="false" ht="15" hidden="false" customHeight="false" outlineLevel="0" collapsed="false">
      <c r="A1373" s="11" t="s">
        <v>1901</v>
      </c>
      <c r="B1373" s="11" t="n">
        <v>3</v>
      </c>
      <c r="C1373" s="11" t="s">
        <v>2403</v>
      </c>
      <c r="D1373" s="93" t="n">
        <v>12.19125</v>
      </c>
      <c r="E1373" s="34" t="n">
        <v>12.2</v>
      </c>
    </row>
    <row r="1374" customFormat="false" ht="15" hidden="false" customHeight="false" outlineLevel="0" collapsed="false">
      <c r="A1374" s="11" t="s">
        <v>1901</v>
      </c>
      <c r="B1374" s="11" t="n">
        <v>4</v>
      </c>
      <c r="C1374" s="11" t="s">
        <v>102</v>
      </c>
      <c r="D1374" s="93" t="n">
        <v>2.375</v>
      </c>
      <c r="E1374" s="34" t="n">
        <v>2.4</v>
      </c>
    </row>
    <row r="1375" customFormat="false" ht="15" hidden="false" customHeight="false" outlineLevel="0" collapsed="false">
      <c r="A1375" s="11" t="s">
        <v>1902</v>
      </c>
      <c r="B1375" s="11" t="n">
        <v>1</v>
      </c>
      <c r="C1375" s="11" t="s">
        <v>2398</v>
      </c>
      <c r="D1375" s="93" t="n">
        <v>172.368</v>
      </c>
      <c r="E1375" s="34" t="n">
        <v>172.4</v>
      </c>
    </row>
    <row r="1376" customFormat="false" ht="15" hidden="false" customHeight="false" outlineLevel="0" collapsed="false">
      <c r="A1376" s="11" t="s">
        <v>1902</v>
      </c>
      <c r="B1376" s="11" t="n">
        <v>2</v>
      </c>
      <c r="C1376" s="11" t="s">
        <v>2399</v>
      </c>
      <c r="D1376" s="93" t="n">
        <v>38.934</v>
      </c>
      <c r="E1376" s="34" t="n">
        <v>38.9</v>
      </c>
    </row>
    <row r="1377" customFormat="false" ht="15" hidden="false" customHeight="false" outlineLevel="0" collapsed="false">
      <c r="A1377" s="11" t="s">
        <v>1902</v>
      </c>
      <c r="B1377" s="11" t="n">
        <v>3</v>
      </c>
      <c r="C1377" s="11" t="s">
        <v>2403</v>
      </c>
      <c r="D1377" s="93" t="n">
        <v>14.937</v>
      </c>
      <c r="E1377" s="34" t="n">
        <v>14.9</v>
      </c>
    </row>
    <row r="1378" customFormat="false" ht="15" hidden="false" customHeight="false" outlineLevel="0" collapsed="false">
      <c r="A1378" s="11" t="s">
        <v>1903</v>
      </c>
      <c r="B1378" s="11" t="n">
        <v>1</v>
      </c>
      <c r="C1378" s="11" t="s">
        <v>2398</v>
      </c>
      <c r="D1378" s="93" t="n">
        <v>116.8048</v>
      </c>
      <c r="E1378" s="34" t="n">
        <v>116.8</v>
      </c>
    </row>
    <row r="1379" customFormat="false" ht="15" hidden="false" customHeight="false" outlineLevel="0" collapsed="false">
      <c r="A1379" s="11" t="s">
        <v>1903</v>
      </c>
      <c r="B1379" s="11" t="n">
        <v>2</v>
      </c>
      <c r="C1379" s="11" t="s">
        <v>2399</v>
      </c>
      <c r="D1379" s="93" t="n">
        <v>22.2411</v>
      </c>
      <c r="E1379" s="34" t="n">
        <v>22.2</v>
      </c>
    </row>
    <row r="1380" customFormat="false" ht="15" hidden="false" customHeight="false" outlineLevel="0" collapsed="false">
      <c r="A1380" s="11" t="s">
        <v>1903</v>
      </c>
      <c r="B1380" s="11" t="n">
        <v>3</v>
      </c>
      <c r="C1380" s="11" t="s">
        <v>2403</v>
      </c>
      <c r="D1380" s="93" t="n">
        <v>10.2914</v>
      </c>
      <c r="E1380" s="34" t="n">
        <v>10.3</v>
      </c>
    </row>
    <row r="1381" customFormat="false" ht="15" hidden="false" customHeight="false" outlineLevel="0" collapsed="false">
      <c r="A1381" s="11" t="s">
        <v>1903</v>
      </c>
      <c r="B1381" s="11" t="n">
        <v>4</v>
      </c>
      <c r="C1381" s="11" t="s">
        <v>127</v>
      </c>
      <c r="D1381" s="93" t="n">
        <v>2.1</v>
      </c>
      <c r="E1381" s="34" t="n">
        <v>2.1</v>
      </c>
    </row>
    <row r="1382" customFormat="false" ht="15" hidden="false" customHeight="false" outlineLevel="0" collapsed="false">
      <c r="A1382" s="11" t="s">
        <v>1904</v>
      </c>
      <c r="B1382" s="11" t="n">
        <v>1</v>
      </c>
      <c r="C1382" s="11" t="s">
        <v>2344</v>
      </c>
      <c r="D1382" s="93" t="n">
        <v>13.70765</v>
      </c>
      <c r="E1382" s="34" t="n">
        <v>13.7</v>
      </c>
    </row>
    <row r="1383" customFormat="false" ht="15" hidden="false" customHeight="false" outlineLevel="0" collapsed="false">
      <c r="A1383" s="11" t="s">
        <v>1904</v>
      </c>
      <c r="B1383" s="11" t="n">
        <v>2</v>
      </c>
      <c r="C1383" s="11" t="s">
        <v>2404</v>
      </c>
      <c r="D1383" s="93" t="n">
        <v>9.74937</v>
      </c>
      <c r="E1383" s="34" t="n">
        <v>9.8</v>
      </c>
    </row>
    <row r="1384" customFormat="false" ht="15" hidden="false" customHeight="false" outlineLevel="0" collapsed="false">
      <c r="A1384" s="11" t="s">
        <v>1904</v>
      </c>
      <c r="B1384" s="11" t="n">
        <v>3</v>
      </c>
      <c r="C1384" s="11" t="s">
        <v>2443</v>
      </c>
      <c r="D1384" s="93" t="n">
        <v>8.1166</v>
      </c>
      <c r="E1384" s="34" t="n">
        <v>8.1</v>
      </c>
    </row>
    <row r="1385" customFormat="false" ht="15" hidden="false" customHeight="false" outlineLevel="0" collapsed="false">
      <c r="A1385" s="11" t="s">
        <v>1904</v>
      </c>
      <c r="B1385" s="11" t="n">
        <v>4</v>
      </c>
      <c r="C1385" s="11" t="s">
        <v>109</v>
      </c>
      <c r="D1385" s="93" t="n">
        <v>11.40569</v>
      </c>
      <c r="E1385" s="34" t="n">
        <v>11.4</v>
      </c>
    </row>
    <row r="1386" customFormat="false" ht="15" hidden="false" customHeight="false" outlineLevel="0" collapsed="false">
      <c r="A1386" s="11" t="s">
        <v>1905</v>
      </c>
      <c r="B1386" s="11" t="n">
        <v>1</v>
      </c>
      <c r="C1386" s="11" t="s">
        <v>2405</v>
      </c>
      <c r="D1386" s="93" t="n">
        <v>13.66667</v>
      </c>
      <c r="E1386" s="34" t="n">
        <v>13.7</v>
      </c>
    </row>
    <row r="1387" customFormat="false" ht="15" hidden="false" customHeight="false" outlineLevel="0" collapsed="false">
      <c r="A1387" s="11" t="s">
        <v>1905</v>
      </c>
      <c r="B1387" s="11" t="n">
        <v>2</v>
      </c>
      <c r="C1387" s="11" t="s">
        <v>2346</v>
      </c>
      <c r="D1387" s="93" t="n">
        <v>12.33332</v>
      </c>
      <c r="E1387" s="34" t="n">
        <v>12.3</v>
      </c>
    </row>
    <row r="1388" customFormat="false" ht="15" hidden="false" customHeight="false" outlineLevel="0" collapsed="false">
      <c r="A1388" s="11" t="s">
        <v>1905</v>
      </c>
      <c r="B1388" s="11" t="n">
        <v>3</v>
      </c>
      <c r="C1388" s="11" t="s">
        <v>2444</v>
      </c>
      <c r="D1388" s="93" t="n">
        <v>1.33333</v>
      </c>
      <c r="E1388" s="34" t="n">
        <v>1.3</v>
      </c>
    </row>
    <row r="1389" customFormat="false" ht="15" hidden="false" customHeight="false" outlineLevel="0" collapsed="false">
      <c r="A1389" s="11" t="s">
        <v>1906</v>
      </c>
      <c r="B1389" s="11" t="n">
        <v>1</v>
      </c>
      <c r="C1389" s="11" t="s">
        <v>2407</v>
      </c>
      <c r="D1389" s="93" t="n">
        <v>21.75</v>
      </c>
      <c r="E1389" s="34" t="n">
        <v>21.8</v>
      </c>
    </row>
    <row r="1390" customFormat="false" ht="15" hidden="false" customHeight="false" outlineLevel="0" collapsed="false">
      <c r="A1390" s="11" t="s">
        <v>1906</v>
      </c>
      <c r="B1390" s="11" t="n">
        <v>2</v>
      </c>
      <c r="C1390" s="11" t="s">
        <v>2347</v>
      </c>
      <c r="D1390" s="93" t="n">
        <v>16.5</v>
      </c>
      <c r="E1390" s="34" t="n">
        <v>16.5</v>
      </c>
    </row>
    <row r="1391" customFormat="false" ht="15" hidden="false" customHeight="false" outlineLevel="0" collapsed="false">
      <c r="A1391" s="11" t="s">
        <v>1906</v>
      </c>
      <c r="B1391" s="11" t="n">
        <v>3</v>
      </c>
      <c r="C1391" s="11" t="s">
        <v>2406</v>
      </c>
      <c r="D1391" s="93" t="n">
        <v>-10.25</v>
      </c>
      <c r="E1391" s="34" t="n">
        <v>-10.3</v>
      </c>
    </row>
    <row r="1392" customFormat="false" ht="15" hidden="false" customHeight="false" outlineLevel="0" collapsed="false">
      <c r="A1392" s="11" t="s">
        <v>1907</v>
      </c>
      <c r="B1392" s="11" t="n">
        <v>1</v>
      </c>
      <c r="C1392" s="11" t="s">
        <v>2398</v>
      </c>
      <c r="D1392" s="93" t="n">
        <v>168.715</v>
      </c>
      <c r="E1392" s="34" t="n">
        <v>168.7</v>
      </c>
    </row>
    <row r="1393" customFormat="false" ht="15" hidden="false" customHeight="false" outlineLevel="0" collapsed="false">
      <c r="A1393" s="11" t="s">
        <v>1907</v>
      </c>
      <c r="B1393" s="11" t="n">
        <v>2</v>
      </c>
      <c r="C1393" s="11" t="s">
        <v>2399</v>
      </c>
      <c r="D1393" s="93" t="n">
        <v>27.868</v>
      </c>
      <c r="E1393" s="34" t="n">
        <v>27.9</v>
      </c>
    </row>
    <row r="1394" customFormat="false" ht="15" hidden="false" customHeight="false" outlineLevel="0" collapsed="false">
      <c r="A1394" s="11" t="s">
        <v>1907</v>
      </c>
      <c r="B1394" s="11" t="n">
        <v>3</v>
      </c>
      <c r="C1394" s="11" t="s">
        <v>2403</v>
      </c>
      <c r="D1394" s="93" t="n">
        <v>14.833</v>
      </c>
      <c r="E1394" s="34" t="n">
        <v>14.8</v>
      </c>
    </row>
    <row r="1395" customFormat="false" ht="15" hidden="false" customHeight="false" outlineLevel="0" collapsed="false">
      <c r="A1395" s="11" t="s">
        <v>1908</v>
      </c>
      <c r="B1395" s="11" t="n">
        <v>1</v>
      </c>
      <c r="C1395" s="11" t="s">
        <v>2398</v>
      </c>
      <c r="D1395" s="93" t="n">
        <v>168.715</v>
      </c>
      <c r="E1395" s="34" t="n">
        <v>168.7</v>
      </c>
    </row>
    <row r="1396" customFormat="false" ht="15" hidden="false" customHeight="false" outlineLevel="0" collapsed="false">
      <c r="A1396" s="11" t="s">
        <v>1908</v>
      </c>
      <c r="B1396" s="11" t="n">
        <v>2</v>
      </c>
      <c r="C1396" s="11" t="s">
        <v>2399</v>
      </c>
      <c r="D1396" s="93" t="n">
        <v>27.868</v>
      </c>
      <c r="E1396" s="34" t="n">
        <v>27.9</v>
      </c>
    </row>
    <row r="1397" customFormat="false" ht="15" hidden="false" customHeight="false" outlineLevel="0" collapsed="false">
      <c r="A1397" s="11" t="s">
        <v>1908</v>
      </c>
      <c r="B1397" s="11" t="n">
        <v>3</v>
      </c>
      <c r="C1397" s="11" t="s">
        <v>2403</v>
      </c>
      <c r="D1397" s="93" t="n">
        <v>14.833</v>
      </c>
      <c r="E1397" s="34" t="n">
        <v>14.8</v>
      </c>
    </row>
    <row r="1398" customFormat="false" ht="15" hidden="false" customHeight="false" outlineLevel="0" collapsed="false">
      <c r="A1398" s="11" t="s">
        <v>1909</v>
      </c>
      <c r="B1398" s="11" t="n">
        <v>1</v>
      </c>
      <c r="C1398" s="11" t="s">
        <v>164</v>
      </c>
      <c r="D1398" s="93" t="n">
        <v>894.06368</v>
      </c>
      <c r="E1398" s="34" t="n">
        <v>894.1</v>
      </c>
    </row>
    <row r="1399" customFormat="false" ht="15" hidden="false" customHeight="false" outlineLevel="0" collapsed="false">
      <c r="A1399" s="11" t="s">
        <v>1909</v>
      </c>
      <c r="B1399" s="11" t="n">
        <v>2</v>
      </c>
      <c r="C1399" s="11" t="s">
        <v>165</v>
      </c>
      <c r="D1399" s="93" t="n">
        <v>211.416</v>
      </c>
      <c r="E1399" s="34" t="n">
        <v>211.4</v>
      </c>
    </row>
    <row r="1400" customFormat="false" ht="15" hidden="false" customHeight="false" outlineLevel="0" collapsed="false">
      <c r="A1400" s="11" t="s">
        <v>1910</v>
      </c>
      <c r="B1400" s="11" t="n">
        <v>1</v>
      </c>
      <c r="C1400" s="11" t="s">
        <v>91</v>
      </c>
      <c r="D1400" s="93" t="n">
        <v>3135.667</v>
      </c>
      <c r="E1400" s="34" t="n">
        <v>3135.7</v>
      </c>
    </row>
    <row r="1401" customFormat="false" ht="15" hidden="false" customHeight="false" outlineLevel="0" collapsed="false">
      <c r="A1401" s="11" t="s">
        <v>1910</v>
      </c>
      <c r="B1401" s="11" t="n">
        <v>2</v>
      </c>
      <c r="C1401" s="11" t="s">
        <v>166</v>
      </c>
      <c r="D1401" s="93" t="n">
        <v>-1105.47968</v>
      </c>
      <c r="E1401" s="34" t="n">
        <v>-1105.5</v>
      </c>
    </row>
    <row r="1402" customFormat="false" ht="15" hidden="false" customHeight="false" outlineLevel="0" collapsed="false">
      <c r="A1402" s="11" t="s">
        <v>1911</v>
      </c>
      <c r="B1402" s="11" t="n">
        <v>1</v>
      </c>
      <c r="C1402" s="11" t="s">
        <v>2398</v>
      </c>
      <c r="D1402" s="93" t="n">
        <v>426.1042</v>
      </c>
      <c r="E1402" s="34" t="n">
        <v>426.1</v>
      </c>
    </row>
    <row r="1403" customFormat="false" ht="15" hidden="false" customHeight="false" outlineLevel="0" collapsed="false">
      <c r="A1403" s="11" t="s">
        <v>1911</v>
      </c>
      <c r="B1403" s="11" t="n">
        <v>2</v>
      </c>
      <c r="C1403" s="11" t="s">
        <v>2411</v>
      </c>
      <c r="D1403" s="93" t="n">
        <v>80.5</v>
      </c>
      <c r="E1403" s="34" t="n">
        <v>80.5</v>
      </c>
    </row>
    <row r="1404" customFormat="false" ht="15" hidden="false" customHeight="false" outlineLevel="0" collapsed="false">
      <c r="A1404" s="11" t="s">
        <v>1911</v>
      </c>
      <c r="B1404" s="11" t="n">
        <v>3</v>
      </c>
      <c r="C1404" s="11" t="s">
        <v>2399</v>
      </c>
      <c r="D1404" s="93" t="n">
        <v>62.6529</v>
      </c>
      <c r="E1404" s="34" t="n">
        <v>62.6</v>
      </c>
    </row>
    <row r="1405" customFormat="false" ht="15" hidden="false" customHeight="false" outlineLevel="0" collapsed="false">
      <c r="A1405" s="11" t="s">
        <v>1911</v>
      </c>
      <c r="B1405" s="11" t="n">
        <v>4</v>
      </c>
      <c r="C1405" s="11" t="s">
        <v>2392</v>
      </c>
      <c r="D1405" s="93" t="n">
        <v>295.7866</v>
      </c>
      <c r="E1405" s="34" t="n">
        <v>295.8</v>
      </c>
    </row>
    <row r="1406" customFormat="false" ht="15" hidden="false" customHeight="false" outlineLevel="0" collapsed="false">
      <c r="A1406" s="11" t="s">
        <v>1912</v>
      </c>
      <c r="B1406" s="11" t="n">
        <v>1</v>
      </c>
      <c r="C1406" s="11" t="s">
        <v>2398</v>
      </c>
      <c r="D1406" s="93" t="n">
        <v>376.045</v>
      </c>
      <c r="E1406" s="34" t="n">
        <v>376.1</v>
      </c>
    </row>
    <row r="1407" customFormat="false" ht="15" hidden="false" customHeight="false" outlineLevel="0" collapsed="false">
      <c r="A1407" s="11" t="s">
        <v>1912</v>
      </c>
      <c r="B1407" s="11" t="n">
        <v>2</v>
      </c>
      <c r="C1407" s="11" t="s">
        <v>2399</v>
      </c>
      <c r="D1407" s="93" t="n">
        <v>53.121</v>
      </c>
      <c r="E1407" s="34" t="n">
        <v>53.1</v>
      </c>
    </row>
    <row r="1408" customFormat="false" ht="15" hidden="false" customHeight="false" outlineLevel="0" collapsed="false">
      <c r="A1408" s="11" t="s">
        <v>1912</v>
      </c>
      <c r="B1408" s="11" t="n">
        <v>3</v>
      </c>
      <c r="C1408" s="11" t="s">
        <v>2403</v>
      </c>
      <c r="D1408" s="93" t="n">
        <v>32.794</v>
      </c>
      <c r="E1408" s="34" t="n">
        <v>32.8</v>
      </c>
    </row>
    <row r="1409" customFormat="false" ht="15" hidden="false" customHeight="false" outlineLevel="0" collapsed="false">
      <c r="A1409" s="11" t="s">
        <v>1912</v>
      </c>
      <c r="B1409" s="11" t="n">
        <v>4</v>
      </c>
      <c r="C1409" s="11" t="s">
        <v>127</v>
      </c>
      <c r="D1409" s="93" t="n">
        <v>6</v>
      </c>
      <c r="E1409" s="34" t="n">
        <v>6</v>
      </c>
    </row>
    <row r="1410" customFormat="false" ht="15" hidden="false" customHeight="false" outlineLevel="0" collapsed="false">
      <c r="A1410" s="11" t="s">
        <v>1913</v>
      </c>
      <c r="B1410" s="11" t="n">
        <v>1</v>
      </c>
      <c r="C1410" s="11" t="s">
        <v>2398</v>
      </c>
      <c r="D1410" s="93" t="n">
        <v>50.0592</v>
      </c>
      <c r="E1410" s="34" t="n">
        <v>50.1</v>
      </c>
    </row>
    <row r="1411" customFormat="false" ht="15" hidden="false" customHeight="false" outlineLevel="0" collapsed="false">
      <c r="A1411" s="11" t="s">
        <v>1913</v>
      </c>
      <c r="B1411" s="11" t="n">
        <v>2</v>
      </c>
      <c r="C1411" s="11" t="s">
        <v>2399</v>
      </c>
      <c r="D1411" s="93" t="n">
        <v>9.5319</v>
      </c>
      <c r="E1411" s="34" t="n">
        <v>9.5</v>
      </c>
    </row>
    <row r="1412" customFormat="false" ht="15" hidden="false" customHeight="false" outlineLevel="0" collapsed="false">
      <c r="A1412" s="11" t="s">
        <v>1913</v>
      </c>
      <c r="B1412" s="11" t="n">
        <v>3</v>
      </c>
      <c r="C1412" s="11" t="s">
        <v>2403</v>
      </c>
      <c r="D1412" s="93" t="n">
        <v>4.4106</v>
      </c>
      <c r="E1412" s="34" t="n">
        <v>4.4</v>
      </c>
    </row>
    <row r="1413" customFormat="false" ht="15" hidden="false" customHeight="false" outlineLevel="0" collapsed="false">
      <c r="A1413" s="11" t="s">
        <v>1913</v>
      </c>
      <c r="B1413" s="11" t="n">
        <v>4</v>
      </c>
      <c r="C1413" s="11" t="s">
        <v>127</v>
      </c>
      <c r="D1413" s="93" t="n">
        <v>0.9</v>
      </c>
      <c r="E1413" s="34" t="n">
        <v>0.9</v>
      </c>
    </row>
    <row r="1414" customFormat="false" ht="15" hidden="false" customHeight="false" outlineLevel="0" collapsed="false">
      <c r="A1414" s="11" t="s">
        <v>1914</v>
      </c>
      <c r="B1414" s="11" t="n">
        <v>1</v>
      </c>
      <c r="C1414" s="11" t="s">
        <v>1198</v>
      </c>
      <c r="D1414" s="93" t="n">
        <v>61</v>
      </c>
      <c r="E1414" s="34" t="n">
        <v>61</v>
      </c>
    </row>
    <row r="1415" customFormat="false" ht="15" hidden="false" customHeight="false" outlineLevel="0" collapsed="false">
      <c r="A1415" s="11" t="s">
        <v>1914</v>
      </c>
      <c r="B1415" s="11" t="n">
        <v>2</v>
      </c>
      <c r="C1415" s="11" t="s">
        <v>2350</v>
      </c>
      <c r="D1415" s="93" t="n">
        <v>35</v>
      </c>
      <c r="E1415" s="34" t="n">
        <v>35</v>
      </c>
    </row>
    <row r="1416" customFormat="false" ht="15" hidden="false" customHeight="false" outlineLevel="0" collapsed="false">
      <c r="A1416" s="11" t="s">
        <v>1914</v>
      </c>
      <c r="B1416" s="11" t="n">
        <v>3</v>
      </c>
      <c r="C1416" s="11" t="s">
        <v>1181</v>
      </c>
      <c r="D1416" s="93" t="n">
        <v>34.5</v>
      </c>
      <c r="E1416" s="34" t="n">
        <v>34.5</v>
      </c>
    </row>
    <row r="1417" customFormat="false" ht="15" hidden="false" customHeight="false" outlineLevel="0" collapsed="false">
      <c r="A1417" s="11" t="s">
        <v>1914</v>
      </c>
      <c r="B1417" s="11" t="n">
        <v>4</v>
      </c>
      <c r="C1417" s="11" t="s">
        <v>127</v>
      </c>
      <c r="D1417" s="93" t="n">
        <v>33</v>
      </c>
      <c r="E1417" s="34" t="n">
        <v>33</v>
      </c>
    </row>
    <row r="1418" customFormat="false" ht="15" hidden="false" customHeight="false" outlineLevel="0" collapsed="false">
      <c r="A1418" s="11" t="s">
        <v>1915</v>
      </c>
      <c r="B1418" s="11" t="n">
        <v>1</v>
      </c>
      <c r="C1418" s="11" t="s">
        <v>2411</v>
      </c>
      <c r="D1418" s="93" t="n">
        <v>80.5</v>
      </c>
      <c r="E1418" s="34" t="n">
        <v>80.5</v>
      </c>
    </row>
    <row r="1419" customFormat="false" ht="15" hidden="false" customHeight="false" outlineLevel="0" collapsed="false">
      <c r="A1419" s="11" t="s">
        <v>1915</v>
      </c>
      <c r="B1419" s="11" t="n">
        <v>2</v>
      </c>
      <c r="C1419" s="11" t="s">
        <v>2446</v>
      </c>
      <c r="D1419" s="93" t="n">
        <v>61</v>
      </c>
      <c r="E1419" s="34" t="n">
        <v>61</v>
      </c>
    </row>
    <row r="1420" customFormat="false" ht="15" hidden="false" customHeight="false" outlineLevel="0" collapsed="false">
      <c r="A1420" s="11" t="s">
        <v>1915</v>
      </c>
      <c r="B1420" s="11" t="n">
        <v>3</v>
      </c>
      <c r="C1420" s="11" t="s">
        <v>2412</v>
      </c>
      <c r="D1420" s="93" t="n">
        <v>-32.818</v>
      </c>
      <c r="E1420" s="34" t="n">
        <v>-32.8</v>
      </c>
    </row>
    <row r="1421" customFormat="false" ht="15" hidden="false" customHeight="false" outlineLevel="0" collapsed="false">
      <c r="A1421" s="11" t="s">
        <v>1915</v>
      </c>
      <c r="B1421" s="11" t="n">
        <v>4</v>
      </c>
      <c r="C1421" s="11" t="s">
        <v>102</v>
      </c>
      <c r="D1421" s="93" t="n">
        <v>28</v>
      </c>
      <c r="E1421" s="34" t="n">
        <v>28</v>
      </c>
    </row>
    <row r="1422" customFormat="false" ht="15" hidden="false" customHeight="false" outlineLevel="0" collapsed="false">
      <c r="A1422" s="11" t="s">
        <v>1916</v>
      </c>
      <c r="B1422" s="11" t="n">
        <v>1</v>
      </c>
      <c r="C1422" s="11" t="s">
        <v>2351</v>
      </c>
      <c r="D1422" s="93" t="n">
        <v>24</v>
      </c>
      <c r="E1422" s="34" t="n">
        <v>24</v>
      </c>
    </row>
    <row r="1423" customFormat="false" ht="15" hidden="false" customHeight="false" outlineLevel="0" collapsed="false">
      <c r="A1423" s="11" t="s">
        <v>1916</v>
      </c>
      <c r="B1423" s="11" t="n">
        <v>2</v>
      </c>
      <c r="C1423" s="11" t="s">
        <v>2430</v>
      </c>
      <c r="D1423" s="93" t="n">
        <v>8</v>
      </c>
      <c r="E1423" s="34" t="n">
        <v>8</v>
      </c>
    </row>
    <row r="1424" customFormat="false" ht="15" hidden="false" customHeight="false" outlineLevel="0" collapsed="false">
      <c r="A1424" s="11" t="s">
        <v>1917</v>
      </c>
      <c r="B1424" s="11" t="n">
        <v>1</v>
      </c>
      <c r="C1424" s="11" t="s">
        <v>91</v>
      </c>
      <c r="D1424" s="93" t="n">
        <v>3135.667</v>
      </c>
      <c r="E1424" s="34" t="n">
        <v>3135.7</v>
      </c>
    </row>
    <row r="1425" customFormat="false" ht="15" hidden="false" customHeight="false" outlineLevel="0" collapsed="false">
      <c r="A1425" s="11" t="s">
        <v>1917</v>
      </c>
      <c r="B1425" s="11" t="n">
        <v>2</v>
      </c>
      <c r="C1425" s="11" t="s">
        <v>166</v>
      </c>
      <c r="D1425" s="93" t="n">
        <v>-1105.47968</v>
      </c>
      <c r="E1425" s="34" t="n">
        <v>-1105.5</v>
      </c>
    </row>
    <row r="1426" customFormat="false" ht="15" hidden="false" customHeight="false" outlineLevel="0" collapsed="false">
      <c r="A1426" s="11" t="s">
        <v>1917</v>
      </c>
      <c r="B1426" s="11" t="n">
        <v>3</v>
      </c>
      <c r="C1426" s="11" t="s">
        <v>168</v>
      </c>
      <c r="D1426" s="93" t="n">
        <v>-865.0437</v>
      </c>
      <c r="E1426" s="34" t="n">
        <v>-865.1</v>
      </c>
    </row>
    <row r="1427" customFormat="false" ht="15" hidden="false" customHeight="false" outlineLevel="0" collapsed="false">
      <c r="A1427" s="11" t="s">
        <v>1918</v>
      </c>
      <c r="B1427" s="11" t="n">
        <v>1</v>
      </c>
      <c r="C1427" s="11" t="s">
        <v>2407</v>
      </c>
      <c r="D1427" s="93" t="n">
        <v>21.75</v>
      </c>
      <c r="E1427" s="34" t="n">
        <v>21.7</v>
      </c>
    </row>
    <row r="1428" customFormat="false" ht="15" hidden="false" customHeight="false" outlineLevel="0" collapsed="false">
      <c r="A1428" s="11" t="s">
        <v>1918</v>
      </c>
      <c r="B1428" s="11" t="n">
        <v>2</v>
      </c>
      <c r="C1428" s="11" t="s">
        <v>2404</v>
      </c>
      <c r="D1428" s="93" t="n">
        <v>20.13895</v>
      </c>
      <c r="E1428" s="34" t="n">
        <v>20.1</v>
      </c>
    </row>
    <row r="1429" customFormat="false" ht="15" hidden="false" customHeight="false" outlineLevel="0" collapsed="false">
      <c r="A1429" s="11" t="s">
        <v>1918</v>
      </c>
      <c r="B1429" s="11" t="n">
        <v>3</v>
      </c>
      <c r="C1429" s="11" t="s">
        <v>2443</v>
      </c>
      <c r="D1429" s="93" t="n">
        <v>16.78769</v>
      </c>
      <c r="E1429" s="34" t="n">
        <v>16.8</v>
      </c>
    </row>
    <row r="1430" customFormat="false" ht="15" hidden="false" customHeight="false" outlineLevel="0" collapsed="false">
      <c r="A1430" s="11" t="s">
        <v>1918</v>
      </c>
      <c r="B1430" s="11" t="n">
        <v>4</v>
      </c>
      <c r="C1430" s="11" t="s">
        <v>2431</v>
      </c>
      <c r="D1430" s="93" t="n">
        <v>31.76409</v>
      </c>
      <c r="E1430" s="34" t="n">
        <v>31.8</v>
      </c>
    </row>
    <row r="1431" customFormat="false" ht="15" hidden="false" customHeight="false" outlineLevel="0" collapsed="false">
      <c r="A1431" s="11" t="s">
        <v>1919</v>
      </c>
      <c r="B1431" s="11" t="n">
        <v>1</v>
      </c>
      <c r="C1431" s="11" t="s">
        <v>2404</v>
      </c>
      <c r="D1431" s="93" t="n">
        <v>20.13895</v>
      </c>
      <c r="E1431" s="34" t="n">
        <v>20.1</v>
      </c>
    </row>
    <row r="1432" customFormat="false" ht="15" hidden="false" customHeight="false" outlineLevel="0" collapsed="false">
      <c r="A1432" s="11" t="s">
        <v>1919</v>
      </c>
      <c r="B1432" s="11" t="n">
        <v>2</v>
      </c>
      <c r="C1432" s="11" t="s">
        <v>2443</v>
      </c>
      <c r="D1432" s="93" t="n">
        <v>16.78769</v>
      </c>
      <c r="E1432" s="34" t="n">
        <v>16.8</v>
      </c>
    </row>
    <row r="1433" customFormat="false" ht="15" hidden="false" customHeight="false" outlineLevel="0" collapsed="false">
      <c r="A1433" s="11" t="s">
        <v>1919</v>
      </c>
      <c r="B1433" s="11" t="n">
        <v>3</v>
      </c>
      <c r="C1433" s="11" t="s">
        <v>2408</v>
      </c>
      <c r="D1433" s="93" t="n">
        <v>12.16531</v>
      </c>
      <c r="E1433" s="34" t="n">
        <v>12.2</v>
      </c>
    </row>
    <row r="1434" customFormat="false" ht="15" hidden="false" customHeight="false" outlineLevel="0" collapsed="false">
      <c r="A1434" s="11" t="s">
        <v>1919</v>
      </c>
      <c r="B1434" s="11" t="n">
        <v>4</v>
      </c>
      <c r="C1434" s="11" t="s">
        <v>109</v>
      </c>
      <c r="D1434" s="93" t="n">
        <v>-0.3179</v>
      </c>
      <c r="E1434" s="34" t="n">
        <v>-0.3</v>
      </c>
    </row>
    <row r="1435" customFormat="false" ht="15" hidden="false" customHeight="false" outlineLevel="0" collapsed="false">
      <c r="A1435" s="11" t="s">
        <v>1920</v>
      </c>
      <c r="B1435" s="11" t="n">
        <v>1</v>
      </c>
      <c r="C1435" s="11" t="s">
        <v>2405</v>
      </c>
      <c r="D1435" s="93" t="n">
        <v>6.83333</v>
      </c>
      <c r="E1435" s="34" t="n">
        <v>6.8</v>
      </c>
    </row>
    <row r="1436" customFormat="false" ht="15" hidden="false" customHeight="false" outlineLevel="0" collapsed="false">
      <c r="A1436" s="11" t="s">
        <v>1920</v>
      </c>
      <c r="B1436" s="11" t="n">
        <v>2</v>
      </c>
      <c r="C1436" s="11" t="s">
        <v>2346</v>
      </c>
      <c r="D1436" s="93" t="n">
        <v>6.16668</v>
      </c>
      <c r="E1436" s="34" t="n">
        <v>6.2</v>
      </c>
    </row>
    <row r="1437" customFormat="false" ht="15" hidden="false" customHeight="false" outlineLevel="0" collapsed="false">
      <c r="A1437" s="11" t="s">
        <v>1920</v>
      </c>
      <c r="B1437" s="11" t="n">
        <v>3</v>
      </c>
      <c r="C1437" s="11" t="s">
        <v>2444</v>
      </c>
      <c r="D1437" s="93" t="n">
        <v>0.66667</v>
      </c>
      <c r="E1437" s="34" t="n">
        <v>0.7</v>
      </c>
    </row>
    <row r="1438" customFormat="false" ht="15" hidden="false" customHeight="false" outlineLevel="0" collapsed="false">
      <c r="A1438" s="11" t="s">
        <v>1921</v>
      </c>
      <c r="B1438" s="11" t="n">
        <v>1</v>
      </c>
      <c r="C1438" s="11" t="s">
        <v>2407</v>
      </c>
      <c r="D1438" s="93" t="n">
        <v>21.75</v>
      </c>
      <c r="E1438" s="34" t="n">
        <v>21.8</v>
      </c>
    </row>
    <row r="1439" customFormat="false" ht="15" hidden="false" customHeight="false" outlineLevel="0" collapsed="false">
      <c r="A1439" s="11" t="s">
        <v>1921</v>
      </c>
      <c r="B1439" s="11" t="n">
        <v>2</v>
      </c>
      <c r="C1439" s="11" t="s">
        <v>2347</v>
      </c>
      <c r="D1439" s="93" t="n">
        <v>16.5</v>
      </c>
      <c r="E1439" s="34" t="n">
        <v>16.5</v>
      </c>
    </row>
    <row r="1440" customFormat="false" ht="15" hidden="false" customHeight="false" outlineLevel="0" collapsed="false">
      <c r="A1440" s="11" t="s">
        <v>1921</v>
      </c>
      <c r="B1440" s="11" t="n">
        <v>3</v>
      </c>
      <c r="C1440" s="11" t="s">
        <v>2406</v>
      </c>
      <c r="D1440" s="93" t="n">
        <v>-10.25</v>
      </c>
      <c r="E1440" s="34" t="n">
        <v>-10.3</v>
      </c>
    </row>
    <row r="1441" customFormat="false" ht="15" hidden="false" customHeight="false" outlineLevel="0" collapsed="false">
      <c r="A1441" s="11" t="s">
        <v>1922</v>
      </c>
      <c r="B1441" s="11" t="n">
        <v>1</v>
      </c>
      <c r="C1441" s="11" t="s">
        <v>2398</v>
      </c>
      <c r="D1441" s="93" t="n">
        <v>416.4045</v>
      </c>
      <c r="E1441" s="34" t="n">
        <v>416.4</v>
      </c>
    </row>
    <row r="1442" customFormat="false" ht="15" hidden="false" customHeight="false" outlineLevel="0" collapsed="false">
      <c r="A1442" s="11" t="s">
        <v>1922</v>
      </c>
      <c r="B1442" s="11" t="n">
        <v>2</v>
      </c>
      <c r="C1442" s="11" t="s">
        <v>2349</v>
      </c>
      <c r="D1442" s="93" t="n">
        <v>66</v>
      </c>
      <c r="E1442" s="34" t="n">
        <v>66</v>
      </c>
    </row>
    <row r="1443" customFormat="false" ht="15" hidden="false" customHeight="false" outlineLevel="0" collapsed="false">
      <c r="A1443" s="11" t="s">
        <v>1922</v>
      </c>
      <c r="B1443" s="11" t="n">
        <v>3</v>
      </c>
      <c r="C1443" s="11" t="s">
        <v>2399</v>
      </c>
      <c r="D1443" s="93" t="n">
        <v>45.621</v>
      </c>
      <c r="E1443" s="34" t="n">
        <v>45.6</v>
      </c>
    </row>
    <row r="1444" customFormat="false" ht="15" hidden="false" customHeight="false" outlineLevel="0" collapsed="false">
      <c r="A1444" s="11" t="s">
        <v>1922</v>
      </c>
      <c r="B1444" s="11" t="n">
        <v>4</v>
      </c>
      <c r="C1444" s="11" t="s">
        <v>2427</v>
      </c>
      <c r="D1444" s="93" t="n">
        <v>173.27869</v>
      </c>
      <c r="E1444" s="34" t="n">
        <v>173.3</v>
      </c>
    </row>
    <row r="1445" customFormat="false" ht="15" hidden="false" customHeight="false" outlineLevel="0" collapsed="false">
      <c r="A1445" s="11" t="s">
        <v>1923</v>
      </c>
      <c r="B1445" s="11" t="n">
        <v>1</v>
      </c>
      <c r="C1445" s="11" t="s">
        <v>2398</v>
      </c>
      <c r="D1445" s="93" t="n">
        <v>416.4045</v>
      </c>
      <c r="E1445" s="34" t="n">
        <v>416.4</v>
      </c>
    </row>
    <row r="1446" customFormat="false" ht="15" hidden="false" customHeight="false" outlineLevel="0" collapsed="false">
      <c r="A1446" s="11" t="s">
        <v>1923</v>
      </c>
      <c r="B1446" s="11" t="n">
        <v>2</v>
      </c>
      <c r="C1446" s="11" t="s">
        <v>2399</v>
      </c>
      <c r="D1446" s="93" t="n">
        <v>45.621</v>
      </c>
      <c r="E1446" s="34" t="n">
        <v>45.6</v>
      </c>
    </row>
    <row r="1447" customFormat="false" ht="15" hidden="false" customHeight="false" outlineLevel="0" collapsed="false">
      <c r="A1447" s="11" t="s">
        <v>1923</v>
      </c>
      <c r="B1447" s="11" t="n">
        <v>3</v>
      </c>
      <c r="C1447" s="11" t="s">
        <v>2403</v>
      </c>
      <c r="D1447" s="93" t="n">
        <v>36.57375</v>
      </c>
      <c r="E1447" s="34" t="n">
        <v>36.6</v>
      </c>
    </row>
    <row r="1448" customFormat="false" ht="15" hidden="false" customHeight="false" outlineLevel="0" collapsed="false">
      <c r="A1448" s="11" t="s">
        <v>1923</v>
      </c>
      <c r="B1448" s="11" t="n">
        <v>4</v>
      </c>
      <c r="C1448" s="11" t="s">
        <v>102</v>
      </c>
      <c r="D1448" s="93" t="n">
        <v>7.125</v>
      </c>
      <c r="E1448" s="34" t="n">
        <v>7.1</v>
      </c>
    </row>
    <row r="1449" customFormat="false" ht="15" hidden="false" customHeight="false" outlineLevel="0" collapsed="false">
      <c r="A1449" s="11" t="s">
        <v>1924</v>
      </c>
      <c r="B1449" s="11" t="n">
        <v>1</v>
      </c>
      <c r="C1449" s="11" t="s">
        <v>2349</v>
      </c>
      <c r="D1449" s="93" t="n">
        <v>66</v>
      </c>
      <c r="E1449" s="34" t="n">
        <v>66</v>
      </c>
    </row>
    <row r="1450" customFormat="false" ht="15" hidden="false" customHeight="false" outlineLevel="0" collapsed="false">
      <c r="A1450" s="11" t="s">
        <v>1924</v>
      </c>
      <c r="B1450" s="11" t="n">
        <v>2</v>
      </c>
      <c r="C1450" s="11" t="s">
        <v>2428</v>
      </c>
      <c r="D1450" s="93" t="n">
        <v>8</v>
      </c>
      <c r="E1450" s="34" t="n">
        <v>8</v>
      </c>
    </row>
    <row r="1451" customFormat="false" ht="15" hidden="false" customHeight="false" outlineLevel="0" collapsed="false">
      <c r="A1451" s="11" t="s">
        <v>1925</v>
      </c>
      <c r="B1451" s="11" t="n">
        <v>1</v>
      </c>
      <c r="C1451" s="11" t="s">
        <v>2404</v>
      </c>
      <c r="D1451" s="93" t="n">
        <v>18.11168</v>
      </c>
      <c r="E1451" s="34" t="n">
        <v>18.1</v>
      </c>
    </row>
    <row r="1452" customFormat="false" ht="15" hidden="false" customHeight="false" outlineLevel="0" collapsed="false">
      <c r="A1452" s="11" t="s">
        <v>1925</v>
      </c>
      <c r="B1452" s="11" t="n">
        <v>2</v>
      </c>
      <c r="C1452" s="11" t="s">
        <v>2443</v>
      </c>
      <c r="D1452" s="93" t="n">
        <v>15.09571</v>
      </c>
      <c r="E1452" s="34" t="n">
        <v>15.1</v>
      </c>
    </row>
    <row r="1453" customFormat="false" ht="15" hidden="false" customHeight="false" outlineLevel="0" collapsed="false">
      <c r="A1453" s="11" t="s">
        <v>1925</v>
      </c>
      <c r="B1453" s="11" t="n">
        <v>3</v>
      </c>
      <c r="C1453" s="11" t="s">
        <v>2408</v>
      </c>
      <c r="D1453" s="93" t="n">
        <v>10.9415</v>
      </c>
      <c r="E1453" s="34" t="n">
        <v>10.9</v>
      </c>
    </row>
    <row r="1454" customFormat="false" ht="15" hidden="false" customHeight="false" outlineLevel="0" collapsed="false">
      <c r="A1454" s="11" t="s">
        <v>1925</v>
      </c>
      <c r="B1454" s="11" t="n">
        <v>4</v>
      </c>
      <c r="C1454" s="11" t="s">
        <v>109</v>
      </c>
      <c r="D1454" s="93" t="n">
        <v>8.09775</v>
      </c>
      <c r="E1454" s="34" t="n">
        <v>8.1</v>
      </c>
    </row>
    <row r="1455" customFormat="false" ht="15" hidden="false" customHeight="false" outlineLevel="0" collapsed="false">
      <c r="A1455" s="11" t="s">
        <v>1926</v>
      </c>
      <c r="B1455" s="11" t="n">
        <v>1</v>
      </c>
      <c r="C1455" s="11" t="s">
        <v>2405</v>
      </c>
      <c r="D1455" s="93" t="n">
        <v>13.66667</v>
      </c>
      <c r="E1455" s="34" t="n">
        <v>13.7</v>
      </c>
    </row>
    <row r="1456" customFormat="false" ht="15" hidden="false" customHeight="false" outlineLevel="0" collapsed="false">
      <c r="A1456" s="11" t="s">
        <v>1926</v>
      </c>
      <c r="B1456" s="11" t="n">
        <v>2</v>
      </c>
      <c r="C1456" s="11" t="s">
        <v>2346</v>
      </c>
      <c r="D1456" s="93" t="n">
        <v>12.33332</v>
      </c>
      <c r="E1456" s="34" t="n">
        <v>12.3</v>
      </c>
    </row>
    <row r="1457" customFormat="false" ht="15" hidden="false" customHeight="false" outlineLevel="0" collapsed="false">
      <c r="A1457" s="11" t="s">
        <v>1926</v>
      </c>
      <c r="B1457" s="11" t="n">
        <v>3</v>
      </c>
      <c r="C1457" s="11" t="s">
        <v>2444</v>
      </c>
      <c r="D1457" s="93" t="n">
        <v>1.33333</v>
      </c>
      <c r="E1457" s="34" t="n">
        <v>1.3</v>
      </c>
    </row>
    <row r="1458" customFormat="false" ht="15" hidden="false" customHeight="false" outlineLevel="0" collapsed="false">
      <c r="A1458" s="11" t="s">
        <v>1927</v>
      </c>
      <c r="B1458" s="11" t="n">
        <v>1</v>
      </c>
      <c r="C1458" s="11" t="s">
        <v>2407</v>
      </c>
      <c r="D1458" s="93" t="n">
        <v>32.62498</v>
      </c>
      <c r="E1458" s="34" t="n">
        <v>32.6</v>
      </c>
    </row>
    <row r="1459" customFormat="false" ht="15" hidden="false" customHeight="false" outlineLevel="0" collapsed="false">
      <c r="A1459" s="11" t="s">
        <v>1927</v>
      </c>
      <c r="B1459" s="11" t="n">
        <v>2</v>
      </c>
      <c r="C1459" s="11" t="s">
        <v>2347</v>
      </c>
      <c r="D1459" s="93" t="n">
        <v>24.75</v>
      </c>
      <c r="E1459" s="34" t="n">
        <v>24.8</v>
      </c>
    </row>
    <row r="1460" customFormat="false" ht="15" hidden="false" customHeight="false" outlineLevel="0" collapsed="false">
      <c r="A1460" s="11" t="s">
        <v>1927</v>
      </c>
      <c r="B1460" s="11" t="n">
        <v>3</v>
      </c>
      <c r="C1460" s="11" t="s">
        <v>2406</v>
      </c>
      <c r="D1460" s="93" t="n">
        <v>-15.375</v>
      </c>
      <c r="E1460" s="34" t="n">
        <v>-15.4</v>
      </c>
    </row>
    <row r="1461" customFormat="false" ht="15" hidden="false" customHeight="false" outlineLevel="0" collapsed="false">
      <c r="A1461" s="11" t="s">
        <v>1928</v>
      </c>
      <c r="B1461" s="11" t="n">
        <v>1</v>
      </c>
      <c r="C1461" s="11" t="s">
        <v>2413</v>
      </c>
      <c r="D1461" s="93" t="n">
        <v>136</v>
      </c>
      <c r="E1461" s="34" t="n">
        <v>136</v>
      </c>
    </row>
    <row r="1462" customFormat="false" ht="15" hidden="false" customHeight="false" outlineLevel="0" collapsed="false">
      <c r="A1462" s="11" t="s">
        <v>1928</v>
      </c>
      <c r="B1462" s="11" t="n">
        <v>2</v>
      </c>
      <c r="C1462" s="11" t="s">
        <v>2354</v>
      </c>
      <c r="D1462" s="93" t="n">
        <v>35</v>
      </c>
      <c r="E1462" s="34" t="n">
        <v>35</v>
      </c>
    </row>
    <row r="1463" customFormat="false" ht="15" hidden="false" customHeight="false" outlineLevel="0" collapsed="false">
      <c r="A1463" s="11" t="s">
        <v>1928</v>
      </c>
      <c r="B1463" s="11" t="n">
        <v>3</v>
      </c>
      <c r="C1463" s="11" t="s">
        <v>1190</v>
      </c>
      <c r="D1463" s="93" t="n">
        <v>23.5</v>
      </c>
      <c r="E1463" s="34" t="n">
        <v>23.5</v>
      </c>
    </row>
    <row r="1464" customFormat="false" ht="15" hidden="false" customHeight="false" outlineLevel="0" collapsed="false">
      <c r="A1464" s="11" t="s">
        <v>1928</v>
      </c>
      <c r="B1464" s="11" t="n">
        <v>4</v>
      </c>
      <c r="C1464" s="11" t="s">
        <v>2343</v>
      </c>
      <c r="D1464" s="93" t="n">
        <v>47.6667</v>
      </c>
      <c r="E1464" s="34" t="n">
        <v>47.7</v>
      </c>
    </row>
    <row r="1465" customFormat="false" ht="15" hidden="false" customHeight="false" outlineLevel="0" collapsed="false">
      <c r="A1465" s="11" t="s">
        <v>1929</v>
      </c>
      <c r="B1465" s="11" t="n">
        <v>1</v>
      </c>
      <c r="C1465" s="11" t="s">
        <v>2413</v>
      </c>
      <c r="D1465" s="93" t="n">
        <v>136</v>
      </c>
      <c r="E1465" s="34" t="n">
        <v>136</v>
      </c>
    </row>
    <row r="1466" customFormat="false" ht="15" hidden="false" customHeight="false" outlineLevel="0" collapsed="false">
      <c r="A1466" s="11" t="s">
        <v>1929</v>
      </c>
      <c r="B1466" s="11" t="n">
        <v>2</v>
      </c>
      <c r="C1466" s="11" t="s">
        <v>2354</v>
      </c>
      <c r="D1466" s="93" t="n">
        <v>35</v>
      </c>
      <c r="E1466" s="34" t="n">
        <v>35</v>
      </c>
    </row>
    <row r="1467" customFormat="false" ht="15" hidden="false" customHeight="false" outlineLevel="0" collapsed="false">
      <c r="A1467" s="11" t="s">
        <v>1929</v>
      </c>
      <c r="B1467" s="11" t="n">
        <v>3</v>
      </c>
      <c r="C1467" s="11" t="s">
        <v>1190</v>
      </c>
      <c r="D1467" s="93" t="n">
        <v>23.5</v>
      </c>
      <c r="E1467" s="34" t="n">
        <v>23.5</v>
      </c>
    </row>
    <row r="1468" customFormat="false" ht="15" hidden="false" customHeight="false" outlineLevel="0" collapsed="false">
      <c r="A1468" s="11" t="s">
        <v>1929</v>
      </c>
      <c r="B1468" s="11" t="n">
        <v>4</v>
      </c>
      <c r="C1468" s="11" t="s">
        <v>102</v>
      </c>
      <c r="D1468" s="93" t="n">
        <v>20</v>
      </c>
      <c r="E1468" s="34" t="n">
        <v>20</v>
      </c>
    </row>
    <row r="1469" customFormat="false" ht="15" hidden="false" customHeight="false" outlineLevel="0" collapsed="false">
      <c r="A1469" s="11" t="s">
        <v>1930</v>
      </c>
      <c r="B1469" s="11" t="n">
        <v>1</v>
      </c>
      <c r="C1469" s="11" t="s">
        <v>2405</v>
      </c>
      <c r="D1469" s="93" t="n">
        <v>6.83333</v>
      </c>
      <c r="E1469" s="34" t="n">
        <v>6.8</v>
      </c>
    </row>
    <row r="1470" customFormat="false" ht="15" hidden="false" customHeight="false" outlineLevel="0" collapsed="false">
      <c r="A1470" s="11" t="s">
        <v>1930</v>
      </c>
      <c r="B1470" s="11" t="n">
        <v>2</v>
      </c>
      <c r="C1470" s="11" t="s">
        <v>2346</v>
      </c>
      <c r="D1470" s="93" t="n">
        <v>6.16668</v>
      </c>
      <c r="E1470" s="34" t="n">
        <v>6.2</v>
      </c>
    </row>
    <row r="1471" customFormat="false" ht="15" hidden="false" customHeight="false" outlineLevel="0" collapsed="false">
      <c r="A1471" s="11" t="s">
        <v>1930</v>
      </c>
      <c r="B1471" s="11" t="n">
        <v>3</v>
      </c>
      <c r="C1471" s="11" t="s">
        <v>2444</v>
      </c>
      <c r="D1471" s="93" t="n">
        <v>0.66667</v>
      </c>
      <c r="E1471" s="34" t="n">
        <v>0.7</v>
      </c>
    </row>
    <row r="1472" customFormat="false" ht="15" hidden="false" customHeight="false" outlineLevel="0" collapsed="false">
      <c r="A1472" s="11" t="s">
        <v>1931</v>
      </c>
      <c r="B1472" s="11" t="n">
        <v>1</v>
      </c>
      <c r="C1472" s="11" t="s">
        <v>2407</v>
      </c>
      <c r="D1472" s="93" t="n">
        <v>10.87502</v>
      </c>
      <c r="E1472" s="34" t="n">
        <v>10.9</v>
      </c>
    </row>
    <row r="1473" customFormat="false" ht="15" hidden="false" customHeight="false" outlineLevel="0" collapsed="false">
      <c r="A1473" s="11" t="s">
        <v>1931</v>
      </c>
      <c r="B1473" s="11" t="n">
        <v>2</v>
      </c>
      <c r="C1473" s="11" t="s">
        <v>2347</v>
      </c>
      <c r="D1473" s="93" t="n">
        <v>8.25</v>
      </c>
      <c r="E1473" s="34" t="n">
        <v>8.2</v>
      </c>
    </row>
    <row r="1474" customFormat="false" ht="15" hidden="false" customHeight="false" outlineLevel="0" collapsed="false">
      <c r="A1474" s="11" t="s">
        <v>1931</v>
      </c>
      <c r="B1474" s="11" t="n">
        <v>3</v>
      </c>
      <c r="C1474" s="11" t="s">
        <v>2406</v>
      </c>
      <c r="D1474" s="93" t="n">
        <v>-5.125</v>
      </c>
      <c r="E1474" s="34" t="n">
        <v>-5.1</v>
      </c>
    </row>
    <row r="1475" customFormat="false" ht="15" hidden="false" customHeight="false" outlineLevel="0" collapsed="false">
      <c r="A1475" s="11" t="s">
        <v>1932</v>
      </c>
      <c r="B1475" s="11" t="n">
        <v>1</v>
      </c>
      <c r="C1475" s="11" t="s">
        <v>157</v>
      </c>
      <c r="D1475" s="93" t="n">
        <v>701.30419</v>
      </c>
      <c r="E1475" s="34" t="n">
        <v>701.3</v>
      </c>
    </row>
    <row r="1476" customFormat="false" ht="15" hidden="false" customHeight="false" outlineLevel="0" collapsed="false">
      <c r="A1476" s="11" t="s">
        <v>1932</v>
      </c>
      <c r="B1476" s="11" t="n">
        <v>2</v>
      </c>
      <c r="C1476" s="11" t="s">
        <v>159</v>
      </c>
      <c r="D1476" s="93" t="n">
        <v>242.1667</v>
      </c>
      <c r="E1476" s="34" t="n">
        <v>242.2</v>
      </c>
    </row>
    <row r="1477" customFormat="false" ht="15" hidden="false" customHeight="false" outlineLevel="0" collapsed="false">
      <c r="A1477" s="11" t="s">
        <v>1932</v>
      </c>
      <c r="B1477" s="11" t="n">
        <v>3</v>
      </c>
      <c r="C1477" s="11" t="s">
        <v>170</v>
      </c>
      <c r="D1477" s="93" t="n">
        <v>90.44073</v>
      </c>
      <c r="E1477" s="34" t="n">
        <v>90.4</v>
      </c>
    </row>
    <row r="1478" customFormat="false" ht="15" hidden="false" customHeight="false" outlineLevel="0" collapsed="false">
      <c r="A1478" s="11" t="s">
        <v>1933</v>
      </c>
      <c r="B1478" s="11" t="n">
        <v>1</v>
      </c>
      <c r="C1478" s="11" t="s">
        <v>91</v>
      </c>
      <c r="D1478" s="93" t="n">
        <v>3135.667</v>
      </c>
      <c r="E1478" s="34" t="n">
        <v>3135.7</v>
      </c>
    </row>
    <row r="1479" customFormat="false" ht="15" hidden="false" customHeight="false" outlineLevel="0" collapsed="false">
      <c r="A1479" s="11" t="s">
        <v>1933</v>
      </c>
      <c r="B1479" s="11" t="n">
        <v>2</v>
      </c>
      <c r="C1479" s="11" t="s">
        <v>166</v>
      </c>
      <c r="D1479" s="93" t="n">
        <v>-1105.47968</v>
      </c>
      <c r="E1479" s="34" t="n">
        <v>-1105.5</v>
      </c>
    </row>
    <row r="1480" customFormat="false" ht="15" hidden="false" customHeight="false" outlineLevel="0" collapsed="false">
      <c r="A1480" s="11" t="s">
        <v>1933</v>
      </c>
      <c r="B1480" s="11" t="n">
        <v>3</v>
      </c>
      <c r="C1480" s="11" t="s">
        <v>171</v>
      </c>
      <c r="D1480" s="93" t="n">
        <v>-1033.91162</v>
      </c>
      <c r="E1480" s="34" t="n">
        <v>-1033.9</v>
      </c>
    </row>
    <row r="1481" customFormat="false" ht="15" hidden="false" customHeight="false" outlineLevel="0" collapsed="false">
      <c r="A1481" s="11" t="s">
        <v>1933</v>
      </c>
      <c r="B1481" s="11" t="n">
        <v>4</v>
      </c>
      <c r="C1481" s="11" t="s">
        <v>127</v>
      </c>
      <c r="D1481" s="93" t="n">
        <v>-865.0437</v>
      </c>
      <c r="E1481" s="34" t="n">
        <v>-865.1</v>
      </c>
    </row>
    <row r="1482" customFormat="false" ht="15" hidden="false" customHeight="false" outlineLevel="0" collapsed="false">
      <c r="A1482" s="11" t="s">
        <v>1934</v>
      </c>
      <c r="B1482" s="11" t="n">
        <v>1</v>
      </c>
      <c r="C1482" s="11" t="s">
        <v>2357</v>
      </c>
      <c r="D1482" s="93" t="n">
        <v>-18.5</v>
      </c>
      <c r="E1482" s="34" t="n">
        <v>-18.5</v>
      </c>
    </row>
    <row r="1483" customFormat="false" ht="15" hidden="false" customHeight="false" outlineLevel="0" collapsed="false">
      <c r="A1483" s="11" t="s">
        <v>1935</v>
      </c>
      <c r="B1483" s="11" t="n">
        <v>1</v>
      </c>
      <c r="C1483" s="11" t="s">
        <v>2414</v>
      </c>
      <c r="D1483" s="93" t="n">
        <v>-17.5</v>
      </c>
      <c r="E1483" s="34" t="n">
        <v>-17.5</v>
      </c>
    </row>
    <row r="1484" customFormat="false" ht="15" hidden="false" customHeight="false" outlineLevel="0" collapsed="false">
      <c r="A1484" s="11" t="s">
        <v>1936</v>
      </c>
      <c r="B1484" s="11" t="n">
        <v>1</v>
      </c>
      <c r="C1484" s="11" t="s">
        <v>2358</v>
      </c>
      <c r="D1484" s="93" t="n">
        <v>70</v>
      </c>
      <c r="E1484" s="34" t="n">
        <v>70</v>
      </c>
    </row>
    <row r="1485" customFormat="false" ht="15" hidden="false" customHeight="false" outlineLevel="0" collapsed="false">
      <c r="A1485" s="11" t="s">
        <v>1936</v>
      </c>
      <c r="B1485" s="11" t="n">
        <v>2</v>
      </c>
      <c r="C1485" s="11" t="s">
        <v>2359</v>
      </c>
      <c r="D1485" s="93" t="n">
        <v>10.5</v>
      </c>
      <c r="E1485" s="34" t="n">
        <v>10.5</v>
      </c>
    </row>
    <row r="1486" customFormat="false" ht="15" hidden="false" customHeight="false" outlineLevel="0" collapsed="false">
      <c r="A1486" s="11" t="s">
        <v>1937</v>
      </c>
      <c r="B1486" s="11" t="n">
        <v>1</v>
      </c>
      <c r="C1486" s="11" t="s">
        <v>91</v>
      </c>
      <c r="D1486" s="93" t="n">
        <v>3135.667</v>
      </c>
      <c r="E1486" s="34" t="n">
        <v>3135.7</v>
      </c>
    </row>
    <row r="1487" customFormat="false" ht="15" hidden="false" customHeight="false" outlineLevel="0" collapsed="false">
      <c r="A1487" s="11" t="s">
        <v>1937</v>
      </c>
      <c r="B1487" s="11" t="n">
        <v>2</v>
      </c>
      <c r="C1487" s="11" t="s">
        <v>166</v>
      </c>
      <c r="D1487" s="93" t="n">
        <v>-1105.47968</v>
      </c>
      <c r="E1487" s="34" t="n">
        <v>-1105.5</v>
      </c>
    </row>
    <row r="1488" customFormat="false" ht="15" hidden="false" customHeight="false" outlineLevel="0" collapsed="false">
      <c r="A1488" s="11" t="s">
        <v>1937</v>
      </c>
      <c r="B1488" s="11" t="n">
        <v>3</v>
      </c>
      <c r="C1488" s="11" t="s">
        <v>171</v>
      </c>
      <c r="D1488" s="93" t="n">
        <v>-1033.91162</v>
      </c>
      <c r="E1488" s="34" t="n">
        <v>-1033.9</v>
      </c>
    </row>
    <row r="1489" customFormat="false" ht="15" hidden="false" customHeight="false" outlineLevel="0" collapsed="false">
      <c r="A1489" s="11" t="s">
        <v>1937</v>
      </c>
      <c r="B1489" s="11" t="n">
        <v>4</v>
      </c>
      <c r="C1489" s="11" t="s">
        <v>2356</v>
      </c>
      <c r="D1489" s="93" t="n">
        <v>-946.5437</v>
      </c>
      <c r="E1489" s="34" t="n">
        <v>-946.6</v>
      </c>
    </row>
    <row r="1490" customFormat="false" ht="15" hidden="false" customHeight="false" outlineLevel="0" collapsed="false">
      <c r="A1490" s="11" t="s">
        <v>1938</v>
      </c>
      <c r="B1490" s="11" t="n">
        <v>1</v>
      </c>
      <c r="C1490" s="11" t="s">
        <v>2336</v>
      </c>
      <c r="D1490" s="93" t="n">
        <v>2318.866</v>
      </c>
      <c r="E1490" s="34" t="n">
        <v>2318.9</v>
      </c>
    </row>
    <row r="1491" customFormat="false" ht="15" hidden="false" customHeight="false" outlineLevel="0" collapsed="false">
      <c r="A1491" s="11" t="s">
        <v>1938</v>
      </c>
      <c r="B1491" s="11" t="n">
        <v>2</v>
      </c>
      <c r="C1491" s="11" t="s">
        <v>2397</v>
      </c>
      <c r="D1491" s="93" t="n">
        <v>1190.939</v>
      </c>
      <c r="E1491" s="34" t="n">
        <v>1190.9</v>
      </c>
    </row>
    <row r="1492" customFormat="false" ht="15" hidden="false" customHeight="false" outlineLevel="0" collapsed="false">
      <c r="A1492" s="11" t="s">
        <v>1938</v>
      </c>
      <c r="B1492" s="11" t="n">
        <v>3</v>
      </c>
      <c r="C1492" s="11" t="s">
        <v>2338</v>
      </c>
      <c r="D1492" s="93" t="n">
        <v>-606.586</v>
      </c>
      <c r="E1492" s="34" t="n">
        <v>-606.6</v>
      </c>
    </row>
    <row r="1493" customFormat="false" ht="15" hidden="false" customHeight="false" outlineLevel="0" collapsed="false">
      <c r="A1493" s="11" t="s">
        <v>1938</v>
      </c>
      <c r="B1493" s="11" t="n">
        <v>4</v>
      </c>
      <c r="C1493" s="11" t="s">
        <v>2415</v>
      </c>
      <c r="D1493" s="93" t="n">
        <v>232.448</v>
      </c>
      <c r="E1493" s="34" t="n">
        <v>232.5</v>
      </c>
    </row>
    <row r="1494" customFormat="false" ht="15" hidden="false" customHeight="false" outlineLevel="0" collapsed="false">
      <c r="A1494" s="11" t="s">
        <v>1939</v>
      </c>
      <c r="B1494" s="11" t="n">
        <v>1</v>
      </c>
      <c r="C1494" s="11" t="s">
        <v>2336</v>
      </c>
      <c r="D1494" s="93" t="n">
        <v>2318.866</v>
      </c>
      <c r="E1494" s="34" t="n">
        <v>2318.9</v>
      </c>
    </row>
    <row r="1495" customFormat="false" ht="15" hidden="false" customHeight="false" outlineLevel="0" collapsed="false">
      <c r="A1495" s="11" t="s">
        <v>1939</v>
      </c>
      <c r="B1495" s="11" t="n">
        <v>2</v>
      </c>
      <c r="C1495" s="11" t="s">
        <v>2397</v>
      </c>
      <c r="D1495" s="93" t="n">
        <v>1190.939</v>
      </c>
      <c r="E1495" s="34" t="n">
        <v>1190.9</v>
      </c>
    </row>
    <row r="1496" customFormat="false" ht="15" hidden="false" customHeight="false" outlineLevel="0" collapsed="false">
      <c r="A1496" s="11" t="s">
        <v>1939</v>
      </c>
      <c r="B1496" s="11" t="n">
        <v>3</v>
      </c>
      <c r="C1496" s="11" t="s">
        <v>2338</v>
      </c>
      <c r="D1496" s="93" t="n">
        <v>-606.586</v>
      </c>
      <c r="E1496" s="34" t="n">
        <v>-606.6</v>
      </c>
    </row>
    <row r="1497" customFormat="false" ht="15" hidden="false" customHeight="false" outlineLevel="0" collapsed="false">
      <c r="A1497" s="11" t="s">
        <v>1939</v>
      </c>
      <c r="B1497" s="11" t="n">
        <v>4</v>
      </c>
      <c r="C1497" s="11" t="s">
        <v>127</v>
      </c>
      <c r="D1497" s="93" t="n">
        <v>-207.552</v>
      </c>
      <c r="E1497" s="34" t="n">
        <v>-207.5</v>
      </c>
    </row>
    <row r="1498" customFormat="false" ht="15" hidden="false" customHeight="false" outlineLevel="0" collapsed="false">
      <c r="A1498" s="11" t="s">
        <v>1940</v>
      </c>
      <c r="B1498" s="11" t="n">
        <v>1</v>
      </c>
      <c r="C1498" s="11" t="s">
        <v>1184</v>
      </c>
      <c r="D1498" s="93" t="n">
        <v>360</v>
      </c>
      <c r="E1498" s="34" t="n">
        <v>360</v>
      </c>
    </row>
    <row r="1499" customFormat="false" ht="15" hidden="false" customHeight="false" outlineLevel="0" collapsed="false">
      <c r="A1499" s="11" t="s">
        <v>1940</v>
      </c>
      <c r="B1499" s="11" t="n">
        <v>2</v>
      </c>
      <c r="C1499" s="11" t="s">
        <v>2440</v>
      </c>
      <c r="D1499" s="93" t="n">
        <v>-270</v>
      </c>
      <c r="E1499" s="34" t="n">
        <v>-270</v>
      </c>
    </row>
    <row r="1500" customFormat="false" ht="15" hidden="false" customHeight="false" outlineLevel="0" collapsed="false">
      <c r="A1500" s="11" t="s">
        <v>1940</v>
      </c>
      <c r="B1500" s="11" t="n">
        <v>3</v>
      </c>
      <c r="C1500" s="11" t="s">
        <v>2441</v>
      </c>
      <c r="D1500" s="93" t="n">
        <v>-245</v>
      </c>
      <c r="E1500" s="34" t="n">
        <v>-245</v>
      </c>
    </row>
    <row r="1501" customFormat="false" ht="15" hidden="false" customHeight="false" outlineLevel="0" collapsed="false">
      <c r="A1501" s="11" t="s">
        <v>1940</v>
      </c>
      <c r="B1501" s="11" t="n">
        <v>4</v>
      </c>
      <c r="C1501" s="11" t="s">
        <v>2416</v>
      </c>
      <c r="D1501" s="93" t="n">
        <v>595</v>
      </c>
      <c r="E1501" s="34" t="n">
        <v>595</v>
      </c>
    </row>
    <row r="1502" customFormat="false" ht="15" hidden="false" customHeight="false" outlineLevel="0" collapsed="false">
      <c r="A1502" s="11" t="s">
        <v>1941</v>
      </c>
      <c r="B1502" s="11" t="n">
        <v>1</v>
      </c>
      <c r="C1502" s="11" t="s">
        <v>2398</v>
      </c>
      <c r="D1502" s="93" t="n">
        <v>1439.198</v>
      </c>
      <c r="E1502" s="34" t="n">
        <v>1439.2</v>
      </c>
    </row>
    <row r="1503" customFormat="false" ht="15" hidden="false" customHeight="false" outlineLevel="0" collapsed="false">
      <c r="A1503" s="11" t="s">
        <v>1941</v>
      </c>
      <c r="B1503" s="11" t="n">
        <v>2</v>
      </c>
      <c r="C1503" s="11" t="s">
        <v>2399</v>
      </c>
      <c r="D1503" s="93" t="n">
        <v>212.524</v>
      </c>
      <c r="E1503" s="34" t="n">
        <v>212.5</v>
      </c>
    </row>
    <row r="1504" customFormat="false" ht="15" hidden="false" customHeight="false" outlineLevel="0" collapsed="false">
      <c r="A1504" s="11" t="s">
        <v>1941</v>
      </c>
      <c r="B1504" s="11" t="n">
        <v>3</v>
      </c>
      <c r="C1504" s="11" t="s">
        <v>2403</v>
      </c>
      <c r="D1504" s="93" t="n">
        <v>126.031</v>
      </c>
      <c r="E1504" s="34" t="n">
        <v>126.1</v>
      </c>
    </row>
    <row r="1505" customFormat="false" ht="15" hidden="false" customHeight="false" outlineLevel="0" collapsed="false">
      <c r="A1505" s="11" t="s">
        <v>1941</v>
      </c>
      <c r="B1505" s="11" t="n">
        <v>4</v>
      </c>
      <c r="C1505" s="11" t="s">
        <v>102</v>
      </c>
      <c r="D1505" s="93" t="n">
        <v>18.5</v>
      </c>
      <c r="E1505" s="34" t="n">
        <v>18.5</v>
      </c>
    </row>
    <row r="1506" customFormat="false" ht="15" hidden="false" customHeight="false" outlineLevel="0" collapsed="false">
      <c r="A1506" s="11" t="s">
        <v>1942</v>
      </c>
      <c r="B1506" s="11" t="n">
        <v>1</v>
      </c>
      <c r="C1506" s="11" t="s">
        <v>2398</v>
      </c>
      <c r="D1506" s="93" t="n">
        <v>555.206</v>
      </c>
      <c r="E1506" s="34" t="n">
        <v>555.2</v>
      </c>
    </row>
    <row r="1507" customFormat="false" ht="15" hidden="false" customHeight="false" outlineLevel="0" collapsed="false">
      <c r="A1507" s="11" t="s">
        <v>1942</v>
      </c>
      <c r="B1507" s="11" t="n">
        <v>2</v>
      </c>
      <c r="C1507" s="11" t="s">
        <v>2399</v>
      </c>
      <c r="D1507" s="93" t="n">
        <v>60.828</v>
      </c>
      <c r="E1507" s="34" t="n">
        <v>60.8</v>
      </c>
    </row>
    <row r="1508" customFormat="false" ht="15" hidden="false" customHeight="false" outlineLevel="0" collapsed="false">
      <c r="A1508" s="11" t="s">
        <v>1942</v>
      </c>
      <c r="B1508" s="11" t="n">
        <v>3</v>
      </c>
      <c r="C1508" s="11" t="s">
        <v>2403</v>
      </c>
      <c r="D1508" s="93" t="n">
        <v>48.765</v>
      </c>
      <c r="E1508" s="34" t="n">
        <v>48.8</v>
      </c>
    </row>
    <row r="1509" customFormat="false" ht="15" hidden="false" customHeight="false" outlineLevel="0" collapsed="false">
      <c r="A1509" s="11" t="s">
        <v>1942</v>
      </c>
      <c r="B1509" s="11" t="n">
        <v>4</v>
      </c>
      <c r="C1509" s="11" t="s">
        <v>102</v>
      </c>
      <c r="D1509" s="93" t="n">
        <v>9.5</v>
      </c>
      <c r="E1509" s="34" t="n">
        <v>9.5</v>
      </c>
    </row>
    <row r="1510" customFormat="false" ht="15" hidden="false" customHeight="false" outlineLevel="0" collapsed="false">
      <c r="A1510" s="11" t="s">
        <v>1943</v>
      </c>
      <c r="B1510" s="11" t="n">
        <v>1</v>
      </c>
      <c r="C1510" s="11" t="s">
        <v>2398</v>
      </c>
      <c r="D1510" s="93" t="n">
        <v>166.864</v>
      </c>
      <c r="E1510" s="34" t="n">
        <v>166.8</v>
      </c>
    </row>
    <row r="1511" customFormat="false" ht="15" hidden="false" customHeight="false" outlineLevel="0" collapsed="false">
      <c r="A1511" s="11" t="s">
        <v>1943</v>
      </c>
      <c r="B1511" s="11" t="n">
        <v>2</v>
      </c>
      <c r="C1511" s="11" t="s">
        <v>2399</v>
      </c>
      <c r="D1511" s="93" t="n">
        <v>31.773</v>
      </c>
      <c r="E1511" s="34" t="n">
        <v>31.8</v>
      </c>
    </row>
    <row r="1512" customFormat="false" ht="15" hidden="false" customHeight="false" outlineLevel="0" collapsed="false">
      <c r="A1512" s="11" t="s">
        <v>1943</v>
      </c>
      <c r="B1512" s="11" t="n">
        <v>3</v>
      </c>
      <c r="C1512" s="11" t="s">
        <v>2403</v>
      </c>
      <c r="D1512" s="93" t="n">
        <v>14.702</v>
      </c>
      <c r="E1512" s="34" t="n">
        <v>14.7</v>
      </c>
    </row>
    <row r="1513" customFormat="false" ht="15" hidden="false" customHeight="false" outlineLevel="0" collapsed="false">
      <c r="A1513" s="11" t="s">
        <v>1943</v>
      </c>
      <c r="B1513" s="11" t="n">
        <v>4</v>
      </c>
      <c r="C1513" s="11" t="s">
        <v>127</v>
      </c>
      <c r="D1513" s="93" t="n">
        <v>3</v>
      </c>
      <c r="E1513" s="34" t="n">
        <v>3</v>
      </c>
    </row>
    <row r="1514" customFormat="false" ht="15" hidden="false" customHeight="false" outlineLevel="0" collapsed="false">
      <c r="A1514" s="11" t="s">
        <v>1944</v>
      </c>
      <c r="B1514" s="11" t="n">
        <v>1</v>
      </c>
      <c r="C1514" s="11" t="s">
        <v>2398</v>
      </c>
      <c r="D1514" s="93" t="n">
        <v>172.368</v>
      </c>
      <c r="E1514" s="34" t="n">
        <v>172.4</v>
      </c>
    </row>
    <row r="1515" customFormat="false" ht="15" hidden="false" customHeight="false" outlineLevel="0" collapsed="false">
      <c r="A1515" s="11" t="s">
        <v>1944</v>
      </c>
      <c r="B1515" s="11" t="n">
        <v>2</v>
      </c>
      <c r="C1515" s="11" t="s">
        <v>2399</v>
      </c>
      <c r="D1515" s="93" t="n">
        <v>38.934</v>
      </c>
      <c r="E1515" s="34" t="n">
        <v>38.9</v>
      </c>
    </row>
    <row r="1516" customFormat="false" ht="15" hidden="false" customHeight="false" outlineLevel="0" collapsed="false">
      <c r="A1516" s="11" t="s">
        <v>1944</v>
      </c>
      <c r="B1516" s="11" t="n">
        <v>3</v>
      </c>
      <c r="C1516" s="11" t="s">
        <v>2403</v>
      </c>
      <c r="D1516" s="93" t="n">
        <v>14.937</v>
      </c>
      <c r="E1516" s="34" t="n">
        <v>14.9</v>
      </c>
    </row>
    <row r="1517" customFormat="false" ht="15" hidden="false" customHeight="false" outlineLevel="0" collapsed="false">
      <c r="A1517" s="11" t="s">
        <v>1945</v>
      </c>
      <c r="B1517" s="11" t="n">
        <v>1</v>
      </c>
      <c r="C1517" s="11" t="s">
        <v>2398</v>
      </c>
      <c r="D1517" s="93" t="n">
        <v>168.715</v>
      </c>
      <c r="E1517" s="34" t="n">
        <v>168.7</v>
      </c>
    </row>
    <row r="1518" customFormat="false" ht="15" hidden="false" customHeight="false" outlineLevel="0" collapsed="false">
      <c r="A1518" s="11" t="s">
        <v>1945</v>
      </c>
      <c r="B1518" s="11" t="n">
        <v>2</v>
      </c>
      <c r="C1518" s="11" t="s">
        <v>2399</v>
      </c>
      <c r="D1518" s="93" t="n">
        <v>27.868</v>
      </c>
      <c r="E1518" s="34" t="n">
        <v>27.9</v>
      </c>
    </row>
    <row r="1519" customFormat="false" ht="15" hidden="false" customHeight="false" outlineLevel="0" collapsed="false">
      <c r="A1519" s="11" t="s">
        <v>1945</v>
      </c>
      <c r="B1519" s="11" t="n">
        <v>3</v>
      </c>
      <c r="C1519" s="11" t="s">
        <v>2403</v>
      </c>
      <c r="D1519" s="93" t="n">
        <v>14.833</v>
      </c>
      <c r="E1519" s="34" t="n">
        <v>14.8</v>
      </c>
    </row>
    <row r="1520" customFormat="false" ht="15" hidden="false" customHeight="false" outlineLevel="0" collapsed="false">
      <c r="A1520" s="11" t="s">
        <v>1946</v>
      </c>
      <c r="B1520" s="11" t="n">
        <v>1</v>
      </c>
      <c r="C1520" s="11" t="s">
        <v>2398</v>
      </c>
      <c r="D1520" s="93" t="n">
        <v>376.045</v>
      </c>
      <c r="E1520" s="34" t="n">
        <v>376.1</v>
      </c>
    </row>
    <row r="1521" customFormat="false" ht="15" hidden="false" customHeight="false" outlineLevel="0" collapsed="false">
      <c r="A1521" s="11" t="s">
        <v>1946</v>
      </c>
      <c r="B1521" s="11" t="n">
        <v>2</v>
      </c>
      <c r="C1521" s="11" t="s">
        <v>2399</v>
      </c>
      <c r="D1521" s="93" t="n">
        <v>53.121</v>
      </c>
      <c r="E1521" s="34" t="n">
        <v>53.1</v>
      </c>
    </row>
    <row r="1522" customFormat="false" ht="15" hidden="false" customHeight="false" outlineLevel="0" collapsed="false">
      <c r="A1522" s="11" t="s">
        <v>1946</v>
      </c>
      <c r="B1522" s="11" t="n">
        <v>3</v>
      </c>
      <c r="C1522" s="11" t="s">
        <v>2403</v>
      </c>
      <c r="D1522" s="93" t="n">
        <v>32.794</v>
      </c>
      <c r="E1522" s="34" t="n">
        <v>32.8</v>
      </c>
    </row>
    <row r="1523" customFormat="false" ht="15" hidden="false" customHeight="false" outlineLevel="0" collapsed="false">
      <c r="A1523" s="11" t="s">
        <v>1946</v>
      </c>
      <c r="B1523" s="11" t="n">
        <v>4</v>
      </c>
      <c r="C1523" s="11" t="s">
        <v>127</v>
      </c>
      <c r="D1523" s="93" t="n">
        <v>6</v>
      </c>
      <c r="E1523" s="34" t="n">
        <v>6</v>
      </c>
    </row>
    <row r="1524" customFormat="false" ht="15" hidden="false" customHeight="false" outlineLevel="0" collapsed="false">
      <c r="A1524" s="11" t="s">
        <v>1947</v>
      </c>
      <c r="B1524" s="11" t="n">
        <v>1</v>
      </c>
      <c r="C1524" s="11" t="s">
        <v>2342</v>
      </c>
      <c r="D1524" s="93" t="n">
        <v>230</v>
      </c>
      <c r="E1524" s="34" t="n">
        <v>230</v>
      </c>
    </row>
    <row r="1525" customFormat="false" ht="15" hidden="false" customHeight="false" outlineLevel="0" collapsed="false">
      <c r="A1525" s="11" t="s">
        <v>1947</v>
      </c>
      <c r="B1525" s="11" t="n">
        <v>2</v>
      </c>
      <c r="C1525" s="11" t="s">
        <v>2349</v>
      </c>
      <c r="D1525" s="93" t="n">
        <v>66</v>
      </c>
      <c r="E1525" s="34" t="n">
        <v>66</v>
      </c>
    </row>
    <row r="1526" customFormat="false" ht="15" hidden="false" customHeight="false" outlineLevel="0" collapsed="false">
      <c r="A1526" s="11" t="s">
        <v>1947</v>
      </c>
      <c r="B1526" s="11" t="n">
        <v>3</v>
      </c>
      <c r="C1526" s="11" t="s">
        <v>2404</v>
      </c>
      <c r="D1526" s="93" t="n">
        <v>48</v>
      </c>
      <c r="E1526" s="34" t="n">
        <v>48</v>
      </c>
    </row>
    <row r="1527" customFormat="false" ht="15" hidden="false" customHeight="false" outlineLevel="0" collapsed="false">
      <c r="A1527" s="11" t="s">
        <v>1947</v>
      </c>
      <c r="B1527" s="11" t="n">
        <v>4</v>
      </c>
      <c r="C1527" s="11" t="s">
        <v>2431</v>
      </c>
      <c r="D1527" s="93" t="n">
        <v>155.5</v>
      </c>
      <c r="E1527" s="34" t="n">
        <v>155.5</v>
      </c>
    </row>
    <row r="1528" customFormat="false" ht="15" hidden="false" customHeight="false" outlineLevel="0" collapsed="false">
      <c r="A1528" s="11" t="s">
        <v>1948</v>
      </c>
      <c r="B1528" s="11" t="n">
        <v>1</v>
      </c>
      <c r="C1528" s="11" t="s">
        <v>2342</v>
      </c>
      <c r="D1528" s="93" t="n">
        <v>230</v>
      </c>
      <c r="E1528" s="34" t="n">
        <v>230</v>
      </c>
    </row>
    <row r="1529" customFormat="false" ht="15" hidden="false" customHeight="false" outlineLevel="0" collapsed="false">
      <c r="A1529" s="11" t="s">
        <v>1948</v>
      </c>
      <c r="B1529" s="11" t="n">
        <v>2</v>
      </c>
      <c r="C1529" s="11" t="s">
        <v>2349</v>
      </c>
      <c r="D1529" s="93" t="n">
        <v>66</v>
      </c>
      <c r="E1529" s="34" t="n">
        <v>66</v>
      </c>
    </row>
    <row r="1530" customFormat="false" ht="15" hidden="false" customHeight="false" outlineLevel="0" collapsed="false">
      <c r="A1530" s="11" t="s">
        <v>1948</v>
      </c>
      <c r="B1530" s="11" t="n">
        <v>3</v>
      </c>
      <c r="C1530" s="11" t="s">
        <v>2351</v>
      </c>
      <c r="D1530" s="93" t="n">
        <v>24</v>
      </c>
      <c r="E1530" s="34" t="n">
        <v>24</v>
      </c>
    </row>
    <row r="1531" customFormat="false" ht="15" hidden="false" customHeight="false" outlineLevel="0" collapsed="false">
      <c r="A1531" s="11" t="s">
        <v>1948</v>
      </c>
      <c r="B1531" s="11" t="n">
        <v>4</v>
      </c>
      <c r="C1531" s="11" t="s">
        <v>2356</v>
      </c>
      <c r="D1531" s="93" t="n">
        <v>35.5</v>
      </c>
      <c r="E1531" s="34" t="n">
        <v>35.5</v>
      </c>
    </row>
    <row r="1532" customFormat="false" ht="15" hidden="false" customHeight="false" outlineLevel="0" collapsed="false">
      <c r="A1532" s="11" t="s">
        <v>1949</v>
      </c>
      <c r="B1532" s="11" t="n">
        <v>1</v>
      </c>
      <c r="C1532" s="11" t="s">
        <v>2404</v>
      </c>
      <c r="D1532" s="93" t="n">
        <v>48</v>
      </c>
      <c r="E1532" s="34" t="n">
        <v>48</v>
      </c>
    </row>
    <row r="1533" customFormat="false" ht="15" hidden="false" customHeight="false" outlineLevel="0" collapsed="false">
      <c r="A1533" s="11" t="s">
        <v>1949</v>
      </c>
      <c r="B1533" s="11" t="n">
        <v>2</v>
      </c>
      <c r="C1533" s="11" t="s">
        <v>2443</v>
      </c>
      <c r="D1533" s="93" t="n">
        <v>40</v>
      </c>
      <c r="E1533" s="34" t="n">
        <v>40</v>
      </c>
    </row>
    <row r="1534" customFormat="false" ht="15" hidden="false" customHeight="false" outlineLevel="0" collapsed="false">
      <c r="A1534" s="11" t="s">
        <v>1949</v>
      </c>
      <c r="B1534" s="11" t="n">
        <v>3</v>
      </c>
      <c r="C1534" s="11" t="s">
        <v>2408</v>
      </c>
      <c r="D1534" s="93" t="n">
        <v>29</v>
      </c>
      <c r="E1534" s="34" t="n">
        <v>29</v>
      </c>
    </row>
    <row r="1535" customFormat="false" ht="15" hidden="false" customHeight="false" outlineLevel="0" collapsed="false">
      <c r="A1535" s="11" t="s">
        <v>1949</v>
      </c>
      <c r="B1535" s="11" t="n">
        <v>4</v>
      </c>
      <c r="C1535" s="11" t="s">
        <v>102</v>
      </c>
      <c r="D1535" s="93" t="n">
        <v>27</v>
      </c>
      <c r="E1535" s="34" t="n">
        <v>27</v>
      </c>
    </row>
    <row r="1536" customFormat="false" ht="15" hidden="false" customHeight="false" outlineLevel="0" collapsed="false">
      <c r="A1536" s="11" t="s">
        <v>1950</v>
      </c>
      <c r="B1536" s="11" t="n">
        <v>1</v>
      </c>
      <c r="C1536" s="11" t="s">
        <v>2413</v>
      </c>
      <c r="D1536" s="93" t="n">
        <v>136</v>
      </c>
      <c r="E1536" s="34" t="n">
        <v>136</v>
      </c>
    </row>
    <row r="1537" customFormat="false" ht="15" hidden="false" customHeight="false" outlineLevel="0" collapsed="false">
      <c r="A1537" s="11" t="s">
        <v>1950</v>
      </c>
      <c r="B1537" s="11" t="n">
        <v>2</v>
      </c>
      <c r="C1537" s="11" t="s">
        <v>1198</v>
      </c>
      <c r="D1537" s="93" t="n">
        <v>61</v>
      </c>
      <c r="E1537" s="34" t="n">
        <v>61</v>
      </c>
    </row>
    <row r="1538" customFormat="false" ht="15" hidden="false" customHeight="false" outlineLevel="0" collapsed="false">
      <c r="A1538" s="11" t="s">
        <v>1950</v>
      </c>
      <c r="B1538" s="11" t="n">
        <v>3</v>
      </c>
      <c r="C1538" s="11" t="s">
        <v>2354</v>
      </c>
      <c r="D1538" s="93" t="n">
        <v>35</v>
      </c>
      <c r="E1538" s="34" t="n">
        <v>35</v>
      </c>
    </row>
    <row r="1539" customFormat="false" ht="15" hidden="false" customHeight="false" outlineLevel="0" collapsed="false">
      <c r="A1539" s="11" t="s">
        <v>1950</v>
      </c>
      <c r="B1539" s="11" t="n">
        <v>4</v>
      </c>
      <c r="C1539" s="11" t="s">
        <v>2416</v>
      </c>
      <c r="D1539" s="93" t="n">
        <v>146</v>
      </c>
      <c r="E1539" s="34" t="n">
        <v>146</v>
      </c>
    </row>
    <row r="1540" customFormat="false" ht="15" hidden="false" customHeight="false" outlineLevel="0" collapsed="false">
      <c r="A1540" s="11" t="s">
        <v>1951</v>
      </c>
      <c r="B1540" s="11" t="n">
        <v>1</v>
      </c>
      <c r="C1540" s="11" t="s">
        <v>1198</v>
      </c>
      <c r="D1540" s="93" t="n">
        <v>61</v>
      </c>
      <c r="E1540" s="34" t="n">
        <v>61</v>
      </c>
    </row>
    <row r="1541" customFormat="false" ht="15" hidden="false" customHeight="false" outlineLevel="0" collapsed="false">
      <c r="A1541" s="11" t="s">
        <v>1951</v>
      </c>
      <c r="B1541" s="11" t="n">
        <v>2</v>
      </c>
      <c r="C1541" s="11" t="s">
        <v>2350</v>
      </c>
      <c r="D1541" s="93" t="n">
        <v>35</v>
      </c>
      <c r="E1541" s="34" t="n">
        <v>35</v>
      </c>
    </row>
    <row r="1542" customFormat="false" ht="15" hidden="false" customHeight="false" outlineLevel="0" collapsed="false">
      <c r="A1542" s="11" t="s">
        <v>1951</v>
      </c>
      <c r="B1542" s="11" t="n">
        <v>3</v>
      </c>
      <c r="C1542" s="11" t="s">
        <v>1181</v>
      </c>
      <c r="D1542" s="93" t="n">
        <v>34.5</v>
      </c>
      <c r="E1542" s="34" t="n">
        <v>34.5</v>
      </c>
    </row>
    <row r="1543" customFormat="false" ht="15" hidden="false" customHeight="false" outlineLevel="0" collapsed="false">
      <c r="A1543" s="11" t="s">
        <v>1951</v>
      </c>
      <c r="B1543" s="11" t="n">
        <v>4</v>
      </c>
      <c r="C1543" s="11" t="s">
        <v>127</v>
      </c>
      <c r="D1543" s="93" t="n">
        <v>33</v>
      </c>
      <c r="E1543" s="34" t="n">
        <v>33</v>
      </c>
    </row>
    <row r="1544" customFormat="false" ht="15" hidden="false" customHeight="false" outlineLevel="0" collapsed="false">
      <c r="A1544" s="11" t="s">
        <v>1952</v>
      </c>
      <c r="B1544" s="11" t="n">
        <v>1</v>
      </c>
      <c r="C1544" s="11" t="s">
        <v>2413</v>
      </c>
      <c r="D1544" s="93" t="n">
        <v>136</v>
      </c>
      <c r="E1544" s="34" t="n">
        <v>136</v>
      </c>
    </row>
    <row r="1545" customFormat="false" ht="15" hidden="false" customHeight="false" outlineLevel="0" collapsed="false">
      <c r="A1545" s="11" t="s">
        <v>1952</v>
      </c>
      <c r="B1545" s="11" t="n">
        <v>2</v>
      </c>
      <c r="C1545" s="11" t="s">
        <v>2354</v>
      </c>
      <c r="D1545" s="93" t="n">
        <v>35</v>
      </c>
      <c r="E1545" s="34" t="n">
        <v>35</v>
      </c>
    </row>
    <row r="1546" customFormat="false" ht="15" hidden="false" customHeight="false" outlineLevel="0" collapsed="false">
      <c r="A1546" s="11" t="s">
        <v>1952</v>
      </c>
      <c r="B1546" s="11" t="n">
        <v>3</v>
      </c>
      <c r="C1546" s="11" t="s">
        <v>1190</v>
      </c>
      <c r="D1546" s="93" t="n">
        <v>23.5</v>
      </c>
      <c r="E1546" s="34" t="n">
        <v>23.5</v>
      </c>
    </row>
    <row r="1547" customFormat="false" ht="15" hidden="false" customHeight="false" outlineLevel="0" collapsed="false">
      <c r="A1547" s="11" t="s">
        <v>1952</v>
      </c>
      <c r="B1547" s="11" t="n">
        <v>4</v>
      </c>
      <c r="C1547" s="11" t="s">
        <v>102</v>
      </c>
      <c r="D1547" s="93" t="n">
        <v>20</v>
      </c>
      <c r="E1547" s="34" t="n">
        <v>20</v>
      </c>
    </row>
    <row r="1548" customFormat="false" ht="15" hidden="false" customHeight="false" outlineLevel="0" collapsed="false">
      <c r="A1548" s="11" t="s">
        <v>1953</v>
      </c>
      <c r="B1548" s="11" t="n">
        <v>1</v>
      </c>
      <c r="C1548" s="11" t="s">
        <v>2407</v>
      </c>
      <c r="D1548" s="93" t="n">
        <v>87</v>
      </c>
      <c r="E1548" s="34" t="n">
        <v>87</v>
      </c>
    </row>
    <row r="1549" customFormat="false" ht="15" hidden="false" customHeight="false" outlineLevel="0" collapsed="false">
      <c r="A1549" s="11" t="s">
        <v>1953</v>
      </c>
      <c r="B1549" s="11" t="n">
        <v>2</v>
      </c>
      <c r="C1549" s="11" t="s">
        <v>2411</v>
      </c>
      <c r="D1549" s="93" t="n">
        <v>80.5</v>
      </c>
      <c r="E1549" s="34" t="n">
        <v>80.5</v>
      </c>
    </row>
    <row r="1550" customFormat="false" ht="15" hidden="false" customHeight="false" outlineLevel="0" collapsed="false">
      <c r="A1550" s="11" t="s">
        <v>1953</v>
      </c>
      <c r="B1550" s="11" t="n">
        <v>3</v>
      </c>
      <c r="C1550" s="11" t="s">
        <v>2347</v>
      </c>
      <c r="D1550" s="93" t="n">
        <v>66</v>
      </c>
      <c r="E1550" s="34" t="n">
        <v>66</v>
      </c>
    </row>
    <row r="1551" customFormat="false" ht="15" hidden="false" customHeight="false" outlineLevel="0" collapsed="false">
      <c r="A1551" s="11" t="s">
        <v>1953</v>
      </c>
      <c r="B1551" s="11" t="n">
        <v>4</v>
      </c>
      <c r="C1551" s="11" t="s">
        <v>2343</v>
      </c>
      <c r="D1551" s="93" t="n">
        <v>97.182</v>
      </c>
      <c r="E1551" s="34" t="n">
        <v>97.2</v>
      </c>
    </row>
    <row r="1552" customFormat="false" ht="15" hidden="false" customHeight="false" outlineLevel="0" collapsed="false">
      <c r="A1552" s="11" t="s">
        <v>1954</v>
      </c>
      <c r="B1552" s="11" t="n">
        <v>1</v>
      </c>
      <c r="C1552" s="11" t="s">
        <v>2411</v>
      </c>
      <c r="D1552" s="93" t="n">
        <v>80.5</v>
      </c>
      <c r="E1552" s="34" t="n">
        <v>80.5</v>
      </c>
    </row>
    <row r="1553" customFormat="false" ht="15" hidden="false" customHeight="false" outlineLevel="0" collapsed="false">
      <c r="A1553" s="11" t="s">
        <v>1954</v>
      </c>
      <c r="B1553" s="11" t="n">
        <v>2</v>
      </c>
      <c r="C1553" s="11" t="s">
        <v>2446</v>
      </c>
      <c r="D1553" s="93" t="n">
        <v>61</v>
      </c>
      <c r="E1553" s="34" t="n">
        <v>61</v>
      </c>
    </row>
    <row r="1554" customFormat="false" ht="15" hidden="false" customHeight="false" outlineLevel="0" collapsed="false">
      <c r="A1554" s="11" t="s">
        <v>1954</v>
      </c>
      <c r="B1554" s="11" t="n">
        <v>3</v>
      </c>
      <c r="C1554" s="11" t="s">
        <v>2412</v>
      </c>
      <c r="D1554" s="93" t="n">
        <v>-32.818</v>
      </c>
      <c r="E1554" s="34" t="n">
        <v>-32.8</v>
      </c>
    </row>
    <row r="1555" customFormat="false" ht="15" hidden="false" customHeight="false" outlineLevel="0" collapsed="false">
      <c r="A1555" s="11" t="s">
        <v>1954</v>
      </c>
      <c r="B1555" s="11" t="n">
        <v>4</v>
      </c>
      <c r="C1555" s="11" t="s">
        <v>102</v>
      </c>
      <c r="D1555" s="93" t="n">
        <v>28</v>
      </c>
      <c r="E1555" s="34" t="n">
        <v>28</v>
      </c>
    </row>
    <row r="1556" customFormat="false" ht="15" hidden="false" customHeight="false" outlineLevel="0" collapsed="false">
      <c r="A1556" s="11" t="s">
        <v>1955</v>
      </c>
      <c r="B1556" s="11" t="n">
        <v>1</v>
      </c>
      <c r="C1556" s="11" t="s">
        <v>2405</v>
      </c>
      <c r="D1556" s="93" t="n">
        <v>41</v>
      </c>
      <c r="E1556" s="34" t="n">
        <v>41</v>
      </c>
    </row>
    <row r="1557" customFormat="false" ht="15" hidden="false" customHeight="false" outlineLevel="0" collapsed="false">
      <c r="A1557" s="11" t="s">
        <v>1955</v>
      </c>
      <c r="B1557" s="11" t="n">
        <v>2</v>
      </c>
      <c r="C1557" s="11" t="s">
        <v>2346</v>
      </c>
      <c r="D1557" s="93" t="n">
        <v>37</v>
      </c>
      <c r="E1557" s="34" t="n">
        <v>37</v>
      </c>
    </row>
    <row r="1558" customFormat="false" ht="15" hidden="false" customHeight="false" outlineLevel="0" collapsed="false">
      <c r="A1558" s="11" t="s">
        <v>1955</v>
      </c>
      <c r="B1558" s="11" t="n">
        <v>3</v>
      </c>
      <c r="C1558" s="11" t="s">
        <v>2444</v>
      </c>
      <c r="D1558" s="93" t="n">
        <v>4</v>
      </c>
      <c r="E1558" s="34" t="n">
        <v>4</v>
      </c>
    </row>
    <row r="1559" customFormat="false" ht="15" hidden="false" customHeight="false" outlineLevel="0" collapsed="false">
      <c r="A1559" s="11" t="s">
        <v>1956</v>
      </c>
      <c r="B1559" s="11" t="n">
        <v>1</v>
      </c>
      <c r="C1559" s="11" t="s">
        <v>2407</v>
      </c>
      <c r="D1559" s="93" t="n">
        <v>87</v>
      </c>
      <c r="E1559" s="34" t="n">
        <v>87</v>
      </c>
    </row>
    <row r="1560" customFormat="false" ht="15" hidden="false" customHeight="false" outlineLevel="0" collapsed="false">
      <c r="A1560" s="11" t="s">
        <v>1956</v>
      </c>
      <c r="B1560" s="11" t="n">
        <v>2</v>
      </c>
      <c r="C1560" s="11" t="s">
        <v>2347</v>
      </c>
      <c r="D1560" s="93" t="n">
        <v>66</v>
      </c>
      <c r="E1560" s="34" t="n">
        <v>66</v>
      </c>
    </row>
    <row r="1561" customFormat="false" ht="15" hidden="false" customHeight="false" outlineLevel="0" collapsed="false">
      <c r="A1561" s="11" t="s">
        <v>1956</v>
      </c>
      <c r="B1561" s="11" t="n">
        <v>3</v>
      </c>
      <c r="C1561" s="11" t="s">
        <v>2406</v>
      </c>
      <c r="D1561" s="93" t="n">
        <v>-41</v>
      </c>
      <c r="E1561" s="34" t="n">
        <v>-41</v>
      </c>
    </row>
    <row r="1562" customFormat="false" ht="15" hidden="false" customHeight="false" outlineLevel="0" collapsed="false">
      <c r="A1562" s="11" t="s">
        <v>1957</v>
      </c>
      <c r="B1562" s="11" t="n">
        <v>1</v>
      </c>
      <c r="C1562" s="11" t="s">
        <v>316</v>
      </c>
      <c r="D1562" s="93" t="n">
        <v>1796.253</v>
      </c>
      <c r="E1562" s="34" t="n">
        <v>1796.2</v>
      </c>
    </row>
    <row r="1563" customFormat="false" ht="15" hidden="false" customHeight="false" outlineLevel="0" collapsed="false">
      <c r="A1563" s="11" t="s">
        <v>1957</v>
      </c>
      <c r="B1563" s="11" t="n">
        <v>2</v>
      </c>
      <c r="C1563" s="11" t="s">
        <v>325</v>
      </c>
      <c r="D1563" s="93" t="n">
        <v>499.5</v>
      </c>
      <c r="E1563" s="34" t="n">
        <v>499.5</v>
      </c>
    </row>
    <row r="1564" customFormat="false" ht="15" hidden="false" customHeight="false" outlineLevel="0" collapsed="false">
      <c r="A1564" s="11" t="s">
        <v>1957</v>
      </c>
      <c r="B1564" s="11" t="n">
        <v>3</v>
      </c>
      <c r="C1564" s="11" t="s">
        <v>331</v>
      </c>
      <c r="D1564" s="93" t="n">
        <v>378</v>
      </c>
      <c r="E1564" s="34" t="n">
        <v>378</v>
      </c>
    </row>
    <row r="1565" customFormat="false" ht="15" hidden="false" customHeight="false" outlineLevel="0" collapsed="false">
      <c r="A1565" s="11" t="s">
        <v>1957</v>
      </c>
      <c r="B1565" s="11" t="n">
        <v>4</v>
      </c>
      <c r="C1565" s="11" t="s">
        <v>127</v>
      </c>
      <c r="D1565" s="93" t="n">
        <v>330.682</v>
      </c>
      <c r="E1565" s="34" t="n">
        <v>330.7</v>
      </c>
    </row>
    <row r="1566" customFormat="false" ht="15" hidden="false" customHeight="false" outlineLevel="0" collapsed="false">
      <c r="A1566" s="11" t="s">
        <v>1958</v>
      </c>
      <c r="B1566" s="11" t="n">
        <v>1</v>
      </c>
      <c r="C1566" s="11" t="s">
        <v>312</v>
      </c>
      <c r="D1566" s="93" t="n">
        <v>3135.667</v>
      </c>
      <c r="E1566" s="34" t="n">
        <v>3135.7</v>
      </c>
    </row>
    <row r="1567" customFormat="false" ht="15" hidden="false" customHeight="false" outlineLevel="0" collapsed="false">
      <c r="A1567" s="11" t="s">
        <v>1958</v>
      </c>
      <c r="B1567" s="11" t="n">
        <v>2</v>
      </c>
      <c r="C1567" s="11" t="s">
        <v>339</v>
      </c>
      <c r="D1567" s="93" t="n">
        <v>-3004.435</v>
      </c>
      <c r="E1567" s="34" t="n">
        <v>-3004.5</v>
      </c>
    </row>
    <row r="1568" customFormat="false" ht="15" hidden="false" customHeight="false" outlineLevel="0" collapsed="false">
      <c r="A1568" s="11" t="s">
        <v>1959</v>
      </c>
      <c r="B1568" s="11" t="n">
        <v>1</v>
      </c>
      <c r="C1568" s="11" t="s">
        <v>160</v>
      </c>
      <c r="D1568" s="93" t="n">
        <v>-18.5</v>
      </c>
      <c r="E1568" s="34" t="n">
        <v>-18.5</v>
      </c>
    </row>
    <row r="1569" customFormat="false" ht="15" hidden="false" customHeight="false" outlineLevel="0" collapsed="false">
      <c r="A1569" s="11" t="s">
        <v>1959</v>
      </c>
      <c r="B1569" s="11" t="n">
        <v>2</v>
      </c>
      <c r="C1569" s="11" t="s">
        <v>161</v>
      </c>
      <c r="D1569" s="93" t="n">
        <v>17.5</v>
      </c>
      <c r="E1569" s="34" t="n">
        <v>17.5</v>
      </c>
    </row>
    <row r="1570" customFormat="false" ht="15" hidden="false" customHeight="false" outlineLevel="0" collapsed="false">
      <c r="A1570" s="11" t="s">
        <v>1960</v>
      </c>
      <c r="B1570" s="11" t="n">
        <v>1</v>
      </c>
      <c r="C1570" s="11" t="s">
        <v>2357</v>
      </c>
      <c r="D1570" s="93" t="n">
        <v>-18.5</v>
      </c>
      <c r="E1570" s="34" t="n">
        <v>-18.5</v>
      </c>
    </row>
    <row r="1571" customFormat="false" ht="15" hidden="false" customHeight="false" outlineLevel="0" collapsed="false">
      <c r="A1571" s="11" t="s">
        <v>1961</v>
      </c>
      <c r="B1571" s="11" t="n">
        <v>1</v>
      </c>
      <c r="C1571" s="11" t="s">
        <v>2414</v>
      </c>
      <c r="D1571" s="93" t="n">
        <v>-17.5</v>
      </c>
      <c r="E1571" s="34" t="n">
        <v>-17.5</v>
      </c>
    </row>
    <row r="1572" customFormat="false" ht="15" hidden="false" customHeight="false" outlineLevel="0" collapsed="false">
      <c r="A1572" s="11" t="s">
        <v>1962</v>
      </c>
      <c r="B1572" s="11" t="n">
        <v>1</v>
      </c>
      <c r="C1572" s="11" t="s">
        <v>2358</v>
      </c>
      <c r="D1572" s="93" t="n">
        <v>70</v>
      </c>
      <c r="E1572" s="34" t="n">
        <v>70</v>
      </c>
    </row>
    <row r="1573" customFormat="false" ht="15" hidden="false" customHeight="false" outlineLevel="0" collapsed="false">
      <c r="A1573" s="11" t="s">
        <v>1962</v>
      </c>
      <c r="B1573" s="11" t="n">
        <v>2</v>
      </c>
      <c r="C1573" s="11" t="s">
        <v>2359</v>
      </c>
      <c r="D1573" s="93" t="n">
        <v>10.5</v>
      </c>
      <c r="E1573" s="34" t="n">
        <v>10.5</v>
      </c>
    </row>
    <row r="1574" customFormat="false" ht="15" hidden="false" customHeight="false" outlineLevel="0" collapsed="false">
      <c r="A1574" s="11" t="s">
        <v>1963</v>
      </c>
      <c r="B1574" s="11" t="n">
        <v>1</v>
      </c>
      <c r="C1574" s="11" t="s">
        <v>312</v>
      </c>
      <c r="D1574" s="93" t="n">
        <v>3135.667</v>
      </c>
      <c r="E1574" s="34" t="n">
        <v>3135.7</v>
      </c>
    </row>
    <row r="1575" customFormat="false" ht="15" hidden="false" customHeight="false" outlineLevel="0" collapsed="false">
      <c r="A1575" s="11" t="s">
        <v>1963</v>
      </c>
      <c r="B1575" s="11" t="n">
        <v>2</v>
      </c>
      <c r="C1575" s="11" t="s">
        <v>339</v>
      </c>
      <c r="D1575" s="93" t="n">
        <v>-3004.435</v>
      </c>
      <c r="E1575" s="34" t="n">
        <v>-3004.5</v>
      </c>
    </row>
    <row r="1576" customFormat="false" ht="15" hidden="false" customHeight="false" outlineLevel="0" collapsed="false">
      <c r="A1576" s="11" t="s">
        <v>1963</v>
      </c>
      <c r="B1576" s="11" t="n">
        <v>3</v>
      </c>
      <c r="C1576" s="11" t="s">
        <v>126</v>
      </c>
      <c r="D1576" s="93" t="n">
        <v>-80.5</v>
      </c>
      <c r="E1576" s="34" t="n">
        <v>-80.5</v>
      </c>
    </row>
    <row r="1577" customFormat="false" ht="15" hidden="false" customHeight="false" outlineLevel="0" collapsed="false">
      <c r="A1577" s="11" t="s">
        <v>1963</v>
      </c>
      <c r="B1577" s="11" t="n">
        <v>4</v>
      </c>
      <c r="C1577" s="11" t="s">
        <v>102</v>
      </c>
      <c r="D1577" s="93" t="n">
        <v>-1</v>
      </c>
      <c r="E1577" s="34" t="n">
        <v>-1</v>
      </c>
    </row>
    <row r="1578" customFormat="false" ht="15" hidden="false" customHeight="false" outlineLevel="0" collapsed="false">
      <c r="A1578" s="11" t="s">
        <v>1964</v>
      </c>
      <c r="B1578" s="11" t="n">
        <v>1</v>
      </c>
      <c r="C1578" s="11" t="s">
        <v>2362</v>
      </c>
      <c r="D1578" s="93" t="n">
        <v>14938.643</v>
      </c>
      <c r="E1578" s="34" t="n">
        <v>14938.6</v>
      </c>
    </row>
    <row r="1579" customFormat="false" ht="15" hidden="false" customHeight="false" outlineLevel="0" collapsed="false">
      <c r="A1579" s="11" t="s">
        <v>1964</v>
      </c>
      <c r="B1579" s="11" t="n">
        <v>2</v>
      </c>
      <c r="C1579" s="11" t="s">
        <v>2360</v>
      </c>
      <c r="D1579" s="93" t="n">
        <v>-14623.05595</v>
      </c>
      <c r="E1579" s="34" t="n">
        <v>-14623</v>
      </c>
    </row>
    <row r="1580" customFormat="false" ht="15" hidden="false" customHeight="false" outlineLevel="0" collapsed="false">
      <c r="A1580" s="11" t="s">
        <v>1964</v>
      </c>
      <c r="B1580" s="11" t="n">
        <v>3</v>
      </c>
      <c r="C1580" s="11" t="s">
        <v>2361</v>
      </c>
      <c r="D1580" s="93" t="n">
        <v>2132.30443</v>
      </c>
      <c r="E1580" s="34" t="n">
        <v>2132.3</v>
      </c>
    </row>
    <row r="1581" customFormat="false" ht="15" hidden="false" customHeight="false" outlineLevel="0" collapsed="false">
      <c r="A1581" s="11" t="s">
        <v>1964</v>
      </c>
      <c r="B1581" s="11" t="n">
        <v>4</v>
      </c>
      <c r="C1581" s="11" t="s">
        <v>2348</v>
      </c>
      <c r="D1581" s="93" t="n">
        <v>1027.5</v>
      </c>
      <c r="E1581" s="34" t="n">
        <v>1027.5</v>
      </c>
    </row>
    <row r="1582" customFormat="false" ht="15" hidden="false" customHeight="false" outlineLevel="0" collapsed="false">
      <c r="A1582" s="11" t="s">
        <v>1965</v>
      </c>
      <c r="B1582" s="11" t="n">
        <v>1</v>
      </c>
      <c r="C1582" s="11" t="s">
        <v>2363</v>
      </c>
      <c r="D1582" s="93" t="n">
        <v>2132.30443</v>
      </c>
      <c r="E1582" s="34" t="n">
        <v>2132.3</v>
      </c>
    </row>
    <row r="1583" customFormat="false" ht="15" hidden="false" customHeight="false" outlineLevel="0" collapsed="false">
      <c r="A1583" s="11" t="s">
        <v>1965</v>
      </c>
      <c r="B1583" s="11" t="n">
        <v>2</v>
      </c>
      <c r="C1583" s="11" t="s">
        <v>2364</v>
      </c>
      <c r="D1583" s="93" t="n">
        <v>-404</v>
      </c>
      <c r="E1583" s="34" t="n">
        <v>-404</v>
      </c>
    </row>
    <row r="1584" customFormat="false" ht="15" hidden="false" customHeight="false" outlineLevel="0" collapsed="false">
      <c r="A1584" s="11" t="s">
        <v>1965</v>
      </c>
      <c r="B1584" s="11" t="n">
        <v>3</v>
      </c>
      <c r="C1584" s="11" t="s">
        <v>2432</v>
      </c>
      <c r="D1584" s="93" t="n">
        <v>-188</v>
      </c>
      <c r="E1584" s="34" t="n">
        <v>-188</v>
      </c>
    </row>
    <row r="1585" customFormat="false" ht="15" hidden="false" customHeight="false" outlineLevel="0" collapsed="false">
      <c r="A1585" s="11" t="s">
        <v>1966</v>
      </c>
      <c r="B1585" s="11" t="n">
        <v>1</v>
      </c>
      <c r="C1585" s="11" t="s">
        <v>2366</v>
      </c>
      <c r="D1585" s="93" t="n">
        <v>14938.643</v>
      </c>
      <c r="E1585" s="34" t="n">
        <v>14938.6</v>
      </c>
    </row>
    <row r="1586" customFormat="false" ht="15" hidden="false" customHeight="false" outlineLevel="0" collapsed="false">
      <c r="A1586" s="11" t="s">
        <v>1966</v>
      </c>
      <c r="B1586" s="11" t="n">
        <v>2</v>
      </c>
      <c r="C1586" s="11" t="s">
        <v>2365</v>
      </c>
      <c r="D1586" s="93" t="n">
        <v>-14623.05595</v>
      </c>
      <c r="E1586" s="34" t="n">
        <v>-14623</v>
      </c>
    </row>
    <row r="1587" customFormat="false" ht="15" hidden="false" customHeight="false" outlineLevel="0" collapsed="false">
      <c r="A1587" s="11" t="s">
        <v>1966</v>
      </c>
      <c r="B1587" s="11" t="n">
        <v>3</v>
      </c>
      <c r="C1587" s="11" t="s">
        <v>2367</v>
      </c>
      <c r="D1587" s="93" t="n">
        <v>1330</v>
      </c>
      <c r="E1587" s="34" t="n">
        <v>1330</v>
      </c>
    </row>
    <row r="1588" customFormat="false" ht="15" hidden="false" customHeight="false" outlineLevel="0" collapsed="false">
      <c r="A1588" s="11" t="s">
        <v>1967</v>
      </c>
      <c r="B1588" s="11" t="n">
        <v>1</v>
      </c>
      <c r="C1588" s="11" t="s">
        <v>2433</v>
      </c>
      <c r="D1588" s="93" t="n">
        <v>540</v>
      </c>
      <c r="E1588" s="34" t="n">
        <v>540</v>
      </c>
    </row>
    <row r="1589" customFormat="false" ht="15" hidden="false" customHeight="false" outlineLevel="0" collapsed="false">
      <c r="A1589" s="11" t="s">
        <v>1967</v>
      </c>
      <c r="B1589" s="11" t="n">
        <v>2</v>
      </c>
      <c r="C1589" s="11" t="s">
        <v>2368</v>
      </c>
      <c r="D1589" s="93" t="n">
        <v>-356</v>
      </c>
      <c r="E1589" s="34" t="n">
        <v>-356</v>
      </c>
    </row>
    <row r="1590" customFormat="false" ht="15" hidden="false" customHeight="false" outlineLevel="0" collapsed="false">
      <c r="A1590" s="11" t="s">
        <v>1968</v>
      </c>
      <c r="B1590" s="11" t="n">
        <v>1</v>
      </c>
      <c r="C1590" s="11" t="s">
        <v>2369</v>
      </c>
      <c r="D1590" s="93" t="n">
        <v>395</v>
      </c>
      <c r="E1590" s="34" t="n">
        <v>395</v>
      </c>
    </row>
    <row r="1591" customFormat="false" ht="15" hidden="false" customHeight="false" outlineLevel="0" collapsed="false">
      <c r="A1591" s="11" t="s">
        <v>1968</v>
      </c>
      <c r="B1591" s="11" t="n">
        <v>2</v>
      </c>
      <c r="C1591" s="11" t="s">
        <v>2370</v>
      </c>
      <c r="D1591" s="93" t="n">
        <v>-289.5</v>
      </c>
      <c r="E1591" s="34" t="n">
        <v>-289.5</v>
      </c>
    </row>
    <row r="1592" customFormat="false" ht="15" hidden="false" customHeight="false" outlineLevel="0" collapsed="false">
      <c r="A1592" s="11" t="s">
        <v>1969</v>
      </c>
      <c r="B1592" s="11" t="n">
        <v>1</v>
      </c>
      <c r="C1592" s="11" t="s">
        <v>2371</v>
      </c>
      <c r="D1592" s="93" t="n">
        <v>-450</v>
      </c>
      <c r="E1592" s="34" t="n">
        <v>-450</v>
      </c>
    </row>
    <row r="1593" customFormat="false" ht="15" hidden="false" customHeight="false" outlineLevel="0" collapsed="false">
      <c r="A1593" s="11" t="s">
        <v>1969</v>
      </c>
      <c r="B1593" s="11" t="n">
        <v>2</v>
      </c>
      <c r="C1593" s="11" t="s">
        <v>2372</v>
      </c>
      <c r="D1593" s="93" t="n">
        <v>404</v>
      </c>
      <c r="E1593" s="34" t="n">
        <v>404</v>
      </c>
    </row>
    <row r="1594" customFormat="false" ht="15" hidden="false" customHeight="false" outlineLevel="0" collapsed="false">
      <c r="A1594" s="11" t="s">
        <v>1970</v>
      </c>
      <c r="B1594" s="11" t="n">
        <v>1</v>
      </c>
      <c r="C1594" s="11" t="s">
        <v>395</v>
      </c>
      <c r="D1594" s="93" t="n">
        <v>-450</v>
      </c>
      <c r="E1594" s="34" t="n">
        <v>-450</v>
      </c>
    </row>
    <row r="1595" customFormat="false" ht="15" hidden="false" customHeight="false" outlineLevel="0" collapsed="false">
      <c r="A1595" s="11" t="s">
        <v>1970</v>
      </c>
      <c r="B1595" s="11" t="n">
        <v>2</v>
      </c>
      <c r="C1595" s="11" t="s">
        <v>421</v>
      </c>
      <c r="D1595" s="93" t="n">
        <v>404</v>
      </c>
      <c r="E1595" s="34" t="n">
        <v>404</v>
      </c>
    </row>
    <row r="1596" customFormat="false" ht="15" hidden="false" customHeight="false" outlineLevel="0" collapsed="false">
      <c r="A1596" s="11" t="s">
        <v>1971</v>
      </c>
      <c r="B1596" s="11" t="n">
        <v>1</v>
      </c>
      <c r="C1596" s="11" t="s">
        <v>351</v>
      </c>
      <c r="D1596" s="93" t="n">
        <v>3475.39148</v>
      </c>
      <c r="E1596" s="34" t="n">
        <v>3475.4</v>
      </c>
    </row>
    <row r="1597" customFormat="false" ht="15" hidden="false" customHeight="false" outlineLevel="0" collapsed="false">
      <c r="A1597" s="11" t="s">
        <v>1971</v>
      </c>
      <c r="B1597" s="11" t="n">
        <v>2</v>
      </c>
      <c r="C1597" s="11" t="s">
        <v>361</v>
      </c>
      <c r="D1597" s="93" t="n">
        <v>-46</v>
      </c>
      <c r="E1597" s="34" t="n">
        <v>-46</v>
      </c>
    </row>
    <row r="1598" customFormat="false" ht="15" hidden="false" customHeight="false" outlineLevel="0" collapsed="false">
      <c r="A1598" s="11" t="s">
        <v>1972</v>
      </c>
      <c r="B1598" s="11" t="n">
        <v>1</v>
      </c>
      <c r="C1598" s="11" t="s">
        <v>2374</v>
      </c>
      <c r="D1598" s="93" t="n">
        <v>14938.643</v>
      </c>
      <c r="E1598" s="34" t="n">
        <v>14938.6</v>
      </c>
    </row>
    <row r="1599" customFormat="false" ht="15" hidden="false" customHeight="false" outlineLevel="0" collapsed="false">
      <c r="A1599" s="11" t="s">
        <v>1972</v>
      </c>
      <c r="B1599" s="11" t="n">
        <v>2</v>
      </c>
      <c r="C1599" s="11" t="s">
        <v>2373</v>
      </c>
      <c r="D1599" s="93" t="n">
        <v>-13819.355</v>
      </c>
      <c r="E1599" s="34" t="n">
        <v>-13819.3</v>
      </c>
    </row>
    <row r="1600" customFormat="false" ht="15" hidden="false" customHeight="false" outlineLevel="0" collapsed="false">
      <c r="A1600" s="11" t="s">
        <v>1972</v>
      </c>
      <c r="B1600" s="11" t="n">
        <v>3</v>
      </c>
      <c r="C1600" s="11" t="s">
        <v>2375</v>
      </c>
      <c r="D1600" s="93" t="n">
        <v>2375.5</v>
      </c>
      <c r="E1600" s="34" t="n">
        <v>2375.5</v>
      </c>
    </row>
    <row r="1601" customFormat="false" ht="15" hidden="false" customHeight="false" outlineLevel="0" collapsed="false">
      <c r="A1601" s="11" t="s">
        <v>1972</v>
      </c>
      <c r="B1601" s="11" t="n">
        <v>4</v>
      </c>
      <c r="C1601" s="11" t="s">
        <v>2431</v>
      </c>
      <c r="D1601" s="93" t="n">
        <v>-2195.32152</v>
      </c>
      <c r="E1601" s="34" t="n">
        <v>-2195.3</v>
      </c>
    </row>
    <row r="1602" customFormat="false" ht="15" hidden="false" customHeight="false" outlineLevel="0" collapsed="false">
      <c r="A1602" s="11" t="s">
        <v>1973</v>
      </c>
      <c r="B1602" s="11" t="n">
        <v>1</v>
      </c>
      <c r="C1602" s="11" t="s">
        <v>2376</v>
      </c>
      <c r="D1602" s="93" t="n">
        <v>2375.5</v>
      </c>
      <c r="E1602" s="34" t="n">
        <v>2375.5</v>
      </c>
    </row>
    <row r="1603" customFormat="false" ht="15" hidden="false" customHeight="false" outlineLevel="0" collapsed="false">
      <c r="A1603" s="11" t="s">
        <v>1973</v>
      </c>
      <c r="B1603" s="11" t="n">
        <v>2</v>
      </c>
      <c r="C1603" s="11" t="s">
        <v>2377</v>
      </c>
      <c r="D1603" s="93" t="n">
        <v>-2292.5</v>
      </c>
      <c r="E1603" s="34" t="n">
        <v>-2292.5</v>
      </c>
    </row>
    <row r="1604" customFormat="false" ht="15" hidden="false" customHeight="false" outlineLevel="0" collapsed="false">
      <c r="A1604" s="11" t="s">
        <v>1974</v>
      </c>
      <c r="B1604" s="11" t="n">
        <v>1</v>
      </c>
      <c r="C1604" s="11" t="s">
        <v>2379</v>
      </c>
      <c r="D1604" s="93" t="n">
        <v>269.52992</v>
      </c>
      <c r="E1604" s="34" t="n">
        <v>269.5</v>
      </c>
    </row>
    <row r="1605" customFormat="false" ht="15" hidden="false" customHeight="false" outlineLevel="0" collapsed="false">
      <c r="A1605" s="11" t="s">
        <v>1974</v>
      </c>
      <c r="B1605" s="11" t="n">
        <v>2</v>
      </c>
      <c r="C1605" s="11" t="s">
        <v>2434</v>
      </c>
      <c r="D1605" s="93" t="n">
        <v>-255.35144</v>
      </c>
      <c r="E1605" s="34" t="n">
        <v>-255.3</v>
      </c>
    </row>
    <row r="1606" customFormat="false" ht="15" hidden="false" customHeight="false" outlineLevel="0" collapsed="false">
      <c r="A1606" s="11" t="s">
        <v>1974</v>
      </c>
      <c r="B1606" s="11" t="n">
        <v>3</v>
      </c>
      <c r="C1606" s="11" t="s">
        <v>2380</v>
      </c>
      <c r="D1606" s="93" t="n">
        <v>222</v>
      </c>
      <c r="E1606" s="34" t="n">
        <v>222</v>
      </c>
    </row>
    <row r="1607" customFormat="false" ht="15" hidden="false" customHeight="false" outlineLevel="0" collapsed="false">
      <c r="A1607" s="11" t="s">
        <v>1974</v>
      </c>
      <c r="B1607" s="11" t="n">
        <v>4</v>
      </c>
      <c r="C1607" s="11" t="s">
        <v>2341</v>
      </c>
      <c r="D1607" s="93" t="n">
        <v>-139</v>
      </c>
      <c r="E1607" s="34" t="n">
        <v>-139</v>
      </c>
    </row>
    <row r="1608" customFormat="false" ht="15" hidden="false" customHeight="false" outlineLevel="0" collapsed="false">
      <c r="A1608" s="11" t="s">
        <v>1975</v>
      </c>
      <c r="B1608" s="11" t="n">
        <v>1</v>
      </c>
      <c r="C1608" s="11" t="s">
        <v>2382</v>
      </c>
      <c r="D1608" s="93" t="n">
        <v>14938.643</v>
      </c>
      <c r="E1608" s="34" t="n">
        <v>14938.6</v>
      </c>
    </row>
    <row r="1609" customFormat="false" ht="15" hidden="false" customHeight="false" outlineLevel="0" collapsed="false">
      <c r="A1609" s="11" t="s">
        <v>1975</v>
      </c>
      <c r="B1609" s="11" t="n">
        <v>2</v>
      </c>
      <c r="C1609" s="11" t="s">
        <v>2381</v>
      </c>
      <c r="D1609" s="93" t="n">
        <v>-13819.355</v>
      </c>
      <c r="E1609" s="34" t="n">
        <v>-13819.3</v>
      </c>
    </row>
    <row r="1610" customFormat="false" ht="15" hidden="false" customHeight="false" outlineLevel="0" collapsed="false">
      <c r="A1610" s="11" t="s">
        <v>1976</v>
      </c>
      <c r="B1610" s="11" t="n">
        <v>1</v>
      </c>
      <c r="C1610" s="11" t="s">
        <v>2435</v>
      </c>
      <c r="D1610" s="93" t="n">
        <v>-200</v>
      </c>
      <c r="E1610" s="34" t="n">
        <v>-200</v>
      </c>
    </row>
    <row r="1611" customFormat="false" ht="15" hidden="false" customHeight="false" outlineLevel="0" collapsed="false">
      <c r="A1611" s="11" t="s">
        <v>1976</v>
      </c>
      <c r="B1611" s="11" t="n">
        <v>2</v>
      </c>
      <c r="C1611" s="11" t="s">
        <v>2383</v>
      </c>
      <c r="D1611" s="93" t="n">
        <v>38.5</v>
      </c>
      <c r="E1611" s="34" t="n">
        <v>38.5</v>
      </c>
    </row>
    <row r="1612" customFormat="false" ht="15" hidden="false" customHeight="false" outlineLevel="0" collapsed="false">
      <c r="A1612" s="11" t="s">
        <v>1977</v>
      </c>
      <c r="B1612" s="11" t="n">
        <v>1</v>
      </c>
      <c r="C1612" s="11" t="s">
        <v>2384</v>
      </c>
      <c r="D1612" s="93" t="n">
        <v>38.5</v>
      </c>
      <c r="E1612" s="34" t="n">
        <v>38.5</v>
      </c>
    </row>
    <row r="1613" customFormat="false" ht="15" hidden="false" customHeight="false" outlineLevel="0" collapsed="false">
      <c r="A1613" s="11" t="s">
        <v>1978</v>
      </c>
      <c r="B1613" s="11" t="n">
        <v>1</v>
      </c>
      <c r="C1613" s="11" t="s">
        <v>2436</v>
      </c>
      <c r="D1613" s="93" t="n">
        <v>-200</v>
      </c>
      <c r="E1613" s="34" t="n">
        <v>-200</v>
      </c>
    </row>
    <row r="1614" customFormat="false" ht="15" hidden="false" customHeight="false" outlineLevel="0" collapsed="false">
      <c r="A1614" s="11" t="s">
        <v>1979</v>
      </c>
      <c r="B1614" s="11" t="n">
        <v>1</v>
      </c>
      <c r="C1614" s="11" t="s">
        <v>367</v>
      </c>
      <c r="D1614" s="93" t="n">
        <v>1299.46648</v>
      </c>
      <c r="E1614" s="34" t="n">
        <v>1299.5</v>
      </c>
    </row>
    <row r="1615" customFormat="false" ht="15" hidden="false" customHeight="false" outlineLevel="0" collapsed="false">
      <c r="A1615" s="11" t="s">
        <v>1979</v>
      </c>
      <c r="B1615" s="11" t="n">
        <v>2</v>
      </c>
      <c r="C1615" s="11" t="s">
        <v>375</v>
      </c>
      <c r="D1615" s="93" t="n">
        <v>-161.5</v>
      </c>
      <c r="E1615" s="34" t="n">
        <v>-161.5</v>
      </c>
    </row>
    <row r="1616" customFormat="false" ht="15" hidden="false" customHeight="false" outlineLevel="0" collapsed="false">
      <c r="A1616" s="11" t="s">
        <v>1980</v>
      </c>
      <c r="B1616" s="11" t="n">
        <v>1</v>
      </c>
      <c r="C1616" s="11" t="s">
        <v>2385</v>
      </c>
      <c r="D1616" s="93" t="n">
        <v>1695.425</v>
      </c>
      <c r="E1616" s="34" t="n">
        <v>1695.4</v>
      </c>
    </row>
    <row r="1617" customFormat="false" ht="15" hidden="false" customHeight="false" outlineLevel="0" collapsed="false">
      <c r="A1617" s="11" t="s">
        <v>1980</v>
      </c>
      <c r="B1617" s="11" t="n">
        <v>2</v>
      </c>
      <c r="C1617" s="11" t="s">
        <v>2386</v>
      </c>
      <c r="D1617" s="93" t="n">
        <v>584</v>
      </c>
      <c r="E1617" s="34" t="n">
        <v>584</v>
      </c>
    </row>
    <row r="1618" customFormat="false" ht="15" hidden="false" customHeight="false" outlineLevel="0" collapsed="false">
      <c r="A1618" s="11" t="s">
        <v>1980</v>
      </c>
      <c r="B1618" s="11" t="n">
        <v>3</v>
      </c>
      <c r="C1618" s="11" t="s">
        <v>2437</v>
      </c>
      <c r="D1618" s="93" t="n">
        <v>12</v>
      </c>
      <c r="E1618" s="34" t="n">
        <v>12</v>
      </c>
    </row>
    <row r="1619" customFormat="false" ht="15" hidden="false" customHeight="false" outlineLevel="0" collapsed="false">
      <c r="A1619" s="11" t="s">
        <v>1981</v>
      </c>
      <c r="B1619" s="11" t="n">
        <v>1</v>
      </c>
      <c r="C1619" s="11" t="s">
        <v>397</v>
      </c>
      <c r="D1619" s="93" t="n">
        <v>584</v>
      </c>
      <c r="E1619" s="34" t="n">
        <v>584</v>
      </c>
    </row>
    <row r="1620" customFormat="false" ht="15" hidden="false" customHeight="false" outlineLevel="0" collapsed="false">
      <c r="A1620" s="11" t="s">
        <v>1981</v>
      </c>
      <c r="B1620" s="11" t="n">
        <v>2</v>
      </c>
      <c r="C1620" s="11" t="s">
        <v>2425</v>
      </c>
      <c r="D1620" s="93" t="n">
        <v>12</v>
      </c>
      <c r="E1620" s="34" t="n">
        <v>12</v>
      </c>
    </row>
    <row r="1621" customFormat="false" ht="15" hidden="false" customHeight="false" outlineLevel="0" collapsed="false">
      <c r="A1621" s="11" t="s">
        <v>1982</v>
      </c>
      <c r="B1621" s="11" t="n">
        <v>1</v>
      </c>
      <c r="C1621" s="11" t="s">
        <v>97</v>
      </c>
      <c r="D1621" s="93" t="n">
        <v>1695.425</v>
      </c>
      <c r="E1621" s="34" t="n">
        <v>1695.4</v>
      </c>
    </row>
    <row r="1622" customFormat="false" ht="15" hidden="false" customHeight="false" outlineLevel="0" collapsed="false">
      <c r="A1622" s="11" t="s">
        <v>1983</v>
      </c>
      <c r="B1622" s="11" t="n">
        <v>1</v>
      </c>
      <c r="C1622" s="11" t="s">
        <v>383</v>
      </c>
      <c r="D1622" s="93" t="n">
        <v>2291.425</v>
      </c>
      <c r="E1622" s="34" t="n">
        <v>2291.4</v>
      </c>
    </row>
    <row r="1623" customFormat="false" ht="15" hidden="false" customHeight="false" outlineLevel="0" collapsed="false">
      <c r="A1623" s="11" t="s">
        <v>1983</v>
      </c>
      <c r="B1623" s="11" t="n">
        <v>2</v>
      </c>
      <c r="C1623" s="11" t="s">
        <v>381</v>
      </c>
      <c r="D1623" s="93" t="n">
        <v>1137.96648</v>
      </c>
      <c r="E1623" s="34" t="n">
        <v>1138</v>
      </c>
    </row>
    <row r="1624" customFormat="false" ht="15" hidden="false" customHeight="false" outlineLevel="0" collapsed="false">
      <c r="A1624" s="11" t="s">
        <v>1984</v>
      </c>
      <c r="B1624" s="11" t="n">
        <v>1</v>
      </c>
      <c r="C1624" s="11" t="s">
        <v>312</v>
      </c>
      <c r="D1624" s="93" t="n">
        <v>3135.667</v>
      </c>
      <c r="E1624" s="34" t="n">
        <v>3135.7</v>
      </c>
    </row>
    <row r="1625" customFormat="false" ht="15" hidden="false" customHeight="false" outlineLevel="0" collapsed="false">
      <c r="A1625" s="11" t="s">
        <v>1984</v>
      </c>
      <c r="B1625" s="11" t="n">
        <v>2</v>
      </c>
      <c r="C1625" s="11" t="s">
        <v>2387</v>
      </c>
      <c r="D1625" s="93" t="n">
        <v>-3004.435</v>
      </c>
      <c r="E1625" s="34" t="n">
        <v>-3004.5</v>
      </c>
    </row>
    <row r="1626" customFormat="false" ht="15" hidden="false" customHeight="false" outlineLevel="0" collapsed="false">
      <c r="A1626" s="11" t="s">
        <v>1984</v>
      </c>
      <c r="B1626" s="11" t="n">
        <v>3</v>
      </c>
      <c r="C1626" s="11" t="s">
        <v>2388</v>
      </c>
      <c r="D1626" s="93" t="n">
        <v>-80.5</v>
      </c>
      <c r="E1626" s="34" t="n">
        <v>-80.5</v>
      </c>
    </row>
    <row r="1627" customFormat="false" ht="15" hidden="false" customHeight="false" outlineLevel="0" collapsed="false">
      <c r="A1627" s="11" t="s">
        <v>1984</v>
      </c>
      <c r="B1627" s="11" t="n">
        <v>4</v>
      </c>
      <c r="C1627" s="11" t="s">
        <v>127</v>
      </c>
      <c r="D1627" s="93" t="n">
        <v>-1</v>
      </c>
      <c r="E1627" s="34" t="n">
        <v>-1</v>
      </c>
    </row>
    <row r="1628" customFormat="false" ht="15" hidden="false" customHeight="false" outlineLevel="0" collapsed="false">
      <c r="A1628" s="11" t="s">
        <v>1985</v>
      </c>
      <c r="B1628" s="11" t="n">
        <v>1</v>
      </c>
      <c r="C1628" s="11" t="s">
        <v>2447</v>
      </c>
      <c r="D1628" s="93" t="n">
        <v>87</v>
      </c>
      <c r="E1628" s="34" t="n">
        <v>87</v>
      </c>
    </row>
    <row r="1629" customFormat="false" ht="15" hidden="false" customHeight="false" outlineLevel="0" collapsed="false">
      <c r="A1629" s="11" t="s">
        <v>1985</v>
      </c>
      <c r="B1629" s="11" t="n">
        <v>2</v>
      </c>
      <c r="C1629" s="11" t="s">
        <v>2438</v>
      </c>
      <c r="D1629" s="93" t="n">
        <v>80.5</v>
      </c>
      <c r="E1629" s="34" t="n">
        <v>80.5</v>
      </c>
    </row>
    <row r="1630" customFormat="false" ht="15" hidden="false" customHeight="false" outlineLevel="0" collapsed="false">
      <c r="A1630" s="11" t="s">
        <v>1985</v>
      </c>
      <c r="B1630" s="11" t="n">
        <v>3</v>
      </c>
      <c r="C1630" s="11" t="s">
        <v>2390</v>
      </c>
      <c r="D1630" s="93" t="n">
        <v>66</v>
      </c>
      <c r="E1630" s="34" t="n">
        <v>66</v>
      </c>
    </row>
    <row r="1631" customFormat="false" ht="15" hidden="false" customHeight="false" outlineLevel="0" collapsed="false">
      <c r="A1631" s="11" t="s">
        <v>1985</v>
      </c>
      <c r="B1631" s="11" t="n">
        <v>4</v>
      </c>
      <c r="C1631" s="11" t="s">
        <v>2431</v>
      </c>
      <c r="D1631" s="93" t="n">
        <v>107.682</v>
      </c>
      <c r="E1631" s="34" t="n">
        <v>107.7</v>
      </c>
    </row>
    <row r="1632" customFormat="false" ht="15" hidden="false" customHeight="false" outlineLevel="0" collapsed="false">
      <c r="A1632" s="11" t="s">
        <v>1986</v>
      </c>
      <c r="B1632" s="11" t="n">
        <v>1</v>
      </c>
      <c r="C1632" s="11" t="s">
        <v>2405</v>
      </c>
      <c r="D1632" s="93" t="n">
        <v>41</v>
      </c>
      <c r="E1632" s="34" t="n">
        <v>41</v>
      </c>
    </row>
    <row r="1633" customFormat="false" ht="15" hidden="false" customHeight="false" outlineLevel="0" collapsed="false">
      <c r="A1633" s="11" t="s">
        <v>1986</v>
      </c>
      <c r="B1633" s="11" t="n">
        <v>2</v>
      </c>
      <c r="C1633" s="11" t="s">
        <v>2346</v>
      </c>
      <c r="D1633" s="93" t="n">
        <v>37</v>
      </c>
      <c r="E1633" s="34" t="n">
        <v>37</v>
      </c>
    </row>
    <row r="1634" customFormat="false" ht="15" hidden="false" customHeight="false" outlineLevel="0" collapsed="false">
      <c r="A1634" s="11" t="s">
        <v>1986</v>
      </c>
      <c r="B1634" s="11" t="n">
        <v>3</v>
      </c>
      <c r="C1634" s="11" t="s">
        <v>2444</v>
      </c>
      <c r="D1634" s="93" t="n">
        <v>4</v>
      </c>
      <c r="E1634" s="34" t="n">
        <v>4</v>
      </c>
    </row>
    <row r="1635" customFormat="false" ht="15" hidden="false" customHeight="false" outlineLevel="0" collapsed="false">
      <c r="A1635" s="11" t="s">
        <v>1987</v>
      </c>
      <c r="B1635" s="11" t="n">
        <v>1</v>
      </c>
      <c r="C1635" s="11" t="s">
        <v>2407</v>
      </c>
      <c r="D1635" s="93" t="n">
        <v>87</v>
      </c>
      <c r="E1635" s="34" t="n">
        <v>87</v>
      </c>
    </row>
    <row r="1636" customFormat="false" ht="15" hidden="false" customHeight="false" outlineLevel="0" collapsed="false">
      <c r="A1636" s="11" t="s">
        <v>1987</v>
      </c>
      <c r="B1636" s="11" t="n">
        <v>2</v>
      </c>
      <c r="C1636" s="11" t="s">
        <v>2347</v>
      </c>
      <c r="D1636" s="93" t="n">
        <v>66</v>
      </c>
      <c r="E1636" s="34" t="n">
        <v>66</v>
      </c>
    </row>
    <row r="1637" customFormat="false" ht="15" hidden="false" customHeight="false" outlineLevel="0" collapsed="false">
      <c r="A1637" s="11" t="s">
        <v>1987</v>
      </c>
      <c r="B1637" s="11" t="n">
        <v>3</v>
      </c>
      <c r="C1637" s="11" t="s">
        <v>2406</v>
      </c>
      <c r="D1637" s="93" t="n">
        <v>-41</v>
      </c>
      <c r="E1637" s="34" t="n">
        <v>-41</v>
      </c>
    </row>
    <row r="1638" customFormat="false" ht="15" hidden="false" customHeight="false" outlineLevel="0" collapsed="false">
      <c r="A1638" s="11" t="s">
        <v>1988</v>
      </c>
      <c r="B1638" s="11" t="n">
        <v>1</v>
      </c>
      <c r="C1638" s="11" t="s">
        <v>2411</v>
      </c>
      <c r="D1638" s="93" t="n">
        <v>80.5</v>
      </c>
      <c r="E1638" s="34" t="n">
        <v>80.5</v>
      </c>
    </row>
    <row r="1639" customFormat="false" ht="15" hidden="false" customHeight="false" outlineLevel="0" collapsed="false">
      <c r="A1639" s="11" t="s">
        <v>1988</v>
      </c>
      <c r="B1639" s="11" t="n">
        <v>2</v>
      </c>
      <c r="C1639" s="11" t="s">
        <v>2446</v>
      </c>
      <c r="D1639" s="93" t="n">
        <v>61</v>
      </c>
      <c r="E1639" s="34" t="n">
        <v>61</v>
      </c>
    </row>
    <row r="1640" customFormat="false" ht="15" hidden="false" customHeight="false" outlineLevel="0" collapsed="false">
      <c r="A1640" s="11" t="s">
        <v>1988</v>
      </c>
      <c r="B1640" s="11" t="n">
        <v>3</v>
      </c>
      <c r="C1640" s="11" t="s">
        <v>2412</v>
      </c>
      <c r="D1640" s="93" t="n">
        <v>-32.818</v>
      </c>
      <c r="E1640" s="34" t="n">
        <v>-32.8</v>
      </c>
    </row>
    <row r="1641" customFormat="false" ht="15" hidden="false" customHeight="false" outlineLevel="0" collapsed="false">
      <c r="A1641" s="11" t="s">
        <v>1988</v>
      </c>
      <c r="B1641" s="11" t="n">
        <v>4</v>
      </c>
      <c r="C1641" s="11" t="s">
        <v>102</v>
      </c>
      <c r="D1641" s="93" t="n">
        <v>28</v>
      </c>
      <c r="E1641" s="34" t="n">
        <v>28</v>
      </c>
    </row>
    <row r="1642" customFormat="false" ht="15" hidden="false" customHeight="false" outlineLevel="0" collapsed="false">
      <c r="A1642" s="11" t="s">
        <v>1989</v>
      </c>
      <c r="B1642" s="11" t="n">
        <v>1</v>
      </c>
      <c r="C1642" s="11" t="s">
        <v>2384</v>
      </c>
      <c r="D1642" s="93" t="n">
        <v>10.5</v>
      </c>
      <c r="E1642" s="34" t="n">
        <v>10.5</v>
      </c>
    </row>
    <row r="1643" customFormat="false" ht="15" hidden="false" customHeight="false" outlineLevel="0" collapsed="false">
      <c r="A1643" s="11" t="s">
        <v>1990</v>
      </c>
      <c r="B1643" s="11" t="n">
        <v>1</v>
      </c>
      <c r="C1643" s="11" t="s">
        <v>2362</v>
      </c>
      <c r="D1643" s="93" t="n">
        <v>-2892.098</v>
      </c>
      <c r="E1643" s="34" t="n">
        <v>-2892.1</v>
      </c>
    </row>
    <row r="1644" customFormat="false" ht="15" hidden="false" customHeight="false" outlineLevel="0" collapsed="false">
      <c r="A1644" s="11" t="s">
        <v>1990</v>
      </c>
      <c r="B1644" s="11" t="n">
        <v>2</v>
      </c>
      <c r="C1644" s="11" t="s">
        <v>2374</v>
      </c>
      <c r="D1644" s="93" t="n">
        <v>2892.098</v>
      </c>
      <c r="E1644" s="34" t="n">
        <v>2892.1</v>
      </c>
    </row>
    <row r="1645" customFormat="false" ht="15" hidden="false" customHeight="false" outlineLevel="0" collapsed="false">
      <c r="A1645" s="11" t="s">
        <v>1990</v>
      </c>
      <c r="B1645" s="11" t="n">
        <v>3</v>
      </c>
      <c r="C1645" s="11" t="s">
        <v>2373</v>
      </c>
      <c r="D1645" s="93" t="n">
        <v>-2695.667</v>
      </c>
      <c r="E1645" s="34" t="n">
        <v>-2695.7</v>
      </c>
    </row>
    <row r="1646" customFormat="false" ht="15" hidden="false" customHeight="false" outlineLevel="0" collapsed="false">
      <c r="A1646" s="11" t="s">
        <v>1990</v>
      </c>
      <c r="B1646" s="11" t="n">
        <v>4</v>
      </c>
      <c r="C1646" s="11" t="s">
        <v>2400</v>
      </c>
      <c r="D1646" s="93" t="n">
        <v>1624.67529</v>
      </c>
      <c r="E1646" s="34" t="n">
        <v>1624.7</v>
      </c>
    </row>
    <row r="1647" customFormat="false" ht="15" hidden="false" customHeight="false" outlineLevel="0" collapsed="false">
      <c r="A1647" s="11" t="s">
        <v>1991</v>
      </c>
      <c r="B1647" s="11" t="n">
        <v>1</v>
      </c>
      <c r="C1647" s="11" t="s">
        <v>2366</v>
      </c>
      <c r="D1647" s="93" t="n">
        <v>-2892.098</v>
      </c>
      <c r="E1647" s="34" t="n">
        <v>-2892.1</v>
      </c>
    </row>
    <row r="1648" customFormat="false" ht="15" hidden="false" customHeight="false" outlineLevel="0" collapsed="false">
      <c r="A1648" s="11" t="s">
        <v>1991</v>
      </c>
      <c r="B1648" s="11" t="n">
        <v>2</v>
      </c>
      <c r="C1648" s="11" t="s">
        <v>2365</v>
      </c>
      <c r="D1648" s="93" t="n">
        <v>1940.53225</v>
      </c>
      <c r="E1648" s="34" t="n">
        <v>1940.5</v>
      </c>
    </row>
    <row r="1649" customFormat="false" ht="15" hidden="false" customHeight="false" outlineLevel="0" collapsed="false">
      <c r="A1649" s="11" t="s">
        <v>1991</v>
      </c>
      <c r="B1649" s="11" t="n">
        <v>3</v>
      </c>
      <c r="C1649" s="11" t="s">
        <v>2367</v>
      </c>
      <c r="D1649" s="93" t="n">
        <v>-440</v>
      </c>
      <c r="E1649" s="34" t="n">
        <v>-440</v>
      </c>
    </row>
    <row r="1650" customFormat="false" ht="15" hidden="false" customHeight="false" outlineLevel="0" collapsed="false">
      <c r="A1650" s="11" t="s">
        <v>1992</v>
      </c>
      <c r="B1650" s="11" t="n">
        <v>1</v>
      </c>
      <c r="C1650" s="11" t="s">
        <v>2433</v>
      </c>
      <c r="D1650" s="93" t="n">
        <v>-120.5</v>
      </c>
      <c r="E1650" s="34" t="n">
        <v>-120.5</v>
      </c>
    </row>
    <row r="1651" customFormat="false" ht="15" hidden="false" customHeight="false" outlineLevel="0" collapsed="false">
      <c r="A1651" s="11" t="s">
        <v>1992</v>
      </c>
      <c r="B1651" s="11" t="n">
        <v>2</v>
      </c>
      <c r="C1651" s="11" t="s">
        <v>2368</v>
      </c>
      <c r="D1651" s="93" t="n">
        <v>88</v>
      </c>
      <c r="E1651" s="34" t="n">
        <v>88</v>
      </c>
    </row>
    <row r="1652" customFormat="false" ht="15" hidden="false" customHeight="false" outlineLevel="0" collapsed="false">
      <c r="A1652" s="11" t="s">
        <v>1993</v>
      </c>
      <c r="B1652" s="11" t="n">
        <v>1</v>
      </c>
      <c r="C1652" s="11" t="s">
        <v>2369</v>
      </c>
      <c r="D1652" s="93" t="n">
        <v>-65</v>
      </c>
      <c r="E1652" s="34" t="n">
        <v>-65</v>
      </c>
    </row>
    <row r="1653" customFormat="false" ht="15" hidden="false" customHeight="false" outlineLevel="0" collapsed="false">
      <c r="A1653" s="11" t="s">
        <v>1994</v>
      </c>
      <c r="B1653" s="11" t="n">
        <v>1</v>
      </c>
      <c r="C1653" s="11" t="s">
        <v>2376</v>
      </c>
      <c r="D1653" s="93" t="n">
        <v>595.5</v>
      </c>
      <c r="E1653" s="34" t="n">
        <v>595.5</v>
      </c>
    </row>
    <row r="1654" customFormat="false" ht="15" hidden="false" customHeight="false" outlineLevel="0" collapsed="false">
      <c r="A1654" s="11" t="s">
        <v>1994</v>
      </c>
      <c r="B1654" s="11" t="n">
        <v>2</v>
      </c>
      <c r="C1654" s="11" t="s">
        <v>2377</v>
      </c>
      <c r="D1654" s="93" t="n">
        <v>-472.5</v>
      </c>
      <c r="E1654" s="34" t="n">
        <v>-472.5</v>
      </c>
    </row>
    <row r="1655" customFormat="false" ht="15" hidden="false" customHeight="false" outlineLevel="0" collapsed="false">
      <c r="A1655" s="11" t="s">
        <v>1995</v>
      </c>
      <c r="B1655" s="11" t="n">
        <v>1</v>
      </c>
      <c r="C1655" s="11" t="s">
        <v>2379</v>
      </c>
      <c r="D1655" s="93" t="n">
        <v>76.06792</v>
      </c>
      <c r="E1655" s="34" t="n">
        <v>76</v>
      </c>
    </row>
    <row r="1656" customFormat="false" ht="15" hidden="false" customHeight="false" outlineLevel="0" collapsed="false">
      <c r="A1656" s="11" t="s">
        <v>1995</v>
      </c>
      <c r="B1656" s="11" t="n">
        <v>2</v>
      </c>
      <c r="C1656" s="11" t="s">
        <v>2380</v>
      </c>
      <c r="D1656" s="93" t="n">
        <v>70</v>
      </c>
      <c r="E1656" s="34" t="n">
        <v>70</v>
      </c>
    </row>
    <row r="1657" customFormat="false" ht="15" hidden="false" customHeight="false" outlineLevel="0" collapsed="false">
      <c r="A1657" s="11" t="s">
        <v>1995</v>
      </c>
      <c r="B1657" s="11" t="n">
        <v>3</v>
      </c>
      <c r="C1657" s="11" t="s">
        <v>2434</v>
      </c>
      <c r="D1657" s="93" t="n">
        <v>-57.71088</v>
      </c>
      <c r="E1657" s="34" t="n">
        <v>-57.7</v>
      </c>
    </row>
    <row r="1658" customFormat="false" ht="15" hidden="false" customHeight="false" outlineLevel="0" collapsed="false">
      <c r="A1658" s="11" t="s">
        <v>1995</v>
      </c>
      <c r="B1658" s="11" t="n">
        <v>4</v>
      </c>
      <c r="C1658" s="11" t="s">
        <v>2341</v>
      </c>
      <c r="D1658" s="93" t="n">
        <v>10.286</v>
      </c>
      <c r="E1658" s="34" t="n">
        <v>10.3</v>
      </c>
    </row>
    <row r="1659" customFormat="false" ht="15" hidden="false" customHeight="false" outlineLevel="0" collapsed="false">
      <c r="A1659" s="11" t="s">
        <v>1996</v>
      </c>
      <c r="B1659" s="11" t="n">
        <v>1</v>
      </c>
      <c r="C1659" s="11" t="s">
        <v>2382</v>
      </c>
      <c r="D1659" s="93" t="n">
        <v>2892.098</v>
      </c>
      <c r="E1659" s="34" t="n">
        <v>2892.1</v>
      </c>
    </row>
    <row r="1660" customFormat="false" ht="15" hidden="false" customHeight="false" outlineLevel="0" collapsed="false">
      <c r="A1660" s="11" t="s">
        <v>1996</v>
      </c>
      <c r="B1660" s="11" t="n">
        <v>2</v>
      </c>
      <c r="C1660" s="11" t="s">
        <v>2381</v>
      </c>
      <c r="D1660" s="93" t="n">
        <v>-2695.667</v>
      </c>
      <c r="E1660" s="34" t="n">
        <v>-2695.7</v>
      </c>
    </row>
    <row r="1661" customFormat="false" ht="15" hidden="false" customHeight="false" outlineLevel="0" collapsed="false">
      <c r="A1661" s="11" t="s">
        <v>1997</v>
      </c>
      <c r="B1661" s="11" t="n">
        <v>1</v>
      </c>
      <c r="C1661" s="11" t="s">
        <v>2422</v>
      </c>
      <c r="D1661" s="93" t="n">
        <v>3135.667</v>
      </c>
      <c r="E1661" s="34" t="n">
        <v>3135.7</v>
      </c>
    </row>
    <row r="1662" customFormat="false" ht="15" hidden="false" customHeight="false" outlineLevel="0" collapsed="false">
      <c r="A1662" s="11" t="s">
        <v>1997</v>
      </c>
      <c r="B1662" s="11" t="n">
        <v>2</v>
      </c>
      <c r="C1662" s="11" t="s">
        <v>2421</v>
      </c>
      <c r="D1662" s="93" t="n">
        <v>-3004.435</v>
      </c>
      <c r="E1662" s="34" t="n">
        <v>-3004.5</v>
      </c>
    </row>
    <row r="1663" customFormat="false" ht="15" hidden="false" customHeight="false" outlineLevel="0" collapsed="false">
      <c r="A1663" s="11" t="s">
        <v>1997</v>
      </c>
      <c r="B1663" s="11" t="n">
        <v>3</v>
      </c>
      <c r="C1663" s="11" t="s">
        <v>2362</v>
      </c>
      <c r="D1663" s="93" t="n">
        <v>-2892.098</v>
      </c>
      <c r="E1663" s="34" t="n">
        <v>-2892.1</v>
      </c>
    </row>
    <row r="1664" customFormat="false" ht="15" hidden="false" customHeight="false" outlineLevel="0" collapsed="false">
      <c r="A1664" s="11" t="s">
        <v>1997</v>
      </c>
      <c r="B1664" s="11" t="n">
        <v>4</v>
      </c>
      <c r="C1664" s="11" t="s">
        <v>2448</v>
      </c>
      <c r="D1664" s="93" t="n">
        <v>2080.78829</v>
      </c>
      <c r="E1664" s="34" t="n">
        <v>2080.8</v>
      </c>
    </row>
    <row r="1665" customFormat="false" ht="15" hidden="false" customHeight="false" outlineLevel="0" collapsed="false">
      <c r="A1665" s="11" t="s">
        <v>1998</v>
      </c>
      <c r="B1665" s="11" t="n">
        <v>1</v>
      </c>
      <c r="C1665" s="11" t="s">
        <v>2396</v>
      </c>
      <c r="D1665" s="93" t="n">
        <v>-80</v>
      </c>
      <c r="E1665" s="34" t="n">
        <v>-80</v>
      </c>
    </row>
    <row r="1666" customFormat="false" ht="15" hidden="false" customHeight="false" outlineLevel="0" collapsed="false">
      <c r="A1666" s="11" t="s">
        <v>1999</v>
      </c>
      <c r="B1666" s="11" t="n">
        <v>1</v>
      </c>
      <c r="C1666" s="11" t="s">
        <v>421</v>
      </c>
      <c r="D1666" s="93" t="n">
        <v>-80</v>
      </c>
      <c r="E1666" s="34" t="n">
        <v>-80</v>
      </c>
    </row>
    <row r="1667" customFormat="false" ht="15" hidden="false" customHeight="false" outlineLevel="0" collapsed="false">
      <c r="A1667" s="11" t="s">
        <v>2000</v>
      </c>
      <c r="B1667" s="11" t="n">
        <v>1</v>
      </c>
      <c r="C1667" s="11" t="s">
        <v>2424</v>
      </c>
      <c r="D1667" s="93" t="n">
        <v>12</v>
      </c>
      <c r="E1667" s="34" t="n">
        <v>12</v>
      </c>
    </row>
    <row r="1668" customFormat="false" ht="15" hidden="false" customHeight="false" outlineLevel="0" collapsed="false">
      <c r="A1668" s="11" t="s">
        <v>2002</v>
      </c>
      <c r="B1668" s="11" t="n">
        <v>1</v>
      </c>
      <c r="C1668" s="11" t="s">
        <v>2425</v>
      </c>
      <c r="D1668" s="93" t="n">
        <v>12</v>
      </c>
      <c r="E1668" s="34" t="n">
        <v>12</v>
      </c>
    </row>
    <row r="1669" customFormat="false" ht="15" hidden="false" customHeight="false" outlineLevel="0" collapsed="false">
      <c r="A1669" s="11" t="s">
        <v>2003</v>
      </c>
      <c r="B1669" s="11" t="n">
        <v>1</v>
      </c>
      <c r="C1669" s="11" t="s">
        <v>417</v>
      </c>
      <c r="D1669" s="93" t="n">
        <v>-680.07771</v>
      </c>
      <c r="E1669" s="34" t="n">
        <v>-680.1</v>
      </c>
    </row>
    <row r="1670" customFormat="false" ht="15" hidden="false" customHeight="false" outlineLevel="0" collapsed="false">
      <c r="A1670" s="11" t="s">
        <v>2003</v>
      </c>
      <c r="B1670" s="11" t="n">
        <v>2</v>
      </c>
      <c r="C1670" s="11" t="s">
        <v>419</v>
      </c>
      <c r="D1670" s="93" t="n">
        <v>-80</v>
      </c>
      <c r="E1670" s="34" t="n">
        <v>-80</v>
      </c>
    </row>
    <row r="1671" customFormat="false" ht="15" hidden="false" customHeight="false" outlineLevel="0" collapsed="false">
      <c r="A1671" s="11" t="s">
        <v>2003</v>
      </c>
      <c r="B1671" s="11" t="n">
        <v>3</v>
      </c>
      <c r="C1671" s="11" t="s">
        <v>423</v>
      </c>
      <c r="D1671" s="93" t="n">
        <v>12</v>
      </c>
      <c r="E1671" s="34" t="n">
        <v>12</v>
      </c>
    </row>
    <row r="1672" customFormat="false" ht="15" hidden="false" customHeight="false" outlineLevel="0" collapsed="false">
      <c r="A1672" s="11" t="s">
        <v>2004</v>
      </c>
      <c r="B1672" s="11" t="n">
        <v>1</v>
      </c>
      <c r="C1672" s="11" t="s">
        <v>2449</v>
      </c>
      <c r="D1672" s="93" t="n">
        <v>-83.925</v>
      </c>
      <c r="E1672" s="34" t="n">
        <v>-83.9</v>
      </c>
    </row>
    <row r="1673" customFormat="false" ht="15" hidden="false" customHeight="false" outlineLevel="0" collapsed="false">
      <c r="A1673" s="11" t="s">
        <v>2004</v>
      </c>
      <c r="B1673" s="11" t="n">
        <v>2</v>
      </c>
      <c r="C1673" s="11" t="s">
        <v>2450</v>
      </c>
      <c r="D1673" s="93" t="n">
        <v>22.418</v>
      </c>
      <c r="E1673" s="34" t="n">
        <v>22.4</v>
      </c>
    </row>
    <row r="1674" customFormat="false" ht="15" hidden="false" customHeight="false" outlineLevel="0" collapsed="false">
      <c r="A1674" s="11" t="s">
        <v>2004</v>
      </c>
      <c r="B1674" s="11" t="n">
        <v>3</v>
      </c>
      <c r="C1674" s="11" t="s">
        <v>2451</v>
      </c>
      <c r="D1674" s="93" t="n">
        <v>11.507</v>
      </c>
      <c r="E1674" s="34" t="n">
        <v>11.5</v>
      </c>
    </row>
    <row r="1675" customFormat="false" ht="15" hidden="false" customHeight="false" outlineLevel="0" collapsed="false">
      <c r="A1675" s="11" t="s">
        <v>2006</v>
      </c>
      <c r="B1675" s="11" t="n">
        <v>1</v>
      </c>
      <c r="C1675" s="11" t="s">
        <v>2452</v>
      </c>
      <c r="D1675" s="93" t="n">
        <v>20</v>
      </c>
      <c r="E1675" s="34" t="n">
        <v>20</v>
      </c>
    </row>
    <row r="1676" customFormat="false" ht="15" hidden="false" customHeight="false" outlineLevel="0" collapsed="false">
      <c r="A1676" s="11" t="s">
        <v>2007</v>
      </c>
      <c r="B1676" s="11" t="n">
        <v>1</v>
      </c>
      <c r="C1676" s="11" t="s">
        <v>2449</v>
      </c>
      <c r="D1676" s="93" t="n">
        <v>-83.925</v>
      </c>
      <c r="E1676" s="34" t="n">
        <v>-83.9</v>
      </c>
    </row>
    <row r="1677" customFormat="false" ht="15" hidden="false" customHeight="false" outlineLevel="0" collapsed="false">
      <c r="A1677" s="11" t="s">
        <v>2007</v>
      </c>
      <c r="B1677" s="11" t="n">
        <v>2</v>
      </c>
      <c r="C1677" s="11" t="s">
        <v>2450</v>
      </c>
      <c r="D1677" s="93" t="n">
        <v>22.418</v>
      </c>
      <c r="E1677" s="34" t="n">
        <v>22.4</v>
      </c>
    </row>
    <row r="1678" customFormat="false" ht="15" hidden="false" customHeight="false" outlineLevel="0" collapsed="false">
      <c r="A1678" s="11" t="s">
        <v>2007</v>
      </c>
      <c r="B1678" s="11" t="n">
        <v>3</v>
      </c>
      <c r="C1678" s="11" t="s">
        <v>2452</v>
      </c>
      <c r="D1678" s="93" t="n">
        <v>20</v>
      </c>
      <c r="E1678" s="34" t="n">
        <v>20</v>
      </c>
    </row>
    <row r="1679" customFormat="false" ht="15" hidden="false" customHeight="false" outlineLevel="0" collapsed="false">
      <c r="A1679" s="11" t="s">
        <v>2007</v>
      </c>
      <c r="B1679" s="11" t="n">
        <v>4</v>
      </c>
      <c r="C1679" s="11" t="s">
        <v>127</v>
      </c>
      <c r="D1679" s="93" t="n">
        <v>11.507</v>
      </c>
      <c r="E1679" s="34" t="n">
        <v>11.5</v>
      </c>
    </row>
    <row r="1680" customFormat="false" ht="15" hidden="false" customHeight="false" outlineLevel="0" collapsed="false">
      <c r="A1680" s="11" t="s">
        <v>2008</v>
      </c>
      <c r="B1680" s="11" t="n">
        <v>1</v>
      </c>
      <c r="C1680" s="11" t="s">
        <v>1083</v>
      </c>
      <c r="D1680" s="93" t="n">
        <v>-18.27076</v>
      </c>
      <c r="E1680" s="34" t="n">
        <v>-18.3</v>
      </c>
    </row>
    <row r="1681" customFormat="false" ht="15" hidden="false" customHeight="false" outlineLevel="0" collapsed="false">
      <c r="A1681" s="11" t="s">
        <v>2008</v>
      </c>
      <c r="B1681" s="11" t="n">
        <v>2</v>
      </c>
      <c r="C1681" s="11" t="s">
        <v>1084</v>
      </c>
      <c r="D1681" s="93" t="n">
        <v>4.45502</v>
      </c>
      <c r="E1681" s="34" t="n">
        <v>4.5</v>
      </c>
    </row>
    <row r="1682" customFormat="false" ht="15" hidden="false" customHeight="false" outlineLevel="0" collapsed="false">
      <c r="A1682" s="11" t="s">
        <v>2008</v>
      </c>
      <c r="B1682" s="11" t="n">
        <v>3</v>
      </c>
      <c r="C1682" s="11" t="s">
        <v>2342</v>
      </c>
      <c r="D1682" s="93" t="n">
        <v>3</v>
      </c>
      <c r="E1682" s="34" t="n">
        <v>3</v>
      </c>
    </row>
    <row r="1683" customFormat="false" ht="15" hidden="false" customHeight="false" outlineLevel="0" collapsed="false">
      <c r="A1683" s="11" t="s">
        <v>2008</v>
      </c>
      <c r="B1683" s="11" t="n">
        <v>4</v>
      </c>
      <c r="C1683" s="11" t="s">
        <v>2343</v>
      </c>
      <c r="D1683" s="93" t="n">
        <v>2.45397</v>
      </c>
      <c r="E1683" s="34" t="n">
        <v>2.4</v>
      </c>
    </row>
    <row r="1684" customFormat="false" ht="15" hidden="false" customHeight="false" outlineLevel="0" collapsed="false">
      <c r="A1684" s="11" t="s">
        <v>2009</v>
      </c>
      <c r="B1684" s="11" t="n">
        <v>1</v>
      </c>
      <c r="C1684" s="11" t="s">
        <v>2342</v>
      </c>
      <c r="D1684" s="93" t="n">
        <v>3</v>
      </c>
      <c r="E1684" s="34" t="n">
        <v>3</v>
      </c>
    </row>
    <row r="1685" customFormat="false" ht="15" hidden="false" customHeight="false" outlineLevel="0" collapsed="false">
      <c r="A1685" s="11" t="s">
        <v>2010</v>
      </c>
      <c r="B1685" s="11" t="n">
        <v>1</v>
      </c>
      <c r="C1685" s="11" t="s">
        <v>1094</v>
      </c>
      <c r="D1685" s="93" t="n">
        <v>-4.23</v>
      </c>
      <c r="E1685" s="34" t="n">
        <v>-4.2</v>
      </c>
    </row>
    <row r="1686" customFormat="false" ht="15" hidden="false" customHeight="false" outlineLevel="0" collapsed="false">
      <c r="A1686" s="11" t="s">
        <v>2010</v>
      </c>
      <c r="B1686" s="11" t="n">
        <v>2</v>
      </c>
      <c r="C1686" s="11" t="s">
        <v>1093</v>
      </c>
      <c r="D1686" s="93" t="n">
        <v>-4.23</v>
      </c>
      <c r="E1686" s="34" t="n">
        <v>-4.2</v>
      </c>
    </row>
    <row r="1687" customFormat="false" ht="15" hidden="false" customHeight="false" outlineLevel="0" collapsed="false">
      <c r="A1687" s="11" t="s">
        <v>2010</v>
      </c>
      <c r="B1687" s="11" t="n">
        <v>3</v>
      </c>
      <c r="C1687" s="11" t="s">
        <v>1095</v>
      </c>
      <c r="D1687" s="93" t="n">
        <v>-4.23</v>
      </c>
      <c r="E1687" s="34" t="n">
        <v>-4.2</v>
      </c>
    </row>
    <row r="1688" customFormat="false" ht="15" hidden="false" customHeight="false" outlineLevel="0" collapsed="false">
      <c r="A1688" s="11" t="s">
        <v>2010</v>
      </c>
      <c r="B1688" s="11" t="n">
        <v>4</v>
      </c>
      <c r="C1688" s="11" t="s">
        <v>2341</v>
      </c>
      <c r="D1688" s="93" t="n">
        <v>1.46</v>
      </c>
      <c r="E1688" s="34" t="n">
        <v>1.4</v>
      </c>
    </row>
    <row r="1689" customFormat="false" ht="15" hidden="false" customHeight="false" outlineLevel="0" collapsed="false">
      <c r="A1689" s="11" t="s">
        <v>2011</v>
      </c>
      <c r="B1689" s="11" t="n">
        <v>1</v>
      </c>
      <c r="C1689" s="11" t="s">
        <v>1094</v>
      </c>
      <c r="D1689" s="93" t="n">
        <v>-7.40326</v>
      </c>
      <c r="E1689" s="34" t="n">
        <v>-7.4</v>
      </c>
    </row>
    <row r="1690" customFormat="false" ht="15" hidden="false" customHeight="false" outlineLevel="0" collapsed="false">
      <c r="A1690" s="11" t="s">
        <v>2011</v>
      </c>
      <c r="B1690" s="11" t="n">
        <v>2</v>
      </c>
      <c r="C1690" s="11" t="s">
        <v>1087</v>
      </c>
      <c r="D1690" s="93" t="n">
        <v>2.1</v>
      </c>
      <c r="E1690" s="34" t="n">
        <v>2.1</v>
      </c>
    </row>
    <row r="1691" customFormat="false" ht="15" hidden="false" customHeight="false" outlineLevel="0" collapsed="false">
      <c r="A1691" s="11" t="s">
        <v>2011</v>
      </c>
      <c r="B1691" s="11" t="n">
        <v>3</v>
      </c>
      <c r="C1691" s="11" t="s">
        <v>1086</v>
      </c>
      <c r="D1691" s="93" t="n">
        <v>0.46416</v>
      </c>
      <c r="E1691" s="34" t="n">
        <v>0.5</v>
      </c>
    </row>
    <row r="1692" customFormat="false" ht="15" hidden="false" customHeight="false" outlineLevel="0" collapsed="false">
      <c r="A1692" s="11" t="s">
        <v>2012</v>
      </c>
      <c r="B1692" s="11" t="n">
        <v>1</v>
      </c>
      <c r="C1692" s="11" t="s">
        <v>1084</v>
      </c>
      <c r="D1692" s="93" t="n">
        <v>5.14082</v>
      </c>
      <c r="E1692" s="34" t="n">
        <v>5.1</v>
      </c>
    </row>
    <row r="1693" customFormat="false" ht="15" hidden="false" customHeight="false" outlineLevel="0" collapsed="false">
      <c r="A1693" s="11" t="s">
        <v>2012</v>
      </c>
      <c r="B1693" s="11" t="n">
        <v>2</v>
      </c>
      <c r="C1693" s="11" t="s">
        <v>1086</v>
      </c>
      <c r="D1693" s="93" t="n">
        <v>1.06318</v>
      </c>
      <c r="E1693" s="34" t="n">
        <v>1.1</v>
      </c>
    </row>
    <row r="1694" customFormat="false" ht="15" hidden="false" customHeight="false" outlineLevel="0" collapsed="false">
      <c r="A1694" s="11" t="s">
        <v>2013</v>
      </c>
      <c r="B1694" s="11" t="n">
        <v>1</v>
      </c>
      <c r="C1694" s="11" t="s">
        <v>2344</v>
      </c>
      <c r="D1694" s="93" t="n">
        <v>0.8</v>
      </c>
      <c r="E1694" s="34" t="n">
        <v>0.8</v>
      </c>
    </row>
    <row r="1695" customFormat="false" ht="15" hidden="false" customHeight="false" outlineLevel="0" collapsed="false">
      <c r="A1695" s="11" t="s">
        <v>2013</v>
      </c>
      <c r="B1695" s="11" t="n">
        <v>2</v>
      </c>
      <c r="C1695" s="11" t="s">
        <v>2453</v>
      </c>
      <c r="D1695" s="93" t="n">
        <v>-0.38</v>
      </c>
      <c r="E1695" s="34" t="n">
        <v>-0.4</v>
      </c>
    </row>
    <row r="1696" customFormat="false" ht="15" hidden="false" customHeight="false" outlineLevel="0" collapsed="false">
      <c r="A1696" s="11" t="s">
        <v>2014</v>
      </c>
      <c r="B1696" s="11" t="n">
        <v>1</v>
      </c>
      <c r="C1696" s="11" t="s">
        <v>2454</v>
      </c>
      <c r="D1696" s="93" t="n">
        <v>-0.66667</v>
      </c>
      <c r="E1696" s="34" t="n">
        <v>-0.7</v>
      </c>
    </row>
    <row r="1697" customFormat="false" ht="15" hidden="false" customHeight="false" outlineLevel="0" collapsed="false">
      <c r="A1697" s="11" t="s">
        <v>2015</v>
      </c>
      <c r="B1697" s="11" t="n">
        <v>1</v>
      </c>
      <c r="C1697" s="11" t="s">
        <v>2455</v>
      </c>
      <c r="D1697" s="93" t="n">
        <v>-1.25</v>
      </c>
      <c r="E1697" s="34" t="n">
        <v>-1.3</v>
      </c>
    </row>
    <row r="1698" customFormat="false" ht="15" hidden="false" customHeight="false" outlineLevel="0" collapsed="false">
      <c r="A1698" s="11" t="s">
        <v>2016</v>
      </c>
      <c r="B1698" s="11" t="n">
        <v>1</v>
      </c>
      <c r="C1698" s="11" t="s">
        <v>1086</v>
      </c>
      <c r="D1698" s="93" t="n">
        <v>0.588</v>
      </c>
      <c r="E1698" s="34" t="n">
        <v>0.6</v>
      </c>
    </row>
    <row r="1699" customFormat="false" ht="15" hidden="false" customHeight="false" outlineLevel="0" collapsed="false">
      <c r="A1699" s="11" t="s">
        <v>2017</v>
      </c>
      <c r="B1699" s="11" t="n">
        <v>1</v>
      </c>
      <c r="C1699" s="11" t="s">
        <v>1083</v>
      </c>
      <c r="D1699" s="93" t="n">
        <v>-18.27076</v>
      </c>
      <c r="E1699" s="34" t="n">
        <v>-18.3</v>
      </c>
    </row>
    <row r="1700" customFormat="false" ht="15" hidden="false" customHeight="false" outlineLevel="0" collapsed="false">
      <c r="A1700" s="11" t="s">
        <v>2017</v>
      </c>
      <c r="B1700" s="11" t="n">
        <v>2</v>
      </c>
      <c r="C1700" s="11" t="s">
        <v>1084</v>
      </c>
      <c r="D1700" s="93" t="n">
        <v>4.45502</v>
      </c>
      <c r="E1700" s="34" t="n">
        <v>4.5</v>
      </c>
    </row>
    <row r="1701" customFormat="false" ht="15" hidden="false" customHeight="false" outlineLevel="0" collapsed="false">
      <c r="A1701" s="11" t="s">
        <v>2017</v>
      </c>
      <c r="B1701" s="11" t="n">
        <v>3</v>
      </c>
      <c r="C1701" s="11" t="s">
        <v>2342</v>
      </c>
      <c r="D1701" s="93" t="n">
        <v>3</v>
      </c>
      <c r="E1701" s="34" t="n">
        <v>3</v>
      </c>
    </row>
    <row r="1702" customFormat="false" ht="15" hidden="false" customHeight="false" outlineLevel="0" collapsed="false">
      <c r="A1702" s="11" t="s">
        <v>2017</v>
      </c>
      <c r="B1702" s="11" t="n">
        <v>4</v>
      </c>
      <c r="C1702" s="11" t="s">
        <v>2343</v>
      </c>
      <c r="D1702" s="93" t="n">
        <v>3.04197</v>
      </c>
      <c r="E1702" s="34" t="n">
        <v>3</v>
      </c>
    </row>
    <row r="1703" customFormat="false" ht="15" hidden="false" customHeight="false" outlineLevel="0" collapsed="false">
      <c r="A1703" s="11" t="s">
        <v>2018</v>
      </c>
      <c r="B1703" s="11" t="n">
        <v>1</v>
      </c>
      <c r="C1703" s="11" t="s">
        <v>91</v>
      </c>
      <c r="D1703" s="93" t="n">
        <v>-30</v>
      </c>
      <c r="E1703" s="34" t="n">
        <v>-30</v>
      </c>
    </row>
    <row r="1704" customFormat="false" ht="15" hidden="false" customHeight="false" outlineLevel="0" collapsed="false">
      <c r="A1704" s="11" t="s">
        <v>2018</v>
      </c>
      <c r="B1704" s="11" t="n">
        <v>2</v>
      </c>
      <c r="C1704" s="11" t="s">
        <v>101</v>
      </c>
      <c r="D1704" s="93" t="n">
        <v>7.77377</v>
      </c>
      <c r="E1704" s="34" t="n">
        <v>7.8</v>
      </c>
    </row>
    <row r="1705" customFormat="false" ht="15" hidden="false" customHeight="false" outlineLevel="0" collapsed="false">
      <c r="A1705" s="11" t="s">
        <v>2019</v>
      </c>
      <c r="B1705" s="11" t="n">
        <v>1</v>
      </c>
      <c r="C1705" s="11" t="s">
        <v>1083</v>
      </c>
      <c r="D1705" s="93" t="n">
        <v>-32.6025</v>
      </c>
      <c r="E1705" s="34" t="n">
        <v>-32.6</v>
      </c>
    </row>
    <row r="1706" customFormat="false" ht="15" hidden="false" customHeight="false" outlineLevel="0" collapsed="false">
      <c r="A1706" s="11" t="s">
        <v>2019</v>
      </c>
      <c r="B1706" s="11" t="n">
        <v>2</v>
      </c>
      <c r="C1706" s="11" t="s">
        <v>1084</v>
      </c>
      <c r="D1706" s="93" t="n">
        <v>-2.0574</v>
      </c>
      <c r="E1706" s="34" t="n">
        <v>-2.1</v>
      </c>
    </row>
    <row r="1707" customFormat="false" ht="15" hidden="false" customHeight="false" outlineLevel="0" collapsed="false">
      <c r="A1707" s="11" t="s">
        <v>2019</v>
      </c>
      <c r="B1707" s="11" t="n">
        <v>3</v>
      </c>
      <c r="C1707" s="11" t="s">
        <v>2455</v>
      </c>
      <c r="D1707" s="93" t="n">
        <v>-1.875</v>
      </c>
      <c r="E1707" s="34" t="n">
        <v>-1.9</v>
      </c>
    </row>
    <row r="1708" customFormat="false" ht="15" hidden="false" customHeight="false" outlineLevel="0" collapsed="false">
      <c r="A1708" s="11" t="s">
        <v>2019</v>
      </c>
      <c r="B1708" s="11" t="n">
        <v>4</v>
      </c>
      <c r="C1708" s="11" t="s">
        <v>2348</v>
      </c>
      <c r="D1708" s="93" t="n">
        <v>-0.11677</v>
      </c>
      <c r="E1708" s="34" t="n">
        <v>-0.1</v>
      </c>
    </row>
    <row r="1709" customFormat="false" ht="15" hidden="false" customHeight="false" outlineLevel="0" collapsed="false">
      <c r="A1709" s="11" t="s">
        <v>2020</v>
      </c>
      <c r="B1709" s="11" t="n">
        <v>1</v>
      </c>
      <c r="C1709" s="11" t="s">
        <v>1094</v>
      </c>
      <c r="D1709" s="93" t="n">
        <v>-12.69</v>
      </c>
      <c r="E1709" s="34" t="n">
        <v>-12.7</v>
      </c>
    </row>
    <row r="1710" customFormat="false" ht="15" hidden="false" customHeight="false" outlineLevel="0" collapsed="false">
      <c r="A1710" s="11" t="s">
        <v>2020</v>
      </c>
      <c r="B1710" s="11" t="n">
        <v>2</v>
      </c>
      <c r="C1710" s="11" t="s">
        <v>1093</v>
      </c>
      <c r="D1710" s="93" t="n">
        <v>-12.69</v>
      </c>
      <c r="E1710" s="34" t="n">
        <v>-12.7</v>
      </c>
    </row>
    <row r="1711" customFormat="false" ht="15" hidden="false" customHeight="false" outlineLevel="0" collapsed="false">
      <c r="A1711" s="11" t="s">
        <v>2020</v>
      </c>
      <c r="B1711" s="11" t="n">
        <v>3</v>
      </c>
      <c r="C1711" s="11" t="s">
        <v>1095</v>
      </c>
      <c r="D1711" s="93" t="n">
        <v>-12.69</v>
      </c>
      <c r="E1711" s="34" t="n">
        <v>-12.7</v>
      </c>
    </row>
    <row r="1712" customFormat="false" ht="15" hidden="false" customHeight="false" outlineLevel="0" collapsed="false">
      <c r="A1712" s="11" t="s">
        <v>2020</v>
      </c>
      <c r="B1712" s="11" t="n">
        <v>4</v>
      </c>
      <c r="C1712" s="11" t="s">
        <v>2341</v>
      </c>
      <c r="D1712" s="93" t="n">
        <v>4.38</v>
      </c>
      <c r="E1712" s="34" t="n">
        <v>4.4</v>
      </c>
    </row>
    <row r="1713" customFormat="false" ht="15" hidden="false" customHeight="false" outlineLevel="0" collapsed="false">
      <c r="A1713" s="11" t="s">
        <v>2021</v>
      </c>
      <c r="B1713" s="11" t="n">
        <v>1</v>
      </c>
      <c r="C1713" s="11" t="s">
        <v>2349</v>
      </c>
      <c r="D1713" s="93" t="n">
        <v>1</v>
      </c>
      <c r="E1713" s="34" t="n">
        <v>1</v>
      </c>
    </row>
    <row r="1714" customFormat="false" ht="15" hidden="false" customHeight="false" outlineLevel="0" collapsed="false">
      <c r="A1714" s="11" t="s">
        <v>2022</v>
      </c>
      <c r="B1714" s="11" t="n">
        <v>1</v>
      </c>
      <c r="C1714" s="11" t="s">
        <v>2344</v>
      </c>
      <c r="D1714" s="93" t="n">
        <v>-0.8</v>
      </c>
      <c r="E1714" s="34" t="n">
        <v>-0.8</v>
      </c>
    </row>
    <row r="1715" customFormat="false" ht="15" hidden="false" customHeight="false" outlineLevel="0" collapsed="false">
      <c r="A1715" s="11" t="s">
        <v>2022</v>
      </c>
      <c r="B1715" s="11" t="n">
        <v>2</v>
      </c>
      <c r="C1715" s="11" t="s">
        <v>2453</v>
      </c>
      <c r="D1715" s="93" t="n">
        <v>-0.62</v>
      </c>
      <c r="E1715" s="34" t="n">
        <v>-0.6</v>
      </c>
    </row>
    <row r="1716" customFormat="false" ht="15" hidden="false" customHeight="false" outlineLevel="0" collapsed="false">
      <c r="A1716" s="11" t="s">
        <v>2023</v>
      </c>
      <c r="B1716" s="11" t="n">
        <v>1</v>
      </c>
      <c r="C1716" s="11" t="s">
        <v>2454</v>
      </c>
      <c r="D1716" s="93" t="n">
        <v>-0.66667</v>
      </c>
      <c r="E1716" s="34" t="n">
        <v>-0.7</v>
      </c>
    </row>
    <row r="1717" customFormat="false" ht="15" hidden="false" customHeight="false" outlineLevel="0" collapsed="false">
      <c r="A1717" s="11" t="s">
        <v>2024</v>
      </c>
      <c r="B1717" s="11" t="n">
        <v>1</v>
      </c>
      <c r="C1717" s="11" t="s">
        <v>2455</v>
      </c>
      <c r="D1717" s="93" t="n">
        <v>-1.875</v>
      </c>
      <c r="E1717" s="34" t="n">
        <v>-1.9</v>
      </c>
    </row>
    <row r="1718" customFormat="false" ht="15" hidden="false" customHeight="false" outlineLevel="0" collapsed="false">
      <c r="A1718" s="11" t="s">
        <v>2025</v>
      </c>
      <c r="B1718" s="11" t="n">
        <v>1</v>
      </c>
      <c r="C1718" s="11" t="s">
        <v>1083</v>
      </c>
      <c r="D1718" s="93" t="n">
        <v>-27.83282</v>
      </c>
      <c r="E1718" s="34" t="n">
        <v>-27.8</v>
      </c>
    </row>
    <row r="1719" customFormat="false" ht="15" hidden="false" customHeight="false" outlineLevel="0" collapsed="false">
      <c r="A1719" s="11" t="s">
        <v>2025</v>
      </c>
      <c r="B1719" s="11" t="n">
        <v>2</v>
      </c>
      <c r="C1719" s="11" t="s">
        <v>2351</v>
      </c>
      <c r="D1719" s="93" t="n">
        <v>6</v>
      </c>
      <c r="E1719" s="34" t="n">
        <v>6</v>
      </c>
    </row>
    <row r="1720" customFormat="false" ht="15" hidden="false" customHeight="false" outlineLevel="0" collapsed="false">
      <c r="A1720" s="11" t="s">
        <v>2025</v>
      </c>
      <c r="B1720" s="11" t="n">
        <v>3</v>
      </c>
      <c r="C1720" s="11" t="s">
        <v>1181</v>
      </c>
      <c r="D1720" s="93" t="n">
        <v>-5</v>
      </c>
      <c r="E1720" s="34" t="n">
        <v>-5</v>
      </c>
    </row>
    <row r="1721" customFormat="false" ht="15" hidden="false" customHeight="false" outlineLevel="0" collapsed="false">
      <c r="A1721" s="11" t="s">
        <v>2025</v>
      </c>
      <c r="B1721" s="11" t="n">
        <v>4</v>
      </c>
      <c r="C1721" s="11" t="s">
        <v>2431</v>
      </c>
      <c r="D1721" s="93" t="n">
        <v>-7.30441</v>
      </c>
      <c r="E1721" s="34" t="n">
        <v>-7.3</v>
      </c>
    </row>
    <row r="1722" customFormat="false" ht="15" hidden="false" customHeight="false" outlineLevel="0" collapsed="false">
      <c r="A1722" s="11" t="s">
        <v>2026</v>
      </c>
      <c r="B1722" s="11" t="n">
        <v>1</v>
      </c>
      <c r="C1722" s="11" t="s">
        <v>1094</v>
      </c>
      <c r="D1722" s="93" t="n">
        <v>-13.194</v>
      </c>
      <c r="E1722" s="34" t="n">
        <v>-13.2</v>
      </c>
    </row>
    <row r="1723" customFormat="false" ht="15" hidden="false" customHeight="false" outlineLevel="0" collapsed="false">
      <c r="A1723" s="11" t="s">
        <v>2026</v>
      </c>
      <c r="B1723" s="11" t="n">
        <v>2</v>
      </c>
      <c r="C1723" s="11" t="s">
        <v>1095</v>
      </c>
      <c r="D1723" s="93" t="n">
        <v>-13.194</v>
      </c>
      <c r="E1723" s="34" t="n">
        <v>-13.2</v>
      </c>
    </row>
    <row r="1724" customFormat="false" ht="15" hidden="false" customHeight="false" outlineLevel="0" collapsed="false">
      <c r="A1724" s="11" t="s">
        <v>2026</v>
      </c>
      <c r="B1724" s="11" t="n">
        <v>3</v>
      </c>
      <c r="C1724" s="11" t="s">
        <v>1085</v>
      </c>
      <c r="D1724" s="93" t="n">
        <v>-4.509</v>
      </c>
      <c r="E1724" s="34" t="n">
        <v>-4.5</v>
      </c>
    </row>
    <row r="1725" customFormat="false" ht="15" hidden="false" customHeight="false" outlineLevel="0" collapsed="false">
      <c r="A1725" s="11" t="s">
        <v>2026</v>
      </c>
      <c r="B1725" s="11" t="n">
        <v>4</v>
      </c>
      <c r="C1725" s="11" t="s">
        <v>109</v>
      </c>
      <c r="D1725" s="93" t="n">
        <v>7.017</v>
      </c>
      <c r="E1725" s="34" t="n">
        <v>7</v>
      </c>
    </row>
    <row r="1726" customFormat="false" ht="15" hidden="false" customHeight="false" outlineLevel="0" collapsed="false">
      <c r="A1726" s="11" t="s">
        <v>2027</v>
      </c>
      <c r="B1726" s="11" t="n">
        <v>1</v>
      </c>
      <c r="C1726" s="11" t="s">
        <v>1094</v>
      </c>
      <c r="D1726" s="93" t="n">
        <v>-3.17282</v>
      </c>
      <c r="E1726" s="34" t="n">
        <v>-3.2</v>
      </c>
    </row>
    <row r="1727" customFormat="false" ht="15" hidden="false" customHeight="false" outlineLevel="0" collapsed="false">
      <c r="A1727" s="11" t="s">
        <v>2027</v>
      </c>
      <c r="B1727" s="11" t="n">
        <v>2</v>
      </c>
      <c r="C1727" s="11" t="s">
        <v>1087</v>
      </c>
      <c r="D1727" s="93" t="n">
        <v>0.9</v>
      </c>
      <c r="E1727" s="34" t="n">
        <v>0.9</v>
      </c>
    </row>
    <row r="1728" customFormat="false" ht="15" hidden="false" customHeight="false" outlineLevel="0" collapsed="false">
      <c r="A1728" s="11" t="s">
        <v>2027</v>
      </c>
      <c r="B1728" s="11" t="n">
        <v>3</v>
      </c>
      <c r="C1728" s="11" t="s">
        <v>1086</v>
      </c>
      <c r="D1728" s="93" t="n">
        <v>0.19892</v>
      </c>
      <c r="E1728" s="34" t="n">
        <v>0.2</v>
      </c>
    </row>
    <row r="1729" customFormat="false" ht="15" hidden="false" customHeight="false" outlineLevel="0" collapsed="false">
      <c r="A1729" s="11" t="s">
        <v>2028</v>
      </c>
      <c r="B1729" s="11" t="n">
        <v>1</v>
      </c>
      <c r="C1729" s="11" t="s">
        <v>1181</v>
      </c>
      <c r="D1729" s="93" t="n">
        <v>-5</v>
      </c>
      <c r="E1729" s="34" t="n">
        <v>-5</v>
      </c>
    </row>
    <row r="1730" customFormat="false" ht="15" hidden="false" customHeight="false" outlineLevel="0" collapsed="false">
      <c r="A1730" s="11" t="s">
        <v>2028</v>
      </c>
      <c r="B1730" s="11" t="n">
        <v>2</v>
      </c>
      <c r="C1730" s="11" t="s">
        <v>1198</v>
      </c>
      <c r="D1730" s="93" t="n">
        <v>-5</v>
      </c>
      <c r="E1730" s="34" t="n">
        <v>-5</v>
      </c>
    </row>
    <row r="1731" customFormat="false" ht="15" hidden="false" customHeight="false" outlineLevel="0" collapsed="false">
      <c r="A1731" s="11" t="s">
        <v>2029</v>
      </c>
      <c r="B1731" s="11" t="n">
        <v>1</v>
      </c>
      <c r="C1731" s="11" t="s">
        <v>2456</v>
      </c>
      <c r="D1731" s="93" t="n">
        <v>-2</v>
      </c>
      <c r="E1731" s="34" t="n">
        <v>-2</v>
      </c>
    </row>
    <row r="1732" customFormat="false" ht="15" hidden="false" customHeight="false" outlineLevel="0" collapsed="false">
      <c r="A1732" s="11" t="s">
        <v>2030</v>
      </c>
      <c r="B1732" s="11" t="n">
        <v>1</v>
      </c>
      <c r="C1732" s="11" t="s">
        <v>2351</v>
      </c>
      <c r="D1732" s="93" t="n">
        <v>6</v>
      </c>
      <c r="E1732" s="34" t="n">
        <v>6</v>
      </c>
    </row>
    <row r="1733" customFormat="false" ht="15" hidden="false" customHeight="false" outlineLevel="0" collapsed="false">
      <c r="A1733" s="11" t="s">
        <v>2031</v>
      </c>
      <c r="B1733" s="11" t="n">
        <v>1</v>
      </c>
      <c r="C1733" s="11" t="s">
        <v>2453</v>
      </c>
      <c r="D1733" s="93" t="n">
        <v>-0.6</v>
      </c>
      <c r="E1733" s="34" t="n">
        <v>-0.6</v>
      </c>
    </row>
    <row r="1734" customFormat="false" ht="15" hidden="false" customHeight="false" outlineLevel="0" collapsed="false">
      <c r="A1734" s="11" t="s">
        <v>2032</v>
      </c>
      <c r="B1734" s="11" t="n">
        <v>1</v>
      </c>
      <c r="C1734" s="11" t="s">
        <v>2454</v>
      </c>
      <c r="D1734" s="93" t="n">
        <v>-0.33333</v>
      </c>
      <c r="E1734" s="34" t="n">
        <v>-0.3</v>
      </c>
    </row>
    <row r="1735" customFormat="false" ht="15" hidden="false" customHeight="false" outlineLevel="0" collapsed="false">
      <c r="A1735" s="11" t="s">
        <v>2033</v>
      </c>
      <c r="B1735" s="11" t="n">
        <v>1</v>
      </c>
      <c r="C1735" s="11" t="s">
        <v>2455</v>
      </c>
      <c r="D1735" s="93" t="n">
        <v>-1.25</v>
      </c>
      <c r="E1735" s="34" t="n">
        <v>-1.3</v>
      </c>
    </row>
    <row r="1736" customFormat="false" ht="15" hidden="false" customHeight="false" outlineLevel="0" collapsed="false">
      <c r="A1736" s="11" t="s">
        <v>2034</v>
      </c>
      <c r="B1736" s="11" t="n">
        <v>1</v>
      </c>
      <c r="C1736" s="11" t="s">
        <v>1190</v>
      </c>
      <c r="D1736" s="93" t="n">
        <v>5</v>
      </c>
      <c r="E1736" s="34" t="n">
        <v>5</v>
      </c>
    </row>
    <row r="1737" customFormat="false" ht="15" hidden="false" customHeight="false" outlineLevel="0" collapsed="false">
      <c r="A1737" s="11" t="s">
        <v>2034</v>
      </c>
      <c r="B1737" s="11" t="n">
        <v>2</v>
      </c>
      <c r="C1737" s="11" t="s">
        <v>2355</v>
      </c>
      <c r="D1737" s="93" t="n">
        <v>3</v>
      </c>
      <c r="E1737" s="34" t="n">
        <v>3</v>
      </c>
    </row>
    <row r="1738" customFormat="false" ht="15" hidden="false" customHeight="false" outlineLevel="0" collapsed="false">
      <c r="A1738" s="11" t="s">
        <v>2034</v>
      </c>
      <c r="B1738" s="11" t="n">
        <v>3</v>
      </c>
      <c r="C1738" s="11" t="s">
        <v>2457</v>
      </c>
      <c r="D1738" s="93" t="n">
        <v>-3</v>
      </c>
      <c r="E1738" s="34" t="n">
        <v>-3</v>
      </c>
    </row>
    <row r="1739" customFormat="false" ht="15" hidden="false" customHeight="false" outlineLevel="0" collapsed="false">
      <c r="A1739" s="11" t="s">
        <v>2034</v>
      </c>
      <c r="B1739" s="11" t="n">
        <v>4</v>
      </c>
      <c r="C1739" s="11" t="s">
        <v>2341</v>
      </c>
      <c r="D1739" s="93" t="n">
        <v>-1.35833</v>
      </c>
      <c r="E1739" s="34" t="n">
        <v>-1.4</v>
      </c>
    </row>
    <row r="1740" customFormat="false" ht="15" hidden="false" customHeight="false" outlineLevel="0" collapsed="false">
      <c r="A1740" s="11" t="s">
        <v>2035</v>
      </c>
      <c r="B1740" s="11" t="n">
        <v>1</v>
      </c>
      <c r="C1740" s="11" t="s">
        <v>1190</v>
      </c>
      <c r="D1740" s="93" t="n">
        <v>5</v>
      </c>
      <c r="E1740" s="34" t="n">
        <v>5</v>
      </c>
    </row>
    <row r="1741" customFormat="false" ht="15" hidden="false" customHeight="false" outlineLevel="0" collapsed="false">
      <c r="A1741" s="11" t="s">
        <v>2035</v>
      </c>
      <c r="B1741" s="11" t="n">
        <v>2</v>
      </c>
      <c r="C1741" s="11" t="s">
        <v>2355</v>
      </c>
      <c r="D1741" s="93" t="n">
        <v>3</v>
      </c>
      <c r="E1741" s="34" t="n">
        <v>3</v>
      </c>
    </row>
    <row r="1742" customFormat="false" ht="15" hidden="false" customHeight="false" outlineLevel="0" collapsed="false">
      <c r="A1742" s="11" t="s">
        <v>2035</v>
      </c>
      <c r="B1742" s="11" t="n">
        <v>3</v>
      </c>
      <c r="C1742" s="11" t="s">
        <v>2457</v>
      </c>
      <c r="D1742" s="93" t="n">
        <v>-3</v>
      </c>
      <c r="E1742" s="34" t="n">
        <v>-3</v>
      </c>
    </row>
    <row r="1743" customFormat="false" ht="15" hidden="false" customHeight="false" outlineLevel="0" collapsed="false">
      <c r="A1743" s="11" t="s">
        <v>2035</v>
      </c>
      <c r="B1743" s="11" t="n">
        <v>4</v>
      </c>
      <c r="C1743" s="11" t="s">
        <v>102</v>
      </c>
      <c r="D1743" s="93" t="n">
        <v>0</v>
      </c>
      <c r="E1743" s="34" t="n">
        <v>0</v>
      </c>
    </row>
    <row r="1744" customFormat="false" ht="15" hidden="false" customHeight="false" outlineLevel="0" collapsed="false">
      <c r="A1744" s="11" t="s">
        <v>2036</v>
      </c>
      <c r="B1744" s="11" t="n">
        <v>1</v>
      </c>
      <c r="C1744" s="11" t="s">
        <v>2453</v>
      </c>
      <c r="D1744" s="93" t="n">
        <v>-0.4</v>
      </c>
      <c r="E1744" s="34" t="n">
        <v>-0.4</v>
      </c>
    </row>
    <row r="1745" customFormat="false" ht="15" hidden="false" customHeight="false" outlineLevel="0" collapsed="false">
      <c r="A1745" s="11" t="s">
        <v>2037</v>
      </c>
      <c r="B1745" s="11" t="n">
        <v>1</v>
      </c>
      <c r="C1745" s="11" t="s">
        <v>2454</v>
      </c>
      <c r="D1745" s="93" t="n">
        <v>-0.33333</v>
      </c>
      <c r="E1745" s="34" t="n">
        <v>-0.3</v>
      </c>
    </row>
    <row r="1746" customFormat="false" ht="15" hidden="false" customHeight="false" outlineLevel="0" collapsed="false">
      <c r="A1746" s="11" t="s">
        <v>2038</v>
      </c>
      <c r="B1746" s="11" t="n">
        <v>1</v>
      </c>
      <c r="C1746" s="11" t="s">
        <v>2455</v>
      </c>
      <c r="D1746" s="93" t="n">
        <v>-0.625</v>
      </c>
      <c r="E1746" s="34" t="n">
        <v>-0.6</v>
      </c>
    </row>
    <row r="1747" customFormat="false" ht="15" hidden="false" customHeight="false" outlineLevel="0" collapsed="false">
      <c r="A1747" s="11" t="s">
        <v>2039</v>
      </c>
      <c r="B1747" s="11" t="n">
        <v>1</v>
      </c>
      <c r="C1747" s="11" t="s">
        <v>157</v>
      </c>
      <c r="D1747" s="93" t="n">
        <v>-36.65167</v>
      </c>
      <c r="E1747" s="34" t="n">
        <v>-36.6</v>
      </c>
    </row>
    <row r="1748" customFormat="false" ht="15" hidden="false" customHeight="false" outlineLevel="0" collapsed="false">
      <c r="A1748" s="11" t="s">
        <v>2039</v>
      </c>
      <c r="B1748" s="11" t="n">
        <v>2</v>
      </c>
      <c r="C1748" s="11" t="s">
        <v>158</v>
      </c>
      <c r="D1748" s="93" t="n">
        <v>-34.13723</v>
      </c>
      <c r="E1748" s="34" t="n">
        <v>-34.1</v>
      </c>
    </row>
    <row r="1749" customFormat="false" ht="15" hidden="false" customHeight="false" outlineLevel="0" collapsed="false">
      <c r="A1749" s="11" t="s">
        <v>2039</v>
      </c>
      <c r="B1749" s="11" t="n">
        <v>3</v>
      </c>
      <c r="C1749" s="11" t="s">
        <v>159</v>
      </c>
      <c r="D1749" s="93" t="n">
        <v>3.64167</v>
      </c>
      <c r="E1749" s="34" t="n">
        <v>3.6</v>
      </c>
    </row>
    <row r="1750" customFormat="false" ht="15" hidden="false" customHeight="false" outlineLevel="0" collapsed="false">
      <c r="A1750" s="11" t="s">
        <v>2040</v>
      </c>
      <c r="B1750" s="11" t="n">
        <v>1</v>
      </c>
      <c r="C1750" s="11" t="s">
        <v>95</v>
      </c>
      <c r="D1750" s="93" t="n">
        <v>67.14723</v>
      </c>
      <c r="E1750" s="34" t="n">
        <v>67.1</v>
      </c>
    </row>
    <row r="1751" customFormat="false" ht="15" hidden="false" customHeight="false" outlineLevel="0" collapsed="false">
      <c r="A1751" s="11" t="s">
        <v>2040</v>
      </c>
      <c r="B1751" s="11" t="n">
        <v>2</v>
      </c>
      <c r="C1751" s="11" t="s">
        <v>91</v>
      </c>
      <c r="D1751" s="93" t="n">
        <v>-30</v>
      </c>
      <c r="E1751" s="34" t="n">
        <v>-30</v>
      </c>
    </row>
    <row r="1752" customFormat="false" ht="15" hidden="false" customHeight="false" outlineLevel="0" collapsed="false">
      <c r="A1752" s="11" t="s">
        <v>2040</v>
      </c>
      <c r="B1752" s="11" t="n">
        <v>3</v>
      </c>
      <c r="C1752" s="11" t="s">
        <v>101</v>
      </c>
      <c r="D1752" s="93" t="n">
        <v>7.77377</v>
      </c>
      <c r="E1752" s="34" t="n">
        <v>7.8</v>
      </c>
    </row>
    <row r="1753" customFormat="false" ht="15" hidden="false" customHeight="false" outlineLevel="0" collapsed="false">
      <c r="A1753" s="11" t="s">
        <v>2041</v>
      </c>
      <c r="B1753" s="11" t="n">
        <v>1</v>
      </c>
      <c r="C1753" s="11" t="s">
        <v>2458</v>
      </c>
      <c r="D1753" s="93" t="n">
        <v>2</v>
      </c>
      <c r="E1753" s="34" t="n">
        <v>2</v>
      </c>
    </row>
    <row r="1754" customFormat="false" ht="15" hidden="false" customHeight="false" outlineLevel="0" collapsed="false">
      <c r="A1754" s="11" t="s">
        <v>2043</v>
      </c>
      <c r="B1754" s="11" t="n">
        <v>1</v>
      </c>
      <c r="C1754" s="11" t="s">
        <v>95</v>
      </c>
      <c r="D1754" s="93" t="n">
        <v>67.14723</v>
      </c>
      <c r="E1754" s="34" t="n">
        <v>67.1</v>
      </c>
    </row>
    <row r="1755" customFormat="false" ht="15" hidden="false" customHeight="false" outlineLevel="0" collapsed="false">
      <c r="A1755" s="11" t="s">
        <v>2043</v>
      </c>
      <c r="B1755" s="11" t="n">
        <v>2</v>
      </c>
      <c r="C1755" s="11" t="s">
        <v>91</v>
      </c>
      <c r="D1755" s="93" t="n">
        <v>-30</v>
      </c>
      <c r="E1755" s="34" t="n">
        <v>-30</v>
      </c>
    </row>
    <row r="1756" customFormat="false" ht="15" hidden="false" customHeight="false" outlineLevel="0" collapsed="false">
      <c r="A1756" s="11" t="s">
        <v>2043</v>
      </c>
      <c r="B1756" s="11" t="n">
        <v>3</v>
      </c>
      <c r="C1756" s="11" t="s">
        <v>101</v>
      </c>
      <c r="D1756" s="93" t="n">
        <v>7.77377</v>
      </c>
      <c r="E1756" s="34" t="n">
        <v>7.8</v>
      </c>
    </row>
    <row r="1757" customFormat="false" ht="15" hidden="false" customHeight="false" outlineLevel="0" collapsed="false">
      <c r="A1757" s="11" t="s">
        <v>2043</v>
      </c>
      <c r="B1757" s="11" t="n">
        <v>4</v>
      </c>
      <c r="C1757" s="11" t="s">
        <v>127</v>
      </c>
      <c r="D1757" s="93" t="n">
        <v>2</v>
      </c>
      <c r="E1757" s="34" t="n">
        <v>2</v>
      </c>
    </row>
    <row r="1758" customFormat="false" ht="15" hidden="false" customHeight="false" outlineLevel="0" collapsed="false">
      <c r="A1758" s="11" t="s">
        <v>2044</v>
      </c>
      <c r="B1758" s="11" t="n">
        <v>1</v>
      </c>
      <c r="C1758" s="11" t="s">
        <v>2459</v>
      </c>
      <c r="D1758" s="93" t="n">
        <v>-5</v>
      </c>
      <c r="E1758" s="34" t="n">
        <v>-5</v>
      </c>
    </row>
    <row r="1759" customFormat="false" ht="15" hidden="false" customHeight="false" outlineLevel="0" collapsed="false">
      <c r="A1759" s="11" t="s">
        <v>2045</v>
      </c>
      <c r="B1759" s="11" t="n">
        <v>1</v>
      </c>
      <c r="C1759" s="11" t="s">
        <v>95</v>
      </c>
      <c r="D1759" s="93" t="n">
        <v>67.14723</v>
      </c>
      <c r="E1759" s="34" t="n">
        <v>67.1</v>
      </c>
    </row>
    <row r="1760" customFormat="false" ht="15" hidden="false" customHeight="false" outlineLevel="0" collapsed="false">
      <c r="A1760" s="11" t="s">
        <v>2045</v>
      </c>
      <c r="B1760" s="11" t="n">
        <v>2</v>
      </c>
      <c r="C1760" s="11" t="s">
        <v>91</v>
      </c>
      <c r="D1760" s="93" t="n">
        <v>-30</v>
      </c>
      <c r="E1760" s="34" t="n">
        <v>-30</v>
      </c>
    </row>
    <row r="1761" customFormat="false" ht="15" hidden="false" customHeight="false" outlineLevel="0" collapsed="false">
      <c r="A1761" s="11" t="s">
        <v>2045</v>
      </c>
      <c r="B1761" s="11" t="n">
        <v>3</v>
      </c>
      <c r="C1761" s="11" t="s">
        <v>101</v>
      </c>
      <c r="D1761" s="93" t="n">
        <v>7.77377</v>
      </c>
      <c r="E1761" s="34" t="n">
        <v>7.8</v>
      </c>
    </row>
    <row r="1762" customFormat="false" ht="15" hidden="false" customHeight="false" outlineLevel="0" collapsed="false">
      <c r="A1762" s="11" t="s">
        <v>2045</v>
      </c>
      <c r="B1762" s="11" t="n">
        <v>4</v>
      </c>
      <c r="C1762" s="11" t="s">
        <v>102</v>
      </c>
      <c r="D1762" s="93" t="n">
        <v>7</v>
      </c>
      <c r="E1762" s="34" t="n">
        <v>7</v>
      </c>
    </row>
    <row r="1763" customFormat="false" ht="15" hidden="false" customHeight="false" outlineLevel="0" collapsed="false">
      <c r="A1763" s="11" t="s">
        <v>2046</v>
      </c>
      <c r="B1763" s="11" t="n">
        <v>1</v>
      </c>
      <c r="C1763" s="11" t="s">
        <v>2449</v>
      </c>
      <c r="D1763" s="93" t="n">
        <v>-83.925</v>
      </c>
      <c r="E1763" s="34" t="n">
        <v>-83.9</v>
      </c>
    </row>
    <row r="1764" customFormat="false" ht="15" hidden="false" customHeight="false" outlineLevel="0" collapsed="false">
      <c r="A1764" s="11" t="s">
        <v>2046</v>
      </c>
      <c r="B1764" s="11" t="n">
        <v>2</v>
      </c>
      <c r="C1764" s="11" t="s">
        <v>2450</v>
      </c>
      <c r="D1764" s="93" t="n">
        <v>22.418</v>
      </c>
      <c r="E1764" s="34" t="n">
        <v>22.4</v>
      </c>
    </row>
    <row r="1765" customFormat="false" ht="15" hidden="false" customHeight="false" outlineLevel="0" collapsed="false">
      <c r="A1765" s="11" t="s">
        <v>2046</v>
      </c>
      <c r="B1765" s="11" t="n">
        <v>3</v>
      </c>
      <c r="C1765" s="11" t="s">
        <v>2451</v>
      </c>
      <c r="D1765" s="93" t="n">
        <v>11.507</v>
      </c>
      <c r="E1765" s="34" t="n">
        <v>11.5</v>
      </c>
    </row>
    <row r="1766" customFormat="false" ht="15" hidden="false" customHeight="false" outlineLevel="0" collapsed="false">
      <c r="A1766" s="11" t="s">
        <v>2047</v>
      </c>
      <c r="B1766" s="11" t="n">
        <v>1</v>
      </c>
      <c r="C1766" s="11" t="s">
        <v>2452</v>
      </c>
      <c r="D1766" s="93" t="n">
        <v>20</v>
      </c>
      <c r="E1766" s="34" t="n">
        <v>20</v>
      </c>
    </row>
    <row r="1767" customFormat="false" ht="15" hidden="false" customHeight="false" outlineLevel="0" collapsed="false">
      <c r="A1767" s="11" t="s">
        <v>2048</v>
      </c>
      <c r="B1767" s="11" t="n">
        <v>1</v>
      </c>
      <c r="C1767" s="11" t="s">
        <v>2449</v>
      </c>
      <c r="D1767" s="93" t="n">
        <v>-83.925</v>
      </c>
      <c r="E1767" s="34" t="n">
        <v>-83.9</v>
      </c>
    </row>
    <row r="1768" customFormat="false" ht="15" hidden="false" customHeight="false" outlineLevel="0" collapsed="false">
      <c r="A1768" s="11" t="s">
        <v>2048</v>
      </c>
      <c r="B1768" s="11" t="n">
        <v>2</v>
      </c>
      <c r="C1768" s="11" t="s">
        <v>2450</v>
      </c>
      <c r="D1768" s="93" t="n">
        <v>22.418</v>
      </c>
      <c r="E1768" s="34" t="n">
        <v>22.4</v>
      </c>
    </row>
    <row r="1769" customFormat="false" ht="15" hidden="false" customHeight="false" outlineLevel="0" collapsed="false">
      <c r="A1769" s="11" t="s">
        <v>2048</v>
      </c>
      <c r="B1769" s="11" t="n">
        <v>3</v>
      </c>
      <c r="C1769" s="11" t="s">
        <v>2452</v>
      </c>
      <c r="D1769" s="93" t="n">
        <v>20</v>
      </c>
      <c r="E1769" s="34" t="n">
        <v>20</v>
      </c>
    </row>
    <row r="1770" customFormat="false" ht="15" hidden="false" customHeight="false" outlineLevel="0" collapsed="false">
      <c r="A1770" s="11" t="s">
        <v>2048</v>
      </c>
      <c r="B1770" s="11" t="n">
        <v>4</v>
      </c>
      <c r="C1770" s="11" t="s">
        <v>127</v>
      </c>
      <c r="D1770" s="93" t="n">
        <v>11.507</v>
      </c>
      <c r="E1770" s="34" t="n">
        <v>11.5</v>
      </c>
    </row>
    <row r="1771" customFormat="false" ht="15" hidden="false" customHeight="false" outlineLevel="0" collapsed="false">
      <c r="A1771" s="11" t="s">
        <v>2049</v>
      </c>
      <c r="B1771" s="11" t="n">
        <v>1</v>
      </c>
      <c r="C1771" s="11" t="s">
        <v>1083</v>
      </c>
      <c r="D1771" s="93" t="n">
        <v>-18.27076</v>
      </c>
      <c r="E1771" s="34" t="n">
        <v>-18.3</v>
      </c>
    </row>
    <row r="1772" customFormat="false" ht="15" hidden="false" customHeight="false" outlineLevel="0" collapsed="false">
      <c r="A1772" s="11" t="s">
        <v>2049</v>
      </c>
      <c r="B1772" s="11" t="n">
        <v>2</v>
      </c>
      <c r="C1772" s="11" t="s">
        <v>1084</v>
      </c>
      <c r="D1772" s="93" t="n">
        <v>4.45502</v>
      </c>
      <c r="E1772" s="34" t="n">
        <v>4.5</v>
      </c>
    </row>
    <row r="1773" customFormat="false" ht="15" hidden="false" customHeight="false" outlineLevel="0" collapsed="false">
      <c r="A1773" s="11" t="s">
        <v>2049</v>
      </c>
      <c r="B1773" s="11" t="n">
        <v>3</v>
      </c>
      <c r="C1773" s="11" t="s">
        <v>2342</v>
      </c>
      <c r="D1773" s="93" t="n">
        <v>3</v>
      </c>
      <c r="E1773" s="34" t="n">
        <v>3</v>
      </c>
    </row>
    <row r="1774" customFormat="false" ht="15" hidden="false" customHeight="false" outlineLevel="0" collapsed="false">
      <c r="A1774" s="11" t="s">
        <v>2049</v>
      </c>
      <c r="B1774" s="11" t="n">
        <v>4</v>
      </c>
      <c r="C1774" s="11" t="s">
        <v>2343</v>
      </c>
      <c r="D1774" s="93" t="n">
        <v>2.35397</v>
      </c>
      <c r="E1774" s="34" t="n">
        <v>2.3</v>
      </c>
    </row>
    <row r="1775" customFormat="false" ht="15" hidden="false" customHeight="false" outlineLevel="0" collapsed="false">
      <c r="A1775" s="11" t="s">
        <v>2050</v>
      </c>
      <c r="B1775" s="11" t="n">
        <v>1</v>
      </c>
      <c r="C1775" s="11" t="s">
        <v>2342</v>
      </c>
      <c r="D1775" s="93" t="n">
        <v>3</v>
      </c>
      <c r="E1775" s="34" t="n">
        <v>3</v>
      </c>
    </row>
    <row r="1776" customFormat="false" ht="15" hidden="false" customHeight="false" outlineLevel="0" collapsed="false">
      <c r="A1776" s="11" t="s">
        <v>2051</v>
      </c>
      <c r="B1776" s="11" t="n">
        <v>1</v>
      </c>
      <c r="C1776" s="11" t="s">
        <v>1094</v>
      </c>
      <c r="D1776" s="93" t="n">
        <v>-4.23</v>
      </c>
      <c r="E1776" s="34" t="n">
        <v>-4.2</v>
      </c>
    </row>
    <row r="1777" customFormat="false" ht="15" hidden="false" customHeight="false" outlineLevel="0" collapsed="false">
      <c r="A1777" s="11" t="s">
        <v>2051</v>
      </c>
      <c r="B1777" s="11" t="n">
        <v>2</v>
      </c>
      <c r="C1777" s="11" t="s">
        <v>1093</v>
      </c>
      <c r="D1777" s="93" t="n">
        <v>-4.23</v>
      </c>
      <c r="E1777" s="34" t="n">
        <v>-4.2</v>
      </c>
    </row>
    <row r="1778" customFormat="false" ht="15" hidden="false" customHeight="false" outlineLevel="0" collapsed="false">
      <c r="A1778" s="11" t="s">
        <v>2051</v>
      </c>
      <c r="B1778" s="11" t="n">
        <v>3</v>
      </c>
      <c r="C1778" s="11" t="s">
        <v>1095</v>
      </c>
      <c r="D1778" s="93" t="n">
        <v>-4.23</v>
      </c>
      <c r="E1778" s="34" t="n">
        <v>-4.2</v>
      </c>
    </row>
    <row r="1779" customFormat="false" ht="15" hidden="false" customHeight="false" outlineLevel="0" collapsed="false">
      <c r="A1779" s="11" t="s">
        <v>2051</v>
      </c>
      <c r="B1779" s="11" t="n">
        <v>4</v>
      </c>
      <c r="C1779" s="11" t="s">
        <v>2341</v>
      </c>
      <c r="D1779" s="93" t="n">
        <v>1.46</v>
      </c>
      <c r="E1779" s="34" t="n">
        <v>1.4</v>
      </c>
    </row>
    <row r="1780" customFormat="false" ht="15" hidden="false" customHeight="false" outlineLevel="0" collapsed="false">
      <c r="A1780" s="11" t="s">
        <v>2052</v>
      </c>
      <c r="B1780" s="11" t="n">
        <v>1</v>
      </c>
      <c r="C1780" s="11" t="s">
        <v>1084</v>
      </c>
      <c r="D1780" s="93" t="n">
        <v>5.14082</v>
      </c>
      <c r="E1780" s="34" t="n">
        <v>5.1</v>
      </c>
    </row>
    <row r="1781" customFormat="false" ht="15" hidden="false" customHeight="false" outlineLevel="0" collapsed="false">
      <c r="A1781" s="11" t="s">
        <v>2052</v>
      </c>
      <c r="B1781" s="11" t="n">
        <v>2</v>
      </c>
      <c r="C1781" s="11" t="s">
        <v>1086</v>
      </c>
      <c r="D1781" s="93" t="n">
        <v>1.06318</v>
      </c>
      <c r="E1781" s="34" t="n">
        <v>1.1</v>
      </c>
    </row>
    <row r="1782" customFormat="false" ht="15" hidden="false" customHeight="false" outlineLevel="0" collapsed="false">
      <c r="A1782" s="11" t="s">
        <v>2053</v>
      </c>
      <c r="B1782" s="11" t="n">
        <v>1</v>
      </c>
      <c r="C1782" s="11" t="s">
        <v>1094</v>
      </c>
      <c r="D1782" s="93" t="n">
        <v>-7.40326</v>
      </c>
      <c r="E1782" s="34" t="n">
        <v>-7.4</v>
      </c>
    </row>
    <row r="1783" customFormat="false" ht="15" hidden="false" customHeight="false" outlineLevel="0" collapsed="false">
      <c r="A1783" s="11" t="s">
        <v>2053</v>
      </c>
      <c r="B1783" s="11" t="n">
        <v>2</v>
      </c>
      <c r="C1783" s="11" t="s">
        <v>1087</v>
      </c>
      <c r="D1783" s="93" t="n">
        <v>2.1</v>
      </c>
      <c r="E1783" s="34" t="n">
        <v>2.1</v>
      </c>
    </row>
    <row r="1784" customFormat="false" ht="15" hidden="false" customHeight="false" outlineLevel="0" collapsed="false">
      <c r="A1784" s="11" t="s">
        <v>2053</v>
      </c>
      <c r="B1784" s="11" t="n">
        <v>3</v>
      </c>
      <c r="C1784" s="11" t="s">
        <v>1086</v>
      </c>
      <c r="D1784" s="93" t="n">
        <v>0.46416</v>
      </c>
      <c r="E1784" s="34" t="n">
        <v>0.5</v>
      </c>
    </row>
    <row r="1785" customFormat="false" ht="15" hidden="false" customHeight="false" outlineLevel="0" collapsed="false">
      <c r="A1785" s="11" t="s">
        <v>2054</v>
      </c>
      <c r="B1785" s="11" t="n">
        <v>1</v>
      </c>
      <c r="C1785" s="11" t="s">
        <v>2344</v>
      </c>
      <c r="D1785" s="93" t="n">
        <v>0.8</v>
      </c>
      <c r="E1785" s="34" t="n">
        <v>0.8</v>
      </c>
    </row>
    <row r="1786" customFormat="false" ht="15" hidden="false" customHeight="false" outlineLevel="0" collapsed="false">
      <c r="A1786" s="11" t="s">
        <v>2054</v>
      </c>
      <c r="B1786" s="11" t="n">
        <v>2</v>
      </c>
      <c r="C1786" s="11" t="s">
        <v>2453</v>
      </c>
      <c r="D1786" s="93" t="n">
        <v>-0.48</v>
      </c>
      <c r="E1786" s="34" t="n">
        <v>-0.5</v>
      </c>
    </row>
    <row r="1787" customFormat="false" ht="15" hidden="false" customHeight="false" outlineLevel="0" collapsed="false">
      <c r="A1787" s="11" t="s">
        <v>2055</v>
      </c>
      <c r="B1787" s="11" t="n">
        <v>1</v>
      </c>
      <c r="C1787" s="11" t="s">
        <v>2454</v>
      </c>
      <c r="D1787" s="93" t="n">
        <v>-0.66667</v>
      </c>
      <c r="E1787" s="34" t="n">
        <v>-0.7</v>
      </c>
    </row>
    <row r="1788" customFormat="false" ht="15" hidden="false" customHeight="false" outlineLevel="0" collapsed="false">
      <c r="A1788" s="11" t="s">
        <v>2056</v>
      </c>
      <c r="B1788" s="11" t="n">
        <v>1</v>
      </c>
      <c r="C1788" s="11" t="s">
        <v>2455</v>
      </c>
      <c r="D1788" s="93" t="n">
        <v>-1.25</v>
      </c>
      <c r="E1788" s="34" t="n">
        <v>-1.3</v>
      </c>
    </row>
    <row r="1789" customFormat="false" ht="15" hidden="false" customHeight="false" outlineLevel="0" collapsed="false">
      <c r="A1789" s="11" t="s">
        <v>2057</v>
      </c>
      <c r="B1789" s="11" t="n">
        <v>1</v>
      </c>
      <c r="C1789" s="11" t="s">
        <v>1086</v>
      </c>
      <c r="D1789" s="93" t="n">
        <v>0.588</v>
      </c>
      <c r="E1789" s="34" t="n">
        <v>0.6</v>
      </c>
    </row>
    <row r="1790" customFormat="false" ht="15" hidden="false" customHeight="false" outlineLevel="0" collapsed="false">
      <c r="A1790" s="11" t="s">
        <v>2058</v>
      </c>
      <c r="B1790" s="11" t="n">
        <v>1</v>
      </c>
      <c r="C1790" s="11" t="s">
        <v>1086</v>
      </c>
      <c r="D1790" s="93" t="n">
        <v>0.588</v>
      </c>
      <c r="E1790" s="34" t="n">
        <v>0.6</v>
      </c>
    </row>
    <row r="1791" customFormat="false" ht="15" hidden="false" customHeight="false" outlineLevel="0" collapsed="false">
      <c r="A1791" s="11" t="s">
        <v>2059</v>
      </c>
      <c r="B1791" s="11" t="n">
        <v>1</v>
      </c>
      <c r="C1791" s="11" t="s">
        <v>164</v>
      </c>
      <c r="D1791" s="93" t="n">
        <v>-8.46177</v>
      </c>
      <c r="E1791" s="34" t="n">
        <v>-8.5</v>
      </c>
    </row>
    <row r="1792" customFormat="false" ht="15" hidden="false" customHeight="false" outlineLevel="0" collapsed="false">
      <c r="A1792" s="11" t="s">
        <v>2059</v>
      </c>
      <c r="B1792" s="11" t="n">
        <v>2</v>
      </c>
      <c r="C1792" s="11" t="s">
        <v>165</v>
      </c>
      <c r="D1792" s="93" t="n">
        <v>0.588</v>
      </c>
      <c r="E1792" s="34" t="n">
        <v>0.6</v>
      </c>
    </row>
    <row r="1793" customFormat="false" ht="15" hidden="false" customHeight="false" outlineLevel="0" collapsed="false">
      <c r="A1793" s="11" t="s">
        <v>2060</v>
      </c>
      <c r="B1793" s="11" t="n">
        <v>1</v>
      </c>
      <c r="C1793" s="11" t="s">
        <v>91</v>
      </c>
      <c r="D1793" s="93" t="n">
        <v>-30</v>
      </c>
      <c r="E1793" s="34" t="n">
        <v>-30</v>
      </c>
    </row>
    <row r="1794" customFormat="false" ht="15" hidden="false" customHeight="false" outlineLevel="0" collapsed="false">
      <c r="A1794" s="11" t="s">
        <v>2060</v>
      </c>
      <c r="B1794" s="11" t="n">
        <v>2</v>
      </c>
      <c r="C1794" s="11" t="s">
        <v>166</v>
      </c>
      <c r="D1794" s="93" t="n">
        <v>7.87377</v>
      </c>
      <c r="E1794" s="34" t="n">
        <v>7.9</v>
      </c>
    </row>
    <row r="1795" customFormat="false" ht="15" hidden="false" customHeight="false" outlineLevel="0" collapsed="false">
      <c r="A1795" s="11" t="s">
        <v>2061</v>
      </c>
      <c r="B1795" s="11" t="n">
        <v>1</v>
      </c>
      <c r="C1795" s="11" t="s">
        <v>1083</v>
      </c>
      <c r="D1795" s="93" t="n">
        <v>-27.83282</v>
      </c>
      <c r="E1795" s="34" t="n">
        <v>-27.9</v>
      </c>
    </row>
    <row r="1796" customFormat="false" ht="15" hidden="false" customHeight="false" outlineLevel="0" collapsed="false">
      <c r="A1796" s="11" t="s">
        <v>2061</v>
      </c>
      <c r="B1796" s="11" t="n">
        <v>2</v>
      </c>
      <c r="C1796" s="11" t="s">
        <v>2351</v>
      </c>
      <c r="D1796" s="93" t="n">
        <v>6</v>
      </c>
      <c r="E1796" s="34" t="n">
        <v>6</v>
      </c>
    </row>
    <row r="1797" customFormat="false" ht="15" hidden="false" customHeight="false" outlineLevel="0" collapsed="false">
      <c r="A1797" s="11" t="s">
        <v>2061</v>
      </c>
      <c r="B1797" s="11" t="n">
        <v>3</v>
      </c>
      <c r="C1797" s="11" t="s">
        <v>1181</v>
      </c>
      <c r="D1797" s="93" t="n">
        <v>-5</v>
      </c>
      <c r="E1797" s="34" t="n">
        <v>-5</v>
      </c>
    </row>
    <row r="1798" customFormat="false" ht="15" hidden="false" customHeight="false" outlineLevel="0" collapsed="false">
      <c r="A1798" s="11" t="s">
        <v>2061</v>
      </c>
      <c r="B1798" s="11" t="n">
        <v>4</v>
      </c>
      <c r="C1798" s="11" t="s">
        <v>2416</v>
      </c>
      <c r="D1798" s="93" t="n">
        <v>-5.12108</v>
      </c>
      <c r="E1798" s="34" t="n">
        <v>-5.1</v>
      </c>
    </row>
    <row r="1799" customFormat="false" ht="15" hidden="false" customHeight="false" outlineLevel="0" collapsed="false">
      <c r="A1799" s="11" t="s">
        <v>2062</v>
      </c>
      <c r="B1799" s="11" t="n">
        <v>1</v>
      </c>
      <c r="C1799" s="11" t="s">
        <v>1094</v>
      </c>
      <c r="D1799" s="93" t="n">
        <v>-13.194</v>
      </c>
      <c r="E1799" s="34" t="n">
        <v>-13.2</v>
      </c>
    </row>
    <row r="1800" customFormat="false" ht="15" hidden="false" customHeight="false" outlineLevel="0" collapsed="false">
      <c r="A1800" s="11" t="s">
        <v>2062</v>
      </c>
      <c r="B1800" s="11" t="n">
        <v>2</v>
      </c>
      <c r="C1800" s="11" t="s">
        <v>1095</v>
      </c>
      <c r="D1800" s="93" t="n">
        <v>-13.194</v>
      </c>
      <c r="E1800" s="34" t="n">
        <v>-13.2</v>
      </c>
    </row>
    <row r="1801" customFormat="false" ht="15" hidden="false" customHeight="false" outlineLevel="0" collapsed="false">
      <c r="A1801" s="11" t="s">
        <v>2062</v>
      </c>
      <c r="B1801" s="11" t="n">
        <v>3</v>
      </c>
      <c r="C1801" s="11" t="s">
        <v>1085</v>
      </c>
      <c r="D1801" s="93" t="n">
        <v>-4.509</v>
      </c>
      <c r="E1801" s="34" t="n">
        <v>-4.5</v>
      </c>
    </row>
    <row r="1802" customFormat="false" ht="15" hidden="false" customHeight="false" outlineLevel="0" collapsed="false">
      <c r="A1802" s="11" t="s">
        <v>2062</v>
      </c>
      <c r="B1802" s="11" t="n">
        <v>4</v>
      </c>
      <c r="C1802" s="11" t="s">
        <v>109</v>
      </c>
      <c r="D1802" s="93" t="n">
        <v>7.017</v>
      </c>
      <c r="E1802" s="34" t="n">
        <v>7</v>
      </c>
    </row>
    <row r="1803" customFormat="false" ht="15" hidden="false" customHeight="false" outlineLevel="0" collapsed="false">
      <c r="A1803" s="11" t="s">
        <v>2063</v>
      </c>
      <c r="B1803" s="11" t="n">
        <v>1</v>
      </c>
      <c r="C1803" s="11" t="s">
        <v>1094</v>
      </c>
      <c r="D1803" s="93" t="n">
        <v>-3.17282</v>
      </c>
      <c r="E1803" s="34" t="n">
        <v>-3.2</v>
      </c>
    </row>
    <row r="1804" customFormat="false" ht="15" hidden="false" customHeight="false" outlineLevel="0" collapsed="false">
      <c r="A1804" s="11" t="s">
        <v>2063</v>
      </c>
      <c r="B1804" s="11" t="n">
        <v>2</v>
      </c>
      <c r="C1804" s="11" t="s">
        <v>1087</v>
      </c>
      <c r="D1804" s="93" t="n">
        <v>0.9</v>
      </c>
      <c r="E1804" s="34" t="n">
        <v>0.9</v>
      </c>
    </row>
    <row r="1805" customFormat="false" ht="15" hidden="false" customHeight="false" outlineLevel="0" collapsed="false">
      <c r="A1805" s="11" t="s">
        <v>2063</v>
      </c>
      <c r="B1805" s="11" t="n">
        <v>3</v>
      </c>
      <c r="C1805" s="11" t="s">
        <v>1086</v>
      </c>
      <c r="D1805" s="93" t="n">
        <v>0.19892</v>
      </c>
      <c r="E1805" s="34" t="n">
        <v>0.2</v>
      </c>
    </row>
    <row r="1806" customFormat="false" ht="15" hidden="false" customHeight="false" outlineLevel="0" collapsed="false">
      <c r="A1806" s="11" t="s">
        <v>2064</v>
      </c>
      <c r="B1806" s="11" t="n">
        <v>1</v>
      </c>
      <c r="C1806" s="11" t="s">
        <v>1181</v>
      </c>
      <c r="D1806" s="93" t="n">
        <v>-5</v>
      </c>
      <c r="E1806" s="34" t="n">
        <v>-5</v>
      </c>
    </row>
    <row r="1807" customFormat="false" ht="15" hidden="false" customHeight="false" outlineLevel="0" collapsed="false">
      <c r="A1807" s="11" t="s">
        <v>2064</v>
      </c>
      <c r="B1807" s="11" t="n">
        <v>2</v>
      </c>
      <c r="C1807" s="11" t="s">
        <v>1198</v>
      </c>
      <c r="D1807" s="93" t="n">
        <v>-5</v>
      </c>
      <c r="E1807" s="34" t="n">
        <v>-5</v>
      </c>
    </row>
    <row r="1808" customFormat="false" ht="15" hidden="false" customHeight="false" outlineLevel="0" collapsed="false">
      <c r="A1808" s="11" t="s">
        <v>2065</v>
      </c>
      <c r="B1808" s="11" t="n">
        <v>1</v>
      </c>
      <c r="C1808" s="11" t="s">
        <v>2456</v>
      </c>
      <c r="D1808" s="93" t="n">
        <v>-2</v>
      </c>
      <c r="E1808" s="34" t="n">
        <v>-2</v>
      </c>
    </row>
    <row r="1809" customFormat="false" ht="15" hidden="false" customHeight="false" outlineLevel="0" collapsed="false">
      <c r="A1809" s="11" t="s">
        <v>2066</v>
      </c>
      <c r="B1809" s="11" t="n">
        <v>1</v>
      </c>
      <c r="C1809" s="11" t="s">
        <v>2351</v>
      </c>
      <c r="D1809" s="93" t="n">
        <v>6</v>
      </c>
      <c r="E1809" s="34" t="n">
        <v>6</v>
      </c>
    </row>
    <row r="1810" customFormat="false" ht="15" hidden="false" customHeight="false" outlineLevel="0" collapsed="false">
      <c r="A1810" s="11" t="s">
        <v>2067</v>
      </c>
      <c r="B1810" s="11" t="n">
        <v>1</v>
      </c>
      <c r="C1810" s="11" t="s">
        <v>168</v>
      </c>
      <c r="D1810" s="93" t="n">
        <v>31.9539</v>
      </c>
      <c r="E1810" s="34" t="n">
        <v>31.9</v>
      </c>
    </row>
    <row r="1811" customFormat="false" ht="15" hidden="false" customHeight="false" outlineLevel="0" collapsed="false">
      <c r="A1811" s="11" t="s">
        <v>2067</v>
      </c>
      <c r="B1811" s="11" t="n">
        <v>2</v>
      </c>
      <c r="C1811" s="11" t="s">
        <v>91</v>
      </c>
      <c r="D1811" s="93" t="n">
        <v>-30</v>
      </c>
      <c r="E1811" s="34" t="n">
        <v>-30</v>
      </c>
    </row>
    <row r="1812" customFormat="false" ht="15" hidden="false" customHeight="false" outlineLevel="0" collapsed="false">
      <c r="A1812" s="11" t="s">
        <v>2067</v>
      </c>
      <c r="B1812" s="11" t="n">
        <v>3</v>
      </c>
      <c r="C1812" s="11" t="s">
        <v>166</v>
      </c>
      <c r="D1812" s="93" t="n">
        <v>7.87377</v>
      </c>
      <c r="E1812" s="34" t="n">
        <v>7.9</v>
      </c>
    </row>
    <row r="1813" customFormat="false" ht="15" hidden="false" customHeight="false" outlineLevel="0" collapsed="false">
      <c r="A1813" s="11" t="s">
        <v>2068</v>
      </c>
      <c r="B1813" s="11" t="n">
        <v>1</v>
      </c>
      <c r="C1813" s="11" t="s">
        <v>2455</v>
      </c>
      <c r="D1813" s="93" t="n">
        <v>-1.25</v>
      </c>
      <c r="E1813" s="34" t="n">
        <v>-1.2</v>
      </c>
    </row>
    <row r="1814" customFormat="false" ht="15" hidden="false" customHeight="false" outlineLevel="0" collapsed="false">
      <c r="A1814" s="11" t="s">
        <v>2068</v>
      </c>
      <c r="B1814" s="11" t="n">
        <v>2</v>
      </c>
      <c r="C1814" s="11" t="s">
        <v>2453</v>
      </c>
      <c r="D1814" s="93" t="n">
        <v>-0.75</v>
      </c>
      <c r="E1814" s="34" t="n">
        <v>-0.8</v>
      </c>
    </row>
    <row r="1815" customFormat="false" ht="15" hidden="false" customHeight="false" outlineLevel="0" collapsed="false">
      <c r="A1815" s="11" t="s">
        <v>2068</v>
      </c>
      <c r="B1815" s="11" t="n">
        <v>3</v>
      </c>
      <c r="C1815" s="11" t="s">
        <v>2454</v>
      </c>
      <c r="D1815" s="93" t="n">
        <v>-0.33333</v>
      </c>
      <c r="E1815" s="34" t="n">
        <v>-0.3</v>
      </c>
    </row>
    <row r="1816" customFormat="false" ht="15" hidden="false" customHeight="false" outlineLevel="0" collapsed="false">
      <c r="A1816" s="11" t="s">
        <v>2069</v>
      </c>
      <c r="B1816" s="11" t="n">
        <v>1</v>
      </c>
      <c r="C1816" s="11" t="s">
        <v>2453</v>
      </c>
      <c r="D1816" s="93" t="n">
        <v>-0.75</v>
      </c>
      <c r="E1816" s="34" t="n">
        <v>-0.8</v>
      </c>
    </row>
    <row r="1817" customFormat="false" ht="15" hidden="false" customHeight="false" outlineLevel="0" collapsed="false">
      <c r="A1817" s="11" t="s">
        <v>2070</v>
      </c>
      <c r="B1817" s="11" t="n">
        <v>1</v>
      </c>
      <c r="C1817" s="11" t="s">
        <v>2454</v>
      </c>
      <c r="D1817" s="93" t="n">
        <v>-0.33333</v>
      </c>
      <c r="E1817" s="34" t="n">
        <v>-0.3</v>
      </c>
    </row>
    <row r="1818" customFormat="false" ht="15" hidden="false" customHeight="false" outlineLevel="0" collapsed="false">
      <c r="A1818" s="11" t="s">
        <v>2071</v>
      </c>
      <c r="B1818" s="11" t="n">
        <v>1</v>
      </c>
      <c r="C1818" s="11" t="s">
        <v>2455</v>
      </c>
      <c r="D1818" s="93" t="n">
        <v>-1.25</v>
      </c>
      <c r="E1818" s="34" t="n">
        <v>-1.3</v>
      </c>
    </row>
    <row r="1819" customFormat="false" ht="15" hidden="false" customHeight="false" outlineLevel="0" collapsed="false">
      <c r="A1819" s="11" t="s">
        <v>2072</v>
      </c>
      <c r="B1819" s="11" t="n">
        <v>1</v>
      </c>
      <c r="C1819" s="11" t="s">
        <v>1083</v>
      </c>
      <c r="D1819" s="93" t="n">
        <v>-32.6025</v>
      </c>
      <c r="E1819" s="34" t="n">
        <v>-32.6</v>
      </c>
    </row>
    <row r="1820" customFormat="false" ht="15" hidden="false" customHeight="false" outlineLevel="0" collapsed="false">
      <c r="A1820" s="11" t="s">
        <v>2072</v>
      </c>
      <c r="B1820" s="11" t="n">
        <v>2</v>
      </c>
      <c r="C1820" s="11" t="s">
        <v>1084</v>
      </c>
      <c r="D1820" s="93" t="n">
        <v>-2.0574</v>
      </c>
      <c r="E1820" s="34" t="n">
        <v>-2</v>
      </c>
    </row>
    <row r="1821" customFormat="false" ht="15" hidden="false" customHeight="false" outlineLevel="0" collapsed="false">
      <c r="A1821" s="11" t="s">
        <v>2072</v>
      </c>
      <c r="B1821" s="11" t="n">
        <v>3</v>
      </c>
      <c r="C1821" s="11" t="s">
        <v>2455</v>
      </c>
      <c r="D1821" s="93" t="n">
        <v>-1.875</v>
      </c>
      <c r="E1821" s="34" t="n">
        <v>-1.9</v>
      </c>
    </row>
    <row r="1822" customFormat="false" ht="15" hidden="false" customHeight="false" outlineLevel="0" collapsed="false">
      <c r="A1822" s="11" t="s">
        <v>2072</v>
      </c>
      <c r="B1822" s="11" t="n">
        <v>4</v>
      </c>
      <c r="C1822" s="11" t="s">
        <v>2348</v>
      </c>
      <c r="D1822" s="93" t="n">
        <v>-0.26677</v>
      </c>
      <c r="E1822" s="34" t="n">
        <v>-0.3</v>
      </c>
    </row>
    <row r="1823" customFormat="false" ht="15" hidden="false" customHeight="false" outlineLevel="0" collapsed="false">
      <c r="A1823" s="11" t="s">
        <v>2073</v>
      </c>
      <c r="B1823" s="11" t="n">
        <v>1</v>
      </c>
      <c r="C1823" s="11" t="s">
        <v>1094</v>
      </c>
      <c r="D1823" s="93" t="n">
        <v>-12.69</v>
      </c>
      <c r="E1823" s="34" t="n">
        <v>-12.7</v>
      </c>
    </row>
    <row r="1824" customFormat="false" ht="15" hidden="false" customHeight="false" outlineLevel="0" collapsed="false">
      <c r="A1824" s="11" t="s">
        <v>2073</v>
      </c>
      <c r="B1824" s="11" t="n">
        <v>2</v>
      </c>
      <c r="C1824" s="11" t="s">
        <v>1093</v>
      </c>
      <c r="D1824" s="93" t="n">
        <v>-12.69</v>
      </c>
      <c r="E1824" s="34" t="n">
        <v>-12.7</v>
      </c>
    </row>
    <row r="1825" customFormat="false" ht="15" hidden="false" customHeight="false" outlineLevel="0" collapsed="false">
      <c r="A1825" s="11" t="s">
        <v>2073</v>
      </c>
      <c r="B1825" s="11" t="n">
        <v>3</v>
      </c>
      <c r="C1825" s="11" t="s">
        <v>1095</v>
      </c>
      <c r="D1825" s="93" t="n">
        <v>-12.69</v>
      </c>
      <c r="E1825" s="34" t="n">
        <v>-12.7</v>
      </c>
    </row>
    <row r="1826" customFormat="false" ht="15" hidden="false" customHeight="false" outlineLevel="0" collapsed="false">
      <c r="A1826" s="11" t="s">
        <v>2073</v>
      </c>
      <c r="B1826" s="11" t="n">
        <v>4</v>
      </c>
      <c r="C1826" s="11" t="s">
        <v>2341</v>
      </c>
      <c r="D1826" s="93" t="n">
        <v>4.38</v>
      </c>
      <c r="E1826" s="34" t="n">
        <v>4.4</v>
      </c>
    </row>
    <row r="1827" customFormat="false" ht="15" hidden="false" customHeight="false" outlineLevel="0" collapsed="false">
      <c r="A1827" s="11" t="s">
        <v>2074</v>
      </c>
      <c r="B1827" s="11" t="n">
        <v>1</v>
      </c>
      <c r="C1827" s="11" t="s">
        <v>2349</v>
      </c>
      <c r="D1827" s="93" t="n">
        <v>1</v>
      </c>
      <c r="E1827" s="34" t="n">
        <v>1</v>
      </c>
    </row>
    <row r="1828" customFormat="false" ht="15" hidden="false" customHeight="false" outlineLevel="0" collapsed="false">
      <c r="A1828" s="11" t="s">
        <v>2075</v>
      </c>
      <c r="B1828" s="11" t="n">
        <v>1</v>
      </c>
      <c r="C1828" s="11" t="s">
        <v>2344</v>
      </c>
      <c r="D1828" s="93" t="n">
        <v>-0.8</v>
      </c>
      <c r="E1828" s="34" t="n">
        <v>-0.8</v>
      </c>
    </row>
    <row r="1829" customFormat="false" ht="15" hidden="false" customHeight="false" outlineLevel="0" collapsed="false">
      <c r="A1829" s="11" t="s">
        <v>2075</v>
      </c>
      <c r="B1829" s="11" t="n">
        <v>2</v>
      </c>
      <c r="C1829" s="11" t="s">
        <v>2453</v>
      </c>
      <c r="D1829" s="93" t="n">
        <v>-0.77</v>
      </c>
      <c r="E1829" s="34" t="n">
        <v>-0.8</v>
      </c>
    </row>
    <row r="1830" customFormat="false" ht="15" hidden="false" customHeight="false" outlineLevel="0" collapsed="false">
      <c r="A1830" s="11" t="s">
        <v>2076</v>
      </c>
      <c r="B1830" s="11" t="n">
        <v>1</v>
      </c>
      <c r="C1830" s="11" t="s">
        <v>2454</v>
      </c>
      <c r="D1830" s="93" t="n">
        <v>-0.66667</v>
      </c>
      <c r="E1830" s="34" t="n">
        <v>-0.7</v>
      </c>
    </row>
    <row r="1831" customFormat="false" ht="15" hidden="false" customHeight="false" outlineLevel="0" collapsed="false">
      <c r="A1831" s="11" t="s">
        <v>2077</v>
      </c>
      <c r="B1831" s="11" t="n">
        <v>1</v>
      </c>
      <c r="C1831" s="11" t="s">
        <v>2455</v>
      </c>
      <c r="D1831" s="93" t="n">
        <v>-1.875</v>
      </c>
      <c r="E1831" s="34" t="n">
        <v>-1.9</v>
      </c>
    </row>
    <row r="1832" customFormat="false" ht="15" hidden="false" customHeight="false" outlineLevel="0" collapsed="false">
      <c r="A1832" s="11" t="s">
        <v>2078</v>
      </c>
      <c r="B1832" s="11" t="n">
        <v>1</v>
      </c>
      <c r="C1832" s="11" t="s">
        <v>1190</v>
      </c>
      <c r="D1832" s="93" t="n">
        <v>5</v>
      </c>
      <c r="E1832" s="34" t="n">
        <v>5</v>
      </c>
    </row>
    <row r="1833" customFormat="false" ht="15" hidden="false" customHeight="false" outlineLevel="0" collapsed="false">
      <c r="A1833" s="11" t="s">
        <v>2078</v>
      </c>
      <c r="B1833" s="11" t="n">
        <v>2</v>
      </c>
      <c r="C1833" s="11" t="s">
        <v>2355</v>
      </c>
      <c r="D1833" s="93" t="n">
        <v>3</v>
      </c>
      <c r="E1833" s="34" t="n">
        <v>3</v>
      </c>
    </row>
    <row r="1834" customFormat="false" ht="15" hidden="false" customHeight="false" outlineLevel="0" collapsed="false">
      <c r="A1834" s="11" t="s">
        <v>2078</v>
      </c>
      <c r="B1834" s="11" t="n">
        <v>3</v>
      </c>
      <c r="C1834" s="11" t="s">
        <v>2457</v>
      </c>
      <c r="D1834" s="93" t="n">
        <v>-3</v>
      </c>
      <c r="E1834" s="34" t="n">
        <v>-3</v>
      </c>
    </row>
    <row r="1835" customFormat="false" ht="15" hidden="false" customHeight="false" outlineLevel="0" collapsed="false">
      <c r="A1835" s="11" t="s">
        <v>2078</v>
      </c>
      <c r="B1835" s="11" t="n">
        <v>4</v>
      </c>
      <c r="C1835" s="11" t="s">
        <v>2356</v>
      </c>
      <c r="D1835" s="93" t="n">
        <v>-0.95833</v>
      </c>
      <c r="E1835" s="34" t="n">
        <v>-1</v>
      </c>
    </row>
    <row r="1836" customFormat="false" ht="15" hidden="false" customHeight="false" outlineLevel="0" collapsed="false">
      <c r="A1836" s="11" t="s">
        <v>2079</v>
      </c>
      <c r="B1836" s="11" t="n">
        <v>1</v>
      </c>
      <c r="C1836" s="11" t="s">
        <v>1190</v>
      </c>
      <c r="D1836" s="93" t="n">
        <v>5</v>
      </c>
      <c r="E1836" s="34" t="n">
        <v>5</v>
      </c>
    </row>
    <row r="1837" customFormat="false" ht="15" hidden="false" customHeight="false" outlineLevel="0" collapsed="false">
      <c r="A1837" s="11" t="s">
        <v>2079</v>
      </c>
      <c r="B1837" s="11" t="n">
        <v>2</v>
      </c>
      <c r="C1837" s="11" t="s">
        <v>2355</v>
      </c>
      <c r="D1837" s="93" t="n">
        <v>3</v>
      </c>
      <c r="E1837" s="34" t="n">
        <v>3</v>
      </c>
    </row>
    <row r="1838" customFormat="false" ht="15" hidden="false" customHeight="false" outlineLevel="0" collapsed="false">
      <c r="A1838" s="11" t="s">
        <v>2079</v>
      </c>
      <c r="B1838" s="11" t="n">
        <v>3</v>
      </c>
      <c r="C1838" s="11" t="s">
        <v>2457</v>
      </c>
      <c r="D1838" s="93" t="n">
        <v>-3</v>
      </c>
      <c r="E1838" s="34" t="n">
        <v>-3</v>
      </c>
    </row>
    <row r="1839" customFormat="false" ht="15" hidden="false" customHeight="false" outlineLevel="0" collapsed="false">
      <c r="A1839" s="11" t="s">
        <v>2079</v>
      </c>
      <c r="B1839" s="11" t="n">
        <v>4</v>
      </c>
      <c r="C1839" s="11" t="s">
        <v>102</v>
      </c>
      <c r="D1839" s="93" t="n">
        <v>0</v>
      </c>
      <c r="E1839" s="34" t="n">
        <v>0</v>
      </c>
    </row>
    <row r="1840" customFormat="false" ht="15" hidden="false" customHeight="false" outlineLevel="0" collapsed="false">
      <c r="A1840" s="11" t="s">
        <v>2080</v>
      </c>
      <c r="B1840" s="11" t="n">
        <v>1</v>
      </c>
      <c r="C1840" s="11" t="s">
        <v>2454</v>
      </c>
      <c r="D1840" s="93" t="n">
        <v>-0.33333</v>
      </c>
      <c r="E1840" s="34" t="n">
        <v>-0.3</v>
      </c>
    </row>
    <row r="1841" customFormat="false" ht="15" hidden="false" customHeight="false" outlineLevel="0" collapsed="false">
      <c r="A1841" s="11" t="s">
        <v>2081</v>
      </c>
      <c r="B1841" s="11" t="n">
        <v>1</v>
      </c>
      <c r="C1841" s="11" t="s">
        <v>2455</v>
      </c>
      <c r="D1841" s="93" t="n">
        <v>-0.625</v>
      </c>
      <c r="E1841" s="34" t="n">
        <v>-0.6</v>
      </c>
    </row>
    <row r="1842" customFormat="false" ht="15" hidden="false" customHeight="false" outlineLevel="0" collapsed="false">
      <c r="A1842" s="11" t="s">
        <v>2082</v>
      </c>
      <c r="B1842" s="11" t="n">
        <v>1</v>
      </c>
      <c r="C1842" s="11" t="s">
        <v>157</v>
      </c>
      <c r="D1842" s="93" t="n">
        <v>-36.80167</v>
      </c>
      <c r="E1842" s="34" t="n">
        <v>-36.8</v>
      </c>
    </row>
    <row r="1843" customFormat="false" ht="15" hidden="false" customHeight="false" outlineLevel="0" collapsed="false">
      <c r="A1843" s="11" t="s">
        <v>2082</v>
      </c>
      <c r="B1843" s="11" t="n">
        <v>2</v>
      </c>
      <c r="C1843" s="11" t="s">
        <v>159</v>
      </c>
      <c r="D1843" s="93" t="n">
        <v>4.04167</v>
      </c>
      <c r="E1843" s="34" t="n">
        <v>4</v>
      </c>
    </row>
    <row r="1844" customFormat="false" ht="15" hidden="false" customHeight="false" outlineLevel="0" collapsed="false">
      <c r="A1844" s="11" t="s">
        <v>2082</v>
      </c>
      <c r="B1844" s="11" t="n">
        <v>3</v>
      </c>
      <c r="C1844" s="11" t="s">
        <v>170</v>
      </c>
      <c r="D1844" s="93" t="n">
        <v>-2.33333</v>
      </c>
      <c r="E1844" s="34" t="n">
        <v>-2.3</v>
      </c>
    </row>
    <row r="1845" customFormat="false" ht="15" hidden="false" customHeight="false" outlineLevel="0" collapsed="false">
      <c r="A1845" s="11" t="s">
        <v>2083</v>
      </c>
      <c r="B1845" s="11" t="n">
        <v>1</v>
      </c>
      <c r="C1845" s="11" t="s">
        <v>171</v>
      </c>
      <c r="D1845" s="93" t="n">
        <v>35.09333</v>
      </c>
      <c r="E1845" s="34" t="n">
        <v>35.1</v>
      </c>
    </row>
    <row r="1846" customFormat="false" ht="15" hidden="false" customHeight="false" outlineLevel="0" collapsed="false">
      <c r="A1846" s="11" t="s">
        <v>2083</v>
      </c>
      <c r="B1846" s="11" t="n">
        <v>2</v>
      </c>
      <c r="C1846" s="11" t="s">
        <v>168</v>
      </c>
      <c r="D1846" s="93" t="n">
        <v>31.9539</v>
      </c>
      <c r="E1846" s="34" t="n">
        <v>31.9</v>
      </c>
    </row>
    <row r="1847" customFormat="false" ht="15" hidden="false" customHeight="false" outlineLevel="0" collapsed="false">
      <c r="A1847" s="11" t="s">
        <v>2083</v>
      </c>
      <c r="B1847" s="11" t="n">
        <v>3</v>
      </c>
      <c r="C1847" s="11" t="s">
        <v>91</v>
      </c>
      <c r="D1847" s="93" t="n">
        <v>-30</v>
      </c>
      <c r="E1847" s="34" t="n">
        <v>-30</v>
      </c>
    </row>
    <row r="1848" customFormat="false" ht="15" hidden="false" customHeight="false" outlineLevel="0" collapsed="false">
      <c r="A1848" s="11" t="s">
        <v>2083</v>
      </c>
      <c r="B1848" s="11" t="n">
        <v>4</v>
      </c>
      <c r="C1848" s="11" t="s">
        <v>127</v>
      </c>
      <c r="D1848" s="93" t="n">
        <v>7.87377</v>
      </c>
      <c r="E1848" s="34" t="n">
        <v>7.9</v>
      </c>
    </row>
    <row r="1849" customFormat="false" ht="15" hidden="false" customHeight="false" outlineLevel="0" collapsed="false">
      <c r="A1849" s="11" t="s">
        <v>2084</v>
      </c>
      <c r="B1849" s="11" t="n">
        <v>1</v>
      </c>
      <c r="C1849" s="11" t="s">
        <v>2458</v>
      </c>
      <c r="D1849" s="93" t="n">
        <v>2</v>
      </c>
      <c r="E1849" s="34" t="n">
        <v>2</v>
      </c>
    </row>
    <row r="1850" customFormat="false" ht="15" hidden="false" customHeight="false" outlineLevel="0" collapsed="false">
      <c r="A1850" s="11" t="s">
        <v>2086</v>
      </c>
      <c r="B1850" s="11" t="n">
        <v>1</v>
      </c>
      <c r="C1850" s="11" t="s">
        <v>2459</v>
      </c>
      <c r="D1850" s="93" t="n">
        <v>-5</v>
      </c>
      <c r="E1850" s="34" t="n">
        <v>-5</v>
      </c>
    </row>
    <row r="1851" customFormat="false" ht="15" hidden="false" customHeight="false" outlineLevel="0" collapsed="false">
      <c r="A1851" s="11" t="s">
        <v>2087</v>
      </c>
      <c r="B1851" s="11" t="n">
        <v>1</v>
      </c>
      <c r="C1851" s="11" t="s">
        <v>171</v>
      </c>
      <c r="D1851" s="93" t="n">
        <v>35.09333</v>
      </c>
      <c r="E1851" s="34" t="n">
        <v>35.1</v>
      </c>
    </row>
    <row r="1852" customFormat="false" ht="15" hidden="false" customHeight="false" outlineLevel="0" collapsed="false">
      <c r="A1852" s="11" t="s">
        <v>2087</v>
      </c>
      <c r="B1852" s="11" t="n">
        <v>2</v>
      </c>
      <c r="C1852" s="11" t="s">
        <v>168</v>
      </c>
      <c r="D1852" s="93" t="n">
        <v>31.9539</v>
      </c>
      <c r="E1852" s="34" t="n">
        <v>31.9</v>
      </c>
    </row>
    <row r="1853" customFormat="false" ht="15" hidden="false" customHeight="false" outlineLevel="0" collapsed="false">
      <c r="A1853" s="11" t="s">
        <v>2087</v>
      </c>
      <c r="B1853" s="11" t="n">
        <v>3</v>
      </c>
      <c r="C1853" s="11" t="s">
        <v>91</v>
      </c>
      <c r="D1853" s="93" t="n">
        <v>-30</v>
      </c>
      <c r="E1853" s="34" t="n">
        <v>-30</v>
      </c>
    </row>
    <row r="1854" customFormat="false" ht="15" hidden="false" customHeight="false" outlineLevel="0" collapsed="false">
      <c r="A1854" s="11" t="s">
        <v>2087</v>
      </c>
      <c r="B1854" s="11" t="n">
        <v>4</v>
      </c>
      <c r="C1854" s="11" t="s">
        <v>109</v>
      </c>
      <c r="D1854" s="93" t="n">
        <v>14.87377</v>
      </c>
      <c r="E1854" s="34" t="n">
        <v>14.9</v>
      </c>
    </row>
    <row r="1855" customFormat="false" ht="15" hidden="false" customHeight="false" outlineLevel="0" collapsed="false">
      <c r="A1855" s="11" t="s">
        <v>2088</v>
      </c>
      <c r="B1855" s="11" t="n">
        <v>1</v>
      </c>
      <c r="C1855" s="11" t="s">
        <v>2449</v>
      </c>
      <c r="D1855" s="93" t="n">
        <v>-83.925</v>
      </c>
      <c r="E1855" s="34" t="n">
        <v>-83.9</v>
      </c>
    </row>
    <row r="1856" customFormat="false" ht="15" hidden="false" customHeight="false" outlineLevel="0" collapsed="false">
      <c r="A1856" s="11" t="s">
        <v>2088</v>
      </c>
      <c r="B1856" s="11" t="n">
        <v>2</v>
      </c>
      <c r="C1856" s="11" t="s">
        <v>2450</v>
      </c>
      <c r="D1856" s="93" t="n">
        <v>22.418</v>
      </c>
      <c r="E1856" s="34" t="n">
        <v>22.4</v>
      </c>
    </row>
    <row r="1857" customFormat="false" ht="15" hidden="false" customHeight="false" outlineLevel="0" collapsed="false">
      <c r="A1857" s="11" t="s">
        <v>2088</v>
      </c>
      <c r="B1857" s="11" t="n">
        <v>3</v>
      </c>
      <c r="C1857" s="11" t="s">
        <v>2452</v>
      </c>
      <c r="D1857" s="93" t="n">
        <v>20</v>
      </c>
      <c r="E1857" s="34" t="n">
        <v>20</v>
      </c>
    </row>
    <row r="1858" customFormat="false" ht="15" hidden="false" customHeight="false" outlineLevel="0" collapsed="false">
      <c r="A1858" s="11" t="s">
        <v>2088</v>
      </c>
      <c r="B1858" s="11" t="n">
        <v>4</v>
      </c>
      <c r="C1858" s="11" t="s">
        <v>127</v>
      </c>
      <c r="D1858" s="93" t="n">
        <v>11.507</v>
      </c>
      <c r="E1858" s="34" t="n">
        <v>11.5</v>
      </c>
    </row>
    <row r="1859" customFormat="false" ht="15" hidden="false" customHeight="false" outlineLevel="0" collapsed="false">
      <c r="A1859" s="11" t="s">
        <v>2089</v>
      </c>
      <c r="B1859" s="11" t="n">
        <v>1</v>
      </c>
      <c r="C1859" s="11" t="s">
        <v>2449</v>
      </c>
      <c r="D1859" s="93" t="n">
        <v>-83.925</v>
      </c>
      <c r="E1859" s="34" t="n">
        <v>-83.9</v>
      </c>
    </row>
    <row r="1860" customFormat="false" ht="15" hidden="false" customHeight="false" outlineLevel="0" collapsed="false">
      <c r="A1860" s="11" t="s">
        <v>2089</v>
      </c>
      <c r="B1860" s="11" t="n">
        <v>2</v>
      </c>
      <c r="C1860" s="11" t="s">
        <v>2450</v>
      </c>
      <c r="D1860" s="93" t="n">
        <v>22.418</v>
      </c>
      <c r="E1860" s="34" t="n">
        <v>22.4</v>
      </c>
    </row>
    <row r="1861" customFormat="false" ht="15" hidden="false" customHeight="false" outlineLevel="0" collapsed="false">
      <c r="A1861" s="11" t="s">
        <v>2089</v>
      </c>
      <c r="B1861" s="11" t="n">
        <v>3</v>
      </c>
      <c r="C1861" s="11" t="s">
        <v>2451</v>
      </c>
      <c r="D1861" s="93" t="n">
        <v>11.507</v>
      </c>
      <c r="E1861" s="34" t="n">
        <v>11.5</v>
      </c>
    </row>
    <row r="1862" customFormat="false" ht="15" hidden="false" customHeight="false" outlineLevel="0" collapsed="false">
      <c r="A1862" s="11" t="s">
        <v>2090</v>
      </c>
      <c r="B1862" s="11" t="n">
        <v>1</v>
      </c>
      <c r="C1862" s="11" t="s">
        <v>2452</v>
      </c>
      <c r="D1862" s="93" t="n">
        <v>20</v>
      </c>
      <c r="E1862" s="34" t="n">
        <v>20</v>
      </c>
    </row>
    <row r="1863" customFormat="false" ht="15" hidden="false" customHeight="false" outlineLevel="0" collapsed="false">
      <c r="A1863" s="11" t="s">
        <v>2091</v>
      </c>
      <c r="B1863" s="11" t="n">
        <v>1</v>
      </c>
      <c r="C1863" s="11" t="s">
        <v>1083</v>
      </c>
      <c r="D1863" s="93" t="n">
        <v>-78.70608</v>
      </c>
      <c r="E1863" s="34" t="n">
        <v>-78.7</v>
      </c>
    </row>
    <row r="1864" customFormat="false" ht="15" hidden="false" customHeight="false" outlineLevel="0" collapsed="false">
      <c r="A1864" s="11" t="s">
        <v>2091</v>
      </c>
      <c r="B1864" s="11" t="n">
        <v>2</v>
      </c>
      <c r="C1864" s="11" t="s">
        <v>1085</v>
      </c>
      <c r="D1864" s="93" t="n">
        <v>-6.6042</v>
      </c>
      <c r="E1864" s="34" t="n">
        <v>-6.6</v>
      </c>
    </row>
    <row r="1865" customFormat="false" ht="15" hidden="false" customHeight="false" outlineLevel="0" collapsed="false">
      <c r="A1865" s="11" t="s">
        <v>2091</v>
      </c>
      <c r="B1865" s="11" t="n">
        <v>3</v>
      </c>
      <c r="C1865" s="11" t="s">
        <v>1084</v>
      </c>
      <c r="D1865" s="93" t="n">
        <v>6.55562</v>
      </c>
      <c r="E1865" s="34" t="n">
        <v>6.6</v>
      </c>
    </row>
    <row r="1866" customFormat="false" ht="15" hidden="false" customHeight="false" outlineLevel="0" collapsed="false">
      <c r="A1866" s="11" t="s">
        <v>2091</v>
      </c>
      <c r="B1866" s="11" t="n">
        <v>4</v>
      </c>
      <c r="C1866" s="11" t="s">
        <v>109</v>
      </c>
      <c r="D1866" s="93" t="n">
        <v>9.83366</v>
      </c>
      <c r="E1866" s="34" t="n">
        <v>9.8</v>
      </c>
    </row>
    <row r="1867" customFormat="false" ht="15" hidden="false" customHeight="false" outlineLevel="0" collapsed="false">
      <c r="A1867" s="11" t="s">
        <v>2092</v>
      </c>
      <c r="B1867" s="11" t="n">
        <v>1</v>
      </c>
      <c r="C1867" s="11" t="s">
        <v>1094</v>
      </c>
      <c r="D1867" s="93" t="n">
        <v>-16.92</v>
      </c>
      <c r="E1867" s="34" t="n">
        <v>-16.9</v>
      </c>
    </row>
    <row r="1868" customFormat="false" ht="15" hidden="false" customHeight="false" outlineLevel="0" collapsed="false">
      <c r="A1868" s="11" t="s">
        <v>2092</v>
      </c>
      <c r="B1868" s="11" t="n">
        <v>2</v>
      </c>
      <c r="C1868" s="11" t="s">
        <v>1093</v>
      </c>
      <c r="D1868" s="93" t="n">
        <v>-16.92</v>
      </c>
      <c r="E1868" s="34" t="n">
        <v>-16.9</v>
      </c>
    </row>
    <row r="1869" customFormat="false" ht="15" hidden="false" customHeight="false" outlineLevel="0" collapsed="false">
      <c r="A1869" s="11" t="s">
        <v>2092</v>
      </c>
      <c r="B1869" s="11" t="n">
        <v>3</v>
      </c>
      <c r="C1869" s="11" t="s">
        <v>1095</v>
      </c>
      <c r="D1869" s="93" t="n">
        <v>-16.92</v>
      </c>
      <c r="E1869" s="34" t="n">
        <v>-16.9</v>
      </c>
    </row>
    <row r="1870" customFormat="false" ht="15" hidden="false" customHeight="false" outlineLevel="0" collapsed="false">
      <c r="A1870" s="11" t="s">
        <v>2092</v>
      </c>
      <c r="B1870" s="11" t="n">
        <v>4</v>
      </c>
      <c r="C1870" s="11" t="s">
        <v>2341</v>
      </c>
      <c r="D1870" s="93" t="n">
        <v>5.84</v>
      </c>
      <c r="E1870" s="34" t="n">
        <v>5.8</v>
      </c>
    </row>
    <row r="1871" customFormat="false" ht="15" hidden="false" customHeight="false" outlineLevel="0" collapsed="false">
      <c r="A1871" s="11" t="s">
        <v>2093</v>
      </c>
      <c r="B1871" s="11" t="n">
        <v>1</v>
      </c>
      <c r="C1871" s="11" t="s">
        <v>1094</v>
      </c>
      <c r="D1871" s="93" t="n">
        <v>-10.57608</v>
      </c>
      <c r="E1871" s="34" t="n">
        <v>-10.6</v>
      </c>
    </row>
    <row r="1872" customFormat="false" ht="15" hidden="false" customHeight="false" outlineLevel="0" collapsed="false">
      <c r="A1872" s="11" t="s">
        <v>2093</v>
      </c>
      <c r="B1872" s="11" t="n">
        <v>2</v>
      </c>
      <c r="C1872" s="11" t="s">
        <v>1087</v>
      </c>
      <c r="D1872" s="93" t="n">
        <v>3</v>
      </c>
      <c r="E1872" s="34" t="n">
        <v>3</v>
      </c>
    </row>
    <row r="1873" customFormat="false" ht="15" hidden="false" customHeight="false" outlineLevel="0" collapsed="false">
      <c r="A1873" s="11" t="s">
        <v>2093</v>
      </c>
      <c r="B1873" s="11" t="n">
        <v>3</v>
      </c>
      <c r="C1873" s="11" t="s">
        <v>1086</v>
      </c>
      <c r="D1873" s="93" t="n">
        <v>0.66308</v>
      </c>
      <c r="E1873" s="34" t="n">
        <v>0.7</v>
      </c>
    </row>
    <row r="1874" customFormat="false" ht="15" hidden="false" customHeight="false" outlineLevel="0" collapsed="false">
      <c r="A1874" s="11" t="s">
        <v>2094</v>
      </c>
      <c r="B1874" s="11" t="n">
        <v>1</v>
      </c>
      <c r="C1874" s="11" t="s">
        <v>1084</v>
      </c>
      <c r="D1874" s="93" t="n">
        <v>5.14082</v>
      </c>
      <c r="E1874" s="34" t="n">
        <v>5.1</v>
      </c>
    </row>
    <row r="1875" customFormat="false" ht="15" hidden="false" customHeight="false" outlineLevel="0" collapsed="false">
      <c r="A1875" s="11" t="s">
        <v>2094</v>
      </c>
      <c r="B1875" s="11" t="n">
        <v>2</v>
      </c>
      <c r="C1875" s="11" t="s">
        <v>1086</v>
      </c>
      <c r="D1875" s="93" t="n">
        <v>1.06318</v>
      </c>
      <c r="E1875" s="34" t="n">
        <v>1.1</v>
      </c>
    </row>
    <row r="1876" customFormat="false" ht="15" hidden="false" customHeight="false" outlineLevel="0" collapsed="false">
      <c r="A1876" s="11" t="s">
        <v>2095</v>
      </c>
      <c r="B1876" s="11" t="n">
        <v>1</v>
      </c>
      <c r="C1876" s="11" t="s">
        <v>1086</v>
      </c>
      <c r="D1876" s="93" t="n">
        <v>0.588</v>
      </c>
      <c r="E1876" s="34" t="n">
        <v>0.6</v>
      </c>
    </row>
    <row r="1877" customFormat="false" ht="15" hidden="false" customHeight="false" outlineLevel="0" collapsed="false">
      <c r="A1877" s="11" t="s">
        <v>2096</v>
      </c>
      <c r="B1877" s="11" t="n">
        <v>1</v>
      </c>
      <c r="C1877" s="11" t="s">
        <v>1094</v>
      </c>
      <c r="D1877" s="93" t="n">
        <v>-13.194</v>
      </c>
      <c r="E1877" s="34" t="n">
        <v>-13.2</v>
      </c>
    </row>
    <row r="1878" customFormat="false" ht="15" hidden="false" customHeight="false" outlineLevel="0" collapsed="false">
      <c r="A1878" s="11" t="s">
        <v>2096</v>
      </c>
      <c r="B1878" s="11" t="n">
        <v>2</v>
      </c>
      <c r="C1878" s="11" t="s">
        <v>1095</v>
      </c>
      <c r="D1878" s="93" t="n">
        <v>-13.194</v>
      </c>
      <c r="E1878" s="34" t="n">
        <v>-13.2</v>
      </c>
    </row>
    <row r="1879" customFormat="false" ht="15" hidden="false" customHeight="false" outlineLevel="0" collapsed="false">
      <c r="A1879" s="11" t="s">
        <v>2096</v>
      </c>
      <c r="B1879" s="11" t="n">
        <v>3</v>
      </c>
      <c r="C1879" s="11" t="s">
        <v>1085</v>
      </c>
      <c r="D1879" s="93" t="n">
        <v>-4.509</v>
      </c>
      <c r="E1879" s="34" t="n">
        <v>-4.5</v>
      </c>
    </row>
    <row r="1880" customFormat="false" ht="15" hidden="false" customHeight="false" outlineLevel="0" collapsed="false">
      <c r="A1880" s="11" t="s">
        <v>2096</v>
      </c>
      <c r="B1880" s="11" t="n">
        <v>4</v>
      </c>
      <c r="C1880" s="11" t="s">
        <v>109</v>
      </c>
      <c r="D1880" s="93" t="n">
        <v>7.017</v>
      </c>
      <c r="E1880" s="34" t="n">
        <v>7</v>
      </c>
    </row>
    <row r="1881" customFormat="false" ht="15" hidden="false" customHeight="false" outlineLevel="0" collapsed="false">
      <c r="A1881" s="11" t="s">
        <v>2097</v>
      </c>
      <c r="B1881" s="11" t="n">
        <v>1</v>
      </c>
      <c r="C1881" s="11" t="s">
        <v>2351</v>
      </c>
      <c r="D1881" s="93" t="n">
        <v>6</v>
      </c>
      <c r="E1881" s="34" t="n">
        <v>6</v>
      </c>
    </row>
    <row r="1882" customFormat="false" ht="15" hidden="false" customHeight="false" outlineLevel="0" collapsed="false">
      <c r="A1882" s="11" t="s">
        <v>2097</v>
      </c>
      <c r="B1882" s="11" t="n">
        <v>2</v>
      </c>
      <c r="C1882" s="11" t="s">
        <v>2342</v>
      </c>
      <c r="D1882" s="93" t="n">
        <v>3</v>
      </c>
      <c r="E1882" s="34" t="n">
        <v>3</v>
      </c>
    </row>
    <row r="1883" customFormat="false" ht="15" hidden="false" customHeight="false" outlineLevel="0" collapsed="false">
      <c r="A1883" s="11" t="s">
        <v>2097</v>
      </c>
      <c r="B1883" s="11" t="n">
        <v>3</v>
      </c>
      <c r="C1883" s="11" t="s">
        <v>2453</v>
      </c>
      <c r="D1883" s="93" t="n">
        <v>-2</v>
      </c>
      <c r="E1883" s="34" t="n">
        <v>-2</v>
      </c>
    </row>
    <row r="1884" customFormat="false" ht="15" hidden="false" customHeight="false" outlineLevel="0" collapsed="false">
      <c r="A1884" s="11" t="s">
        <v>2097</v>
      </c>
      <c r="B1884" s="11" t="n">
        <v>4</v>
      </c>
      <c r="C1884" s="11" t="s">
        <v>127</v>
      </c>
      <c r="D1884" s="93" t="n">
        <v>1</v>
      </c>
      <c r="E1884" s="34" t="n">
        <v>1</v>
      </c>
    </row>
    <row r="1885" customFormat="false" ht="15" hidden="false" customHeight="false" outlineLevel="0" collapsed="false">
      <c r="A1885" s="11" t="s">
        <v>2098</v>
      </c>
      <c r="B1885" s="11" t="n">
        <v>1</v>
      </c>
      <c r="C1885" s="11" t="s">
        <v>2351</v>
      </c>
      <c r="D1885" s="93" t="n">
        <v>6</v>
      </c>
      <c r="E1885" s="34" t="n">
        <v>6</v>
      </c>
    </row>
    <row r="1886" customFormat="false" ht="15" hidden="false" customHeight="false" outlineLevel="0" collapsed="false">
      <c r="A1886" s="11" t="s">
        <v>2098</v>
      </c>
      <c r="B1886" s="11" t="n">
        <v>2</v>
      </c>
      <c r="C1886" s="11" t="s">
        <v>2342</v>
      </c>
      <c r="D1886" s="93" t="n">
        <v>3</v>
      </c>
      <c r="E1886" s="34" t="n">
        <v>3</v>
      </c>
    </row>
    <row r="1887" customFormat="false" ht="15" hidden="false" customHeight="false" outlineLevel="0" collapsed="false">
      <c r="A1887" s="11" t="s">
        <v>2098</v>
      </c>
      <c r="B1887" s="11" t="n">
        <v>3</v>
      </c>
      <c r="C1887" s="11" t="s">
        <v>2349</v>
      </c>
      <c r="D1887" s="93" t="n">
        <v>1</v>
      </c>
      <c r="E1887" s="34" t="n">
        <v>1</v>
      </c>
    </row>
    <row r="1888" customFormat="false" ht="15" hidden="false" customHeight="false" outlineLevel="0" collapsed="false">
      <c r="A1888" s="11" t="s">
        <v>2099</v>
      </c>
      <c r="B1888" s="11" t="n">
        <v>1</v>
      </c>
      <c r="C1888" s="11" t="s">
        <v>2453</v>
      </c>
      <c r="D1888" s="93" t="n">
        <v>-2</v>
      </c>
      <c r="E1888" s="34" t="n">
        <v>-2</v>
      </c>
    </row>
    <row r="1889" customFormat="false" ht="15" hidden="false" customHeight="false" outlineLevel="0" collapsed="false">
      <c r="A1889" s="11" t="s">
        <v>2100</v>
      </c>
      <c r="B1889" s="11" t="n">
        <v>1</v>
      </c>
      <c r="C1889" s="11" t="s">
        <v>1190</v>
      </c>
      <c r="D1889" s="93" t="n">
        <v>5</v>
      </c>
      <c r="E1889" s="34" t="n">
        <v>5</v>
      </c>
    </row>
    <row r="1890" customFormat="false" ht="15" hidden="false" customHeight="false" outlineLevel="0" collapsed="false">
      <c r="A1890" s="11" t="s">
        <v>2100</v>
      </c>
      <c r="B1890" s="11" t="n">
        <v>2</v>
      </c>
      <c r="C1890" s="11" t="s">
        <v>1181</v>
      </c>
      <c r="D1890" s="93" t="n">
        <v>-5</v>
      </c>
      <c r="E1890" s="34" t="n">
        <v>-5</v>
      </c>
    </row>
    <row r="1891" customFormat="false" ht="15" hidden="false" customHeight="false" outlineLevel="0" collapsed="false">
      <c r="A1891" s="11" t="s">
        <v>2100</v>
      </c>
      <c r="B1891" s="11" t="n">
        <v>3</v>
      </c>
      <c r="C1891" s="11" t="s">
        <v>1198</v>
      </c>
      <c r="D1891" s="93" t="n">
        <v>-5</v>
      </c>
      <c r="E1891" s="34" t="n">
        <v>-5</v>
      </c>
    </row>
    <row r="1892" customFormat="false" ht="15" hidden="false" customHeight="false" outlineLevel="0" collapsed="false">
      <c r="A1892" s="11" t="s">
        <v>2100</v>
      </c>
      <c r="B1892" s="11" t="n">
        <v>4</v>
      </c>
      <c r="C1892" s="11" t="s">
        <v>2356</v>
      </c>
      <c r="D1892" s="93" t="n">
        <v>0</v>
      </c>
      <c r="E1892" s="34" t="n">
        <v>0</v>
      </c>
    </row>
    <row r="1893" customFormat="false" ht="15" hidden="false" customHeight="false" outlineLevel="0" collapsed="false">
      <c r="A1893" s="11" t="s">
        <v>2101</v>
      </c>
      <c r="B1893" s="11" t="n">
        <v>1</v>
      </c>
      <c r="C1893" s="11" t="s">
        <v>1181</v>
      </c>
      <c r="D1893" s="93" t="n">
        <v>-5</v>
      </c>
      <c r="E1893" s="34" t="n">
        <v>-5</v>
      </c>
    </row>
    <row r="1894" customFormat="false" ht="15" hidden="false" customHeight="false" outlineLevel="0" collapsed="false">
      <c r="A1894" s="11" t="s">
        <v>2101</v>
      </c>
      <c r="B1894" s="11" t="n">
        <v>2</v>
      </c>
      <c r="C1894" s="11" t="s">
        <v>1198</v>
      </c>
      <c r="D1894" s="93" t="n">
        <v>-5</v>
      </c>
      <c r="E1894" s="34" t="n">
        <v>-5</v>
      </c>
    </row>
    <row r="1895" customFormat="false" ht="15" hidden="false" customHeight="false" outlineLevel="0" collapsed="false">
      <c r="A1895" s="11" t="s">
        <v>2102</v>
      </c>
      <c r="B1895" s="11" t="n">
        <v>1</v>
      </c>
      <c r="C1895" s="11" t="s">
        <v>1190</v>
      </c>
      <c r="D1895" s="93" t="n">
        <v>5</v>
      </c>
      <c r="E1895" s="34" t="n">
        <v>5</v>
      </c>
    </row>
    <row r="1896" customFormat="false" ht="15" hidden="false" customHeight="false" outlineLevel="0" collapsed="false">
      <c r="A1896" s="11" t="s">
        <v>2102</v>
      </c>
      <c r="B1896" s="11" t="n">
        <v>2</v>
      </c>
      <c r="C1896" s="11" t="s">
        <v>2355</v>
      </c>
      <c r="D1896" s="93" t="n">
        <v>3</v>
      </c>
      <c r="E1896" s="34" t="n">
        <v>3</v>
      </c>
    </row>
    <row r="1897" customFormat="false" ht="15" hidden="false" customHeight="false" outlineLevel="0" collapsed="false">
      <c r="A1897" s="11" t="s">
        <v>2102</v>
      </c>
      <c r="B1897" s="11" t="n">
        <v>3</v>
      </c>
      <c r="C1897" s="11" t="s">
        <v>2457</v>
      </c>
      <c r="D1897" s="93" t="n">
        <v>-3</v>
      </c>
      <c r="E1897" s="34" t="n">
        <v>-3</v>
      </c>
    </row>
    <row r="1898" customFormat="false" ht="15" hidden="false" customHeight="false" outlineLevel="0" collapsed="false">
      <c r="A1898" s="11" t="s">
        <v>2102</v>
      </c>
      <c r="B1898" s="11" t="n">
        <v>4</v>
      </c>
      <c r="C1898" s="11" t="s">
        <v>102</v>
      </c>
      <c r="D1898" s="93" t="n">
        <v>0</v>
      </c>
      <c r="E1898" s="34" t="n">
        <v>0</v>
      </c>
    </row>
    <row r="1899" customFormat="false" ht="15" hidden="false" customHeight="false" outlineLevel="0" collapsed="false">
      <c r="A1899" s="11" t="s">
        <v>2103</v>
      </c>
      <c r="B1899" s="11" t="n">
        <v>1</v>
      </c>
      <c r="C1899" s="11" t="s">
        <v>2455</v>
      </c>
      <c r="D1899" s="93" t="n">
        <v>-5</v>
      </c>
      <c r="E1899" s="34" t="n">
        <v>-5</v>
      </c>
    </row>
    <row r="1900" customFormat="false" ht="15" hidden="false" customHeight="false" outlineLevel="0" collapsed="false">
      <c r="A1900" s="11" t="s">
        <v>2103</v>
      </c>
      <c r="B1900" s="11" t="n">
        <v>2</v>
      </c>
      <c r="C1900" s="11" t="s">
        <v>2456</v>
      </c>
      <c r="D1900" s="93" t="n">
        <v>-2</v>
      </c>
      <c r="E1900" s="34" t="n">
        <v>-2</v>
      </c>
    </row>
    <row r="1901" customFormat="false" ht="15" hidden="false" customHeight="false" outlineLevel="0" collapsed="false">
      <c r="A1901" s="11" t="s">
        <v>2103</v>
      </c>
      <c r="B1901" s="11" t="n">
        <v>3</v>
      </c>
      <c r="C1901" s="11" t="s">
        <v>2454</v>
      </c>
      <c r="D1901" s="93" t="n">
        <v>-2</v>
      </c>
      <c r="E1901" s="34" t="n">
        <v>-2</v>
      </c>
    </row>
    <row r="1902" customFormat="false" ht="15" hidden="false" customHeight="false" outlineLevel="0" collapsed="false">
      <c r="A1902" s="11" t="s">
        <v>2104</v>
      </c>
      <c r="B1902" s="11" t="n">
        <v>1</v>
      </c>
      <c r="C1902" s="11" t="s">
        <v>2456</v>
      </c>
      <c r="D1902" s="93" t="n">
        <v>-2</v>
      </c>
      <c r="E1902" s="34" t="n">
        <v>-2</v>
      </c>
    </row>
    <row r="1903" customFormat="false" ht="15" hidden="false" customHeight="false" outlineLevel="0" collapsed="false">
      <c r="A1903" s="11" t="s">
        <v>2105</v>
      </c>
      <c r="B1903" s="11" t="n">
        <v>1</v>
      </c>
      <c r="C1903" s="11" t="s">
        <v>2454</v>
      </c>
      <c r="D1903" s="93" t="n">
        <v>-2</v>
      </c>
      <c r="E1903" s="34" t="n">
        <v>-2</v>
      </c>
    </row>
    <row r="1904" customFormat="false" ht="15" hidden="false" customHeight="false" outlineLevel="0" collapsed="false">
      <c r="A1904" s="11" t="s">
        <v>2106</v>
      </c>
      <c r="B1904" s="11" t="n">
        <v>1</v>
      </c>
      <c r="C1904" s="11" t="s">
        <v>2455</v>
      </c>
      <c r="D1904" s="93" t="n">
        <v>-5</v>
      </c>
      <c r="E1904" s="34" t="n">
        <v>-5</v>
      </c>
    </row>
    <row r="1905" customFormat="false" ht="15" hidden="false" customHeight="false" outlineLevel="0" collapsed="false">
      <c r="A1905" s="11" t="s">
        <v>2107</v>
      </c>
      <c r="B1905" s="11" t="n">
        <v>1</v>
      </c>
      <c r="C1905" s="11" t="s">
        <v>316</v>
      </c>
      <c r="D1905" s="93" t="n">
        <v>-68.921</v>
      </c>
      <c r="E1905" s="34" t="n">
        <v>-68.9</v>
      </c>
    </row>
    <row r="1906" customFormat="false" ht="15" hidden="false" customHeight="false" outlineLevel="0" collapsed="false">
      <c r="A1906" s="11" t="s">
        <v>2107</v>
      </c>
      <c r="B1906" s="11" t="n">
        <v>2</v>
      </c>
      <c r="C1906" s="11" t="s">
        <v>334</v>
      </c>
      <c r="D1906" s="93" t="n">
        <v>-9</v>
      </c>
      <c r="E1906" s="34" t="n">
        <v>-9</v>
      </c>
    </row>
    <row r="1907" customFormat="false" ht="15" hidden="false" customHeight="false" outlineLevel="0" collapsed="false">
      <c r="A1907" s="11" t="s">
        <v>2107</v>
      </c>
      <c r="B1907" s="11" t="n">
        <v>3</v>
      </c>
      <c r="C1907" s="11" t="s">
        <v>325</v>
      </c>
      <c r="D1907" s="93" t="n">
        <v>8</v>
      </c>
      <c r="E1907" s="34" t="n">
        <v>8</v>
      </c>
    </row>
    <row r="1908" customFormat="false" ht="15" hidden="false" customHeight="false" outlineLevel="0" collapsed="false">
      <c r="A1908" s="11" t="s">
        <v>2107</v>
      </c>
      <c r="B1908" s="11" t="n">
        <v>4</v>
      </c>
      <c r="C1908" s="11" t="s">
        <v>127</v>
      </c>
      <c r="D1908" s="93" t="n">
        <v>-5</v>
      </c>
      <c r="E1908" s="34" t="n">
        <v>-5</v>
      </c>
    </row>
    <row r="1909" customFormat="false" ht="15" hidden="false" customHeight="false" outlineLevel="0" collapsed="false">
      <c r="A1909" s="11" t="s">
        <v>2108</v>
      </c>
      <c r="B1909" s="11" t="n">
        <v>1</v>
      </c>
      <c r="C1909" s="11" t="s">
        <v>339</v>
      </c>
      <c r="D1909" s="93" t="n">
        <v>74.921</v>
      </c>
      <c r="E1909" s="34" t="n">
        <v>74.9</v>
      </c>
    </row>
    <row r="1910" customFormat="false" ht="15" hidden="false" customHeight="false" outlineLevel="0" collapsed="false">
      <c r="A1910" s="11" t="s">
        <v>2108</v>
      </c>
      <c r="B1910" s="11" t="n">
        <v>2</v>
      </c>
      <c r="C1910" s="11" t="s">
        <v>312</v>
      </c>
      <c r="D1910" s="93" t="n">
        <v>-30</v>
      </c>
      <c r="E1910" s="34" t="n">
        <v>-30</v>
      </c>
    </row>
    <row r="1911" customFormat="false" ht="15" hidden="false" customHeight="false" outlineLevel="0" collapsed="false">
      <c r="A1911" s="11" t="s">
        <v>2109</v>
      </c>
      <c r="B1911" s="11" t="n">
        <v>1</v>
      </c>
      <c r="C1911" s="11" t="s">
        <v>160</v>
      </c>
      <c r="D1911" s="93" t="n">
        <v>2</v>
      </c>
      <c r="E1911" s="34" t="n">
        <v>2</v>
      </c>
    </row>
    <row r="1912" customFormat="false" ht="15" hidden="false" customHeight="false" outlineLevel="0" collapsed="false">
      <c r="A1912" s="11" t="s">
        <v>2110</v>
      </c>
      <c r="B1912" s="11" t="n">
        <v>1</v>
      </c>
      <c r="C1912" s="11" t="s">
        <v>2458</v>
      </c>
      <c r="D1912" s="93" t="n">
        <v>2</v>
      </c>
      <c r="E1912" s="34" t="n">
        <v>2</v>
      </c>
    </row>
    <row r="1913" customFormat="false" ht="15" hidden="false" customHeight="false" outlineLevel="0" collapsed="false">
      <c r="A1913" s="11" t="s">
        <v>2112</v>
      </c>
      <c r="B1913" s="11" t="n">
        <v>1</v>
      </c>
      <c r="C1913" s="11" t="s">
        <v>2459</v>
      </c>
      <c r="D1913" s="93" t="n">
        <v>-5</v>
      </c>
      <c r="E1913" s="34" t="n">
        <v>-5</v>
      </c>
    </row>
    <row r="1914" customFormat="false" ht="15" hidden="false" customHeight="false" outlineLevel="0" collapsed="false">
      <c r="A1914" s="11" t="s">
        <v>2113</v>
      </c>
      <c r="B1914" s="11" t="n">
        <v>1</v>
      </c>
      <c r="C1914" s="11" t="s">
        <v>339</v>
      </c>
      <c r="D1914" s="93" t="n">
        <v>74.921</v>
      </c>
      <c r="E1914" s="34" t="n">
        <v>74.9</v>
      </c>
    </row>
    <row r="1915" customFormat="false" ht="15" hidden="false" customHeight="false" outlineLevel="0" collapsed="false">
      <c r="A1915" s="11" t="s">
        <v>2113</v>
      </c>
      <c r="B1915" s="11" t="n">
        <v>2</v>
      </c>
      <c r="C1915" s="11" t="s">
        <v>312</v>
      </c>
      <c r="D1915" s="93" t="n">
        <v>-30</v>
      </c>
      <c r="E1915" s="34" t="n">
        <v>-30</v>
      </c>
    </row>
    <row r="1916" customFormat="false" ht="15" hidden="false" customHeight="false" outlineLevel="0" collapsed="false">
      <c r="A1916" s="11" t="s">
        <v>2113</v>
      </c>
      <c r="B1916" s="11" t="n">
        <v>3</v>
      </c>
      <c r="C1916" s="11" t="s">
        <v>126</v>
      </c>
      <c r="D1916" s="93" t="n">
        <v>5</v>
      </c>
      <c r="E1916" s="34" t="n">
        <v>5</v>
      </c>
    </row>
    <row r="1917" customFormat="false" ht="15" hidden="false" customHeight="false" outlineLevel="0" collapsed="false">
      <c r="A1917" s="11" t="s">
        <v>2113</v>
      </c>
      <c r="B1917" s="11" t="n">
        <v>4</v>
      </c>
      <c r="C1917" s="11" t="s">
        <v>127</v>
      </c>
      <c r="D1917" s="93" t="n">
        <v>2</v>
      </c>
      <c r="E1917" s="34" t="n">
        <v>2</v>
      </c>
    </row>
    <row r="1918" customFormat="false" ht="15" hidden="false" customHeight="false" outlineLevel="0" collapsed="false">
      <c r="A1918" s="11" t="s">
        <v>2114</v>
      </c>
      <c r="B1918" s="11" t="n">
        <v>1</v>
      </c>
      <c r="C1918" s="11" t="s">
        <v>2449</v>
      </c>
      <c r="D1918" s="93" t="n">
        <v>-774.513</v>
      </c>
      <c r="E1918" s="34" t="n">
        <v>-774.5</v>
      </c>
    </row>
    <row r="1919" customFormat="false" ht="15" hidden="false" customHeight="false" outlineLevel="0" collapsed="false">
      <c r="A1919" s="11" t="s">
        <v>2114</v>
      </c>
      <c r="B1919" s="11" t="n">
        <v>2</v>
      </c>
      <c r="C1919" s="11" t="s">
        <v>2451</v>
      </c>
      <c r="D1919" s="93" t="n">
        <v>196.813</v>
      </c>
      <c r="E1919" s="34" t="n">
        <v>196.8</v>
      </c>
    </row>
    <row r="1920" customFormat="false" ht="15" hidden="false" customHeight="false" outlineLevel="0" collapsed="false">
      <c r="A1920" s="11" t="s">
        <v>2114</v>
      </c>
      <c r="B1920" s="11" t="n">
        <v>3</v>
      </c>
      <c r="C1920" s="11" t="s">
        <v>2450</v>
      </c>
      <c r="D1920" s="93" t="n">
        <v>141.097</v>
      </c>
      <c r="E1920" s="34" t="n">
        <v>141.1</v>
      </c>
    </row>
    <row r="1921" customFormat="false" ht="15" hidden="false" customHeight="false" outlineLevel="0" collapsed="false">
      <c r="A1921" s="11" t="s">
        <v>2115</v>
      </c>
      <c r="B1921" s="11" t="n">
        <v>1</v>
      </c>
      <c r="C1921" s="11" t="s">
        <v>2452</v>
      </c>
      <c r="D1921" s="93" t="n">
        <v>-30</v>
      </c>
      <c r="E1921" s="34" t="n">
        <v>-30</v>
      </c>
    </row>
    <row r="1922" customFormat="false" ht="15" hidden="false" customHeight="false" outlineLevel="0" collapsed="false">
      <c r="A1922" s="11" t="s">
        <v>2116</v>
      </c>
      <c r="B1922" s="11" t="n">
        <v>1</v>
      </c>
      <c r="C1922" s="11" t="s">
        <v>2449</v>
      </c>
      <c r="D1922" s="93" t="n">
        <v>-774.513</v>
      </c>
      <c r="E1922" s="34" t="n">
        <v>-774.5</v>
      </c>
    </row>
    <row r="1923" customFormat="false" ht="15" hidden="false" customHeight="false" outlineLevel="0" collapsed="false">
      <c r="A1923" s="11" t="s">
        <v>2116</v>
      </c>
      <c r="B1923" s="11" t="n">
        <v>2</v>
      </c>
      <c r="C1923" s="11" t="s">
        <v>2451</v>
      </c>
      <c r="D1923" s="93" t="n">
        <v>196.813</v>
      </c>
      <c r="E1923" s="34" t="n">
        <v>196.8</v>
      </c>
    </row>
    <row r="1924" customFormat="false" ht="15" hidden="false" customHeight="false" outlineLevel="0" collapsed="false">
      <c r="A1924" s="11" t="s">
        <v>2116</v>
      </c>
      <c r="B1924" s="11" t="n">
        <v>3</v>
      </c>
      <c r="C1924" s="11" t="s">
        <v>2450</v>
      </c>
      <c r="D1924" s="93" t="n">
        <v>141.097</v>
      </c>
      <c r="E1924" s="34" t="n">
        <v>141.1</v>
      </c>
    </row>
    <row r="1925" customFormat="false" ht="15" hidden="false" customHeight="false" outlineLevel="0" collapsed="false">
      <c r="A1925" s="11" t="s">
        <v>2116</v>
      </c>
      <c r="B1925" s="11" t="n">
        <v>4</v>
      </c>
      <c r="C1925" s="11" t="s">
        <v>127</v>
      </c>
      <c r="D1925" s="93" t="n">
        <v>-30</v>
      </c>
      <c r="E1925" s="34" t="n">
        <v>-30</v>
      </c>
    </row>
    <row r="1926" customFormat="false" ht="15" hidden="false" customHeight="false" outlineLevel="0" collapsed="false">
      <c r="A1926" s="11" t="s">
        <v>2117</v>
      </c>
      <c r="B1926" s="11" t="n">
        <v>1</v>
      </c>
      <c r="C1926" s="11" t="s">
        <v>2398</v>
      </c>
      <c r="D1926" s="93" t="n">
        <v>-48.7632</v>
      </c>
      <c r="E1926" s="34" t="n">
        <v>-48.8</v>
      </c>
    </row>
    <row r="1927" customFormat="false" ht="15" hidden="false" customHeight="false" outlineLevel="0" collapsed="false">
      <c r="A1927" s="11" t="s">
        <v>2117</v>
      </c>
      <c r="B1927" s="11" t="n">
        <v>2</v>
      </c>
      <c r="C1927" s="11" t="s">
        <v>2455</v>
      </c>
      <c r="D1927" s="93" t="n">
        <v>-11</v>
      </c>
      <c r="E1927" s="34" t="n">
        <v>-11</v>
      </c>
    </row>
    <row r="1928" customFormat="false" ht="15" hidden="false" customHeight="false" outlineLevel="0" collapsed="false">
      <c r="A1928" s="11" t="s">
        <v>2117</v>
      </c>
      <c r="B1928" s="11" t="n">
        <v>3</v>
      </c>
      <c r="C1928" s="11" t="s">
        <v>2453</v>
      </c>
      <c r="D1928" s="93" t="n">
        <v>-9.12</v>
      </c>
      <c r="E1928" s="34" t="n">
        <v>-9.1</v>
      </c>
    </row>
    <row r="1929" customFormat="false" ht="15" hidden="false" customHeight="false" outlineLevel="0" collapsed="false">
      <c r="A1929" s="11" t="s">
        <v>2117</v>
      </c>
      <c r="B1929" s="11" t="n">
        <v>4</v>
      </c>
      <c r="C1929" s="11" t="s">
        <v>2431</v>
      </c>
      <c r="D1929" s="93" t="n">
        <v>-21.708</v>
      </c>
      <c r="E1929" s="34" t="n">
        <v>-21.7</v>
      </c>
    </row>
    <row r="1930" customFormat="false" ht="15" hidden="false" customHeight="false" outlineLevel="0" collapsed="false">
      <c r="A1930" s="11" t="s">
        <v>2118</v>
      </c>
      <c r="B1930" s="11" t="n">
        <v>1</v>
      </c>
      <c r="C1930" s="11" t="s">
        <v>2342</v>
      </c>
      <c r="D1930" s="93" t="n">
        <v>-2</v>
      </c>
      <c r="E1930" s="34" t="n">
        <v>-2</v>
      </c>
    </row>
    <row r="1931" customFormat="false" ht="15" hidden="false" customHeight="false" outlineLevel="0" collapsed="false">
      <c r="A1931" s="11" t="s">
        <v>2118</v>
      </c>
      <c r="B1931" s="11" t="n">
        <v>2</v>
      </c>
      <c r="C1931" s="11" t="s">
        <v>2401</v>
      </c>
      <c r="D1931" s="93" t="n">
        <v>-2</v>
      </c>
      <c r="E1931" s="34" t="n">
        <v>-2</v>
      </c>
    </row>
    <row r="1932" customFormat="false" ht="15" hidden="false" customHeight="false" outlineLevel="0" collapsed="false">
      <c r="A1932" s="11" t="s">
        <v>2118</v>
      </c>
      <c r="B1932" s="11" t="n">
        <v>3</v>
      </c>
      <c r="C1932" s="11" t="s">
        <v>2402</v>
      </c>
      <c r="D1932" s="93" t="n">
        <v>1.5</v>
      </c>
      <c r="E1932" s="34" t="n">
        <v>1.5</v>
      </c>
    </row>
    <row r="1933" customFormat="false" ht="15" hidden="false" customHeight="false" outlineLevel="0" collapsed="false">
      <c r="A1933" s="11" t="s">
        <v>2119</v>
      </c>
      <c r="B1933" s="11" t="n">
        <v>1</v>
      </c>
      <c r="C1933" s="11" t="s">
        <v>2398</v>
      </c>
      <c r="D1933" s="93" t="n">
        <v>-47.66</v>
      </c>
      <c r="E1933" s="34" t="n">
        <v>-47.6</v>
      </c>
    </row>
    <row r="1934" customFormat="false" ht="15" hidden="false" customHeight="false" outlineLevel="0" collapsed="false">
      <c r="A1934" s="11" t="s">
        <v>2119</v>
      </c>
      <c r="B1934" s="11" t="n">
        <v>2</v>
      </c>
      <c r="C1934" s="11" t="s">
        <v>2403</v>
      </c>
      <c r="D1934" s="93" t="n">
        <v>-4.07475</v>
      </c>
      <c r="E1934" s="34" t="n">
        <v>-4.1</v>
      </c>
    </row>
    <row r="1935" customFormat="false" ht="15" hidden="false" customHeight="false" outlineLevel="0" collapsed="false">
      <c r="A1935" s="11" t="s">
        <v>2119</v>
      </c>
      <c r="B1935" s="11" t="n">
        <v>3</v>
      </c>
      <c r="C1935" s="11" t="s">
        <v>2399</v>
      </c>
      <c r="D1935" s="93" t="n">
        <v>-3.613</v>
      </c>
      <c r="E1935" s="34" t="n">
        <v>-3.6</v>
      </c>
    </row>
    <row r="1936" customFormat="false" ht="15" hidden="false" customHeight="false" outlineLevel="0" collapsed="false">
      <c r="A1936" s="11" t="s">
        <v>2119</v>
      </c>
      <c r="B1936" s="11" t="n">
        <v>4</v>
      </c>
      <c r="C1936" s="11" t="s">
        <v>102</v>
      </c>
      <c r="D1936" s="93" t="n">
        <v>1.125</v>
      </c>
      <c r="E1936" s="34" t="n">
        <v>1.1</v>
      </c>
    </row>
    <row r="1937" customFormat="false" ht="15" hidden="false" customHeight="false" outlineLevel="0" collapsed="false">
      <c r="A1937" s="11" t="s">
        <v>2120</v>
      </c>
      <c r="B1937" s="11" t="n">
        <v>1</v>
      </c>
      <c r="C1937" s="11" t="s">
        <v>2398</v>
      </c>
      <c r="D1937" s="93" t="n">
        <v>-5.8632</v>
      </c>
      <c r="E1937" s="34" t="n">
        <v>-5.8</v>
      </c>
    </row>
    <row r="1938" customFormat="false" ht="15" hidden="false" customHeight="false" outlineLevel="0" collapsed="false">
      <c r="A1938" s="11" t="s">
        <v>2120</v>
      </c>
      <c r="B1938" s="11" t="n">
        <v>2</v>
      </c>
      <c r="C1938" s="11" t="s">
        <v>1087</v>
      </c>
      <c r="D1938" s="93" t="n">
        <v>2.1</v>
      </c>
      <c r="E1938" s="34" t="n">
        <v>2.1</v>
      </c>
    </row>
    <row r="1939" customFormat="false" ht="15" hidden="false" customHeight="false" outlineLevel="0" collapsed="false">
      <c r="A1939" s="11" t="s">
        <v>2120</v>
      </c>
      <c r="B1939" s="11" t="n">
        <v>3</v>
      </c>
      <c r="C1939" s="11" t="s">
        <v>2399</v>
      </c>
      <c r="D1939" s="93" t="n">
        <v>-0.6069</v>
      </c>
      <c r="E1939" s="34" t="n">
        <v>-0.6</v>
      </c>
    </row>
    <row r="1940" customFormat="false" ht="15" hidden="false" customHeight="false" outlineLevel="0" collapsed="false">
      <c r="A1940" s="11" t="s">
        <v>2120</v>
      </c>
      <c r="B1940" s="11" t="n">
        <v>4</v>
      </c>
      <c r="C1940" s="11" t="s">
        <v>127</v>
      </c>
      <c r="D1940" s="93" t="n">
        <v>-0.469</v>
      </c>
      <c r="E1940" s="34" t="n">
        <v>-0.5</v>
      </c>
    </row>
    <row r="1941" customFormat="false" ht="15" hidden="false" customHeight="false" outlineLevel="0" collapsed="false">
      <c r="A1941" s="11" t="s">
        <v>2121</v>
      </c>
      <c r="B1941" s="11" t="n">
        <v>1</v>
      </c>
      <c r="C1941" s="11" t="s">
        <v>2398</v>
      </c>
      <c r="D1941" s="93" t="n">
        <v>4.76</v>
      </c>
      <c r="E1941" s="34" t="n">
        <v>4.7</v>
      </c>
    </row>
    <row r="1942" customFormat="false" ht="15" hidden="false" customHeight="false" outlineLevel="0" collapsed="false">
      <c r="A1942" s="11" t="s">
        <v>2121</v>
      </c>
      <c r="B1942" s="11" t="n">
        <v>2</v>
      </c>
      <c r="C1942" s="11" t="s">
        <v>2399</v>
      </c>
      <c r="D1942" s="93" t="n">
        <v>1.064</v>
      </c>
      <c r="E1942" s="34" t="n">
        <v>1.1</v>
      </c>
    </row>
    <row r="1943" customFormat="false" ht="15" hidden="false" customHeight="false" outlineLevel="0" collapsed="false">
      <c r="A1943" s="11" t="s">
        <v>2121</v>
      </c>
      <c r="B1943" s="11" t="n">
        <v>3</v>
      </c>
      <c r="C1943" s="11" t="s">
        <v>2403</v>
      </c>
      <c r="D1943" s="93" t="n">
        <v>0.38</v>
      </c>
      <c r="E1943" s="34" t="n">
        <v>0.4</v>
      </c>
    </row>
    <row r="1944" customFormat="false" ht="15" hidden="false" customHeight="false" outlineLevel="0" collapsed="false">
      <c r="A1944" s="11" t="s">
        <v>2122</v>
      </c>
      <c r="B1944" s="11" t="n">
        <v>1</v>
      </c>
      <c r="C1944" s="11" t="s">
        <v>2453</v>
      </c>
      <c r="D1944" s="93" t="n">
        <v>-9.12</v>
      </c>
      <c r="E1944" s="34" t="n">
        <v>-9.1</v>
      </c>
    </row>
    <row r="1945" customFormat="false" ht="15" hidden="false" customHeight="false" outlineLevel="0" collapsed="false">
      <c r="A1945" s="11" t="s">
        <v>2122</v>
      </c>
      <c r="B1945" s="11" t="n">
        <v>2</v>
      </c>
      <c r="C1945" s="11" t="s">
        <v>2344</v>
      </c>
      <c r="D1945" s="93" t="n">
        <v>-7.78</v>
      </c>
      <c r="E1945" s="34" t="n">
        <v>-7.8</v>
      </c>
    </row>
    <row r="1946" customFormat="false" ht="15" hidden="false" customHeight="false" outlineLevel="0" collapsed="false">
      <c r="A1946" s="11" t="s">
        <v>2123</v>
      </c>
      <c r="B1946" s="11" t="n">
        <v>1</v>
      </c>
      <c r="C1946" s="11" t="s">
        <v>2454</v>
      </c>
      <c r="D1946" s="93" t="n">
        <v>-7.33335</v>
      </c>
      <c r="E1946" s="34" t="n">
        <v>-7.3</v>
      </c>
    </row>
    <row r="1947" customFormat="false" ht="15" hidden="false" customHeight="false" outlineLevel="0" collapsed="false">
      <c r="A1947" s="11" t="s">
        <v>2124</v>
      </c>
      <c r="B1947" s="11" t="n">
        <v>1</v>
      </c>
      <c r="C1947" s="11" t="s">
        <v>2455</v>
      </c>
      <c r="D1947" s="93" t="n">
        <v>-11</v>
      </c>
      <c r="E1947" s="34" t="n">
        <v>-11</v>
      </c>
    </row>
    <row r="1948" customFormat="false" ht="15" hidden="false" customHeight="false" outlineLevel="0" collapsed="false">
      <c r="A1948" s="11" t="s">
        <v>2125</v>
      </c>
      <c r="B1948" s="11" t="n">
        <v>1</v>
      </c>
      <c r="C1948" s="11" t="s">
        <v>2399</v>
      </c>
      <c r="D1948" s="93" t="n">
        <v>0.588</v>
      </c>
      <c r="E1948" s="34" t="n">
        <v>0.6</v>
      </c>
    </row>
    <row r="1949" customFormat="false" ht="15" hidden="false" customHeight="false" outlineLevel="0" collapsed="false">
      <c r="A1949" s="11" t="s">
        <v>2126</v>
      </c>
      <c r="B1949" s="11" t="n">
        <v>1</v>
      </c>
      <c r="C1949" s="11" t="s">
        <v>2398</v>
      </c>
      <c r="D1949" s="93" t="n">
        <v>-48.7632</v>
      </c>
      <c r="E1949" s="34" t="n">
        <v>-48.8</v>
      </c>
    </row>
    <row r="1950" customFormat="false" ht="15" hidden="false" customHeight="false" outlineLevel="0" collapsed="false">
      <c r="A1950" s="11" t="s">
        <v>2126</v>
      </c>
      <c r="B1950" s="11" t="n">
        <v>2</v>
      </c>
      <c r="C1950" s="11" t="s">
        <v>2455</v>
      </c>
      <c r="D1950" s="93" t="n">
        <v>-11</v>
      </c>
      <c r="E1950" s="34" t="n">
        <v>-11</v>
      </c>
    </row>
    <row r="1951" customFormat="false" ht="15" hidden="false" customHeight="false" outlineLevel="0" collapsed="false">
      <c r="A1951" s="11" t="s">
        <v>2126</v>
      </c>
      <c r="B1951" s="11" t="n">
        <v>3</v>
      </c>
      <c r="C1951" s="11" t="s">
        <v>2453</v>
      </c>
      <c r="D1951" s="93" t="n">
        <v>-9.12</v>
      </c>
      <c r="E1951" s="34" t="n">
        <v>-9.1</v>
      </c>
    </row>
    <row r="1952" customFormat="false" ht="15" hidden="false" customHeight="false" outlineLevel="0" collapsed="false">
      <c r="A1952" s="11" t="s">
        <v>2126</v>
      </c>
      <c r="B1952" s="11" t="n">
        <v>4</v>
      </c>
      <c r="C1952" s="11" t="s">
        <v>2431</v>
      </c>
      <c r="D1952" s="93" t="n">
        <v>-21.12</v>
      </c>
      <c r="E1952" s="34" t="n">
        <v>-21.1</v>
      </c>
    </row>
    <row r="1953" customFormat="false" ht="15" hidden="false" customHeight="false" outlineLevel="0" collapsed="false">
      <c r="A1953" s="11" t="s">
        <v>2127</v>
      </c>
      <c r="B1953" s="11" t="n">
        <v>1</v>
      </c>
      <c r="C1953" s="11" t="s">
        <v>91</v>
      </c>
      <c r="D1953" s="93" t="n">
        <v>-466.603</v>
      </c>
      <c r="E1953" s="34" t="n">
        <v>-466.6</v>
      </c>
    </row>
    <row r="1954" customFormat="false" ht="15" hidden="false" customHeight="false" outlineLevel="0" collapsed="false">
      <c r="A1954" s="11" t="s">
        <v>2127</v>
      </c>
      <c r="B1954" s="11" t="n">
        <v>2</v>
      </c>
      <c r="C1954" s="11" t="s">
        <v>101</v>
      </c>
      <c r="D1954" s="93" t="n">
        <v>90.0032</v>
      </c>
      <c r="E1954" s="34" t="n">
        <v>90</v>
      </c>
    </row>
    <row r="1955" customFormat="false" ht="15" hidden="false" customHeight="false" outlineLevel="0" collapsed="false">
      <c r="A1955" s="11" t="s">
        <v>2128</v>
      </c>
      <c r="B1955" s="11" t="n">
        <v>1</v>
      </c>
      <c r="C1955" s="11" t="s">
        <v>2398</v>
      </c>
      <c r="D1955" s="93" t="n">
        <v>-142.98</v>
      </c>
      <c r="E1955" s="34" t="n">
        <v>-143</v>
      </c>
    </row>
    <row r="1956" customFormat="false" ht="15" hidden="false" customHeight="false" outlineLevel="0" collapsed="false">
      <c r="A1956" s="11" t="s">
        <v>2128</v>
      </c>
      <c r="B1956" s="11" t="n">
        <v>2</v>
      </c>
      <c r="C1956" s="11" t="s">
        <v>2455</v>
      </c>
      <c r="D1956" s="93" t="n">
        <v>-16.49998</v>
      </c>
      <c r="E1956" s="34" t="n">
        <v>-16.5</v>
      </c>
    </row>
    <row r="1957" customFormat="false" ht="15" hidden="false" customHeight="false" outlineLevel="0" collapsed="false">
      <c r="A1957" s="11" t="s">
        <v>2128</v>
      </c>
      <c r="B1957" s="11" t="n">
        <v>3</v>
      </c>
      <c r="C1957" s="11" t="s">
        <v>2453</v>
      </c>
      <c r="D1957" s="93" t="n">
        <v>-14.88</v>
      </c>
      <c r="E1957" s="34" t="n">
        <v>-14.9</v>
      </c>
    </row>
    <row r="1958" customFormat="false" ht="15" hidden="false" customHeight="false" outlineLevel="0" collapsed="false">
      <c r="A1958" s="11" t="s">
        <v>2128</v>
      </c>
      <c r="B1958" s="11" t="n">
        <v>4</v>
      </c>
      <c r="C1958" s="11" t="s">
        <v>2348</v>
      </c>
      <c r="D1958" s="93" t="n">
        <v>-27.6016</v>
      </c>
      <c r="E1958" s="34" t="n">
        <v>-27.6</v>
      </c>
    </row>
    <row r="1959" customFormat="false" ht="15" hidden="false" customHeight="false" outlineLevel="0" collapsed="false">
      <c r="A1959" s="11" t="s">
        <v>2129</v>
      </c>
      <c r="B1959" s="11" t="n">
        <v>1</v>
      </c>
      <c r="C1959" s="11" t="s">
        <v>2398</v>
      </c>
      <c r="D1959" s="93" t="n">
        <v>-142.98</v>
      </c>
      <c r="E1959" s="34" t="n">
        <v>-143</v>
      </c>
    </row>
    <row r="1960" customFormat="false" ht="15" hidden="false" customHeight="false" outlineLevel="0" collapsed="false">
      <c r="A1960" s="11" t="s">
        <v>2129</v>
      </c>
      <c r="B1960" s="11" t="n">
        <v>2</v>
      </c>
      <c r="C1960" s="11" t="s">
        <v>2403</v>
      </c>
      <c r="D1960" s="93" t="n">
        <v>-12.22425</v>
      </c>
      <c r="E1960" s="34" t="n">
        <v>-12.2</v>
      </c>
    </row>
    <row r="1961" customFormat="false" ht="15" hidden="false" customHeight="false" outlineLevel="0" collapsed="false">
      <c r="A1961" s="11" t="s">
        <v>2129</v>
      </c>
      <c r="B1961" s="11" t="n">
        <v>3</v>
      </c>
      <c r="C1961" s="11" t="s">
        <v>2399</v>
      </c>
      <c r="D1961" s="93" t="n">
        <v>-10.839</v>
      </c>
      <c r="E1961" s="34" t="n">
        <v>-10.9</v>
      </c>
    </row>
    <row r="1962" customFormat="false" ht="15" hidden="false" customHeight="false" outlineLevel="0" collapsed="false">
      <c r="A1962" s="11" t="s">
        <v>2129</v>
      </c>
      <c r="B1962" s="11" t="n">
        <v>4</v>
      </c>
      <c r="C1962" s="11" t="s">
        <v>102</v>
      </c>
      <c r="D1962" s="93" t="n">
        <v>3.375</v>
      </c>
      <c r="E1962" s="34" t="n">
        <v>3.4</v>
      </c>
    </row>
    <row r="1963" customFormat="false" ht="15" hidden="false" customHeight="false" outlineLevel="0" collapsed="false">
      <c r="A1963" s="11" t="s">
        <v>2130</v>
      </c>
      <c r="B1963" s="11" t="n">
        <v>1</v>
      </c>
      <c r="C1963" s="11" t="s">
        <v>2349</v>
      </c>
      <c r="D1963" s="93" t="n">
        <v>6</v>
      </c>
      <c r="E1963" s="34" t="n">
        <v>6</v>
      </c>
    </row>
    <row r="1964" customFormat="false" ht="15" hidden="false" customHeight="false" outlineLevel="0" collapsed="false">
      <c r="A1964" s="11" t="s">
        <v>2131</v>
      </c>
      <c r="B1964" s="11" t="n">
        <v>1</v>
      </c>
      <c r="C1964" s="11" t="s">
        <v>2453</v>
      </c>
      <c r="D1964" s="93" t="n">
        <v>-14.88</v>
      </c>
      <c r="E1964" s="34" t="n">
        <v>-14.9</v>
      </c>
    </row>
    <row r="1965" customFormat="false" ht="15" hidden="false" customHeight="false" outlineLevel="0" collapsed="false">
      <c r="A1965" s="11" t="s">
        <v>2131</v>
      </c>
      <c r="B1965" s="11" t="n">
        <v>2</v>
      </c>
      <c r="C1965" s="11" t="s">
        <v>2344</v>
      </c>
      <c r="D1965" s="93" t="n">
        <v>-6.58</v>
      </c>
      <c r="E1965" s="34" t="n">
        <v>-6.6</v>
      </c>
    </row>
    <row r="1966" customFormat="false" ht="15" hidden="false" customHeight="false" outlineLevel="0" collapsed="false">
      <c r="A1966" s="11" t="s">
        <v>2132</v>
      </c>
      <c r="B1966" s="11" t="n">
        <v>1</v>
      </c>
      <c r="C1966" s="11" t="s">
        <v>2454</v>
      </c>
      <c r="D1966" s="93" t="n">
        <v>-7.33335</v>
      </c>
      <c r="E1966" s="34" t="n">
        <v>-7.3</v>
      </c>
    </row>
    <row r="1967" customFormat="false" ht="15" hidden="false" customHeight="false" outlineLevel="0" collapsed="false">
      <c r="A1967" s="11" t="s">
        <v>2133</v>
      </c>
      <c r="B1967" s="11" t="n">
        <v>1</v>
      </c>
      <c r="C1967" s="11" t="s">
        <v>2455</v>
      </c>
      <c r="D1967" s="93" t="n">
        <v>-16.49998</v>
      </c>
      <c r="E1967" s="34" t="n">
        <v>-16.5</v>
      </c>
    </row>
    <row r="1968" customFormat="false" ht="15" hidden="false" customHeight="false" outlineLevel="0" collapsed="false">
      <c r="A1968" s="11" t="s">
        <v>2134</v>
      </c>
      <c r="B1968" s="11" t="n">
        <v>1</v>
      </c>
      <c r="C1968" s="11" t="s">
        <v>2398</v>
      </c>
      <c r="D1968" s="93" t="n">
        <v>-79.0128</v>
      </c>
      <c r="E1968" s="34" t="n">
        <v>-79</v>
      </c>
    </row>
    <row r="1969" customFormat="false" ht="15" hidden="false" customHeight="false" outlineLevel="0" collapsed="false">
      <c r="A1969" s="11" t="s">
        <v>2134</v>
      </c>
      <c r="B1969" s="11" t="n">
        <v>2</v>
      </c>
      <c r="C1969" s="11" t="s">
        <v>1198</v>
      </c>
      <c r="D1969" s="93" t="n">
        <v>-39</v>
      </c>
      <c r="E1969" s="34" t="n">
        <v>-39</v>
      </c>
    </row>
    <row r="1970" customFormat="false" ht="15" hidden="false" customHeight="false" outlineLevel="0" collapsed="false">
      <c r="A1970" s="11" t="s">
        <v>2134</v>
      </c>
      <c r="B1970" s="11" t="n">
        <v>3</v>
      </c>
      <c r="C1970" s="11" t="s">
        <v>2456</v>
      </c>
      <c r="D1970" s="93" t="n">
        <v>-30.5</v>
      </c>
      <c r="E1970" s="34" t="n">
        <v>-30.5</v>
      </c>
    </row>
    <row r="1971" customFormat="false" ht="15" hidden="false" customHeight="false" outlineLevel="0" collapsed="false">
      <c r="A1971" s="11" t="s">
        <v>2134</v>
      </c>
      <c r="B1971" s="11" t="n">
        <v>4</v>
      </c>
      <c r="C1971" s="11" t="s">
        <v>2352</v>
      </c>
      <c r="D1971" s="93" t="n">
        <v>-50.31475</v>
      </c>
      <c r="E1971" s="34" t="n">
        <v>-50.3</v>
      </c>
    </row>
    <row r="1972" customFormat="false" ht="15" hidden="false" customHeight="false" outlineLevel="0" collapsed="false">
      <c r="A1972" s="11" t="s">
        <v>2135</v>
      </c>
      <c r="B1972" s="11" t="n">
        <v>1</v>
      </c>
      <c r="C1972" s="11" t="s">
        <v>2398</v>
      </c>
      <c r="D1972" s="93" t="n">
        <v>-76.5</v>
      </c>
      <c r="E1972" s="34" t="n">
        <v>-76.5</v>
      </c>
    </row>
    <row r="1973" customFormat="false" ht="15" hidden="false" customHeight="false" outlineLevel="0" collapsed="false">
      <c r="A1973" s="11" t="s">
        <v>2135</v>
      </c>
      <c r="B1973" s="11" t="n">
        <v>2</v>
      </c>
      <c r="C1973" s="11" t="s">
        <v>2399</v>
      </c>
      <c r="D1973" s="93" t="n">
        <v>-10.179</v>
      </c>
      <c r="E1973" s="34" t="n">
        <v>-10.2</v>
      </c>
    </row>
    <row r="1974" customFormat="false" ht="15" hidden="false" customHeight="false" outlineLevel="0" collapsed="false">
      <c r="A1974" s="11" t="s">
        <v>2135</v>
      </c>
      <c r="B1974" s="11" t="n">
        <v>3</v>
      </c>
      <c r="C1974" s="11" t="s">
        <v>2403</v>
      </c>
      <c r="D1974" s="93" t="n">
        <v>-6.368</v>
      </c>
      <c r="E1974" s="34" t="n">
        <v>-6.3</v>
      </c>
    </row>
    <row r="1975" customFormat="false" ht="15" hidden="false" customHeight="false" outlineLevel="0" collapsed="false">
      <c r="A1975" s="11" t="s">
        <v>2136</v>
      </c>
      <c r="B1975" s="11" t="n">
        <v>1</v>
      </c>
      <c r="C1975" s="11" t="s">
        <v>2398</v>
      </c>
      <c r="D1975" s="93" t="n">
        <v>-2.5128</v>
      </c>
      <c r="E1975" s="34" t="n">
        <v>-2.5</v>
      </c>
    </row>
    <row r="1976" customFormat="false" ht="15" hidden="false" customHeight="false" outlineLevel="0" collapsed="false">
      <c r="A1976" s="11" t="s">
        <v>2136</v>
      </c>
      <c r="B1976" s="11" t="n">
        <v>2</v>
      </c>
      <c r="C1976" s="11" t="s">
        <v>1087</v>
      </c>
      <c r="D1976" s="93" t="n">
        <v>0.9</v>
      </c>
      <c r="E1976" s="34" t="n">
        <v>0.9</v>
      </c>
    </row>
    <row r="1977" customFormat="false" ht="15" hidden="false" customHeight="false" outlineLevel="0" collapsed="false">
      <c r="A1977" s="11" t="s">
        <v>2136</v>
      </c>
      <c r="B1977" s="11" t="n">
        <v>3</v>
      </c>
      <c r="C1977" s="11" t="s">
        <v>2399</v>
      </c>
      <c r="D1977" s="93" t="n">
        <v>-0.2601</v>
      </c>
      <c r="E1977" s="34" t="n">
        <v>-0.3</v>
      </c>
    </row>
    <row r="1978" customFormat="false" ht="15" hidden="false" customHeight="false" outlineLevel="0" collapsed="false">
      <c r="A1978" s="11" t="s">
        <v>2136</v>
      </c>
      <c r="B1978" s="11" t="n">
        <v>4</v>
      </c>
      <c r="C1978" s="11" t="s">
        <v>127</v>
      </c>
      <c r="D1978" s="93" t="n">
        <v>-0.201</v>
      </c>
      <c r="E1978" s="34" t="n">
        <v>-0.2</v>
      </c>
    </row>
    <row r="1979" customFormat="false" ht="15" hidden="false" customHeight="false" outlineLevel="0" collapsed="false">
      <c r="A1979" s="11" t="s">
        <v>2137</v>
      </c>
      <c r="B1979" s="11" t="n">
        <v>1</v>
      </c>
      <c r="C1979" s="11" t="s">
        <v>1198</v>
      </c>
      <c r="D1979" s="93" t="n">
        <v>-39</v>
      </c>
      <c r="E1979" s="34" t="n">
        <v>-39</v>
      </c>
    </row>
    <row r="1980" customFormat="false" ht="15" hidden="false" customHeight="false" outlineLevel="0" collapsed="false">
      <c r="A1980" s="11" t="s">
        <v>2137</v>
      </c>
      <c r="B1980" s="11" t="n">
        <v>2</v>
      </c>
      <c r="C1980" s="11" t="s">
        <v>2350</v>
      </c>
      <c r="D1980" s="93" t="n">
        <v>-13</v>
      </c>
      <c r="E1980" s="34" t="n">
        <v>-13</v>
      </c>
    </row>
    <row r="1981" customFormat="false" ht="15" hidden="false" customHeight="false" outlineLevel="0" collapsed="false">
      <c r="A1981" s="11" t="s">
        <v>2137</v>
      </c>
      <c r="B1981" s="11" t="n">
        <v>3</v>
      </c>
      <c r="C1981" s="11" t="s">
        <v>2409</v>
      </c>
      <c r="D1981" s="93" t="n">
        <v>-11</v>
      </c>
      <c r="E1981" s="34" t="n">
        <v>-11</v>
      </c>
    </row>
    <row r="1982" customFormat="false" ht="15" hidden="false" customHeight="false" outlineLevel="0" collapsed="false">
      <c r="A1982" s="11" t="s">
        <v>2137</v>
      </c>
      <c r="B1982" s="11" t="n">
        <v>4</v>
      </c>
      <c r="C1982" s="11" t="s">
        <v>127</v>
      </c>
      <c r="D1982" s="93" t="n">
        <v>-2.5</v>
      </c>
      <c r="E1982" s="34" t="n">
        <v>-2.5</v>
      </c>
    </row>
    <row r="1983" customFormat="false" ht="15" hidden="false" customHeight="false" outlineLevel="0" collapsed="false">
      <c r="A1983" s="11" t="s">
        <v>2138</v>
      </c>
      <c r="B1983" s="11" t="n">
        <v>1</v>
      </c>
      <c r="C1983" s="11" t="s">
        <v>2456</v>
      </c>
      <c r="D1983" s="93" t="n">
        <v>-30.5</v>
      </c>
      <c r="E1983" s="34" t="n">
        <v>-30.5</v>
      </c>
    </row>
    <row r="1984" customFormat="false" ht="15" hidden="false" customHeight="false" outlineLevel="0" collapsed="false">
      <c r="A1984" s="11" t="s">
        <v>2139</v>
      </c>
      <c r="B1984" s="11" t="n">
        <v>1</v>
      </c>
      <c r="C1984" s="11" t="s">
        <v>2351</v>
      </c>
      <c r="D1984" s="93" t="n">
        <v>7</v>
      </c>
      <c r="E1984" s="34" t="n">
        <v>7</v>
      </c>
    </row>
    <row r="1985" customFormat="false" ht="15" hidden="false" customHeight="false" outlineLevel="0" collapsed="false">
      <c r="A1985" s="11" t="s">
        <v>2140</v>
      </c>
      <c r="B1985" s="11" t="n">
        <v>1</v>
      </c>
      <c r="C1985" s="11" t="s">
        <v>2453</v>
      </c>
      <c r="D1985" s="93" t="n">
        <v>-14.4</v>
      </c>
      <c r="E1985" s="34" t="n">
        <v>-14.4</v>
      </c>
    </row>
    <row r="1986" customFormat="false" ht="15" hidden="false" customHeight="false" outlineLevel="0" collapsed="false">
      <c r="A1986" s="11" t="s">
        <v>2140</v>
      </c>
      <c r="B1986" s="11" t="n">
        <v>2</v>
      </c>
      <c r="C1986" s="11" t="s">
        <v>2344</v>
      </c>
      <c r="D1986" s="93" t="n">
        <v>14.36</v>
      </c>
      <c r="E1986" s="34" t="n">
        <v>14.4</v>
      </c>
    </row>
    <row r="1987" customFormat="false" ht="15" hidden="false" customHeight="false" outlineLevel="0" collapsed="false">
      <c r="A1987" s="11" t="s">
        <v>2141</v>
      </c>
      <c r="B1987" s="11" t="n">
        <v>1</v>
      </c>
      <c r="C1987" s="11" t="s">
        <v>2454</v>
      </c>
      <c r="D1987" s="93" t="n">
        <v>-3.66665</v>
      </c>
      <c r="E1987" s="34" t="n">
        <v>-3.7</v>
      </c>
    </row>
    <row r="1988" customFormat="false" ht="15" hidden="false" customHeight="false" outlineLevel="0" collapsed="false">
      <c r="A1988" s="11" t="s">
        <v>2142</v>
      </c>
      <c r="B1988" s="11" t="n">
        <v>1</v>
      </c>
      <c r="C1988" s="11" t="s">
        <v>2455</v>
      </c>
      <c r="D1988" s="93" t="n">
        <v>-11</v>
      </c>
      <c r="E1988" s="34" t="n">
        <v>-11</v>
      </c>
    </row>
    <row r="1989" customFormat="false" ht="15" hidden="false" customHeight="false" outlineLevel="0" collapsed="false">
      <c r="A1989" s="11" t="s">
        <v>2143</v>
      </c>
      <c r="B1989" s="11" t="n">
        <v>1</v>
      </c>
      <c r="C1989" s="11" t="s">
        <v>2457</v>
      </c>
      <c r="D1989" s="93" t="n">
        <v>-23</v>
      </c>
      <c r="E1989" s="34" t="n">
        <v>-23</v>
      </c>
    </row>
    <row r="1990" customFormat="false" ht="15" hidden="false" customHeight="false" outlineLevel="0" collapsed="false">
      <c r="A1990" s="11" t="s">
        <v>2143</v>
      </c>
      <c r="B1990" s="11" t="n">
        <v>2</v>
      </c>
      <c r="C1990" s="11" t="s">
        <v>2413</v>
      </c>
      <c r="D1990" s="93" t="n">
        <v>-20</v>
      </c>
      <c r="E1990" s="34" t="n">
        <v>-20</v>
      </c>
    </row>
    <row r="1991" customFormat="false" ht="15" hidden="false" customHeight="false" outlineLevel="0" collapsed="false">
      <c r="A1991" s="11" t="s">
        <v>2143</v>
      </c>
      <c r="B1991" s="11" t="n">
        <v>3</v>
      </c>
      <c r="C1991" s="11" t="s">
        <v>2354</v>
      </c>
      <c r="D1991" s="93" t="n">
        <v>-17</v>
      </c>
      <c r="E1991" s="34" t="n">
        <v>-17</v>
      </c>
    </row>
    <row r="1992" customFormat="false" ht="15" hidden="false" customHeight="false" outlineLevel="0" collapsed="false">
      <c r="A1992" s="11" t="s">
        <v>2143</v>
      </c>
      <c r="B1992" s="11" t="n">
        <v>4</v>
      </c>
      <c r="C1992" s="11" t="s">
        <v>2341</v>
      </c>
      <c r="D1992" s="93" t="n">
        <v>-11.76667</v>
      </c>
      <c r="E1992" s="34" t="n">
        <v>-11.8</v>
      </c>
    </row>
    <row r="1993" customFormat="false" ht="15" hidden="false" customHeight="false" outlineLevel="0" collapsed="false">
      <c r="A1993" s="11" t="s">
        <v>2144</v>
      </c>
      <c r="B1993" s="11" t="n">
        <v>1</v>
      </c>
      <c r="C1993" s="11" t="s">
        <v>2457</v>
      </c>
      <c r="D1993" s="93" t="n">
        <v>-23</v>
      </c>
      <c r="E1993" s="34" t="n">
        <v>-23</v>
      </c>
    </row>
    <row r="1994" customFormat="false" ht="15" hidden="false" customHeight="false" outlineLevel="0" collapsed="false">
      <c r="A1994" s="11" t="s">
        <v>2144</v>
      </c>
      <c r="B1994" s="11" t="n">
        <v>2</v>
      </c>
      <c r="C1994" s="11" t="s">
        <v>2413</v>
      </c>
      <c r="D1994" s="93" t="n">
        <v>-20</v>
      </c>
      <c r="E1994" s="34" t="n">
        <v>-20</v>
      </c>
    </row>
    <row r="1995" customFormat="false" ht="15" hidden="false" customHeight="false" outlineLevel="0" collapsed="false">
      <c r="A1995" s="11" t="s">
        <v>2144</v>
      </c>
      <c r="B1995" s="11" t="n">
        <v>3</v>
      </c>
      <c r="C1995" s="11" t="s">
        <v>2354</v>
      </c>
      <c r="D1995" s="93" t="n">
        <v>-17</v>
      </c>
      <c r="E1995" s="34" t="n">
        <v>-17</v>
      </c>
    </row>
    <row r="1996" customFormat="false" ht="15" hidden="false" customHeight="false" outlineLevel="0" collapsed="false">
      <c r="A1996" s="11" t="s">
        <v>2144</v>
      </c>
      <c r="B1996" s="11" t="n">
        <v>4</v>
      </c>
      <c r="C1996" s="11" t="s">
        <v>102</v>
      </c>
      <c r="D1996" s="93" t="n">
        <v>7</v>
      </c>
      <c r="E1996" s="34" t="n">
        <v>7</v>
      </c>
    </row>
    <row r="1997" customFormat="false" ht="15" hidden="false" customHeight="false" outlineLevel="0" collapsed="false">
      <c r="A1997" s="11" t="s">
        <v>2145</v>
      </c>
      <c r="B1997" s="11" t="n">
        <v>1</v>
      </c>
      <c r="C1997" s="11" t="s">
        <v>2453</v>
      </c>
      <c r="D1997" s="93" t="n">
        <v>-9.6</v>
      </c>
      <c r="E1997" s="34" t="n">
        <v>-9.6</v>
      </c>
    </row>
    <row r="1998" customFormat="false" ht="15" hidden="false" customHeight="false" outlineLevel="0" collapsed="false">
      <c r="A1998" s="11" t="s">
        <v>2146</v>
      </c>
      <c r="B1998" s="11" t="n">
        <v>1</v>
      </c>
      <c r="C1998" s="11" t="s">
        <v>2454</v>
      </c>
      <c r="D1998" s="93" t="n">
        <v>-3.66665</v>
      </c>
      <c r="E1998" s="34" t="n">
        <v>-3.7</v>
      </c>
    </row>
    <row r="1999" customFormat="false" ht="15" hidden="false" customHeight="false" outlineLevel="0" collapsed="false">
      <c r="A1999" s="11" t="s">
        <v>2147</v>
      </c>
      <c r="B1999" s="11" t="n">
        <v>1</v>
      </c>
      <c r="C1999" s="11" t="s">
        <v>2455</v>
      </c>
      <c r="D1999" s="93" t="n">
        <v>-5.50002</v>
      </c>
      <c r="E1999" s="34" t="n">
        <v>-5.5</v>
      </c>
    </row>
    <row r="2000" customFormat="false" ht="15" hidden="false" customHeight="false" outlineLevel="0" collapsed="false">
      <c r="A2000" s="11" t="s">
        <v>2148</v>
      </c>
      <c r="B2000" s="11" t="n">
        <v>1</v>
      </c>
      <c r="C2000" s="11" t="s">
        <v>157</v>
      </c>
      <c r="D2000" s="93" t="n">
        <v>-201.96158</v>
      </c>
      <c r="E2000" s="34" t="n">
        <v>-202</v>
      </c>
    </row>
    <row r="2001" customFormat="false" ht="15" hidden="false" customHeight="false" outlineLevel="0" collapsed="false">
      <c r="A2001" s="11" t="s">
        <v>2148</v>
      </c>
      <c r="B2001" s="11" t="n">
        <v>2</v>
      </c>
      <c r="C2001" s="11" t="s">
        <v>158</v>
      </c>
      <c r="D2001" s="93" t="n">
        <v>-198.82755</v>
      </c>
      <c r="E2001" s="34" t="n">
        <v>-198.8</v>
      </c>
    </row>
    <row r="2002" customFormat="false" ht="15" hidden="false" customHeight="false" outlineLevel="0" collapsed="false">
      <c r="A2002" s="11" t="s">
        <v>2148</v>
      </c>
      <c r="B2002" s="11" t="n">
        <v>3</v>
      </c>
      <c r="C2002" s="11" t="s">
        <v>159</v>
      </c>
      <c r="D2002" s="93" t="n">
        <v>-71.76667</v>
      </c>
      <c r="E2002" s="34" t="n">
        <v>-71.8</v>
      </c>
    </row>
    <row r="2003" customFormat="false" ht="15" hidden="false" customHeight="false" outlineLevel="0" collapsed="false">
      <c r="A2003" s="11" t="s">
        <v>2149</v>
      </c>
      <c r="B2003" s="11" t="n">
        <v>1</v>
      </c>
      <c r="C2003" s="11" t="s">
        <v>95</v>
      </c>
      <c r="D2003" s="93" t="n">
        <v>472.5558</v>
      </c>
      <c r="E2003" s="34" t="n">
        <v>472.6</v>
      </c>
    </row>
    <row r="2004" customFormat="false" ht="15" hidden="false" customHeight="false" outlineLevel="0" collapsed="false">
      <c r="A2004" s="11" t="s">
        <v>2149</v>
      </c>
      <c r="B2004" s="11" t="n">
        <v>2</v>
      </c>
      <c r="C2004" s="11" t="s">
        <v>91</v>
      </c>
      <c r="D2004" s="93" t="n">
        <v>-466.603</v>
      </c>
      <c r="E2004" s="34" t="n">
        <v>-466.6</v>
      </c>
    </row>
    <row r="2005" customFormat="false" ht="15" hidden="false" customHeight="false" outlineLevel="0" collapsed="false">
      <c r="A2005" s="11" t="s">
        <v>2149</v>
      </c>
      <c r="B2005" s="11" t="n">
        <v>3</v>
      </c>
      <c r="C2005" s="11" t="s">
        <v>101</v>
      </c>
      <c r="D2005" s="93" t="n">
        <v>90.0032</v>
      </c>
      <c r="E2005" s="34" t="n">
        <v>90</v>
      </c>
    </row>
    <row r="2006" customFormat="false" ht="15" hidden="false" customHeight="false" outlineLevel="0" collapsed="false">
      <c r="A2006" s="11" t="s">
        <v>2150</v>
      </c>
      <c r="B2006" s="11" t="n">
        <v>1</v>
      </c>
      <c r="C2006" s="11" t="s">
        <v>2458</v>
      </c>
      <c r="D2006" s="93" t="n">
        <v>17.5</v>
      </c>
      <c r="E2006" s="34" t="n">
        <v>17.5</v>
      </c>
    </row>
    <row r="2007" customFormat="false" ht="15" hidden="false" customHeight="false" outlineLevel="0" collapsed="false">
      <c r="A2007" s="11" t="s">
        <v>2151</v>
      </c>
      <c r="B2007" s="11" t="n">
        <v>1</v>
      </c>
      <c r="C2007" s="11" t="s">
        <v>2460</v>
      </c>
      <c r="D2007" s="93" t="n">
        <v>-1.5</v>
      </c>
      <c r="E2007" s="34" t="n">
        <v>-1.5</v>
      </c>
    </row>
    <row r="2008" customFormat="false" ht="15" hidden="false" customHeight="false" outlineLevel="0" collapsed="false">
      <c r="A2008" s="11" t="s">
        <v>2152</v>
      </c>
      <c r="B2008" s="11" t="n">
        <v>1</v>
      </c>
      <c r="C2008" s="11" t="s">
        <v>95</v>
      </c>
      <c r="D2008" s="93" t="n">
        <v>472.5558</v>
      </c>
      <c r="E2008" s="34" t="n">
        <v>472.6</v>
      </c>
    </row>
    <row r="2009" customFormat="false" ht="15" hidden="false" customHeight="false" outlineLevel="0" collapsed="false">
      <c r="A2009" s="11" t="s">
        <v>2152</v>
      </c>
      <c r="B2009" s="11" t="n">
        <v>2</v>
      </c>
      <c r="C2009" s="11" t="s">
        <v>91</v>
      </c>
      <c r="D2009" s="93" t="n">
        <v>-466.603</v>
      </c>
      <c r="E2009" s="34" t="n">
        <v>-466.6</v>
      </c>
    </row>
    <row r="2010" customFormat="false" ht="15" hidden="false" customHeight="false" outlineLevel="0" collapsed="false">
      <c r="A2010" s="11" t="s">
        <v>2152</v>
      </c>
      <c r="B2010" s="11" t="n">
        <v>3</v>
      </c>
      <c r="C2010" s="11" t="s">
        <v>101</v>
      </c>
      <c r="D2010" s="93" t="n">
        <v>90.0032</v>
      </c>
      <c r="E2010" s="34" t="n">
        <v>90</v>
      </c>
    </row>
    <row r="2011" customFormat="false" ht="15" hidden="false" customHeight="false" outlineLevel="0" collapsed="false">
      <c r="A2011" s="11" t="s">
        <v>2152</v>
      </c>
      <c r="B2011" s="11" t="n">
        <v>4</v>
      </c>
      <c r="C2011" s="11" t="s">
        <v>102</v>
      </c>
      <c r="D2011" s="93" t="n">
        <v>19</v>
      </c>
      <c r="E2011" s="34" t="n">
        <v>19</v>
      </c>
    </row>
    <row r="2012" customFormat="false" ht="15" hidden="false" customHeight="false" outlineLevel="0" collapsed="false">
      <c r="A2012" s="11" t="s">
        <v>2153</v>
      </c>
      <c r="B2012" s="11" t="n">
        <v>1</v>
      </c>
      <c r="C2012" s="11" t="s">
        <v>2459</v>
      </c>
      <c r="D2012" s="93" t="n">
        <v>-39.5</v>
      </c>
      <c r="E2012" s="34" t="n">
        <v>-39.5</v>
      </c>
    </row>
    <row r="2013" customFormat="false" ht="15" hidden="false" customHeight="false" outlineLevel="0" collapsed="false">
      <c r="A2013" s="11" t="s">
        <v>2154</v>
      </c>
      <c r="B2013" s="11" t="n">
        <v>1</v>
      </c>
      <c r="C2013" s="11" t="s">
        <v>95</v>
      </c>
      <c r="D2013" s="93" t="n">
        <v>472.5558</v>
      </c>
      <c r="E2013" s="34" t="n">
        <v>472.6</v>
      </c>
    </row>
    <row r="2014" customFormat="false" ht="15" hidden="false" customHeight="false" outlineLevel="0" collapsed="false">
      <c r="A2014" s="11" t="s">
        <v>2154</v>
      </c>
      <c r="B2014" s="11" t="n">
        <v>2</v>
      </c>
      <c r="C2014" s="11" t="s">
        <v>91</v>
      </c>
      <c r="D2014" s="93" t="n">
        <v>-466.603</v>
      </c>
      <c r="E2014" s="34" t="n">
        <v>-466.6</v>
      </c>
    </row>
    <row r="2015" customFormat="false" ht="15" hidden="false" customHeight="false" outlineLevel="0" collapsed="false">
      <c r="A2015" s="11" t="s">
        <v>2154</v>
      </c>
      <c r="B2015" s="11" t="n">
        <v>3</v>
      </c>
      <c r="C2015" s="11" t="s">
        <v>101</v>
      </c>
      <c r="D2015" s="93" t="n">
        <v>90.0032</v>
      </c>
      <c r="E2015" s="34" t="n">
        <v>90</v>
      </c>
    </row>
    <row r="2016" customFormat="false" ht="15" hidden="false" customHeight="false" outlineLevel="0" collapsed="false">
      <c r="A2016" s="11" t="s">
        <v>2154</v>
      </c>
      <c r="B2016" s="11" t="n">
        <v>4</v>
      </c>
      <c r="C2016" s="11" t="s">
        <v>109</v>
      </c>
      <c r="D2016" s="93" t="n">
        <v>58.5</v>
      </c>
      <c r="E2016" s="34" t="n">
        <v>58.5</v>
      </c>
    </row>
    <row r="2017" customFormat="false" ht="15" hidden="false" customHeight="false" outlineLevel="0" collapsed="false">
      <c r="A2017" s="11" t="s">
        <v>2155</v>
      </c>
      <c r="B2017" s="11" t="n">
        <v>1</v>
      </c>
      <c r="C2017" s="11" t="s">
        <v>2449</v>
      </c>
      <c r="D2017" s="93" t="n">
        <v>-774.513</v>
      </c>
      <c r="E2017" s="34" t="n">
        <v>-774.5</v>
      </c>
    </row>
    <row r="2018" customFormat="false" ht="15" hidden="false" customHeight="false" outlineLevel="0" collapsed="false">
      <c r="A2018" s="11" t="s">
        <v>2155</v>
      </c>
      <c r="B2018" s="11" t="n">
        <v>2</v>
      </c>
      <c r="C2018" s="11" t="s">
        <v>2451</v>
      </c>
      <c r="D2018" s="93" t="n">
        <v>196.813</v>
      </c>
      <c r="E2018" s="34" t="n">
        <v>196.8</v>
      </c>
    </row>
    <row r="2019" customFormat="false" ht="15" hidden="false" customHeight="false" outlineLevel="0" collapsed="false">
      <c r="A2019" s="11" t="s">
        <v>2155</v>
      </c>
      <c r="B2019" s="11" t="n">
        <v>3</v>
      </c>
      <c r="C2019" s="11" t="s">
        <v>2450</v>
      </c>
      <c r="D2019" s="93" t="n">
        <v>141.097</v>
      </c>
      <c r="E2019" s="34" t="n">
        <v>141.1</v>
      </c>
    </row>
    <row r="2020" customFormat="false" ht="15" hidden="false" customHeight="false" outlineLevel="0" collapsed="false">
      <c r="A2020" s="11" t="s">
        <v>2156</v>
      </c>
      <c r="B2020" s="11" t="n">
        <v>1</v>
      </c>
      <c r="C2020" s="11" t="s">
        <v>2452</v>
      </c>
      <c r="D2020" s="93" t="n">
        <v>-30</v>
      </c>
      <c r="E2020" s="34" t="n">
        <v>-30</v>
      </c>
    </row>
    <row r="2021" customFormat="false" ht="15" hidden="false" customHeight="false" outlineLevel="0" collapsed="false">
      <c r="A2021" s="11" t="s">
        <v>2157</v>
      </c>
      <c r="B2021" s="11" t="n">
        <v>1</v>
      </c>
      <c r="C2021" s="11" t="s">
        <v>2449</v>
      </c>
      <c r="D2021" s="93" t="n">
        <v>-774.513</v>
      </c>
      <c r="E2021" s="34" t="n">
        <v>-774.5</v>
      </c>
    </row>
    <row r="2022" customFormat="false" ht="15" hidden="false" customHeight="false" outlineLevel="0" collapsed="false">
      <c r="A2022" s="11" t="s">
        <v>2157</v>
      </c>
      <c r="B2022" s="11" t="n">
        <v>2</v>
      </c>
      <c r="C2022" s="11" t="s">
        <v>2451</v>
      </c>
      <c r="D2022" s="93" t="n">
        <v>196.813</v>
      </c>
      <c r="E2022" s="34" t="n">
        <v>196.8</v>
      </c>
    </row>
    <row r="2023" customFormat="false" ht="15" hidden="false" customHeight="false" outlineLevel="0" collapsed="false">
      <c r="A2023" s="11" t="s">
        <v>2157</v>
      </c>
      <c r="B2023" s="11" t="n">
        <v>3</v>
      </c>
      <c r="C2023" s="11" t="s">
        <v>2450</v>
      </c>
      <c r="D2023" s="93" t="n">
        <v>141.097</v>
      </c>
      <c r="E2023" s="34" t="n">
        <v>141.1</v>
      </c>
    </row>
    <row r="2024" customFormat="false" ht="15" hidden="false" customHeight="false" outlineLevel="0" collapsed="false">
      <c r="A2024" s="11" t="s">
        <v>2157</v>
      </c>
      <c r="B2024" s="11" t="n">
        <v>4</v>
      </c>
      <c r="C2024" s="11" t="s">
        <v>127</v>
      </c>
      <c r="D2024" s="93" t="n">
        <v>-30</v>
      </c>
      <c r="E2024" s="34" t="n">
        <v>-30</v>
      </c>
    </row>
    <row r="2025" customFormat="false" ht="15" hidden="false" customHeight="false" outlineLevel="0" collapsed="false">
      <c r="A2025" s="11" t="s">
        <v>2158</v>
      </c>
      <c r="B2025" s="11" t="n">
        <v>1</v>
      </c>
      <c r="C2025" s="11" t="s">
        <v>2398</v>
      </c>
      <c r="D2025" s="93" t="n">
        <v>-48.7632</v>
      </c>
      <c r="E2025" s="34" t="n">
        <v>-48.8</v>
      </c>
    </row>
    <row r="2026" customFormat="false" ht="15" hidden="false" customHeight="false" outlineLevel="0" collapsed="false">
      <c r="A2026" s="11" t="s">
        <v>2158</v>
      </c>
      <c r="B2026" s="11" t="n">
        <v>2</v>
      </c>
      <c r="C2026" s="11" t="s">
        <v>2453</v>
      </c>
      <c r="D2026" s="93" t="n">
        <v>-11.52</v>
      </c>
      <c r="E2026" s="34" t="n">
        <v>-11.5</v>
      </c>
    </row>
    <row r="2027" customFormat="false" ht="15" hidden="false" customHeight="false" outlineLevel="0" collapsed="false">
      <c r="A2027" s="11" t="s">
        <v>2158</v>
      </c>
      <c r="B2027" s="11" t="n">
        <v>3</v>
      </c>
      <c r="C2027" s="11" t="s">
        <v>2455</v>
      </c>
      <c r="D2027" s="93" t="n">
        <v>-11</v>
      </c>
      <c r="E2027" s="34" t="n">
        <v>-11</v>
      </c>
    </row>
    <row r="2028" customFormat="false" ht="15" hidden="false" customHeight="false" outlineLevel="0" collapsed="false">
      <c r="A2028" s="11" t="s">
        <v>2158</v>
      </c>
      <c r="B2028" s="11" t="n">
        <v>4</v>
      </c>
      <c r="C2028" s="11" t="s">
        <v>2431</v>
      </c>
      <c r="D2028" s="93" t="n">
        <v>-21.708</v>
      </c>
      <c r="E2028" s="34" t="n">
        <v>-21.7</v>
      </c>
    </row>
    <row r="2029" customFormat="false" ht="15" hidden="false" customHeight="false" outlineLevel="0" collapsed="false">
      <c r="A2029" s="11" t="s">
        <v>2159</v>
      </c>
      <c r="B2029" s="11" t="n">
        <v>1</v>
      </c>
      <c r="C2029" s="11" t="s">
        <v>2342</v>
      </c>
      <c r="D2029" s="93" t="n">
        <v>-2</v>
      </c>
      <c r="E2029" s="34" t="n">
        <v>-2</v>
      </c>
    </row>
    <row r="2030" customFormat="false" ht="15" hidden="false" customHeight="false" outlineLevel="0" collapsed="false">
      <c r="A2030" s="11" t="s">
        <v>2159</v>
      </c>
      <c r="B2030" s="11" t="n">
        <v>2</v>
      </c>
      <c r="C2030" s="11" t="s">
        <v>2401</v>
      </c>
      <c r="D2030" s="93" t="n">
        <v>-2</v>
      </c>
      <c r="E2030" s="34" t="n">
        <v>-2</v>
      </c>
    </row>
    <row r="2031" customFormat="false" ht="15" hidden="false" customHeight="false" outlineLevel="0" collapsed="false">
      <c r="A2031" s="11" t="s">
        <v>2159</v>
      </c>
      <c r="B2031" s="11" t="n">
        <v>3</v>
      </c>
      <c r="C2031" s="11" t="s">
        <v>2402</v>
      </c>
      <c r="D2031" s="93" t="n">
        <v>1.5</v>
      </c>
      <c r="E2031" s="34" t="n">
        <v>1.5</v>
      </c>
    </row>
    <row r="2032" customFormat="false" ht="15" hidden="false" customHeight="false" outlineLevel="0" collapsed="false">
      <c r="A2032" s="11" t="s">
        <v>2160</v>
      </c>
      <c r="B2032" s="11" t="n">
        <v>1</v>
      </c>
      <c r="C2032" s="11" t="s">
        <v>2398</v>
      </c>
      <c r="D2032" s="93" t="n">
        <v>-47.66</v>
      </c>
      <c r="E2032" s="34" t="n">
        <v>-47.6</v>
      </c>
    </row>
    <row r="2033" customFormat="false" ht="15" hidden="false" customHeight="false" outlineLevel="0" collapsed="false">
      <c r="A2033" s="11" t="s">
        <v>2160</v>
      </c>
      <c r="B2033" s="11" t="n">
        <v>2</v>
      </c>
      <c r="C2033" s="11" t="s">
        <v>2403</v>
      </c>
      <c r="D2033" s="93" t="n">
        <v>-4.07475</v>
      </c>
      <c r="E2033" s="34" t="n">
        <v>-4.1</v>
      </c>
    </row>
    <row r="2034" customFormat="false" ht="15" hidden="false" customHeight="false" outlineLevel="0" collapsed="false">
      <c r="A2034" s="11" t="s">
        <v>2160</v>
      </c>
      <c r="B2034" s="11" t="n">
        <v>3</v>
      </c>
      <c r="C2034" s="11" t="s">
        <v>2399</v>
      </c>
      <c r="D2034" s="93" t="n">
        <v>-3.613</v>
      </c>
      <c r="E2034" s="34" t="n">
        <v>-3.6</v>
      </c>
    </row>
    <row r="2035" customFormat="false" ht="15" hidden="false" customHeight="false" outlineLevel="0" collapsed="false">
      <c r="A2035" s="11" t="s">
        <v>2160</v>
      </c>
      <c r="B2035" s="11" t="n">
        <v>4</v>
      </c>
      <c r="C2035" s="11" t="s">
        <v>102</v>
      </c>
      <c r="D2035" s="93" t="n">
        <v>1.125</v>
      </c>
      <c r="E2035" s="34" t="n">
        <v>1.1</v>
      </c>
    </row>
    <row r="2036" customFormat="false" ht="15" hidden="false" customHeight="false" outlineLevel="0" collapsed="false">
      <c r="A2036" s="11" t="s">
        <v>2161</v>
      </c>
      <c r="B2036" s="11" t="n">
        <v>1</v>
      </c>
      <c r="C2036" s="11" t="s">
        <v>2398</v>
      </c>
      <c r="D2036" s="93" t="n">
        <v>4.76</v>
      </c>
      <c r="E2036" s="34" t="n">
        <v>4.7</v>
      </c>
    </row>
    <row r="2037" customFormat="false" ht="15" hidden="false" customHeight="false" outlineLevel="0" collapsed="false">
      <c r="A2037" s="11" t="s">
        <v>2161</v>
      </c>
      <c r="B2037" s="11" t="n">
        <v>2</v>
      </c>
      <c r="C2037" s="11" t="s">
        <v>2399</v>
      </c>
      <c r="D2037" s="93" t="n">
        <v>1.064</v>
      </c>
      <c r="E2037" s="34" t="n">
        <v>1.1</v>
      </c>
    </row>
    <row r="2038" customFormat="false" ht="15" hidden="false" customHeight="false" outlineLevel="0" collapsed="false">
      <c r="A2038" s="11" t="s">
        <v>2161</v>
      </c>
      <c r="B2038" s="11" t="n">
        <v>3</v>
      </c>
      <c r="C2038" s="11" t="s">
        <v>2403</v>
      </c>
      <c r="D2038" s="93" t="n">
        <v>0.38</v>
      </c>
      <c r="E2038" s="34" t="n">
        <v>0.4</v>
      </c>
    </row>
    <row r="2039" customFormat="false" ht="15" hidden="false" customHeight="false" outlineLevel="0" collapsed="false">
      <c r="A2039" s="11" t="s">
        <v>2162</v>
      </c>
      <c r="B2039" s="11" t="n">
        <v>1</v>
      </c>
      <c r="C2039" s="11" t="s">
        <v>2398</v>
      </c>
      <c r="D2039" s="93" t="n">
        <v>-5.8632</v>
      </c>
      <c r="E2039" s="34" t="n">
        <v>-5.8</v>
      </c>
    </row>
    <row r="2040" customFormat="false" ht="15" hidden="false" customHeight="false" outlineLevel="0" collapsed="false">
      <c r="A2040" s="11" t="s">
        <v>2162</v>
      </c>
      <c r="B2040" s="11" t="n">
        <v>2</v>
      </c>
      <c r="C2040" s="11" t="s">
        <v>1087</v>
      </c>
      <c r="D2040" s="93" t="n">
        <v>2.1</v>
      </c>
      <c r="E2040" s="34" t="n">
        <v>2.1</v>
      </c>
    </row>
    <row r="2041" customFormat="false" ht="15" hidden="false" customHeight="false" outlineLevel="0" collapsed="false">
      <c r="A2041" s="11" t="s">
        <v>2162</v>
      </c>
      <c r="B2041" s="11" t="n">
        <v>3</v>
      </c>
      <c r="C2041" s="11" t="s">
        <v>2399</v>
      </c>
      <c r="D2041" s="93" t="n">
        <v>-0.6069</v>
      </c>
      <c r="E2041" s="34" t="n">
        <v>-0.6</v>
      </c>
    </row>
    <row r="2042" customFormat="false" ht="15" hidden="false" customHeight="false" outlineLevel="0" collapsed="false">
      <c r="A2042" s="11" t="s">
        <v>2162</v>
      </c>
      <c r="B2042" s="11" t="n">
        <v>4</v>
      </c>
      <c r="C2042" s="11" t="s">
        <v>127</v>
      </c>
      <c r="D2042" s="93" t="n">
        <v>-0.469</v>
      </c>
      <c r="E2042" s="34" t="n">
        <v>-0.5</v>
      </c>
    </row>
    <row r="2043" customFormat="false" ht="15" hidden="false" customHeight="false" outlineLevel="0" collapsed="false">
      <c r="A2043" s="11" t="s">
        <v>2163</v>
      </c>
      <c r="B2043" s="11" t="n">
        <v>1</v>
      </c>
      <c r="C2043" s="11" t="s">
        <v>2453</v>
      </c>
      <c r="D2043" s="93" t="n">
        <v>-11.52</v>
      </c>
      <c r="E2043" s="34" t="n">
        <v>-11.5</v>
      </c>
    </row>
    <row r="2044" customFormat="false" ht="15" hidden="false" customHeight="false" outlineLevel="0" collapsed="false">
      <c r="A2044" s="11" t="s">
        <v>2163</v>
      </c>
      <c r="B2044" s="11" t="n">
        <v>2</v>
      </c>
      <c r="C2044" s="11" t="s">
        <v>2344</v>
      </c>
      <c r="D2044" s="93" t="n">
        <v>-7.78</v>
      </c>
      <c r="E2044" s="34" t="n">
        <v>-7.8</v>
      </c>
    </row>
    <row r="2045" customFormat="false" ht="15" hidden="false" customHeight="false" outlineLevel="0" collapsed="false">
      <c r="A2045" s="11" t="s">
        <v>2164</v>
      </c>
      <c r="B2045" s="11" t="n">
        <v>1</v>
      </c>
      <c r="C2045" s="11" t="s">
        <v>2454</v>
      </c>
      <c r="D2045" s="93" t="n">
        <v>-7.33335</v>
      </c>
      <c r="E2045" s="34" t="n">
        <v>-7.3</v>
      </c>
    </row>
    <row r="2046" customFormat="false" ht="15" hidden="false" customHeight="false" outlineLevel="0" collapsed="false">
      <c r="A2046" s="11" t="s">
        <v>2165</v>
      </c>
      <c r="B2046" s="11" t="n">
        <v>1</v>
      </c>
      <c r="C2046" s="11" t="s">
        <v>2455</v>
      </c>
      <c r="D2046" s="93" t="n">
        <v>-11</v>
      </c>
      <c r="E2046" s="34" t="n">
        <v>-11</v>
      </c>
    </row>
    <row r="2047" customFormat="false" ht="15" hidden="false" customHeight="false" outlineLevel="0" collapsed="false">
      <c r="A2047" s="11" t="s">
        <v>2166</v>
      </c>
      <c r="B2047" s="11" t="n">
        <v>1</v>
      </c>
      <c r="C2047" s="11" t="s">
        <v>2399</v>
      </c>
      <c r="D2047" s="93" t="n">
        <v>0.588</v>
      </c>
      <c r="E2047" s="34" t="n">
        <v>0.6</v>
      </c>
    </row>
    <row r="2048" customFormat="false" ht="15" hidden="false" customHeight="false" outlineLevel="0" collapsed="false">
      <c r="A2048" s="11" t="s">
        <v>2167</v>
      </c>
      <c r="B2048" s="11" t="n">
        <v>1</v>
      </c>
      <c r="C2048" s="11" t="s">
        <v>2399</v>
      </c>
      <c r="D2048" s="93" t="n">
        <v>0.588</v>
      </c>
      <c r="E2048" s="34" t="n">
        <v>0.6</v>
      </c>
    </row>
    <row r="2049" customFormat="false" ht="15" hidden="false" customHeight="false" outlineLevel="0" collapsed="false">
      <c r="A2049" s="11" t="s">
        <v>2168</v>
      </c>
      <c r="B2049" s="11" t="n">
        <v>1</v>
      </c>
      <c r="C2049" s="11" t="s">
        <v>164</v>
      </c>
      <c r="D2049" s="93" t="n">
        <v>-92.9912</v>
      </c>
      <c r="E2049" s="34" t="n">
        <v>-93</v>
      </c>
    </row>
    <row r="2050" customFormat="false" ht="15" hidden="false" customHeight="false" outlineLevel="0" collapsed="false">
      <c r="A2050" s="11" t="s">
        <v>2168</v>
      </c>
      <c r="B2050" s="11" t="n">
        <v>2</v>
      </c>
      <c r="C2050" s="11" t="s">
        <v>165</v>
      </c>
      <c r="D2050" s="93" t="n">
        <v>0.588</v>
      </c>
      <c r="E2050" s="34" t="n">
        <v>0.6</v>
      </c>
    </row>
    <row r="2051" customFormat="false" ht="15" hidden="false" customHeight="false" outlineLevel="0" collapsed="false">
      <c r="A2051" s="11" t="s">
        <v>2169</v>
      </c>
      <c r="B2051" s="11" t="n">
        <v>1</v>
      </c>
      <c r="C2051" s="11" t="s">
        <v>91</v>
      </c>
      <c r="D2051" s="93" t="n">
        <v>-466.603</v>
      </c>
      <c r="E2051" s="34" t="n">
        <v>-466.6</v>
      </c>
    </row>
    <row r="2052" customFormat="false" ht="15" hidden="false" customHeight="false" outlineLevel="0" collapsed="false">
      <c r="A2052" s="11" t="s">
        <v>2169</v>
      </c>
      <c r="B2052" s="11" t="n">
        <v>2</v>
      </c>
      <c r="C2052" s="11" t="s">
        <v>166</v>
      </c>
      <c r="D2052" s="93" t="n">
        <v>92.4032</v>
      </c>
      <c r="E2052" s="34" t="n">
        <v>92.4</v>
      </c>
    </row>
    <row r="2053" customFormat="false" ht="15" hidden="false" customHeight="false" outlineLevel="0" collapsed="false">
      <c r="A2053" s="11" t="s">
        <v>2170</v>
      </c>
      <c r="B2053" s="11" t="n">
        <v>1</v>
      </c>
      <c r="C2053" s="11" t="s">
        <v>2398</v>
      </c>
      <c r="D2053" s="93" t="n">
        <v>-79.0128</v>
      </c>
      <c r="E2053" s="34" t="n">
        <v>-79</v>
      </c>
    </row>
    <row r="2054" customFormat="false" ht="15" hidden="false" customHeight="false" outlineLevel="0" collapsed="false">
      <c r="A2054" s="11" t="s">
        <v>2170</v>
      </c>
      <c r="B2054" s="11" t="n">
        <v>2</v>
      </c>
      <c r="C2054" s="11" t="s">
        <v>1198</v>
      </c>
      <c r="D2054" s="93" t="n">
        <v>-39</v>
      </c>
      <c r="E2054" s="34" t="n">
        <v>-39</v>
      </c>
    </row>
    <row r="2055" customFormat="false" ht="15" hidden="false" customHeight="false" outlineLevel="0" collapsed="false">
      <c r="A2055" s="11" t="s">
        <v>2170</v>
      </c>
      <c r="B2055" s="11" t="n">
        <v>3</v>
      </c>
      <c r="C2055" s="11" t="s">
        <v>2456</v>
      </c>
      <c r="D2055" s="93" t="n">
        <v>-30.5</v>
      </c>
      <c r="E2055" s="34" t="n">
        <v>-30.5</v>
      </c>
    </row>
    <row r="2056" customFormat="false" ht="15" hidden="false" customHeight="false" outlineLevel="0" collapsed="false">
      <c r="A2056" s="11" t="s">
        <v>2170</v>
      </c>
      <c r="B2056" s="11" t="n">
        <v>4</v>
      </c>
      <c r="C2056" s="11" t="s">
        <v>2348</v>
      </c>
      <c r="D2056" s="93" t="n">
        <v>-35.6081</v>
      </c>
      <c r="E2056" s="34" t="n">
        <v>-35.6</v>
      </c>
    </row>
    <row r="2057" customFormat="false" ht="15" hidden="false" customHeight="false" outlineLevel="0" collapsed="false">
      <c r="A2057" s="11" t="s">
        <v>2171</v>
      </c>
      <c r="B2057" s="11" t="n">
        <v>1</v>
      </c>
      <c r="C2057" s="11" t="s">
        <v>2398</v>
      </c>
      <c r="D2057" s="93" t="n">
        <v>-76.5</v>
      </c>
      <c r="E2057" s="34" t="n">
        <v>-76.5</v>
      </c>
    </row>
    <row r="2058" customFormat="false" ht="15" hidden="false" customHeight="false" outlineLevel="0" collapsed="false">
      <c r="A2058" s="11" t="s">
        <v>2171</v>
      </c>
      <c r="B2058" s="11" t="n">
        <v>2</v>
      </c>
      <c r="C2058" s="11" t="s">
        <v>2399</v>
      </c>
      <c r="D2058" s="93" t="n">
        <v>-10.179</v>
      </c>
      <c r="E2058" s="34" t="n">
        <v>-10.2</v>
      </c>
    </row>
    <row r="2059" customFormat="false" ht="15" hidden="false" customHeight="false" outlineLevel="0" collapsed="false">
      <c r="A2059" s="11" t="s">
        <v>2171</v>
      </c>
      <c r="B2059" s="11" t="n">
        <v>3</v>
      </c>
      <c r="C2059" s="11" t="s">
        <v>2403</v>
      </c>
      <c r="D2059" s="93" t="n">
        <v>-6.368</v>
      </c>
      <c r="E2059" s="34" t="n">
        <v>-6.3</v>
      </c>
    </row>
    <row r="2060" customFormat="false" ht="15" hidden="false" customHeight="false" outlineLevel="0" collapsed="false">
      <c r="A2060" s="11" t="s">
        <v>2172</v>
      </c>
      <c r="B2060" s="11" t="n">
        <v>1</v>
      </c>
      <c r="C2060" s="11" t="s">
        <v>2398</v>
      </c>
      <c r="D2060" s="93" t="n">
        <v>-2.5128</v>
      </c>
      <c r="E2060" s="34" t="n">
        <v>-2.5</v>
      </c>
    </row>
    <row r="2061" customFormat="false" ht="15" hidden="false" customHeight="false" outlineLevel="0" collapsed="false">
      <c r="A2061" s="11" t="s">
        <v>2172</v>
      </c>
      <c r="B2061" s="11" t="n">
        <v>2</v>
      </c>
      <c r="C2061" s="11" t="s">
        <v>1087</v>
      </c>
      <c r="D2061" s="93" t="n">
        <v>0.9</v>
      </c>
      <c r="E2061" s="34" t="n">
        <v>0.9</v>
      </c>
    </row>
    <row r="2062" customFormat="false" ht="15" hidden="false" customHeight="false" outlineLevel="0" collapsed="false">
      <c r="A2062" s="11" t="s">
        <v>2172</v>
      </c>
      <c r="B2062" s="11" t="n">
        <v>3</v>
      </c>
      <c r="C2062" s="11" t="s">
        <v>2399</v>
      </c>
      <c r="D2062" s="93" t="n">
        <v>-0.2601</v>
      </c>
      <c r="E2062" s="34" t="n">
        <v>-0.3</v>
      </c>
    </row>
    <row r="2063" customFormat="false" ht="15" hidden="false" customHeight="false" outlineLevel="0" collapsed="false">
      <c r="A2063" s="11" t="s">
        <v>2172</v>
      </c>
      <c r="B2063" s="11" t="n">
        <v>4</v>
      </c>
      <c r="C2063" s="11" t="s">
        <v>127</v>
      </c>
      <c r="D2063" s="93" t="n">
        <v>-0.201</v>
      </c>
      <c r="E2063" s="34" t="n">
        <v>-0.2</v>
      </c>
    </row>
    <row r="2064" customFormat="false" ht="15" hidden="false" customHeight="false" outlineLevel="0" collapsed="false">
      <c r="A2064" s="11" t="s">
        <v>2173</v>
      </c>
      <c r="B2064" s="11" t="n">
        <v>1</v>
      </c>
      <c r="C2064" s="11" t="s">
        <v>1198</v>
      </c>
      <c r="D2064" s="93" t="n">
        <v>-39</v>
      </c>
      <c r="E2064" s="34" t="n">
        <v>-39</v>
      </c>
    </row>
    <row r="2065" customFormat="false" ht="15" hidden="false" customHeight="false" outlineLevel="0" collapsed="false">
      <c r="A2065" s="11" t="s">
        <v>2173</v>
      </c>
      <c r="B2065" s="11" t="n">
        <v>2</v>
      </c>
      <c r="C2065" s="11" t="s">
        <v>2350</v>
      </c>
      <c r="D2065" s="93" t="n">
        <v>-13</v>
      </c>
      <c r="E2065" s="34" t="n">
        <v>-13</v>
      </c>
    </row>
    <row r="2066" customFormat="false" ht="15" hidden="false" customHeight="false" outlineLevel="0" collapsed="false">
      <c r="A2066" s="11" t="s">
        <v>2173</v>
      </c>
      <c r="B2066" s="11" t="n">
        <v>3</v>
      </c>
      <c r="C2066" s="11" t="s">
        <v>2409</v>
      </c>
      <c r="D2066" s="93" t="n">
        <v>-11</v>
      </c>
      <c r="E2066" s="34" t="n">
        <v>-11</v>
      </c>
    </row>
    <row r="2067" customFormat="false" ht="15" hidden="false" customHeight="false" outlineLevel="0" collapsed="false">
      <c r="A2067" s="11" t="s">
        <v>2173</v>
      </c>
      <c r="B2067" s="11" t="n">
        <v>4</v>
      </c>
      <c r="C2067" s="11" t="s">
        <v>127</v>
      </c>
      <c r="D2067" s="93" t="n">
        <v>-2.5</v>
      </c>
      <c r="E2067" s="34" t="n">
        <v>-2.5</v>
      </c>
    </row>
    <row r="2068" customFormat="false" ht="15" hidden="false" customHeight="false" outlineLevel="0" collapsed="false">
      <c r="A2068" s="11" t="s">
        <v>2174</v>
      </c>
      <c r="B2068" s="11" t="n">
        <v>1</v>
      </c>
      <c r="C2068" s="11" t="s">
        <v>2456</v>
      </c>
      <c r="D2068" s="93" t="n">
        <v>-30.5</v>
      </c>
      <c r="E2068" s="34" t="n">
        <v>-30.5</v>
      </c>
    </row>
    <row r="2069" customFormat="false" ht="15" hidden="false" customHeight="false" outlineLevel="0" collapsed="false">
      <c r="A2069" s="11" t="s">
        <v>2175</v>
      </c>
      <c r="B2069" s="11" t="n">
        <v>1</v>
      </c>
      <c r="C2069" s="11" t="s">
        <v>2351</v>
      </c>
      <c r="D2069" s="93" t="n">
        <v>7</v>
      </c>
      <c r="E2069" s="34" t="n">
        <v>7</v>
      </c>
    </row>
    <row r="2070" customFormat="false" ht="15" hidden="false" customHeight="false" outlineLevel="0" collapsed="false">
      <c r="A2070" s="11" t="s">
        <v>2176</v>
      </c>
      <c r="B2070" s="11" t="n">
        <v>1</v>
      </c>
      <c r="C2070" s="11" t="s">
        <v>91</v>
      </c>
      <c r="D2070" s="93" t="n">
        <v>-466.603</v>
      </c>
      <c r="E2070" s="34" t="n">
        <v>-466.6</v>
      </c>
    </row>
    <row r="2071" customFormat="false" ht="15" hidden="false" customHeight="false" outlineLevel="0" collapsed="false">
      <c r="A2071" s="11" t="s">
        <v>2176</v>
      </c>
      <c r="B2071" s="11" t="n">
        <v>2</v>
      </c>
      <c r="C2071" s="11" t="s">
        <v>168</v>
      </c>
      <c r="D2071" s="93" t="n">
        <v>184.1209</v>
      </c>
      <c r="E2071" s="34" t="n">
        <v>184.1</v>
      </c>
    </row>
    <row r="2072" customFormat="false" ht="15" hidden="false" customHeight="false" outlineLevel="0" collapsed="false">
      <c r="A2072" s="11" t="s">
        <v>2176</v>
      </c>
      <c r="B2072" s="11" t="n">
        <v>3</v>
      </c>
      <c r="C2072" s="11" t="s">
        <v>166</v>
      </c>
      <c r="D2072" s="93" t="n">
        <v>92.4032</v>
      </c>
      <c r="E2072" s="34" t="n">
        <v>92.4</v>
      </c>
    </row>
    <row r="2073" customFormat="false" ht="15" hidden="false" customHeight="false" outlineLevel="0" collapsed="false">
      <c r="A2073" s="11" t="s">
        <v>2177</v>
      </c>
      <c r="B2073" s="11" t="n">
        <v>1</v>
      </c>
      <c r="C2073" s="11" t="s">
        <v>2453</v>
      </c>
      <c r="D2073" s="93" t="n">
        <v>-18</v>
      </c>
      <c r="E2073" s="34" t="n">
        <v>-18</v>
      </c>
    </row>
    <row r="2074" customFormat="false" ht="15" hidden="false" customHeight="false" outlineLevel="0" collapsed="false">
      <c r="A2074" s="11" t="s">
        <v>2177</v>
      </c>
      <c r="B2074" s="11" t="n">
        <v>2</v>
      </c>
      <c r="C2074" s="11" t="s">
        <v>2344</v>
      </c>
      <c r="D2074" s="93" t="n">
        <v>14.36</v>
      </c>
      <c r="E2074" s="34" t="n">
        <v>14.4</v>
      </c>
    </row>
    <row r="2075" customFormat="false" ht="15" hidden="false" customHeight="false" outlineLevel="0" collapsed="false">
      <c r="A2075" s="11" t="s">
        <v>2177</v>
      </c>
      <c r="B2075" s="11" t="n">
        <v>3</v>
      </c>
      <c r="C2075" s="11" t="s">
        <v>2455</v>
      </c>
      <c r="D2075" s="93" t="n">
        <v>-11</v>
      </c>
      <c r="E2075" s="34" t="n">
        <v>-11</v>
      </c>
    </row>
    <row r="2076" customFormat="false" ht="15" hidden="false" customHeight="false" outlineLevel="0" collapsed="false">
      <c r="A2076" s="11" t="s">
        <v>2177</v>
      </c>
      <c r="B2076" s="11" t="n">
        <v>4</v>
      </c>
      <c r="C2076" s="11" t="s">
        <v>127</v>
      </c>
      <c r="D2076" s="93" t="n">
        <v>-3.66665</v>
      </c>
      <c r="E2076" s="34" t="n">
        <v>-3.7</v>
      </c>
    </row>
    <row r="2077" customFormat="false" ht="15" hidden="false" customHeight="false" outlineLevel="0" collapsed="false">
      <c r="A2077" s="11" t="s">
        <v>2178</v>
      </c>
      <c r="B2077" s="11" t="n">
        <v>1</v>
      </c>
      <c r="C2077" s="11" t="s">
        <v>2453</v>
      </c>
      <c r="D2077" s="93" t="n">
        <v>-18</v>
      </c>
      <c r="E2077" s="34" t="n">
        <v>-18</v>
      </c>
    </row>
    <row r="2078" customFormat="false" ht="15" hidden="false" customHeight="false" outlineLevel="0" collapsed="false">
      <c r="A2078" s="11" t="s">
        <v>2178</v>
      </c>
      <c r="B2078" s="11" t="n">
        <v>2</v>
      </c>
      <c r="C2078" s="11" t="s">
        <v>2344</v>
      </c>
      <c r="D2078" s="93" t="n">
        <v>14.36</v>
      </c>
      <c r="E2078" s="34" t="n">
        <v>14.4</v>
      </c>
    </row>
    <row r="2079" customFormat="false" ht="15" hidden="false" customHeight="false" outlineLevel="0" collapsed="false">
      <c r="A2079" s="11" t="s">
        <v>2179</v>
      </c>
      <c r="B2079" s="11" t="n">
        <v>1</v>
      </c>
      <c r="C2079" s="11" t="s">
        <v>2454</v>
      </c>
      <c r="D2079" s="93" t="n">
        <v>-3.66665</v>
      </c>
      <c r="E2079" s="34" t="n">
        <v>-3.7</v>
      </c>
    </row>
    <row r="2080" customFormat="false" ht="15" hidden="false" customHeight="false" outlineLevel="0" collapsed="false">
      <c r="A2080" s="11" t="s">
        <v>2180</v>
      </c>
      <c r="B2080" s="11" t="n">
        <v>1</v>
      </c>
      <c r="C2080" s="11" t="s">
        <v>2455</v>
      </c>
      <c r="D2080" s="93" t="n">
        <v>-11</v>
      </c>
      <c r="E2080" s="34" t="n">
        <v>-11</v>
      </c>
    </row>
    <row r="2081" customFormat="false" ht="15" hidden="false" customHeight="false" outlineLevel="0" collapsed="false">
      <c r="A2081" s="11" t="s">
        <v>2181</v>
      </c>
      <c r="B2081" s="11" t="n">
        <v>1</v>
      </c>
      <c r="C2081" s="11" t="s">
        <v>2398</v>
      </c>
      <c r="D2081" s="93" t="n">
        <v>-142.98</v>
      </c>
      <c r="E2081" s="34" t="n">
        <v>-143</v>
      </c>
    </row>
    <row r="2082" customFormat="false" ht="15" hidden="false" customHeight="false" outlineLevel="0" collapsed="false">
      <c r="A2082" s="11" t="s">
        <v>2181</v>
      </c>
      <c r="B2082" s="11" t="n">
        <v>2</v>
      </c>
      <c r="C2082" s="11" t="s">
        <v>2453</v>
      </c>
      <c r="D2082" s="93" t="n">
        <v>-18.48</v>
      </c>
      <c r="E2082" s="34" t="n">
        <v>-18.5</v>
      </c>
    </row>
    <row r="2083" customFormat="false" ht="15" hidden="false" customHeight="false" outlineLevel="0" collapsed="false">
      <c r="A2083" s="11" t="s">
        <v>2181</v>
      </c>
      <c r="B2083" s="11" t="n">
        <v>3</v>
      </c>
      <c r="C2083" s="11" t="s">
        <v>2455</v>
      </c>
      <c r="D2083" s="93" t="n">
        <v>-16.49998</v>
      </c>
      <c r="E2083" s="34" t="n">
        <v>-16.5</v>
      </c>
    </row>
    <row r="2084" customFormat="false" ht="15" hidden="false" customHeight="false" outlineLevel="0" collapsed="false">
      <c r="A2084" s="11" t="s">
        <v>2181</v>
      </c>
      <c r="B2084" s="11" t="n">
        <v>4</v>
      </c>
      <c r="C2084" s="11" t="s">
        <v>2348</v>
      </c>
      <c r="D2084" s="93" t="n">
        <v>-27.6016</v>
      </c>
      <c r="E2084" s="34" t="n">
        <v>-27.6</v>
      </c>
    </row>
    <row r="2085" customFormat="false" ht="15" hidden="false" customHeight="false" outlineLevel="0" collapsed="false">
      <c r="A2085" s="11" t="s">
        <v>2182</v>
      </c>
      <c r="B2085" s="11" t="n">
        <v>1</v>
      </c>
      <c r="C2085" s="11" t="s">
        <v>2398</v>
      </c>
      <c r="D2085" s="93" t="n">
        <v>-142.98</v>
      </c>
      <c r="E2085" s="34" t="n">
        <v>-143</v>
      </c>
    </row>
    <row r="2086" customFormat="false" ht="15" hidden="false" customHeight="false" outlineLevel="0" collapsed="false">
      <c r="A2086" s="11" t="s">
        <v>2182</v>
      </c>
      <c r="B2086" s="11" t="n">
        <v>2</v>
      </c>
      <c r="C2086" s="11" t="s">
        <v>2403</v>
      </c>
      <c r="D2086" s="93" t="n">
        <v>-12.22425</v>
      </c>
      <c r="E2086" s="34" t="n">
        <v>-12.2</v>
      </c>
    </row>
    <row r="2087" customFormat="false" ht="15" hidden="false" customHeight="false" outlineLevel="0" collapsed="false">
      <c r="A2087" s="11" t="s">
        <v>2182</v>
      </c>
      <c r="B2087" s="11" t="n">
        <v>3</v>
      </c>
      <c r="C2087" s="11" t="s">
        <v>2399</v>
      </c>
      <c r="D2087" s="93" t="n">
        <v>-10.839</v>
      </c>
      <c r="E2087" s="34" t="n">
        <v>-10.9</v>
      </c>
    </row>
    <row r="2088" customFormat="false" ht="15" hidden="false" customHeight="false" outlineLevel="0" collapsed="false">
      <c r="A2088" s="11" t="s">
        <v>2182</v>
      </c>
      <c r="B2088" s="11" t="n">
        <v>4</v>
      </c>
      <c r="C2088" s="11" t="s">
        <v>102</v>
      </c>
      <c r="D2088" s="93" t="n">
        <v>3.375</v>
      </c>
      <c r="E2088" s="34" t="n">
        <v>3.4</v>
      </c>
    </row>
    <row r="2089" customFormat="false" ht="15" hidden="false" customHeight="false" outlineLevel="0" collapsed="false">
      <c r="A2089" s="11" t="s">
        <v>2183</v>
      </c>
      <c r="B2089" s="11" t="n">
        <v>1</v>
      </c>
      <c r="C2089" s="11" t="s">
        <v>2349</v>
      </c>
      <c r="D2089" s="93" t="n">
        <v>6</v>
      </c>
      <c r="E2089" s="34" t="n">
        <v>6</v>
      </c>
    </row>
    <row r="2090" customFormat="false" ht="15" hidden="false" customHeight="false" outlineLevel="0" collapsed="false">
      <c r="A2090" s="11" t="s">
        <v>2184</v>
      </c>
      <c r="B2090" s="11" t="n">
        <v>1</v>
      </c>
      <c r="C2090" s="11" t="s">
        <v>2453</v>
      </c>
      <c r="D2090" s="93" t="n">
        <v>-18.48</v>
      </c>
      <c r="E2090" s="34" t="n">
        <v>-18.5</v>
      </c>
    </row>
    <row r="2091" customFormat="false" ht="15" hidden="false" customHeight="false" outlineLevel="0" collapsed="false">
      <c r="A2091" s="11" t="s">
        <v>2184</v>
      </c>
      <c r="B2091" s="11" t="n">
        <v>2</v>
      </c>
      <c r="C2091" s="11" t="s">
        <v>2344</v>
      </c>
      <c r="D2091" s="93" t="n">
        <v>-6.58</v>
      </c>
      <c r="E2091" s="34" t="n">
        <v>-6.6</v>
      </c>
    </row>
    <row r="2092" customFormat="false" ht="15" hidden="false" customHeight="false" outlineLevel="0" collapsed="false">
      <c r="A2092" s="11" t="s">
        <v>2185</v>
      </c>
      <c r="B2092" s="11" t="n">
        <v>1</v>
      </c>
      <c r="C2092" s="11" t="s">
        <v>2454</v>
      </c>
      <c r="D2092" s="93" t="n">
        <v>-7.33335</v>
      </c>
      <c r="E2092" s="34" t="n">
        <v>-7.3</v>
      </c>
    </row>
    <row r="2093" customFormat="false" ht="15" hidden="false" customHeight="false" outlineLevel="0" collapsed="false">
      <c r="A2093" s="11" t="s">
        <v>2186</v>
      </c>
      <c r="B2093" s="11" t="n">
        <v>1</v>
      </c>
      <c r="C2093" s="11" t="s">
        <v>2455</v>
      </c>
      <c r="D2093" s="93" t="n">
        <v>-16.49998</v>
      </c>
      <c r="E2093" s="34" t="n">
        <v>-16.5</v>
      </c>
    </row>
    <row r="2094" customFormat="false" ht="15" hidden="false" customHeight="false" outlineLevel="0" collapsed="false">
      <c r="A2094" s="11" t="s">
        <v>2187</v>
      </c>
      <c r="B2094" s="11" t="n">
        <v>1</v>
      </c>
      <c r="C2094" s="11" t="s">
        <v>2457</v>
      </c>
      <c r="D2094" s="93" t="n">
        <v>-23</v>
      </c>
      <c r="E2094" s="34" t="n">
        <v>-23</v>
      </c>
    </row>
    <row r="2095" customFormat="false" ht="15" hidden="false" customHeight="false" outlineLevel="0" collapsed="false">
      <c r="A2095" s="11" t="s">
        <v>2187</v>
      </c>
      <c r="B2095" s="11" t="n">
        <v>2</v>
      </c>
      <c r="C2095" s="11" t="s">
        <v>2413</v>
      </c>
      <c r="D2095" s="93" t="n">
        <v>-20</v>
      </c>
      <c r="E2095" s="34" t="n">
        <v>-20</v>
      </c>
    </row>
    <row r="2096" customFormat="false" ht="15" hidden="false" customHeight="false" outlineLevel="0" collapsed="false">
      <c r="A2096" s="11" t="s">
        <v>2187</v>
      </c>
      <c r="B2096" s="11" t="n">
        <v>3</v>
      </c>
      <c r="C2096" s="11" t="s">
        <v>2354</v>
      </c>
      <c r="D2096" s="93" t="n">
        <v>-17</v>
      </c>
      <c r="E2096" s="34" t="n">
        <v>-17</v>
      </c>
    </row>
    <row r="2097" customFormat="false" ht="15" hidden="false" customHeight="false" outlineLevel="0" collapsed="false">
      <c r="A2097" s="11" t="s">
        <v>2187</v>
      </c>
      <c r="B2097" s="11" t="n">
        <v>4</v>
      </c>
      <c r="C2097" s="11" t="s">
        <v>2356</v>
      </c>
      <c r="D2097" s="93" t="n">
        <v>-2.16667</v>
      </c>
      <c r="E2097" s="34" t="n">
        <v>-2.2</v>
      </c>
    </row>
    <row r="2098" customFormat="false" ht="15" hidden="false" customHeight="false" outlineLevel="0" collapsed="false">
      <c r="A2098" s="11" t="s">
        <v>2188</v>
      </c>
      <c r="B2098" s="11" t="n">
        <v>1</v>
      </c>
      <c r="C2098" s="11" t="s">
        <v>2457</v>
      </c>
      <c r="D2098" s="93" t="n">
        <v>-23</v>
      </c>
      <c r="E2098" s="34" t="n">
        <v>-23</v>
      </c>
    </row>
    <row r="2099" customFormat="false" ht="15" hidden="false" customHeight="false" outlineLevel="0" collapsed="false">
      <c r="A2099" s="11" t="s">
        <v>2188</v>
      </c>
      <c r="B2099" s="11" t="n">
        <v>2</v>
      </c>
      <c r="C2099" s="11" t="s">
        <v>2413</v>
      </c>
      <c r="D2099" s="93" t="n">
        <v>-20</v>
      </c>
      <c r="E2099" s="34" t="n">
        <v>-20</v>
      </c>
    </row>
    <row r="2100" customFormat="false" ht="15" hidden="false" customHeight="false" outlineLevel="0" collapsed="false">
      <c r="A2100" s="11" t="s">
        <v>2188</v>
      </c>
      <c r="B2100" s="11" t="n">
        <v>3</v>
      </c>
      <c r="C2100" s="11" t="s">
        <v>2354</v>
      </c>
      <c r="D2100" s="93" t="n">
        <v>-17</v>
      </c>
      <c r="E2100" s="34" t="n">
        <v>-17</v>
      </c>
    </row>
    <row r="2101" customFormat="false" ht="15" hidden="false" customHeight="false" outlineLevel="0" collapsed="false">
      <c r="A2101" s="11" t="s">
        <v>2188</v>
      </c>
      <c r="B2101" s="11" t="n">
        <v>4</v>
      </c>
      <c r="C2101" s="11" t="s">
        <v>102</v>
      </c>
      <c r="D2101" s="93" t="n">
        <v>7</v>
      </c>
      <c r="E2101" s="34" t="n">
        <v>7</v>
      </c>
    </row>
    <row r="2102" customFormat="false" ht="15" hidden="false" customHeight="false" outlineLevel="0" collapsed="false">
      <c r="A2102" s="11" t="s">
        <v>2189</v>
      </c>
      <c r="B2102" s="11" t="n">
        <v>1</v>
      </c>
      <c r="C2102" s="11" t="s">
        <v>2454</v>
      </c>
      <c r="D2102" s="93" t="n">
        <v>-3.66665</v>
      </c>
      <c r="E2102" s="34" t="n">
        <v>-3.7</v>
      </c>
    </row>
    <row r="2103" customFormat="false" ht="15" hidden="false" customHeight="false" outlineLevel="0" collapsed="false">
      <c r="A2103" s="11" t="s">
        <v>2190</v>
      </c>
      <c r="B2103" s="11" t="n">
        <v>1</v>
      </c>
      <c r="C2103" s="11" t="s">
        <v>2455</v>
      </c>
      <c r="D2103" s="93" t="n">
        <v>-5.50002</v>
      </c>
      <c r="E2103" s="34" t="n">
        <v>-5.5</v>
      </c>
    </row>
    <row r="2104" customFormat="false" ht="15" hidden="false" customHeight="false" outlineLevel="0" collapsed="false">
      <c r="A2104" s="11" t="s">
        <v>2191</v>
      </c>
      <c r="B2104" s="11" t="n">
        <v>1</v>
      </c>
      <c r="C2104" s="11" t="s">
        <v>157</v>
      </c>
      <c r="D2104" s="93" t="n">
        <v>-205.56158</v>
      </c>
      <c r="E2104" s="34" t="n">
        <v>-205.5</v>
      </c>
    </row>
    <row r="2105" customFormat="false" ht="15" hidden="false" customHeight="false" outlineLevel="0" collapsed="false">
      <c r="A2105" s="11" t="s">
        <v>2191</v>
      </c>
      <c r="B2105" s="11" t="n">
        <v>2</v>
      </c>
      <c r="C2105" s="11" t="s">
        <v>159</v>
      </c>
      <c r="D2105" s="93" t="n">
        <v>-62.16667</v>
      </c>
      <c r="E2105" s="34" t="n">
        <v>-62.2</v>
      </c>
    </row>
    <row r="2106" customFormat="false" ht="15" hidden="false" customHeight="false" outlineLevel="0" collapsed="false">
      <c r="A2106" s="11" t="s">
        <v>2191</v>
      </c>
      <c r="B2106" s="11" t="n">
        <v>3</v>
      </c>
      <c r="C2106" s="11" t="s">
        <v>170</v>
      </c>
      <c r="D2106" s="93" t="n">
        <v>-18.30665</v>
      </c>
      <c r="E2106" s="34" t="n">
        <v>-18.3</v>
      </c>
    </row>
    <row r="2107" customFormat="false" ht="15" hidden="false" customHeight="false" outlineLevel="0" collapsed="false">
      <c r="A2107" s="11" t="s">
        <v>2192</v>
      </c>
      <c r="B2107" s="11" t="n">
        <v>1</v>
      </c>
      <c r="C2107" s="11" t="s">
        <v>91</v>
      </c>
      <c r="D2107" s="93" t="n">
        <v>-466.603</v>
      </c>
      <c r="E2107" s="34" t="n">
        <v>-466.6</v>
      </c>
    </row>
    <row r="2108" customFormat="false" ht="15" hidden="false" customHeight="false" outlineLevel="0" collapsed="false">
      <c r="A2108" s="11" t="s">
        <v>2192</v>
      </c>
      <c r="B2108" s="11" t="n">
        <v>2</v>
      </c>
      <c r="C2108" s="11" t="s">
        <v>171</v>
      </c>
      <c r="D2108" s="93" t="n">
        <v>286.0349</v>
      </c>
      <c r="E2108" s="34" t="n">
        <v>286.1</v>
      </c>
    </row>
    <row r="2109" customFormat="false" ht="15" hidden="false" customHeight="false" outlineLevel="0" collapsed="false">
      <c r="A2109" s="11" t="s">
        <v>2192</v>
      </c>
      <c r="B2109" s="11" t="n">
        <v>3</v>
      </c>
      <c r="C2109" s="11" t="s">
        <v>168</v>
      </c>
      <c r="D2109" s="93" t="n">
        <v>184.1209</v>
      </c>
      <c r="E2109" s="34" t="n">
        <v>184.1</v>
      </c>
    </row>
    <row r="2110" customFormat="false" ht="15" hidden="false" customHeight="false" outlineLevel="0" collapsed="false">
      <c r="A2110" s="11" t="s">
        <v>2192</v>
      </c>
      <c r="B2110" s="11" t="n">
        <v>4</v>
      </c>
      <c r="C2110" s="11" t="s">
        <v>127</v>
      </c>
      <c r="D2110" s="93" t="n">
        <v>92.4032</v>
      </c>
      <c r="E2110" s="34" t="n">
        <v>92.4</v>
      </c>
    </row>
    <row r="2111" customFormat="false" ht="15" hidden="false" customHeight="false" outlineLevel="0" collapsed="false">
      <c r="A2111" s="11" t="s">
        <v>2193</v>
      </c>
      <c r="B2111" s="11" t="n">
        <v>1</v>
      </c>
      <c r="C2111" s="11" t="s">
        <v>2458</v>
      </c>
      <c r="D2111" s="93" t="n">
        <v>17.5</v>
      </c>
      <c r="E2111" s="34" t="n">
        <v>17.5</v>
      </c>
    </row>
    <row r="2112" customFormat="false" ht="15" hidden="false" customHeight="false" outlineLevel="0" collapsed="false">
      <c r="A2112" s="11" t="s">
        <v>2194</v>
      </c>
      <c r="B2112" s="11" t="n">
        <v>1</v>
      </c>
      <c r="C2112" s="11" t="s">
        <v>2460</v>
      </c>
      <c r="D2112" s="93" t="n">
        <v>-1.5</v>
      </c>
      <c r="E2112" s="34" t="n">
        <v>-1.5</v>
      </c>
    </row>
    <row r="2113" customFormat="false" ht="15" hidden="false" customHeight="false" outlineLevel="0" collapsed="false">
      <c r="A2113" s="11" t="s">
        <v>2195</v>
      </c>
      <c r="B2113" s="11" t="n">
        <v>1</v>
      </c>
      <c r="C2113" s="11" t="s">
        <v>2459</v>
      </c>
      <c r="D2113" s="93" t="n">
        <v>-39.5</v>
      </c>
      <c r="E2113" s="34" t="n">
        <v>-39.5</v>
      </c>
    </row>
    <row r="2114" customFormat="false" ht="15" hidden="false" customHeight="false" outlineLevel="0" collapsed="false">
      <c r="A2114" s="11" t="s">
        <v>2196</v>
      </c>
      <c r="B2114" s="11" t="n">
        <v>1</v>
      </c>
      <c r="C2114" s="11" t="s">
        <v>91</v>
      </c>
      <c r="D2114" s="93" t="n">
        <v>-466.603</v>
      </c>
      <c r="E2114" s="34" t="n">
        <v>-466.6</v>
      </c>
    </row>
    <row r="2115" customFormat="false" ht="15" hidden="false" customHeight="false" outlineLevel="0" collapsed="false">
      <c r="A2115" s="11" t="s">
        <v>2196</v>
      </c>
      <c r="B2115" s="11" t="n">
        <v>2</v>
      </c>
      <c r="C2115" s="11" t="s">
        <v>171</v>
      </c>
      <c r="D2115" s="93" t="n">
        <v>286.0349</v>
      </c>
      <c r="E2115" s="34" t="n">
        <v>286.1</v>
      </c>
    </row>
    <row r="2116" customFormat="false" ht="15" hidden="false" customHeight="false" outlineLevel="0" collapsed="false">
      <c r="A2116" s="11" t="s">
        <v>2196</v>
      </c>
      <c r="B2116" s="11" t="n">
        <v>3</v>
      </c>
      <c r="C2116" s="11" t="s">
        <v>168</v>
      </c>
      <c r="D2116" s="93" t="n">
        <v>184.1209</v>
      </c>
      <c r="E2116" s="34" t="n">
        <v>184.1</v>
      </c>
    </row>
    <row r="2117" customFormat="false" ht="15" hidden="false" customHeight="false" outlineLevel="0" collapsed="false">
      <c r="A2117" s="11" t="s">
        <v>2196</v>
      </c>
      <c r="B2117" s="11" t="n">
        <v>4</v>
      </c>
      <c r="C2117" s="11" t="s">
        <v>2356</v>
      </c>
      <c r="D2117" s="93" t="n">
        <v>150.9032</v>
      </c>
      <c r="E2117" s="34" t="n">
        <v>150.9</v>
      </c>
    </row>
    <row r="2118" customFormat="false" ht="15" hidden="false" customHeight="false" outlineLevel="0" collapsed="false">
      <c r="A2118" s="11" t="s">
        <v>2197</v>
      </c>
      <c r="B2118" s="11" t="n">
        <v>1</v>
      </c>
      <c r="C2118" s="11" t="s">
        <v>2449</v>
      </c>
      <c r="D2118" s="93" t="n">
        <v>-774.513</v>
      </c>
      <c r="E2118" s="34" t="n">
        <v>-774.5</v>
      </c>
    </row>
    <row r="2119" customFormat="false" ht="15" hidden="false" customHeight="false" outlineLevel="0" collapsed="false">
      <c r="A2119" s="11" t="s">
        <v>2197</v>
      </c>
      <c r="B2119" s="11" t="n">
        <v>2</v>
      </c>
      <c r="C2119" s="11" t="s">
        <v>2451</v>
      </c>
      <c r="D2119" s="93" t="n">
        <v>196.813</v>
      </c>
      <c r="E2119" s="34" t="n">
        <v>196.8</v>
      </c>
    </row>
    <row r="2120" customFormat="false" ht="15" hidden="false" customHeight="false" outlineLevel="0" collapsed="false">
      <c r="A2120" s="11" t="s">
        <v>2197</v>
      </c>
      <c r="B2120" s="11" t="n">
        <v>3</v>
      </c>
      <c r="C2120" s="11" t="s">
        <v>2450</v>
      </c>
      <c r="D2120" s="93" t="n">
        <v>141.097</v>
      </c>
      <c r="E2120" s="34" t="n">
        <v>141.1</v>
      </c>
    </row>
    <row r="2121" customFormat="false" ht="15" hidden="false" customHeight="false" outlineLevel="0" collapsed="false">
      <c r="A2121" s="11" t="s">
        <v>2197</v>
      </c>
      <c r="B2121" s="11" t="n">
        <v>4</v>
      </c>
      <c r="C2121" s="11" t="s">
        <v>127</v>
      </c>
      <c r="D2121" s="93" t="n">
        <v>-30</v>
      </c>
      <c r="E2121" s="34" t="n">
        <v>-30</v>
      </c>
    </row>
    <row r="2122" customFormat="false" ht="15" hidden="false" customHeight="false" outlineLevel="0" collapsed="false">
      <c r="A2122" s="11" t="s">
        <v>2198</v>
      </c>
      <c r="B2122" s="11" t="n">
        <v>1</v>
      </c>
      <c r="C2122" s="11" t="s">
        <v>2449</v>
      </c>
      <c r="D2122" s="93" t="n">
        <v>-774.513</v>
      </c>
      <c r="E2122" s="34" t="n">
        <v>-774.5</v>
      </c>
    </row>
    <row r="2123" customFormat="false" ht="15" hidden="false" customHeight="false" outlineLevel="0" collapsed="false">
      <c r="A2123" s="11" t="s">
        <v>2198</v>
      </c>
      <c r="B2123" s="11" t="n">
        <v>2</v>
      </c>
      <c r="C2123" s="11" t="s">
        <v>2451</v>
      </c>
      <c r="D2123" s="93" t="n">
        <v>196.813</v>
      </c>
      <c r="E2123" s="34" t="n">
        <v>196.8</v>
      </c>
    </row>
    <row r="2124" customFormat="false" ht="15" hidden="false" customHeight="false" outlineLevel="0" collapsed="false">
      <c r="A2124" s="11" t="s">
        <v>2198</v>
      </c>
      <c r="B2124" s="11" t="n">
        <v>3</v>
      </c>
      <c r="C2124" s="11" t="s">
        <v>2450</v>
      </c>
      <c r="D2124" s="93" t="n">
        <v>141.097</v>
      </c>
      <c r="E2124" s="34" t="n">
        <v>141.1</v>
      </c>
    </row>
    <row r="2125" customFormat="false" ht="15" hidden="false" customHeight="false" outlineLevel="0" collapsed="false">
      <c r="A2125" s="11" t="s">
        <v>2199</v>
      </c>
      <c r="B2125" s="11" t="n">
        <v>1</v>
      </c>
      <c r="C2125" s="11" t="s">
        <v>2452</v>
      </c>
      <c r="D2125" s="93" t="n">
        <v>-30</v>
      </c>
      <c r="E2125" s="34" t="n">
        <v>-30</v>
      </c>
    </row>
    <row r="2126" customFormat="false" ht="15" hidden="false" customHeight="false" outlineLevel="0" collapsed="false">
      <c r="A2126" s="11" t="s">
        <v>2200</v>
      </c>
      <c r="B2126" s="11" t="n">
        <v>1</v>
      </c>
      <c r="C2126" s="11" t="s">
        <v>2398</v>
      </c>
      <c r="D2126" s="93" t="n">
        <v>-270.756</v>
      </c>
      <c r="E2126" s="34" t="n">
        <v>-270.8</v>
      </c>
    </row>
    <row r="2127" customFormat="false" ht="15" hidden="false" customHeight="false" outlineLevel="0" collapsed="false">
      <c r="A2127" s="11" t="s">
        <v>2200</v>
      </c>
      <c r="B2127" s="11" t="n">
        <v>2</v>
      </c>
      <c r="C2127" s="11" t="s">
        <v>2399</v>
      </c>
      <c r="D2127" s="93" t="n">
        <v>-23.846</v>
      </c>
      <c r="E2127" s="34" t="n">
        <v>-23.8</v>
      </c>
    </row>
    <row r="2128" customFormat="false" ht="15" hidden="false" customHeight="false" outlineLevel="0" collapsed="false">
      <c r="A2128" s="11" t="s">
        <v>2200</v>
      </c>
      <c r="B2128" s="11" t="n">
        <v>3</v>
      </c>
      <c r="C2128" s="11" t="s">
        <v>2403</v>
      </c>
      <c r="D2128" s="93" t="n">
        <v>-22.957</v>
      </c>
      <c r="E2128" s="34" t="n">
        <v>-23</v>
      </c>
    </row>
    <row r="2129" customFormat="false" ht="15" hidden="false" customHeight="false" outlineLevel="0" collapsed="false">
      <c r="A2129" s="11" t="s">
        <v>2200</v>
      </c>
      <c r="B2129" s="11" t="n">
        <v>4</v>
      </c>
      <c r="C2129" s="11" t="s">
        <v>102</v>
      </c>
      <c r="D2129" s="93" t="n">
        <v>7.5</v>
      </c>
      <c r="E2129" s="34" t="n">
        <v>7.5</v>
      </c>
    </row>
    <row r="2130" customFormat="false" ht="15" hidden="false" customHeight="false" outlineLevel="0" collapsed="false">
      <c r="A2130" s="11" t="s">
        <v>2201</v>
      </c>
      <c r="B2130" s="11" t="n">
        <v>1</v>
      </c>
      <c r="C2130" s="11" t="s">
        <v>2398</v>
      </c>
      <c r="D2130" s="93" t="n">
        <v>-190.64</v>
      </c>
      <c r="E2130" s="34" t="n">
        <v>-190.6</v>
      </c>
    </row>
    <row r="2131" customFormat="false" ht="15" hidden="false" customHeight="false" outlineLevel="0" collapsed="false">
      <c r="A2131" s="11" t="s">
        <v>2201</v>
      </c>
      <c r="B2131" s="11" t="n">
        <v>2</v>
      </c>
      <c r="C2131" s="11" t="s">
        <v>2403</v>
      </c>
      <c r="D2131" s="93" t="n">
        <v>-16.299</v>
      </c>
      <c r="E2131" s="34" t="n">
        <v>-16.3</v>
      </c>
    </row>
    <row r="2132" customFormat="false" ht="15" hidden="false" customHeight="false" outlineLevel="0" collapsed="false">
      <c r="A2132" s="11" t="s">
        <v>2201</v>
      </c>
      <c r="B2132" s="11" t="n">
        <v>3</v>
      </c>
      <c r="C2132" s="11" t="s">
        <v>2399</v>
      </c>
      <c r="D2132" s="93" t="n">
        <v>-14.452</v>
      </c>
      <c r="E2132" s="34" t="n">
        <v>-14.5</v>
      </c>
    </row>
    <row r="2133" customFormat="false" ht="15" hidden="false" customHeight="false" outlineLevel="0" collapsed="false">
      <c r="A2133" s="11" t="s">
        <v>2201</v>
      </c>
      <c r="B2133" s="11" t="n">
        <v>4</v>
      </c>
      <c r="C2133" s="11" t="s">
        <v>102</v>
      </c>
      <c r="D2133" s="93" t="n">
        <v>4.5</v>
      </c>
      <c r="E2133" s="34" t="n">
        <v>4.5</v>
      </c>
    </row>
    <row r="2134" customFormat="false" ht="15" hidden="false" customHeight="false" outlineLevel="0" collapsed="false">
      <c r="A2134" s="11" t="s">
        <v>2202</v>
      </c>
      <c r="B2134" s="11" t="n">
        <v>1</v>
      </c>
      <c r="C2134" s="11" t="s">
        <v>2398</v>
      </c>
      <c r="D2134" s="93" t="n">
        <v>-8.376</v>
      </c>
      <c r="E2134" s="34" t="n">
        <v>-8.4</v>
      </c>
    </row>
    <row r="2135" customFormat="false" ht="15" hidden="false" customHeight="false" outlineLevel="0" collapsed="false">
      <c r="A2135" s="11" t="s">
        <v>2202</v>
      </c>
      <c r="B2135" s="11" t="n">
        <v>2</v>
      </c>
      <c r="C2135" s="11" t="s">
        <v>1087</v>
      </c>
      <c r="D2135" s="93" t="n">
        <v>3</v>
      </c>
      <c r="E2135" s="34" t="n">
        <v>3</v>
      </c>
    </row>
    <row r="2136" customFormat="false" ht="15" hidden="false" customHeight="false" outlineLevel="0" collapsed="false">
      <c r="A2136" s="11" t="s">
        <v>2202</v>
      </c>
      <c r="B2136" s="11" t="n">
        <v>3</v>
      </c>
      <c r="C2136" s="11" t="s">
        <v>2399</v>
      </c>
      <c r="D2136" s="93" t="n">
        <v>-0.867</v>
      </c>
      <c r="E2136" s="34" t="n">
        <v>-0.8</v>
      </c>
    </row>
    <row r="2137" customFormat="false" ht="15" hidden="false" customHeight="false" outlineLevel="0" collapsed="false">
      <c r="A2137" s="11" t="s">
        <v>2202</v>
      </c>
      <c r="B2137" s="11" t="n">
        <v>4</v>
      </c>
      <c r="C2137" s="11" t="s">
        <v>127</v>
      </c>
      <c r="D2137" s="93" t="n">
        <v>-0.67</v>
      </c>
      <c r="E2137" s="34" t="n">
        <v>-0.7</v>
      </c>
    </row>
    <row r="2138" customFormat="false" ht="15" hidden="false" customHeight="false" outlineLevel="0" collapsed="false">
      <c r="A2138" s="11" t="s">
        <v>2203</v>
      </c>
      <c r="B2138" s="11" t="n">
        <v>1</v>
      </c>
      <c r="C2138" s="11" t="s">
        <v>2398</v>
      </c>
      <c r="D2138" s="93" t="n">
        <v>4.76</v>
      </c>
      <c r="E2138" s="34" t="n">
        <v>4.7</v>
      </c>
    </row>
    <row r="2139" customFormat="false" ht="15" hidden="false" customHeight="false" outlineLevel="0" collapsed="false">
      <c r="A2139" s="11" t="s">
        <v>2203</v>
      </c>
      <c r="B2139" s="11" t="n">
        <v>2</v>
      </c>
      <c r="C2139" s="11" t="s">
        <v>2399</v>
      </c>
      <c r="D2139" s="93" t="n">
        <v>1.064</v>
      </c>
      <c r="E2139" s="34" t="n">
        <v>1.1</v>
      </c>
    </row>
    <row r="2140" customFormat="false" ht="15" hidden="false" customHeight="false" outlineLevel="0" collapsed="false">
      <c r="A2140" s="11" t="s">
        <v>2203</v>
      </c>
      <c r="B2140" s="11" t="n">
        <v>3</v>
      </c>
      <c r="C2140" s="11" t="s">
        <v>2403</v>
      </c>
      <c r="D2140" s="93" t="n">
        <v>0.38</v>
      </c>
      <c r="E2140" s="34" t="n">
        <v>0.4</v>
      </c>
    </row>
    <row r="2141" customFormat="false" ht="15" hidden="false" customHeight="false" outlineLevel="0" collapsed="false">
      <c r="A2141" s="11" t="s">
        <v>2204</v>
      </c>
      <c r="B2141" s="11" t="n">
        <v>1</v>
      </c>
      <c r="C2141" s="11" t="s">
        <v>2399</v>
      </c>
      <c r="D2141" s="93" t="n">
        <v>0.588</v>
      </c>
      <c r="E2141" s="34" t="n">
        <v>0.6</v>
      </c>
    </row>
    <row r="2142" customFormat="false" ht="15" hidden="false" customHeight="false" outlineLevel="0" collapsed="false">
      <c r="A2142" s="11" t="s">
        <v>2205</v>
      </c>
      <c r="B2142" s="11" t="n">
        <v>1</v>
      </c>
      <c r="C2142" s="11" t="s">
        <v>2398</v>
      </c>
      <c r="D2142" s="93" t="n">
        <v>-76.5</v>
      </c>
      <c r="E2142" s="34" t="n">
        <v>-76.5</v>
      </c>
    </row>
    <row r="2143" customFormat="false" ht="15" hidden="false" customHeight="false" outlineLevel="0" collapsed="false">
      <c r="A2143" s="11" t="s">
        <v>2205</v>
      </c>
      <c r="B2143" s="11" t="n">
        <v>2</v>
      </c>
      <c r="C2143" s="11" t="s">
        <v>2399</v>
      </c>
      <c r="D2143" s="93" t="n">
        <v>-10.179</v>
      </c>
      <c r="E2143" s="34" t="n">
        <v>-10.2</v>
      </c>
    </row>
    <row r="2144" customFormat="false" ht="15" hidden="false" customHeight="false" outlineLevel="0" collapsed="false">
      <c r="A2144" s="11" t="s">
        <v>2205</v>
      </c>
      <c r="B2144" s="11" t="n">
        <v>3</v>
      </c>
      <c r="C2144" s="11" t="s">
        <v>2403</v>
      </c>
      <c r="D2144" s="93" t="n">
        <v>-6.368</v>
      </c>
      <c r="E2144" s="34" t="n">
        <v>-6.3</v>
      </c>
    </row>
    <row r="2145" customFormat="false" ht="15" hidden="false" customHeight="false" outlineLevel="0" collapsed="false">
      <c r="A2145" s="11" t="s">
        <v>2206</v>
      </c>
      <c r="B2145" s="11" t="n">
        <v>1</v>
      </c>
      <c r="C2145" s="11" t="s">
        <v>2453</v>
      </c>
      <c r="D2145" s="93" t="n">
        <v>-48</v>
      </c>
      <c r="E2145" s="34" t="n">
        <v>-48</v>
      </c>
    </row>
    <row r="2146" customFormat="false" ht="15" hidden="false" customHeight="false" outlineLevel="0" collapsed="false">
      <c r="A2146" s="11" t="s">
        <v>2206</v>
      </c>
      <c r="B2146" s="11" t="n">
        <v>2</v>
      </c>
      <c r="C2146" s="11" t="s">
        <v>2351</v>
      </c>
      <c r="D2146" s="93" t="n">
        <v>7</v>
      </c>
      <c r="E2146" s="34" t="n">
        <v>7</v>
      </c>
    </row>
    <row r="2147" customFormat="false" ht="15" hidden="false" customHeight="false" outlineLevel="0" collapsed="false">
      <c r="A2147" s="11" t="s">
        <v>2206</v>
      </c>
      <c r="B2147" s="11" t="n">
        <v>3</v>
      </c>
      <c r="C2147" s="11" t="s">
        <v>2349</v>
      </c>
      <c r="D2147" s="93" t="n">
        <v>6</v>
      </c>
      <c r="E2147" s="34" t="n">
        <v>6</v>
      </c>
    </row>
    <row r="2148" customFormat="false" ht="15" hidden="false" customHeight="false" outlineLevel="0" collapsed="false">
      <c r="A2148" s="11" t="s">
        <v>2206</v>
      </c>
      <c r="B2148" s="11" t="n">
        <v>4</v>
      </c>
      <c r="C2148" s="11" t="s">
        <v>109</v>
      </c>
      <c r="D2148" s="93" t="n">
        <v>-2.5</v>
      </c>
      <c r="E2148" s="34" t="n">
        <v>-2.5</v>
      </c>
    </row>
    <row r="2149" customFormat="false" ht="15" hidden="false" customHeight="false" outlineLevel="0" collapsed="false">
      <c r="A2149" s="11" t="s">
        <v>2207</v>
      </c>
      <c r="B2149" s="11" t="n">
        <v>1</v>
      </c>
      <c r="C2149" s="11" t="s">
        <v>2351</v>
      </c>
      <c r="D2149" s="93" t="n">
        <v>7</v>
      </c>
      <c r="E2149" s="34" t="n">
        <v>7</v>
      </c>
    </row>
    <row r="2150" customFormat="false" ht="15" hidden="false" customHeight="false" outlineLevel="0" collapsed="false">
      <c r="A2150" s="11" t="s">
        <v>2207</v>
      </c>
      <c r="B2150" s="11" t="n">
        <v>2</v>
      </c>
      <c r="C2150" s="11" t="s">
        <v>2349</v>
      </c>
      <c r="D2150" s="93" t="n">
        <v>6</v>
      </c>
      <c r="E2150" s="34" t="n">
        <v>6</v>
      </c>
    </row>
    <row r="2151" customFormat="false" ht="15" hidden="false" customHeight="false" outlineLevel="0" collapsed="false">
      <c r="A2151" s="11" t="s">
        <v>2207</v>
      </c>
      <c r="B2151" s="11" t="n">
        <v>3</v>
      </c>
      <c r="C2151" s="11" t="s">
        <v>2342</v>
      </c>
      <c r="D2151" s="93" t="n">
        <v>-2</v>
      </c>
      <c r="E2151" s="34" t="n">
        <v>-2</v>
      </c>
    </row>
    <row r="2152" customFormat="false" ht="15" hidden="false" customHeight="false" outlineLevel="0" collapsed="false">
      <c r="A2152" s="11" t="s">
        <v>2207</v>
      </c>
      <c r="B2152" s="11" t="n">
        <v>4</v>
      </c>
      <c r="C2152" s="11" t="s">
        <v>102</v>
      </c>
      <c r="D2152" s="93" t="n">
        <v>-0.5</v>
      </c>
      <c r="E2152" s="34" t="n">
        <v>-0.5</v>
      </c>
    </row>
    <row r="2153" customFormat="false" ht="15" hidden="false" customHeight="false" outlineLevel="0" collapsed="false">
      <c r="A2153" s="11" t="s">
        <v>2208</v>
      </c>
      <c r="B2153" s="11" t="n">
        <v>1</v>
      </c>
      <c r="C2153" s="11" t="s">
        <v>2453</v>
      </c>
      <c r="D2153" s="93" t="n">
        <v>-48</v>
      </c>
      <c r="E2153" s="34" t="n">
        <v>-48</v>
      </c>
    </row>
    <row r="2154" customFormat="false" ht="15" hidden="false" customHeight="false" outlineLevel="0" collapsed="false">
      <c r="A2154" s="11" t="s">
        <v>2209</v>
      </c>
      <c r="B2154" s="11" t="n">
        <v>1</v>
      </c>
      <c r="C2154" s="11" t="s">
        <v>1198</v>
      </c>
      <c r="D2154" s="93" t="n">
        <v>-39</v>
      </c>
      <c r="E2154" s="34" t="n">
        <v>-39</v>
      </c>
    </row>
    <row r="2155" customFormat="false" ht="15" hidden="false" customHeight="false" outlineLevel="0" collapsed="false">
      <c r="A2155" s="11" t="s">
        <v>2209</v>
      </c>
      <c r="B2155" s="11" t="n">
        <v>2</v>
      </c>
      <c r="C2155" s="11" t="s">
        <v>2457</v>
      </c>
      <c r="D2155" s="93" t="n">
        <v>-23</v>
      </c>
      <c r="E2155" s="34" t="n">
        <v>-23</v>
      </c>
    </row>
    <row r="2156" customFormat="false" ht="15" hidden="false" customHeight="false" outlineLevel="0" collapsed="false">
      <c r="A2156" s="11" t="s">
        <v>2209</v>
      </c>
      <c r="B2156" s="11" t="n">
        <v>3</v>
      </c>
      <c r="C2156" s="11" t="s">
        <v>2413</v>
      </c>
      <c r="D2156" s="93" t="n">
        <v>-20</v>
      </c>
      <c r="E2156" s="34" t="n">
        <v>-20</v>
      </c>
    </row>
    <row r="2157" customFormat="false" ht="15" hidden="false" customHeight="false" outlineLevel="0" collapsed="false">
      <c r="A2157" s="11" t="s">
        <v>2209</v>
      </c>
      <c r="B2157" s="11" t="n">
        <v>4</v>
      </c>
      <c r="C2157" s="11" t="s">
        <v>2416</v>
      </c>
      <c r="D2157" s="93" t="n">
        <v>-36.5</v>
      </c>
      <c r="E2157" s="34" t="n">
        <v>-36.5</v>
      </c>
    </row>
    <row r="2158" customFormat="false" ht="15" hidden="false" customHeight="false" outlineLevel="0" collapsed="false">
      <c r="A2158" s="11" t="s">
        <v>2210</v>
      </c>
      <c r="B2158" s="11" t="n">
        <v>1</v>
      </c>
      <c r="C2158" s="11" t="s">
        <v>1198</v>
      </c>
      <c r="D2158" s="93" t="n">
        <v>-39</v>
      </c>
      <c r="E2158" s="34" t="n">
        <v>-39</v>
      </c>
    </row>
    <row r="2159" customFormat="false" ht="15" hidden="false" customHeight="false" outlineLevel="0" collapsed="false">
      <c r="A2159" s="11" t="s">
        <v>2210</v>
      </c>
      <c r="B2159" s="11" t="n">
        <v>2</v>
      </c>
      <c r="C2159" s="11" t="s">
        <v>2350</v>
      </c>
      <c r="D2159" s="93" t="n">
        <v>-13</v>
      </c>
      <c r="E2159" s="34" t="n">
        <v>-13</v>
      </c>
    </row>
    <row r="2160" customFormat="false" ht="15" hidden="false" customHeight="false" outlineLevel="0" collapsed="false">
      <c r="A2160" s="11" t="s">
        <v>2210</v>
      </c>
      <c r="B2160" s="11" t="n">
        <v>3</v>
      </c>
      <c r="C2160" s="11" t="s">
        <v>2409</v>
      </c>
      <c r="D2160" s="93" t="n">
        <v>-11</v>
      </c>
      <c r="E2160" s="34" t="n">
        <v>-11</v>
      </c>
    </row>
    <row r="2161" customFormat="false" ht="15" hidden="false" customHeight="false" outlineLevel="0" collapsed="false">
      <c r="A2161" s="11" t="s">
        <v>2210</v>
      </c>
      <c r="B2161" s="11" t="n">
        <v>4</v>
      </c>
      <c r="C2161" s="11" t="s">
        <v>127</v>
      </c>
      <c r="D2161" s="93" t="n">
        <v>-2.5</v>
      </c>
      <c r="E2161" s="34" t="n">
        <v>-2.5</v>
      </c>
    </row>
    <row r="2162" customFormat="false" ht="15" hidden="false" customHeight="false" outlineLevel="0" collapsed="false">
      <c r="A2162" s="11" t="s">
        <v>2211</v>
      </c>
      <c r="B2162" s="11" t="n">
        <v>1</v>
      </c>
      <c r="C2162" s="11" t="s">
        <v>2457</v>
      </c>
      <c r="D2162" s="93" t="n">
        <v>-23</v>
      </c>
      <c r="E2162" s="34" t="n">
        <v>-23</v>
      </c>
    </row>
    <row r="2163" customFormat="false" ht="15" hidden="false" customHeight="false" outlineLevel="0" collapsed="false">
      <c r="A2163" s="11" t="s">
        <v>2211</v>
      </c>
      <c r="B2163" s="11" t="n">
        <v>2</v>
      </c>
      <c r="C2163" s="11" t="s">
        <v>2413</v>
      </c>
      <c r="D2163" s="93" t="n">
        <v>-20</v>
      </c>
      <c r="E2163" s="34" t="n">
        <v>-20</v>
      </c>
    </row>
    <row r="2164" customFormat="false" ht="15" hidden="false" customHeight="false" outlineLevel="0" collapsed="false">
      <c r="A2164" s="11" t="s">
        <v>2211</v>
      </c>
      <c r="B2164" s="11" t="n">
        <v>3</v>
      </c>
      <c r="C2164" s="11" t="s">
        <v>2354</v>
      </c>
      <c r="D2164" s="93" t="n">
        <v>-17</v>
      </c>
      <c r="E2164" s="34" t="n">
        <v>-17</v>
      </c>
    </row>
    <row r="2165" customFormat="false" ht="15" hidden="false" customHeight="false" outlineLevel="0" collapsed="false">
      <c r="A2165" s="11" t="s">
        <v>2211</v>
      </c>
      <c r="B2165" s="11" t="n">
        <v>4</v>
      </c>
      <c r="C2165" s="11" t="s">
        <v>102</v>
      </c>
      <c r="D2165" s="93" t="n">
        <v>7</v>
      </c>
      <c r="E2165" s="34" t="n">
        <v>7</v>
      </c>
    </row>
    <row r="2166" customFormat="false" ht="15" hidden="false" customHeight="false" outlineLevel="0" collapsed="false">
      <c r="A2166" s="11" t="s">
        <v>2212</v>
      </c>
      <c r="B2166" s="11" t="n">
        <v>1</v>
      </c>
      <c r="C2166" s="11" t="s">
        <v>2455</v>
      </c>
      <c r="D2166" s="93" t="n">
        <v>-44</v>
      </c>
      <c r="E2166" s="34" t="n">
        <v>-44</v>
      </c>
    </row>
    <row r="2167" customFormat="false" ht="15" hidden="false" customHeight="false" outlineLevel="0" collapsed="false">
      <c r="A2167" s="11" t="s">
        <v>2212</v>
      </c>
      <c r="B2167" s="11" t="n">
        <v>2</v>
      </c>
      <c r="C2167" s="11" t="s">
        <v>2456</v>
      </c>
      <c r="D2167" s="93" t="n">
        <v>-30.5</v>
      </c>
      <c r="E2167" s="34" t="n">
        <v>-30.5</v>
      </c>
    </row>
    <row r="2168" customFormat="false" ht="15" hidden="false" customHeight="false" outlineLevel="0" collapsed="false">
      <c r="A2168" s="11" t="s">
        <v>2212</v>
      </c>
      <c r="B2168" s="11" t="n">
        <v>3</v>
      </c>
      <c r="C2168" s="11" t="s">
        <v>2454</v>
      </c>
      <c r="D2168" s="93" t="n">
        <v>-22</v>
      </c>
      <c r="E2168" s="34" t="n">
        <v>-22</v>
      </c>
    </row>
    <row r="2169" customFormat="false" ht="15" hidden="false" customHeight="false" outlineLevel="0" collapsed="false">
      <c r="A2169" s="11" t="s">
        <v>2213</v>
      </c>
      <c r="B2169" s="11" t="n">
        <v>1</v>
      </c>
      <c r="C2169" s="11" t="s">
        <v>2456</v>
      </c>
      <c r="D2169" s="93" t="n">
        <v>-30.5</v>
      </c>
      <c r="E2169" s="34" t="n">
        <v>-30.5</v>
      </c>
    </row>
    <row r="2170" customFormat="false" ht="15" hidden="false" customHeight="false" outlineLevel="0" collapsed="false">
      <c r="A2170" s="11" t="s">
        <v>2214</v>
      </c>
      <c r="B2170" s="11" t="n">
        <v>1</v>
      </c>
      <c r="C2170" s="11" t="s">
        <v>2454</v>
      </c>
      <c r="D2170" s="93" t="n">
        <v>-22</v>
      </c>
      <c r="E2170" s="34" t="n">
        <v>-22</v>
      </c>
    </row>
    <row r="2171" customFormat="false" ht="15" hidden="false" customHeight="false" outlineLevel="0" collapsed="false">
      <c r="A2171" s="11" t="s">
        <v>2215</v>
      </c>
      <c r="B2171" s="11" t="n">
        <v>1</v>
      </c>
      <c r="C2171" s="11" t="s">
        <v>2455</v>
      </c>
      <c r="D2171" s="93" t="n">
        <v>-44</v>
      </c>
      <c r="E2171" s="34" t="n">
        <v>-44</v>
      </c>
    </row>
    <row r="2172" customFormat="false" ht="15" hidden="false" customHeight="false" outlineLevel="0" collapsed="false">
      <c r="A2172" s="11" t="s">
        <v>2216</v>
      </c>
      <c r="B2172" s="11" t="n">
        <v>1</v>
      </c>
      <c r="C2172" s="11" t="s">
        <v>316</v>
      </c>
      <c r="D2172" s="93" t="n">
        <v>-310.059</v>
      </c>
      <c r="E2172" s="34" t="n">
        <v>-310.1</v>
      </c>
    </row>
    <row r="2173" customFormat="false" ht="15" hidden="false" customHeight="false" outlineLevel="0" collapsed="false">
      <c r="A2173" s="11" t="s">
        <v>2216</v>
      </c>
      <c r="B2173" s="11" t="n">
        <v>2</v>
      </c>
      <c r="C2173" s="11" t="s">
        <v>331</v>
      </c>
      <c r="D2173" s="93" t="n">
        <v>-118.5</v>
      </c>
      <c r="E2173" s="34" t="n">
        <v>-118.5</v>
      </c>
    </row>
    <row r="2174" customFormat="false" ht="15" hidden="false" customHeight="false" outlineLevel="0" collapsed="false">
      <c r="A2174" s="11" t="s">
        <v>2216</v>
      </c>
      <c r="B2174" s="11" t="n">
        <v>3</v>
      </c>
      <c r="C2174" s="11" t="s">
        <v>334</v>
      </c>
      <c r="D2174" s="93" t="n">
        <v>-96.5</v>
      </c>
      <c r="E2174" s="34" t="n">
        <v>-96.5</v>
      </c>
    </row>
    <row r="2175" customFormat="false" ht="15" hidden="false" customHeight="false" outlineLevel="0" collapsed="false">
      <c r="A2175" s="11" t="s">
        <v>2216</v>
      </c>
      <c r="B2175" s="11" t="n">
        <v>4</v>
      </c>
      <c r="C2175" s="11" t="s">
        <v>127</v>
      </c>
      <c r="D2175" s="93" t="n">
        <v>-37.5</v>
      </c>
      <c r="E2175" s="34" t="n">
        <v>-37.5</v>
      </c>
    </row>
    <row r="2176" customFormat="false" ht="15" hidden="false" customHeight="false" outlineLevel="0" collapsed="false">
      <c r="A2176" s="11" t="s">
        <v>2217</v>
      </c>
      <c r="B2176" s="11" t="n">
        <v>1</v>
      </c>
      <c r="C2176" s="11" t="s">
        <v>339</v>
      </c>
      <c r="D2176" s="93" t="n">
        <v>562.559</v>
      </c>
      <c r="E2176" s="34" t="n">
        <v>562.6</v>
      </c>
    </row>
    <row r="2177" customFormat="false" ht="15" hidden="false" customHeight="false" outlineLevel="0" collapsed="false">
      <c r="A2177" s="11" t="s">
        <v>2217</v>
      </c>
      <c r="B2177" s="11" t="n">
        <v>2</v>
      </c>
      <c r="C2177" s="11" t="s">
        <v>312</v>
      </c>
      <c r="D2177" s="93" t="n">
        <v>-466.603</v>
      </c>
      <c r="E2177" s="34" t="n">
        <v>-466.6</v>
      </c>
    </row>
    <row r="2178" customFormat="false" ht="15" hidden="false" customHeight="false" outlineLevel="0" collapsed="false">
      <c r="A2178" s="11" t="s">
        <v>2218</v>
      </c>
      <c r="B2178" s="11" t="n">
        <v>1</v>
      </c>
      <c r="C2178" s="11" t="s">
        <v>160</v>
      </c>
      <c r="D2178" s="93" t="n">
        <v>17.5</v>
      </c>
      <c r="E2178" s="34" t="n">
        <v>17.5</v>
      </c>
    </row>
    <row r="2179" customFormat="false" ht="15" hidden="false" customHeight="false" outlineLevel="0" collapsed="false">
      <c r="A2179" s="11" t="s">
        <v>2218</v>
      </c>
      <c r="B2179" s="11" t="n">
        <v>2</v>
      </c>
      <c r="C2179" s="11" t="s">
        <v>161</v>
      </c>
      <c r="D2179" s="93" t="n">
        <v>1.5</v>
      </c>
      <c r="E2179" s="34" t="n">
        <v>1.5</v>
      </c>
    </row>
    <row r="2180" customFormat="false" ht="15" hidden="false" customHeight="false" outlineLevel="0" collapsed="false">
      <c r="A2180" s="11" t="s">
        <v>2219</v>
      </c>
      <c r="B2180" s="11" t="n">
        <v>1</v>
      </c>
      <c r="C2180" s="11" t="s">
        <v>2458</v>
      </c>
      <c r="D2180" s="93" t="n">
        <v>17.5</v>
      </c>
      <c r="E2180" s="34" t="n">
        <v>17.5</v>
      </c>
    </row>
    <row r="2181" customFormat="false" ht="15" hidden="false" customHeight="false" outlineLevel="0" collapsed="false">
      <c r="A2181" s="11" t="s">
        <v>2220</v>
      </c>
      <c r="B2181" s="11" t="n">
        <v>1</v>
      </c>
      <c r="C2181" s="11" t="s">
        <v>2460</v>
      </c>
      <c r="D2181" s="93" t="n">
        <v>-1.5</v>
      </c>
      <c r="E2181" s="34" t="n">
        <v>-1.5</v>
      </c>
    </row>
    <row r="2182" customFormat="false" ht="15" hidden="false" customHeight="false" outlineLevel="0" collapsed="false">
      <c r="A2182" s="11" t="s">
        <v>2221</v>
      </c>
      <c r="B2182" s="11" t="n">
        <v>1</v>
      </c>
      <c r="C2182" s="11" t="s">
        <v>2459</v>
      </c>
      <c r="D2182" s="93" t="n">
        <v>-39.5</v>
      </c>
      <c r="E2182" s="34" t="n">
        <v>-39.5</v>
      </c>
    </row>
    <row r="2183" customFormat="false" ht="15" hidden="false" customHeight="false" outlineLevel="0" collapsed="false">
      <c r="A2183" s="11" t="s">
        <v>2222</v>
      </c>
      <c r="B2183" s="11" t="n">
        <v>1</v>
      </c>
      <c r="C2183" s="11" t="s">
        <v>339</v>
      </c>
      <c r="D2183" s="93" t="n">
        <v>562.559</v>
      </c>
      <c r="E2183" s="34" t="n">
        <v>562.6</v>
      </c>
    </row>
    <row r="2184" customFormat="false" ht="15" hidden="false" customHeight="false" outlineLevel="0" collapsed="false">
      <c r="A2184" s="11" t="s">
        <v>2222</v>
      </c>
      <c r="B2184" s="11" t="n">
        <v>2</v>
      </c>
      <c r="C2184" s="11" t="s">
        <v>312</v>
      </c>
      <c r="D2184" s="93" t="n">
        <v>-466.603</v>
      </c>
      <c r="E2184" s="34" t="n">
        <v>-466.6</v>
      </c>
    </row>
    <row r="2185" customFormat="false" ht="15" hidden="false" customHeight="false" outlineLevel="0" collapsed="false">
      <c r="A2185" s="11" t="s">
        <v>2222</v>
      </c>
      <c r="B2185" s="11" t="n">
        <v>3</v>
      </c>
      <c r="C2185" s="11" t="s">
        <v>126</v>
      </c>
      <c r="D2185" s="93" t="n">
        <v>39.5</v>
      </c>
      <c r="E2185" s="34" t="n">
        <v>39.5</v>
      </c>
    </row>
    <row r="2186" customFormat="false" ht="15" hidden="false" customHeight="false" outlineLevel="0" collapsed="false">
      <c r="A2186" s="11" t="s">
        <v>2222</v>
      </c>
      <c r="B2186" s="11" t="n">
        <v>4</v>
      </c>
      <c r="C2186" s="11" t="s">
        <v>102</v>
      </c>
      <c r="D2186" s="93" t="n">
        <v>19</v>
      </c>
      <c r="E2186" s="34" t="n">
        <v>19</v>
      </c>
    </row>
    <row r="2187" customFormat="false" ht="15" hidden="false" customHeight="false" outlineLevel="0" collapsed="false">
      <c r="A2187" s="11" t="s">
        <v>2223</v>
      </c>
      <c r="B2187" s="11" t="n">
        <v>1</v>
      </c>
      <c r="C2187" s="11" t="s">
        <v>2449</v>
      </c>
      <c r="D2187" s="93" t="n">
        <v>35.283</v>
      </c>
      <c r="E2187" s="34" t="n">
        <v>35.3</v>
      </c>
    </row>
    <row r="2188" customFormat="false" ht="15" hidden="false" customHeight="false" outlineLevel="0" collapsed="false">
      <c r="A2188" s="11" t="s">
        <v>2223</v>
      </c>
      <c r="B2188" s="11" t="n">
        <v>2</v>
      </c>
      <c r="C2188" s="11" t="s">
        <v>2451</v>
      </c>
      <c r="D2188" s="93" t="n">
        <v>-30.045</v>
      </c>
      <c r="E2188" s="34" t="n">
        <v>-30.1</v>
      </c>
    </row>
    <row r="2189" customFormat="false" ht="15" hidden="false" customHeight="false" outlineLevel="0" collapsed="false">
      <c r="A2189" s="11" t="s">
        <v>2224</v>
      </c>
      <c r="B2189" s="11" t="n">
        <v>1</v>
      </c>
      <c r="C2189" s="11" t="s">
        <v>2452</v>
      </c>
      <c r="D2189" s="93" t="n">
        <v>-5</v>
      </c>
      <c r="E2189" s="34" t="n">
        <v>-5</v>
      </c>
    </row>
    <row r="2190" customFormat="false" ht="15" hidden="false" customHeight="false" outlineLevel="0" collapsed="false">
      <c r="A2190" s="11" t="s">
        <v>2225</v>
      </c>
      <c r="B2190" s="11" t="n">
        <v>1</v>
      </c>
      <c r="C2190" s="11" t="s">
        <v>2449</v>
      </c>
      <c r="D2190" s="93" t="n">
        <v>35.283</v>
      </c>
      <c r="E2190" s="34" t="n">
        <v>35.3</v>
      </c>
    </row>
    <row r="2191" customFormat="false" ht="15" hidden="false" customHeight="false" outlineLevel="0" collapsed="false">
      <c r="A2191" s="11" t="s">
        <v>2225</v>
      </c>
      <c r="B2191" s="11" t="n">
        <v>2</v>
      </c>
      <c r="C2191" s="11" t="s">
        <v>2451</v>
      </c>
      <c r="D2191" s="93" t="n">
        <v>-30.045</v>
      </c>
      <c r="E2191" s="34" t="n">
        <v>-30.1</v>
      </c>
    </row>
    <row r="2192" customFormat="false" ht="15" hidden="false" customHeight="false" outlineLevel="0" collapsed="false">
      <c r="A2192" s="11" t="s">
        <v>2225</v>
      </c>
      <c r="B2192" s="11" t="n">
        <v>3</v>
      </c>
      <c r="C2192" s="11" t="s">
        <v>2452</v>
      </c>
      <c r="D2192" s="93" t="n">
        <v>-5</v>
      </c>
      <c r="E2192" s="34" t="n">
        <v>-5</v>
      </c>
    </row>
    <row r="2193" customFormat="false" ht="15" hidden="false" customHeight="false" outlineLevel="0" collapsed="false">
      <c r="A2193" s="11" t="s">
        <v>2226</v>
      </c>
      <c r="B2193" s="11" t="n">
        <v>1</v>
      </c>
      <c r="C2193" s="11" t="s">
        <v>2398</v>
      </c>
      <c r="D2193" s="93" t="n">
        <v>1.875</v>
      </c>
      <c r="E2193" s="34" t="n">
        <v>1.9</v>
      </c>
    </row>
    <row r="2194" customFormat="false" ht="15" hidden="false" customHeight="false" outlineLevel="0" collapsed="false">
      <c r="A2194" s="11" t="s">
        <v>2226</v>
      </c>
      <c r="B2194" s="11" t="n">
        <v>2</v>
      </c>
      <c r="C2194" s="11" t="s">
        <v>2344</v>
      </c>
      <c r="D2194" s="93" t="n">
        <v>1.6</v>
      </c>
      <c r="E2194" s="34" t="n">
        <v>1.6</v>
      </c>
    </row>
    <row r="2195" customFormat="false" ht="15" hidden="false" customHeight="false" outlineLevel="0" collapsed="false">
      <c r="A2195" s="11" t="s">
        <v>2226</v>
      </c>
      <c r="B2195" s="11" t="n">
        <v>3</v>
      </c>
      <c r="C2195" s="11" t="s">
        <v>2399</v>
      </c>
      <c r="D2195" s="93" t="n">
        <v>1.4926</v>
      </c>
      <c r="E2195" s="34" t="n">
        <v>1.5</v>
      </c>
    </row>
    <row r="2196" customFormat="false" ht="15" hidden="false" customHeight="false" outlineLevel="0" collapsed="false">
      <c r="A2196" s="11" t="s">
        <v>2226</v>
      </c>
      <c r="B2196" s="11" t="n">
        <v>4</v>
      </c>
      <c r="C2196" s="11" t="s">
        <v>109</v>
      </c>
      <c r="D2196" s="93" t="n">
        <v>1.64925</v>
      </c>
      <c r="E2196" s="34" t="n">
        <v>1.6</v>
      </c>
    </row>
    <row r="2197" customFormat="false" ht="15" hidden="false" customHeight="false" outlineLevel="0" collapsed="false">
      <c r="A2197" s="11" t="s">
        <v>2227</v>
      </c>
      <c r="B2197" s="11" t="n">
        <v>1</v>
      </c>
      <c r="C2197" s="11" t="s">
        <v>2342</v>
      </c>
      <c r="D2197" s="93" t="n">
        <v>1</v>
      </c>
      <c r="E2197" s="34" t="n">
        <v>1</v>
      </c>
    </row>
    <row r="2198" customFormat="false" ht="15" hidden="false" customHeight="false" outlineLevel="0" collapsed="false">
      <c r="A2198" s="11" t="s">
        <v>2228</v>
      </c>
      <c r="B2198" s="11" t="n">
        <v>1</v>
      </c>
      <c r="C2198" s="11" t="s">
        <v>2398</v>
      </c>
      <c r="D2198" s="93" t="n">
        <v>-2.885</v>
      </c>
      <c r="E2198" s="34" t="n">
        <v>-2.9</v>
      </c>
    </row>
    <row r="2199" customFormat="false" ht="15" hidden="false" customHeight="false" outlineLevel="0" collapsed="false">
      <c r="A2199" s="11" t="s">
        <v>2228</v>
      </c>
      <c r="B2199" s="11" t="n">
        <v>2</v>
      </c>
      <c r="C2199" s="11" t="s">
        <v>1088</v>
      </c>
      <c r="D2199" s="93" t="n">
        <v>0.5</v>
      </c>
      <c r="E2199" s="34" t="n">
        <v>0.5</v>
      </c>
    </row>
    <row r="2200" customFormat="false" ht="15" hidden="false" customHeight="false" outlineLevel="0" collapsed="false">
      <c r="A2200" s="11" t="s">
        <v>2228</v>
      </c>
      <c r="B2200" s="11" t="n">
        <v>3</v>
      </c>
      <c r="C2200" s="11" t="s">
        <v>2403</v>
      </c>
      <c r="D2200" s="93" t="n">
        <v>-0.23075</v>
      </c>
      <c r="E2200" s="34" t="n">
        <v>-0.2</v>
      </c>
    </row>
    <row r="2201" customFormat="false" ht="15" hidden="false" customHeight="false" outlineLevel="0" collapsed="false">
      <c r="A2201" s="11" t="s">
        <v>2228</v>
      </c>
      <c r="B2201" s="11" t="n">
        <v>4</v>
      </c>
      <c r="C2201" s="11" t="s">
        <v>127</v>
      </c>
      <c r="D2201" s="93" t="n">
        <v>-0.0355</v>
      </c>
      <c r="E2201" s="34" t="n">
        <v>-0.1</v>
      </c>
    </row>
    <row r="2202" customFormat="false" ht="15" hidden="false" customHeight="false" outlineLevel="0" collapsed="false">
      <c r="A2202" s="11" t="s">
        <v>2229</v>
      </c>
      <c r="B2202" s="11" t="n">
        <v>1</v>
      </c>
      <c r="C2202" s="11" t="s">
        <v>2399</v>
      </c>
      <c r="D2202" s="93" t="n">
        <v>0.4641</v>
      </c>
      <c r="E2202" s="34" t="n">
        <v>0.5</v>
      </c>
    </row>
    <row r="2203" customFormat="false" ht="15" hidden="false" customHeight="false" outlineLevel="0" collapsed="false">
      <c r="A2203" s="11" t="s">
        <v>2230</v>
      </c>
      <c r="B2203" s="11" t="n">
        <v>1</v>
      </c>
      <c r="C2203" s="11" t="s">
        <v>2398</v>
      </c>
      <c r="D2203" s="93" t="n">
        <v>4.76</v>
      </c>
      <c r="E2203" s="34" t="n">
        <v>4.7</v>
      </c>
    </row>
    <row r="2204" customFormat="false" ht="15" hidden="false" customHeight="false" outlineLevel="0" collapsed="false">
      <c r="A2204" s="11" t="s">
        <v>2230</v>
      </c>
      <c r="B2204" s="11" t="n">
        <v>2</v>
      </c>
      <c r="C2204" s="11" t="s">
        <v>2399</v>
      </c>
      <c r="D2204" s="93" t="n">
        <v>1.064</v>
      </c>
      <c r="E2204" s="34" t="n">
        <v>1.1</v>
      </c>
    </row>
    <row r="2205" customFormat="false" ht="15" hidden="false" customHeight="false" outlineLevel="0" collapsed="false">
      <c r="A2205" s="11" t="s">
        <v>2230</v>
      </c>
      <c r="B2205" s="11" t="n">
        <v>3</v>
      </c>
      <c r="C2205" s="11" t="s">
        <v>2403</v>
      </c>
      <c r="D2205" s="93" t="n">
        <v>0.38</v>
      </c>
      <c r="E2205" s="34" t="n">
        <v>0.4</v>
      </c>
    </row>
    <row r="2206" customFormat="false" ht="15" hidden="false" customHeight="false" outlineLevel="0" collapsed="false">
      <c r="A2206" s="11" t="s">
        <v>2231</v>
      </c>
      <c r="B2206" s="11" t="n">
        <v>1</v>
      </c>
      <c r="C2206" s="11" t="s">
        <v>2344</v>
      </c>
      <c r="D2206" s="93" t="n">
        <v>1.6</v>
      </c>
      <c r="E2206" s="34" t="n">
        <v>1.6</v>
      </c>
    </row>
    <row r="2207" customFormat="false" ht="15" hidden="false" customHeight="false" outlineLevel="0" collapsed="false">
      <c r="A2207" s="11" t="s">
        <v>2234</v>
      </c>
      <c r="B2207" s="11" t="n">
        <v>1</v>
      </c>
      <c r="C2207" s="11" t="s">
        <v>2399</v>
      </c>
      <c r="D2207" s="93" t="n">
        <v>0.588</v>
      </c>
      <c r="E2207" s="34" t="n">
        <v>0.6</v>
      </c>
    </row>
    <row r="2208" customFormat="false" ht="15" hidden="false" customHeight="false" outlineLevel="0" collapsed="false">
      <c r="A2208" s="11" t="s">
        <v>2235</v>
      </c>
      <c r="B2208" s="11" t="n">
        <v>1</v>
      </c>
      <c r="C2208" s="11" t="s">
        <v>2399</v>
      </c>
      <c r="D2208" s="93" t="n">
        <v>2.0806</v>
      </c>
      <c r="E2208" s="34" t="n">
        <v>2.1</v>
      </c>
    </row>
    <row r="2209" customFormat="false" ht="15" hidden="false" customHeight="false" outlineLevel="0" collapsed="false">
      <c r="A2209" s="11" t="s">
        <v>2235</v>
      </c>
      <c r="B2209" s="11" t="n">
        <v>2</v>
      </c>
      <c r="C2209" s="11" t="s">
        <v>2398</v>
      </c>
      <c r="D2209" s="93" t="n">
        <v>1.875</v>
      </c>
      <c r="E2209" s="34" t="n">
        <v>1.9</v>
      </c>
    </row>
    <row r="2210" customFormat="false" ht="15" hidden="false" customHeight="false" outlineLevel="0" collapsed="false">
      <c r="A2210" s="11" t="s">
        <v>2235</v>
      </c>
      <c r="B2210" s="11" t="n">
        <v>3</v>
      </c>
      <c r="C2210" s="11" t="s">
        <v>2344</v>
      </c>
      <c r="D2210" s="93" t="n">
        <v>1.6</v>
      </c>
      <c r="E2210" s="34" t="n">
        <v>1.6</v>
      </c>
    </row>
    <row r="2211" customFormat="false" ht="15" hidden="false" customHeight="false" outlineLevel="0" collapsed="false">
      <c r="A2211" s="11" t="s">
        <v>2235</v>
      </c>
      <c r="B2211" s="11" t="n">
        <v>4</v>
      </c>
      <c r="C2211" s="11" t="s">
        <v>109</v>
      </c>
      <c r="D2211" s="93" t="n">
        <v>1.64925</v>
      </c>
      <c r="E2211" s="34" t="n">
        <v>1.6</v>
      </c>
    </row>
    <row r="2212" customFormat="false" ht="15" hidden="false" customHeight="false" outlineLevel="0" collapsed="false">
      <c r="A2212" s="11" t="s">
        <v>2236</v>
      </c>
      <c r="B2212" s="11" t="n">
        <v>1</v>
      </c>
      <c r="C2212" s="11" t="s">
        <v>101</v>
      </c>
      <c r="D2212" s="93" t="n">
        <v>-7.20485</v>
      </c>
      <c r="E2212" s="34" t="n">
        <v>-7.2</v>
      </c>
    </row>
    <row r="2213" customFormat="false" ht="15" hidden="false" customHeight="false" outlineLevel="0" collapsed="false">
      <c r="A2213" s="11" t="s">
        <v>2236</v>
      </c>
      <c r="B2213" s="11" t="n">
        <v>2</v>
      </c>
      <c r="C2213" s="11" t="s">
        <v>91</v>
      </c>
      <c r="D2213" s="93" t="n">
        <v>0.238</v>
      </c>
      <c r="E2213" s="34" t="n">
        <v>0.2</v>
      </c>
    </row>
    <row r="2214" customFormat="false" ht="15" hidden="false" customHeight="false" outlineLevel="0" collapsed="false">
      <c r="A2214" s="11" t="s">
        <v>2237</v>
      </c>
      <c r="B2214" s="11" t="n">
        <v>1</v>
      </c>
      <c r="C2214" s="11" t="s">
        <v>2398</v>
      </c>
      <c r="D2214" s="93" t="n">
        <v>-8.655</v>
      </c>
      <c r="E2214" s="34" t="n">
        <v>-8.7</v>
      </c>
    </row>
    <row r="2215" customFormat="false" ht="15" hidden="false" customHeight="false" outlineLevel="0" collapsed="false">
      <c r="A2215" s="11" t="s">
        <v>2237</v>
      </c>
      <c r="B2215" s="11" t="n">
        <v>2</v>
      </c>
      <c r="C2215" s="11" t="s">
        <v>1088</v>
      </c>
      <c r="D2215" s="93" t="n">
        <v>1.5</v>
      </c>
      <c r="E2215" s="34" t="n">
        <v>1.5</v>
      </c>
    </row>
    <row r="2216" customFormat="false" ht="15" hidden="false" customHeight="false" outlineLevel="0" collapsed="false">
      <c r="A2216" s="11" t="s">
        <v>2237</v>
      </c>
      <c r="B2216" s="11" t="n">
        <v>3</v>
      </c>
      <c r="C2216" s="11" t="s">
        <v>2349</v>
      </c>
      <c r="D2216" s="93" t="n">
        <v>-1</v>
      </c>
      <c r="E2216" s="34" t="n">
        <v>-1</v>
      </c>
    </row>
    <row r="2217" customFormat="false" ht="15" hidden="false" customHeight="false" outlineLevel="0" collapsed="false">
      <c r="A2217" s="11" t="s">
        <v>2237</v>
      </c>
      <c r="B2217" s="11" t="n">
        <v>4</v>
      </c>
      <c r="C2217" s="11" t="s">
        <v>102</v>
      </c>
      <c r="D2217" s="93" t="n">
        <v>-0.79875</v>
      </c>
      <c r="E2217" s="34" t="n">
        <v>-0.8</v>
      </c>
    </row>
    <row r="2218" customFormat="false" ht="15" hidden="false" customHeight="false" outlineLevel="0" collapsed="false">
      <c r="A2218" s="11" t="s">
        <v>2238</v>
      </c>
      <c r="B2218" s="11" t="n">
        <v>1</v>
      </c>
      <c r="C2218" s="11" t="s">
        <v>2398</v>
      </c>
      <c r="D2218" s="93" t="n">
        <v>-8.655</v>
      </c>
      <c r="E2218" s="34" t="n">
        <v>-8.7</v>
      </c>
    </row>
    <row r="2219" customFormat="false" ht="15" hidden="false" customHeight="false" outlineLevel="0" collapsed="false">
      <c r="A2219" s="11" t="s">
        <v>2238</v>
      </c>
      <c r="B2219" s="11" t="n">
        <v>2</v>
      </c>
      <c r="C2219" s="11" t="s">
        <v>1088</v>
      </c>
      <c r="D2219" s="93" t="n">
        <v>1.5</v>
      </c>
      <c r="E2219" s="34" t="n">
        <v>1.5</v>
      </c>
    </row>
    <row r="2220" customFormat="false" ht="15" hidden="false" customHeight="false" outlineLevel="0" collapsed="false">
      <c r="A2220" s="11" t="s">
        <v>2238</v>
      </c>
      <c r="B2220" s="11" t="n">
        <v>3</v>
      </c>
      <c r="C2220" s="11" t="s">
        <v>2403</v>
      </c>
      <c r="D2220" s="93" t="n">
        <v>-0.69225</v>
      </c>
      <c r="E2220" s="34" t="n">
        <v>-0.7</v>
      </c>
    </row>
    <row r="2221" customFormat="false" ht="15" hidden="false" customHeight="false" outlineLevel="0" collapsed="false">
      <c r="A2221" s="11" t="s">
        <v>2238</v>
      </c>
      <c r="B2221" s="11" t="n">
        <v>4</v>
      </c>
      <c r="C2221" s="11" t="s">
        <v>127</v>
      </c>
      <c r="D2221" s="93" t="n">
        <v>-0.1065</v>
      </c>
      <c r="E2221" s="34" t="n">
        <v>-0.1</v>
      </c>
    </row>
    <row r="2222" customFormat="false" ht="15" hidden="false" customHeight="false" outlineLevel="0" collapsed="false">
      <c r="A2222" s="11" t="s">
        <v>2239</v>
      </c>
      <c r="B2222" s="11" t="n">
        <v>1</v>
      </c>
      <c r="C2222" s="11" t="s">
        <v>2349</v>
      </c>
      <c r="D2222" s="93" t="n">
        <v>-1</v>
      </c>
      <c r="E2222" s="34" t="n">
        <v>-1</v>
      </c>
    </row>
    <row r="2223" customFormat="false" ht="15" hidden="false" customHeight="false" outlineLevel="0" collapsed="false">
      <c r="A2223" s="11" t="s">
        <v>2243</v>
      </c>
      <c r="B2223" s="11" t="n">
        <v>1</v>
      </c>
      <c r="C2223" s="11" t="s">
        <v>2398</v>
      </c>
      <c r="D2223" s="93" t="n">
        <v>-10.175</v>
      </c>
      <c r="E2223" s="34" t="n">
        <v>-10.2</v>
      </c>
    </row>
    <row r="2224" customFormat="false" ht="15" hidden="false" customHeight="false" outlineLevel="0" collapsed="false">
      <c r="A2224" s="11" t="s">
        <v>2243</v>
      </c>
      <c r="B2224" s="11" t="n">
        <v>2</v>
      </c>
      <c r="C2224" s="11" t="s">
        <v>2351</v>
      </c>
      <c r="D2224" s="93" t="n">
        <v>6</v>
      </c>
      <c r="E2224" s="34" t="n">
        <v>6</v>
      </c>
    </row>
    <row r="2225" customFormat="false" ht="15" hidden="false" customHeight="false" outlineLevel="0" collapsed="false">
      <c r="A2225" s="11" t="s">
        <v>2243</v>
      </c>
      <c r="B2225" s="11" t="n">
        <v>3</v>
      </c>
      <c r="C2225" s="11" t="s">
        <v>2344</v>
      </c>
      <c r="D2225" s="93" t="n">
        <v>-1.6</v>
      </c>
      <c r="E2225" s="34" t="n">
        <v>-1.6</v>
      </c>
    </row>
    <row r="2226" customFormat="false" ht="15" hidden="false" customHeight="false" outlineLevel="0" collapsed="false">
      <c r="A2226" s="11" t="s">
        <v>2243</v>
      </c>
      <c r="B2226" s="11" t="n">
        <v>4</v>
      </c>
      <c r="C2226" s="11" t="s">
        <v>109</v>
      </c>
      <c r="D2226" s="93" t="n">
        <v>-2.0141</v>
      </c>
      <c r="E2226" s="34" t="n">
        <v>-2</v>
      </c>
    </row>
    <row r="2227" customFormat="false" ht="15" hidden="false" customHeight="false" outlineLevel="0" collapsed="false">
      <c r="A2227" s="11" t="s">
        <v>2244</v>
      </c>
      <c r="B2227" s="11" t="n">
        <v>1</v>
      </c>
      <c r="C2227" s="11" t="s">
        <v>2398</v>
      </c>
      <c r="D2227" s="93" t="n">
        <v>-10.175</v>
      </c>
      <c r="E2227" s="34" t="n">
        <v>-10.2</v>
      </c>
    </row>
    <row r="2228" customFormat="false" ht="15" hidden="false" customHeight="false" outlineLevel="0" collapsed="false">
      <c r="A2228" s="11" t="s">
        <v>2244</v>
      </c>
      <c r="B2228" s="11" t="n">
        <v>2</v>
      </c>
      <c r="C2228" s="11" t="s">
        <v>2403</v>
      </c>
      <c r="D2228" s="93" t="n">
        <v>-0.814</v>
      </c>
      <c r="E2228" s="34" t="n">
        <v>-0.8</v>
      </c>
    </row>
    <row r="2229" customFormat="false" ht="15" hidden="false" customHeight="false" outlineLevel="0" collapsed="false">
      <c r="A2229" s="11" t="s">
        <v>2244</v>
      </c>
      <c r="B2229" s="11" t="n">
        <v>3</v>
      </c>
      <c r="C2229" s="11" t="s">
        <v>2399</v>
      </c>
      <c r="D2229" s="93" t="n">
        <v>-0.399</v>
      </c>
      <c r="E2229" s="34" t="n">
        <v>-0.4</v>
      </c>
    </row>
    <row r="2230" customFormat="false" ht="15" hidden="false" customHeight="false" outlineLevel="0" collapsed="false">
      <c r="A2230" s="11" t="s">
        <v>2245</v>
      </c>
      <c r="B2230" s="11" t="n">
        <v>1</v>
      </c>
      <c r="C2230" s="11" t="s">
        <v>2399</v>
      </c>
      <c r="D2230" s="93" t="n">
        <v>0.1989</v>
      </c>
      <c r="E2230" s="34" t="n">
        <v>0.2</v>
      </c>
    </row>
    <row r="2231" customFormat="false" ht="15" hidden="false" customHeight="false" outlineLevel="0" collapsed="false">
      <c r="A2231" s="11" t="s">
        <v>2246</v>
      </c>
      <c r="B2231" s="11" t="n">
        <v>1</v>
      </c>
      <c r="C2231" s="11" t="s">
        <v>1198</v>
      </c>
      <c r="D2231" s="93" t="n">
        <v>-1</v>
      </c>
      <c r="E2231" s="34" t="n">
        <v>-1</v>
      </c>
    </row>
    <row r="2232" customFormat="false" ht="15" hidden="false" customHeight="false" outlineLevel="0" collapsed="false">
      <c r="A2232" s="11" t="s">
        <v>2248</v>
      </c>
      <c r="B2232" s="11" t="n">
        <v>1</v>
      </c>
      <c r="C2232" s="11" t="s">
        <v>2351</v>
      </c>
      <c r="D2232" s="93" t="n">
        <v>6</v>
      </c>
      <c r="E2232" s="34" t="n">
        <v>6</v>
      </c>
    </row>
    <row r="2233" customFormat="false" ht="15" hidden="false" customHeight="false" outlineLevel="0" collapsed="false">
      <c r="A2233" s="11" t="s">
        <v>2249</v>
      </c>
      <c r="B2233" s="11" t="n">
        <v>1</v>
      </c>
      <c r="C2233" s="11" t="s">
        <v>2344</v>
      </c>
      <c r="D2233" s="93" t="n">
        <v>-1.6</v>
      </c>
      <c r="E2233" s="34" t="n">
        <v>-1.6</v>
      </c>
    </row>
    <row r="2234" customFormat="false" ht="15" hidden="false" customHeight="false" outlineLevel="0" collapsed="false">
      <c r="A2234" s="11" t="s">
        <v>2252</v>
      </c>
      <c r="B2234" s="11" t="n">
        <v>1</v>
      </c>
      <c r="C2234" s="11" t="s">
        <v>1190</v>
      </c>
      <c r="D2234" s="93" t="n">
        <v>10</v>
      </c>
      <c r="E2234" s="34" t="n">
        <v>10</v>
      </c>
    </row>
    <row r="2235" customFormat="false" ht="15" hidden="false" customHeight="false" outlineLevel="0" collapsed="false">
      <c r="A2235" s="11" t="s">
        <v>2252</v>
      </c>
      <c r="B2235" s="11" t="n">
        <v>2</v>
      </c>
      <c r="C2235" s="11" t="s">
        <v>2354</v>
      </c>
      <c r="D2235" s="93" t="n">
        <v>6</v>
      </c>
      <c r="E2235" s="34" t="n">
        <v>6</v>
      </c>
    </row>
    <row r="2236" customFormat="false" ht="15" hidden="false" customHeight="false" outlineLevel="0" collapsed="false">
      <c r="A2236" s="11" t="s">
        <v>2252</v>
      </c>
      <c r="B2236" s="11" t="n">
        <v>3</v>
      </c>
      <c r="C2236" s="11" t="s">
        <v>2355</v>
      </c>
      <c r="D2236" s="93" t="n">
        <v>3</v>
      </c>
      <c r="E2236" s="34" t="n">
        <v>3</v>
      </c>
    </row>
    <row r="2237" customFormat="false" ht="15" hidden="false" customHeight="false" outlineLevel="0" collapsed="false">
      <c r="A2237" s="11" t="s">
        <v>2253</v>
      </c>
      <c r="B2237" s="11" t="n">
        <v>1</v>
      </c>
      <c r="C2237" s="11" t="s">
        <v>1190</v>
      </c>
      <c r="D2237" s="93" t="n">
        <v>10</v>
      </c>
      <c r="E2237" s="34" t="n">
        <v>10</v>
      </c>
    </row>
    <row r="2238" customFormat="false" ht="15" hidden="false" customHeight="false" outlineLevel="0" collapsed="false">
      <c r="A2238" s="11" t="s">
        <v>2253</v>
      </c>
      <c r="B2238" s="11" t="n">
        <v>2</v>
      </c>
      <c r="C2238" s="11" t="s">
        <v>2354</v>
      </c>
      <c r="D2238" s="93" t="n">
        <v>6</v>
      </c>
      <c r="E2238" s="34" t="n">
        <v>6</v>
      </c>
    </row>
    <row r="2239" customFormat="false" ht="15" hidden="false" customHeight="false" outlineLevel="0" collapsed="false">
      <c r="A2239" s="11" t="s">
        <v>2253</v>
      </c>
      <c r="B2239" s="11" t="n">
        <v>3</v>
      </c>
      <c r="C2239" s="11" t="s">
        <v>2355</v>
      </c>
      <c r="D2239" s="93" t="n">
        <v>3</v>
      </c>
      <c r="E2239" s="34" t="n">
        <v>3</v>
      </c>
    </row>
    <row r="2240" customFormat="false" ht="15" hidden="false" customHeight="false" outlineLevel="0" collapsed="false">
      <c r="A2240" s="11" t="s">
        <v>2257</v>
      </c>
      <c r="B2240" s="11" t="n">
        <v>1</v>
      </c>
      <c r="C2240" s="11" t="s">
        <v>159</v>
      </c>
      <c r="D2240" s="93" t="n">
        <v>19</v>
      </c>
      <c r="E2240" s="34" t="n">
        <v>19</v>
      </c>
    </row>
    <row r="2241" customFormat="false" ht="15" hidden="false" customHeight="false" outlineLevel="0" collapsed="false">
      <c r="A2241" s="11" t="s">
        <v>2257</v>
      </c>
      <c r="B2241" s="11" t="n">
        <v>2</v>
      </c>
      <c r="C2241" s="11" t="s">
        <v>157</v>
      </c>
      <c r="D2241" s="93" t="n">
        <v>-8.95375</v>
      </c>
      <c r="E2241" s="34" t="n">
        <v>-8.9</v>
      </c>
    </row>
    <row r="2242" customFormat="false" ht="15" hidden="false" customHeight="false" outlineLevel="0" collapsed="false">
      <c r="A2242" s="11" t="s">
        <v>2257</v>
      </c>
      <c r="B2242" s="11" t="n">
        <v>3</v>
      </c>
      <c r="C2242" s="11" t="s">
        <v>158</v>
      </c>
      <c r="D2242" s="93" t="n">
        <v>-7.7891</v>
      </c>
      <c r="E2242" s="34" t="n">
        <v>-7.8</v>
      </c>
    </row>
    <row r="2243" customFormat="false" ht="15" hidden="false" customHeight="false" outlineLevel="0" collapsed="false">
      <c r="A2243" s="11" t="s">
        <v>2258</v>
      </c>
      <c r="B2243" s="11" t="n">
        <v>1</v>
      </c>
      <c r="C2243" s="11" t="s">
        <v>101</v>
      </c>
      <c r="D2243" s="93" t="n">
        <v>-7.20485</v>
      </c>
      <c r="E2243" s="34" t="n">
        <v>-7.2</v>
      </c>
    </row>
    <row r="2244" customFormat="false" ht="15" hidden="false" customHeight="false" outlineLevel="0" collapsed="false">
      <c r="A2244" s="11" t="s">
        <v>2258</v>
      </c>
      <c r="B2244" s="11" t="n">
        <v>2</v>
      </c>
      <c r="C2244" s="11" t="s">
        <v>95</v>
      </c>
      <c r="D2244" s="93" t="n">
        <v>-2.25715</v>
      </c>
      <c r="E2244" s="34" t="n">
        <v>-2.2</v>
      </c>
    </row>
    <row r="2245" customFormat="false" ht="15" hidden="false" customHeight="false" outlineLevel="0" collapsed="false">
      <c r="A2245" s="11" t="s">
        <v>2258</v>
      </c>
      <c r="B2245" s="11" t="n">
        <v>3</v>
      </c>
      <c r="C2245" s="11" t="s">
        <v>91</v>
      </c>
      <c r="D2245" s="93" t="n">
        <v>0.238</v>
      </c>
      <c r="E2245" s="34" t="n">
        <v>0.2</v>
      </c>
    </row>
    <row r="2246" customFormat="false" ht="15" hidden="false" customHeight="false" outlineLevel="0" collapsed="false">
      <c r="A2246" s="11" t="s">
        <v>2261</v>
      </c>
      <c r="B2246" s="11" t="n">
        <v>1</v>
      </c>
      <c r="C2246" s="11" t="s">
        <v>101</v>
      </c>
      <c r="D2246" s="93" t="n">
        <v>-7.20485</v>
      </c>
      <c r="E2246" s="34" t="n">
        <v>-7.2</v>
      </c>
    </row>
    <row r="2247" customFormat="false" ht="15" hidden="false" customHeight="false" outlineLevel="0" collapsed="false">
      <c r="A2247" s="11" t="s">
        <v>2261</v>
      </c>
      <c r="B2247" s="11" t="n">
        <v>2</v>
      </c>
      <c r="C2247" s="11" t="s">
        <v>95</v>
      </c>
      <c r="D2247" s="93" t="n">
        <v>-2.25715</v>
      </c>
      <c r="E2247" s="34" t="n">
        <v>-2.2</v>
      </c>
    </row>
    <row r="2248" customFormat="false" ht="15" hidden="false" customHeight="false" outlineLevel="0" collapsed="false">
      <c r="A2248" s="11" t="s">
        <v>2261</v>
      </c>
      <c r="B2248" s="11" t="n">
        <v>3</v>
      </c>
      <c r="C2248" s="11" t="s">
        <v>91</v>
      </c>
      <c r="D2248" s="93" t="n">
        <v>0.238</v>
      </c>
      <c r="E2248" s="34" t="n">
        <v>0.2</v>
      </c>
    </row>
    <row r="2249" customFormat="false" ht="15" hidden="false" customHeight="false" outlineLevel="0" collapsed="false">
      <c r="A2249" s="11" t="s">
        <v>2262</v>
      </c>
      <c r="B2249" s="11" t="n">
        <v>1</v>
      </c>
      <c r="C2249" s="11" t="s">
        <v>2459</v>
      </c>
      <c r="D2249" s="93" t="n">
        <v>2</v>
      </c>
      <c r="E2249" s="34" t="n">
        <v>2</v>
      </c>
    </row>
    <row r="2250" customFormat="false" ht="15" hidden="false" customHeight="false" outlineLevel="0" collapsed="false">
      <c r="A2250" s="11" t="s">
        <v>2263</v>
      </c>
      <c r="B2250" s="11" t="n">
        <v>1</v>
      </c>
      <c r="C2250" s="11" t="s">
        <v>101</v>
      </c>
      <c r="D2250" s="93" t="n">
        <v>-7.20485</v>
      </c>
      <c r="E2250" s="34" t="n">
        <v>-7.2</v>
      </c>
    </row>
    <row r="2251" customFormat="false" ht="15" hidden="false" customHeight="false" outlineLevel="0" collapsed="false">
      <c r="A2251" s="11" t="s">
        <v>2263</v>
      </c>
      <c r="B2251" s="11" t="n">
        <v>2</v>
      </c>
      <c r="C2251" s="11" t="s">
        <v>95</v>
      </c>
      <c r="D2251" s="93" t="n">
        <v>-2.25715</v>
      </c>
      <c r="E2251" s="34" t="n">
        <v>-2.2</v>
      </c>
    </row>
    <row r="2252" customFormat="false" ht="15" hidden="false" customHeight="false" outlineLevel="0" collapsed="false">
      <c r="A2252" s="11" t="s">
        <v>2263</v>
      </c>
      <c r="B2252" s="11" t="n">
        <v>3</v>
      </c>
      <c r="C2252" s="11" t="s">
        <v>126</v>
      </c>
      <c r="D2252" s="93" t="n">
        <v>-2</v>
      </c>
      <c r="E2252" s="34" t="n">
        <v>-2</v>
      </c>
    </row>
    <row r="2253" customFormat="false" ht="15" hidden="false" customHeight="false" outlineLevel="0" collapsed="false">
      <c r="A2253" s="11" t="s">
        <v>2263</v>
      </c>
      <c r="B2253" s="11" t="n">
        <v>4</v>
      </c>
      <c r="C2253" s="11" t="s">
        <v>127</v>
      </c>
      <c r="D2253" s="93" t="n">
        <v>0.238</v>
      </c>
      <c r="E2253" s="34" t="n">
        <v>0.2</v>
      </c>
    </row>
    <row r="2254" customFormat="false" ht="15" hidden="false" customHeight="false" outlineLevel="0" collapsed="false">
      <c r="A2254" s="11" t="s">
        <v>2264</v>
      </c>
      <c r="B2254" s="11" t="n">
        <v>1</v>
      </c>
      <c r="C2254" s="11" t="s">
        <v>2449</v>
      </c>
      <c r="D2254" s="93" t="n">
        <v>35.283</v>
      </c>
      <c r="E2254" s="34" t="n">
        <v>35.3</v>
      </c>
    </row>
    <row r="2255" customFormat="false" ht="15" hidden="false" customHeight="false" outlineLevel="0" collapsed="false">
      <c r="A2255" s="11" t="s">
        <v>2264</v>
      </c>
      <c r="B2255" s="11" t="n">
        <v>2</v>
      </c>
      <c r="C2255" s="11" t="s">
        <v>2451</v>
      </c>
      <c r="D2255" s="93" t="n">
        <v>-30.045</v>
      </c>
      <c r="E2255" s="34" t="n">
        <v>-30.1</v>
      </c>
    </row>
    <row r="2256" customFormat="false" ht="15" hidden="false" customHeight="false" outlineLevel="0" collapsed="false">
      <c r="A2256" s="11" t="s">
        <v>2265</v>
      </c>
      <c r="B2256" s="11" t="n">
        <v>1</v>
      </c>
      <c r="C2256" s="11" t="s">
        <v>2452</v>
      </c>
      <c r="D2256" s="93" t="n">
        <v>-5</v>
      </c>
      <c r="E2256" s="34" t="n">
        <v>-5</v>
      </c>
    </row>
    <row r="2257" customFormat="false" ht="15" hidden="false" customHeight="false" outlineLevel="0" collapsed="false">
      <c r="A2257" s="11" t="s">
        <v>2266</v>
      </c>
      <c r="B2257" s="11" t="n">
        <v>1</v>
      </c>
      <c r="C2257" s="11" t="s">
        <v>2449</v>
      </c>
      <c r="D2257" s="93" t="n">
        <v>35.283</v>
      </c>
      <c r="E2257" s="34" t="n">
        <v>35.3</v>
      </c>
    </row>
    <row r="2258" customFormat="false" ht="15" hidden="false" customHeight="false" outlineLevel="0" collapsed="false">
      <c r="A2258" s="11" t="s">
        <v>2266</v>
      </c>
      <c r="B2258" s="11" t="n">
        <v>2</v>
      </c>
      <c r="C2258" s="11" t="s">
        <v>2451</v>
      </c>
      <c r="D2258" s="93" t="n">
        <v>-30.045</v>
      </c>
      <c r="E2258" s="34" t="n">
        <v>-30.1</v>
      </c>
    </row>
    <row r="2259" customFormat="false" ht="15" hidden="false" customHeight="false" outlineLevel="0" collapsed="false">
      <c r="A2259" s="11" t="s">
        <v>2266</v>
      </c>
      <c r="B2259" s="11" t="n">
        <v>3</v>
      </c>
      <c r="C2259" s="11" t="s">
        <v>2452</v>
      </c>
      <c r="D2259" s="93" t="n">
        <v>-5</v>
      </c>
      <c r="E2259" s="34" t="n">
        <v>-5</v>
      </c>
    </row>
    <row r="2260" customFormat="false" ht="15" hidden="false" customHeight="false" outlineLevel="0" collapsed="false">
      <c r="A2260" s="11" t="s">
        <v>2267</v>
      </c>
      <c r="B2260" s="11" t="n">
        <v>1</v>
      </c>
      <c r="C2260" s="11" t="s">
        <v>2398</v>
      </c>
      <c r="D2260" s="93" t="n">
        <v>1.875</v>
      </c>
      <c r="E2260" s="34" t="n">
        <v>1.9</v>
      </c>
    </row>
    <row r="2261" customFormat="false" ht="15" hidden="false" customHeight="false" outlineLevel="0" collapsed="false">
      <c r="A2261" s="11" t="s">
        <v>2267</v>
      </c>
      <c r="B2261" s="11" t="n">
        <v>2</v>
      </c>
      <c r="C2261" s="11" t="s">
        <v>2344</v>
      </c>
      <c r="D2261" s="93" t="n">
        <v>1.6</v>
      </c>
      <c r="E2261" s="34" t="n">
        <v>1.6</v>
      </c>
    </row>
    <row r="2262" customFormat="false" ht="15" hidden="false" customHeight="false" outlineLevel="0" collapsed="false">
      <c r="A2262" s="11" t="s">
        <v>2267</v>
      </c>
      <c r="B2262" s="11" t="n">
        <v>3</v>
      </c>
      <c r="C2262" s="11" t="s">
        <v>2399</v>
      </c>
      <c r="D2262" s="93" t="n">
        <v>1.4926</v>
      </c>
      <c r="E2262" s="34" t="n">
        <v>1.5</v>
      </c>
    </row>
    <row r="2263" customFormat="false" ht="15" hidden="false" customHeight="false" outlineLevel="0" collapsed="false">
      <c r="A2263" s="11" t="s">
        <v>2267</v>
      </c>
      <c r="B2263" s="11" t="n">
        <v>4</v>
      </c>
      <c r="C2263" s="11" t="s">
        <v>109</v>
      </c>
      <c r="D2263" s="93" t="n">
        <v>1.64925</v>
      </c>
      <c r="E2263" s="34" t="n">
        <v>1.6</v>
      </c>
    </row>
    <row r="2264" customFormat="false" ht="15" hidden="false" customHeight="false" outlineLevel="0" collapsed="false">
      <c r="A2264" s="11" t="s">
        <v>2268</v>
      </c>
      <c r="B2264" s="11" t="n">
        <v>1</v>
      </c>
      <c r="C2264" s="11" t="s">
        <v>2342</v>
      </c>
      <c r="D2264" s="93" t="n">
        <v>1</v>
      </c>
      <c r="E2264" s="34" t="n">
        <v>1</v>
      </c>
    </row>
    <row r="2265" customFormat="false" ht="15" hidden="false" customHeight="false" outlineLevel="0" collapsed="false">
      <c r="A2265" s="11" t="s">
        <v>2269</v>
      </c>
      <c r="B2265" s="11" t="n">
        <v>1</v>
      </c>
      <c r="C2265" s="11" t="s">
        <v>2398</v>
      </c>
      <c r="D2265" s="93" t="n">
        <v>-2.885</v>
      </c>
      <c r="E2265" s="34" t="n">
        <v>-2.9</v>
      </c>
    </row>
    <row r="2266" customFormat="false" ht="15" hidden="false" customHeight="false" outlineLevel="0" collapsed="false">
      <c r="A2266" s="11" t="s">
        <v>2269</v>
      </c>
      <c r="B2266" s="11" t="n">
        <v>2</v>
      </c>
      <c r="C2266" s="11" t="s">
        <v>1088</v>
      </c>
      <c r="D2266" s="93" t="n">
        <v>0.5</v>
      </c>
      <c r="E2266" s="34" t="n">
        <v>0.5</v>
      </c>
    </row>
    <row r="2267" customFormat="false" ht="15" hidden="false" customHeight="false" outlineLevel="0" collapsed="false">
      <c r="A2267" s="11" t="s">
        <v>2269</v>
      </c>
      <c r="B2267" s="11" t="n">
        <v>3</v>
      </c>
      <c r="C2267" s="11" t="s">
        <v>2403</v>
      </c>
      <c r="D2267" s="93" t="n">
        <v>-0.23075</v>
      </c>
      <c r="E2267" s="34" t="n">
        <v>-0.2</v>
      </c>
    </row>
    <row r="2268" customFormat="false" ht="15" hidden="false" customHeight="false" outlineLevel="0" collapsed="false">
      <c r="A2268" s="11" t="s">
        <v>2269</v>
      </c>
      <c r="B2268" s="11" t="n">
        <v>4</v>
      </c>
      <c r="C2268" s="11" t="s">
        <v>127</v>
      </c>
      <c r="D2268" s="93" t="n">
        <v>-0.0355</v>
      </c>
      <c r="E2268" s="34" t="n">
        <v>-0.1</v>
      </c>
    </row>
    <row r="2269" customFormat="false" ht="15" hidden="false" customHeight="false" outlineLevel="0" collapsed="false">
      <c r="A2269" s="11" t="s">
        <v>2270</v>
      </c>
      <c r="B2269" s="11" t="n">
        <v>1</v>
      </c>
      <c r="C2269" s="11" t="s">
        <v>2398</v>
      </c>
      <c r="D2269" s="93" t="n">
        <v>4.76</v>
      </c>
      <c r="E2269" s="34" t="n">
        <v>4.7</v>
      </c>
    </row>
    <row r="2270" customFormat="false" ht="15" hidden="false" customHeight="false" outlineLevel="0" collapsed="false">
      <c r="A2270" s="11" t="s">
        <v>2270</v>
      </c>
      <c r="B2270" s="11" t="n">
        <v>2</v>
      </c>
      <c r="C2270" s="11" t="s">
        <v>2399</v>
      </c>
      <c r="D2270" s="93" t="n">
        <v>1.064</v>
      </c>
      <c r="E2270" s="34" t="n">
        <v>1.1</v>
      </c>
    </row>
    <row r="2271" customFormat="false" ht="15" hidden="false" customHeight="false" outlineLevel="0" collapsed="false">
      <c r="A2271" s="11" t="s">
        <v>2270</v>
      </c>
      <c r="B2271" s="11" t="n">
        <v>3</v>
      </c>
      <c r="C2271" s="11" t="s">
        <v>2403</v>
      </c>
      <c r="D2271" s="93" t="n">
        <v>0.38</v>
      </c>
      <c r="E2271" s="34" t="n">
        <v>0.4</v>
      </c>
    </row>
    <row r="2272" customFormat="false" ht="15" hidden="false" customHeight="false" outlineLevel="0" collapsed="false">
      <c r="A2272" s="11" t="s">
        <v>2271</v>
      </c>
      <c r="B2272" s="11" t="n">
        <v>1</v>
      </c>
      <c r="C2272" s="11" t="s">
        <v>2399</v>
      </c>
      <c r="D2272" s="93" t="n">
        <v>0.4641</v>
      </c>
      <c r="E2272" s="34" t="n">
        <v>0.5</v>
      </c>
    </row>
    <row r="2273" customFormat="false" ht="15" hidden="false" customHeight="false" outlineLevel="0" collapsed="false">
      <c r="A2273" s="11" t="s">
        <v>2272</v>
      </c>
      <c r="B2273" s="11" t="n">
        <v>1</v>
      </c>
      <c r="C2273" s="11" t="s">
        <v>2344</v>
      </c>
      <c r="D2273" s="93" t="n">
        <v>1.6</v>
      </c>
      <c r="E2273" s="34" t="n">
        <v>1.6</v>
      </c>
    </row>
    <row r="2274" customFormat="false" ht="15" hidden="false" customHeight="false" outlineLevel="0" collapsed="false">
      <c r="A2274" s="11" t="s">
        <v>2275</v>
      </c>
      <c r="B2274" s="11" t="n">
        <v>1</v>
      </c>
      <c r="C2274" s="11" t="s">
        <v>2399</v>
      </c>
      <c r="D2274" s="93" t="n">
        <v>0.588</v>
      </c>
      <c r="E2274" s="34" t="n">
        <v>0.6</v>
      </c>
    </row>
    <row r="2275" customFormat="false" ht="15" hidden="false" customHeight="false" outlineLevel="0" collapsed="false">
      <c r="A2275" s="11" t="s">
        <v>2276</v>
      </c>
      <c r="B2275" s="11" t="n">
        <v>1</v>
      </c>
      <c r="C2275" s="11" t="s">
        <v>2399</v>
      </c>
      <c r="D2275" s="93" t="n">
        <v>0.588</v>
      </c>
      <c r="E2275" s="34" t="n">
        <v>0.6</v>
      </c>
    </row>
    <row r="2276" customFormat="false" ht="15" hidden="false" customHeight="false" outlineLevel="0" collapsed="false">
      <c r="A2276" s="11" t="s">
        <v>2277</v>
      </c>
      <c r="B2276" s="11" t="n">
        <v>1</v>
      </c>
      <c r="C2276" s="11" t="s">
        <v>164</v>
      </c>
      <c r="D2276" s="93" t="n">
        <v>6.61685</v>
      </c>
      <c r="E2276" s="34" t="n">
        <v>6.6</v>
      </c>
    </row>
    <row r="2277" customFormat="false" ht="15" hidden="false" customHeight="false" outlineLevel="0" collapsed="false">
      <c r="A2277" s="11" t="s">
        <v>2277</v>
      </c>
      <c r="B2277" s="11" t="n">
        <v>2</v>
      </c>
      <c r="C2277" s="11" t="s">
        <v>165</v>
      </c>
      <c r="D2277" s="93" t="n">
        <v>0.588</v>
      </c>
      <c r="E2277" s="34" t="n">
        <v>0.6</v>
      </c>
    </row>
    <row r="2278" customFormat="false" ht="15" hidden="false" customHeight="false" outlineLevel="0" collapsed="false">
      <c r="A2278" s="11" t="s">
        <v>2278</v>
      </c>
      <c r="B2278" s="11" t="n">
        <v>1</v>
      </c>
      <c r="C2278" s="11" t="s">
        <v>166</v>
      </c>
      <c r="D2278" s="93" t="n">
        <v>-7.20485</v>
      </c>
      <c r="E2278" s="34" t="n">
        <v>-7.2</v>
      </c>
    </row>
    <row r="2279" customFormat="false" ht="15" hidden="false" customHeight="false" outlineLevel="0" collapsed="false">
      <c r="A2279" s="11" t="s">
        <v>2278</v>
      </c>
      <c r="B2279" s="11" t="n">
        <v>2</v>
      </c>
      <c r="C2279" s="11" t="s">
        <v>91</v>
      </c>
      <c r="D2279" s="93" t="n">
        <v>0.238</v>
      </c>
      <c r="E2279" s="34" t="n">
        <v>0.2</v>
      </c>
    </row>
    <row r="2280" customFormat="false" ht="15" hidden="false" customHeight="false" outlineLevel="0" collapsed="false">
      <c r="A2280" s="11" t="s">
        <v>2279</v>
      </c>
      <c r="B2280" s="11" t="n">
        <v>1</v>
      </c>
      <c r="C2280" s="11" t="s">
        <v>2398</v>
      </c>
      <c r="D2280" s="93" t="n">
        <v>-10.175</v>
      </c>
      <c r="E2280" s="34" t="n">
        <v>-10.2</v>
      </c>
    </row>
    <row r="2281" customFormat="false" ht="15" hidden="false" customHeight="false" outlineLevel="0" collapsed="false">
      <c r="A2281" s="11" t="s">
        <v>2279</v>
      </c>
      <c r="B2281" s="11" t="n">
        <v>2</v>
      </c>
      <c r="C2281" s="11" t="s">
        <v>2351</v>
      </c>
      <c r="D2281" s="93" t="n">
        <v>6</v>
      </c>
      <c r="E2281" s="34" t="n">
        <v>6</v>
      </c>
    </row>
    <row r="2282" customFormat="false" ht="15" hidden="false" customHeight="false" outlineLevel="0" collapsed="false">
      <c r="A2282" s="11" t="s">
        <v>2279</v>
      </c>
      <c r="B2282" s="11" t="n">
        <v>3</v>
      </c>
      <c r="C2282" s="11" t="s">
        <v>1198</v>
      </c>
      <c r="D2282" s="93" t="n">
        <v>-1</v>
      </c>
      <c r="E2282" s="34" t="n">
        <v>-1</v>
      </c>
    </row>
    <row r="2283" customFormat="false" ht="15" hidden="false" customHeight="false" outlineLevel="0" collapsed="false">
      <c r="A2283" s="11" t="s">
        <v>2279</v>
      </c>
      <c r="B2283" s="11" t="n">
        <v>4</v>
      </c>
      <c r="C2283" s="11" t="s">
        <v>102</v>
      </c>
      <c r="D2283" s="93" t="n">
        <v>-1.0141</v>
      </c>
      <c r="E2283" s="34" t="n">
        <v>-1</v>
      </c>
    </row>
    <row r="2284" customFormat="false" ht="15" hidden="false" customHeight="false" outlineLevel="0" collapsed="false">
      <c r="A2284" s="11" t="s">
        <v>2280</v>
      </c>
      <c r="B2284" s="11" t="n">
        <v>1</v>
      </c>
      <c r="C2284" s="11" t="s">
        <v>2398</v>
      </c>
      <c r="D2284" s="93" t="n">
        <v>-10.175</v>
      </c>
      <c r="E2284" s="34" t="n">
        <v>-10.2</v>
      </c>
    </row>
    <row r="2285" customFormat="false" ht="15" hidden="false" customHeight="false" outlineLevel="0" collapsed="false">
      <c r="A2285" s="11" t="s">
        <v>2280</v>
      </c>
      <c r="B2285" s="11" t="n">
        <v>2</v>
      </c>
      <c r="C2285" s="11" t="s">
        <v>2403</v>
      </c>
      <c r="D2285" s="93" t="n">
        <v>-0.814</v>
      </c>
      <c r="E2285" s="34" t="n">
        <v>-0.8</v>
      </c>
    </row>
    <row r="2286" customFormat="false" ht="15" hidden="false" customHeight="false" outlineLevel="0" collapsed="false">
      <c r="A2286" s="11" t="s">
        <v>2280</v>
      </c>
      <c r="B2286" s="11" t="n">
        <v>3</v>
      </c>
      <c r="C2286" s="11" t="s">
        <v>2399</v>
      </c>
      <c r="D2286" s="93" t="n">
        <v>-0.399</v>
      </c>
      <c r="E2286" s="34" t="n">
        <v>-0.4</v>
      </c>
    </row>
    <row r="2287" customFormat="false" ht="15" hidden="false" customHeight="false" outlineLevel="0" collapsed="false">
      <c r="A2287" s="11" t="s">
        <v>2281</v>
      </c>
      <c r="B2287" s="11" t="n">
        <v>1</v>
      </c>
      <c r="C2287" s="11" t="s">
        <v>2399</v>
      </c>
      <c r="D2287" s="93" t="n">
        <v>0.1989</v>
      </c>
      <c r="E2287" s="34" t="n">
        <v>0.2</v>
      </c>
    </row>
    <row r="2288" customFormat="false" ht="15" hidden="false" customHeight="false" outlineLevel="0" collapsed="false">
      <c r="A2288" s="11" t="s">
        <v>2282</v>
      </c>
      <c r="B2288" s="11" t="n">
        <v>1</v>
      </c>
      <c r="C2288" s="11" t="s">
        <v>1198</v>
      </c>
      <c r="D2288" s="93" t="n">
        <v>-1</v>
      </c>
      <c r="E2288" s="34" t="n">
        <v>-1</v>
      </c>
    </row>
    <row r="2289" customFormat="false" ht="15" hidden="false" customHeight="false" outlineLevel="0" collapsed="false">
      <c r="A2289" s="11" t="s">
        <v>2284</v>
      </c>
      <c r="B2289" s="11" t="n">
        <v>1</v>
      </c>
      <c r="C2289" s="11" t="s">
        <v>2351</v>
      </c>
      <c r="D2289" s="93" t="n">
        <v>6</v>
      </c>
      <c r="E2289" s="34" t="n">
        <v>6</v>
      </c>
    </row>
    <row r="2290" customFormat="false" ht="15" hidden="false" customHeight="false" outlineLevel="0" collapsed="false">
      <c r="A2290" s="11" t="s">
        <v>2285</v>
      </c>
      <c r="B2290" s="11" t="n">
        <v>1</v>
      </c>
      <c r="C2290" s="11" t="s">
        <v>166</v>
      </c>
      <c r="D2290" s="93" t="n">
        <v>-7.20485</v>
      </c>
      <c r="E2290" s="34" t="n">
        <v>-7.2</v>
      </c>
    </row>
    <row r="2291" customFormat="false" ht="15" hidden="false" customHeight="false" outlineLevel="0" collapsed="false">
      <c r="A2291" s="11" t="s">
        <v>2285</v>
      </c>
      <c r="B2291" s="11" t="n">
        <v>2</v>
      </c>
      <c r="C2291" s="11" t="s">
        <v>168</v>
      </c>
      <c r="D2291" s="93" t="n">
        <v>6.1891</v>
      </c>
      <c r="E2291" s="34" t="n">
        <v>6.2</v>
      </c>
    </row>
    <row r="2292" customFormat="false" ht="15" hidden="false" customHeight="false" outlineLevel="0" collapsed="false">
      <c r="A2292" s="11" t="s">
        <v>2285</v>
      </c>
      <c r="B2292" s="11" t="n">
        <v>3</v>
      </c>
      <c r="C2292" s="11" t="s">
        <v>91</v>
      </c>
      <c r="D2292" s="93" t="n">
        <v>0.238</v>
      </c>
      <c r="E2292" s="34" t="n">
        <v>0.2</v>
      </c>
    </row>
    <row r="2293" customFormat="false" ht="15" hidden="false" customHeight="false" outlineLevel="0" collapsed="false">
      <c r="A2293" s="11" t="s">
        <v>2286</v>
      </c>
      <c r="B2293" s="11" t="n">
        <v>1</v>
      </c>
      <c r="C2293" s="11" t="s">
        <v>2344</v>
      </c>
      <c r="D2293" s="93" t="n">
        <v>-1.6</v>
      </c>
      <c r="E2293" s="34" t="n">
        <v>-1.6</v>
      </c>
    </row>
    <row r="2294" customFormat="false" ht="15" hidden="false" customHeight="false" outlineLevel="0" collapsed="false">
      <c r="A2294" s="11" t="s">
        <v>2287</v>
      </c>
      <c r="B2294" s="11" t="n">
        <v>1</v>
      </c>
      <c r="C2294" s="11" t="s">
        <v>2344</v>
      </c>
      <c r="D2294" s="93" t="n">
        <v>-1.6</v>
      </c>
      <c r="E2294" s="34" t="n">
        <v>-1.6</v>
      </c>
    </row>
    <row r="2295" customFormat="false" ht="15" hidden="false" customHeight="false" outlineLevel="0" collapsed="false">
      <c r="A2295" s="11" t="s">
        <v>2290</v>
      </c>
      <c r="B2295" s="11" t="n">
        <v>1</v>
      </c>
      <c r="C2295" s="11" t="s">
        <v>2398</v>
      </c>
      <c r="D2295" s="93" t="n">
        <v>-8.655</v>
      </c>
      <c r="E2295" s="34" t="n">
        <v>-8.7</v>
      </c>
    </row>
    <row r="2296" customFormat="false" ht="15" hidden="false" customHeight="false" outlineLevel="0" collapsed="false">
      <c r="A2296" s="11" t="s">
        <v>2290</v>
      </c>
      <c r="B2296" s="11" t="n">
        <v>2</v>
      </c>
      <c r="C2296" s="11" t="s">
        <v>1088</v>
      </c>
      <c r="D2296" s="93" t="n">
        <v>1.5</v>
      </c>
      <c r="E2296" s="34" t="n">
        <v>1.5</v>
      </c>
    </row>
    <row r="2297" customFormat="false" ht="15" hidden="false" customHeight="false" outlineLevel="0" collapsed="false">
      <c r="A2297" s="11" t="s">
        <v>2290</v>
      </c>
      <c r="B2297" s="11" t="n">
        <v>3</v>
      </c>
      <c r="C2297" s="11" t="s">
        <v>2349</v>
      </c>
      <c r="D2297" s="93" t="n">
        <v>-1</v>
      </c>
      <c r="E2297" s="34" t="n">
        <v>-1</v>
      </c>
    </row>
    <row r="2298" customFormat="false" ht="15" hidden="false" customHeight="false" outlineLevel="0" collapsed="false">
      <c r="A2298" s="11" t="s">
        <v>2290</v>
      </c>
      <c r="B2298" s="11" t="n">
        <v>4</v>
      </c>
      <c r="C2298" s="11" t="s">
        <v>102</v>
      </c>
      <c r="D2298" s="93" t="n">
        <v>-0.79875</v>
      </c>
      <c r="E2298" s="34" t="n">
        <v>-0.8</v>
      </c>
    </row>
    <row r="2299" customFormat="false" ht="15" hidden="false" customHeight="false" outlineLevel="0" collapsed="false">
      <c r="A2299" s="11" t="s">
        <v>2291</v>
      </c>
      <c r="B2299" s="11" t="n">
        <v>1</v>
      </c>
      <c r="C2299" s="11" t="s">
        <v>2398</v>
      </c>
      <c r="D2299" s="93" t="n">
        <v>-8.655</v>
      </c>
      <c r="E2299" s="34" t="n">
        <v>-8.7</v>
      </c>
    </row>
    <row r="2300" customFormat="false" ht="15" hidden="false" customHeight="false" outlineLevel="0" collapsed="false">
      <c r="A2300" s="11" t="s">
        <v>2291</v>
      </c>
      <c r="B2300" s="11" t="n">
        <v>2</v>
      </c>
      <c r="C2300" s="11" t="s">
        <v>1088</v>
      </c>
      <c r="D2300" s="93" t="n">
        <v>1.5</v>
      </c>
      <c r="E2300" s="34" t="n">
        <v>1.5</v>
      </c>
    </row>
    <row r="2301" customFormat="false" ht="15" hidden="false" customHeight="false" outlineLevel="0" collapsed="false">
      <c r="A2301" s="11" t="s">
        <v>2291</v>
      </c>
      <c r="B2301" s="11" t="n">
        <v>3</v>
      </c>
      <c r="C2301" s="11" t="s">
        <v>2403</v>
      </c>
      <c r="D2301" s="93" t="n">
        <v>-0.69225</v>
      </c>
      <c r="E2301" s="34" t="n">
        <v>-0.7</v>
      </c>
    </row>
    <row r="2302" customFormat="false" ht="15" hidden="false" customHeight="false" outlineLevel="0" collapsed="false">
      <c r="A2302" s="11" t="s">
        <v>2291</v>
      </c>
      <c r="B2302" s="11" t="n">
        <v>4</v>
      </c>
      <c r="C2302" s="11" t="s">
        <v>127</v>
      </c>
      <c r="D2302" s="93" t="n">
        <v>-0.1065</v>
      </c>
      <c r="E2302" s="34" t="n">
        <v>-0.1</v>
      </c>
    </row>
    <row r="2303" customFormat="false" ht="15" hidden="false" customHeight="false" outlineLevel="0" collapsed="false">
      <c r="A2303" s="11" t="s">
        <v>2292</v>
      </c>
      <c r="B2303" s="11" t="n">
        <v>1</v>
      </c>
      <c r="C2303" s="11" t="s">
        <v>2349</v>
      </c>
      <c r="D2303" s="93" t="n">
        <v>-1</v>
      </c>
      <c r="E2303" s="34" t="n">
        <v>-1</v>
      </c>
    </row>
    <row r="2304" customFormat="false" ht="15" hidden="false" customHeight="false" outlineLevel="0" collapsed="false">
      <c r="A2304" s="11" t="s">
        <v>2296</v>
      </c>
      <c r="B2304" s="11" t="n">
        <v>1</v>
      </c>
      <c r="C2304" s="11" t="s">
        <v>1190</v>
      </c>
      <c r="D2304" s="93" t="n">
        <v>10</v>
      </c>
      <c r="E2304" s="34" t="n">
        <v>10</v>
      </c>
    </row>
    <row r="2305" customFormat="false" ht="15" hidden="false" customHeight="false" outlineLevel="0" collapsed="false">
      <c r="A2305" s="11" t="s">
        <v>2296</v>
      </c>
      <c r="B2305" s="11" t="n">
        <v>2</v>
      </c>
      <c r="C2305" s="11" t="s">
        <v>2354</v>
      </c>
      <c r="D2305" s="93" t="n">
        <v>6</v>
      </c>
      <c r="E2305" s="34" t="n">
        <v>6</v>
      </c>
    </row>
    <row r="2306" customFormat="false" ht="15" hidden="false" customHeight="false" outlineLevel="0" collapsed="false">
      <c r="A2306" s="11" t="s">
        <v>2296</v>
      </c>
      <c r="B2306" s="11" t="n">
        <v>3</v>
      </c>
      <c r="C2306" s="11" t="s">
        <v>2355</v>
      </c>
      <c r="D2306" s="93" t="n">
        <v>3</v>
      </c>
      <c r="E2306" s="34" t="n">
        <v>3</v>
      </c>
    </row>
    <row r="2307" customFormat="false" ht="15" hidden="false" customHeight="false" outlineLevel="0" collapsed="false">
      <c r="A2307" s="11" t="s">
        <v>2297</v>
      </c>
      <c r="B2307" s="11" t="n">
        <v>1</v>
      </c>
      <c r="C2307" s="11" t="s">
        <v>1190</v>
      </c>
      <c r="D2307" s="93" t="n">
        <v>10</v>
      </c>
      <c r="E2307" s="34" t="n">
        <v>10</v>
      </c>
    </row>
    <row r="2308" customFormat="false" ht="15" hidden="false" customHeight="false" outlineLevel="0" collapsed="false">
      <c r="A2308" s="11" t="s">
        <v>2297</v>
      </c>
      <c r="B2308" s="11" t="n">
        <v>2</v>
      </c>
      <c r="C2308" s="11" t="s">
        <v>2354</v>
      </c>
      <c r="D2308" s="93" t="n">
        <v>6</v>
      </c>
      <c r="E2308" s="34" t="n">
        <v>6</v>
      </c>
    </row>
    <row r="2309" customFormat="false" ht="15" hidden="false" customHeight="false" outlineLevel="0" collapsed="false">
      <c r="A2309" s="11" t="s">
        <v>2297</v>
      </c>
      <c r="B2309" s="11" t="n">
        <v>3</v>
      </c>
      <c r="C2309" s="11" t="s">
        <v>2355</v>
      </c>
      <c r="D2309" s="93" t="n">
        <v>3</v>
      </c>
      <c r="E2309" s="34" t="n">
        <v>3</v>
      </c>
    </row>
    <row r="2310" customFormat="false" ht="15" hidden="false" customHeight="false" outlineLevel="0" collapsed="false">
      <c r="A2310" s="11" t="s">
        <v>2300</v>
      </c>
      <c r="B2310" s="11" t="n">
        <v>1</v>
      </c>
      <c r="C2310" s="11" t="s">
        <v>159</v>
      </c>
      <c r="D2310" s="93" t="n">
        <v>19</v>
      </c>
      <c r="E2310" s="34" t="n">
        <v>19</v>
      </c>
    </row>
    <row r="2311" customFormat="false" ht="15" hidden="false" customHeight="false" outlineLevel="0" collapsed="false">
      <c r="A2311" s="11" t="s">
        <v>2300</v>
      </c>
      <c r="B2311" s="11" t="n">
        <v>2</v>
      </c>
      <c r="C2311" s="11" t="s">
        <v>157</v>
      </c>
      <c r="D2311" s="93" t="n">
        <v>-8.95375</v>
      </c>
      <c r="E2311" s="34" t="n">
        <v>-9</v>
      </c>
    </row>
    <row r="2312" customFormat="false" ht="15" hidden="false" customHeight="false" outlineLevel="0" collapsed="false">
      <c r="A2312" s="11" t="s">
        <v>2300</v>
      </c>
      <c r="B2312" s="11" t="n">
        <v>3</v>
      </c>
      <c r="C2312" s="11" t="s">
        <v>170</v>
      </c>
      <c r="D2312" s="93" t="n">
        <v>-1.6</v>
      </c>
      <c r="E2312" s="34" t="n">
        <v>-1.6</v>
      </c>
    </row>
    <row r="2313" customFormat="false" ht="15" hidden="false" customHeight="false" outlineLevel="0" collapsed="false">
      <c r="A2313" s="11" t="s">
        <v>2301</v>
      </c>
      <c r="B2313" s="11" t="n">
        <v>1</v>
      </c>
      <c r="C2313" s="11" t="s">
        <v>171</v>
      </c>
      <c r="D2313" s="93" t="n">
        <v>-8.44625</v>
      </c>
      <c r="E2313" s="34" t="n">
        <v>-8.4</v>
      </c>
    </row>
    <row r="2314" customFormat="false" ht="15" hidden="false" customHeight="false" outlineLevel="0" collapsed="false">
      <c r="A2314" s="11" t="s">
        <v>2301</v>
      </c>
      <c r="B2314" s="11" t="n">
        <v>2</v>
      </c>
      <c r="C2314" s="11" t="s">
        <v>166</v>
      </c>
      <c r="D2314" s="93" t="n">
        <v>-7.20485</v>
      </c>
      <c r="E2314" s="34" t="n">
        <v>-7.2</v>
      </c>
    </row>
    <row r="2315" customFormat="false" ht="15" hidden="false" customHeight="false" outlineLevel="0" collapsed="false">
      <c r="A2315" s="11" t="s">
        <v>2301</v>
      </c>
      <c r="B2315" s="11" t="n">
        <v>3</v>
      </c>
      <c r="C2315" s="11" t="s">
        <v>168</v>
      </c>
      <c r="D2315" s="93" t="n">
        <v>6.1891</v>
      </c>
      <c r="E2315" s="34" t="n">
        <v>6.2</v>
      </c>
    </row>
    <row r="2316" customFormat="false" ht="15" hidden="false" customHeight="false" outlineLevel="0" collapsed="false">
      <c r="A2316" s="11" t="s">
        <v>2301</v>
      </c>
      <c r="B2316" s="11" t="n">
        <v>4</v>
      </c>
      <c r="C2316" s="11" t="s">
        <v>127</v>
      </c>
      <c r="D2316" s="93" t="n">
        <v>0.238</v>
      </c>
      <c r="E2316" s="34" t="n">
        <v>0.2</v>
      </c>
    </row>
    <row r="2317" customFormat="false" ht="15" hidden="false" customHeight="false" outlineLevel="0" collapsed="false">
      <c r="A2317" s="11" t="s">
        <v>2304</v>
      </c>
      <c r="B2317" s="11" t="n">
        <v>1</v>
      </c>
      <c r="C2317" s="11" t="s">
        <v>2459</v>
      </c>
      <c r="D2317" s="93" t="n">
        <v>2</v>
      </c>
      <c r="E2317" s="34" t="n">
        <v>2</v>
      </c>
    </row>
    <row r="2318" customFormat="false" ht="15" hidden="false" customHeight="false" outlineLevel="0" collapsed="false">
      <c r="A2318" s="11" t="s">
        <v>2305</v>
      </c>
      <c r="B2318" s="11" t="n">
        <v>1</v>
      </c>
      <c r="C2318" s="11" t="s">
        <v>171</v>
      </c>
      <c r="D2318" s="93" t="n">
        <v>-8.44625</v>
      </c>
      <c r="E2318" s="34" t="n">
        <v>-8.4</v>
      </c>
    </row>
    <row r="2319" customFormat="false" ht="15" hidden="false" customHeight="false" outlineLevel="0" collapsed="false">
      <c r="A2319" s="11" t="s">
        <v>2305</v>
      </c>
      <c r="B2319" s="11" t="n">
        <v>2</v>
      </c>
      <c r="C2319" s="11" t="s">
        <v>166</v>
      </c>
      <c r="D2319" s="93" t="n">
        <v>-7.20485</v>
      </c>
      <c r="E2319" s="34" t="n">
        <v>-7.2</v>
      </c>
    </row>
    <row r="2320" customFormat="false" ht="15" hidden="false" customHeight="false" outlineLevel="0" collapsed="false">
      <c r="A2320" s="11" t="s">
        <v>2305</v>
      </c>
      <c r="B2320" s="11" t="n">
        <v>3</v>
      </c>
      <c r="C2320" s="11" t="s">
        <v>168</v>
      </c>
      <c r="D2320" s="93" t="n">
        <v>6.1891</v>
      </c>
      <c r="E2320" s="34" t="n">
        <v>6.2</v>
      </c>
    </row>
    <row r="2321" customFormat="false" ht="15" hidden="false" customHeight="false" outlineLevel="0" collapsed="false">
      <c r="A2321" s="11" t="s">
        <v>2305</v>
      </c>
      <c r="B2321" s="11" t="n">
        <v>4</v>
      </c>
      <c r="C2321" s="11" t="s">
        <v>102</v>
      </c>
      <c r="D2321" s="93" t="n">
        <v>-1.762</v>
      </c>
      <c r="E2321" s="34" t="n">
        <v>-1.8</v>
      </c>
    </row>
    <row r="2322" customFormat="false" ht="15" hidden="false" customHeight="false" outlineLevel="0" collapsed="false">
      <c r="A2322" s="11" t="s">
        <v>2306</v>
      </c>
      <c r="B2322" s="11" t="n">
        <v>1</v>
      </c>
      <c r="C2322" s="11" t="s">
        <v>2449</v>
      </c>
      <c r="D2322" s="93" t="n">
        <v>35.283</v>
      </c>
      <c r="E2322" s="34" t="n">
        <v>35.3</v>
      </c>
    </row>
    <row r="2323" customFormat="false" ht="15" hidden="false" customHeight="false" outlineLevel="0" collapsed="false">
      <c r="A2323" s="11" t="s">
        <v>2306</v>
      </c>
      <c r="B2323" s="11" t="n">
        <v>2</v>
      </c>
      <c r="C2323" s="11" t="s">
        <v>2451</v>
      </c>
      <c r="D2323" s="93" t="n">
        <v>-30.045</v>
      </c>
      <c r="E2323" s="34" t="n">
        <v>-30.1</v>
      </c>
    </row>
    <row r="2324" customFormat="false" ht="15" hidden="false" customHeight="false" outlineLevel="0" collapsed="false">
      <c r="A2324" s="11" t="s">
        <v>2306</v>
      </c>
      <c r="B2324" s="11" t="n">
        <v>3</v>
      </c>
      <c r="C2324" s="11" t="s">
        <v>2452</v>
      </c>
      <c r="D2324" s="93" t="n">
        <v>-5</v>
      </c>
      <c r="E2324" s="34" t="n">
        <v>-5</v>
      </c>
    </row>
    <row r="2325" customFormat="false" ht="15" hidden="false" customHeight="false" outlineLevel="0" collapsed="false">
      <c r="A2325" s="11" t="s">
        <v>2307</v>
      </c>
      <c r="B2325" s="11" t="n">
        <v>1</v>
      </c>
      <c r="C2325" s="11" t="s">
        <v>2449</v>
      </c>
      <c r="D2325" s="93" t="n">
        <v>35.283</v>
      </c>
      <c r="E2325" s="34" t="n">
        <v>35.3</v>
      </c>
    </row>
    <row r="2326" customFormat="false" ht="15" hidden="false" customHeight="false" outlineLevel="0" collapsed="false">
      <c r="A2326" s="11" t="s">
        <v>2307</v>
      </c>
      <c r="B2326" s="11" t="n">
        <v>2</v>
      </c>
      <c r="C2326" s="11" t="s">
        <v>2451</v>
      </c>
      <c r="D2326" s="93" t="n">
        <v>-30.045</v>
      </c>
      <c r="E2326" s="34" t="n">
        <v>-30.1</v>
      </c>
    </row>
    <row r="2327" customFormat="false" ht="15" hidden="false" customHeight="false" outlineLevel="0" collapsed="false">
      <c r="A2327" s="11" t="s">
        <v>2308</v>
      </c>
      <c r="B2327" s="11" t="n">
        <v>1</v>
      </c>
      <c r="C2327" s="11" t="s">
        <v>2452</v>
      </c>
      <c r="D2327" s="93" t="n">
        <v>-5</v>
      </c>
      <c r="E2327" s="34" t="n">
        <v>-5</v>
      </c>
    </row>
    <row r="2328" customFormat="false" ht="15" hidden="false" customHeight="false" outlineLevel="0" collapsed="false">
      <c r="A2328" s="11" t="s">
        <v>2309</v>
      </c>
      <c r="B2328" s="11" t="n">
        <v>1</v>
      </c>
      <c r="C2328" s="11" t="s">
        <v>2398</v>
      </c>
      <c r="D2328" s="93" t="n">
        <v>-16.955</v>
      </c>
      <c r="E2328" s="34" t="n">
        <v>-16.9</v>
      </c>
    </row>
    <row r="2329" customFormat="false" ht="15" hidden="false" customHeight="false" outlineLevel="0" collapsed="false">
      <c r="A2329" s="11" t="s">
        <v>2309</v>
      </c>
      <c r="B2329" s="11" t="n">
        <v>2</v>
      </c>
      <c r="C2329" s="11" t="s">
        <v>1088</v>
      </c>
      <c r="D2329" s="93" t="n">
        <v>2</v>
      </c>
      <c r="E2329" s="34" t="n">
        <v>2</v>
      </c>
    </row>
    <row r="2330" customFormat="false" ht="15" hidden="false" customHeight="false" outlineLevel="0" collapsed="false">
      <c r="A2330" s="11" t="s">
        <v>2309</v>
      </c>
      <c r="B2330" s="11" t="n">
        <v>3</v>
      </c>
      <c r="C2330" s="11" t="s">
        <v>2399</v>
      </c>
      <c r="D2330" s="93" t="n">
        <v>1.774</v>
      </c>
      <c r="E2330" s="34" t="n">
        <v>1.8</v>
      </c>
    </row>
    <row r="2331" customFormat="false" ht="15" hidden="false" customHeight="false" outlineLevel="0" collapsed="false">
      <c r="A2331" s="11" t="s">
        <v>2309</v>
      </c>
      <c r="B2331" s="11" t="n">
        <v>4</v>
      </c>
      <c r="C2331" s="11" t="s">
        <v>127</v>
      </c>
      <c r="D2331" s="93" t="n">
        <v>-1.357</v>
      </c>
      <c r="E2331" s="34" t="n">
        <v>-1.4</v>
      </c>
    </row>
    <row r="2332" customFormat="false" ht="15" hidden="false" customHeight="false" outlineLevel="0" collapsed="false">
      <c r="A2332" s="11" t="s">
        <v>2310</v>
      </c>
      <c r="B2332" s="11" t="n">
        <v>1</v>
      </c>
      <c r="C2332" s="11" t="s">
        <v>2398</v>
      </c>
      <c r="D2332" s="93" t="n">
        <v>-11.54</v>
      </c>
      <c r="E2332" s="34" t="n">
        <v>-11.5</v>
      </c>
    </row>
    <row r="2333" customFormat="false" ht="15" hidden="false" customHeight="false" outlineLevel="0" collapsed="false">
      <c r="A2333" s="11" t="s">
        <v>2310</v>
      </c>
      <c r="B2333" s="11" t="n">
        <v>2</v>
      </c>
      <c r="C2333" s="11" t="s">
        <v>1088</v>
      </c>
      <c r="D2333" s="93" t="n">
        <v>2</v>
      </c>
      <c r="E2333" s="34" t="n">
        <v>2</v>
      </c>
    </row>
    <row r="2334" customFormat="false" ht="15" hidden="false" customHeight="false" outlineLevel="0" collapsed="false">
      <c r="A2334" s="11" t="s">
        <v>2310</v>
      </c>
      <c r="B2334" s="11" t="n">
        <v>3</v>
      </c>
      <c r="C2334" s="11" t="s">
        <v>2403</v>
      </c>
      <c r="D2334" s="93" t="n">
        <v>-0.923</v>
      </c>
      <c r="E2334" s="34" t="n">
        <v>-0.9</v>
      </c>
    </row>
    <row r="2335" customFormat="false" ht="15" hidden="false" customHeight="false" outlineLevel="0" collapsed="false">
      <c r="A2335" s="11" t="s">
        <v>2310</v>
      </c>
      <c r="B2335" s="11" t="n">
        <v>4</v>
      </c>
      <c r="C2335" s="11" t="s">
        <v>127</v>
      </c>
      <c r="D2335" s="93" t="n">
        <v>-0.142</v>
      </c>
      <c r="E2335" s="34" t="n">
        <v>-0.2</v>
      </c>
    </row>
    <row r="2336" customFormat="false" ht="15" hidden="false" customHeight="false" outlineLevel="0" collapsed="false">
      <c r="A2336" s="11" t="s">
        <v>2311</v>
      </c>
      <c r="B2336" s="11" t="n">
        <v>1</v>
      </c>
      <c r="C2336" s="11" t="s">
        <v>2399</v>
      </c>
      <c r="D2336" s="93" t="n">
        <v>0.663</v>
      </c>
      <c r="E2336" s="34" t="n">
        <v>0.7</v>
      </c>
    </row>
    <row r="2337" customFormat="false" ht="15" hidden="false" customHeight="false" outlineLevel="0" collapsed="false">
      <c r="A2337" s="11" t="s">
        <v>2312</v>
      </c>
      <c r="B2337" s="11" t="n">
        <v>1</v>
      </c>
      <c r="C2337" s="11" t="s">
        <v>2398</v>
      </c>
      <c r="D2337" s="93" t="n">
        <v>4.76</v>
      </c>
      <c r="E2337" s="34" t="n">
        <v>4.7</v>
      </c>
    </row>
    <row r="2338" customFormat="false" ht="15" hidden="false" customHeight="false" outlineLevel="0" collapsed="false">
      <c r="A2338" s="11" t="s">
        <v>2312</v>
      </c>
      <c r="B2338" s="11" t="n">
        <v>2</v>
      </c>
      <c r="C2338" s="11" t="s">
        <v>2399</v>
      </c>
      <c r="D2338" s="93" t="n">
        <v>1.064</v>
      </c>
      <c r="E2338" s="34" t="n">
        <v>1.1</v>
      </c>
    </row>
    <row r="2339" customFormat="false" ht="15" hidden="false" customHeight="false" outlineLevel="0" collapsed="false">
      <c r="A2339" s="11" t="s">
        <v>2312</v>
      </c>
      <c r="B2339" s="11" t="n">
        <v>3</v>
      </c>
      <c r="C2339" s="11" t="s">
        <v>2403</v>
      </c>
      <c r="D2339" s="93" t="n">
        <v>0.38</v>
      </c>
      <c r="E2339" s="34" t="n">
        <v>0.4</v>
      </c>
    </row>
    <row r="2340" customFormat="false" ht="15" hidden="false" customHeight="false" outlineLevel="0" collapsed="false">
      <c r="A2340" s="11" t="s">
        <v>2313</v>
      </c>
      <c r="B2340" s="11" t="n">
        <v>1</v>
      </c>
      <c r="C2340" s="11" t="s">
        <v>2399</v>
      </c>
      <c r="D2340" s="93" t="n">
        <v>0.588</v>
      </c>
      <c r="E2340" s="34" t="n">
        <v>0.6</v>
      </c>
    </row>
    <row r="2341" customFormat="false" ht="15" hidden="false" customHeight="false" outlineLevel="0" collapsed="false">
      <c r="A2341" s="11" t="s">
        <v>2314</v>
      </c>
      <c r="B2341" s="11" t="n">
        <v>1</v>
      </c>
      <c r="C2341" s="11" t="s">
        <v>2398</v>
      </c>
      <c r="D2341" s="93" t="n">
        <v>-10.175</v>
      </c>
      <c r="E2341" s="34" t="n">
        <v>-10.2</v>
      </c>
    </row>
    <row r="2342" customFormat="false" ht="15" hidden="false" customHeight="false" outlineLevel="0" collapsed="false">
      <c r="A2342" s="11" t="s">
        <v>2314</v>
      </c>
      <c r="B2342" s="11" t="n">
        <v>2</v>
      </c>
      <c r="C2342" s="11" t="s">
        <v>2403</v>
      </c>
      <c r="D2342" s="93" t="n">
        <v>-0.814</v>
      </c>
      <c r="E2342" s="34" t="n">
        <v>-0.8</v>
      </c>
    </row>
    <row r="2343" customFormat="false" ht="15" hidden="false" customHeight="false" outlineLevel="0" collapsed="false">
      <c r="A2343" s="11" t="s">
        <v>2314</v>
      </c>
      <c r="B2343" s="11" t="n">
        <v>3</v>
      </c>
      <c r="C2343" s="11" t="s">
        <v>2399</v>
      </c>
      <c r="D2343" s="93" t="n">
        <v>-0.399</v>
      </c>
      <c r="E2343" s="34" t="n">
        <v>-0.4</v>
      </c>
    </row>
    <row r="2344" customFormat="false" ht="15" hidden="false" customHeight="false" outlineLevel="0" collapsed="false">
      <c r="A2344" s="11" t="s">
        <v>2315</v>
      </c>
      <c r="B2344" s="11" t="n">
        <v>1</v>
      </c>
      <c r="C2344" s="11" t="s">
        <v>2351</v>
      </c>
      <c r="D2344" s="93" t="n">
        <v>6</v>
      </c>
      <c r="E2344" s="34" t="n">
        <v>6</v>
      </c>
    </row>
    <row r="2345" customFormat="false" ht="15" hidden="false" customHeight="false" outlineLevel="0" collapsed="false">
      <c r="A2345" s="11" t="s">
        <v>2315</v>
      </c>
      <c r="B2345" s="11" t="n">
        <v>2</v>
      </c>
      <c r="C2345" s="11" t="s">
        <v>2349</v>
      </c>
      <c r="D2345" s="93" t="n">
        <v>-1</v>
      </c>
      <c r="E2345" s="34" t="n">
        <v>-1</v>
      </c>
    </row>
    <row r="2346" customFormat="false" ht="15" hidden="false" customHeight="false" outlineLevel="0" collapsed="false">
      <c r="A2346" s="11" t="s">
        <v>2315</v>
      </c>
      <c r="B2346" s="11" t="n">
        <v>3</v>
      </c>
      <c r="C2346" s="11" t="s">
        <v>2342</v>
      </c>
      <c r="D2346" s="93" t="n">
        <v>1</v>
      </c>
      <c r="E2346" s="34" t="n">
        <v>1</v>
      </c>
    </row>
    <row r="2347" customFormat="false" ht="15" hidden="false" customHeight="false" outlineLevel="0" collapsed="false">
      <c r="A2347" s="11" t="s">
        <v>2316</v>
      </c>
      <c r="B2347" s="11" t="n">
        <v>1</v>
      </c>
      <c r="C2347" s="11" t="s">
        <v>2351</v>
      </c>
      <c r="D2347" s="93" t="n">
        <v>6</v>
      </c>
      <c r="E2347" s="34" t="n">
        <v>6</v>
      </c>
    </row>
    <row r="2348" customFormat="false" ht="15" hidden="false" customHeight="false" outlineLevel="0" collapsed="false">
      <c r="A2348" s="11" t="s">
        <v>2316</v>
      </c>
      <c r="B2348" s="11" t="n">
        <v>2</v>
      </c>
      <c r="C2348" s="11" t="s">
        <v>2349</v>
      </c>
      <c r="D2348" s="93" t="n">
        <v>-1</v>
      </c>
      <c r="E2348" s="34" t="n">
        <v>-1</v>
      </c>
    </row>
    <row r="2349" customFormat="false" ht="15" hidden="false" customHeight="false" outlineLevel="0" collapsed="false">
      <c r="A2349" s="11" t="s">
        <v>2316</v>
      </c>
      <c r="B2349" s="11" t="n">
        <v>3</v>
      </c>
      <c r="C2349" s="11" t="s">
        <v>2342</v>
      </c>
      <c r="D2349" s="93" t="n">
        <v>1</v>
      </c>
      <c r="E2349" s="34" t="n">
        <v>1</v>
      </c>
    </row>
    <row r="2350" customFormat="false" ht="15" hidden="false" customHeight="false" outlineLevel="0" collapsed="false">
      <c r="A2350" s="11" t="s">
        <v>2318</v>
      </c>
      <c r="B2350" s="11" t="n">
        <v>1</v>
      </c>
      <c r="C2350" s="11" t="s">
        <v>1190</v>
      </c>
      <c r="D2350" s="93" t="n">
        <v>10</v>
      </c>
      <c r="E2350" s="34" t="n">
        <v>10</v>
      </c>
    </row>
    <row r="2351" customFormat="false" ht="15" hidden="false" customHeight="false" outlineLevel="0" collapsed="false">
      <c r="A2351" s="11" t="s">
        <v>2318</v>
      </c>
      <c r="B2351" s="11" t="n">
        <v>2</v>
      </c>
      <c r="C2351" s="11" t="s">
        <v>2354</v>
      </c>
      <c r="D2351" s="93" t="n">
        <v>6</v>
      </c>
      <c r="E2351" s="34" t="n">
        <v>6</v>
      </c>
    </row>
    <row r="2352" customFormat="false" ht="15" hidden="false" customHeight="false" outlineLevel="0" collapsed="false">
      <c r="A2352" s="11" t="s">
        <v>2318</v>
      </c>
      <c r="B2352" s="11" t="n">
        <v>3</v>
      </c>
      <c r="C2352" s="11" t="s">
        <v>2355</v>
      </c>
      <c r="D2352" s="93" t="n">
        <v>3</v>
      </c>
      <c r="E2352" s="34" t="n">
        <v>3</v>
      </c>
    </row>
    <row r="2353" customFormat="false" ht="15" hidden="false" customHeight="false" outlineLevel="0" collapsed="false">
      <c r="A2353" s="11" t="s">
        <v>2318</v>
      </c>
      <c r="B2353" s="11" t="n">
        <v>4</v>
      </c>
      <c r="C2353" s="11" t="s">
        <v>127</v>
      </c>
      <c r="D2353" s="93" t="n">
        <v>-1</v>
      </c>
      <c r="E2353" s="34" t="n">
        <v>-1</v>
      </c>
    </row>
    <row r="2354" customFormat="false" ht="15" hidden="false" customHeight="false" outlineLevel="0" collapsed="false">
      <c r="A2354" s="11" t="s">
        <v>2319</v>
      </c>
      <c r="B2354" s="11" t="n">
        <v>1</v>
      </c>
      <c r="C2354" s="11" t="s">
        <v>1198</v>
      </c>
      <c r="D2354" s="93" t="n">
        <v>-1</v>
      </c>
      <c r="E2354" s="34" t="n">
        <v>-1</v>
      </c>
    </row>
    <row r="2355" customFormat="false" ht="15" hidden="false" customHeight="false" outlineLevel="0" collapsed="false">
      <c r="A2355" s="11" t="s">
        <v>2320</v>
      </c>
      <c r="B2355" s="11" t="n">
        <v>1</v>
      </c>
      <c r="C2355" s="11" t="s">
        <v>1190</v>
      </c>
      <c r="D2355" s="93" t="n">
        <v>10</v>
      </c>
      <c r="E2355" s="34" t="n">
        <v>10</v>
      </c>
    </row>
    <row r="2356" customFormat="false" ht="15" hidden="false" customHeight="false" outlineLevel="0" collapsed="false">
      <c r="A2356" s="11" t="s">
        <v>2320</v>
      </c>
      <c r="B2356" s="11" t="n">
        <v>2</v>
      </c>
      <c r="C2356" s="11" t="s">
        <v>2354</v>
      </c>
      <c r="D2356" s="93" t="n">
        <v>6</v>
      </c>
      <c r="E2356" s="34" t="n">
        <v>6</v>
      </c>
    </row>
    <row r="2357" customFormat="false" ht="15" hidden="false" customHeight="false" outlineLevel="0" collapsed="false">
      <c r="A2357" s="11" t="s">
        <v>2320</v>
      </c>
      <c r="B2357" s="11" t="n">
        <v>3</v>
      </c>
      <c r="C2357" s="11" t="s">
        <v>2355</v>
      </c>
      <c r="D2357" s="93" t="n">
        <v>3</v>
      </c>
      <c r="E2357" s="34" t="n">
        <v>3</v>
      </c>
    </row>
    <row r="2358" customFormat="false" ht="15" hidden="false" customHeight="false" outlineLevel="0" collapsed="false">
      <c r="A2358" s="11" t="s">
        <v>2325</v>
      </c>
      <c r="B2358" s="11" t="n">
        <v>1</v>
      </c>
      <c r="C2358" s="11" t="s">
        <v>331</v>
      </c>
      <c r="D2358" s="93" t="n">
        <v>18</v>
      </c>
      <c r="E2358" s="34" t="n">
        <v>18</v>
      </c>
    </row>
    <row r="2359" customFormat="false" ht="15" hidden="false" customHeight="false" outlineLevel="0" collapsed="false">
      <c r="A2359" s="11" t="s">
        <v>2325</v>
      </c>
      <c r="B2359" s="11" t="n">
        <v>2</v>
      </c>
      <c r="C2359" s="11" t="s">
        <v>316</v>
      </c>
      <c r="D2359" s="93" t="n">
        <v>-14.538</v>
      </c>
      <c r="E2359" s="34" t="n">
        <v>-14.5</v>
      </c>
    </row>
    <row r="2360" customFormat="false" ht="15" hidden="false" customHeight="false" outlineLevel="0" collapsed="false">
      <c r="A2360" s="11" t="s">
        <v>2325</v>
      </c>
      <c r="B2360" s="11" t="n">
        <v>3</v>
      </c>
      <c r="C2360" s="11" t="s">
        <v>325</v>
      </c>
      <c r="D2360" s="93" t="n">
        <v>6</v>
      </c>
      <c r="E2360" s="34" t="n">
        <v>6</v>
      </c>
    </row>
    <row r="2361" customFormat="false" ht="15" hidden="false" customHeight="false" outlineLevel="0" collapsed="false">
      <c r="A2361" s="11" t="s">
        <v>2326</v>
      </c>
      <c r="B2361" s="11" t="n">
        <v>1</v>
      </c>
      <c r="C2361" s="11" t="s">
        <v>339</v>
      </c>
      <c r="D2361" s="93" t="n">
        <v>-9.462</v>
      </c>
      <c r="E2361" s="34" t="n">
        <v>-9.4</v>
      </c>
    </row>
    <row r="2362" customFormat="false" ht="15" hidden="false" customHeight="false" outlineLevel="0" collapsed="false">
      <c r="A2362" s="11" t="s">
        <v>2326</v>
      </c>
      <c r="B2362" s="11" t="n">
        <v>2</v>
      </c>
      <c r="C2362" s="11" t="s">
        <v>312</v>
      </c>
      <c r="D2362" s="93" t="n">
        <v>0.238</v>
      </c>
      <c r="E2362" s="34" t="n">
        <v>0.2</v>
      </c>
    </row>
    <row r="2363" customFormat="false" ht="15" hidden="false" customHeight="false" outlineLevel="0" collapsed="false">
      <c r="A2363" s="11" t="s">
        <v>2330</v>
      </c>
      <c r="B2363" s="11" t="n">
        <v>1</v>
      </c>
      <c r="C2363" s="11" t="s">
        <v>2459</v>
      </c>
      <c r="D2363" s="93" t="n">
        <v>2</v>
      </c>
      <c r="E2363" s="34" t="n">
        <v>2</v>
      </c>
    </row>
    <row r="2364" customFormat="false" ht="15" hidden="false" customHeight="false" outlineLevel="0" collapsed="false">
      <c r="A2364" s="11" t="s">
        <v>2331</v>
      </c>
      <c r="B2364" s="11" t="n">
        <v>1</v>
      </c>
      <c r="C2364" s="11" t="s">
        <v>339</v>
      </c>
      <c r="D2364" s="93" t="n">
        <v>-9.462</v>
      </c>
      <c r="E2364" s="34" t="n">
        <v>-9.4</v>
      </c>
    </row>
    <row r="2365" customFormat="false" ht="15" hidden="false" customHeight="false" outlineLevel="0" collapsed="false">
      <c r="A2365" s="11" t="s">
        <v>2331</v>
      </c>
      <c r="B2365" s="11" t="n">
        <v>2</v>
      </c>
      <c r="C2365" s="11" t="s">
        <v>126</v>
      </c>
      <c r="D2365" s="93" t="n">
        <v>-2</v>
      </c>
      <c r="E2365" s="34" t="n">
        <v>-2</v>
      </c>
    </row>
    <row r="2366" customFormat="false" ht="15" hidden="false" customHeight="false" outlineLevel="0" collapsed="false">
      <c r="A2366" s="11" t="s">
        <v>2331</v>
      </c>
      <c r="B2366" s="11" t="n">
        <v>3</v>
      </c>
      <c r="C2366" s="11" t="s">
        <v>312</v>
      </c>
      <c r="D2366" s="93" t="n">
        <v>0.238</v>
      </c>
      <c r="E2366" s="34" t="n">
        <v>0.2</v>
      </c>
    </row>
    <row r="2368" customFormat="false" ht="15" hidden="false" customHeight="false" outlineLevel="0" collapsed="false">
      <c r="A2368" s="18" t="s">
        <v>2461</v>
      </c>
    </row>
  </sheetData>
  <autoFilter ref="A1:E236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2026-10-07T18:39:50Z</dcterms:created>
  <dc:creator>openpyxl</dc:creator>
  <dc:description/>
  <dc:language>en-US</dc:language>
  <cp:lastModifiedBy/>
  <dcterms:modified xsi:type="dcterms:W3CDTF">2026-10-07T18:39:53Z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