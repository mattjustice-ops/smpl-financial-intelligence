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ecbdc24dae9ab7/Documents/"/>
    </mc:Choice>
  </mc:AlternateContent>
  <xr:revisionPtr revIDLastSave="128" documentId="8_{21C9AE6C-C02C-4294-94BB-661D77F282DB}" xr6:coauthVersionLast="47" xr6:coauthVersionMax="47" xr10:uidLastSave="{6AE4B564-73C8-4963-9474-DC0FD707DD33}"/>
  <bookViews>
    <workbookView xWindow="-110" yWindow="-110" windowWidth="25820" windowHeight="13900" xr2:uid="{9FF4B6E0-85C8-462B-B234-6D4F2C63A346}"/>
  </bookViews>
  <sheets>
    <sheet name="Summary" sheetId="4" r:id="rId1"/>
    <sheet name="Trended Forecast" sheetId="5" r:id="rId2"/>
    <sheet name="Actual_opportunity_movements" sheetId="3" r:id="rId3"/>
    <sheet name="Forecast_opportunity_movements" sheetId="1" r:id="rId4"/>
    <sheet name="Budget_opportunity_movements" sheetId="2" r:id="rId5"/>
  </sheets>
  <definedNames>
    <definedName name="_xlchart.v1.0" hidden="1">Summary!$A$7:$A$13</definedName>
    <definedName name="_xlchart.v1.1" hidden="1">Summary!$B$6</definedName>
    <definedName name="_xlchart.v1.10" hidden="1">Summary!$B$7:$B$13</definedName>
    <definedName name="_xlchart.v1.11" hidden="1">Summary!$A$16:$A$22</definedName>
    <definedName name="_xlchart.v1.12" hidden="1">Summary!$B$16:$B$22</definedName>
    <definedName name="_xlchart.v1.13" hidden="1">Summary!$B$6</definedName>
    <definedName name="_xlchart.v1.14" hidden="1">Summary!$A$7:$A$13</definedName>
    <definedName name="_xlchart.v1.15" hidden="1">Summary!$B$6</definedName>
    <definedName name="_xlchart.v1.16" hidden="1">Summary!$B$7:$B$13</definedName>
    <definedName name="_xlchart.v1.17" hidden="1">Summary!$A$7:$A$13</definedName>
    <definedName name="_xlchart.v1.18" hidden="1">Summary!$B$6</definedName>
    <definedName name="_xlchart.v1.19" hidden="1">Summary!$B$7:$B$13</definedName>
    <definedName name="_xlchart.v1.2" hidden="1">Summary!$B$7:$B$13</definedName>
    <definedName name="_xlchart.v1.20" hidden="1">Summary!$A$7:$A$13</definedName>
    <definedName name="_xlchart.v1.21" hidden="1">Summary!$B$6</definedName>
    <definedName name="_xlchart.v1.22" hidden="1">Summary!$B$7:$B$13</definedName>
    <definedName name="_xlchart.v1.23" hidden="1">Summary!$C$6</definedName>
    <definedName name="_xlchart.v1.24" hidden="1">Summary!$C$7:$C$13</definedName>
    <definedName name="_xlchart.v1.3" hidden="1">Summary!$A$7:$A$13</definedName>
    <definedName name="_xlchart.v1.4" hidden="1">Summary!$B$6</definedName>
    <definedName name="_xlchart.v1.5" hidden="1">Summary!$B$7:$B$13</definedName>
    <definedName name="_xlchart.v1.6" hidden="1">Summary!$A$16:$A$22</definedName>
    <definedName name="_xlchart.v1.7" hidden="1">Summary!$A$7:$A$13</definedName>
    <definedName name="_xlchart.v1.8" hidden="1">Summary!$B$16:$B$22</definedName>
    <definedName name="_xlchart.v1.9" hidden="1">Summary!$B$6</definedName>
  </definedNames>
  <calcPr calcId="0"/>
</workbook>
</file>

<file path=xl/calcChain.xml><?xml version="1.0" encoding="utf-8"?>
<calcChain xmlns="http://schemas.openxmlformats.org/spreadsheetml/2006/main">
  <c r="C9" i="4" l="1"/>
  <c r="C10" i="4"/>
  <c r="C11" i="4"/>
  <c r="C12" i="4"/>
  <c r="C8" i="4"/>
  <c r="C7" i="4"/>
  <c r="B13" i="4"/>
  <c r="B22" i="4"/>
  <c r="B19" i="4"/>
  <c r="B21" i="4"/>
  <c r="B20" i="4"/>
  <c r="B18" i="4"/>
  <c r="B17" i="4"/>
  <c r="C13" i="4" l="1"/>
</calcChain>
</file>

<file path=xl/sharedStrings.xml><?xml version="1.0" encoding="utf-8"?>
<sst xmlns="http://schemas.openxmlformats.org/spreadsheetml/2006/main" count="26661" uniqueCount="2320">
  <si>
    <t>organization_id</t>
  </si>
  <si>
    <t>version</t>
  </si>
  <si>
    <t>period</t>
  </si>
  <si>
    <t>opportunity_id</t>
  </si>
  <si>
    <t>opportunity_name</t>
  </si>
  <si>
    <t>customer_id</t>
  </si>
  <si>
    <t>customer_name</t>
  </si>
  <si>
    <t>opportunity_type</t>
  </si>
  <si>
    <t>stage</t>
  </si>
  <si>
    <t>close_status</t>
  </si>
  <si>
    <t>created_date</t>
  </si>
  <si>
    <t>expected_close_date</t>
  </si>
  <si>
    <t>actual_close_date</t>
  </si>
  <si>
    <t>contract_start_date</t>
  </si>
  <si>
    <t>contract_end_date</t>
  </si>
  <si>
    <t>contract_term_months</t>
  </si>
  <si>
    <t>billing_cadence</t>
  </si>
  <si>
    <t>billing_terms</t>
  </si>
  <si>
    <t>customer_state</t>
  </si>
  <si>
    <t>region</t>
  </si>
  <si>
    <t>segment</t>
  </si>
  <si>
    <t>industry</t>
  </si>
  <si>
    <t>marketing_channel</t>
  </si>
  <si>
    <t>owner</t>
  </si>
  <si>
    <t>amount_arr</t>
  </si>
  <si>
    <t>weighted_arr</t>
  </si>
  <si>
    <t>probability</t>
  </si>
  <si>
    <t>waterfall_type</t>
  </si>
  <si>
    <t>pipeline_movement_type</t>
  </si>
  <si>
    <t>source_note</t>
  </si>
  <si>
    <t>8571e520-0687-4516-bdee-379f37c58c1f</t>
  </si>
  <si>
    <t>Forecast</t>
  </si>
  <si>
    <t>2026-06</t>
  </si>
  <si>
    <t>FOR-OPP-2000001</t>
  </si>
  <si>
    <t>Northstar Health 280 - New Business - 2026-06</t>
  </si>
  <si>
    <t>CUST-00280</t>
  </si>
  <si>
    <t>Northstar Health 280</t>
  </si>
  <si>
    <t>New Business</t>
  </si>
  <si>
    <t>Discovery</t>
  </si>
  <si>
    <t>Closed Won</t>
  </si>
  <si>
    <t>Quarterly</t>
  </si>
  <si>
    <t>Net 30</t>
  </si>
  <si>
    <t>WI</t>
  </si>
  <si>
    <t>Central</t>
  </si>
  <si>
    <t>Mid-Market</t>
  </si>
  <si>
    <t>Legal</t>
  </si>
  <si>
    <t>Webinar</t>
  </si>
  <si>
    <t>Casey Johnson</t>
  </si>
  <si>
    <t>Opportunity detail generated for pipeline waterfall drilldown and customer attribution.</t>
  </si>
  <si>
    <t>FOR-OPP-2000002</t>
  </si>
  <si>
    <t>Nimbus Works 1790 - New Business - 2026-06</t>
  </si>
  <si>
    <t>CUST-01790</t>
  </si>
  <si>
    <t>Nimbus Works 1790</t>
  </si>
  <si>
    <t>Net 60</t>
  </si>
  <si>
    <t>WA</t>
  </si>
  <si>
    <t>West</t>
  </si>
  <si>
    <t>SMB</t>
  </si>
  <si>
    <t>Cybersecurity</t>
  </si>
  <si>
    <t>Customer Success</t>
  </si>
  <si>
    <t>Riley Wilson</t>
  </si>
  <si>
    <t>FOR-OPP-2000003</t>
  </si>
  <si>
    <t>Apex Group 2454 - New Business - 2026-06</t>
  </si>
  <si>
    <t>CUST-02454</t>
  </si>
  <si>
    <t>Apex Group 2454</t>
  </si>
  <si>
    <t>Negotiation</t>
  </si>
  <si>
    <t>Annual</t>
  </si>
  <si>
    <t>CO</t>
  </si>
  <si>
    <t>Retail</t>
  </si>
  <si>
    <t>Cameron Clark</t>
  </si>
  <si>
    <t>FOR-OPP-2000004</t>
  </si>
  <si>
    <t>Pioneer Systems 348 - New Business - 2026-06</t>
  </si>
  <si>
    <t>CUST-00348</t>
  </si>
  <si>
    <t>Pioneer Systems 348</t>
  </si>
  <si>
    <t>IL</t>
  </si>
  <si>
    <t>Education</t>
  </si>
  <si>
    <t>Referral</t>
  </si>
  <si>
    <t>FOR-OPP-2000005</t>
  </si>
  <si>
    <t>Vertex Solutions 596 - New Business - 2026-06</t>
  </si>
  <si>
    <t>CUST-00596</t>
  </si>
  <si>
    <t>Vertex Solutions 596</t>
  </si>
  <si>
    <t>MI</t>
  </si>
  <si>
    <t>Healthcare</t>
  </si>
  <si>
    <t>Field Event</t>
  </si>
  <si>
    <t>Jordan Smith</t>
  </si>
  <si>
    <t>FOR-OPP-2000006</t>
  </si>
  <si>
    <t>Nimbus Legal 730 - New Business - 2026-06</t>
  </si>
  <si>
    <t>CUST-00730</t>
  </si>
  <si>
    <t>Nimbus Legal 730</t>
  </si>
  <si>
    <t>Net 45</t>
  </si>
  <si>
    <t>UT</t>
  </si>
  <si>
    <t>Organic Search</t>
  </si>
  <si>
    <t>Taylor Brown</t>
  </si>
  <si>
    <t>FOR-OPP-2000007</t>
  </si>
  <si>
    <t>Catalyst Legal 1516 - New Business - 2026-06</t>
  </si>
  <si>
    <t>CUST-01516</t>
  </si>
  <si>
    <t>Catalyst Legal 1516</t>
  </si>
  <si>
    <t>FL</t>
  </si>
  <si>
    <t>South</t>
  </si>
  <si>
    <t>Financial Services</t>
  </si>
  <si>
    <t>FOR-OPP-2000008</t>
  </si>
  <si>
    <t>Catalyst Works 832 - New Business - 2026-06</t>
  </si>
  <si>
    <t>CUST-00832</t>
  </si>
  <si>
    <t>Catalyst Works 832</t>
  </si>
  <si>
    <t>Commit</t>
  </si>
  <si>
    <t>Monthly</t>
  </si>
  <si>
    <t>AZ</t>
  </si>
  <si>
    <t>Enterprise</t>
  </si>
  <si>
    <t>FOR-OPP-2000009</t>
  </si>
  <si>
    <t>Vertex Works 1655 - New Business - 2026-06</t>
  </si>
  <si>
    <t>CUST-01655</t>
  </si>
  <si>
    <t>Vertex Works 1655</t>
  </si>
  <si>
    <t>Evaluation</t>
  </si>
  <si>
    <t>CA</t>
  </si>
  <si>
    <t>FOR-OPP-2000010</t>
  </si>
  <si>
    <t>Nimbus Group 307 - New Business - 2026-06</t>
  </si>
  <si>
    <t>CUST-00307</t>
  </si>
  <si>
    <t>Nimbus Group 307</t>
  </si>
  <si>
    <t>Proposal</t>
  </si>
  <si>
    <t>TX</t>
  </si>
  <si>
    <t>Professional Services</t>
  </si>
  <si>
    <t>Paid Search</t>
  </si>
  <si>
    <t>FOR-OPP-2000011</t>
  </si>
  <si>
    <t>Summit Cloud 2211 - New Business - 2026-06</t>
  </si>
  <si>
    <t>CUST-02211</t>
  </si>
  <si>
    <t>Summit Cloud 2211</t>
  </si>
  <si>
    <t>Alex Lee</t>
  </si>
  <si>
    <t>FOR-OPP-2000012</t>
  </si>
  <si>
    <t>Apex Health 173 - New Business - 2026-06</t>
  </si>
  <si>
    <t>CUST-00173</t>
  </si>
  <si>
    <t>Apex Health 173</t>
  </si>
  <si>
    <t>NY</t>
  </si>
  <si>
    <t>East</t>
  </si>
  <si>
    <t>Outbound</t>
  </si>
  <si>
    <t>CUST-01476</t>
  </si>
  <si>
    <t>Northstar Cloud 1476</t>
  </si>
  <si>
    <t>MA</t>
  </si>
  <si>
    <t>Content Syndication</t>
  </si>
  <si>
    <t>AL</t>
  </si>
  <si>
    <t>Manufacturing</t>
  </si>
  <si>
    <t>OH</t>
  </si>
  <si>
    <t>GA</t>
  </si>
  <si>
    <t>NJ</t>
  </si>
  <si>
    <t>Direct</t>
  </si>
  <si>
    <t>Morgan Davis</t>
  </si>
  <si>
    <t>Logistics</t>
  </si>
  <si>
    <t>CUST-01075</t>
  </si>
  <si>
    <t>Summit Health 1075</t>
  </si>
  <si>
    <t>CUST-00891</t>
  </si>
  <si>
    <t>Summit Systems 891</t>
  </si>
  <si>
    <t>VA</t>
  </si>
  <si>
    <t>Paid Social</t>
  </si>
  <si>
    <t>PA</t>
  </si>
  <si>
    <t>CUST-01916</t>
  </si>
  <si>
    <t>Acme Works 1916</t>
  </si>
  <si>
    <t>CUST-01227</t>
  </si>
  <si>
    <t>Catalyst Legal 1227</t>
  </si>
  <si>
    <t>CUST-02325</t>
  </si>
  <si>
    <t>BlueRiver Health 2325</t>
  </si>
  <si>
    <t>Avery Garcia</t>
  </si>
  <si>
    <t>CUST-00090</t>
  </si>
  <si>
    <t>Evergreen Analytics 90</t>
  </si>
  <si>
    <t>Partner</t>
  </si>
  <si>
    <t>MN</t>
  </si>
  <si>
    <t>NC</t>
  </si>
  <si>
    <t>OR</t>
  </si>
  <si>
    <t>2026-07</t>
  </si>
  <si>
    <t>FOR-OPP-2000064</t>
  </si>
  <si>
    <t>BlueRiver Health 1637 - New Business - 2026-07</t>
  </si>
  <si>
    <t>CUST-01637</t>
  </si>
  <si>
    <t>BlueRiver Health 1637</t>
  </si>
  <si>
    <t>FOR-OPP-2000065</t>
  </si>
  <si>
    <t>Catalyst Analytics 185 - New Business - 2026-07</t>
  </si>
  <si>
    <t>CUST-00185</t>
  </si>
  <si>
    <t>Catalyst Analytics 185</t>
  </si>
  <si>
    <t>FOR-OPP-2000066</t>
  </si>
  <si>
    <t>Northstar Group 373 - New Business - 2026-07</t>
  </si>
  <si>
    <t>CUST-00373</t>
  </si>
  <si>
    <t>Northstar Group 373</t>
  </si>
  <si>
    <t>FOR-OPP-2000067</t>
  </si>
  <si>
    <t>Summit Systems 1832 - New Business - 2026-07</t>
  </si>
  <si>
    <t>CUST-01832</t>
  </si>
  <si>
    <t>Summit Systems 1832</t>
  </si>
  <si>
    <t>SC</t>
  </si>
  <si>
    <t>FOR-OPP-2000068</t>
  </si>
  <si>
    <t>Catalyst Group 13 - New Business - 2026-07</t>
  </si>
  <si>
    <t>CUST-00013</t>
  </si>
  <si>
    <t>Catalyst Group 13</t>
  </si>
  <si>
    <t>FOR-OPP-2000069</t>
  </si>
  <si>
    <t>Summit Analytics 330 - New Business - 2026-07</t>
  </si>
  <si>
    <t>CUST-00330</t>
  </si>
  <si>
    <t>Summit Analytics 330</t>
  </si>
  <si>
    <t>FOR-OPP-2000070</t>
  </si>
  <si>
    <t>BlueRiver Solutions 1289 - New Business - 2026-07</t>
  </si>
  <si>
    <t>CUST-01289</t>
  </si>
  <si>
    <t>BlueRiver Solutions 1289</t>
  </si>
  <si>
    <t>FOR-OPP-2000071</t>
  </si>
  <si>
    <t>Apex Health 2267 - New Business - 2026-07</t>
  </si>
  <si>
    <t>CUST-02267</t>
  </si>
  <si>
    <t>Apex Health 2267</t>
  </si>
  <si>
    <t>FOR-OPP-2000072</t>
  </si>
  <si>
    <t>Pioneer Health 1197 - New Business - 2026-07</t>
  </si>
  <si>
    <t>CUST-01197</t>
  </si>
  <si>
    <t>Pioneer Health 1197</t>
  </si>
  <si>
    <t>FOR-OPP-2000073</t>
  </si>
  <si>
    <t>Apex Legal 1878 - New Business - 2026-07</t>
  </si>
  <si>
    <t>CUST-01878</t>
  </si>
  <si>
    <t>Apex Legal 1878</t>
  </si>
  <si>
    <t>FOR-OPP-2000074</t>
  </si>
  <si>
    <t>BlueRiver Group 281 - New Business - 2026-07</t>
  </si>
  <si>
    <t>CUST-00281</t>
  </si>
  <si>
    <t>BlueRiver Group 281</t>
  </si>
  <si>
    <t>FOR-OPP-2000075</t>
  </si>
  <si>
    <t>Northstar Group 1966 - New Business - 2026-07</t>
  </si>
  <si>
    <t>CUST-01966</t>
  </si>
  <si>
    <t>Northstar Group 1966</t>
  </si>
  <si>
    <t>CUST-00305</t>
  </si>
  <si>
    <t>Catalyst Group 305</t>
  </si>
  <si>
    <t>Software</t>
  </si>
  <si>
    <t>CUST-01386</t>
  </si>
  <si>
    <t>Evergreen Solutions 1386</t>
  </si>
  <si>
    <t>CUST-01653</t>
  </si>
  <si>
    <t>Apex Solutions 1653</t>
  </si>
  <si>
    <t>TN</t>
  </si>
  <si>
    <t>CUST-00717</t>
  </si>
  <si>
    <t>Apex Works 717</t>
  </si>
  <si>
    <t>CUST-01978</t>
  </si>
  <si>
    <t>Evergreen Legal 1978</t>
  </si>
  <si>
    <t>CUST-01258</t>
  </si>
  <si>
    <t>Acme Analytics 1258</t>
  </si>
  <si>
    <t>CUST-00607</t>
  </si>
  <si>
    <t>Vertex Legal 607</t>
  </si>
  <si>
    <t>2026-08</t>
  </si>
  <si>
    <t>FOR-OPP-2000131</t>
  </si>
  <si>
    <t>Catalyst Works 189 - New Business - 2026-08</t>
  </si>
  <si>
    <t>CUST-00189</t>
  </si>
  <si>
    <t>Catalyst Works 189</t>
  </si>
  <si>
    <t>FOR-OPP-2000132</t>
  </si>
  <si>
    <t>Summit Cloud 49 - New Business - 2026-08</t>
  </si>
  <si>
    <t>CUST-00049</t>
  </si>
  <si>
    <t>Summit Cloud 49</t>
  </si>
  <si>
    <t>FOR-OPP-2000133</t>
  </si>
  <si>
    <t>Catalyst Analytics 631 - New Business - 2026-08</t>
  </si>
  <si>
    <t>CUST-00631</t>
  </si>
  <si>
    <t>Catalyst Analytics 631</t>
  </si>
  <si>
    <t>FOR-OPP-2000134</t>
  </si>
  <si>
    <t>Nimbus Legal 973 - New Business - 2026-08</t>
  </si>
  <si>
    <t>CUST-00973</t>
  </si>
  <si>
    <t>Nimbus Legal 973</t>
  </si>
  <si>
    <t>FOR-OPP-2000135</t>
  </si>
  <si>
    <t>Catalyst Solutions 556 - New Business - 2026-08</t>
  </si>
  <si>
    <t>CUST-00556</t>
  </si>
  <si>
    <t>Catalyst Solutions 556</t>
  </si>
  <si>
    <t>FOR-OPP-2000136</t>
  </si>
  <si>
    <t>Apex Group 893 - New Business - 2026-08</t>
  </si>
  <si>
    <t>CUST-00893</t>
  </si>
  <si>
    <t>Apex Group 893</t>
  </si>
  <si>
    <t>FOR-OPP-2000137</t>
  </si>
  <si>
    <t>Summit Group 576 - New Business - 2026-08</t>
  </si>
  <si>
    <t>CUST-00576</t>
  </si>
  <si>
    <t>Summit Group 576</t>
  </si>
  <si>
    <t>FOR-OPP-2000138</t>
  </si>
  <si>
    <t>Vertex Legal 1581 - New Business - 2026-08</t>
  </si>
  <si>
    <t>CUST-01581</t>
  </si>
  <si>
    <t>Vertex Legal 1581</t>
  </si>
  <si>
    <t>FOR-OPP-2000139</t>
  </si>
  <si>
    <t>Vertex Works 2197 - New Business - 2026-08</t>
  </si>
  <si>
    <t>CUST-02197</t>
  </si>
  <si>
    <t>Vertex Works 2197</t>
  </si>
  <si>
    <t>FOR-OPP-2000140</t>
  </si>
  <si>
    <t>Pioneer Group 319 - New Business - 2026-08</t>
  </si>
  <si>
    <t>CUST-00319</t>
  </si>
  <si>
    <t>Pioneer Group 319</t>
  </si>
  <si>
    <t>FOR-OPP-2000141</t>
  </si>
  <si>
    <t>Catalyst Group 305 - New Business - 2026-08</t>
  </si>
  <si>
    <t>CUST-01601</t>
  </si>
  <si>
    <t>BlueRiver Works 1601</t>
  </si>
  <si>
    <t>CUST-01362</t>
  </si>
  <si>
    <t>Catalyst Solutions 1362</t>
  </si>
  <si>
    <t>CUST-00092</t>
  </si>
  <si>
    <t>Acme Cloud 92</t>
  </si>
  <si>
    <t>MO</t>
  </si>
  <si>
    <t>CUST-01477</t>
  </si>
  <si>
    <t>Apex Analytics 1477</t>
  </si>
  <si>
    <t>CUST-00769</t>
  </si>
  <si>
    <t>Vertex Analytics 769</t>
  </si>
  <si>
    <t>2026-09</t>
  </si>
  <si>
    <t>FOR-OPP-2000199</t>
  </si>
  <si>
    <t>Pioneer Group 663 - New Business - 2026-09</t>
  </si>
  <si>
    <t>CUST-00663</t>
  </si>
  <si>
    <t>Pioneer Group 663</t>
  </si>
  <si>
    <t>FOR-OPP-2000200</t>
  </si>
  <si>
    <t>Nimbus Cloud 1648 - New Business - 2026-09</t>
  </si>
  <si>
    <t>CUST-01648</t>
  </si>
  <si>
    <t>Nimbus Cloud 1648</t>
  </si>
  <si>
    <t>FOR-OPP-2000201</t>
  </si>
  <si>
    <t>Evergreen Works 85 - New Business - 2026-09</t>
  </si>
  <si>
    <t>CUST-00085</t>
  </si>
  <si>
    <t>Evergreen Works 85</t>
  </si>
  <si>
    <t>FOR-OPP-2000202</t>
  </si>
  <si>
    <t>Catalyst Group 305 - New Business - 2026-09</t>
  </si>
  <si>
    <t>FOR-OPP-2000203</t>
  </si>
  <si>
    <t>Summit Cloud 861 - New Business - 2026-09</t>
  </si>
  <si>
    <t>CUST-00861</t>
  </si>
  <si>
    <t>Summit Cloud 861</t>
  </si>
  <si>
    <t>FOR-OPP-2000204</t>
  </si>
  <si>
    <t>Summit Cloud 1049 - New Business - 2026-09</t>
  </si>
  <si>
    <t>CUST-01049</t>
  </si>
  <si>
    <t>Summit Cloud 1049</t>
  </si>
  <si>
    <t>FOR-OPP-2000205</t>
  </si>
  <si>
    <t>Vertex Cloud 2093 - New Business - 2026-09</t>
  </si>
  <si>
    <t>CUST-02093</t>
  </si>
  <si>
    <t>Vertex Cloud 2093</t>
  </si>
  <si>
    <t>FOR-OPP-2000206</t>
  </si>
  <si>
    <t>Catalyst Solutions 742 - New Business - 2026-09</t>
  </si>
  <si>
    <t>CUST-00742</t>
  </si>
  <si>
    <t>Catalyst Solutions 742</t>
  </si>
  <si>
    <t>FOR-OPP-2000207</t>
  </si>
  <si>
    <t>Vertex Works 2377 - New Business - 2026-09</t>
  </si>
  <si>
    <t>CUST-02377</t>
  </si>
  <si>
    <t>Vertex Works 2377</t>
  </si>
  <si>
    <t>FOR-OPP-2000208</t>
  </si>
  <si>
    <t>Evergreen Health 454 - New Business - 2026-09</t>
  </si>
  <si>
    <t>CUST-00454</t>
  </si>
  <si>
    <t>Evergreen Health 454</t>
  </si>
  <si>
    <t>FOR-OPP-2000209</t>
  </si>
  <si>
    <t>Vertex Health 2231 - New Business - 2026-09</t>
  </si>
  <si>
    <t>CUST-02231</t>
  </si>
  <si>
    <t>Vertex Health 2231</t>
  </si>
  <si>
    <t>CUST-00066</t>
  </si>
  <si>
    <t>Acme Works 66</t>
  </si>
  <si>
    <t>CUST-01126</t>
  </si>
  <si>
    <t>BlueRiver Cloud 1126</t>
  </si>
  <si>
    <t>CUST-00245</t>
  </si>
  <si>
    <t>Pioneer Cloud 245</t>
  </si>
  <si>
    <t>CUST-00129</t>
  </si>
  <si>
    <t>Apex Legal 129</t>
  </si>
  <si>
    <t>CUST-00688</t>
  </si>
  <si>
    <t>Apex Cloud 688</t>
  </si>
  <si>
    <t>CUST-01785</t>
  </si>
  <si>
    <t>Catalyst Systems 1785</t>
  </si>
  <si>
    <t>CUST-01211</t>
  </si>
  <si>
    <t>BlueRiver Health 1211</t>
  </si>
  <si>
    <t>CUST-00882</t>
  </si>
  <si>
    <t>Acme Cloud 882</t>
  </si>
  <si>
    <t>CUST-02022</t>
  </si>
  <si>
    <t>Nimbus Systems 2022</t>
  </si>
  <si>
    <t>CUST-00974</t>
  </si>
  <si>
    <t>Northstar Cloud 974</t>
  </si>
  <si>
    <t>2026-10</t>
  </si>
  <si>
    <t>FOR-OPP-2000266</t>
  </si>
  <si>
    <t>Vertex Works 222 - New Business - 2026-10</t>
  </si>
  <si>
    <t>CUST-00222</t>
  </si>
  <si>
    <t>Vertex Works 222</t>
  </si>
  <si>
    <t>FOR-OPP-2000267</t>
  </si>
  <si>
    <t>Evergreen Health 1060 - New Business - 2026-10</t>
  </si>
  <si>
    <t>CUST-01060</t>
  </si>
  <si>
    <t>Evergreen Health 1060</t>
  </si>
  <si>
    <t>FOR-OPP-2000268</t>
  </si>
  <si>
    <t>Nimbus Systems 369 - New Business - 2026-10</t>
  </si>
  <si>
    <t>CUST-00369</t>
  </si>
  <si>
    <t>Nimbus Systems 369</t>
  </si>
  <si>
    <t>FOR-OPP-2000269</t>
  </si>
  <si>
    <t>Summit Analytics 1740 - New Business - 2026-10</t>
  </si>
  <si>
    <t>CUST-01740</t>
  </si>
  <si>
    <t>Summit Analytics 1740</t>
  </si>
  <si>
    <t>FOR-OPP-2000270</t>
  </si>
  <si>
    <t>Evergreen Health 2367 - New Business - 2026-10</t>
  </si>
  <si>
    <t>CUST-02367</t>
  </si>
  <si>
    <t>Evergreen Health 2367</t>
  </si>
  <si>
    <t>FOR-OPP-2000271</t>
  </si>
  <si>
    <t>Vertex Systems 409 - New Business - 2026-10</t>
  </si>
  <si>
    <t>CUST-00409</t>
  </si>
  <si>
    <t>Vertex Systems 409</t>
  </si>
  <si>
    <t>FOR-OPP-2000272</t>
  </si>
  <si>
    <t>Apex Analytics 1505 - New Business - 2026-10</t>
  </si>
  <si>
    <t>CUST-01505</t>
  </si>
  <si>
    <t>Apex Analytics 1505</t>
  </si>
  <si>
    <t>FOR-OPP-2000273</t>
  </si>
  <si>
    <t>Summit Health 99 - New Business - 2026-10</t>
  </si>
  <si>
    <t>CUST-00099</t>
  </si>
  <si>
    <t>Summit Health 99</t>
  </si>
  <si>
    <t>FOR-OPP-2000274</t>
  </si>
  <si>
    <t>Pioneer Systems 658 - New Business - 2026-10</t>
  </si>
  <si>
    <t>CUST-00658</t>
  </si>
  <si>
    <t>Pioneer Systems 658</t>
  </si>
  <si>
    <t>FOR-OPP-2000275</t>
  </si>
  <si>
    <t>Evergreen Cloud 679 - New Business - 2026-10</t>
  </si>
  <si>
    <t>CUST-00679</t>
  </si>
  <si>
    <t>Evergreen Cloud 679</t>
  </si>
  <si>
    <t>FOR-OPP-2000276</t>
  </si>
  <si>
    <t>Nimbus Analytics 2009 - New Business - 2026-10</t>
  </si>
  <si>
    <t>CUST-02009</t>
  </si>
  <si>
    <t>Nimbus Analytics 2009</t>
  </si>
  <si>
    <t>CUST-00195</t>
  </si>
  <si>
    <t>Evergreen Legal 195</t>
  </si>
  <si>
    <t>CUST-02048</t>
  </si>
  <si>
    <t>Summit Analytics 2048</t>
  </si>
  <si>
    <t>CUST-00614</t>
  </si>
  <si>
    <t>Evergreen Group 614</t>
  </si>
  <si>
    <t>2026-11</t>
  </si>
  <si>
    <t>FOR-OPP-2000333</t>
  </si>
  <si>
    <t>Vertex Group 2224 - New Business - 2026-11</t>
  </si>
  <si>
    <t>CUST-02224</t>
  </si>
  <si>
    <t>Vertex Group 2224</t>
  </si>
  <si>
    <t>FOR-OPP-2000334</t>
  </si>
  <si>
    <t>Vertex Solutions 1087 - New Business - 2026-11</t>
  </si>
  <si>
    <t>CUST-01087</t>
  </si>
  <si>
    <t>Vertex Solutions 1087</t>
  </si>
  <si>
    <t>FOR-OPP-2000335</t>
  </si>
  <si>
    <t>Northstar Analytics 526 - New Business - 2026-11</t>
  </si>
  <si>
    <t>CUST-00526</t>
  </si>
  <si>
    <t>Northstar Analytics 526</t>
  </si>
  <si>
    <t>FOR-OPP-2000336</t>
  </si>
  <si>
    <t>Summit Legal 513 - New Business - 2026-11</t>
  </si>
  <si>
    <t>CUST-00513</t>
  </si>
  <si>
    <t>Summit Legal 513</t>
  </si>
  <si>
    <t>FOR-OPP-2000337</t>
  </si>
  <si>
    <t>Vertex Analytics 2005 - New Business - 2026-11</t>
  </si>
  <si>
    <t>CUST-02005</t>
  </si>
  <si>
    <t>Vertex Analytics 2005</t>
  </si>
  <si>
    <t>FOR-OPP-2000338</t>
  </si>
  <si>
    <t>Evergreen Works 84 - New Business - 2026-11</t>
  </si>
  <si>
    <t>CUST-00084</t>
  </si>
  <si>
    <t>Evergreen Works 84</t>
  </si>
  <si>
    <t>FOR-OPP-2000339</t>
  </si>
  <si>
    <t>Apex Analytics 1775 - New Business - 2026-11</t>
  </si>
  <si>
    <t>CUST-01775</t>
  </si>
  <si>
    <t>Apex Analytics 1775</t>
  </si>
  <si>
    <t>FOR-OPP-2000340</t>
  </si>
  <si>
    <t>Pioneer Solutions 2006 - New Business - 2026-11</t>
  </si>
  <si>
    <t>CUST-02006</t>
  </si>
  <si>
    <t>Pioneer Solutions 2006</t>
  </si>
  <si>
    <t>FOR-OPP-2000341</t>
  </si>
  <si>
    <t>Pioneer Solutions 1168 - New Business - 2026-11</t>
  </si>
  <si>
    <t>CUST-01168</t>
  </si>
  <si>
    <t>Pioneer Solutions 1168</t>
  </si>
  <si>
    <t>FOR-OPP-2000342</t>
  </si>
  <si>
    <t>BlueRiver Analytics 1418 - New Business - 2026-11</t>
  </si>
  <si>
    <t>CUST-01418</t>
  </si>
  <si>
    <t>BlueRiver Analytics 1418</t>
  </si>
  <si>
    <t>FOR-OPP-2000343</t>
  </si>
  <si>
    <t>Vertex Solutions 1510 - New Business - 2026-11</t>
  </si>
  <si>
    <t>CUST-01510</t>
  </si>
  <si>
    <t>Vertex Solutions 1510</t>
  </si>
  <si>
    <t>CUST-00429</t>
  </si>
  <si>
    <t>Summit Works 429</t>
  </si>
  <si>
    <t>CUST-01752</t>
  </si>
  <si>
    <t>Northstar Health 1752</t>
  </si>
  <si>
    <t>CUST-01026</t>
  </si>
  <si>
    <t>Catalyst Solutions 1026</t>
  </si>
  <si>
    <t>CUST-00101</t>
  </si>
  <si>
    <t>Nimbus Group 101</t>
  </si>
  <si>
    <t>CUST-01575</t>
  </si>
  <si>
    <t>BlueRiver Works 1575</t>
  </si>
  <si>
    <t>2026-12</t>
  </si>
  <si>
    <t>FOR-OPP-2000397</t>
  </si>
  <si>
    <t>Apex Systems 2172 - New Business - 2026-12</t>
  </si>
  <si>
    <t>CUST-02172</t>
  </si>
  <si>
    <t>Apex Systems 2172</t>
  </si>
  <si>
    <t>FOR-OPP-2000398</t>
  </si>
  <si>
    <t>Evergreen Systems 1460 - New Business - 2026-12</t>
  </si>
  <si>
    <t>CUST-01460</t>
  </si>
  <si>
    <t>Evergreen Systems 1460</t>
  </si>
  <si>
    <t>FOR-OPP-2000399</t>
  </si>
  <si>
    <t>Acme Health 1044 - New Business - 2026-12</t>
  </si>
  <si>
    <t>CUST-01044</t>
  </si>
  <si>
    <t>Acme Health 1044</t>
  </si>
  <si>
    <t>FOR-OPP-2000400</t>
  </si>
  <si>
    <t>Evergreen Solutions 2250 - New Business - 2026-12</t>
  </si>
  <si>
    <t>CUST-02250</t>
  </si>
  <si>
    <t>Evergreen Solutions 2250</t>
  </si>
  <si>
    <t>FOR-OPP-2000401</t>
  </si>
  <si>
    <t>Catalyst Legal 694 - New Business - 2026-12</t>
  </si>
  <si>
    <t>CUST-00694</t>
  </si>
  <si>
    <t>Catalyst Legal 694</t>
  </si>
  <si>
    <t>FOR-OPP-2000402</t>
  </si>
  <si>
    <t>Vertex Works 1589 - New Business - 2026-12</t>
  </si>
  <si>
    <t>CUST-01589</t>
  </si>
  <si>
    <t>Vertex Works 1589</t>
  </si>
  <si>
    <t>FOR-OPP-2000403</t>
  </si>
  <si>
    <t>Northstar Legal 2053 - New Business - 2026-12</t>
  </si>
  <si>
    <t>CUST-02053</t>
  </si>
  <si>
    <t>Northstar Legal 2053</t>
  </si>
  <si>
    <t>FOR-OPP-2000404</t>
  </si>
  <si>
    <t>Summit Group 235 - New Business - 2026-12</t>
  </si>
  <si>
    <t>CUST-00235</t>
  </si>
  <si>
    <t>Summit Group 235</t>
  </si>
  <si>
    <t>FOR-OPP-2000405</t>
  </si>
  <si>
    <t>Pioneer Group 558 - New Business - 2026-12</t>
  </si>
  <si>
    <t>CUST-00558</t>
  </si>
  <si>
    <t>Pioneer Group 558</t>
  </si>
  <si>
    <t>FOR-OPP-2000406</t>
  </si>
  <si>
    <t>Pioneer Solutions 813 - New Business - 2026-12</t>
  </si>
  <si>
    <t>CUST-00813</t>
  </si>
  <si>
    <t>Pioneer Solutions 813</t>
  </si>
  <si>
    <t>FOR-OPP-2000407</t>
  </si>
  <si>
    <t>Catalyst Cloud 1684 - New Business - 2026-12</t>
  </si>
  <si>
    <t>CUST-01684</t>
  </si>
  <si>
    <t>Catalyst Cloud 1684</t>
  </si>
  <si>
    <t>CUST-01883</t>
  </si>
  <si>
    <t>BlueRiver Analytics 1883</t>
  </si>
  <si>
    <t>CUST-02041</t>
  </si>
  <si>
    <t>Acme Cloud 2041</t>
  </si>
  <si>
    <t>CUST-01777</t>
  </si>
  <si>
    <t>Pioneer Analytics 1777</t>
  </si>
  <si>
    <t>CUST-02083</t>
  </si>
  <si>
    <t>Nimbus Cloud 2083</t>
  </si>
  <si>
    <t>CUST-00166</t>
  </si>
  <si>
    <t>Summit Health 166</t>
  </si>
  <si>
    <t>CUST-00993</t>
  </si>
  <si>
    <t>Summit Cloud 993</t>
  </si>
  <si>
    <t>CUST-00643</t>
  </si>
  <si>
    <t>Northstar Legal 643</t>
  </si>
  <si>
    <t>CUST-00052</t>
  </si>
  <si>
    <t>Apex Works 52</t>
  </si>
  <si>
    <t>CUST-01899</t>
  </si>
  <si>
    <t>Pioneer Health 1899</t>
  </si>
  <si>
    <t>CUST-00191</t>
  </si>
  <si>
    <t>Vertex Works 191</t>
  </si>
  <si>
    <t>CUST-00306</t>
  </si>
  <si>
    <t>BlueRiver Legal 306</t>
  </si>
  <si>
    <t>Budget</t>
  </si>
  <si>
    <t>2026-01</t>
  </si>
  <si>
    <t>BUD-OPP-3000001</t>
  </si>
  <si>
    <t>Evergreen Legal 1117 - New Business - 2026-01</t>
  </si>
  <si>
    <t>CUST-01117</t>
  </si>
  <si>
    <t>Evergreen Legal 1117</t>
  </si>
  <si>
    <t>BUD-OPP-3000002</t>
  </si>
  <si>
    <t>Vertex Health 1196 - New Business - 2026-01</t>
  </si>
  <si>
    <t>CUST-01196</t>
  </si>
  <si>
    <t>Vertex Health 1196</t>
  </si>
  <si>
    <t>BUD-OPP-3000003</t>
  </si>
  <si>
    <t>Catalyst Group 2362 - New Business - 2026-01</t>
  </si>
  <si>
    <t>CUST-02362</t>
  </si>
  <si>
    <t>Catalyst Group 2362</t>
  </si>
  <si>
    <t>BUD-OPP-3000004</t>
  </si>
  <si>
    <t>Catalyst Works 1198 - New Business - 2026-01</t>
  </si>
  <si>
    <t>CUST-01198</t>
  </si>
  <si>
    <t>Catalyst Works 1198</t>
  </si>
  <si>
    <t>BUD-OPP-3000005</t>
  </si>
  <si>
    <t>Apex Solutions 777 - New Business - 2026-01</t>
  </si>
  <si>
    <t>CUST-00777</t>
  </si>
  <si>
    <t>Apex Solutions 777</t>
  </si>
  <si>
    <t>BUD-OPP-3000006</t>
  </si>
  <si>
    <t>Evergreen Health 262 - New Business - 2026-01</t>
  </si>
  <si>
    <t>CUST-00262</t>
  </si>
  <si>
    <t>Evergreen Health 262</t>
  </si>
  <si>
    <t>BUD-OPP-3000007</t>
  </si>
  <si>
    <t>Apex Group 1095 - New Business - 2026-01</t>
  </si>
  <si>
    <t>CUST-01095</t>
  </si>
  <si>
    <t>Apex Group 1095</t>
  </si>
  <si>
    <t>CUST-01513</t>
  </si>
  <si>
    <t>BlueRiver Solutions 1513</t>
  </si>
  <si>
    <t>Evergreen Works 1120 - New Business - 2026-01</t>
  </si>
  <si>
    <t>CUST-01120</t>
  </si>
  <si>
    <t>Evergreen Works 1120</t>
  </si>
  <si>
    <t>CUST-01046</t>
  </si>
  <si>
    <t>Apex Group 1046</t>
  </si>
  <si>
    <t>CUST-02392</t>
  </si>
  <si>
    <t>Acme Cloud 2392</t>
  </si>
  <si>
    <t>CUST-01536</t>
  </si>
  <si>
    <t>BlueRiver Cloud 1536</t>
  </si>
  <si>
    <t>CUST-00841</t>
  </si>
  <si>
    <t>Evergreen Solutions 841</t>
  </si>
  <si>
    <t>2026-02</t>
  </si>
  <si>
    <t>BUD-OPP-3000049</t>
  </si>
  <si>
    <t>Northstar Health 280 - New Business - 2026-02</t>
  </si>
  <si>
    <t>BUD-OPP-3000050</t>
  </si>
  <si>
    <t>Evergreen Cloud 1881 - New Business - 2026-02</t>
  </si>
  <si>
    <t>CUST-01881</t>
  </si>
  <si>
    <t>Evergreen Cloud 1881</t>
  </si>
  <si>
    <t>BUD-OPP-3000051</t>
  </si>
  <si>
    <t>Northstar Systems 2175 - New Business - 2026-02</t>
  </si>
  <si>
    <t>CUST-02175</t>
  </si>
  <si>
    <t>Northstar Systems 2175</t>
  </si>
  <si>
    <t>BUD-OPP-3000052</t>
  </si>
  <si>
    <t>Pioneer Solutions 1369 - New Business - 2026-02</t>
  </si>
  <si>
    <t>CUST-01369</t>
  </si>
  <si>
    <t>Pioneer Solutions 1369</t>
  </si>
  <si>
    <t>BUD-OPP-3000053</t>
  </si>
  <si>
    <t>Acme Group 719 - New Business - 2026-02</t>
  </si>
  <si>
    <t>CUST-00719</t>
  </si>
  <si>
    <t>Acme Group 719</t>
  </si>
  <si>
    <t>BUD-OPP-3000054</t>
  </si>
  <si>
    <t>Catalyst Analytics 1202 - New Business - 2026-02</t>
  </si>
  <si>
    <t>CUST-01202</t>
  </si>
  <si>
    <t>Catalyst Analytics 1202</t>
  </si>
  <si>
    <t>BUD-OPP-3000055</t>
  </si>
  <si>
    <t>Vertex Analytics 1571 - New Business - 2026-02</t>
  </si>
  <si>
    <t>CUST-01571</t>
  </si>
  <si>
    <t>Vertex Analytics 1571</t>
  </si>
  <si>
    <t>BUD-OPP-3000056</t>
  </si>
  <si>
    <t>Catalyst Health 2163 - New Business - 2026-02</t>
  </si>
  <si>
    <t>CUST-02163</t>
  </si>
  <si>
    <t>Catalyst Health 2163</t>
  </si>
  <si>
    <t>CUST-01061</t>
  </si>
  <si>
    <t>Apex Group 1061</t>
  </si>
  <si>
    <t>CUST-02136</t>
  </si>
  <si>
    <t>Northstar Solutions 2136</t>
  </si>
  <si>
    <t>2026-03</t>
  </si>
  <si>
    <t>BUD-OPP-3000098</t>
  </si>
  <si>
    <t>Northstar Cloud 112 - New Business - 2026-03</t>
  </si>
  <si>
    <t>CUST-00112</t>
  </si>
  <si>
    <t>Northstar Cloud 112</t>
  </si>
  <si>
    <t>BUD-OPP-3000099</t>
  </si>
  <si>
    <t>Vertex Works 858 - New Business - 2026-03</t>
  </si>
  <si>
    <t>CUST-00858</t>
  </si>
  <si>
    <t>Vertex Works 858</t>
  </si>
  <si>
    <t>BUD-OPP-3000100</t>
  </si>
  <si>
    <t>Vertex Health 412 - New Business - 2026-03</t>
  </si>
  <si>
    <t>CUST-00412</t>
  </si>
  <si>
    <t>Vertex Health 412</t>
  </si>
  <si>
    <t>BUD-OPP-3000101</t>
  </si>
  <si>
    <t>BlueRiver Works 1664 - New Business - 2026-03</t>
  </si>
  <si>
    <t>CUST-01664</t>
  </si>
  <si>
    <t>BlueRiver Works 1664</t>
  </si>
  <si>
    <t>BUD-OPP-3000102</t>
  </si>
  <si>
    <t>Vertex Group 1306 - New Business - 2026-03</t>
  </si>
  <si>
    <t>CUST-01306</t>
  </si>
  <si>
    <t>Vertex Group 1306</t>
  </si>
  <si>
    <t>BUD-OPP-3000103</t>
  </si>
  <si>
    <t>Apex Analytics 1477 - New Business - 2026-03</t>
  </si>
  <si>
    <t>BUD-OPP-3000104</t>
  </si>
  <si>
    <t>Vertex Solutions 74 - New Business - 2026-03</t>
  </si>
  <si>
    <t>CUST-00074</t>
  </si>
  <si>
    <t>Vertex Solutions 74</t>
  </si>
  <si>
    <t>BUD-OPP-3000105</t>
  </si>
  <si>
    <t>BlueRiver Cloud 1680 - New Business - 2026-03</t>
  </si>
  <si>
    <t>CUST-01680</t>
  </si>
  <si>
    <t>BlueRiver Cloud 1680</t>
  </si>
  <si>
    <t>BUD-OPP-3000106</t>
  </si>
  <si>
    <t>Summit Analytics 915 - New Business - 2026-03</t>
  </si>
  <si>
    <t>CUST-00915</t>
  </si>
  <si>
    <t>Summit Analytics 915</t>
  </si>
  <si>
    <t>CUST-01471</t>
  </si>
  <si>
    <t>Apex Group 1471</t>
  </si>
  <si>
    <t>CUST-00036</t>
  </si>
  <si>
    <t>Acme Works 36</t>
  </si>
  <si>
    <t>CUST-01810</t>
  </si>
  <si>
    <t>Summit Analytics 1810</t>
  </si>
  <si>
    <t>2026-04</t>
  </si>
  <si>
    <t>BUD-OPP-3000151</t>
  </si>
  <si>
    <t>Pioneer Systems 716 - New Business - 2026-04</t>
  </si>
  <si>
    <t>CUST-00716</t>
  </si>
  <si>
    <t>Pioneer Systems 716</t>
  </si>
  <si>
    <t>BUD-OPP-3000152</t>
  </si>
  <si>
    <t>Vertex Health 1348 - New Business - 2026-04</t>
  </si>
  <si>
    <t>CUST-01348</t>
  </si>
  <si>
    <t>Vertex Health 1348</t>
  </si>
  <si>
    <t>BUD-OPP-3000153</t>
  </si>
  <si>
    <t>Vertex Analytics 1806 - New Business - 2026-04</t>
  </si>
  <si>
    <t>CUST-01806</t>
  </si>
  <si>
    <t>Vertex Analytics 1806</t>
  </si>
  <si>
    <t>BUD-OPP-3000154</t>
  </si>
  <si>
    <t>BlueRiver Group 1827 - New Business - 2026-04</t>
  </si>
  <si>
    <t>CUST-01827</t>
  </si>
  <si>
    <t>BlueRiver Group 1827</t>
  </si>
  <si>
    <t>BUD-OPP-3000155</t>
  </si>
  <si>
    <t>Apex Solutions 353 - New Business - 2026-04</t>
  </si>
  <si>
    <t>CUST-00353</t>
  </si>
  <si>
    <t>Apex Solutions 353</t>
  </si>
  <si>
    <t>BUD-OPP-3000156</t>
  </si>
  <si>
    <t>Northstar Health 936 - New Business - 2026-04</t>
  </si>
  <si>
    <t>CUST-00936</t>
  </si>
  <si>
    <t>Northstar Health 936</t>
  </si>
  <si>
    <t>BUD-OPP-3000157</t>
  </si>
  <si>
    <t>Evergreen Group 1178 - New Business - 2026-04</t>
  </si>
  <si>
    <t>CUST-01178</t>
  </si>
  <si>
    <t>Evergreen Group 1178</t>
  </si>
  <si>
    <t>BUD-OPP-3000158</t>
  </si>
  <si>
    <t>Evergreen Systems 1441 - New Business - 2026-04</t>
  </si>
  <si>
    <t>CUST-01441</t>
  </si>
  <si>
    <t>Evergreen Systems 1441</t>
  </si>
  <si>
    <t>BUD-OPP-3000159</t>
  </si>
  <si>
    <t>Apex Analytics 426 - New Business - 2026-04</t>
  </si>
  <si>
    <t>CUST-00426</t>
  </si>
  <si>
    <t>Apex Analytics 426</t>
  </si>
  <si>
    <t>BUD-OPP-3000160</t>
  </si>
  <si>
    <t>Pioneer Analytics 362 - New Business - 2026-04</t>
  </si>
  <si>
    <t>CUST-00362</t>
  </si>
  <si>
    <t>Pioneer Analytics 362</t>
  </si>
  <si>
    <t>CUST-01254</t>
  </si>
  <si>
    <t>Vertex Health 1254</t>
  </si>
  <si>
    <t>CUST-00247</t>
  </si>
  <si>
    <t>Summit Systems 247</t>
  </si>
  <si>
    <t>CUST-00546</t>
  </si>
  <si>
    <t>Vertex Group 546</t>
  </si>
  <si>
    <t>CUST-00988</t>
  </si>
  <si>
    <t>Catalyst Health 988</t>
  </si>
  <si>
    <t>CUST-00104</t>
  </si>
  <si>
    <t>Nimbus Health 104</t>
  </si>
  <si>
    <t>2026-05</t>
  </si>
  <si>
    <t>BUD-OPP-3000208</t>
  </si>
  <si>
    <t>Evergreen Analytics 1625 - New Business - 2026-05</t>
  </si>
  <si>
    <t>CUST-01625</t>
  </si>
  <si>
    <t>Evergreen Analytics 1625</t>
  </si>
  <si>
    <t>BUD-OPP-3000209</t>
  </si>
  <si>
    <t>Pioneer Analytics 258 - New Business - 2026-05</t>
  </si>
  <si>
    <t>CUST-00258</t>
  </si>
  <si>
    <t>Pioneer Analytics 258</t>
  </si>
  <si>
    <t>BUD-OPP-3000210</t>
  </si>
  <si>
    <t>Pioneer Cloud 245 - New Business - 2026-05</t>
  </si>
  <si>
    <t>BUD-OPP-3000211</t>
  </si>
  <si>
    <t>Catalyst Health 1001 - New Business - 2026-05</t>
  </si>
  <si>
    <t>CUST-01001</t>
  </si>
  <si>
    <t>Catalyst Health 1001</t>
  </si>
  <si>
    <t>BUD-OPP-3000212</t>
  </si>
  <si>
    <t>Evergreen Cloud 1562 - New Business - 2026-05</t>
  </si>
  <si>
    <t>CUST-01562</t>
  </si>
  <si>
    <t>Evergreen Cloud 1562</t>
  </si>
  <si>
    <t>BUD-OPP-3000213</t>
  </si>
  <si>
    <t>Pioneer Works 1138 - New Business - 2026-05</t>
  </si>
  <si>
    <t>CUST-01138</t>
  </si>
  <si>
    <t>Pioneer Works 1138</t>
  </si>
  <si>
    <t>BUD-OPP-3000214</t>
  </si>
  <si>
    <t>Acme Cloud 698 - New Business - 2026-05</t>
  </si>
  <si>
    <t>CUST-00698</t>
  </si>
  <si>
    <t>Acme Cloud 698</t>
  </si>
  <si>
    <t>BUD-OPP-3000215</t>
  </si>
  <si>
    <t>BlueRiver Systems 1639 - New Business - 2026-05</t>
  </si>
  <si>
    <t>CUST-01639</t>
  </si>
  <si>
    <t>BlueRiver Systems 1639</t>
  </si>
  <si>
    <t>BUD-OPP-3000216</t>
  </si>
  <si>
    <t>Summit Analytics 2048 - New Business - 2026-05</t>
  </si>
  <si>
    <t>BUD-OPP-3000217</t>
  </si>
  <si>
    <t>Northstar Group 1550 - New Business - 2026-05</t>
  </si>
  <si>
    <t>CUST-01550</t>
  </si>
  <si>
    <t>Northstar Group 1550</t>
  </si>
  <si>
    <t>BUD-OPP-3000218</t>
  </si>
  <si>
    <t>Catalyst Legal 652 - New Business - 2026-05</t>
  </si>
  <si>
    <t>CUST-00652</t>
  </si>
  <si>
    <t>Catalyst Legal 652</t>
  </si>
  <si>
    <t>CUST-02021</t>
  </si>
  <si>
    <t>BlueRiver Solutions 2021</t>
  </si>
  <si>
    <t>CUST-01279</t>
  </si>
  <si>
    <t>Acme Solutions 1279</t>
  </si>
  <si>
    <t>BUD-OPP-3000266</t>
  </si>
  <si>
    <t>Acme Group 1005 - New Business - 2026-06</t>
  </si>
  <si>
    <t>CUST-01005</t>
  </si>
  <si>
    <t>Acme Group 1005</t>
  </si>
  <si>
    <t>BUD-OPP-3000267</t>
  </si>
  <si>
    <t>Nimbus Solutions 2059 - New Business - 2026-06</t>
  </si>
  <si>
    <t>CUST-02059</t>
  </si>
  <si>
    <t>Nimbus Solutions 2059</t>
  </si>
  <si>
    <t>BUD-OPP-3000268</t>
  </si>
  <si>
    <t>Evergreen Group 220 - New Business - 2026-06</t>
  </si>
  <si>
    <t>CUST-00220</t>
  </si>
  <si>
    <t>Evergreen Group 220</t>
  </si>
  <si>
    <t>BUD-OPP-3000269</t>
  </si>
  <si>
    <t>Nimbus Cloud 1648 - New Business - 2026-06</t>
  </si>
  <si>
    <t>BUD-OPP-3000270</t>
  </si>
  <si>
    <t>Apex Analytics 1338 - New Business - 2026-06</t>
  </si>
  <si>
    <t>CUST-01338</t>
  </si>
  <si>
    <t>Apex Analytics 1338</t>
  </si>
  <si>
    <t>BUD-OPP-3000271</t>
  </si>
  <si>
    <t>Vertex Legal 607 - New Business - 2026-06</t>
  </si>
  <si>
    <t>BUD-OPP-3000272</t>
  </si>
  <si>
    <t>BlueRiver Group 1225 - New Business - 2026-06</t>
  </si>
  <si>
    <t>CUST-01225</t>
  </si>
  <si>
    <t>BlueRiver Group 1225</t>
  </si>
  <si>
    <t>BUD-OPP-3000273</t>
  </si>
  <si>
    <t>Pioneer Health 1782 - New Business - 2026-06</t>
  </si>
  <si>
    <t>CUST-01782</t>
  </si>
  <si>
    <t>Pioneer Health 1782</t>
  </si>
  <si>
    <t>BUD-OPP-3000274</t>
  </si>
  <si>
    <t>BUD-OPP-3000275</t>
  </si>
  <si>
    <t>Northstar Legal 643 - New Business - 2026-06</t>
  </si>
  <si>
    <t>BUD-OPP-3000276</t>
  </si>
  <si>
    <t>Northstar Health 1717 - New Business - 2026-06</t>
  </si>
  <si>
    <t>CUST-01717</t>
  </si>
  <si>
    <t>Northstar Health 1717</t>
  </si>
  <si>
    <t>CUST-02220</t>
  </si>
  <si>
    <t>Nimbus Legal 2220</t>
  </si>
  <si>
    <t>CUST-01817</t>
  </si>
  <si>
    <t>Northstar Systems 1817</t>
  </si>
  <si>
    <t>CUST-01931</t>
  </si>
  <si>
    <t>Vertex Analytics 1931</t>
  </si>
  <si>
    <t>CUST-02114</t>
  </si>
  <si>
    <t>Evergreen Solutions 2114</t>
  </si>
  <si>
    <t>BUD-OPP-3000331</t>
  </si>
  <si>
    <t>Vertex Systems 2162 - New Business - 2026-07</t>
  </si>
  <si>
    <t>CUST-02162</t>
  </si>
  <si>
    <t>Vertex Systems 2162</t>
  </si>
  <si>
    <t>BUD-OPP-3000332</t>
  </si>
  <si>
    <t>Vertex Solutions 1964 - New Business - 2026-07</t>
  </si>
  <si>
    <t>CUST-01964</t>
  </si>
  <si>
    <t>Vertex Solutions 1964</t>
  </si>
  <si>
    <t>BUD-OPP-3000333</t>
  </si>
  <si>
    <t>Nimbus Health 23 - New Business - 2026-07</t>
  </si>
  <si>
    <t>CUST-00023</t>
  </si>
  <si>
    <t>Nimbus Health 23</t>
  </si>
  <si>
    <t>BUD-OPP-3000334</t>
  </si>
  <si>
    <t>Acme Systems 2230 - New Business - 2026-07</t>
  </si>
  <si>
    <t>CUST-02230</t>
  </si>
  <si>
    <t>Acme Systems 2230</t>
  </si>
  <si>
    <t>BUD-OPP-3000335</t>
  </si>
  <si>
    <t>Catalyst Systems 703 - New Business - 2026-07</t>
  </si>
  <si>
    <t>CUST-00703</t>
  </si>
  <si>
    <t>Catalyst Systems 703</t>
  </si>
  <si>
    <t>BUD-OPP-3000336</t>
  </si>
  <si>
    <t>Vertex Works 1154 - New Business - 2026-07</t>
  </si>
  <si>
    <t>CUST-01154</t>
  </si>
  <si>
    <t>Vertex Works 1154</t>
  </si>
  <si>
    <t>BUD-OPP-3000337</t>
  </si>
  <si>
    <t>Nimbus Group 276 - New Business - 2026-07</t>
  </si>
  <si>
    <t>CUST-00276</t>
  </si>
  <si>
    <t>Nimbus Group 276</t>
  </si>
  <si>
    <t>BUD-OPP-3000338</t>
  </si>
  <si>
    <t>BlueRiver Systems 2272 - New Business - 2026-07</t>
  </si>
  <si>
    <t>CUST-02272</t>
  </si>
  <si>
    <t>BlueRiver Systems 2272</t>
  </si>
  <si>
    <t>BUD-OPP-3000339</t>
  </si>
  <si>
    <t>BlueRiver Systems 754 - New Business - 2026-07</t>
  </si>
  <si>
    <t>CUST-00754</t>
  </si>
  <si>
    <t>BlueRiver Systems 754</t>
  </si>
  <si>
    <t>BUD-OPP-3000340</t>
  </si>
  <si>
    <t>Northstar Group 68 - New Business - 2026-07</t>
  </si>
  <si>
    <t>CUST-00068</t>
  </si>
  <si>
    <t>Northstar Group 68</t>
  </si>
  <si>
    <t>BUD-OPP-3000341</t>
  </si>
  <si>
    <t>Nimbus Systems 1590 - New Business - 2026-07</t>
  </si>
  <si>
    <t>CUST-01590</t>
  </si>
  <si>
    <t>Nimbus Systems 1590</t>
  </si>
  <si>
    <t>CUST-01314</t>
  </si>
  <si>
    <t>Vertex Systems 1314</t>
  </si>
  <si>
    <t>CUST-00766</t>
  </si>
  <si>
    <t>Catalyst Cloud 766</t>
  </si>
  <si>
    <t>CUST-01884</t>
  </si>
  <si>
    <t>Catalyst Cloud 1884</t>
  </si>
  <si>
    <t>CUST-02040</t>
  </si>
  <si>
    <t>Evergreen Legal 2040</t>
  </si>
  <si>
    <t>CUST-01432</t>
  </si>
  <si>
    <t>BlueRiver Legal 1432</t>
  </si>
  <si>
    <t>BUD-OPP-3000398</t>
  </si>
  <si>
    <t>Northstar Analytics 448 - New Business - 2026-08</t>
  </si>
  <si>
    <t>CUST-00448</t>
  </si>
  <si>
    <t>Northstar Analytics 448</t>
  </si>
  <si>
    <t>BUD-OPP-3000399</t>
  </si>
  <si>
    <t>Pioneer Analytics 2433 - New Business - 2026-08</t>
  </si>
  <si>
    <t>CUST-02433</t>
  </si>
  <si>
    <t>Pioneer Analytics 2433</t>
  </si>
  <si>
    <t>BUD-OPP-3000400</t>
  </si>
  <si>
    <t>Acme Works 294 - New Business - 2026-08</t>
  </si>
  <si>
    <t>CUST-00294</t>
  </si>
  <si>
    <t>Acme Works 294</t>
  </si>
  <si>
    <t>BUD-OPP-3000401</t>
  </si>
  <si>
    <t>Pioneer Group 239 - New Business - 2026-08</t>
  </si>
  <si>
    <t>CUST-00239</t>
  </si>
  <si>
    <t>Pioneer Group 239</t>
  </si>
  <si>
    <t>BUD-OPP-3000402</t>
  </si>
  <si>
    <t>Pioneer Solutions 1929 - New Business - 2026-08</t>
  </si>
  <si>
    <t>CUST-01929</t>
  </si>
  <si>
    <t>Pioneer Solutions 1929</t>
  </si>
  <si>
    <t>BUD-OPP-3000403</t>
  </si>
  <si>
    <t>Catalyst Legal 1250 - New Business - 2026-08</t>
  </si>
  <si>
    <t>CUST-01250</t>
  </si>
  <si>
    <t>Catalyst Legal 1250</t>
  </si>
  <si>
    <t>BUD-OPP-3000404</t>
  </si>
  <si>
    <t>Pioneer Group 2328 - New Business - 2026-08</t>
  </si>
  <si>
    <t>CUST-02328</t>
  </si>
  <si>
    <t>Pioneer Group 2328</t>
  </si>
  <si>
    <t>BUD-OPP-3000405</t>
  </si>
  <si>
    <t>Vertex Works 1681 - New Business - 2026-08</t>
  </si>
  <si>
    <t>CUST-01681</t>
  </si>
  <si>
    <t>Vertex Works 1681</t>
  </si>
  <si>
    <t>BUD-OPP-3000406</t>
  </si>
  <si>
    <t>Evergreen Health 1910 - New Business - 2026-08</t>
  </si>
  <si>
    <t>CUST-01910</t>
  </si>
  <si>
    <t>Evergreen Health 1910</t>
  </si>
  <si>
    <t>BUD-OPP-3000407</t>
  </si>
  <si>
    <t>BlueRiver Health 1211 - New Business - 2026-08</t>
  </si>
  <si>
    <t>BUD-OPP-3000408</t>
  </si>
  <si>
    <t>Catalyst Legal 219 - New Business - 2026-08</t>
  </si>
  <si>
    <t>CUST-00219</t>
  </si>
  <si>
    <t>Catalyst Legal 219</t>
  </si>
  <si>
    <t>CUST-00990</t>
  </si>
  <si>
    <t>BlueRiver Solutions 990</t>
  </si>
  <si>
    <t>CUST-01167</t>
  </si>
  <si>
    <t>Apex Group 1167</t>
  </si>
  <si>
    <t>CUST-00444</t>
  </si>
  <si>
    <t>Evergreen Legal 444</t>
  </si>
  <si>
    <t>BUD-OPP-3000461</t>
  </si>
  <si>
    <t>Summit Cloud 2481 - New Business - 2026-09</t>
  </si>
  <si>
    <t>CUST-02481</t>
  </si>
  <si>
    <t>Summit Cloud 2481</t>
  </si>
  <si>
    <t>BUD-OPP-3000462</t>
  </si>
  <si>
    <t>Acme Systems 736 - New Business - 2026-09</t>
  </si>
  <si>
    <t>CUST-00736</t>
  </si>
  <si>
    <t>Acme Systems 736</t>
  </si>
  <si>
    <t>BUD-OPP-3000463</t>
  </si>
  <si>
    <t>Catalyst Health 292 - New Business - 2026-09</t>
  </si>
  <si>
    <t>CUST-00292</t>
  </si>
  <si>
    <t>Catalyst Health 292</t>
  </si>
  <si>
    <t>BUD-OPP-3000464</t>
  </si>
  <si>
    <t>Nimbus Works 1040 - New Business - 2026-09</t>
  </si>
  <si>
    <t>CUST-01040</t>
  </si>
  <si>
    <t>Nimbus Works 1040</t>
  </si>
  <si>
    <t>BUD-OPP-3000465</t>
  </si>
  <si>
    <t>Summit Works 1426 - New Business - 2026-09</t>
  </si>
  <si>
    <t>CUST-01426</t>
  </si>
  <si>
    <t>Summit Works 1426</t>
  </si>
  <si>
    <t>BUD-OPP-3000466</t>
  </si>
  <si>
    <t>Vertex Legal 1578 - New Business - 2026-09</t>
  </si>
  <si>
    <t>CUST-01578</t>
  </si>
  <si>
    <t>Vertex Legal 1578</t>
  </si>
  <si>
    <t>BUD-OPP-3000467</t>
  </si>
  <si>
    <t>Acme Systems 970 - New Business - 2026-09</t>
  </si>
  <si>
    <t>CUST-00970</t>
  </si>
  <si>
    <t>Acme Systems 970</t>
  </si>
  <si>
    <t>BUD-OPP-3000468</t>
  </si>
  <si>
    <t>Pioneer Analytics 400 - New Business - 2026-09</t>
  </si>
  <si>
    <t>CUST-00400</t>
  </si>
  <si>
    <t>Pioneer Analytics 400</t>
  </si>
  <si>
    <t>BUD-OPP-3000469</t>
  </si>
  <si>
    <t>Pioneer Systems 303 - New Business - 2026-09</t>
  </si>
  <si>
    <t>CUST-00303</t>
  </si>
  <si>
    <t>Pioneer Systems 303</t>
  </si>
  <si>
    <t>BUD-OPP-3000470</t>
  </si>
  <si>
    <t>Evergreen Works 1595 - New Business - 2026-09</t>
  </si>
  <si>
    <t>CUST-01595</t>
  </si>
  <si>
    <t>Evergreen Works 1595</t>
  </si>
  <si>
    <t>BUD-OPP-3000471</t>
  </si>
  <si>
    <t>Apex Systems 134 - New Business - 2026-09</t>
  </si>
  <si>
    <t>CUST-00134</t>
  </si>
  <si>
    <t>Apex Systems 134</t>
  </si>
  <si>
    <t>CUST-00254</t>
  </si>
  <si>
    <t>Apex Cloud 254</t>
  </si>
  <si>
    <t>CUST-01634</t>
  </si>
  <si>
    <t>Catalyst Works 1634</t>
  </si>
  <si>
    <t>CUST-00659</t>
  </si>
  <si>
    <t>Summit Group 659</t>
  </si>
  <si>
    <t>CUST-00798</t>
  </si>
  <si>
    <t>Northstar Legal 798</t>
  </si>
  <si>
    <t>CUST-01368</t>
  </si>
  <si>
    <t>Acme Analytics 1368</t>
  </si>
  <si>
    <t>CUST-00895</t>
  </si>
  <si>
    <t>Summit Group 895</t>
  </si>
  <si>
    <t>CUST-02137</t>
  </si>
  <si>
    <t>Evergreen Analytics 2137</t>
  </si>
  <si>
    <t>CUST-00201</t>
  </si>
  <si>
    <t>Apex Works 201</t>
  </si>
  <si>
    <t>CUST-01142</t>
  </si>
  <si>
    <t>Catalyst Systems 1142</t>
  </si>
  <si>
    <t>CUST-00327</t>
  </si>
  <si>
    <t>Northstar Health 327</t>
  </si>
  <si>
    <t>BUD-OPP-3000532</t>
  </si>
  <si>
    <t>Summit Systems 247 - New Business - 2026-10</t>
  </si>
  <si>
    <t>BUD-OPP-3000533</t>
  </si>
  <si>
    <t>Acme Group 1401 - New Business - 2026-10</t>
  </si>
  <si>
    <t>CUST-01401</t>
  </si>
  <si>
    <t>Acme Group 1401</t>
  </si>
  <si>
    <t>BUD-OPP-3000534</t>
  </si>
  <si>
    <t>Acme Cloud 2041 - New Business - 2026-10</t>
  </si>
  <si>
    <t>BUD-OPP-3000535</t>
  </si>
  <si>
    <t>Nimbus Legal 2220 - New Business - 2026-10</t>
  </si>
  <si>
    <t>BUD-OPP-3000536</t>
  </si>
  <si>
    <t>BlueRiver Health 2419 - New Business - 2026-10</t>
  </si>
  <si>
    <t>CUST-02419</t>
  </si>
  <si>
    <t>BlueRiver Health 2419</t>
  </si>
  <si>
    <t>BUD-OPP-3000537</t>
  </si>
  <si>
    <t>Evergreen Systems 1159 - New Business - 2026-10</t>
  </si>
  <si>
    <t>CUST-01159</t>
  </si>
  <si>
    <t>Evergreen Systems 1159</t>
  </si>
  <si>
    <t>BUD-OPP-3000538</t>
  </si>
  <si>
    <t>Summit Systems 1166 - New Business - 2026-10</t>
  </si>
  <si>
    <t>CUST-01166</t>
  </si>
  <si>
    <t>Summit Systems 1166</t>
  </si>
  <si>
    <t>BUD-OPP-3000539</t>
  </si>
  <si>
    <t>Catalyst Solutions 1026 - New Business - 2026-10</t>
  </si>
  <si>
    <t>BUD-OPP-3000540</t>
  </si>
  <si>
    <t>Vertex Analytics 1241 - New Business - 2026-10</t>
  </si>
  <si>
    <t>CUST-01241</t>
  </si>
  <si>
    <t>Vertex Analytics 1241</t>
  </si>
  <si>
    <t>BUD-OPP-3000541</t>
  </si>
  <si>
    <t>Summit Cloud 1985 - New Business - 2026-10</t>
  </si>
  <si>
    <t>CUST-01985</t>
  </si>
  <si>
    <t>Summit Cloud 1985</t>
  </si>
  <si>
    <t>CUST-01526</t>
  </si>
  <si>
    <t>Summit Group 1526</t>
  </si>
  <si>
    <t>CUST-00534</t>
  </si>
  <si>
    <t>Northstar Legal 534</t>
  </si>
  <si>
    <t>CUST-00948</t>
  </si>
  <si>
    <t>Summit Works 948</t>
  </si>
  <si>
    <t>BUD-OPP-3000597</t>
  </si>
  <si>
    <t>Pioneer Legal 2269 - New Business - 2026-11</t>
  </si>
  <si>
    <t>CUST-02269</t>
  </si>
  <si>
    <t>Pioneer Legal 2269</t>
  </si>
  <si>
    <t>BUD-OPP-3000598</t>
  </si>
  <si>
    <t>Nimbus Legal 2033 - New Business - 2026-11</t>
  </si>
  <si>
    <t>CUST-02033</t>
  </si>
  <si>
    <t>Nimbus Legal 2033</t>
  </si>
  <si>
    <t>BUD-OPP-3000599</t>
  </si>
  <si>
    <t>Northstar Cloud 974 - New Business - 2026-11</t>
  </si>
  <si>
    <t>BUD-OPP-3000600</t>
  </si>
  <si>
    <t>Northstar Legal 534 - New Business - 2026-11</t>
  </si>
  <si>
    <t>BUD-OPP-3000601</t>
  </si>
  <si>
    <t>Northstar Systems 477 - New Business - 2026-11</t>
  </si>
  <si>
    <t>CUST-00477</t>
  </si>
  <si>
    <t>Northstar Systems 477</t>
  </si>
  <si>
    <t>BUD-OPP-3000602</t>
  </si>
  <si>
    <t>Summit Systems 1832 - New Business - 2026-11</t>
  </si>
  <si>
    <t>BUD-OPP-3000603</t>
  </si>
  <si>
    <t>Vertex Cloud 987 - New Business - 2026-11</t>
  </si>
  <si>
    <t>CUST-00987</t>
  </si>
  <si>
    <t>Vertex Cloud 987</t>
  </si>
  <si>
    <t>BUD-OPP-3000604</t>
  </si>
  <si>
    <t>Summit Systems 2263 - New Business - 2026-11</t>
  </si>
  <si>
    <t>CUST-02263</t>
  </si>
  <si>
    <t>Summit Systems 2263</t>
  </si>
  <si>
    <t>BUD-OPP-3000605</t>
  </si>
  <si>
    <t>Nimbus Legal 355 - New Business - 2026-11</t>
  </si>
  <si>
    <t>CUST-00355</t>
  </si>
  <si>
    <t>Nimbus Legal 355</t>
  </si>
  <si>
    <t>BUD-OPP-3000606</t>
  </si>
  <si>
    <t>Catalyst Health 988 - New Business - 2026-11</t>
  </si>
  <si>
    <t>CUST-00851</t>
  </si>
  <si>
    <t>Apex Solutions 851</t>
  </si>
  <si>
    <t>CUST-01622</t>
  </si>
  <si>
    <t>Pioneer Legal 1622</t>
  </si>
  <si>
    <t>CUST-00039</t>
  </si>
  <si>
    <t>Evergreen Health 39</t>
  </si>
  <si>
    <t>BUD-OPP-3000668</t>
  </si>
  <si>
    <t>BlueRiver Group 281 - New Business - 2026-12</t>
  </si>
  <si>
    <t>BUD-OPP-3000669</t>
  </si>
  <si>
    <t>Northstar Solutions 1846 - New Business - 2026-12</t>
  </si>
  <si>
    <t>CUST-01846</t>
  </si>
  <si>
    <t>Northstar Solutions 1846</t>
  </si>
  <si>
    <t>BUD-OPP-3000670</t>
  </si>
  <si>
    <t>Pioneer Solutions 805 - New Business - 2026-12</t>
  </si>
  <si>
    <t>CUST-00805</t>
  </si>
  <si>
    <t>Pioneer Solutions 805</t>
  </si>
  <si>
    <t>BUD-OPP-3000671</t>
  </si>
  <si>
    <t>Northstar Health 293 - New Business - 2026-12</t>
  </si>
  <si>
    <t>CUST-00293</t>
  </si>
  <si>
    <t>Northstar Health 293</t>
  </si>
  <si>
    <t>BUD-OPP-3000672</t>
  </si>
  <si>
    <t>Evergreen Solutions 2071 - New Business - 2026-12</t>
  </si>
  <si>
    <t>CUST-02071</t>
  </si>
  <si>
    <t>Evergreen Solutions 2071</t>
  </si>
  <si>
    <t>BUD-OPP-3000673</t>
  </si>
  <si>
    <t>Evergreen Health 728 - New Business - 2026-12</t>
  </si>
  <si>
    <t>CUST-00728</t>
  </si>
  <si>
    <t>Evergreen Health 728</t>
  </si>
  <si>
    <t>BUD-OPP-3000674</t>
  </si>
  <si>
    <t>Apex Cloud 688 - New Business - 2026-12</t>
  </si>
  <si>
    <t>BUD-OPP-3000675</t>
  </si>
  <si>
    <t>Catalyst Cloud 2397 - New Business - 2026-12</t>
  </si>
  <si>
    <t>CUST-02397</t>
  </si>
  <si>
    <t>Catalyst Cloud 2397</t>
  </si>
  <si>
    <t>BUD-OPP-3000676</t>
  </si>
  <si>
    <t>Acme Analytics 1368 - New Business - 2026-12</t>
  </si>
  <si>
    <t>BUD-OPP-3000677</t>
  </si>
  <si>
    <t>Northstar Group 976 - New Business - 2026-12</t>
  </si>
  <si>
    <t>CUST-00976</t>
  </si>
  <si>
    <t>Northstar Group 976</t>
  </si>
  <si>
    <t>BUD-OPP-3000678</t>
  </si>
  <si>
    <t>BlueRiver Health 326 - New Business - 2026-12</t>
  </si>
  <si>
    <t>CUST-00326</t>
  </si>
  <si>
    <t>BlueRiver Health 326</t>
  </si>
  <si>
    <t>CUST-00650</t>
  </si>
  <si>
    <t>Vertex Cloud 650</t>
  </si>
  <si>
    <t>CUST-00389</t>
  </si>
  <si>
    <t>Pioneer Analytics 389</t>
  </si>
  <si>
    <t>CUST-01611</t>
  </si>
  <si>
    <t>BlueRiver Solutions 1611</t>
  </si>
  <si>
    <t>CUST-00967</t>
  </si>
  <si>
    <t>BlueRiver Legal 967</t>
  </si>
  <si>
    <t>CUST-00929</t>
  </si>
  <si>
    <t>Pioneer Group 929</t>
  </si>
  <si>
    <t>Actual</t>
  </si>
  <si>
    <t>ACT-OPP-1000001</t>
  </si>
  <si>
    <t>Summit Cloud 1015 - New Business - 2026-01</t>
  </si>
  <si>
    <t>CUST-01015</t>
  </si>
  <si>
    <t>Summit Cloud 1015</t>
  </si>
  <si>
    <t>ACT-OPP-1000002</t>
  </si>
  <si>
    <t>ACT-OPP-1000003</t>
  </si>
  <si>
    <t>Evergreen Cloud 495 - New Business - 2026-01</t>
  </si>
  <si>
    <t>CUST-00495</t>
  </si>
  <si>
    <t>Evergreen Cloud 495</t>
  </si>
  <si>
    <t>ACT-OPP-1000004</t>
  </si>
  <si>
    <t>Evergreen Legal 195 - New Business - 2026-01</t>
  </si>
  <si>
    <t>ACT-OPP-1000005</t>
  </si>
  <si>
    <t>Apex Health 1885 - New Business - 2026-01</t>
  </si>
  <si>
    <t>CUST-01885</t>
  </si>
  <si>
    <t>Apex Health 1885</t>
  </si>
  <si>
    <t>ACT-OPP-1000006</t>
  </si>
  <si>
    <t>Nimbus Legal 499 - New Business - 2026-01</t>
  </si>
  <si>
    <t>CUST-00499</t>
  </si>
  <si>
    <t>Nimbus Legal 499</t>
  </si>
  <si>
    <t>ACT-OPP-1000007</t>
  </si>
  <si>
    <t>Vertex Legal 674 - New Business - 2026-01</t>
  </si>
  <si>
    <t>CUST-00674</t>
  </si>
  <si>
    <t>Vertex Legal 674</t>
  </si>
  <si>
    <t>ACT-OPP-1000008</t>
  </si>
  <si>
    <t>Nimbus Cloud 1648 - New Business - 2026-01</t>
  </si>
  <si>
    <t>CUST-00145</t>
  </si>
  <si>
    <t>BlueRiver Group 145</t>
  </si>
  <si>
    <t>ACT-OPP-1000051</t>
  </si>
  <si>
    <t>BlueRiver Cloud 1536 - New Business - 2026-02</t>
  </si>
  <si>
    <t>ACT-OPP-1000052</t>
  </si>
  <si>
    <t>Evergreen Analytics 2137 - New Business - 2026-02</t>
  </si>
  <si>
    <t>ACT-OPP-1000053</t>
  </si>
  <si>
    <t>Vertex Health 2226 - New Business - 2026-02</t>
  </si>
  <si>
    <t>CUST-02226</t>
  </si>
  <si>
    <t>Vertex Health 2226</t>
  </si>
  <si>
    <t>ACT-OPP-1000054</t>
  </si>
  <si>
    <t>Northstar Analytics 1238 - New Business - 2026-02</t>
  </si>
  <si>
    <t>CUST-01238</t>
  </si>
  <si>
    <t>Northstar Analytics 1238</t>
  </si>
  <si>
    <t>ACT-OPP-1000055</t>
  </si>
  <si>
    <t>Apex Group 1375 - New Business - 2026-02</t>
  </si>
  <si>
    <t>CUST-01375</t>
  </si>
  <si>
    <t>Apex Group 1375</t>
  </si>
  <si>
    <t>ACT-OPP-1000056</t>
  </si>
  <si>
    <t>Pioneer Legal 867 - New Business - 2026-02</t>
  </si>
  <si>
    <t>CUST-00867</t>
  </si>
  <si>
    <t>Pioneer Legal 867</t>
  </si>
  <si>
    <t>ACT-OPP-1000057</t>
  </si>
  <si>
    <t>Northstar Health 327 - New Business - 2026-02</t>
  </si>
  <si>
    <t>ACT-OPP-1000058</t>
  </si>
  <si>
    <t>Apex Health 1722 - New Business - 2026-02</t>
  </si>
  <si>
    <t>CUST-01722</t>
  </si>
  <si>
    <t>Apex Health 1722</t>
  </si>
  <si>
    <t>ACT-OPP-1000059</t>
  </si>
  <si>
    <t>Pioneer Cloud 1898 - New Business - 2026-02</t>
  </si>
  <si>
    <t>CUST-01898</t>
  </si>
  <si>
    <t>Pioneer Cloud 1898</t>
  </si>
  <si>
    <t>CUST-01109</t>
  </si>
  <si>
    <t>Pioneer Health 1109</t>
  </si>
  <si>
    <t>CUST-02462</t>
  </si>
  <si>
    <t>Northstar Solutions 2462</t>
  </si>
  <si>
    <t>ACT-OPP-1000102</t>
  </si>
  <si>
    <t>Catalyst Works 628 - New Business - 2026-03</t>
  </si>
  <si>
    <t>CUST-00628</t>
  </si>
  <si>
    <t>Catalyst Works 628</t>
  </si>
  <si>
    <t>ACT-OPP-1000103</t>
  </si>
  <si>
    <t>BlueRiver Cloud 1983 - New Business - 2026-03</t>
  </si>
  <si>
    <t>CUST-01983</t>
  </si>
  <si>
    <t>BlueRiver Cloud 1983</t>
  </si>
  <si>
    <t>ACT-OPP-1000104</t>
  </si>
  <si>
    <t>BlueRiver Group 145 - New Business - 2026-03</t>
  </si>
  <si>
    <t>ACT-OPP-1000105</t>
  </si>
  <si>
    <t>Pioneer Systems 716 - New Business - 2026-03</t>
  </si>
  <si>
    <t>ACT-OPP-1000106</t>
  </si>
  <si>
    <t>BlueRiver Legal 118 - New Business - 2026-03</t>
  </si>
  <si>
    <t>CUST-00118</t>
  </si>
  <si>
    <t>BlueRiver Legal 118</t>
  </si>
  <si>
    <t>ACT-OPP-1000107</t>
  </si>
  <si>
    <t>Nimbus Analytics 651 - New Business - 2026-03</t>
  </si>
  <si>
    <t>CUST-00651</t>
  </si>
  <si>
    <t>Nimbus Analytics 651</t>
  </si>
  <si>
    <t>ACT-OPP-1000108</t>
  </si>
  <si>
    <t>BlueRiver Solutions 2203 - New Business - 2026-03</t>
  </si>
  <si>
    <t>CUST-02203</t>
  </si>
  <si>
    <t>BlueRiver Solutions 2203</t>
  </si>
  <si>
    <t>ACT-OPP-1000109</t>
  </si>
  <si>
    <t>Nimbus Solutions 63 - New Business - 2026-03</t>
  </si>
  <si>
    <t>CUST-00063</t>
  </si>
  <si>
    <t>Nimbus Solutions 63</t>
  </si>
  <si>
    <t>ACT-OPP-1000110</t>
  </si>
  <si>
    <t>Vertex Works 191 - New Business - 2026-03</t>
  </si>
  <si>
    <t>ACT-OPP-1000111</t>
  </si>
  <si>
    <t>Catalyst Health 292 - New Business - 2026-03</t>
  </si>
  <si>
    <t>CUST-02453</t>
  </si>
  <si>
    <t>Nimbus Solutions 2453</t>
  </si>
  <si>
    <t>CUST-01069</t>
  </si>
  <si>
    <t>Evergreen Cloud 1069</t>
  </si>
  <si>
    <t>CUST-00864</t>
  </si>
  <si>
    <t>Catalyst Systems 864</t>
  </si>
  <si>
    <t>CUST-00774</t>
  </si>
  <si>
    <t>Summit Works 774</t>
  </si>
  <si>
    <t>ACT-OPP-1000154</t>
  </si>
  <si>
    <t>Pioneer Group 2099 - New Business - 2026-04</t>
  </si>
  <si>
    <t>CUST-02099</t>
  </si>
  <si>
    <t>Pioneer Group 2099</t>
  </si>
  <si>
    <t>ACT-OPP-1000155</t>
  </si>
  <si>
    <t>BlueRiver Legal 1432 - New Business - 2026-04</t>
  </si>
  <si>
    <t>ACT-OPP-1000156</t>
  </si>
  <si>
    <t>Acme Works 36 - New Business - 2026-04</t>
  </si>
  <si>
    <t>ACT-OPP-1000157</t>
  </si>
  <si>
    <t>Evergreen Cloud 37 - New Business - 2026-04</t>
  </si>
  <si>
    <t>CUST-00037</t>
  </si>
  <si>
    <t>Evergreen Cloud 37</t>
  </si>
  <si>
    <t>ACT-OPP-1000158</t>
  </si>
  <si>
    <t>BlueRiver Group 2229 - New Business - 2026-04</t>
  </si>
  <si>
    <t>CUST-02229</t>
  </si>
  <si>
    <t>BlueRiver Group 2229</t>
  </si>
  <si>
    <t>ACT-OPP-1000159</t>
  </si>
  <si>
    <t>Vertex Legal 1811 - New Business - 2026-04</t>
  </si>
  <si>
    <t>CUST-01811</t>
  </si>
  <si>
    <t>Vertex Legal 1811</t>
  </si>
  <si>
    <t>ACT-OPP-1000160</t>
  </si>
  <si>
    <t>Catalyst Works 385 - New Business - 2026-04</t>
  </si>
  <si>
    <t>CUST-00385</t>
  </si>
  <si>
    <t>Catalyst Works 385</t>
  </si>
  <si>
    <t>ACT-OPP-1000161</t>
  </si>
  <si>
    <t>Apex Solutions 5 - New Business - 2026-04</t>
  </si>
  <si>
    <t>CUST-00005</t>
  </si>
  <si>
    <t>Apex Solutions 5</t>
  </si>
  <si>
    <t>ACT-OPP-1000162</t>
  </si>
  <si>
    <t>BlueRiver Group 1265 - New Business - 2026-04</t>
  </si>
  <si>
    <t>CUST-01265</t>
  </si>
  <si>
    <t>BlueRiver Group 1265</t>
  </si>
  <si>
    <t>ACT-OPP-1000163</t>
  </si>
  <si>
    <t>Pioneer Works 313 - New Business - 2026-04</t>
  </si>
  <si>
    <t>CUST-00313</t>
  </si>
  <si>
    <t>Pioneer Works 313</t>
  </si>
  <si>
    <t>ACT-OPP-1000164</t>
  </si>
  <si>
    <t>Nimbus Solutions 1310 - New Business - 2026-04</t>
  </si>
  <si>
    <t>CUST-01310</t>
  </si>
  <si>
    <t>Nimbus Solutions 1310</t>
  </si>
  <si>
    <t>CUST-02080</t>
  </si>
  <si>
    <t>Acme Legal 2080</t>
  </si>
  <si>
    <t>CUST-00873</t>
  </si>
  <si>
    <t>BlueRiver Systems 873</t>
  </si>
  <si>
    <t>CUST-00479</t>
  </si>
  <si>
    <t>Catalyst Health 479</t>
  </si>
  <si>
    <t>CUST-01019</t>
  </si>
  <si>
    <t>Pioneer Works 1019</t>
  </si>
  <si>
    <t>CUST-02365</t>
  </si>
  <si>
    <t>Vertex Group 2365</t>
  </si>
  <si>
    <t>ACT-OPP-1000210</t>
  </si>
  <si>
    <t>Vertex Cloud 169 - New Business - 2026-05</t>
  </si>
  <si>
    <t>CUST-00169</t>
  </si>
  <si>
    <t>Vertex Cloud 169</t>
  </si>
  <si>
    <t>ACT-OPP-1000211</t>
  </si>
  <si>
    <t>Summit Systems 1458 - New Business - 2026-05</t>
  </si>
  <si>
    <t>CUST-01458</t>
  </si>
  <si>
    <t>Summit Systems 1458</t>
  </si>
  <si>
    <t>ACT-OPP-1000212</t>
  </si>
  <si>
    <t>Summit Solutions 2018 - New Business - 2026-05</t>
  </si>
  <si>
    <t>CUST-02018</t>
  </si>
  <si>
    <t>Summit Solutions 2018</t>
  </si>
  <si>
    <t>ACT-OPP-1000213</t>
  </si>
  <si>
    <t>Apex Solutions 1653 - New Business - 2026-05</t>
  </si>
  <si>
    <t>ACT-OPP-1000214</t>
  </si>
  <si>
    <t>BlueRiver Analytics 213 - New Business - 2026-05</t>
  </si>
  <si>
    <t>CUST-00213</t>
  </si>
  <si>
    <t>BlueRiver Analytics 213</t>
  </si>
  <si>
    <t>ACT-OPP-1000215</t>
  </si>
  <si>
    <t>Evergreen Systems 664 - New Business - 2026-05</t>
  </si>
  <si>
    <t>CUST-00664</t>
  </si>
  <si>
    <t>Evergreen Systems 664</t>
  </si>
  <si>
    <t>ACT-OPP-1000216</t>
  </si>
  <si>
    <t>Acme Works 955 - New Business - 2026-05</t>
  </si>
  <si>
    <t>CUST-00955</t>
  </si>
  <si>
    <t>Acme Works 955</t>
  </si>
  <si>
    <t>ACT-OPP-1000217</t>
  </si>
  <si>
    <t>Apex Health 374 - New Business - 2026-05</t>
  </si>
  <si>
    <t>CUST-00374</t>
  </si>
  <si>
    <t>Apex Health 374</t>
  </si>
  <si>
    <t>ACT-OPP-1000218</t>
  </si>
  <si>
    <t>Evergreen Cloud 453 - New Business - 2026-05</t>
  </si>
  <si>
    <t>CUST-00453</t>
  </si>
  <si>
    <t>Evergreen Cloud 453</t>
  </si>
  <si>
    <t>ACT-OPP-1000219</t>
  </si>
  <si>
    <t>Acme Health 982 - New Business - 2026-05</t>
  </si>
  <si>
    <t>CUST-00982</t>
  </si>
  <si>
    <t>Acme Health 982</t>
  </si>
  <si>
    <t>ACT-OPP-1000220</t>
  </si>
  <si>
    <t>BlueRiver Solutions 1611 - New Business - 2026-05</t>
  </si>
  <si>
    <t>ACT-OPP-1000221</t>
  </si>
  <si>
    <t>Vertex Group 2365 - New Business - 2026-05</t>
  </si>
  <si>
    <t>CUST-02183</t>
  </si>
  <si>
    <t>Acme Works 2183</t>
  </si>
  <si>
    <t>CUST-00731</t>
  </si>
  <si>
    <t>Catalyst Cloud 731</t>
  </si>
  <si>
    <t>BUD-OPP-3000008</t>
  </si>
  <si>
    <t>Nimbus Group 547 - Expansion - 2026-01</t>
  </si>
  <si>
    <t>CUST-00547</t>
  </si>
  <si>
    <t>Nimbus Group 547</t>
  </si>
  <si>
    <t>Expansion</t>
  </si>
  <si>
    <t>BUD-OPP-3000009</t>
  </si>
  <si>
    <t>Pioneer Legal 531 - Expansion - 2026-01</t>
  </si>
  <si>
    <t>CUST-00531</t>
  </si>
  <si>
    <t>Pioneer Legal 531</t>
  </si>
  <si>
    <t>BUD-OPP-3000010</t>
  </si>
  <si>
    <t>BlueRiver Works 1651 - Expansion - 2026-01</t>
  </si>
  <si>
    <t>CUST-01651</t>
  </si>
  <si>
    <t>BlueRiver Works 1651</t>
  </si>
  <si>
    <t>BUD-OPP-3000011</t>
  </si>
  <si>
    <t>Acme Analytics 1515 - Expansion - 2026-01</t>
  </si>
  <si>
    <t>CUST-01515</t>
  </si>
  <si>
    <t>Acme Analytics 1515</t>
  </si>
  <si>
    <t>BUD-OPP-3000012</t>
  </si>
  <si>
    <t>Catalyst Systems 1785 - Expansion - 2026-01</t>
  </si>
  <si>
    <t>BUD-OPP-3000013</t>
  </si>
  <si>
    <t>Catalyst Cloud 108 - Contraction - 2026-01</t>
  </si>
  <si>
    <t>CUST-00108</t>
  </si>
  <si>
    <t>Catalyst Cloud 108</t>
  </si>
  <si>
    <t>Contraction</t>
  </si>
  <si>
    <t>BUD-OPP-3000014</t>
  </si>
  <si>
    <t>Vertex Systems 670 - Churn - 2026-01</t>
  </si>
  <si>
    <t>CUST-00670</t>
  </si>
  <si>
    <t>Vertex Systems 670</t>
  </si>
  <si>
    <t>Churn</t>
  </si>
  <si>
    <t>BUD-OPP-3000015</t>
  </si>
  <si>
    <t>Evergreen Cloud 1562 - Churn - 2026-01</t>
  </si>
  <si>
    <t>BUD-OPP-3000016</t>
  </si>
  <si>
    <t>Pioneer Systems 600 - Reactivation - 2026-01</t>
  </si>
  <si>
    <t>CUST-00600</t>
  </si>
  <si>
    <t>Pioneer Systems 600</t>
  </si>
  <si>
    <t>Reactivation</t>
  </si>
  <si>
    <t>BUD-OPP-3000057</t>
  </si>
  <si>
    <t>Vertex Solutions 1115 - Expansion - 2026-02</t>
  </si>
  <si>
    <t>CUST-01115</t>
  </si>
  <si>
    <t>Vertex Solutions 1115</t>
  </si>
  <si>
    <t>BUD-OPP-3000058</t>
  </si>
  <si>
    <t>Summit Cloud 993 - Expansion - 2026-02</t>
  </si>
  <si>
    <t>BUD-OPP-3000059</t>
  </si>
  <si>
    <t>Evergreen Systems 664 - Expansion - 2026-02</t>
  </si>
  <si>
    <t>BUD-OPP-3000060</t>
  </si>
  <si>
    <t>Vertex Health 1908 - Expansion - 2026-02</t>
  </si>
  <si>
    <t>CUST-01908</t>
  </si>
  <si>
    <t>Vertex Health 1908</t>
  </si>
  <si>
    <t>BUD-OPP-3000061</t>
  </si>
  <si>
    <t>Pioneer Solutions 2006 - Expansion - 2026-02</t>
  </si>
  <si>
    <t>BUD-OPP-3000062</t>
  </si>
  <si>
    <t>Evergreen Solutions 1531 - Contraction - 2026-02</t>
  </si>
  <si>
    <t>CUST-01531</t>
  </si>
  <si>
    <t>Evergreen Solutions 1531</t>
  </si>
  <si>
    <t>BUD-OPP-3000063</t>
  </si>
  <si>
    <t>Summit Health 2474 - Churn - 2026-02</t>
  </si>
  <si>
    <t>CUST-02474</t>
  </si>
  <si>
    <t>Summit Health 2474</t>
  </si>
  <si>
    <t>BUD-OPP-3000064</t>
  </si>
  <si>
    <t>BlueRiver Works 1406 - Churn - 2026-02</t>
  </si>
  <si>
    <t>CUST-01406</t>
  </si>
  <si>
    <t>BlueRiver Works 1406</t>
  </si>
  <si>
    <t>BUD-OPP-3000065</t>
  </si>
  <si>
    <t>Summit Works 774 - Reactivation - 2026-02</t>
  </si>
  <si>
    <t>BUD-OPP-3000107</t>
  </si>
  <si>
    <t>Northstar Cloud 881 - Expansion - 2026-03</t>
  </si>
  <si>
    <t>CUST-00881</t>
  </si>
  <si>
    <t>Northstar Cloud 881</t>
  </si>
  <si>
    <t>BUD-OPP-3000108</t>
  </si>
  <si>
    <t>Apex Works 575 - Expansion - 2026-03</t>
  </si>
  <si>
    <t>CUST-00575</t>
  </si>
  <si>
    <t>Apex Works 575</t>
  </si>
  <si>
    <t>BUD-OPP-3000109</t>
  </si>
  <si>
    <t>Catalyst Systems 1142 - Expansion - 2026-03</t>
  </si>
  <si>
    <t>BUD-OPP-3000110</t>
  </si>
  <si>
    <t>BlueRiver Systems 2379 - Expansion - 2026-03</t>
  </si>
  <si>
    <t>CUST-02379</t>
  </si>
  <si>
    <t>BlueRiver Systems 2379</t>
  </si>
  <si>
    <t>BUD-OPP-3000111</t>
  </si>
  <si>
    <t>Nimbus Group 2039 - Expansion - 2026-03</t>
  </si>
  <si>
    <t>CUST-02039</t>
  </si>
  <si>
    <t>Nimbus Group 2039</t>
  </si>
  <si>
    <t>BUD-OPP-3000112</t>
  </si>
  <si>
    <t>Catalyst Systems 1989 - Expansion - 2026-03</t>
  </si>
  <si>
    <t>CUST-01989</t>
  </si>
  <si>
    <t>Catalyst Systems 1989</t>
  </si>
  <si>
    <t>BUD-OPP-3000113</t>
  </si>
  <si>
    <t>Northstar Cloud 1476 - Contraction - 2026-03</t>
  </si>
  <si>
    <t>BUD-OPP-3000114</t>
  </si>
  <si>
    <t>Summit Group 602 - Churn - 2026-03</t>
  </si>
  <si>
    <t>CUST-00602</t>
  </si>
  <si>
    <t>Summit Group 602</t>
  </si>
  <si>
    <t>BUD-OPP-3000115</t>
  </si>
  <si>
    <t>Apex Solutions 851 - Churn - 2026-03</t>
  </si>
  <si>
    <t>BUD-OPP-3000116</t>
  </si>
  <si>
    <t>Catalyst Legal 229 - Reactivation - 2026-03</t>
  </si>
  <si>
    <t>CUST-00229</t>
  </si>
  <si>
    <t>Catalyst Legal 229</t>
  </si>
  <si>
    <t>BUD-OPP-3000161</t>
  </si>
  <si>
    <t>Nimbus Health 104 - Expansion - 2026-04</t>
  </si>
  <si>
    <t>BUD-OPP-3000162</t>
  </si>
  <si>
    <t>BlueRiver Cloud 1129 - Expansion - 2026-04</t>
  </si>
  <si>
    <t>CUST-01129</t>
  </si>
  <si>
    <t>BlueRiver Cloud 1129</t>
  </si>
  <si>
    <t>BUD-OPP-3000163</t>
  </si>
  <si>
    <t>Summit Solutions 198 - Expansion - 2026-04</t>
  </si>
  <si>
    <t>CUST-00198</t>
  </si>
  <si>
    <t>Summit Solutions 198</t>
  </si>
  <si>
    <t>BUD-OPP-3000164</t>
  </si>
  <si>
    <t>Nimbus Legal 2432 - Expansion - 2026-04</t>
  </si>
  <si>
    <t>CUST-02432</t>
  </si>
  <si>
    <t>Nimbus Legal 2432</t>
  </si>
  <si>
    <t>BUD-OPP-3000165</t>
  </si>
  <si>
    <t>Vertex Cloud 650 - Expansion - 2026-04</t>
  </si>
  <si>
    <t>BUD-OPP-3000166</t>
  </si>
  <si>
    <t>Summit Group 1526 - Expansion - 2026-04</t>
  </si>
  <si>
    <t>BUD-OPP-3000167</t>
  </si>
  <si>
    <t>Summit Cloud 2211 - Contraction - 2026-04</t>
  </si>
  <si>
    <t>BUD-OPP-3000168</t>
  </si>
  <si>
    <t>Evergreen Group 1436 - Churn - 2026-04</t>
  </si>
  <si>
    <t>CUST-01436</t>
  </si>
  <si>
    <t>Evergreen Group 1436</t>
  </si>
  <si>
    <t>BUD-OPP-3000169</t>
  </si>
  <si>
    <t>BlueRiver Systems 873 - Churn - 2026-04</t>
  </si>
  <si>
    <t>BUD-OPP-3000170</t>
  </si>
  <si>
    <t>Apex Works 717 - Reactivation - 2026-04</t>
  </si>
  <si>
    <t>BUD-OPP-3000219</t>
  </si>
  <si>
    <t>BlueRiver Legal 967 - Expansion - 2026-05</t>
  </si>
  <si>
    <t>BUD-OPP-3000220</t>
  </si>
  <si>
    <t>Pioneer Systems 1765 - Expansion - 2026-05</t>
  </si>
  <si>
    <t>CUST-01765</t>
  </si>
  <si>
    <t>Pioneer Systems 1765</t>
  </si>
  <si>
    <t>BUD-OPP-3000221</t>
  </si>
  <si>
    <t>Acme Health 1337 - Expansion - 2026-05</t>
  </si>
  <si>
    <t>CUST-01337</t>
  </si>
  <si>
    <t>Acme Health 1337</t>
  </si>
  <si>
    <t>BUD-OPP-3000222</t>
  </si>
  <si>
    <t>Northstar Cloud 1174 - Expansion - 2026-05</t>
  </si>
  <si>
    <t>CUST-01174</t>
  </si>
  <si>
    <t>Northstar Cloud 1174</t>
  </si>
  <si>
    <t>BUD-OPP-3000223</t>
  </si>
  <si>
    <t>Northstar Legal 38 - Expansion - 2026-05</t>
  </si>
  <si>
    <t>CUST-00038</t>
  </si>
  <si>
    <t>Northstar Legal 38</t>
  </si>
  <si>
    <t>BUD-OPP-3000224</t>
  </si>
  <si>
    <t>Evergreen Health 567 - Expansion - 2026-05</t>
  </si>
  <si>
    <t>CUST-00567</t>
  </si>
  <si>
    <t>Evergreen Health 567</t>
  </si>
  <si>
    <t>BUD-OPP-3000225</t>
  </si>
  <si>
    <t>BlueRiver Solutions 1709 - Expansion - 2026-05</t>
  </si>
  <si>
    <t>CUST-01709</t>
  </si>
  <si>
    <t>BlueRiver Solutions 1709</t>
  </si>
  <si>
    <t>BUD-OPP-3000226</t>
  </si>
  <si>
    <t>Evergreen Legal 1978 - Contraction - 2026-05</t>
  </si>
  <si>
    <t>BUD-OPP-3000227</t>
  </si>
  <si>
    <t>Vertex Analytics 1931 - Churn - 2026-05</t>
  </si>
  <si>
    <t>BUD-OPP-3000228</t>
  </si>
  <si>
    <t>Catalyst Legal 45 - Churn - 2026-05</t>
  </si>
  <si>
    <t>CUST-00045</t>
  </si>
  <si>
    <t>Catalyst Legal 45</t>
  </si>
  <si>
    <t>BUD-OPP-3000229</t>
  </si>
  <si>
    <t>Acme Analytics 957 - Reactivation - 2026-05</t>
  </si>
  <si>
    <t>CUST-00957</t>
  </si>
  <si>
    <t>Acme Analytics 957</t>
  </si>
  <si>
    <t>BUD-OPP-3000277</t>
  </si>
  <si>
    <t>Summit Group 1526 - Expansion - 2026-06</t>
  </si>
  <si>
    <t>BUD-OPP-3000278</t>
  </si>
  <si>
    <t>Summit Legal 1127 - Expansion - 2026-06</t>
  </si>
  <si>
    <t>CUST-01127</t>
  </si>
  <si>
    <t>Summit Legal 1127</t>
  </si>
  <si>
    <t>BUD-OPP-3000279</t>
  </si>
  <si>
    <t>Catalyst Group 1968 - Expansion - 2026-06</t>
  </si>
  <si>
    <t>CUST-01968</t>
  </si>
  <si>
    <t>Catalyst Group 1968</t>
  </si>
  <si>
    <t>BUD-OPP-3000280</t>
  </si>
  <si>
    <t>BlueRiver Works 125 - Expansion - 2026-06</t>
  </si>
  <si>
    <t>CUST-00125</t>
  </si>
  <si>
    <t>BlueRiver Works 125</t>
  </si>
  <si>
    <t>BUD-OPP-3000281</t>
  </si>
  <si>
    <t>Northstar Works 1352 - Expansion - 2026-06</t>
  </si>
  <si>
    <t>CUST-01352</t>
  </si>
  <si>
    <t>Northstar Works 1352</t>
  </si>
  <si>
    <t>BUD-OPP-3000282</t>
  </si>
  <si>
    <t>Evergreen Solutions 778 - Expansion - 2026-06</t>
  </si>
  <si>
    <t>CUST-00778</t>
  </si>
  <si>
    <t>Evergreen Solutions 778</t>
  </si>
  <si>
    <t>BUD-OPP-3000283</t>
  </si>
  <si>
    <t>Northstar Works 1666 - Expansion - 2026-06</t>
  </si>
  <si>
    <t>CUST-01666</t>
  </si>
  <si>
    <t>Northstar Works 1666</t>
  </si>
  <si>
    <t>BUD-OPP-3000284</t>
  </si>
  <si>
    <t>Evergreen Group 220 - Contraction - 2026-06</t>
  </si>
  <si>
    <t>BUD-OPP-3000285</t>
  </si>
  <si>
    <t>Catalyst Cloud 766 - Contraction - 2026-06</t>
  </si>
  <si>
    <t>BUD-OPP-3000286</t>
  </si>
  <si>
    <t>Evergreen Legal 785 - Churn - 2026-06</t>
  </si>
  <si>
    <t>CUST-00785</t>
  </si>
  <si>
    <t>Evergreen Legal 785</t>
  </si>
  <si>
    <t>BUD-OPP-3000287</t>
  </si>
  <si>
    <t>Nimbus Analytics 2337 - Churn - 2026-06</t>
  </si>
  <si>
    <t>CUST-02337</t>
  </si>
  <si>
    <t>Nimbus Analytics 2337</t>
  </si>
  <si>
    <t>BUD-OPP-3000288</t>
  </si>
  <si>
    <t>BlueRiver Systems 1284 - Churn - 2026-06</t>
  </si>
  <si>
    <t>CUST-01284</t>
  </si>
  <si>
    <t>BlueRiver Systems 1284</t>
  </si>
  <si>
    <t>BUD-OPP-3000289</t>
  </si>
  <si>
    <t>Northstar Systems 529 - Reactivation - 2026-06</t>
  </si>
  <si>
    <t>CUST-00529</t>
  </si>
  <si>
    <t>Northstar Systems 529</t>
  </si>
  <si>
    <t>BUD-OPP-3000342</t>
  </si>
  <si>
    <t>BlueRiver Cloud 338 - Expansion - 2026-07</t>
  </si>
  <si>
    <t>CUST-00338</t>
  </si>
  <si>
    <t>BlueRiver Cloud 338</t>
  </si>
  <si>
    <t>BUD-OPP-3000343</t>
  </si>
  <si>
    <t>Vertex Analytics 769 - Expansion - 2026-07</t>
  </si>
  <si>
    <t>BUD-OPP-3000344</t>
  </si>
  <si>
    <t>Summit Group 895 - Expansion - 2026-07</t>
  </si>
  <si>
    <t>BUD-OPP-3000345</t>
  </si>
  <si>
    <t>Northstar Health 936 - Expansion - 2026-07</t>
  </si>
  <si>
    <t>BUD-OPP-3000346</t>
  </si>
  <si>
    <t>Catalyst Systems 1508 - Expansion - 2026-07</t>
  </si>
  <si>
    <t>CUST-01508</t>
  </si>
  <si>
    <t>Catalyst Systems 1508</t>
  </si>
  <si>
    <t>BUD-OPP-3000347</t>
  </si>
  <si>
    <t>Northstar Systems 1817 - Expansion - 2026-07</t>
  </si>
  <si>
    <t>BUD-OPP-3000348</t>
  </si>
  <si>
    <t>Nimbus Legal 499 - Expansion - 2026-07</t>
  </si>
  <si>
    <t>BUD-OPP-3000349</t>
  </si>
  <si>
    <t>Acme Solutions 1279 - Contraction - 2026-07</t>
  </si>
  <si>
    <t>BUD-OPP-3000350</t>
  </si>
  <si>
    <t>Northstar Legal 2181 - Contraction - 2026-07</t>
  </si>
  <si>
    <t>CUST-02181</t>
  </si>
  <si>
    <t>Northstar Legal 2181</t>
  </si>
  <si>
    <t>BUD-OPP-3000351</t>
  </si>
  <si>
    <t>Nimbus Solutions 2357 - Contraction - 2026-07</t>
  </si>
  <si>
    <t>CUST-02357</t>
  </si>
  <si>
    <t>Nimbus Solutions 2357</t>
  </si>
  <si>
    <t>BUD-OPP-3000352</t>
  </si>
  <si>
    <t>Nimbus Solutions 2459 - Churn - 2026-07</t>
  </si>
  <si>
    <t>CUST-02459</t>
  </si>
  <si>
    <t>Nimbus Solutions 2459</t>
  </si>
  <si>
    <t>BUD-OPP-3000353</t>
  </si>
  <si>
    <t>Summit Health 166 - Churn - 2026-07</t>
  </si>
  <si>
    <t>BUD-OPP-3000354</t>
  </si>
  <si>
    <t>Apex Cloud 254 - Churn - 2026-07</t>
  </si>
  <si>
    <t>BUD-OPP-3000355</t>
  </si>
  <si>
    <t>Evergreen Cloud 1069 - Reactivation - 2026-07</t>
  </si>
  <si>
    <t>BUD-OPP-3000356</t>
  </si>
  <si>
    <t>BlueRiver Health 2325 - Reactivation - 2026-07</t>
  </si>
  <si>
    <t>BUD-OPP-3000357</t>
  </si>
  <si>
    <t>Vertex Legal 1581 - Reactivation - 2026-07</t>
  </si>
  <si>
    <t>BUD-OPP-3000409</t>
  </si>
  <si>
    <t>Catalyst Systems 2247 - Expansion - 2026-08</t>
  </si>
  <si>
    <t>CUST-02247</t>
  </si>
  <si>
    <t>Catalyst Systems 2247</t>
  </si>
  <si>
    <t>BUD-OPP-3000410</t>
  </si>
  <si>
    <t>Catalyst Systems 1145 - Expansion - 2026-08</t>
  </si>
  <si>
    <t>CUST-01145</t>
  </si>
  <si>
    <t>Catalyst Systems 1145</t>
  </si>
  <si>
    <t>BUD-OPP-3000411</t>
  </si>
  <si>
    <t>Acme Works 1916 - Expansion - 2026-08</t>
  </si>
  <si>
    <t>BUD-OPP-3000412</t>
  </si>
  <si>
    <t>Vertex Analytics 2072 - Expansion - 2026-08</t>
  </si>
  <si>
    <t>CUST-02072</t>
  </si>
  <si>
    <t>Vertex Analytics 2072</t>
  </si>
  <si>
    <t>BUD-OPP-3000413</t>
  </si>
  <si>
    <t>Northstar Health 1752 - Expansion - 2026-08</t>
  </si>
  <si>
    <t>BUD-OPP-3000414</t>
  </si>
  <si>
    <t>Apex Group 1192 - Expansion - 2026-08</t>
  </si>
  <si>
    <t>CUST-01192</t>
  </si>
  <si>
    <t>Apex Group 1192</t>
  </si>
  <si>
    <t>BUD-OPP-3000415</t>
  </si>
  <si>
    <t>Northstar Cloud 1549 - Expansion - 2026-08</t>
  </si>
  <si>
    <t>CUST-01549</t>
  </si>
  <si>
    <t>Northstar Cloud 1549</t>
  </si>
  <si>
    <t>BUD-OPP-3000416</t>
  </si>
  <si>
    <t>Northstar Analytics 2416 - Contraction - 2026-08</t>
  </si>
  <si>
    <t>CUST-02416</t>
  </si>
  <si>
    <t>Northstar Analytics 2416</t>
  </si>
  <si>
    <t>BUD-OPP-3000417</t>
  </si>
  <si>
    <t>Nimbus Works 923 - Contraction - 2026-08</t>
  </si>
  <si>
    <t>CUST-00923</t>
  </si>
  <si>
    <t>Nimbus Works 923</t>
  </si>
  <si>
    <t>BUD-OPP-3000418</t>
  </si>
  <si>
    <t>Nimbus Health 2212 - Contraction - 2026-08</t>
  </si>
  <si>
    <t>CUST-02212</t>
  </si>
  <si>
    <t>Nimbus Health 2212</t>
  </si>
  <si>
    <t>BUD-OPP-3000419</t>
  </si>
  <si>
    <t>Evergreen Health 291 - Churn - 2026-08</t>
  </si>
  <si>
    <t>CUST-00291</t>
  </si>
  <si>
    <t>Evergreen Health 291</t>
  </si>
  <si>
    <t>BUD-OPP-3000420</t>
  </si>
  <si>
    <t>Acme Systems 171 - Churn - 2026-08</t>
  </si>
  <si>
    <t>CUST-00171</t>
  </si>
  <si>
    <t>Acme Systems 171</t>
  </si>
  <si>
    <t>BUD-OPP-3000421</t>
  </si>
  <si>
    <t>Pioneer Group 1255 - Churn - 2026-08</t>
  </si>
  <si>
    <t>CUST-01255</t>
  </si>
  <si>
    <t>Pioneer Group 1255</t>
  </si>
  <si>
    <t>BUD-OPP-3000422</t>
  </si>
  <si>
    <t>Summit Solutions 1136 - Reactivation - 2026-08</t>
  </si>
  <si>
    <t>CUST-01136</t>
  </si>
  <si>
    <t>Summit Solutions 1136</t>
  </si>
  <si>
    <t>BUD-OPP-3000423</t>
  </si>
  <si>
    <t>Vertex Group 2224 - Reactivation - 2026-08</t>
  </si>
  <si>
    <t>BUD-OPP-3000424</t>
  </si>
  <si>
    <t>Vertex Systems 218 - Reactivation - 2026-08</t>
  </si>
  <si>
    <t>CUST-00218</t>
  </si>
  <si>
    <t>Vertex Systems 218</t>
  </si>
  <si>
    <t>BUD-OPP-3000472</t>
  </si>
  <si>
    <t>Nimbus Health 591 - Expansion - 2026-09</t>
  </si>
  <si>
    <t>CUST-00591</t>
  </si>
  <si>
    <t>Nimbus Health 591</t>
  </si>
  <si>
    <t>BUD-OPP-3000473</t>
  </si>
  <si>
    <t>Northstar Analytics 526 - Expansion - 2026-09</t>
  </si>
  <si>
    <t>BUD-OPP-3000474</t>
  </si>
  <si>
    <t>Northstar Solutions 225 - Expansion - 2026-09</t>
  </si>
  <si>
    <t>CUST-00225</t>
  </si>
  <si>
    <t>Northstar Solutions 225</t>
  </si>
  <si>
    <t>BUD-OPP-3000475</t>
  </si>
  <si>
    <t>Pioneer Analytics 1777 - Expansion - 2026-09</t>
  </si>
  <si>
    <t>BUD-OPP-3000476</t>
  </si>
  <si>
    <t>BlueRiver Health 326 - Expansion - 2026-09</t>
  </si>
  <si>
    <t>BUD-OPP-3000477</t>
  </si>
  <si>
    <t>Northstar Systems 1176 - Expansion - 2026-09</t>
  </si>
  <si>
    <t>CUST-01176</t>
  </si>
  <si>
    <t>Northstar Systems 1176</t>
  </si>
  <si>
    <t>BUD-OPP-3000478</t>
  </si>
  <si>
    <t>Catalyst Group 455 - Expansion - 2026-09</t>
  </si>
  <si>
    <t>CUST-00455</t>
  </si>
  <si>
    <t>Catalyst Group 455</t>
  </si>
  <si>
    <t>BUD-OPP-3000479</t>
  </si>
  <si>
    <t>BlueRiver Systems 1284 - Contraction - 2026-09</t>
  </si>
  <si>
    <t>BUD-OPP-3000480</t>
  </si>
  <si>
    <t>Nimbus Legal 256 - Contraction - 2026-09</t>
  </si>
  <si>
    <t>CUST-00256</t>
  </si>
  <si>
    <t>Nimbus Legal 256</t>
  </si>
  <si>
    <t>BUD-OPP-3000481</t>
  </si>
  <si>
    <t>Summit Legal 1835 - Contraction - 2026-09</t>
  </si>
  <si>
    <t>CUST-01835</t>
  </si>
  <si>
    <t>Summit Legal 1835</t>
  </si>
  <si>
    <t>BUD-OPP-3000482</t>
  </si>
  <si>
    <t>Apex Group 1471 - Churn - 2026-09</t>
  </si>
  <si>
    <t>BUD-OPP-3000483</t>
  </si>
  <si>
    <t>Nimbus Analytics 1175 - Churn - 2026-09</t>
  </si>
  <si>
    <t>CUST-01175</t>
  </si>
  <si>
    <t>Nimbus Analytics 1175</t>
  </si>
  <si>
    <t>BUD-OPP-3000484</t>
  </si>
  <si>
    <t>Nimbus Legal 1251 - Churn - 2026-09</t>
  </si>
  <si>
    <t>CUST-01251</t>
  </si>
  <si>
    <t>Nimbus Legal 1251</t>
  </si>
  <si>
    <t>BUD-OPP-3000485</t>
  </si>
  <si>
    <t>Apex Group 2196 - Churn - 2026-09</t>
  </si>
  <si>
    <t>CUST-02196</t>
  </si>
  <si>
    <t>Apex Group 2196</t>
  </si>
  <si>
    <t>BUD-OPP-3000486</t>
  </si>
  <si>
    <t>Pioneer Group 929 - Reactivation - 2026-09</t>
  </si>
  <si>
    <t>BUD-OPP-3000487</t>
  </si>
  <si>
    <t>Summit Solutions 1469 - Reactivation - 2026-09</t>
  </si>
  <si>
    <t>CUST-01469</t>
  </si>
  <si>
    <t>Summit Solutions 1469</t>
  </si>
  <si>
    <t>BUD-OPP-3000488</t>
  </si>
  <si>
    <t>Pioneer Legal 1622 - Reactivation - 2026-09</t>
  </si>
  <si>
    <t>BUD-OPP-3000542</t>
  </si>
  <si>
    <t>BlueRiver Group 1990 - Expansion - 2026-10</t>
  </si>
  <si>
    <t>CUST-01990</t>
  </si>
  <si>
    <t>BlueRiver Group 1990</t>
  </si>
  <si>
    <t>BUD-OPP-3000543</t>
  </si>
  <si>
    <t>Summit Works 429 - Expansion - 2026-10</t>
  </si>
  <si>
    <t>BUD-OPP-3000544</t>
  </si>
  <si>
    <t>BlueRiver Legal 992 - Expansion - 2026-10</t>
  </si>
  <si>
    <t>CUST-00992</t>
  </si>
  <si>
    <t>BlueRiver Legal 992</t>
  </si>
  <si>
    <t>BUD-OPP-3000545</t>
  </si>
  <si>
    <t>Acme Analytics 1258 - Expansion - 2026-10</t>
  </si>
  <si>
    <t>BUD-OPP-3000546</t>
  </si>
  <si>
    <t>Catalyst Works 1634 - Expansion - 2026-10</t>
  </si>
  <si>
    <t>BUD-OPP-3000547</t>
  </si>
  <si>
    <t>Apex Group 1375 - Expansion - 2026-10</t>
  </si>
  <si>
    <t>BUD-OPP-3000548</t>
  </si>
  <si>
    <t>Evergreen Legal 1201 - Expansion - 2026-10</t>
  </si>
  <si>
    <t>CUST-01201</t>
  </si>
  <si>
    <t>Evergreen Legal 1201</t>
  </si>
  <si>
    <t>BUD-OPP-3000549</t>
  </si>
  <si>
    <t>Acme Cloud 1714 - Expansion - 2026-10</t>
  </si>
  <si>
    <t>CUST-01714</t>
  </si>
  <si>
    <t>Acme Cloud 1714</t>
  </si>
  <si>
    <t>BUD-OPP-3000550</t>
  </si>
  <si>
    <t>Vertex Group 846 - Contraction - 2026-10</t>
  </si>
  <si>
    <t>CUST-00846</t>
  </si>
  <si>
    <t>Vertex Group 846</t>
  </si>
  <si>
    <t>BUD-OPP-3000551</t>
  </si>
  <si>
    <t>Vertex Legal 904 - Contraction - 2026-10</t>
  </si>
  <si>
    <t>CUST-00904</t>
  </si>
  <si>
    <t>Vertex Legal 904</t>
  </si>
  <si>
    <t>BUD-OPP-3000552</t>
  </si>
  <si>
    <t>Vertex Works 1681 - Contraction - 2026-10</t>
  </si>
  <si>
    <t>BUD-OPP-3000553</t>
  </si>
  <si>
    <t>BlueRiver Legal 1144 - Churn - 2026-10</t>
  </si>
  <si>
    <t>CUST-01144</t>
  </si>
  <si>
    <t>BlueRiver Legal 1144</t>
  </si>
  <si>
    <t>BUD-OPP-3000554</t>
  </si>
  <si>
    <t>Summit Works 948 - Churn - 2026-10</t>
  </si>
  <si>
    <t>BUD-OPP-3000555</t>
  </si>
  <si>
    <t>Vertex Solutions 1213 - Churn - 2026-10</t>
  </si>
  <si>
    <t>CUST-01213</t>
  </si>
  <si>
    <t>Vertex Solutions 1213</t>
  </si>
  <si>
    <t>BUD-OPP-3000556</t>
  </si>
  <si>
    <t>Catalyst Works 2103 - Churn - 2026-10</t>
  </si>
  <si>
    <t>CUST-02103</t>
  </si>
  <si>
    <t>Catalyst Works 2103</t>
  </si>
  <si>
    <t>BUD-OPP-3000557</t>
  </si>
  <si>
    <t>Acme Health 982 - Reactivation - 2026-10</t>
  </si>
  <si>
    <t>BUD-OPP-3000558</t>
  </si>
  <si>
    <t>Summit Analytics 2047 - Reactivation - 2026-10</t>
  </si>
  <si>
    <t>CUST-02047</t>
  </si>
  <si>
    <t>Summit Analytics 2047</t>
  </si>
  <si>
    <t>BUD-OPP-3000559</t>
  </si>
  <si>
    <t>Northstar Health 661 - Reactivation - 2026-10</t>
  </si>
  <si>
    <t>CUST-00661</t>
  </si>
  <si>
    <t>Northstar Health 661</t>
  </si>
  <si>
    <t>BUD-OPP-3000607</t>
  </si>
  <si>
    <t>Acme Solutions 1280 - Expansion - 2026-11</t>
  </si>
  <si>
    <t>CUST-01280</t>
  </si>
  <si>
    <t>Acme Solutions 1280</t>
  </si>
  <si>
    <t>BUD-OPP-3000608</t>
  </si>
  <si>
    <t>Catalyst Legal 2430 - Expansion - 2026-11</t>
  </si>
  <si>
    <t>CUST-02430</t>
  </si>
  <si>
    <t>Catalyst Legal 2430</t>
  </si>
  <si>
    <t>BUD-OPP-3000609</t>
  </si>
  <si>
    <t>Evergreen Legal 2040 - Expansion - 2026-11</t>
  </si>
  <si>
    <t>BUD-OPP-3000610</t>
  </si>
  <si>
    <t>Acme Solutions 1279 - Expansion - 2026-11</t>
  </si>
  <si>
    <t>BUD-OPP-3000611</t>
  </si>
  <si>
    <t>BlueRiver Solutions 990 - Expansion - 2026-11</t>
  </si>
  <si>
    <t>BUD-OPP-3000612</t>
  </si>
  <si>
    <t>Acme Cloud 882 - Expansion - 2026-11</t>
  </si>
  <si>
    <t>BUD-OPP-3000613</t>
  </si>
  <si>
    <t>Nimbus Legal 972 - Expansion - 2026-11</t>
  </si>
  <si>
    <t>CUST-00972</t>
  </si>
  <si>
    <t>Nimbus Legal 972</t>
  </si>
  <si>
    <t>BUD-OPP-3000614</t>
  </si>
  <si>
    <t>Catalyst Health 479 - Contraction - 2026-11</t>
  </si>
  <si>
    <t>BUD-OPP-3000615</t>
  </si>
  <si>
    <t>Vertex Health 1254 - Contraction - 2026-11</t>
  </si>
  <si>
    <t>BUD-OPP-3000616</t>
  </si>
  <si>
    <t>Catalyst Group 1968 - Contraction - 2026-11</t>
  </si>
  <si>
    <t>BUD-OPP-3000617</t>
  </si>
  <si>
    <t>Nimbus Group 101 - Churn - 2026-11</t>
  </si>
  <si>
    <t>BUD-OPP-3000618</t>
  </si>
  <si>
    <t>Nimbus Solutions 2002 - Churn - 2026-11</t>
  </si>
  <si>
    <t>CUST-02002</t>
  </si>
  <si>
    <t>Nimbus Solutions 2002</t>
  </si>
  <si>
    <t>BUD-OPP-3000619</t>
  </si>
  <si>
    <t>Catalyst Legal 1253 - Churn - 2026-11</t>
  </si>
  <si>
    <t>CUST-01253</t>
  </si>
  <si>
    <t>Catalyst Legal 1253</t>
  </si>
  <si>
    <t>BUD-OPP-3000620</t>
  </si>
  <si>
    <t>Pioneer Health 1899 - Churn - 2026-11</t>
  </si>
  <si>
    <t>BUD-OPP-3000621</t>
  </si>
  <si>
    <t>Apex Works 624 - Reactivation - 2026-11</t>
  </si>
  <si>
    <t>CUST-00624</t>
  </si>
  <si>
    <t>Apex Works 624</t>
  </si>
  <si>
    <t>BUD-OPP-3000622</t>
  </si>
  <si>
    <t>Northstar Group 583 - Reactivation - 2026-11</t>
  </si>
  <si>
    <t>CUST-00583</t>
  </si>
  <si>
    <t>Northstar Group 583</t>
  </si>
  <si>
    <t>BUD-OPP-3000623</t>
  </si>
  <si>
    <t>Apex Cloud 311 - Reactivation - 2026-11</t>
  </si>
  <si>
    <t>CUST-00311</t>
  </si>
  <si>
    <t>Apex Cloud 311</t>
  </si>
  <si>
    <t>BUD-OPP-3000679</t>
  </si>
  <si>
    <t>Catalyst Cloud 108 - Expansion - 2026-12</t>
  </si>
  <si>
    <t>BUD-OPP-3000680</t>
  </si>
  <si>
    <t>Evergreen Cloud 679 - Expansion - 2026-12</t>
  </si>
  <si>
    <t>BUD-OPP-3000681</t>
  </si>
  <si>
    <t>Northstar Group 2389 - Expansion - 2026-12</t>
  </si>
  <si>
    <t>CUST-02389</t>
  </si>
  <si>
    <t>Northstar Group 2389</t>
  </si>
  <si>
    <t>BUD-OPP-3000682</t>
  </si>
  <si>
    <t>Vertex Solutions 1964 - Expansion - 2026-12</t>
  </si>
  <si>
    <t>BUD-OPP-3000683</t>
  </si>
  <si>
    <t>Evergreen Solutions 1386 - Expansion - 2026-12</t>
  </si>
  <si>
    <t>BUD-OPP-3000684</t>
  </si>
  <si>
    <t>Apex Analytics 2426 - Expansion - 2026-12</t>
  </si>
  <si>
    <t>CUST-02426</t>
  </si>
  <si>
    <t>Apex Analytics 2426</t>
  </si>
  <si>
    <t>BUD-OPP-3000685</t>
  </si>
  <si>
    <t>BlueRiver Health 2179 - Expansion - 2026-12</t>
  </si>
  <si>
    <t>CUST-02179</t>
  </si>
  <si>
    <t>BlueRiver Health 2179</t>
  </si>
  <si>
    <t>BUD-OPP-3000686</t>
  </si>
  <si>
    <t>BlueRiver Works 1651 - Expansion - 2026-12</t>
  </si>
  <si>
    <t>BUD-OPP-3000687</t>
  </si>
  <si>
    <t>Northstar Works 1128 - Contraction - 2026-12</t>
  </si>
  <si>
    <t>CUST-01128</t>
  </si>
  <si>
    <t>Northstar Works 1128</t>
  </si>
  <si>
    <t>BUD-OPP-3000688</t>
  </si>
  <si>
    <t>Catalyst Works 1122 - Contraction - 2026-12</t>
  </si>
  <si>
    <t>CUST-01122</t>
  </si>
  <si>
    <t>Catalyst Works 1122</t>
  </si>
  <si>
    <t>BUD-OPP-3000689</t>
  </si>
  <si>
    <t>Acme Works 1749 - Contraction - 2026-12</t>
  </si>
  <si>
    <t>CUST-01749</t>
  </si>
  <si>
    <t>Acme Works 1749</t>
  </si>
  <si>
    <t>BUD-OPP-3000690</t>
  </si>
  <si>
    <t>Summit Solutions 2493 - Churn - 2026-12</t>
  </si>
  <si>
    <t>CUST-02493</t>
  </si>
  <si>
    <t>Summit Solutions 2493</t>
  </si>
  <si>
    <t>BUD-OPP-3000691</t>
  </si>
  <si>
    <t>Summit Systems 371 - Churn - 2026-12</t>
  </si>
  <si>
    <t>CUST-00371</t>
  </si>
  <si>
    <t>Summit Systems 371</t>
  </si>
  <si>
    <t>BUD-OPP-3000692</t>
  </si>
  <si>
    <t>Vertex Health 1254 - Churn - 2026-12</t>
  </si>
  <si>
    <t>BUD-OPP-3000693</t>
  </si>
  <si>
    <t>Pioneer Systems 922 - Churn - 2026-12</t>
  </si>
  <si>
    <t>CUST-00922</t>
  </si>
  <si>
    <t>Pioneer Systems 922</t>
  </si>
  <si>
    <t>BUD-OPP-3000694</t>
  </si>
  <si>
    <t>Northstar Group 1966 - Reactivation - 2026-12</t>
  </si>
  <si>
    <t>BUD-OPP-3000695</t>
  </si>
  <si>
    <t>Acme Group 75 - Reactivation - 2026-12</t>
  </si>
  <si>
    <t>CUST-00075</t>
  </si>
  <si>
    <t>Acme Group 75</t>
  </si>
  <si>
    <t>BUD-OPP-3000696</t>
  </si>
  <si>
    <t>Catalyst Solutions 1362 - Reactivation - 2026-12</t>
  </si>
  <si>
    <t>BUD-OPP-3000697</t>
  </si>
  <si>
    <t>Northstar Works 1823 - Reactivation - 2026-12</t>
  </si>
  <si>
    <t>CUST-01823</t>
  </si>
  <si>
    <t>Northstar Works 1823</t>
  </si>
  <si>
    <t>ACT-OPP-1000009</t>
  </si>
  <si>
    <t>Nimbus Systems 2022 - Expansion - 2026-01</t>
  </si>
  <si>
    <t>ACT-OPP-1000010</t>
  </si>
  <si>
    <t>Nimbus Cloud 1723 - Expansion - 2026-01</t>
  </si>
  <si>
    <t>CUST-01723</t>
  </si>
  <si>
    <t>Nimbus Cloud 1723</t>
  </si>
  <si>
    <t>ACT-OPP-1000011</t>
  </si>
  <si>
    <t>BlueRiver Cloud 1126 - Expansion - 2026-01</t>
  </si>
  <si>
    <t>ACT-OPP-1000012</t>
  </si>
  <si>
    <t>Evergreen Solutions 841 - Expansion - 2026-01</t>
  </si>
  <si>
    <t>ACT-OPP-1000013</t>
  </si>
  <si>
    <t>Evergreen Legal 638 - Expansion - 2026-01</t>
  </si>
  <si>
    <t>CUST-00638</t>
  </si>
  <si>
    <t>Evergreen Legal 638</t>
  </si>
  <si>
    <t>ACT-OPP-1000014</t>
  </si>
  <si>
    <t>Evergreen Health 2464 - Contraction - 2026-01</t>
  </si>
  <si>
    <t>CUST-02464</t>
  </si>
  <si>
    <t>Evergreen Health 2464</t>
  </si>
  <si>
    <t>ACT-OPP-1000015</t>
  </si>
  <si>
    <t>Northstar Solutions 2026 - Churn - 2026-01</t>
  </si>
  <si>
    <t>CUST-02026</t>
  </si>
  <si>
    <t>Northstar Solutions 2026</t>
  </si>
  <si>
    <t>ACT-OPP-1000016</t>
  </si>
  <si>
    <t>Northstar Analytics 2416 - Churn - 2026-01</t>
  </si>
  <si>
    <t>ACT-OPP-1000017</t>
  </si>
  <si>
    <t>Catalyst Legal 386 - Reactivation - 2026-01</t>
  </si>
  <si>
    <t>CUST-00386</t>
  </si>
  <si>
    <t>Catalyst Legal 386</t>
  </si>
  <si>
    <t>ACT-OPP-1000060</t>
  </si>
  <si>
    <t>Northstar Systems 1735 - Expansion - 2026-02</t>
  </si>
  <si>
    <t>CUST-01735</t>
  </si>
  <si>
    <t>Northstar Systems 1735</t>
  </si>
  <si>
    <t>ACT-OPP-1000061</t>
  </si>
  <si>
    <t>Acme Works 66 - Expansion - 2026-02</t>
  </si>
  <si>
    <t>ACT-OPP-1000062</t>
  </si>
  <si>
    <t>Catalyst Systems 864 - Expansion - 2026-02</t>
  </si>
  <si>
    <t>ACT-OPP-1000063</t>
  </si>
  <si>
    <t>BlueRiver Legal 152 - Expansion - 2026-02</t>
  </si>
  <si>
    <t>CUST-00152</t>
  </si>
  <si>
    <t>BlueRiver Legal 152</t>
  </si>
  <si>
    <t>ACT-OPP-1000064</t>
  </si>
  <si>
    <t>Apex Solutions 2353 - Expansion - 2026-02</t>
  </si>
  <si>
    <t>CUST-02353</t>
  </si>
  <si>
    <t>Apex Solutions 2353</t>
  </si>
  <si>
    <t>ACT-OPP-1000065</t>
  </si>
  <si>
    <t>Summit Analytics 1810 - Contraction - 2026-02</t>
  </si>
  <si>
    <t>ACT-OPP-1000066</t>
  </si>
  <si>
    <t>Northstar Works 357 - Churn - 2026-02</t>
  </si>
  <si>
    <t>CUST-00357</t>
  </si>
  <si>
    <t>Northstar Works 357</t>
  </si>
  <si>
    <t>ACT-OPP-1000067</t>
  </si>
  <si>
    <t>BlueRiver Solutions 1513 - Churn - 2026-02</t>
  </si>
  <si>
    <t>ACT-OPP-1000068</t>
  </si>
  <si>
    <t>Catalyst Cloud 1884 - Reactivation - 2026-02</t>
  </si>
  <si>
    <t>ACT-OPP-1000112</t>
  </si>
  <si>
    <t>Summit Systems 891 - Expansion - 2026-03</t>
  </si>
  <si>
    <t>ACT-OPP-1000113</t>
  </si>
  <si>
    <t>Evergreen Analytics 90 - Expansion - 2026-03</t>
  </si>
  <si>
    <t>ACT-OPP-1000114</t>
  </si>
  <si>
    <t>Acme Systems 252 - Expansion - 2026-03</t>
  </si>
  <si>
    <t>CUST-00252</t>
  </si>
  <si>
    <t>Acme Systems 252</t>
  </si>
  <si>
    <t>ACT-OPP-1000115</t>
  </si>
  <si>
    <t>Vertex Group 2365 - Expansion - 2026-03</t>
  </si>
  <si>
    <t>ACT-OPP-1000116</t>
  </si>
  <si>
    <t>Catalyst Legal 386 - Expansion - 2026-03</t>
  </si>
  <si>
    <t>ACT-OPP-1000117</t>
  </si>
  <si>
    <t>Apex Works 52 - Expansion - 2026-03</t>
  </si>
  <si>
    <t>ACT-OPP-1000118</t>
  </si>
  <si>
    <t>Northstar Solutions 2136 - Contraction - 2026-03</t>
  </si>
  <si>
    <t>ACT-OPP-1000119</t>
  </si>
  <si>
    <t>BlueRiver Health 2325 - Churn - 2026-03</t>
  </si>
  <si>
    <t>ACT-OPP-1000120</t>
  </si>
  <si>
    <t>Summit Group 300 - Churn - 2026-03</t>
  </si>
  <si>
    <t>CUST-00300</t>
  </si>
  <si>
    <t>Summit Group 300</t>
  </si>
  <si>
    <t>ACT-OPP-1000121</t>
  </si>
  <si>
    <t>Nimbus Group 1232 - Reactivation - 2026-03</t>
  </si>
  <si>
    <t>CUST-01232</t>
  </si>
  <si>
    <t>Nimbus Group 1232</t>
  </si>
  <si>
    <t>ACT-OPP-1000165</t>
  </si>
  <si>
    <t>Pioneer Health 1193 - Expansion - 2026-04</t>
  </si>
  <si>
    <t>CUST-01193</t>
  </si>
  <si>
    <t>Pioneer Health 1193</t>
  </si>
  <si>
    <t>ACT-OPP-1000166</t>
  </si>
  <si>
    <t>Catalyst Analytics 631 - Expansion - 2026-04</t>
  </si>
  <si>
    <t>ACT-OPP-1000167</t>
  </si>
  <si>
    <t>Nimbus Works 923 - Expansion - 2026-04</t>
  </si>
  <si>
    <t>ACT-OPP-1000168</t>
  </si>
  <si>
    <t>Summit Systems 1832 - Expansion - 2026-04</t>
  </si>
  <si>
    <t>ACT-OPP-1000169</t>
  </si>
  <si>
    <t>Northstar Legal 38 - Expansion - 2026-04</t>
  </si>
  <si>
    <t>ACT-OPP-1000170</t>
  </si>
  <si>
    <t>Evergreen Health 1067 - Expansion - 2026-04</t>
  </si>
  <si>
    <t>CUST-01067</t>
  </si>
  <si>
    <t>Evergreen Health 1067</t>
  </si>
  <si>
    <t>ACT-OPP-1000171</t>
  </si>
  <si>
    <t>Summit Works 1426 - Contraction - 2026-04</t>
  </si>
  <si>
    <t>ACT-OPP-1000172</t>
  </si>
  <si>
    <t>Apex Group 440 - Churn - 2026-04</t>
  </si>
  <si>
    <t>CUST-00440</t>
  </si>
  <si>
    <t>Apex Group 440</t>
  </si>
  <si>
    <t>ACT-OPP-1000173</t>
  </si>
  <si>
    <t>Vertex Analytics 1708 - Churn - 2026-04</t>
  </si>
  <si>
    <t>CUST-01708</t>
  </si>
  <si>
    <t>Vertex Analytics 1708</t>
  </si>
  <si>
    <t>ACT-OPP-1000174</t>
  </si>
  <si>
    <t>Northstar Analytics 2138 - Reactivation - 2026-04</t>
  </si>
  <si>
    <t>CUST-02138</t>
  </si>
  <si>
    <t>Northstar Analytics 2138</t>
  </si>
  <si>
    <t>ACT-OPP-1000222</t>
  </si>
  <si>
    <t>BlueRiver Works 1601 - Expansion - 2026-05</t>
  </si>
  <si>
    <t>ACT-OPP-1000223</t>
  </si>
  <si>
    <t>Apex Group 581 - Expansion - 2026-05</t>
  </si>
  <si>
    <t>CUST-00581</t>
  </si>
  <si>
    <t>Apex Group 581</t>
  </si>
  <si>
    <t>ACT-OPP-1000224</t>
  </si>
  <si>
    <t>Summit Cloud 2359 - Expansion - 2026-05</t>
  </si>
  <si>
    <t>CUST-02359</t>
  </si>
  <si>
    <t>Summit Cloud 2359</t>
  </si>
  <si>
    <t>ACT-OPP-1000225</t>
  </si>
  <si>
    <t>Evergreen Solutions 320 - Expansion - 2026-05</t>
  </si>
  <si>
    <t>CUST-00320</t>
  </si>
  <si>
    <t>Evergreen Solutions 320</t>
  </si>
  <si>
    <t>ACT-OPP-1000226</t>
  </si>
  <si>
    <t>Summit Systems 2148 - Expansion - 2026-05</t>
  </si>
  <si>
    <t>CUST-02148</t>
  </si>
  <si>
    <t>Summit Systems 2148</t>
  </si>
  <si>
    <t>ACT-OPP-1000227</t>
  </si>
  <si>
    <t>Evergreen Group 22 - Expansion - 2026-05</t>
  </si>
  <si>
    <t>CUST-00022</t>
  </si>
  <si>
    <t>Evergreen Group 22</t>
  </si>
  <si>
    <t>ACT-OPP-1000228</t>
  </si>
  <si>
    <t>Vertex Health 649 - Expansion - 2026-05</t>
  </si>
  <si>
    <t>CUST-00649</t>
  </si>
  <si>
    <t>Vertex Health 649</t>
  </si>
  <si>
    <t>ACT-OPP-1000229</t>
  </si>
  <si>
    <t>Evergreen Systems 664 - Contraction - 2026-05</t>
  </si>
  <si>
    <t>ACT-OPP-1000230</t>
  </si>
  <si>
    <t>Evergreen Health 454 - Churn - 2026-05</t>
  </si>
  <si>
    <t>ACT-OPP-1000231</t>
  </si>
  <si>
    <t>BlueRiver Solutions 1289 - Churn - 2026-05</t>
  </si>
  <si>
    <t>ACT-OPP-1000232</t>
  </si>
  <si>
    <t>Vertex Group 1180 - Reactivation - 2026-05</t>
  </si>
  <si>
    <t>CUST-01180</t>
  </si>
  <si>
    <t>Vertex Group 1180</t>
  </si>
  <si>
    <t>FOR-OPP-2000013</t>
  </si>
  <si>
    <t>Apex Cloud 476 - Expansion - 2026-06</t>
  </si>
  <si>
    <t>CUST-00476</t>
  </si>
  <si>
    <t>Apex Cloud 476</t>
  </si>
  <si>
    <t>FOR-OPP-2000014</t>
  </si>
  <si>
    <t>Pioneer Cloud 2354 - Expansion - 2026-06</t>
  </si>
  <si>
    <t>CUST-02354</t>
  </si>
  <si>
    <t>Pioneer Cloud 2354</t>
  </si>
  <si>
    <t>FOR-OPP-2000015</t>
  </si>
  <si>
    <t>BlueRiver Solutions 1558 - Expansion - 2026-06</t>
  </si>
  <si>
    <t>CUST-01558</t>
  </si>
  <si>
    <t>BlueRiver Solutions 1558</t>
  </si>
  <si>
    <t>FOR-OPP-2000016</t>
  </si>
  <si>
    <t>Summit Analytics 1743 - Expansion - 2026-06</t>
  </si>
  <si>
    <t>CUST-01743</t>
  </si>
  <si>
    <t>Summit Analytics 1743</t>
  </si>
  <si>
    <t>FOR-OPP-2000017</t>
  </si>
  <si>
    <t>Catalyst Solutions 1692 - Expansion - 2026-06</t>
  </si>
  <si>
    <t>CUST-01692</t>
  </si>
  <si>
    <t>Catalyst Solutions 1692</t>
  </si>
  <si>
    <t>FOR-OPP-2000018</t>
  </si>
  <si>
    <t>Catalyst Works 2335 - Expansion - 2026-06</t>
  </si>
  <si>
    <t>CUST-02335</t>
  </si>
  <si>
    <t>Catalyst Works 2335</t>
  </si>
  <si>
    <t>FOR-OPP-2000019</t>
  </si>
  <si>
    <t>Evergreen Group 614 - Expansion - 2026-06</t>
  </si>
  <si>
    <t>FOR-OPP-2000020</t>
  </si>
  <si>
    <t>Apex Analytics 143 - Contraction - 2026-06</t>
  </si>
  <si>
    <t>CUST-00143</t>
  </si>
  <si>
    <t>Apex Analytics 143</t>
  </si>
  <si>
    <t>FOR-OPP-2000021</t>
  </si>
  <si>
    <t>Vertex Solutions 2180 - Contraction - 2026-06</t>
  </si>
  <si>
    <t>CUST-02180</t>
  </si>
  <si>
    <t>Vertex Solutions 2180</t>
  </si>
  <si>
    <t>FOR-OPP-2000022</t>
  </si>
  <si>
    <t>Catalyst Analytics 150 - Churn - 2026-06</t>
  </si>
  <si>
    <t>CUST-00150</t>
  </si>
  <si>
    <t>Catalyst Analytics 150</t>
  </si>
  <si>
    <t>FOR-OPP-2000023</t>
  </si>
  <si>
    <t>Evergreen Legal 2322 - Churn - 2026-06</t>
  </si>
  <si>
    <t>CUST-02322</t>
  </si>
  <si>
    <t>Evergreen Legal 2322</t>
  </si>
  <si>
    <t>FOR-OPP-2000024</t>
  </si>
  <si>
    <t>BlueRiver Works 1575 - Churn - 2026-06</t>
  </si>
  <si>
    <t>FOR-OPP-2000025</t>
  </si>
  <si>
    <t>Pioneer Analytics 1566 - Reactivation - 2026-06</t>
  </si>
  <si>
    <t>CUST-01566</t>
  </si>
  <si>
    <t>Pioneer Analytics 1566</t>
  </si>
  <si>
    <t>FOR-OPP-2000076</t>
  </si>
  <si>
    <t>BlueRiver Legal 1489 - Expansion - 2026-07</t>
  </si>
  <si>
    <t>CUST-01489</t>
  </si>
  <si>
    <t>BlueRiver Legal 1489</t>
  </si>
  <si>
    <t>FOR-OPP-2000077</t>
  </si>
  <si>
    <t>Northstar Cloud 974 - Expansion - 2026-07</t>
  </si>
  <si>
    <t>FOR-OPP-2000078</t>
  </si>
  <si>
    <t>Northstar Legal 798 - Expansion - 2026-07</t>
  </si>
  <si>
    <t>FOR-OPP-2000079</t>
  </si>
  <si>
    <t>BlueRiver Group 1225 - Expansion - 2026-07</t>
  </si>
  <si>
    <t>FOR-OPP-2000080</t>
  </si>
  <si>
    <t>Summit Solutions 221 - Expansion - 2026-07</t>
  </si>
  <si>
    <t>CUST-00221</t>
  </si>
  <si>
    <t>Summit Solutions 221</t>
  </si>
  <si>
    <t>FOR-OPP-2000081</t>
  </si>
  <si>
    <t>Summit Works 1507 - Expansion - 2026-07</t>
  </si>
  <si>
    <t>CUST-01507</t>
  </si>
  <si>
    <t>Summit Works 1507</t>
  </si>
  <si>
    <t>FOR-OPP-2000082</t>
  </si>
  <si>
    <t>Apex Solutions 1876 - Expansion - 2026-07</t>
  </si>
  <si>
    <t>CUST-01876</t>
  </si>
  <si>
    <t>Apex Solutions 1876</t>
  </si>
  <si>
    <t>FOR-OPP-2000083</t>
  </si>
  <si>
    <t>Summit Legal 1286 - Contraction - 2026-07</t>
  </si>
  <si>
    <t>CUST-01286</t>
  </si>
  <si>
    <t>Summit Legal 1286</t>
  </si>
  <si>
    <t>FOR-OPP-2000084</t>
  </si>
  <si>
    <t>Pioneer Analytics 389 - Contraction - 2026-07</t>
  </si>
  <si>
    <t>FOR-OPP-2000085</t>
  </si>
  <si>
    <t>Pioneer Analytics 1134 - Churn - 2026-07</t>
  </si>
  <si>
    <t>CUST-01134</t>
  </si>
  <si>
    <t>Pioneer Analytics 1134</t>
  </si>
  <si>
    <t>FOR-OPP-2000086</t>
  </si>
  <si>
    <t>Evergreen Cloud 925 - Churn - 2026-07</t>
  </si>
  <si>
    <t>CUST-00925</t>
  </si>
  <si>
    <t>Evergreen Cloud 925</t>
  </si>
  <si>
    <t>FOR-OPP-2000087</t>
  </si>
  <si>
    <t>Catalyst Systems 2352 - Churn - 2026-07</t>
  </si>
  <si>
    <t>CUST-02352</t>
  </si>
  <si>
    <t>Catalyst Systems 2352</t>
  </si>
  <si>
    <t>FOR-OPP-2000088</t>
  </si>
  <si>
    <t>BlueRiver Solutions 2021 - Reactivation - 2026-07</t>
  </si>
  <si>
    <t>FOR-OPP-2000089</t>
  </si>
  <si>
    <t>BlueRiver Analytics 1883 - Reactivation - 2026-07</t>
  </si>
  <si>
    <t>FOR-OPP-2000090</t>
  </si>
  <si>
    <t>Summit Health 1075 - Reactivation - 2026-07</t>
  </si>
  <si>
    <t>FOR-OPP-2000142</t>
  </si>
  <si>
    <t>Pioneer Systems 1997 - Expansion - 2026-08</t>
  </si>
  <si>
    <t>CUST-01997</t>
  </si>
  <si>
    <t>Pioneer Systems 1997</t>
  </si>
  <si>
    <t>FOR-OPP-2000143</t>
  </si>
  <si>
    <t>Pioneer Health 1109 - Expansion - 2026-08</t>
  </si>
  <si>
    <t>FOR-OPP-2000144</t>
  </si>
  <si>
    <t>Vertex Systems 62 - Expansion - 2026-08</t>
  </si>
  <si>
    <t>CUST-00062</t>
  </si>
  <si>
    <t>Vertex Systems 62</t>
  </si>
  <si>
    <t>FOR-OPP-2000145</t>
  </si>
  <si>
    <t>Acme Solutions 632 - Expansion - 2026-08</t>
  </si>
  <si>
    <t>CUST-00632</t>
  </si>
  <si>
    <t>Acme Solutions 632</t>
  </si>
  <si>
    <t>FOR-OPP-2000146</t>
  </si>
  <si>
    <t>Northstar Health 661 - Expansion - 2026-08</t>
  </si>
  <si>
    <t>FOR-OPP-2000147</t>
  </si>
  <si>
    <t>Evergreen Systems 1146 - Expansion - 2026-08</t>
  </si>
  <si>
    <t>CUST-01146</t>
  </si>
  <si>
    <t>Evergreen Systems 1146</t>
  </si>
  <si>
    <t>FOR-OPP-2000148</t>
  </si>
  <si>
    <t>Northstar Health 1082 - Expansion - 2026-08</t>
  </si>
  <si>
    <t>CUST-01082</t>
  </si>
  <si>
    <t>Northstar Health 1082</t>
  </si>
  <si>
    <t>FOR-OPP-2000149</t>
  </si>
  <si>
    <t>Vertex Group 546 - Expansion - 2026-08</t>
  </si>
  <si>
    <t>FOR-OPP-2000150</t>
  </si>
  <si>
    <t>Acme Health 376 - Contraction - 2026-08</t>
  </si>
  <si>
    <t>CUST-00376</t>
  </si>
  <si>
    <t>Acme Health 376</t>
  </si>
  <si>
    <t>FOR-OPP-2000151</t>
  </si>
  <si>
    <t>Catalyst Analytics 2185 - Contraction - 2026-08</t>
  </si>
  <si>
    <t>CUST-02185</t>
  </si>
  <si>
    <t>Catalyst Analytics 2185</t>
  </si>
  <si>
    <t>FOR-OPP-2000152</t>
  </si>
  <si>
    <t>Evergreen Legal 444 - Contraction - 2026-08</t>
  </si>
  <si>
    <t>FOR-OPP-2000153</t>
  </si>
  <si>
    <t>BlueRiver Cloud 1153 - Churn - 2026-08</t>
  </si>
  <si>
    <t>CUST-01153</t>
  </si>
  <si>
    <t>BlueRiver Cloud 1153</t>
  </si>
  <si>
    <t>FOR-OPP-2000154</t>
  </si>
  <si>
    <t>BlueRiver Systems 1199 - Churn - 2026-08</t>
  </si>
  <si>
    <t>CUST-01199</t>
  </si>
  <si>
    <t>BlueRiver Systems 1199</t>
  </si>
  <si>
    <t>FOR-OPP-2000155</t>
  </si>
  <si>
    <t>Apex Group 1061 - Churn - 2026-08</t>
  </si>
  <si>
    <t>FOR-OPP-2000156</t>
  </si>
  <si>
    <t>Acme Works 2183 - Reactivation - 2026-08</t>
  </si>
  <si>
    <t>FOR-OPP-2000157</t>
  </si>
  <si>
    <t>Catalyst Solutions 31 - Reactivation - 2026-08</t>
  </si>
  <si>
    <t>CUST-00031</t>
  </si>
  <si>
    <t>Catalyst Solutions 31</t>
  </si>
  <si>
    <t>FOR-OPP-2000158</t>
  </si>
  <si>
    <t>Apex Legal 498 - Reactivation - 2026-08</t>
  </si>
  <si>
    <t>CUST-00498</t>
  </si>
  <si>
    <t>Apex Legal 498</t>
  </si>
  <si>
    <t>FOR-OPP-2000210</t>
  </si>
  <si>
    <t>Nimbus Cloud 481 - Expansion - 2026-09</t>
  </si>
  <si>
    <t>CUST-00481</t>
  </si>
  <si>
    <t>Nimbus Cloud 481</t>
  </si>
  <si>
    <t>FOR-OPP-2000211</t>
  </si>
  <si>
    <t>Northstar Health 808 - Expansion - 2026-09</t>
  </si>
  <si>
    <t>CUST-00808</t>
  </si>
  <si>
    <t>Northstar Health 808</t>
  </si>
  <si>
    <t>FOR-OPP-2000212</t>
  </si>
  <si>
    <t>Evergreen Health 39 - Expansion - 2026-09</t>
  </si>
  <si>
    <t>FOR-OPP-2000213</t>
  </si>
  <si>
    <t>Nimbus Systems 60 - Expansion - 2026-09</t>
  </si>
  <si>
    <t>CUST-00060</t>
  </si>
  <si>
    <t>Nimbus Systems 60</t>
  </si>
  <si>
    <t>FOR-OPP-2000214</t>
  </si>
  <si>
    <t>Nimbus Solutions 845 - Expansion - 2026-09</t>
  </si>
  <si>
    <t>CUST-00845</t>
  </si>
  <si>
    <t>Nimbus Solutions 845</t>
  </si>
  <si>
    <t>FOR-OPP-2000215</t>
  </si>
  <si>
    <t>Summit Cloud 2359 - Expansion - 2026-09</t>
  </si>
  <si>
    <t>FOR-OPP-2000216</t>
  </si>
  <si>
    <t>Apex Analytics 1326 - Expansion - 2026-09</t>
  </si>
  <si>
    <t>CUST-01326</t>
  </si>
  <si>
    <t>Apex Analytics 1326</t>
  </si>
  <si>
    <t>FOR-OPP-2000217</t>
  </si>
  <si>
    <t>Apex Solutions 1653 - Contraction - 2026-09</t>
  </si>
  <si>
    <t>FOR-OPP-2000218</t>
  </si>
  <si>
    <t>Catalyst Legal 1629 - Contraction - 2026-09</t>
  </si>
  <si>
    <t>CUST-01629</t>
  </si>
  <si>
    <t>Catalyst Legal 1629</t>
  </si>
  <si>
    <t>FOR-OPP-2000219</t>
  </si>
  <si>
    <t>Pioneer Health 2293 - Contraction - 2026-09</t>
  </si>
  <si>
    <t>CUST-02293</t>
  </si>
  <si>
    <t>Pioneer Health 2293</t>
  </si>
  <si>
    <t>FOR-OPP-2000220</t>
  </si>
  <si>
    <t>Pioneer Health 2012 - Churn - 2026-09</t>
  </si>
  <si>
    <t>CUST-02012</t>
  </si>
  <si>
    <t>Pioneer Health 2012</t>
  </si>
  <si>
    <t>FOR-OPP-2000221</t>
  </si>
  <si>
    <t>Pioneer Works 1019 - Churn - 2026-09</t>
  </si>
  <si>
    <t>FOR-OPP-2000222</t>
  </si>
  <si>
    <t>Vertex Systems 419 - Churn - 2026-09</t>
  </si>
  <si>
    <t>CUST-00419</t>
  </si>
  <si>
    <t>Vertex Systems 419</t>
  </si>
  <si>
    <t>FOR-OPP-2000223</t>
  </si>
  <si>
    <t>Evergreen Group 2210 - Churn - 2026-09</t>
  </si>
  <si>
    <t>CUST-02210</t>
  </si>
  <si>
    <t>Evergreen Group 2210</t>
  </si>
  <si>
    <t>FOR-OPP-2000224</t>
  </si>
  <si>
    <t>Catalyst Analytics 1756 - Reactivation - 2026-09</t>
  </si>
  <si>
    <t>CUST-01756</t>
  </si>
  <si>
    <t>Catalyst Analytics 1756</t>
  </si>
  <si>
    <t>FOR-OPP-2000225</t>
  </si>
  <si>
    <t>Catalyst Legal 1227 - Reactivation - 2026-09</t>
  </si>
  <si>
    <t>FOR-OPP-2000226</t>
  </si>
  <si>
    <t>Summit Systems 1166 - Reactivation - 2026-09</t>
  </si>
  <si>
    <t>FOR-OPP-2000277</t>
  </si>
  <si>
    <t>Nimbus Analytics 249 - Expansion - 2026-10</t>
  </si>
  <si>
    <t>CUST-00249</t>
  </si>
  <si>
    <t>Nimbus Analytics 249</t>
  </si>
  <si>
    <t>FOR-OPP-2000278</t>
  </si>
  <si>
    <t>BlueRiver Solutions 2203 - Expansion - 2026-10</t>
  </si>
  <si>
    <t>FOR-OPP-2000279</t>
  </si>
  <si>
    <t>Vertex Analytics 1241 - Expansion - 2026-10</t>
  </si>
  <si>
    <t>FOR-OPP-2000280</t>
  </si>
  <si>
    <t>BlueRiver Group 2010 - Expansion - 2026-10</t>
  </si>
  <si>
    <t>CUST-02010</t>
  </si>
  <si>
    <t>BlueRiver Group 2010</t>
  </si>
  <si>
    <t>FOR-OPP-2000281</t>
  </si>
  <si>
    <t>Nimbus Cloud 2083 - Expansion - 2026-10</t>
  </si>
  <si>
    <t>FOR-OPP-2000282</t>
  </si>
  <si>
    <t>Evergreen Health 728 - Expansion - 2026-10</t>
  </si>
  <si>
    <t>FOR-OPP-2000283</t>
  </si>
  <si>
    <t>Summit Analytics 1991 - Expansion - 2026-10</t>
  </si>
  <si>
    <t>CUST-01991</t>
  </si>
  <si>
    <t>Summit Analytics 1991</t>
  </si>
  <si>
    <t>FOR-OPP-2000284</t>
  </si>
  <si>
    <t>Summit Legal 1448 - Expansion - 2026-10</t>
  </si>
  <si>
    <t>CUST-01448</t>
  </si>
  <si>
    <t>Summit Legal 1448</t>
  </si>
  <si>
    <t>FOR-OPP-2000285</t>
  </si>
  <si>
    <t>Vertex Legal 2194 - Contraction - 2026-10</t>
  </si>
  <si>
    <t>CUST-02194</t>
  </si>
  <si>
    <t>Vertex Legal 2194</t>
  </si>
  <si>
    <t>FOR-OPP-2000286</t>
  </si>
  <si>
    <t>Catalyst Cloud 626 - Contraction - 2026-10</t>
  </si>
  <si>
    <t>CUST-00626</t>
  </si>
  <si>
    <t>Catalyst Cloud 626</t>
  </si>
  <si>
    <t>FOR-OPP-2000287</t>
  </si>
  <si>
    <t>Acme Analytics 1137 - Contraction - 2026-10</t>
  </si>
  <si>
    <t>CUST-01137</t>
  </si>
  <si>
    <t>Acme Analytics 1137</t>
  </si>
  <si>
    <t>FOR-OPP-2000288</t>
  </si>
  <si>
    <t>Northstar Legal 1728 - Churn - 2026-10</t>
  </si>
  <si>
    <t>CUST-01728</t>
  </si>
  <si>
    <t>Northstar Legal 1728</t>
  </si>
  <si>
    <t>FOR-OPP-2000289</t>
  </si>
  <si>
    <t>Acme Cloud 1383 - Churn - 2026-10</t>
  </si>
  <si>
    <t>CUST-01383</t>
  </si>
  <si>
    <t>Acme Cloud 1383</t>
  </si>
  <si>
    <t>FOR-OPP-2000290</t>
  </si>
  <si>
    <t>Apex Works 201 - Churn - 2026-10</t>
  </si>
  <si>
    <t>FOR-OPP-2000291</t>
  </si>
  <si>
    <t>Acme Cloud 1721 - Churn - 2026-10</t>
  </si>
  <si>
    <t>CUST-01721</t>
  </si>
  <si>
    <t>Acme Cloud 1721</t>
  </si>
  <si>
    <t>FOR-OPP-2000292</t>
  </si>
  <si>
    <t>Catalyst Solutions 783 - Reactivation - 2026-10</t>
  </si>
  <si>
    <t>CUST-00783</t>
  </si>
  <si>
    <t>Catalyst Solutions 783</t>
  </si>
  <si>
    <t>FOR-OPP-2000293</t>
  </si>
  <si>
    <t>BlueRiver Legal 306 - Reactivation - 2026-10</t>
  </si>
  <si>
    <t>FOR-OPP-2000294</t>
  </si>
  <si>
    <t>Evergreen Analytics 1829 - Reactivation - 2026-10</t>
  </si>
  <si>
    <t>CUST-01829</t>
  </si>
  <si>
    <t>Evergreen Analytics 1829</t>
  </si>
  <si>
    <t>FOR-OPP-2000344</t>
  </si>
  <si>
    <t>Catalyst Cloud 731 - Expansion - 2026-11</t>
  </si>
  <si>
    <t>FOR-OPP-2000345</t>
  </si>
  <si>
    <t>Acme Cloud 92 - Expansion - 2026-11</t>
  </si>
  <si>
    <t>FOR-OPP-2000346</t>
  </si>
  <si>
    <t>Apex Health 2343 - Expansion - 2026-11</t>
  </si>
  <si>
    <t>CUST-02343</t>
  </si>
  <si>
    <t>Apex Health 2343</t>
  </si>
  <si>
    <t>FOR-OPP-2000347</t>
  </si>
  <si>
    <t>Summit Health 1830 - Expansion - 2026-11</t>
  </si>
  <si>
    <t>CUST-01830</t>
  </si>
  <si>
    <t>Summit Health 1830</t>
  </si>
  <si>
    <t>FOR-OPP-2000348</t>
  </si>
  <si>
    <t>Apex Legal 905 - Expansion - 2026-11</t>
  </si>
  <si>
    <t>CUST-00905</t>
  </si>
  <si>
    <t>Apex Legal 905</t>
  </si>
  <si>
    <t>FOR-OPP-2000349</t>
  </si>
  <si>
    <t>Summit Group 659 - Expansion - 2026-11</t>
  </si>
  <si>
    <t>FOR-OPP-2000350</t>
  </si>
  <si>
    <t>Nimbus Legal 1251 - Expansion - 2026-11</t>
  </si>
  <si>
    <t>FOR-OPP-2000351</t>
  </si>
  <si>
    <t>Apex Legal 1209 - Contraction - 2026-11</t>
  </si>
  <si>
    <t>CUST-01209</t>
  </si>
  <si>
    <t>Apex Legal 1209</t>
  </si>
  <si>
    <t>FOR-OPP-2000352</t>
  </si>
  <si>
    <t>Nimbus Solutions 2453 - Contraction - 2026-11</t>
  </si>
  <si>
    <t>FOR-OPP-2000353</t>
  </si>
  <si>
    <t>Vertex Works 1154 - Contraction - 2026-11</t>
  </si>
  <si>
    <t>FOR-OPP-2000354</t>
  </si>
  <si>
    <t>Vertex Systems 1314 - Churn - 2026-11</t>
  </si>
  <si>
    <t>FOR-OPP-2000355</t>
  </si>
  <si>
    <t>Vertex Systems 670 - Churn - 2026-11</t>
  </si>
  <si>
    <t>FOR-OPP-2000356</t>
  </si>
  <si>
    <t>Catalyst Systems 2247 - Churn - 2026-11</t>
  </si>
  <si>
    <t>FOR-OPP-2000357</t>
  </si>
  <si>
    <t>Apex Cloud 76 - Churn - 2026-11</t>
  </si>
  <si>
    <t>CUST-00076</t>
  </si>
  <si>
    <t>Apex Cloud 76</t>
  </si>
  <si>
    <t>FOR-OPP-2000358</t>
  </si>
  <si>
    <t>Summit Group 285 - Reactivation - 2026-11</t>
  </si>
  <si>
    <t>CUST-00285</t>
  </si>
  <si>
    <t>Summit Group 285</t>
  </si>
  <si>
    <t>FOR-OPP-2000359</t>
  </si>
  <si>
    <t>Pioneer Analytics 1521 - Reactivation - 2026-11</t>
  </si>
  <si>
    <t>CUST-01521</t>
  </si>
  <si>
    <t>Pioneer Analytics 1521</t>
  </si>
  <si>
    <t>FOR-OPP-2000360</t>
  </si>
  <si>
    <t>Nimbus Systems 214 - Reactivation - 2026-11</t>
  </si>
  <si>
    <t>CUST-00214</t>
  </si>
  <si>
    <t>Nimbus Systems 214</t>
  </si>
  <si>
    <t>FOR-OPP-2000408</t>
  </si>
  <si>
    <t>Vertex Solutions 193 - Expansion - 2026-12</t>
  </si>
  <si>
    <t>CUST-00193</t>
  </si>
  <si>
    <t>Vertex Solutions 193</t>
  </si>
  <si>
    <t>FOR-OPP-2000409</t>
  </si>
  <si>
    <t>BlueRiver Group 686 - Expansion - 2026-12</t>
  </si>
  <si>
    <t>CUST-00686</t>
  </si>
  <si>
    <t>BlueRiver Group 686</t>
  </si>
  <si>
    <t>FOR-OPP-2000410</t>
  </si>
  <si>
    <t>Summit Systems 1204 - Expansion - 2026-12</t>
  </si>
  <si>
    <t>CUST-01204</t>
  </si>
  <si>
    <t>Summit Systems 1204</t>
  </si>
  <si>
    <t>FOR-OPP-2000411</t>
  </si>
  <si>
    <t>BlueRiver Health 1211 - Expansion - 2026-12</t>
  </si>
  <si>
    <t>FOR-OPP-2000412</t>
  </si>
  <si>
    <t>Pioneer Works 2111 - Expansion - 2026-12</t>
  </si>
  <si>
    <t>CUST-02111</t>
  </si>
  <si>
    <t>Pioneer Works 2111</t>
  </si>
  <si>
    <t>FOR-OPP-2000413</t>
  </si>
  <si>
    <t>Apex Group 1046 - Expansion - 2026-12</t>
  </si>
  <si>
    <t>FOR-OPP-2000414</t>
  </si>
  <si>
    <t>BlueRiver Works 1575 - Expansion - 2026-12</t>
  </si>
  <si>
    <t>FOR-OPP-2000415</t>
  </si>
  <si>
    <t>Apex Legal 129 - Expansion - 2026-12</t>
  </si>
  <si>
    <t>FOR-OPP-2000416</t>
  </si>
  <si>
    <t>Northstar Solutions 2462 - Contraction - 2026-12</t>
  </si>
  <si>
    <t>FOR-OPP-2000417</t>
  </si>
  <si>
    <t>Evergreen Solutions 2114 - Contraction - 2026-12</t>
  </si>
  <si>
    <t>FOR-OPP-2000418</t>
  </si>
  <si>
    <t>Acme Group 1627 - Contraction - 2026-12</t>
  </si>
  <si>
    <t>CUST-01627</t>
  </si>
  <si>
    <t>Acme Group 1627</t>
  </si>
  <si>
    <t>FOR-OPP-2000419</t>
  </si>
  <si>
    <t>Acme Legal 2080 - Churn - 2026-12</t>
  </si>
  <si>
    <t>FOR-OPP-2000420</t>
  </si>
  <si>
    <t>Catalyst Group 2066 - Churn - 2026-12</t>
  </si>
  <si>
    <t>CUST-02066</t>
  </si>
  <si>
    <t>Catalyst Group 2066</t>
  </si>
  <si>
    <t>FOR-OPP-2000421</t>
  </si>
  <si>
    <t>Apex Group 1167 - Churn - 2026-12</t>
  </si>
  <si>
    <t>FOR-OPP-2000422</t>
  </si>
  <si>
    <t>Vertex Health 1908 - Churn - 2026-12</t>
  </si>
  <si>
    <t>FOR-OPP-2000423</t>
  </si>
  <si>
    <t>Acme Cloud 2392 - Reactivation - 2026-12</t>
  </si>
  <si>
    <t>FOR-OPP-2000424</t>
  </si>
  <si>
    <t>Nimbus Systems 1861 - Reactivation - 2026-12</t>
  </si>
  <si>
    <t>CUST-01861</t>
  </si>
  <si>
    <t>Nimbus Systems 1861</t>
  </si>
  <si>
    <t>FOR-OPP-2000425</t>
  </si>
  <si>
    <t>Apex Solutions 353 - Reactivation - 2026-12</t>
  </si>
  <si>
    <t>FOR-OPP-2000426</t>
  </si>
  <si>
    <t>Catalyst Solutions 2410 - Reactivation - 2026-12</t>
  </si>
  <si>
    <t>CUST-02410</t>
  </si>
  <si>
    <t>Catalyst Solutions 2410</t>
  </si>
  <si>
    <t>BOP</t>
  </si>
  <si>
    <t>EOP</t>
  </si>
  <si>
    <t>Trended Forecast</t>
  </si>
  <si>
    <t>FY2026</t>
  </si>
  <si>
    <t>Fcst vs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</si>
</sst>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165" fontId="0" fillId="0" borderId="0" xfId="1" applyNumberFormat="1" applyFont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FY26 Trended Forecast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FY26 Trended Forecast</a:t>
          </a:r>
        </a:p>
      </cx:txPr>
    </cx:title>
    <cx:plotArea>
      <cx:plotAreaRegion>
        <cx:series layoutId="waterfall" uniqueId="{51693C96-E7B3-445E-A741-A97C7BC03627}">
          <cx:tx>
            <cx:txData>
              <cx:f>_xlchart.v1.1</cx:f>
              <cx:v>FY2026</cx:v>
            </cx:txData>
          </cx:tx>
          <cx:dataPt idx="1">
            <cx:spPr>
              <a:solidFill>
                <a:srgbClr val="4EA72E">
                  <a:lumMod val="75000"/>
                </a:srgbClr>
              </a:solidFill>
            </cx:spPr>
          </cx:dataPt>
          <cx:dataPt idx="2">
            <cx:spPr>
              <a:solidFill>
                <a:srgbClr val="4EA72E">
                  <a:lumMod val="75000"/>
                </a:srgbClr>
              </a:solidFill>
            </cx:spPr>
          </cx:dataPt>
          <cx:dataPt idx="3">
            <cx:spPr>
              <a:solidFill>
                <a:srgbClr val="C00000"/>
              </a:solidFill>
            </cx:spPr>
          </cx:dataPt>
          <cx:dataPt idx="4">
            <cx:spPr>
              <a:solidFill>
                <a:srgbClr val="C00000"/>
              </a:solidFill>
            </cx:spPr>
          </cx:dataPt>
          <cx:dataPt idx="6">
            <cx:spPr>
              <a:solidFill>
                <a:srgbClr val="156082"/>
              </a:solidFill>
            </cx:spPr>
          </cx:dataPt>
          <cx:dataLabels pos="outEnd">
            <cx:numFmt formatCode="_(* #,##0_);_(* (#,##0);_(* &quot;-&quot;??_);_(@_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n-US" sz="9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  <cx:axis id="1">
        <cx:valScaling min="0"/>
        <cx:units unit="thousands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FY26 Budget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FY26 Budget</a:t>
          </a:r>
        </a:p>
      </cx:txPr>
    </cx:title>
    <cx:plotArea>
      <cx:plotAreaRegion>
        <cx:series layoutId="waterfall" uniqueId="{51693C96-E7B3-445E-A741-A97C7BC03627}">
          <cx:tx>
            <cx:txData>
              <cx:f>_xlchart.v1.9</cx:f>
              <cx:v>FY2026</cx:v>
            </cx:txData>
          </cx:tx>
          <cx:dataPt idx="1">
            <cx:spPr>
              <a:solidFill>
                <a:srgbClr val="4EA72E">
                  <a:lumMod val="75000"/>
                </a:srgbClr>
              </a:solidFill>
            </cx:spPr>
          </cx:dataPt>
          <cx:dataPt idx="2">
            <cx:spPr>
              <a:solidFill>
                <a:srgbClr val="4EA72E">
                  <a:lumMod val="75000"/>
                </a:srgbClr>
              </a:solidFill>
            </cx:spPr>
          </cx:dataPt>
          <cx:dataPt idx="3">
            <cx:spPr>
              <a:solidFill>
                <a:srgbClr val="C00000"/>
              </a:solidFill>
            </cx:spPr>
          </cx:dataPt>
          <cx:dataPt idx="4">
            <cx:spPr>
              <a:solidFill>
                <a:srgbClr val="C00000"/>
              </a:solidFill>
            </cx:spPr>
          </cx:dataPt>
          <cx:dataPt idx="6">
            <cx:spPr>
              <a:solidFill>
                <a:srgbClr val="156082"/>
              </a:solidFill>
            </cx:spPr>
          </cx:dataPt>
          <cx:dataLabels pos="outEnd">
            <cx:numFmt formatCode="_(* #,##0_);_(* (#,##0);_(* &quot;-&quot;??_);_(@_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n-US" sz="9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  <cx:axis id="1">
        <cx:valScaling min="0"/>
        <cx:units unit="thousands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_xlchart.v1.24</cx:f>
      </cx:numDim>
    </cx:data>
  </cx:chartData>
  <cx:chart>
    <cx:title pos="t" align="ctr" overlay="0">
      <cx:tx>
        <cx:txData>
          <cx:v>Forecast vs Budget Walk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Forecast vs Budget Walk</a:t>
          </a:r>
        </a:p>
      </cx:txPr>
    </cx:title>
    <cx:plotArea>
      <cx:plotAreaRegion>
        <cx:series layoutId="waterfall" uniqueId="{51693C96-E7B3-445E-A741-A97C7BC03627}">
          <cx:tx>
            <cx:txData>
              <cx:f>_xlchart.v1.23</cx:f>
              <cx:v>Fcst vs Budget</cx:v>
            </cx:txData>
          </cx:tx>
          <cx:dataPt idx="1">
            <cx:spPr>
              <a:solidFill>
                <a:srgbClr val="4EA72E">
                  <a:lumMod val="75000"/>
                </a:srgbClr>
              </a:solidFill>
            </cx:spPr>
          </cx:dataPt>
          <cx:dataPt idx="2">
            <cx:spPr>
              <a:solidFill>
                <a:srgbClr val="4EA72E">
                  <a:lumMod val="75000"/>
                </a:srgbClr>
              </a:solidFill>
            </cx:spPr>
          </cx:dataPt>
          <cx:dataPt idx="3">
            <cx:spPr>
              <a:solidFill>
                <a:srgbClr val="C00000"/>
              </a:solidFill>
            </cx:spPr>
          </cx:dataPt>
          <cx:dataPt idx="4">
            <cx:spPr>
              <a:solidFill>
                <a:srgbClr val="C00000"/>
              </a:solidFill>
            </cx:spPr>
          </cx:dataPt>
          <cx:dataPt idx="6">
            <cx:spPr>
              <a:solidFill>
                <a:srgbClr val="156082"/>
              </a:solidFill>
            </cx:spPr>
          </cx:dataPt>
          <cx:dataLabels pos="outEnd">
            <cx:numFmt formatCode="_(* #,##0_);_(* (#,##0);_(* &quot;-&quot;??_);_(@_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n-US" sz="9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  <cx:axis id="1">
        <cx:valScaling min="0"/>
        <cx:units unit="thousands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0</xdr:row>
      <xdr:rowOff>15875</xdr:rowOff>
    </xdr:from>
    <xdr:to>
      <xdr:col>11</xdr:col>
      <xdr:colOff>546100</xdr:colOff>
      <xdr:row>14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BCE3397-E678-37F9-51D2-2B575084E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2274" y="15875"/>
              <a:ext cx="541337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6350</xdr:colOff>
      <xdr:row>15</xdr:row>
      <xdr:rowOff>0</xdr:rowOff>
    </xdr:from>
    <xdr:to>
      <xdr:col>11</xdr:col>
      <xdr:colOff>542926</xdr:colOff>
      <xdr:row>29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3CEB3ED-C586-4085-9081-7DDBB9F554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9100" y="2762250"/>
              <a:ext cx="541337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825500</xdr:colOff>
      <xdr:row>29</xdr:row>
      <xdr:rowOff>177800</xdr:rowOff>
    </xdr:from>
    <xdr:to>
      <xdr:col>11</xdr:col>
      <xdr:colOff>492126</xdr:colOff>
      <xdr:row>44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2DA85E8-6AC0-4CAC-A0FF-AFB20FEF90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8300" y="5518150"/>
              <a:ext cx="541337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6242-9159-4463-B969-F2F16D7E2FD8}">
  <dimension ref="A3:C22"/>
  <sheetViews>
    <sheetView tabSelected="1" workbookViewId="0">
      <selection activeCell="O15" sqref="O15"/>
    </sheetView>
  </sheetViews>
  <sheetFormatPr defaultRowHeight="14.5" x14ac:dyDescent="0.35"/>
  <cols>
    <col min="1" max="1" width="15" bestFit="1" customWidth="1"/>
    <col min="2" max="2" width="14.81640625" bestFit="1" customWidth="1"/>
    <col min="3" max="3" width="12.453125" bestFit="1" customWidth="1"/>
  </cols>
  <sheetData>
    <row r="3" spans="1:3" x14ac:dyDescent="0.35">
      <c r="A3">
        <v>1000</v>
      </c>
    </row>
    <row r="6" spans="1:3" x14ac:dyDescent="0.35">
      <c r="A6" t="s">
        <v>2317</v>
      </c>
      <c r="B6" t="s">
        <v>2318</v>
      </c>
      <c r="C6" t="s">
        <v>2319</v>
      </c>
    </row>
    <row r="7" spans="1:3" x14ac:dyDescent="0.35">
      <c r="A7" t="s">
        <v>2315</v>
      </c>
      <c r="B7" s="3">
        <v>75000000</v>
      </c>
      <c r="C7" s="4">
        <f>B22</f>
        <v>96098088.450000003</v>
      </c>
    </row>
    <row r="8" spans="1:3" x14ac:dyDescent="0.35">
      <c r="A8" t="s">
        <v>37</v>
      </c>
      <c r="B8" s="3">
        <v>19802131</v>
      </c>
      <c r="C8" s="4">
        <f>B8-B17</f>
        <v>792085.27000000328</v>
      </c>
    </row>
    <row r="9" spans="1:3" x14ac:dyDescent="0.35">
      <c r="A9" t="s">
        <v>1271</v>
      </c>
      <c r="B9" s="3">
        <v>10870394</v>
      </c>
      <c r="C9" s="4">
        <f t="shared" ref="C9:C12" si="0">B9-B18</f>
        <v>326111.76999999769</v>
      </c>
    </row>
    <row r="10" spans="1:3" x14ac:dyDescent="0.35">
      <c r="A10" t="s">
        <v>1290</v>
      </c>
      <c r="B10" s="3">
        <v>-3926256</v>
      </c>
      <c r="C10" s="4">
        <f t="shared" si="0"/>
        <v>78525.110000000335</v>
      </c>
    </row>
    <row r="11" spans="1:3" x14ac:dyDescent="0.35">
      <c r="A11" t="s">
        <v>1295</v>
      </c>
      <c r="B11" s="3">
        <v>-7004346</v>
      </c>
      <c r="C11" s="4">
        <f t="shared" si="0"/>
        <v>210130.38000000175</v>
      </c>
    </row>
    <row r="12" spans="1:3" x14ac:dyDescent="0.35">
      <c r="A12" t="s">
        <v>1302</v>
      </c>
      <c r="B12" s="3">
        <v>2763018</v>
      </c>
      <c r="C12" s="4">
        <f t="shared" si="0"/>
        <v>1.9999999552965164E-2</v>
      </c>
    </row>
    <row r="13" spans="1:3" x14ac:dyDescent="0.35">
      <c r="A13" t="s">
        <v>2316</v>
      </c>
      <c r="B13" s="3">
        <f>B7+B8+B9+B10+B11+B12</f>
        <v>97504941</v>
      </c>
      <c r="C13" s="3">
        <f>C7+C8+C9+C10+C11+C12</f>
        <v>97504940.999999985</v>
      </c>
    </row>
    <row r="15" spans="1:3" x14ac:dyDescent="0.35">
      <c r="A15" t="s">
        <v>521</v>
      </c>
    </row>
    <row r="16" spans="1:3" x14ac:dyDescent="0.35">
      <c r="A16" t="s">
        <v>2315</v>
      </c>
      <c r="B16" s="3">
        <v>75000000</v>
      </c>
    </row>
    <row r="17" spans="1:2" x14ac:dyDescent="0.35">
      <c r="A17" t="s">
        <v>37</v>
      </c>
      <c r="B17" s="3">
        <f>SUMIFS(Budget_opportunity_movements!$Y:$Y,Budget_opportunity_movements!$H:$H,Summary!A17)</f>
        <v>19010045.729999997</v>
      </c>
    </row>
    <row r="18" spans="1:2" x14ac:dyDescent="0.35">
      <c r="A18" t="s">
        <v>1271</v>
      </c>
      <c r="B18" s="3">
        <f>SUMIFS(Budget_opportunity_movements!$Y:$Y,Budget_opportunity_movements!$H:$H,Summary!A18)</f>
        <v>10544282.230000002</v>
      </c>
    </row>
    <row r="19" spans="1:2" x14ac:dyDescent="0.35">
      <c r="A19" t="s">
        <v>1290</v>
      </c>
      <c r="B19" s="3">
        <f>-SUMIFS(Budget_opportunity_movements!$Y:$Y,Budget_opportunity_movements!$H:$H,Summary!A19)</f>
        <v>-4004781.1100000003</v>
      </c>
    </row>
    <row r="20" spans="1:2" x14ac:dyDescent="0.35">
      <c r="A20" t="s">
        <v>1295</v>
      </c>
      <c r="B20" s="3">
        <f>-SUMIFS(Budget_opportunity_movements!$Y:$Y,Budget_opportunity_movements!$H:$H,Summary!A20)</f>
        <v>-7214476.3800000018</v>
      </c>
    </row>
    <row r="21" spans="1:2" x14ac:dyDescent="0.35">
      <c r="A21" t="s">
        <v>1302</v>
      </c>
      <c r="B21" s="3">
        <f>SUMIFS(Budget_opportunity_movements!$Y:$Y,Budget_opportunity_movements!$H:$H,Summary!A21)</f>
        <v>2763017.9800000004</v>
      </c>
    </row>
    <row r="22" spans="1:2" x14ac:dyDescent="0.35">
      <c r="A22" t="s">
        <v>2316</v>
      </c>
      <c r="B22" s="4">
        <f>SUM(B16:B21)</f>
        <v>96098088.450000003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83A2-AC6A-409A-A8C0-7E05D1C4254D}">
  <dimension ref="A1:AD490"/>
  <sheetViews>
    <sheetView topLeftCell="R1" workbookViewId="0">
      <selection activeCell="E1" sqref="E1"/>
    </sheetView>
  </sheetViews>
  <sheetFormatPr defaultRowHeight="14.5" x14ac:dyDescent="0.35"/>
  <cols>
    <col min="1" max="1" width="35" bestFit="1" customWidth="1"/>
    <col min="2" max="2" width="8" bestFit="1" customWidth="1"/>
    <col min="3" max="3" width="7.453125" bestFit="1" customWidth="1"/>
    <col min="4" max="4" width="16.1796875" bestFit="1" customWidth="1"/>
    <col min="5" max="5" width="42.26953125" bestFit="1" customWidth="1"/>
    <col min="6" max="6" width="10.90625" bestFit="1" customWidth="1"/>
    <col min="7" max="7" width="21.26953125" bestFit="1" customWidth="1"/>
    <col min="8" max="8" width="14.36328125" bestFit="1" customWidth="1"/>
    <col min="9" max="9" width="10.453125" bestFit="1" customWidth="1"/>
    <col min="10" max="10" width="14.26953125" bestFit="1" customWidth="1"/>
    <col min="11" max="11" width="11.54296875" style="2" bestFit="1" customWidth="1"/>
    <col min="12" max="12" width="18.08984375" style="2" bestFit="1" customWidth="1"/>
    <col min="13" max="13" width="15.6328125" style="2" bestFit="1" customWidth="1"/>
    <col min="14" max="14" width="17" style="2" bestFit="1" customWidth="1"/>
    <col min="15" max="15" width="16.08984375" style="2" bestFit="1" customWidth="1"/>
    <col min="16" max="16" width="19.453125" bestFit="1" customWidth="1"/>
    <col min="17" max="17" width="13.453125" bestFit="1" customWidth="1"/>
    <col min="18" max="18" width="11.08984375" bestFit="1" customWidth="1"/>
    <col min="19" max="19" width="13.6328125" bestFit="1" customWidth="1"/>
    <col min="20" max="20" width="6.81640625" bestFit="1" customWidth="1"/>
    <col min="21" max="21" width="10" bestFit="1" customWidth="1"/>
    <col min="22" max="22" width="18.1796875" bestFit="1" customWidth="1"/>
    <col min="23" max="23" width="17.26953125" bestFit="1" customWidth="1"/>
    <col min="24" max="24" width="13" bestFit="1" customWidth="1"/>
    <col min="25" max="25" width="10.08984375" bestFit="1" customWidth="1"/>
    <col min="26" max="26" width="11.1796875" bestFit="1" customWidth="1"/>
    <col min="27" max="27" width="9.26953125" bestFit="1" customWidth="1"/>
    <col min="28" max="28" width="14.26953125" bestFit="1" customWidth="1"/>
    <col min="29" max="29" width="21.08984375" bestFit="1" customWidth="1"/>
    <col min="30" max="30" width="70.26953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 t="s">
        <v>1069</v>
      </c>
      <c r="C2" t="s">
        <v>522</v>
      </c>
      <c r="D2" t="s">
        <v>1070</v>
      </c>
      <c r="E2" t="s">
        <v>1071</v>
      </c>
      <c r="F2" t="s">
        <v>1072</v>
      </c>
      <c r="G2" t="s">
        <v>1073</v>
      </c>
      <c r="H2" t="s">
        <v>37</v>
      </c>
      <c r="I2" t="s">
        <v>39</v>
      </c>
      <c r="J2" t="s">
        <v>39</v>
      </c>
      <c r="K2" s="2">
        <v>46033</v>
      </c>
      <c r="L2" s="2">
        <v>46053</v>
      </c>
      <c r="M2" s="2">
        <v>46053</v>
      </c>
      <c r="N2" s="2">
        <v>46023</v>
      </c>
      <c r="O2" s="2">
        <v>46388</v>
      </c>
      <c r="P2">
        <v>12</v>
      </c>
      <c r="Q2" t="s">
        <v>65</v>
      </c>
      <c r="R2" t="s">
        <v>88</v>
      </c>
      <c r="S2" t="s">
        <v>89</v>
      </c>
      <c r="T2" t="s">
        <v>55</v>
      </c>
      <c r="U2" t="s">
        <v>44</v>
      </c>
      <c r="V2" t="s">
        <v>74</v>
      </c>
      <c r="W2" t="s">
        <v>58</v>
      </c>
      <c r="X2" t="s">
        <v>158</v>
      </c>
      <c r="Y2">
        <v>145103.84</v>
      </c>
      <c r="Z2">
        <v>145103.84</v>
      </c>
      <c r="AA2">
        <v>1</v>
      </c>
      <c r="AB2" t="s">
        <v>39</v>
      </c>
      <c r="AC2" t="s">
        <v>39</v>
      </c>
      <c r="AD2" t="s">
        <v>48</v>
      </c>
    </row>
    <row r="3" spans="1:30" x14ac:dyDescent="0.35">
      <c r="A3" t="s">
        <v>30</v>
      </c>
      <c r="B3" t="s">
        <v>1069</v>
      </c>
      <c r="C3" t="s">
        <v>522</v>
      </c>
      <c r="D3" t="s">
        <v>1074</v>
      </c>
      <c r="E3" t="s">
        <v>553</v>
      </c>
      <c r="F3" t="s">
        <v>554</v>
      </c>
      <c r="G3" t="s">
        <v>555</v>
      </c>
      <c r="H3" t="s">
        <v>37</v>
      </c>
      <c r="I3" t="s">
        <v>39</v>
      </c>
      <c r="J3" t="s">
        <v>39</v>
      </c>
      <c r="K3" s="2">
        <v>46035</v>
      </c>
      <c r="L3" s="2">
        <v>46053</v>
      </c>
      <c r="M3" s="2">
        <v>46053</v>
      </c>
      <c r="N3" s="2">
        <v>46023</v>
      </c>
      <c r="O3" s="2">
        <v>46388</v>
      </c>
      <c r="P3">
        <v>12</v>
      </c>
      <c r="Q3" t="s">
        <v>40</v>
      </c>
      <c r="R3" t="s">
        <v>88</v>
      </c>
      <c r="S3" t="s">
        <v>89</v>
      </c>
      <c r="T3" t="s">
        <v>55</v>
      </c>
      <c r="U3" t="s">
        <v>56</v>
      </c>
      <c r="V3" t="s">
        <v>119</v>
      </c>
      <c r="W3" t="s">
        <v>75</v>
      </c>
      <c r="X3" t="s">
        <v>91</v>
      </c>
      <c r="Y3">
        <v>131826.26</v>
      </c>
      <c r="Z3">
        <v>131826.26</v>
      </c>
      <c r="AA3">
        <v>1</v>
      </c>
      <c r="AB3" t="s">
        <v>39</v>
      </c>
      <c r="AC3" t="s">
        <v>39</v>
      </c>
      <c r="AD3" t="s">
        <v>48</v>
      </c>
    </row>
    <row r="4" spans="1:30" x14ac:dyDescent="0.35">
      <c r="A4" t="s">
        <v>30</v>
      </c>
      <c r="B4" t="s">
        <v>1069</v>
      </c>
      <c r="C4" t="s">
        <v>522</v>
      </c>
      <c r="D4" t="s">
        <v>1075</v>
      </c>
      <c r="E4" t="s">
        <v>1076</v>
      </c>
      <c r="F4" t="s">
        <v>1077</v>
      </c>
      <c r="G4" t="s">
        <v>1078</v>
      </c>
      <c r="H4" t="s">
        <v>37</v>
      </c>
      <c r="I4" t="s">
        <v>39</v>
      </c>
      <c r="J4" t="s">
        <v>39</v>
      </c>
      <c r="K4" s="2">
        <v>46026</v>
      </c>
      <c r="L4" s="2">
        <v>46053</v>
      </c>
      <c r="M4" s="2">
        <v>46053</v>
      </c>
      <c r="N4" s="2">
        <v>46023</v>
      </c>
      <c r="O4" s="2">
        <v>46388</v>
      </c>
      <c r="P4">
        <v>12</v>
      </c>
      <c r="Q4" t="s">
        <v>40</v>
      </c>
      <c r="R4" t="s">
        <v>41</v>
      </c>
      <c r="S4" t="s">
        <v>164</v>
      </c>
      <c r="T4" t="s">
        <v>55</v>
      </c>
      <c r="U4" t="s">
        <v>44</v>
      </c>
      <c r="V4" t="s">
        <v>67</v>
      </c>
      <c r="W4" t="s">
        <v>150</v>
      </c>
      <c r="X4" t="s">
        <v>125</v>
      </c>
      <c r="Y4">
        <v>180879.68</v>
      </c>
      <c r="Z4">
        <v>180879.68</v>
      </c>
      <c r="AA4">
        <v>1</v>
      </c>
      <c r="AB4" t="s">
        <v>39</v>
      </c>
      <c r="AC4" t="s">
        <v>39</v>
      </c>
      <c r="AD4" t="s">
        <v>48</v>
      </c>
    </row>
    <row r="5" spans="1:30" x14ac:dyDescent="0.35">
      <c r="A5" t="s">
        <v>30</v>
      </c>
      <c r="B5" t="s">
        <v>1069</v>
      </c>
      <c r="C5" t="s">
        <v>522</v>
      </c>
      <c r="D5" t="s">
        <v>1079</v>
      </c>
      <c r="E5" t="s">
        <v>1080</v>
      </c>
      <c r="F5" t="s">
        <v>393</v>
      </c>
      <c r="G5" t="s">
        <v>394</v>
      </c>
      <c r="H5" t="s">
        <v>37</v>
      </c>
      <c r="I5" t="s">
        <v>39</v>
      </c>
      <c r="J5" t="s">
        <v>39</v>
      </c>
      <c r="K5" s="2">
        <v>46023</v>
      </c>
      <c r="L5" s="2">
        <v>46053</v>
      </c>
      <c r="M5" s="2">
        <v>46053</v>
      </c>
      <c r="N5" s="2">
        <v>46023</v>
      </c>
      <c r="O5" s="2">
        <v>46753</v>
      </c>
      <c r="P5">
        <v>24</v>
      </c>
      <c r="Q5" t="s">
        <v>104</v>
      </c>
      <c r="R5" t="s">
        <v>88</v>
      </c>
      <c r="S5" t="s">
        <v>66</v>
      </c>
      <c r="T5" t="s">
        <v>55</v>
      </c>
      <c r="U5" t="s">
        <v>44</v>
      </c>
      <c r="V5" t="s">
        <v>138</v>
      </c>
      <c r="W5" t="s">
        <v>142</v>
      </c>
      <c r="X5" t="s">
        <v>83</v>
      </c>
      <c r="Y5">
        <v>140388.87</v>
      </c>
      <c r="Z5">
        <v>140388.87</v>
      </c>
      <c r="AA5">
        <v>1</v>
      </c>
      <c r="AB5" t="s">
        <v>39</v>
      </c>
      <c r="AC5" t="s">
        <v>39</v>
      </c>
      <c r="AD5" t="s">
        <v>48</v>
      </c>
    </row>
    <row r="6" spans="1:30" x14ac:dyDescent="0.35">
      <c r="A6" t="s">
        <v>30</v>
      </c>
      <c r="B6" t="s">
        <v>1069</v>
      </c>
      <c r="C6" t="s">
        <v>522</v>
      </c>
      <c r="D6" t="s">
        <v>1081</v>
      </c>
      <c r="E6" t="s">
        <v>1082</v>
      </c>
      <c r="F6" t="s">
        <v>1083</v>
      </c>
      <c r="G6" t="s">
        <v>1084</v>
      </c>
      <c r="H6" t="s">
        <v>37</v>
      </c>
      <c r="I6" t="s">
        <v>39</v>
      </c>
      <c r="J6" t="s">
        <v>39</v>
      </c>
      <c r="K6" s="2">
        <v>46024</v>
      </c>
      <c r="L6" s="2">
        <v>46053</v>
      </c>
      <c r="M6" s="2">
        <v>46053</v>
      </c>
      <c r="N6" s="2">
        <v>46023</v>
      </c>
      <c r="O6" s="2">
        <v>46388</v>
      </c>
      <c r="P6">
        <v>12</v>
      </c>
      <c r="Q6" t="s">
        <v>65</v>
      </c>
      <c r="R6" t="s">
        <v>88</v>
      </c>
      <c r="S6" t="s">
        <v>222</v>
      </c>
      <c r="T6" t="s">
        <v>97</v>
      </c>
      <c r="U6" t="s">
        <v>44</v>
      </c>
      <c r="V6" t="s">
        <v>138</v>
      </c>
      <c r="W6" t="s">
        <v>75</v>
      </c>
      <c r="X6" t="s">
        <v>59</v>
      </c>
      <c r="Y6">
        <v>169231.7</v>
      </c>
      <c r="Z6">
        <v>169231.7</v>
      </c>
      <c r="AA6">
        <v>1</v>
      </c>
      <c r="AB6" t="s">
        <v>39</v>
      </c>
      <c r="AC6" t="s">
        <v>39</v>
      </c>
      <c r="AD6" t="s">
        <v>48</v>
      </c>
    </row>
    <row r="7" spans="1:30" x14ac:dyDescent="0.35">
      <c r="A7" t="s">
        <v>30</v>
      </c>
      <c r="B7" t="s">
        <v>1069</v>
      </c>
      <c r="C7" t="s">
        <v>522</v>
      </c>
      <c r="D7" t="s">
        <v>1085</v>
      </c>
      <c r="E7" t="s">
        <v>1086</v>
      </c>
      <c r="F7" t="s">
        <v>1087</v>
      </c>
      <c r="G7" t="s">
        <v>1088</v>
      </c>
      <c r="H7" t="s">
        <v>37</v>
      </c>
      <c r="I7" t="s">
        <v>39</v>
      </c>
      <c r="J7" t="s">
        <v>39</v>
      </c>
      <c r="K7" s="2">
        <v>46023</v>
      </c>
      <c r="L7" s="2">
        <v>46053</v>
      </c>
      <c r="M7" s="2">
        <v>46053</v>
      </c>
      <c r="N7" s="2">
        <v>46023</v>
      </c>
      <c r="O7" s="2">
        <v>46388</v>
      </c>
      <c r="P7">
        <v>12</v>
      </c>
      <c r="Q7" t="s">
        <v>104</v>
      </c>
      <c r="R7" t="s">
        <v>88</v>
      </c>
      <c r="S7" t="s">
        <v>130</v>
      </c>
      <c r="T7" t="s">
        <v>131</v>
      </c>
      <c r="U7" t="s">
        <v>56</v>
      </c>
      <c r="V7" t="s">
        <v>98</v>
      </c>
      <c r="W7" t="s">
        <v>161</v>
      </c>
      <c r="X7" t="s">
        <v>125</v>
      </c>
      <c r="Y7">
        <v>180018.32</v>
      </c>
      <c r="Z7">
        <v>180018.32</v>
      </c>
      <c r="AA7">
        <v>1</v>
      </c>
      <c r="AB7" t="s">
        <v>39</v>
      </c>
      <c r="AC7" t="s">
        <v>39</v>
      </c>
      <c r="AD7" t="s">
        <v>48</v>
      </c>
    </row>
    <row r="8" spans="1:30" x14ac:dyDescent="0.35">
      <c r="A8" t="s">
        <v>30</v>
      </c>
      <c r="B8" t="s">
        <v>1069</v>
      </c>
      <c r="C8" t="s">
        <v>522</v>
      </c>
      <c r="D8" t="s">
        <v>1089</v>
      </c>
      <c r="E8" t="s">
        <v>1090</v>
      </c>
      <c r="F8" t="s">
        <v>1091</v>
      </c>
      <c r="G8" t="s">
        <v>1092</v>
      </c>
      <c r="H8" t="s">
        <v>37</v>
      </c>
      <c r="I8" t="s">
        <v>39</v>
      </c>
      <c r="J8" t="s">
        <v>39</v>
      </c>
      <c r="K8" s="2">
        <v>46031</v>
      </c>
      <c r="L8" s="2">
        <v>46053</v>
      </c>
      <c r="M8" s="2">
        <v>46053</v>
      </c>
      <c r="N8" s="2">
        <v>46023</v>
      </c>
      <c r="O8" s="2">
        <v>46388</v>
      </c>
      <c r="P8">
        <v>12</v>
      </c>
      <c r="Q8" t="s">
        <v>65</v>
      </c>
      <c r="R8" t="s">
        <v>41</v>
      </c>
      <c r="S8" t="s">
        <v>222</v>
      </c>
      <c r="T8" t="s">
        <v>97</v>
      </c>
      <c r="U8" t="s">
        <v>44</v>
      </c>
      <c r="V8" t="s">
        <v>81</v>
      </c>
      <c r="W8" t="s">
        <v>132</v>
      </c>
      <c r="X8" t="s">
        <v>68</v>
      </c>
      <c r="Y8">
        <v>149339.12</v>
      </c>
      <c r="Z8">
        <v>149339.12</v>
      </c>
      <c r="AA8">
        <v>1</v>
      </c>
      <c r="AB8" t="s">
        <v>39</v>
      </c>
      <c r="AC8" t="s">
        <v>39</v>
      </c>
      <c r="AD8" t="s">
        <v>48</v>
      </c>
    </row>
    <row r="9" spans="1:30" x14ac:dyDescent="0.35">
      <c r="A9" t="s">
        <v>30</v>
      </c>
      <c r="B9" t="s">
        <v>1069</v>
      </c>
      <c r="C9" t="s">
        <v>522</v>
      </c>
      <c r="D9" t="s">
        <v>1093</v>
      </c>
      <c r="E9" t="s">
        <v>1094</v>
      </c>
      <c r="F9" t="s">
        <v>292</v>
      </c>
      <c r="G9" t="s">
        <v>293</v>
      </c>
      <c r="H9" t="s">
        <v>37</v>
      </c>
      <c r="I9" t="s">
        <v>39</v>
      </c>
      <c r="J9" t="s">
        <v>39</v>
      </c>
      <c r="K9" s="2">
        <v>46033</v>
      </c>
      <c r="L9" s="2">
        <v>46053</v>
      </c>
      <c r="M9" s="2">
        <v>46053</v>
      </c>
      <c r="N9" s="2">
        <v>46023</v>
      </c>
      <c r="O9" s="2">
        <v>46388</v>
      </c>
      <c r="P9">
        <v>12</v>
      </c>
      <c r="Q9" t="s">
        <v>65</v>
      </c>
      <c r="R9" t="s">
        <v>41</v>
      </c>
      <c r="S9" t="s">
        <v>130</v>
      </c>
      <c r="T9" t="s">
        <v>131</v>
      </c>
      <c r="U9" t="s">
        <v>44</v>
      </c>
      <c r="V9" t="s">
        <v>74</v>
      </c>
      <c r="W9" t="s">
        <v>46</v>
      </c>
      <c r="X9" t="s">
        <v>125</v>
      </c>
      <c r="Y9">
        <v>103212.21</v>
      </c>
      <c r="Z9">
        <v>103212.21</v>
      </c>
      <c r="AA9">
        <v>1</v>
      </c>
      <c r="AB9" t="s">
        <v>39</v>
      </c>
      <c r="AC9" t="s">
        <v>39</v>
      </c>
      <c r="AD9" t="s">
        <v>48</v>
      </c>
    </row>
    <row r="10" spans="1:30" x14ac:dyDescent="0.35">
      <c r="A10" t="s">
        <v>30</v>
      </c>
      <c r="B10" t="s">
        <v>1069</v>
      </c>
      <c r="C10" t="s">
        <v>522</v>
      </c>
      <c r="D10" t="s">
        <v>1799</v>
      </c>
      <c r="E10" t="s">
        <v>1800</v>
      </c>
      <c r="F10" t="s">
        <v>344</v>
      </c>
      <c r="G10" t="s">
        <v>345</v>
      </c>
      <c r="H10" t="s">
        <v>1271</v>
      </c>
      <c r="I10" t="s">
        <v>39</v>
      </c>
      <c r="J10" t="s">
        <v>39</v>
      </c>
      <c r="K10" s="2">
        <v>46024</v>
      </c>
      <c r="L10" s="2">
        <v>46053</v>
      </c>
      <c r="M10" s="2">
        <v>46053</v>
      </c>
      <c r="N10" s="2">
        <v>46023</v>
      </c>
      <c r="O10" s="2">
        <v>46388</v>
      </c>
      <c r="P10">
        <v>12</v>
      </c>
      <c r="Q10" t="s">
        <v>65</v>
      </c>
      <c r="R10" t="s">
        <v>41</v>
      </c>
      <c r="S10" t="s">
        <v>182</v>
      </c>
      <c r="T10" t="s">
        <v>97</v>
      </c>
      <c r="U10" t="s">
        <v>44</v>
      </c>
      <c r="V10" t="s">
        <v>57</v>
      </c>
      <c r="W10" t="s">
        <v>132</v>
      </c>
      <c r="X10" t="s">
        <v>83</v>
      </c>
      <c r="Y10">
        <v>95653.16</v>
      </c>
      <c r="Z10">
        <v>95653.16</v>
      </c>
      <c r="AA10">
        <v>1</v>
      </c>
      <c r="AB10" t="s">
        <v>39</v>
      </c>
      <c r="AC10" t="s">
        <v>39</v>
      </c>
      <c r="AD10" t="s">
        <v>48</v>
      </c>
    </row>
    <row r="11" spans="1:30" x14ac:dyDescent="0.35">
      <c r="A11" t="s">
        <v>30</v>
      </c>
      <c r="B11" t="s">
        <v>1069</v>
      </c>
      <c r="C11" t="s">
        <v>522</v>
      </c>
      <c r="D11" t="s">
        <v>1801</v>
      </c>
      <c r="E11" t="s">
        <v>1802</v>
      </c>
      <c r="F11" t="s">
        <v>1803</v>
      </c>
      <c r="G11" t="s">
        <v>1804</v>
      </c>
      <c r="H11" t="s">
        <v>1271</v>
      </c>
      <c r="I11" t="s">
        <v>39</v>
      </c>
      <c r="J11" t="s">
        <v>39</v>
      </c>
      <c r="K11" s="2">
        <v>46027</v>
      </c>
      <c r="L11" s="2">
        <v>46053</v>
      </c>
      <c r="M11" s="2">
        <v>46053</v>
      </c>
      <c r="N11" s="2">
        <v>46023</v>
      </c>
      <c r="O11" s="2">
        <v>46388</v>
      </c>
      <c r="P11">
        <v>12</v>
      </c>
      <c r="Q11" t="s">
        <v>65</v>
      </c>
      <c r="R11" t="s">
        <v>88</v>
      </c>
      <c r="S11" t="s">
        <v>140</v>
      </c>
      <c r="T11" t="s">
        <v>97</v>
      </c>
      <c r="U11" t="s">
        <v>106</v>
      </c>
      <c r="V11" t="s">
        <v>57</v>
      </c>
      <c r="W11" t="s">
        <v>82</v>
      </c>
      <c r="X11" t="s">
        <v>83</v>
      </c>
      <c r="Y11">
        <v>176441.47</v>
      </c>
      <c r="Z11">
        <v>176441.47</v>
      </c>
      <c r="AA11">
        <v>1</v>
      </c>
      <c r="AB11" t="s">
        <v>39</v>
      </c>
      <c r="AC11" t="s">
        <v>39</v>
      </c>
      <c r="AD11" t="s">
        <v>48</v>
      </c>
    </row>
    <row r="12" spans="1:30" x14ac:dyDescent="0.35">
      <c r="A12" t="s">
        <v>30</v>
      </c>
      <c r="B12" t="s">
        <v>1069</v>
      </c>
      <c r="C12" t="s">
        <v>522</v>
      </c>
      <c r="D12" t="s">
        <v>1805</v>
      </c>
      <c r="E12" t="s">
        <v>1806</v>
      </c>
      <c r="F12" t="s">
        <v>330</v>
      </c>
      <c r="G12" t="s">
        <v>331</v>
      </c>
      <c r="H12" t="s">
        <v>1271</v>
      </c>
      <c r="I12" t="s">
        <v>39</v>
      </c>
      <c r="J12" t="s">
        <v>39</v>
      </c>
      <c r="K12" s="2">
        <v>46028</v>
      </c>
      <c r="L12" s="2">
        <v>46053</v>
      </c>
      <c r="M12" s="2">
        <v>46053</v>
      </c>
      <c r="N12" s="2">
        <v>46023</v>
      </c>
      <c r="O12" s="2">
        <v>46388</v>
      </c>
      <c r="P12">
        <v>12</v>
      </c>
      <c r="Q12" t="s">
        <v>104</v>
      </c>
      <c r="R12" t="s">
        <v>88</v>
      </c>
      <c r="S12" t="s">
        <v>80</v>
      </c>
      <c r="T12" t="s">
        <v>43</v>
      </c>
      <c r="U12" t="s">
        <v>56</v>
      </c>
      <c r="V12" t="s">
        <v>144</v>
      </c>
      <c r="W12" t="s">
        <v>46</v>
      </c>
      <c r="X12" t="s">
        <v>125</v>
      </c>
      <c r="Y12">
        <v>170715.56</v>
      </c>
      <c r="Z12">
        <v>170715.56</v>
      </c>
      <c r="AA12">
        <v>1</v>
      </c>
      <c r="AB12" t="s">
        <v>39</v>
      </c>
      <c r="AC12" t="s">
        <v>39</v>
      </c>
      <c r="AD12" t="s">
        <v>48</v>
      </c>
    </row>
    <row r="13" spans="1:30" x14ac:dyDescent="0.35">
      <c r="A13" t="s">
        <v>30</v>
      </c>
      <c r="B13" t="s">
        <v>1069</v>
      </c>
      <c r="C13" t="s">
        <v>522</v>
      </c>
      <c r="D13" t="s">
        <v>1807</v>
      </c>
      <c r="E13" t="s">
        <v>1808</v>
      </c>
      <c r="F13" t="s">
        <v>562</v>
      </c>
      <c r="G13" t="s">
        <v>563</v>
      </c>
      <c r="H13" t="s">
        <v>1271</v>
      </c>
      <c r="I13" t="s">
        <v>39</v>
      </c>
      <c r="J13" t="s">
        <v>39</v>
      </c>
      <c r="K13" s="2">
        <v>46033</v>
      </c>
      <c r="L13" s="2">
        <v>46053</v>
      </c>
      <c r="M13" s="2">
        <v>46053</v>
      </c>
      <c r="N13" s="2">
        <v>46023</v>
      </c>
      <c r="O13" s="2">
        <v>46388</v>
      </c>
      <c r="P13">
        <v>12</v>
      </c>
      <c r="Q13" t="s">
        <v>65</v>
      </c>
      <c r="R13" t="s">
        <v>53</v>
      </c>
      <c r="S13" t="s">
        <v>130</v>
      </c>
      <c r="T13" t="s">
        <v>131</v>
      </c>
      <c r="U13" t="s">
        <v>56</v>
      </c>
      <c r="V13" t="s">
        <v>57</v>
      </c>
      <c r="W13" t="s">
        <v>46</v>
      </c>
      <c r="X13" t="s">
        <v>47</v>
      </c>
      <c r="Y13">
        <v>109885.47</v>
      </c>
      <c r="Z13">
        <v>109885.47</v>
      </c>
      <c r="AA13">
        <v>1</v>
      </c>
      <c r="AB13" t="s">
        <v>39</v>
      </c>
      <c r="AC13" t="s">
        <v>39</v>
      </c>
      <c r="AD13" t="s">
        <v>48</v>
      </c>
    </row>
    <row r="14" spans="1:30" x14ac:dyDescent="0.35">
      <c r="A14" t="s">
        <v>30</v>
      </c>
      <c r="B14" t="s">
        <v>1069</v>
      </c>
      <c r="C14" t="s">
        <v>522</v>
      </c>
      <c r="D14" t="s">
        <v>1809</v>
      </c>
      <c r="E14" t="s">
        <v>1810</v>
      </c>
      <c r="F14" t="s">
        <v>1811</v>
      </c>
      <c r="G14" t="s">
        <v>1812</v>
      </c>
      <c r="H14" t="s">
        <v>1271</v>
      </c>
      <c r="I14" t="s">
        <v>39</v>
      </c>
      <c r="J14" t="s">
        <v>39</v>
      </c>
      <c r="K14" s="2">
        <v>46023</v>
      </c>
      <c r="L14" s="2">
        <v>46053</v>
      </c>
      <c r="M14" s="2">
        <v>46053</v>
      </c>
      <c r="N14" s="2">
        <v>46023</v>
      </c>
      <c r="O14" s="2">
        <v>46388</v>
      </c>
      <c r="P14">
        <v>12</v>
      </c>
      <c r="Q14" t="s">
        <v>65</v>
      </c>
      <c r="R14" t="s">
        <v>88</v>
      </c>
      <c r="S14" t="s">
        <v>163</v>
      </c>
      <c r="T14" t="s">
        <v>131</v>
      </c>
      <c r="U14" t="s">
        <v>44</v>
      </c>
      <c r="V14" t="s">
        <v>138</v>
      </c>
      <c r="W14" t="s">
        <v>142</v>
      </c>
      <c r="X14" t="s">
        <v>59</v>
      </c>
      <c r="Y14">
        <v>97304.34</v>
      </c>
      <c r="Z14">
        <v>97304.34</v>
      </c>
      <c r="AA14">
        <v>1</v>
      </c>
      <c r="AB14" t="s">
        <v>39</v>
      </c>
      <c r="AC14" t="s">
        <v>39</v>
      </c>
      <c r="AD14" t="s">
        <v>48</v>
      </c>
    </row>
    <row r="15" spans="1:30" x14ac:dyDescent="0.35">
      <c r="A15" t="s">
        <v>30</v>
      </c>
      <c r="B15" t="s">
        <v>1069</v>
      </c>
      <c r="C15" t="s">
        <v>522</v>
      </c>
      <c r="D15" t="s">
        <v>1813</v>
      </c>
      <c r="E15" t="s">
        <v>1814</v>
      </c>
      <c r="F15" t="s">
        <v>1815</v>
      </c>
      <c r="G15" t="s">
        <v>1816</v>
      </c>
      <c r="H15" t="s">
        <v>1290</v>
      </c>
      <c r="I15" t="s">
        <v>64</v>
      </c>
      <c r="J15" t="s">
        <v>1290</v>
      </c>
      <c r="K15" s="2">
        <v>46028</v>
      </c>
      <c r="L15" s="2">
        <v>46053</v>
      </c>
      <c r="N15" s="2">
        <v>46023</v>
      </c>
      <c r="O15" s="2">
        <v>46388</v>
      </c>
      <c r="P15">
        <v>12</v>
      </c>
      <c r="Q15" t="s">
        <v>65</v>
      </c>
      <c r="R15" t="s">
        <v>53</v>
      </c>
      <c r="S15" t="s">
        <v>42</v>
      </c>
      <c r="T15" t="s">
        <v>43</v>
      </c>
      <c r="U15" t="s">
        <v>44</v>
      </c>
      <c r="V15" t="s">
        <v>138</v>
      </c>
      <c r="W15" t="s">
        <v>82</v>
      </c>
      <c r="X15" t="s">
        <v>125</v>
      </c>
      <c r="Y15">
        <v>180000</v>
      </c>
      <c r="Z15">
        <v>180000</v>
      </c>
      <c r="AA15">
        <v>1</v>
      </c>
      <c r="AB15" t="s">
        <v>1290</v>
      </c>
      <c r="AC15" t="s">
        <v>1290</v>
      </c>
      <c r="AD15" t="s">
        <v>48</v>
      </c>
    </row>
    <row r="16" spans="1:30" x14ac:dyDescent="0.35">
      <c r="A16" t="s">
        <v>30</v>
      </c>
      <c r="B16" t="s">
        <v>1069</v>
      </c>
      <c r="C16" t="s">
        <v>522</v>
      </c>
      <c r="D16" t="s">
        <v>1817</v>
      </c>
      <c r="E16" t="s">
        <v>1818</v>
      </c>
      <c r="F16" t="s">
        <v>1819</v>
      </c>
      <c r="G16" t="s">
        <v>1820</v>
      </c>
      <c r="H16" t="s">
        <v>1295</v>
      </c>
      <c r="I16" t="s">
        <v>38</v>
      </c>
      <c r="J16" t="s">
        <v>1295</v>
      </c>
      <c r="K16" s="2">
        <v>46035</v>
      </c>
      <c r="L16" s="2">
        <v>46053</v>
      </c>
      <c r="N16" s="2">
        <v>46023</v>
      </c>
      <c r="O16" s="2">
        <v>46388</v>
      </c>
      <c r="P16">
        <v>12</v>
      </c>
      <c r="Q16" t="s">
        <v>65</v>
      </c>
      <c r="R16" t="s">
        <v>41</v>
      </c>
      <c r="S16" t="s">
        <v>140</v>
      </c>
      <c r="T16" t="s">
        <v>97</v>
      </c>
      <c r="U16" t="s">
        <v>56</v>
      </c>
      <c r="V16" t="s">
        <v>57</v>
      </c>
      <c r="W16" t="s">
        <v>150</v>
      </c>
      <c r="X16" t="s">
        <v>47</v>
      </c>
      <c r="Y16">
        <v>194893.43</v>
      </c>
      <c r="Z16">
        <v>194893.43</v>
      </c>
      <c r="AA16">
        <v>1</v>
      </c>
      <c r="AB16" t="s">
        <v>1295</v>
      </c>
      <c r="AC16" t="s">
        <v>1295</v>
      </c>
      <c r="AD16" t="s">
        <v>48</v>
      </c>
    </row>
    <row r="17" spans="1:30" x14ac:dyDescent="0.35">
      <c r="A17" t="s">
        <v>30</v>
      </c>
      <c r="B17" t="s">
        <v>1069</v>
      </c>
      <c r="C17" t="s">
        <v>522</v>
      </c>
      <c r="D17" t="s">
        <v>1821</v>
      </c>
      <c r="E17" t="s">
        <v>1822</v>
      </c>
      <c r="F17" t="s">
        <v>1545</v>
      </c>
      <c r="G17" t="s">
        <v>1546</v>
      </c>
      <c r="H17" t="s">
        <v>1295</v>
      </c>
      <c r="I17" t="s">
        <v>64</v>
      </c>
      <c r="J17" t="s">
        <v>1295</v>
      </c>
      <c r="K17" s="2">
        <v>46031</v>
      </c>
      <c r="L17" s="2">
        <v>46053</v>
      </c>
      <c r="N17" s="2">
        <v>46023</v>
      </c>
      <c r="O17" s="2">
        <v>46388</v>
      </c>
      <c r="P17">
        <v>12</v>
      </c>
      <c r="Q17" t="s">
        <v>40</v>
      </c>
      <c r="R17" t="s">
        <v>41</v>
      </c>
      <c r="S17" t="s">
        <v>66</v>
      </c>
      <c r="T17" t="s">
        <v>55</v>
      </c>
      <c r="U17" t="s">
        <v>44</v>
      </c>
      <c r="V17" t="s">
        <v>144</v>
      </c>
      <c r="W17" t="s">
        <v>150</v>
      </c>
      <c r="X17" t="s">
        <v>125</v>
      </c>
      <c r="Y17">
        <v>225106.57</v>
      </c>
      <c r="Z17">
        <v>225106.57</v>
      </c>
      <c r="AA17">
        <v>1</v>
      </c>
      <c r="AB17" t="s">
        <v>1295</v>
      </c>
      <c r="AC17" t="s">
        <v>1295</v>
      </c>
      <c r="AD17" t="s">
        <v>48</v>
      </c>
    </row>
    <row r="18" spans="1:30" x14ac:dyDescent="0.35">
      <c r="A18" t="s">
        <v>30</v>
      </c>
      <c r="B18" t="s">
        <v>1069</v>
      </c>
      <c r="C18" t="s">
        <v>522</v>
      </c>
      <c r="D18" t="s">
        <v>1823</v>
      </c>
      <c r="E18" t="s">
        <v>1824</v>
      </c>
      <c r="F18" t="s">
        <v>1825</v>
      </c>
      <c r="G18" t="s">
        <v>1826</v>
      </c>
      <c r="H18" t="s">
        <v>1302</v>
      </c>
      <c r="I18" t="s">
        <v>39</v>
      </c>
      <c r="J18" t="s">
        <v>39</v>
      </c>
      <c r="K18" s="2">
        <v>46033</v>
      </c>
      <c r="L18" s="2">
        <v>46053</v>
      </c>
      <c r="M18" s="2">
        <v>46053</v>
      </c>
      <c r="N18" s="2">
        <v>46023</v>
      </c>
      <c r="O18" s="2">
        <v>46753</v>
      </c>
      <c r="P18">
        <v>24</v>
      </c>
      <c r="Q18" t="s">
        <v>65</v>
      </c>
      <c r="R18" t="s">
        <v>53</v>
      </c>
      <c r="S18" t="s">
        <v>135</v>
      </c>
      <c r="T18" t="s">
        <v>131</v>
      </c>
      <c r="U18" t="s">
        <v>56</v>
      </c>
      <c r="V18" t="s">
        <v>45</v>
      </c>
      <c r="W18" t="s">
        <v>75</v>
      </c>
      <c r="X18" t="s">
        <v>143</v>
      </c>
      <c r="Y18">
        <v>60000</v>
      </c>
      <c r="Z18">
        <v>60000</v>
      </c>
      <c r="AA18">
        <v>1</v>
      </c>
      <c r="AB18" t="s">
        <v>39</v>
      </c>
      <c r="AC18" t="s">
        <v>39</v>
      </c>
      <c r="AD18" t="s">
        <v>48</v>
      </c>
    </row>
    <row r="19" spans="1:30" x14ac:dyDescent="0.35">
      <c r="A19" t="s">
        <v>30</v>
      </c>
      <c r="B19" t="s">
        <v>1069</v>
      </c>
      <c r="C19" t="s">
        <v>564</v>
      </c>
      <c r="D19" t="s">
        <v>1097</v>
      </c>
      <c r="E19" t="s">
        <v>1098</v>
      </c>
      <c r="F19" t="s">
        <v>560</v>
      </c>
      <c r="G19" t="s">
        <v>561</v>
      </c>
      <c r="H19" t="s">
        <v>37</v>
      </c>
      <c r="I19" t="s">
        <v>39</v>
      </c>
      <c r="J19" t="s">
        <v>39</v>
      </c>
      <c r="K19" s="2">
        <v>46056</v>
      </c>
      <c r="L19" s="2">
        <v>46081</v>
      </c>
      <c r="M19" s="2">
        <v>46081</v>
      </c>
      <c r="N19" s="2">
        <v>46054</v>
      </c>
      <c r="O19" s="2">
        <v>46419</v>
      </c>
      <c r="P19">
        <v>12</v>
      </c>
      <c r="Q19" t="s">
        <v>104</v>
      </c>
      <c r="R19" t="s">
        <v>41</v>
      </c>
      <c r="S19" t="s">
        <v>149</v>
      </c>
      <c r="T19" t="s">
        <v>131</v>
      </c>
      <c r="U19" t="s">
        <v>44</v>
      </c>
      <c r="V19" t="s">
        <v>138</v>
      </c>
      <c r="W19" t="s">
        <v>132</v>
      </c>
      <c r="X19" t="s">
        <v>158</v>
      </c>
      <c r="Y19">
        <v>113785.04</v>
      </c>
      <c r="Z19">
        <v>113785.04</v>
      </c>
      <c r="AA19">
        <v>1</v>
      </c>
      <c r="AB19" t="s">
        <v>39</v>
      </c>
      <c r="AC19" t="s">
        <v>39</v>
      </c>
      <c r="AD19" t="s">
        <v>48</v>
      </c>
    </row>
    <row r="20" spans="1:30" x14ac:dyDescent="0.35">
      <c r="A20" t="s">
        <v>30</v>
      </c>
      <c r="B20" t="s">
        <v>1069</v>
      </c>
      <c r="C20" t="s">
        <v>564</v>
      </c>
      <c r="D20" t="s">
        <v>1099</v>
      </c>
      <c r="E20" t="s">
        <v>1100</v>
      </c>
      <c r="F20" t="s">
        <v>937</v>
      </c>
      <c r="G20" t="s">
        <v>938</v>
      </c>
      <c r="H20" t="s">
        <v>37</v>
      </c>
      <c r="I20" t="s">
        <v>39</v>
      </c>
      <c r="J20" t="s">
        <v>39</v>
      </c>
      <c r="K20" s="2">
        <v>46058</v>
      </c>
      <c r="L20" s="2">
        <v>46081</v>
      </c>
      <c r="M20" s="2">
        <v>46081</v>
      </c>
      <c r="N20" s="2">
        <v>46054</v>
      </c>
      <c r="O20" s="2">
        <v>46419</v>
      </c>
      <c r="P20">
        <v>12</v>
      </c>
      <c r="Q20" t="s">
        <v>40</v>
      </c>
      <c r="R20" t="s">
        <v>53</v>
      </c>
      <c r="S20" t="s">
        <v>96</v>
      </c>
      <c r="T20" t="s">
        <v>97</v>
      </c>
      <c r="U20" t="s">
        <v>56</v>
      </c>
      <c r="V20" t="s">
        <v>74</v>
      </c>
      <c r="W20" t="s">
        <v>75</v>
      </c>
      <c r="X20" t="s">
        <v>68</v>
      </c>
      <c r="Y20">
        <v>118003.92</v>
      </c>
      <c r="Z20">
        <v>118003.92</v>
      </c>
      <c r="AA20">
        <v>1</v>
      </c>
      <c r="AB20" t="s">
        <v>39</v>
      </c>
      <c r="AC20" t="s">
        <v>39</v>
      </c>
      <c r="AD20" t="s">
        <v>48</v>
      </c>
    </row>
    <row r="21" spans="1:30" x14ac:dyDescent="0.35">
      <c r="A21" t="s">
        <v>30</v>
      </c>
      <c r="B21" t="s">
        <v>1069</v>
      </c>
      <c r="C21" t="s">
        <v>564</v>
      </c>
      <c r="D21" t="s">
        <v>1101</v>
      </c>
      <c r="E21" t="s">
        <v>1102</v>
      </c>
      <c r="F21" t="s">
        <v>1103</v>
      </c>
      <c r="G21" t="s">
        <v>1104</v>
      </c>
      <c r="H21" t="s">
        <v>37</v>
      </c>
      <c r="I21" t="s">
        <v>39</v>
      </c>
      <c r="J21" t="s">
        <v>39</v>
      </c>
      <c r="K21" s="2">
        <v>46064</v>
      </c>
      <c r="L21" s="2">
        <v>46081</v>
      </c>
      <c r="M21" s="2">
        <v>46081</v>
      </c>
      <c r="N21" s="2">
        <v>46054</v>
      </c>
      <c r="O21" s="2">
        <v>46419</v>
      </c>
      <c r="P21">
        <v>12</v>
      </c>
      <c r="Q21" t="s">
        <v>40</v>
      </c>
      <c r="R21" t="s">
        <v>88</v>
      </c>
      <c r="S21" t="s">
        <v>96</v>
      </c>
      <c r="T21" t="s">
        <v>97</v>
      </c>
      <c r="U21" t="s">
        <v>44</v>
      </c>
      <c r="V21" t="s">
        <v>119</v>
      </c>
      <c r="W21" t="s">
        <v>161</v>
      </c>
      <c r="X21" t="s">
        <v>68</v>
      </c>
      <c r="Y21">
        <v>117099.8</v>
      </c>
      <c r="Z21">
        <v>117099.8</v>
      </c>
      <c r="AA21">
        <v>1</v>
      </c>
      <c r="AB21" t="s">
        <v>39</v>
      </c>
      <c r="AC21" t="s">
        <v>39</v>
      </c>
      <c r="AD21" t="s">
        <v>48</v>
      </c>
    </row>
    <row r="22" spans="1:30" x14ac:dyDescent="0.35">
      <c r="A22" t="s">
        <v>30</v>
      </c>
      <c r="B22" t="s">
        <v>1069</v>
      </c>
      <c r="C22" t="s">
        <v>564</v>
      </c>
      <c r="D22" t="s">
        <v>1105</v>
      </c>
      <c r="E22" t="s">
        <v>1106</v>
      </c>
      <c r="F22" t="s">
        <v>1107</v>
      </c>
      <c r="G22" t="s">
        <v>1108</v>
      </c>
      <c r="H22" t="s">
        <v>37</v>
      </c>
      <c r="I22" t="s">
        <v>39</v>
      </c>
      <c r="J22" t="s">
        <v>39</v>
      </c>
      <c r="K22" s="2">
        <v>46066</v>
      </c>
      <c r="L22" s="2">
        <v>46081</v>
      </c>
      <c r="M22" s="2">
        <v>46081</v>
      </c>
      <c r="N22" s="2">
        <v>46054</v>
      </c>
      <c r="O22" s="2">
        <v>46419</v>
      </c>
      <c r="P22">
        <v>12</v>
      </c>
      <c r="Q22" t="s">
        <v>104</v>
      </c>
      <c r="R22" t="s">
        <v>41</v>
      </c>
      <c r="S22" t="s">
        <v>118</v>
      </c>
      <c r="T22" t="s">
        <v>97</v>
      </c>
      <c r="U22" t="s">
        <v>56</v>
      </c>
      <c r="V22" t="s">
        <v>57</v>
      </c>
      <c r="W22" t="s">
        <v>136</v>
      </c>
      <c r="X22" t="s">
        <v>83</v>
      </c>
      <c r="Y22">
        <v>167662.12</v>
      </c>
      <c r="Z22">
        <v>167662.12</v>
      </c>
      <c r="AA22">
        <v>1</v>
      </c>
      <c r="AB22" t="s">
        <v>39</v>
      </c>
      <c r="AC22" t="s">
        <v>39</v>
      </c>
      <c r="AD22" t="s">
        <v>48</v>
      </c>
    </row>
    <row r="23" spans="1:30" x14ac:dyDescent="0.35">
      <c r="A23" t="s">
        <v>30</v>
      </c>
      <c r="B23" t="s">
        <v>1069</v>
      </c>
      <c r="C23" t="s">
        <v>564</v>
      </c>
      <c r="D23" t="s">
        <v>1109</v>
      </c>
      <c r="E23" t="s">
        <v>1110</v>
      </c>
      <c r="F23" t="s">
        <v>1111</v>
      </c>
      <c r="G23" t="s">
        <v>1112</v>
      </c>
      <c r="H23" t="s">
        <v>37</v>
      </c>
      <c r="I23" t="s">
        <v>39</v>
      </c>
      <c r="J23" t="s">
        <v>39</v>
      </c>
      <c r="K23" s="2">
        <v>46058</v>
      </c>
      <c r="L23" s="2">
        <v>46081</v>
      </c>
      <c r="M23" s="2">
        <v>46081</v>
      </c>
      <c r="N23" s="2">
        <v>46054</v>
      </c>
      <c r="O23" s="2">
        <v>46419</v>
      </c>
      <c r="P23">
        <v>12</v>
      </c>
      <c r="Q23" t="s">
        <v>104</v>
      </c>
      <c r="R23" t="s">
        <v>41</v>
      </c>
      <c r="S23" t="s">
        <v>149</v>
      </c>
      <c r="T23" t="s">
        <v>131</v>
      </c>
      <c r="U23" t="s">
        <v>44</v>
      </c>
      <c r="V23" t="s">
        <v>144</v>
      </c>
      <c r="W23" t="s">
        <v>75</v>
      </c>
      <c r="X23" t="s">
        <v>83</v>
      </c>
      <c r="Y23">
        <v>200047.3</v>
      </c>
      <c r="Z23">
        <v>200047.3</v>
      </c>
      <c r="AA23">
        <v>1</v>
      </c>
      <c r="AB23" t="s">
        <v>39</v>
      </c>
      <c r="AC23" t="s">
        <v>39</v>
      </c>
      <c r="AD23" t="s">
        <v>48</v>
      </c>
    </row>
    <row r="24" spans="1:30" x14ac:dyDescent="0.35">
      <c r="A24" t="s">
        <v>30</v>
      </c>
      <c r="B24" t="s">
        <v>1069</v>
      </c>
      <c r="C24" t="s">
        <v>564</v>
      </c>
      <c r="D24" t="s">
        <v>1113</v>
      </c>
      <c r="E24" t="s">
        <v>1114</v>
      </c>
      <c r="F24" t="s">
        <v>1115</v>
      </c>
      <c r="G24" t="s">
        <v>1116</v>
      </c>
      <c r="H24" t="s">
        <v>37</v>
      </c>
      <c r="I24" t="s">
        <v>39</v>
      </c>
      <c r="J24" t="s">
        <v>39</v>
      </c>
      <c r="K24" s="2">
        <v>46067</v>
      </c>
      <c r="L24" s="2">
        <v>46081</v>
      </c>
      <c r="M24" s="2">
        <v>46081</v>
      </c>
      <c r="N24" s="2">
        <v>46054</v>
      </c>
      <c r="O24" s="2">
        <v>46419</v>
      </c>
      <c r="P24">
        <v>12</v>
      </c>
      <c r="Q24" t="s">
        <v>65</v>
      </c>
      <c r="R24" t="s">
        <v>41</v>
      </c>
      <c r="S24" t="s">
        <v>151</v>
      </c>
      <c r="T24" t="s">
        <v>131</v>
      </c>
      <c r="U24" t="s">
        <v>44</v>
      </c>
      <c r="V24" t="s">
        <v>45</v>
      </c>
      <c r="W24" t="s">
        <v>161</v>
      </c>
      <c r="X24" t="s">
        <v>83</v>
      </c>
      <c r="Y24">
        <v>176111.91</v>
      </c>
      <c r="Z24">
        <v>176111.91</v>
      </c>
      <c r="AA24">
        <v>1</v>
      </c>
      <c r="AB24" t="s">
        <v>39</v>
      </c>
      <c r="AC24" t="s">
        <v>39</v>
      </c>
      <c r="AD24" t="s">
        <v>48</v>
      </c>
    </row>
    <row r="25" spans="1:30" x14ac:dyDescent="0.35">
      <c r="A25" t="s">
        <v>30</v>
      </c>
      <c r="B25" t="s">
        <v>1069</v>
      </c>
      <c r="C25" t="s">
        <v>564</v>
      </c>
      <c r="D25" t="s">
        <v>1117</v>
      </c>
      <c r="E25" t="s">
        <v>1118</v>
      </c>
      <c r="F25" t="s">
        <v>943</v>
      </c>
      <c r="G25" t="s">
        <v>944</v>
      </c>
      <c r="H25" t="s">
        <v>37</v>
      </c>
      <c r="I25" t="s">
        <v>39</v>
      </c>
      <c r="J25" t="s">
        <v>39</v>
      </c>
      <c r="K25" s="2">
        <v>46056</v>
      </c>
      <c r="L25" s="2">
        <v>46081</v>
      </c>
      <c r="M25" s="2">
        <v>46081</v>
      </c>
      <c r="N25" s="2">
        <v>46054</v>
      </c>
      <c r="O25" s="2">
        <v>46419</v>
      </c>
      <c r="P25">
        <v>12</v>
      </c>
      <c r="Q25" t="s">
        <v>104</v>
      </c>
      <c r="R25" t="s">
        <v>41</v>
      </c>
      <c r="S25" t="s">
        <v>135</v>
      </c>
      <c r="T25" t="s">
        <v>131</v>
      </c>
      <c r="U25" t="s">
        <v>106</v>
      </c>
      <c r="V25" t="s">
        <v>74</v>
      </c>
      <c r="W25" t="s">
        <v>161</v>
      </c>
      <c r="X25" t="s">
        <v>47</v>
      </c>
      <c r="Y25">
        <v>130255.09</v>
      </c>
      <c r="Z25">
        <v>130255.09</v>
      </c>
      <c r="AA25">
        <v>1</v>
      </c>
      <c r="AB25" t="s">
        <v>39</v>
      </c>
      <c r="AC25" t="s">
        <v>39</v>
      </c>
      <c r="AD25" t="s">
        <v>48</v>
      </c>
    </row>
    <row r="26" spans="1:30" x14ac:dyDescent="0.35">
      <c r="A26" t="s">
        <v>30</v>
      </c>
      <c r="B26" t="s">
        <v>1069</v>
      </c>
      <c r="C26" t="s">
        <v>564</v>
      </c>
      <c r="D26" t="s">
        <v>1119</v>
      </c>
      <c r="E26" t="s">
        <v>1120</v>
      </c>
      <c r="F26" t="s">
        <v>1121</v>
      </c>
      <c r="G26" t="s">
        <v>1122</v>
      </c>
      <c r="H26" t="s">
        <v>37</v>
      </c>
      <c r="I26" t="s">
        <v>39</v>
      </c>
      <c r="J26" t="s">
        <v>39</v>
      </c>
      <c r="K26" s="2">
        <v>46057</v>
      </c>
      <c r="L26" s="2">
        <v>46081</v>
      </c>
      <c r="M26" s="2">
        <v>46081</v>
      </c>
      <c r="N26" s="2">
        <v>46054</v>
      </c>
      <c r="O26" s="2">
        <v>46419</v>
      </c>
      <c r="P26">
        <v>12</v>
      </c>
      <c r="Q26" t="s">
        <v>40</v>
      </c>
      <c r="R26" t="s">
        <v>41</v>
      </c>
      <c r="S26" t="s">
        <v>141</v>
      </c>
      <c r="T26" t="s">
        <v>131</v>
      </c>
      <c r="U26" t="s">
        <v>56</v>
      </c>
      <c r="V26" t="s">
        <v>67</v>
      </c>
      <c r="W26" t="s">
        <v>46</v>
      </c>
      <c r="X26" t="s">
        <v>125</v>
      </c>
      <c r="Y26">
        <v>184638.96</v>
      </c>
      <c r="Z26">
        <v>184638.96</v>
      </c>
      <c r="AA26">
        <v>1</v>
      </c>
      <c r="AB26" t="s">
        <v>39</v>
      </c>
      <c r="AC26" t="s">
        <v>39</v>
      </c>
      <c r="AD26" t="s">
        <v>48</v>
      </c>
    </row>
    <row r="27" spans="1:30" x14ac:dyDescent="0.35">
      <c r="A27" t="s">
        <v>30</v>
      </c>
      <c r="B27" t="s">
        <v>1069</v>
      </c>
      <c r="C27" t="s">
        <v>564</v>
      </c>
      <c r="D27" t="s">
        <v>1123</v>
      </c>
      <c r="E27" t="s">
        <v>1124</v>
      </c>
      <c r="F27" t="s">
        <v>1125</v>
      </c>
      <c r="G27" t="s">
        <v>1126</v>
      </c>
      <c r="H27" t="s">
        <v>37</v>
      </c>
      <c r="I27" t="s">
        <v>39</v>
      </c>
      <c r="J27" t="s">
        <v>39</v>
      </c>
      <c r="K27" s="2">
        <v>46066</v>
      </c>
      <c r="L27" s="2">
        <v>46081</v>
      </c>
      <c r="M27" s="2">
        <v>46081</v>
      </c>
      <c r="N27" s="2">
        <v>46054</v>
      </c>
      <c r="O27" s="2">
        <v>46784</v>
      </c>
      <c r="P27">
        <v>24</v>
      </c>
      <c r="Q27" t="s">
        <v>40</v>
      </c>
      <c r="R27" t="s">
        <v>41</v>
      </c>
      <c r="S27" t="s">
        <v>54</v>
      </c>
      <c r="T27" t="s">
        <v>55</v>
      </c>
      <c r="U27" t="s">
        <v>56</v>
      </c>
      <c r="V27" t="s">
        <v>138</v>
      </c>
      <c r="W27" t="s">
        <v>132</v>
      </c>
      <c r="X27" t="s">
        <v>143</v>
      </c>
      <c r="Y27">
        <v>142395.84</v>
      </c>
      <c r="Z27">
        <v>142395.84</v>
      </c>
      <c r="AA27">
        <v>1</v>
      </c>
      <c r="AB27" t="s">
        <v>39</v>
      </c>
      <c r="AC27" t="s">
        <v>39</v>
      </c>
      <c r="AD27" t="s">
        <v>48</v>
      </c>
    </row>
    <row r="28" spans="1:30" x14ac:dyDescent="0.35">
      <c r="A28" t="s">
        <v>30</v>
      </c>
      <c r="B28" t="s">
        <v>1069</v>
      </c>
      <c r="C28" t="s">
        <v>564</v>
      </c>
      <c r="D28" t="s">
        <v>1827</v>
      </c>
      <c r="E28" t="s">
        <v>1828</v>
      </c>
      <c r="F28" t="s">
        <v>1829</v>
      </c>
      <c r="G28" t="s">
        <v>1830</v>
      </c>
      <c r="H28" t="s">
        <v>1271</v>
      </c>
      <c r="I28" t="s">
        <v>39</v>
      </c>
      <c r="J28" t="s">
        <v>39</v>
      </c>
      <c r="K28" s="2">
        <v>46064</v>
      </c>
      <c r="L28" s="2">
        <v>46081</v>
      </c>
      <c r="M28" s="2">
        <v>46081</v>
      </c>
      <c r="N28" s="2">
        <v>46054</v>
      </c>
      <c r="O28" s="2">
        <v>46784</v>
      </c>
      <c r="P28">
        <v>24</v>
      </c>
      <c r="Q28" t="s">
        <v>104</v>
      </c>
      <c r="R28" t="s">
        <v>41</v>
      </c>
      <c r="S28" t="s">
        <v>280</v>
      </c>
      <c r="T28" t="s">
        <v>43</v>
      </c>
      <c r="U28" t="s">
        <v>56</v>
      </c>
      <c r="V28" t="s">
        <v>119</v>
      </c>
      <c r="W28" t="s">
        <v>150</v>
      </c>
      <c r="X28" t="s">
        <v>83</v>
      </c>
      <c r="Y28">
        <v>122309.52</v>
      </c>
      <c r="Z28">
        <v>122309.52</v>
      </c>
      <c r="AA28">
        <v>1</v>
      </c>
      <c r="AB28" t="s">
        <v>39</v>
      </c>
      <c r="AC28" t="s">
        <v>39</v>
      </c>
      <c r="AD28" t="s">
        <v>48</v>
      </c>
    </row>
    <row r="29" spans="1:30" x14ac:dyDescent="0.35">
      <c r="A29" t="s">
        <v>30</v>
      </c>
      <c r="B29" t="s">
        <v>1069</v>
      </c>
      <c r="C29" t="s">
        <v>564</v>
      </c>
      <c r="D29" t="s">
        <v>1831</v>
      </c>
      <c r="E29" t="s">
        <v>1832</v>
      </c>
      <c r="F29" t="s">
        <v>328</v>
      </c>
      <c r="G29" t="s">
        <v>329</v>
      </c>
      <c r="H29" t="s">
        <v>1271</v>
      </c>
      <c r="I29" t="s">
        <v>39</v>
      </c>
      <c r="J29" t="s">
        <v>39</v>
      </c>
      <c r="K29" s="2">
        <v>46059</v>
      </c>
      <c r="L29" s="2">
        <v>46081</v>
      </c>
      <c r="M29" s="2">
        <v>46081</v>
      </c>
      <c r="N29" s="2">
        <v>46054</v>
      </c>
      <c r="O29" s="2">
        <v>46419</v>
      </c>
      <c r="P29">
        <v>12</v>
      </c>
      <c r="Q29" t="s">
        <v>40</v>
      </c>
      <c r="R29" t="s">
        <v>53</v>
      </c>
      <c r="S29" t="s">
        <v>149</v>
      </c>
      <c r="T29" t="s">
        <v>131</v>
      </c>
      <c r="U29" t="s">
        <v>56</v>
      </c>
      <c r="V29" t="s">
        <v>74</v>
      </c>
      <c r="W29" t="s">
        <v>132</v>
      </c>
      <c r="X29" t="s">
        <v>68</v>
      </c>
      <c r="Y29">
        <v>154974.37</v>
      </c>
      <c r="Z29">
        <v>154974.37</v>
      </c>
      <c r="AA29">
        <v>1</v>
      </c>
      <c r="AB29" t="s">
        <v>39</v>
      </c>
      <c r="AC29" t="s">
        <v>39</v>
      </c>
      <c r="AD29" t="s">
        <v>48</v>
      </c>
    </row>
    <row r="30" spans="1:30" x14ac:dyDescent="0.35">
      <c r="A30" t="s">
        <v>30</v>
      </c>
      <c r="B30" t="s">
        <v>1069</v>
      </c>
      <c r="C30" t="s">
        <v>564</v>
      </c>
      <c r="D30" t="s">
        <v>1833</v>
      </c>
      <c r="E30" t="s">
        <v>1834</v>
      </c>
      <c r="F30" t="s">
        <v>1167</v>
      </c>
      <c r="G30" t="s">
        <v>1168</v>
      </c>
      <c r="H30" t="s">
        <v>1271</v>
      </c>
      <c r="I30" t="s">
        <v>39</v>
      </c>
      <c r="J30" t="s">
        <v>39</v>
      </c>
      <c r="K30" s="2">
        <v>46056</v>
      </c>
      <c r="L30" s="2">
        <v>46081</v>
      </c>
      <c r="M30" s="2">
        <v>46081</v>
      </c>
      <c r="N30" s="2">
        <v>46054</v>
      </c>
      <c r="O30" s="2">
        <v>46419</v>
      </c>
      <c r="P30">
        <v>12</v>
      </c>
      <c r="Q30" t="s">
        <v>65</v>
      </c>
      <c r="R30" t="s">
        <v>53</v>
      </c>
      <c r="S30" t="s">
        <v>105</v>
      </c>
      <c r="T30" t="s">
        <v>55</v>
      </c>
      <c r="U30" t="s">
        <v>44</v>
      </c>
      <c r="V30" t="s">
        <v>217</v>
      </c>
      <c r="W30" t="s">
        <v>150</v>
      </c>
      <c r="X30" t="s">
        <v>158</v>
      </c>
      <c r="Y30">
        <v>108564.17</v>
      </c>
      <c r="Z30">
        <v>108564.17</v>
      </c>
      <c r="AA30">
        <v>1</v>
      </c>
      <c r="AB30" t="s">
        <v>39</v>
      </c>
      <c r="AC30" t="s">
        <v>39</v>
      </c>
      <c r="AD30" t="s">
        <v>48</v>
      </c>
    </row>
    <row r="31" spans="1:30" x14ac:dyDescent="0.35">
      <c r="A31" t="s">
        <v>30</v>
      </c>
      <c r="B31" t="s">
        <v>1069</v>
      </c>
      <c r="C31" t="s">
        <v>564</v>
      </c>
      <c r="D31" t="s">
        <v>1835</v>
      </c>
      <c r="E31" t="s">
        <v>1836</v>
      </c>
      <c r="F31" t="s">
        <v>1837</v>
      </c>
      <c r="G31" t="s">
        <v>1838</v>
      </c>
      <c r="H31" t="s">
        <v>1271</v>
      </c>
      <c r="I31" t="s">
        <v>39</v>
      </c>
      <c r="J31" t="s">
        <v>39</v>
      </c>
      <c r="K31" s="2">
        <v>46062</v>
      </c>
      <c r="L31" s="2">
        <v>46081</v>
      </c>
      <c r="M31" s="2">
        <v>46081</v>
      </c>
      <c r="N31" s="2">
        <v>46054</v>
      </c>
      <c r="O31" s="2">
        <v>46419</v>
      </c>
      <c r="P31">
        <v>12</v>
      </c>
      <c r="Q31" t="s">
        <v>104</v>
      </c>
      <c r="R31" t="s">
        <v>41</v>
      </c>
      <c r="S31" t="s">
        <v>222</v>
      </c>
      <c r="T31" t="s">
        <v>97</v>
      </c>
      <c r="U31" t="s">
        <v>56</v>
      </c>
      <c r="V31" t="s">
        <v>81</v>
      </c>
      <c r="W31" t="s">
        <v>142</v>
      </c>
      <c r="X31" t="s">
        <v>68</v>
      </c>
      <c r="Y31">
        <v>205885.08</v>
      </c>
      <c r="Z31">
        <v>205885.08</v>
      </c>
      <c r="AA31">
        <v>1</v>
      </c>
      <c r="AB31" t="s">
        <v>39</v>
      </c>
      <c r="AC31" t="s">
        <v>39</v>
      </c>
      <c r="AD31" t="s">
        <v>48</v>
      </c>
    </row>
    <row r="32" spans="1:30" x14ac:dyDescent="0.35">
      <c r="A32" t="s">
        <v>30</v>
      </c>
      <c r="B32" t="s">
        <v>1069</v>
      </c>
      <c r="C32" t="s">
        <v>564</v>
      </c>
      <c r="D32" t="s">
        <v>1839</v>
      </c>
      <c r="E32" t="s">
        <v>1840</v>
      </c>
      <c r="F32" t="s">
        <v>1841</v>
      </c>
      <c r="G32" t="s">
        <v>1842</v>
      </c>
      <c r="H32" t="s">
        <v>1271</v>
      </c>
      <c r="I32" t="s">
        <v>39</v>
      </c>
      <c r="J32" t="s">
        <v>39</v>
      </c>
      <c r="K32" s="2">
        <v>46067</v>
      </c>
      <c r="L32" s="2">
        <v>46081</v>
      </c>
      <c r="M32" s="2">
        <v>46081</v>
      </c>
      <c r="N32" s="2">
        <v>46054</v>
      </c>
      <c r="O32" s="2">
        <v>46419</v>
      </c>
      <c r="P32">
        <v>12</v>
      </c>
      <c r="Q32" t="s">
        <v>40</v>
      </c>
      <c r="R32" t="s">
        <v>41</v>
      </c>
      <c r="S32" t="s">
        <v>135</v>
      </c>
      <c r="T32" t="s">
        <v>131</v>
      </c>
      <c r="U32" t="s">
        <v>56</v>
      </c>
      <c r="V32" t="s">
        <v>74</v>
      </c>
      <c r="W32" t="s">
        <v>46</v>
      </c>
      <c r="X32" t="s">
        <v>158</v>
      </c>
      <c r="Y32">
        <v>128266.87</v>
      </c>
      <c r="Z32">
        <v>128266.87</v>
      </c>
      <c r="AA32">
        <v>1</v>
      </c>
      <c r="AB32" t="s">
        <v>39</v>
      </c>
      <c r="AC32" t="s">
        <v>39</v>
      </c>
      <c r="AD32" t="s">
        <v>48</v>
      </c>
    </row>
    <row r="33" spans="1:30" x14ac:dyDescent="0.35">
      <c r="A33" t="s">
        <v>30</v>
      </c>
      <c r="B33" t="s">
        <v>1069</v>
      </c>
      <c r="C33" t="s">
        <v>564</v>
      </c>
      <c r="D33" t="s">
        <v>1843</v>
      </c>
      <c r="E33" t="s">
        <v>1844</v>
      </c>
      <c r="F33" t="s">
        <v>638</v>
      </c>
      <c r="G33" t="s">
        <v>639</v>
      </c>
      <c r="H33" t="s">
        <v>1290</v>
      </c>
      <c r="I33" t="s">
        <v>38</v>
      </c>
      <c r="J33" t="s">
        <v>1290</v>
      </c>
      <c r="K33" s="2">
        <v>46060</v>
      </c>
      <c r="L33" s="2">
        <v>46081</v>
      </c>
      <c r="N33" s="2">
        <v>46054</v>
      </c>
      <c r="O33" s="2">
        <v>46419</v>
      </c>
      <c r="P33">
        <v>12</v>
      </c>
      <c r="Q33" t="s">
        <v>65</v>
      </c>
      <c r="R33" t="s">
        <v>41</v>
      </c>
      <c r="S33" t="s">
        <v>66</v>
      </c>
      <c r="T33" t="s">
        <v>55</v>
      </c>
      <c r="U33" t="s">
        <v>106</v>
      </c>
      <c r="V33" t="s">
        <v>67</v>
      </c>
      <c r="W33" t="s">
        <v>46</v>
      </c>
      <c r="X33" t="s">
        <v>83</v>
      </c>
      <c r="Y33">
        <v>195000</v>
      </c>
      <c r="Z33">
        <v>195000</v>
      </c>
      <c r="AA33">
        <v>1</v>
      </c>
      <c r="AB33" t="s">
        <v>1290</v>
      </c>
      <c r="AC33" t="s">
        <v>1290</v>
      </c>
      <c r="AD33" t="s">
        <v>48</v>
      </c>
    </row>
    <row r="34" spans="1:30" x14ac:dyDescent="0.35">
      <c r="A34" t="s">
        <v>30</v>
      </c>
      <c r="B34" t="s">
        <v>1069</v>
      </c>
      <c r="C34" t="s">
        <v>564</v>
      </c>
      <c r="D34" t="s">
        <v>1845</v>
      </c>
      <c r="E34" t="s">
        <v>1846</v>
      </c>
      <c r="F34" t="s">
        <v>1847</v>
      </c>
      <c r="G34" t="s">
        <v>1848</v>
      </c>
      <c r="H34" t="s">
        <v>1295</v>
      </c>
      <c r="I34" t="s">
        <v>64</v>
      </c>
      <c r="J34" t="s">
        <v>1295</v>
      </c>
      <c r="K34" s="2">
        <v>46066</v>
      </c>
      <c r="L34" s="2">
        <v>46081</v>
      </c>
      <c r="N34" s="2">
        <v>46054</v>
      </c>
      <c r="O34" s="2">
        <v>46784</v>
      </c>
      <c r="P34">
        <v>24</v>
      </c>
      <c r="Q34" t="s">
        <v>65</v>
      </c>
      <c r="R34" t="s">
        <v>88</v>
      </c>
      <c r="S34" t="s">
        <v>73</v>
      </c>
      <c r="T34" t="s">
        <v>43</v>
      </c>
      <c r="U34" t="s">
        <v>106</v>
      </c>
      <c r="V34" t="s">
        <v>98</v>
      </c>
      <c r="W34" t="s">
        <v>150</v>
      </c>
      <c r="X34" t="s">
        <v>47</v>
      </c>
      <c r="Y34">
        <v>169354.22</v>
      </c>
      <c r="Z34">
        <v>169354.22</v>
      </c>
      <c r="AA34">
        <v>1</v>
      </c>
      <c r="AB34" t="s">
        <v>1295</v>
      </c>
      <c r="AC34" t="s">
        <v>1295</v>
      </c>
      <c r="AD34" t="s">
        <v>48</v>
      </c>
    </row>
    <row r="35" spans="1:30" x14ac:dyDescent="0.35">
      <c r="A35" t="s">
        <v>30</v>
      </c>
      <c r="B35" t="s">
        <v>1069</v>
      </c>
      <c r="C35" t="s">
        <v>564</v>
      </c>
      <c r="D35" t="s">
        <v>1849</v>
      </c>
      <c r="E35" t="s">
        <v>1850</v>
      </c>
      <c r="F35" t="s">
        <v>551</v>
      </c>
      <c r="G35" t="s">
        <v>552</v>
      </c>
      <c r="H35" t="s">
        <v>1295</v>
      </c>
      <c r="I35" t="s">
        <v>111</v>
      </c>
      <c r="J35" t="s">
        <v>1295</v>
      </c>
      <c r="K35" s="2">
        <v>46065</v>
      </c>
      <c r="L35" s="2">
        <v>46081</v>
      </c>
      <c r="N35" s="2">
        <v>46054</v>
      </c>
      <c r="O35" s="2">
        <v>46784</v>
      </c>
      <c r="P35">
        <v>24</v>
      </c>
      <c r="Q35" t="s">
        <v>104</v>
      </c>
      <c r="R35" t="s">
        <v>88</v>
      </c>
      <c r="S35" t="s">
        <v>222</v>
      </c>
      <c r="T35" t="s">
        <v>97</v>
      </c>
      <c r="U35" t="s">
        <v>56</v>
      </c>
      <c r="V35" t="s">
        <v>57</v>
      </c>
      <c r="W35" t="s">
        <v>46</v>
      </c>
      <c r="X35" t="s">
        <v>158</v>
      </c>
      <c r="Y35">
        <v>265645.78000000003</v>
      </c>
      <c r="Z35">
        <v>265645.78000000003</v>
      </c>
      <c r="AA35">
        <v>1</v>
      </c>
      <c r="AB35" t="s">
        <v>1295</v>
      </c>
      <c r="AC35" t="s">
        <v>1295</v>
      </c>
      <c r="AD35" t="s">
        <v>48</v>
      </c>
    </row>
    <row r="36" spans="1:30" x14ac:dyDescent="0.35">
      <c r="A36" t="s">
        <v>30</v>
      </c>
      <c r="B36" t="s">
        <v>1069</v>
      </c>
      <c r="C36" t="s">
        <v>564</v>
      </c>
      <c r="D36" t="s">
        <v>1851</v>
      </c>
      <c r="E36" t="s">
        <v>1852</v>
      </c>
      <c r="F36" t="s">
        <v>827</v>
      </c>
      <c r="G36" t="s">
        <v>828</v>
      </c>
      <c r="H36" t="s">
        <v>1302</v>
      </c>
      <c r="I36" t="s">
        <v>39</v>
      </c>
      <c r="J36" t="s">
        <v>39</v>
      </c>
      <c r="K36" s="2">
        <v>46060</v>
      </c>
      <c r="L36" s="2">
        <v>46081</v>
      </c>
      <c r="M36" s="2">
        <v>46081</v>
      </c>
      <c r="N36" s="2">
        <v>46054</v>
      </c>
      <c r="O36" s="2">
        <v>46419</v>
      </c>
      <c r="P36">
        <v>12</v>
      </c>
      <c r="Q36" t="s">
        <v>104</v>
      </c>
      <c r="R36" t="s">
        <v>53</v>
      </c>
      <c r="S36" t="s">
        <v>137</v>
      </c>
      <c r="T36" t="s">
        <v>97</v>
      </c>
      <c r="U36" t="s">
        <v>44</v>
      </c>
      <c r="V36" t="s">
        <v>217</v>
      </c>
      <c r="W36" t="s">
        <v>46</v>
      </c>
      <c r="X36" t="s">
        <v>125</v>
      </c>
      <c r="Y36">
        <v>65000</v>
      </c>
      <c r="Z36">
        <v>65000</v>
      </c>
      <c r="AA36">
        <v>1</v>
      </c>
      <c r="AB36" t="s">
        <v>39</v>
      </c>
      <c r="AC36" t="s">
        <v>39</v>
      </c>
      <c r="AD36" t="s">
        <v>48</v>
      </c>
    </row>
    <row r="37" spans="1:30" x14ac:dyDescent="0.35">
      <c r="A37" t="s">
        <v>30</v>
      </c>
      <c r="B37" t="s">
        <v>1069</v>
      </c>
      <c r="C37" t="s">
        <v>599</v>
      </c>
      <c r="D37" t="s">
        <v>1131</v>
      </c>
      <c r="E37" t="s">
        <v>1132</v>
      </c>
      <c r="F37" t="s">
        <v>1133</v>
      </c>
      <c r="G37" t="s">
        <v>1134</v>
      </c>
      <c r="H37" t="s">
        <v>37</v>
      </c>
      <c r="I37" t="s">
        <v>39</v>
      </c>
      <c r="J37" t="s">
        <v>39</v>
      </c>
      <c r="K37" s="2">
        <v>46084</v>
      </c>
      <c r="L37" s="2">
        <v>46112</v>
      </c>
      <c r="M37" s="2">
        <v>46112</v>
      </c>
      <c r="N37" s="2">
        <v>46082</v>
      </c>
      <c r="O37" s="2">
        <v>46447</v>
      </c>
      <c r="P37">
        <v>12</v>
      </c>
      <c r="Q37" t="s">
        <v>40</v>
      </c>
      <c r="R37" t="s">
        <v>88</v>
      </c>
      <c r="S37" t="s">
        <v>89</v>
      </c>
      <c r="T37" t="s">
        <v>55</v>
      </c>
      <c r="U37" t="s">
        <v>44</v>
      </c>
      <c r="V37" t="s">
        <v>45</v>
      </c>
      <c r="W37" t="s">
        <v>136</v>
      </c>
      <c r="X37" t="s">
        <v>125</v>
      </c>
      <c r="Y37">
        <v>86537.93</v>
      </c>
      <c r="Z37">
        <v>86537.93</v>
      </c>
      <c r="AA37">
        <v>1</v>
      </c>
      <c r="AB37" t="s">
        <v>39</v>
      </c>
      <c r="AC37" t="s">
        <v>39</v>
      </c>
      <c r="AD37" t="s">
        <v>48</v>
      </c>
    </row>
    <row r="38" spans="1:30" x14ac:dyDescent="0.35">
      <c r="A38" t="s">
        <v>30</v>
      </c>
      <c r="B38" t="s">
        <v>1069</v>
      </c>
      <c r="C38" t="s">
        <v>599</v>
      </c>
      <c r="D38" t="s">
        <v>1135</v>
      </c>
      <c r="E38" t="s">
        <v>1136</v>
      </c>
      <c r="F38" t="s">
        <v>1137</v>
      </c>
      <c r="G38" t="s">
        <v>1138</v>
      </c>
      <c r="H38" t="s">
        <v>37</v>
      </c>
      <c r="I38" t="s">
        <v>39</v>
      </c>
      <c r="J38" t="s">
        <v>39</v>
      </c>
      <c r="K38" s="2">
        <v>46093</v>
      </c>
      <c r="L38" s="2">
        <v>46112</v>
      </c>
      <c r="M38" s="2">
        <v>46112</v>
      </c>
      <c r="N38" s="2">
        <v>46082</v>
      </c>
      <c r="O38" s="2">
        <v>46447</v>
      </c>
      <c r="P38">
        <v>12</v>
      </c>
      <c r="Q38" t="s">
        <v>40</v>
      </c>
      <c r="R38" t="s">
        <v>53</v>
      </c>
      <c r="S38" t="s">
        <v>96</v>
      </c>
      <c r="T38" t="s">
        <v>97</v>
      </c>
      <c r="U38" t="s">
        <v>56</v>
      </c>
      <c r="V38" t="s">
        <v>67</v>
      </c>
      <c r="W38" t="s">
        <v>142</v>
      </c>
      <c r="X38" t="s">
        <v>91</v>
      </c>
      <c r="Y38">
        <v>169583.82</v>
      </c>
      <c r="Z38">
        <v>169583.82</v>
      </c>
      <c r="AA38">
        <v>1</v>
      </c>
      <c r="AB38" t="s">
        <v>39</v>
      </c>
      <c r="AC38" t="s">
        <v>39</v>
      </c>
      <c r="AD38" t="s">
        <v>48</v>
      </c>
    </row>
    <row r="39" spans="1:30" x14ac:dyDescent="0.35">
      <c r="A39" t="s">
        <v>30</v>
      </c>
      <c r="B39" t="s">
        <v>1069</v>
      </c>
      <c r="C39" t="s">
        <v>599</v>
      </c>
      <c r="D39" t="s">
        <v>1139</v>
      </c>
      <c r="E39" t="s">
        <v>1140</v>
      </c>
      <c r="F39" t="s">
        <v>1095</v>
      </c>
      <c r="G39" t="s">
        <v>1096</v>
      </c>
      <c r="H39" t="s">
        <v>37</v>
      </c>
      <c r="I39" t="s">
        <v>39</v>
      </c>
      <c r="J39" t="s">
        <v>39</v>
      </c>
      <c r="K39" s="2">
        <v>46094</v>
      </c>
      <c r="L39" s="2">
        <v>46112</v>
      </c>
      <c r="M39" s="2">
        <v>46112</v>
      </c>
      <c r="N39" s="2">
        <v>46082</v>
      </c>
      <c r="O39" s="2">
        <v>46447</v>
      </c>
      <c r="P39">
        <v>12</v>
      </c>
      <c r="Q39" t="s">
        <v>104</v>
      </c>
      <c r="R39" t="s">
        <v>53</v>
      </c>
      <c r="S39" t="s">
        <v>140</v>
      </c>
      <c r="T39" t="s">
        <v>97</v>
      </c>
      <c r="U39" t="s">
        <v>56</v>
      </c>
      <c r="V39" t="s">
        <v>144</v>
      </c>
      <c r="W39" t="s">
        <v>136</v>
      </c>
      <c r="X39" t="s">
        <v>68</v>
      </c>
      <c r="Y39">
        <v>182770.53</v>
      </c>
      <c r="Z39">
        <v>182770.53</v>
      </c>
      <c r="AA39">
        <v>1</v>
      </c>
      <c r="AB39" t="s">
        <v>39</v>
      </c>
      <c r="AC39" t="s">
        <v>39</v>
      </c>
      <c r="AD39" t="s">
        <v>48</v>
      </c>
    </row>
    <row r="40" spans="1:30" x14ac:dyDescent="0.35">
      <c r="A40" t="s">
        <v>30</v>
      </c>
      <c r="B40" t="s">
        <v>1069</v>
      </c>
      <c r="C40" t="s">
        <v>599</v>
      </c>
      <c r="D40" t="s">
        <v>1141</v>
      </c>
      <c r="E40" t="s">
        <v>1142</v>
      </c>
      <c r="F40" t="s">
        <v>643</v>
      </c>
      <c r="G40" t="s">
        <v>644</v>
      </c>
      <c r="H40" t="s">
        <v>37</v>
      </c>
      <c r="I40" t="s">
        <v>39</v>
      </c>
      <c r="J40" t="s">
        <v>39</v>
      </c>
      <c r="K40" s="2">
        <v>46086</v>
      </c>
      <c r="L40" s="2">
        <v>46112</v>
      </c>
      <c r="M40" s="2">
        <v>46112</v>
      </c>
      <c r="N40" s="2">
        <v>46082</v>
      </c>
      <c r="O40" s="2">
        <v>46447</v>
      </c>
      <c r="P40">
        <v>12</v>
      </c>
      <c r="Q40" t="s">
        <v>104</v>
      </c>
      <c r="R40" t="s">
        <v>88</v>
      </c>
      <c r="S40" t="s">
        <v>280</v>
      </c>
      <c r="T40" t="s">
        <v>43</v>
      </c>
      <c r="U40" t="s">
        <v>44</v>
      </c>
      <c r="V40" t="s">
        <v>98</v>
      </c>
      <c r="W40" t="s">
        <v>132</v>
      </c>
      <c r="X40" t="s">
        <v>91</v>
      </c>
      <c r="Y40">
        <v>117728.69</v>
      </c>
      <c r="Z40">
        <v>117728.69</v>
      </c>
      <c r="AA40">
        <v>1</v>
      </c>
      <c r="AB40" t="s">
        <v>39</v>
      </c>
      <c r="AC40" t="s">
        <v>39</v>
      </c>
      <c r="AD40" t="s">
        <v>48</v>
      </c>
    </row>
    <row r="41" spans="1:30" x14ac:dyDescent="0.35">
      <c r="A41" t="s">
        <v>30</v>
      </c>
      <c r="B41" t="s">
        <v>1069</v>
      </c>
      <c r="C41" t="s">
        <v>599</v>
      </c>
      <c r="D41" t="s">
        <v>1143</v>
      </c>
      <c r="E41" t="s">
        <v>1144</v>
      </c>
      <c r="F41" t="s">
        <v>1145</v>
      </c>
      <c r="G41" t="s">
        <v>1146</v>
      </c>
      <c r="H41" t="s">
        <v>37</v>
      </c>
      <c r="I41" t="s">
        <v>39</v>
      </c>
      <c r="J41" t="s">
        <v>39</v>
      </c>
      <c r="K41" s="2">
        <v>46091</v>
      </c>
      <c r="L41" s="2">
        <v>46112</v>
      </c>
      <c r="M41" s="2">
        <v>46112</v>
      </c>
      <c r="N41" s="2">
        <v>46082</v>
      </c>
      <c r="O41" s="2">
        <v>46447</v>
      </c>
      <c r="P41">
        <v>12</v>
      </c>
      <c r="Q41" t="s">
        <v>65</v>
      </c>
      <c r="R41" t="s">
        <v>53</v>
      </c>
      <c r="S41" t="s">
        <v>164</v>
      </c>
      <c r="T41" t="s">
        <v>55</v>
      </c>
      <c r="U41" t="s">
        <v>44</v>
      </c>
      <c r="V41" t="s">
        <v>119</v>
      </c>
      <c r="W41" t="s">
        <v>142</v>
      </c>
      <c r="X41" t="s">
        <v>59</v>
      </c>
      <c r="Y41">
        <v>184652.51</v>
      </c>
      <c r="Z41">
        <v>184652.51</v>
      </c>
      <c r="AA41">
        <v>1</v>
      </c>
      <c r="AB41" t="s">
        <v>39</v>
      </c>
      <c r="AC41" t="s">
        <v>39</v>
      </c>
      <c r="AD41" t="s">
        <v>48</v>
      </c>
    </row>
    <row r="42" spans="1:30" x14ac:dyDescent="0.35">
      <c r="A42" t="s">
        <v>30</v>
      </c>
      <c r="B42" t="s">
        <v>1069</v>
      </c>
      <c r="C42" t="s">
        <v>599</v>
      </c>
      <c r="D42" t="s">
        <v>1147</v>
      </c>
      <c r="E42" t="s">
        <v>1148</v>
      </c>
      <c r="F42" t="s">
        <v>1149</v>
      </c>
      <c r="G42" t="s">
        <v>1150</v>
      </c>
      <c r="H42" t="s">
        <v>37</v>
      </c>
      <c r="I42" t="s">
        <v>39</v>
      </c>
      <c r="J42" t="s">
        <v>39</v>
      </c>
      <c r="K42" s="2">
        <v>46096</v>
      </c>
      <c r="L42" s="2">
        <v>46112</v>
      </c>
      <c r="M42" s="2">
        <v>46112</v>
      </c>
      <c r="N42" s="2">
        <v>46082</v>
      </c>
      <c r="O42" s="2">
        <v>46447</v>
      </c>
      <c r="P42">
        <v>12</v>
      </c>
      <c r="Q42" t="s">
        <v>65</v>
      </c>
      <c r="R42" t="s">
        <v>41</v>
      </c>
      <c r="S42" t="s">
        <v>140</v>
      </c>
      <c r="T42" t="s">
        <v>97</v>
      </c>
      <c r="U42" t="s">
        <v>44</v>
      </c>
      <c r="V42" t="s">
        <v>144</v>
      </c>
      <c r="W42" t="s">
        <v>136</v>
      </c>
      <c r="X42" t="s">
        <v>143</v>
      </c>
      <c r="Y42">
        <v>147819.98000000001</v>
      </c>
      <c r="Z42">
        <v>147819.98000000001</v>
      </c>
      <c r="AA42">
        <v>1</v>
      </c>
      <c r="AB42" t="s">
        <v>39</v>
      </c>
      <c r="AC42" t="s">
        <v>39</v>
      </c>
      <c r="AD42" t="s">
        <v>48</v>
      </c>
    </row>
    <row r="43" spans="1:30" x14ac:dyDescent="0.35">
      <c r="A43" t="s">
        <v>30</v>
      </c>
      <c r="B43" t="s">
        <v>1069</v>
      </c>
      <c r="C43" t="s">
        <v>599</v>
      </c>
      <c r="D43" t="s">
        <v>1151</v>
      </c>
      <c r="E43" t="s">
        <v>1152</v>
      </c>
      <c r="F43" t="s">
        <v>1153</v>
      </c>
      <c r="G43" t="s">
        <v>1154</v>
      </c>
      <c r="H43" t="s">
        <v>37</v>
      </c>
      <c r="I43" t="s">
        <v>39</v>
      </c>
      <c r="J43" t="s">
        <v>39</v>
      </c>
      <c r="K43" s="2">
        <v>46084</v>
      </c>
      <c r="L43" s="2">
        <v>46112</v>
      </c>
      <c r="M43" s="2">
        <v>46112</v>
      </c>
      <c r="N43" s="2">
        <v>46082</v>
      </c>
      <c r="O43" s="2">
        <v>46813</v>
      </c>
      <c r="P43">
        <v>24</v>
      </c>
      <c r="Q43" t="s">
        <v>40</v>
      </c>
      <c r="R43" t="s">
        <v>41</v>
      </c>
      <c r="S43" t="s">
        <v>80</v>
      </c>
      <c r="T43" t="s">
        <v>43</v>
      </c>
      <c r="U43" t="s">
        <v>44</v>
      </c>
      <c r="V43" t="s">
        <v>119</v>
      </c>
      <c r="W43" t="s">
        <v>142</v>
      </c>
      <c r="X43" t="s">
        <v>83</v>
      </c>
      <c r="Y43">
        <v>120874.17</v>
      </c>
      <c r="Z43">
        <v>120874.17</v>
      </c>
      <c r="AA43">
        <v>1</v>
      </c>
      <c r="AB43" t="s">
        <v>39</v>
      </c>
      <c r="AC43" t="s">
        <v>39</v>
      </c>
      <c r="AD43" t="s">
        <v>48</v>
      </c>
    </row>
    <row r="44" spans="1:30" x14ac:dyDescent="0.35">
      <c r="A44" t="s">
        <v>30</v>
      </c>
      <c r="B44" t="s">
        <v>1069</v>
      </c>
      <c r="C44" t="s">
        <v>599</v>
      </c>
      <c r="D44" t="s">
        <v>1155</v>
      </c>
      <c r="E44" t="s">
        <v>1156</v>
      </c>
      <c r="F44" t="s">
        <v>1157</v>
      </c>
      <c r="G44" t="s">
        <v>1158</v>
      </c>
      <c r="H44" t="s">
        <v>37</v>
      </c>
      <c r="I44" t="s">
        <v>39</v>
      </c>
      <c r="J44" t="s">
        <v>39</v>
      </c>
      <c r="K44" s="2">
        <v>46094</v>
      </c>
      <c r="L44" s="2">
        <v>46112</v>
      </c>
      <c r="M44" s="2">
        <v>46112</v>
      </c>
      <c r="N44" s="2">
        <v>46082</v>
      </c>
      <c r="O44" s="2">
        <v>46447</v>
      </c>
      <c r="P44">
        <v>12</v>
      </c>
      <c r="Q44" t="s">
        <v>104</v>
      </c>
      <c r="R44" t="s">
        <v>53</v>
      </c>
      <c r="S44" t="s">
        <v>151</v>
      </c>
      <c r="T44" t="s">
        <v>131</v>
      </c>
      <c r="U44" t="s">
        <v>56</v>
      </c>
      <c r="V44" t="s">
        <v>119</v>
      </c>
      <c r="W44" t="s">
        <v>90</v>
      </c>
      <c r="X44" t="s">
        <v>68</v>
      </c>
      <c r="Y44">
        <v>161269.16</v>
      </c>
      <c r="Z44">
        <v>161269.16</v>
      </c>
      <c r="AA44">
        <v>1</v>
      </c>
      <c r="AB44" t="s">
        <v>39</v>
      </c>
      <c r="AC44" t="s">
        <v>39</v>
      </c>
      <c r="AD44" t="s">
        <v>48</v>
      </c>
    </row>
    <row r="45" spans="1:30" x14ac:dyDescent="0.35">
      <c r="A45" t="s">
        <v>30</v>
      </c>
      <c r="B45" t="s">
        <v>1069</v>
      </c>
      <c r="C45" t="s">
        <v>599</v>
      </c>
      <c r="D45" t="s">
        <v>1159</v>
      </c>
      <c r="E45" t="s">
        <v>1160</v>
      </c>
      <c r="F45" t="s">
        <v>517</v>
      </c>
      <c r="G45" t="s">
        <v>518</v>
      </c>
      <c r="H45" t="s">
        <v>37</v>
      </c>
      <c r="I45" t="s">
        <v>39</v>
      </c>
      <c r="J45" t="s">
        <v>39</v>
      </c>
      <c r="K45" s="2">
        <v>46083</v>
      </c>
      <c r="L45" s="2">
        <v>46112</v>
      </c>
      <c r="M45" s="2">
        <v>46112</v>
      </c>
      <c r="N45" s="2">
        <v>46082</v>
      </c>
      <c r="O45" s="2">
        <v>46447</v>
      </c>
      <c r="P45">
        <v>12</v>
      </c>
      <c r="Q45" t="s">
        <v>40</v>
      </c>
      <c r="R45" t="s">
        <v>88</v>
      </c>
      <c r="S45" t="s">
        <v>112</v>
      </c>
      <c r="T45" t="s">
        <v>55</v>
      </c>
      <c r="U45" t="s">
        <v>56</v>
      </c>
      <c r="V45" t="s">
        <v>81</v>
      </c>
      <c r="W45" t="s">
        <v>132</v>
      </c>
      <c r="X45" t="s">
        <v>91</v>
      </c>
      <c r="Y45">
        <v>172269.33</v>
      </c>
      <c r="Z45">
        <v>172269.33</v>
      </c>
      <c r="AA45">
        <v>1</v>
      </c>
      <c r="AB45" t="s">
        <v>39</v>
      </c>
      <c r="AC45" t="s">
        <v>39</v>
      </c>
      <c r="AD45" t="s">
        <v>48</v>
      </c>
    </row>
    <row r="46" spans="1:30" x14ac:dyDescent="0.35">
      <c r="A46" t="s">
        <v>30</v>
      </c>
      <c r="B46" t="s">
        <v>1069</v>
      </c>
      <c r="C46" t="s">
        <v>599</v>
      </c>
      <c r="D46" t="s">
        <v>1161</v>
      </c>
      <c r="E46" t="s">
        <v>1162</v>
      </c>
      <c r="F46" t="s">
        <v>891</v>
      </c>
      <c r="G46" t="s">
        <v>892</v>
      </c>
      <c r="H46" t="s">
        <v>37</v>
      </c>
      <c r="I46" t="s">
        <v>39</v>
      </c>
      <c r="J46" t="s">
        <v>39</v>
      </c>
      <c r="K46" s="2">
        <v>46083</v>
      </c>
      <c r="L46" s="2">
        <v>46112</v>
      </c>
      <c r="M46" s="2">
        <v>46112</v>
      </c>
      <c r="N46" s="2">
        <v>46082</v>
      </c>
      <c r="O46" s="2">
        <v>46447</v>
      </c>
      <c r="P46">
        <v>12</v>
      </c>
      <c r="Q46" t="s">
        <v>104</v>
      </c>
      <c r="R46" t="s">
        <v>41</v>
      </c>
      <c r="S46" t="s">
        <v>141</v>
      </c>
      <c r="T46" t="s">
        <v>131</v>
      </c>
      <c r="U46" t="s">
        <v>44</v>
      </c>
      <c r="V46" t="s">
        <v>67</v>
      </c>
      <c r="W46" t="s">
        <v>82</v>
      </c>
      <c r="X46" t="s">
        <v>158</v>
      </c>
      <c r="Y46">
        <v>156493.88</v>
      </c>
      <c r="Z46">
        <v>156493.88</v>
      </c>
      <c r="AA46">
        <v>1</v>
      </c>
      <c r="AB46" t="s">
        <v>39</v>
      </c>
      <c r="AC46" t="s">
        <v>39</v>
      </c>
      <c r="AD46" t="s">
        <v>48</v>
      </c>
    </row>
    <row r="47" spans="1:30" x14ac:dyDescent="0.35">
      <c r="A47" t="s">
        <v>30</v>
      </c>
      <c r="B47" t="s">
        <v>1069</v>
      </c>
      <c r="C47" t="s">
        <v>599</v>
      </c>
      <c r="D47" t="s">
        <v>1853</v>
      </c>
      <c r="E47" t="s">
        <v>1854</v>
      </c>
      <c r="F47" t="s">
        <v>147</v>
      </c>
      <c r="G47" t="s">
        <v>148</v>
      </c>
      <c r="H47" t="s">
        <v>1271</v>
      </c>
      <c r="I47" t="s">
        <v>39</v>
      </c>
      <c r="J47" t="s">
        <v>39</v>
      </c>
      <c r="K47" s="2">
        <v>46095</v>
      </c>
      <c r="L47" s="2">
        <v>46112</v>
      </c>
      <c r="M47" s="2">
        <v>46112</v>
      </c>
      <c r="N47" s="2">
        <v>46082</v>
      </c>
      <c r="O47" s="2">
        <v>46447</v>
      </c>
      <c r="P47">
        <v>12</v>
      </c>
      <c r="Q47" t="s">
        <v>104</v>
      </c>
      <c r="R47" t="s">
        <v>53</v>
      </c>
      <c r="S47" t="s">
        <v>139</v>
      </c>
      <c r="T47" t="s">
        <v>43</v>
      </c>
      <c r="U47" t="s">
        <v>44</v>
      </c>
      <c r="V47" t="s">
        <v>67</v>
      </c>
      <c r="W47" t="s">
        <v>150</v>
      </c>
      <c r="X47" t="s">
        <v>47</v>
      </c>
      <c r="Y47">
        <v>154932.94</v>
      </c>
      <c r="Z47">
        <v>154932.94</v>
      </c>
      <c r="AA47">
        <v>1</v>
      </c>
      <c r="AB47" t="s">
        <v>39</v>
      </c>
      <c r="AC47" t="s">
        <v>39</v>
      </c>
      <c r="AD47" t="s">
        <v>48</v>
      </c>
    </row>
    <row r="48" spans="1:30" x14ac:dyDescent="0.35">
      <c r="A48" t="s">
        <v>30</v>
      </c>
      <c r="B48" t="s">
        <v>1069</v>
      </c>
      <c r="C48" t="s">
        <v>599</v>
      </c>
      <c r="D48" t="s">
        <v>1855</v>
      </c>
      <c r="E48" t="s">
        <v>1856</v>
      </c>
      <c r="F48" t="s">
        <v>159</v>
      </c>
      <c r="G48" t="s">
        <v>160</v>
      </c>
      <c r="H48" t="s">
        <v>1271</v>
      </c>
      <c r="I48" t="s">
        <v>39</v>
      </c>
      <c r="J48" t="s">
        <v>39</v>
      </c>
      <c r="K48" s="2">
        <v>46086</v>
      </c>
      <c r="L48" s="2">
        <v>46112</v>
      </c>
      <c r="M48" s="2">
        <v>46112</v>
      </c>
      <c r="N48" s="2">
        <v>46082</v>
      </c>
      <c r="O48" s="2">
        <v>46447</v>
      </c>
      <c r="P48">
        <v>12</v>
      </c>
      <c r="Q48" t="s">
        <v>40</v>
      </c>
      <c r="R48" t="s">
        <v>88</v>
      </c>
      <c r="S48" t="s">
        <v>96</v>
      </c>
      <c r="T48" t="s">
        <v>97</v>
      </c>
      <c r="U48" t="s">
        <v>56</v>
      </c>
      <c r="V48" t="s">
        <v>57</v>
      </c>
      <c r="W48" t="s">
        <v>75</v>
      </c>
      <c r="X48" t="s">
        <v>143</v>
      </c>
      <c r="Y48">
        <v>93337.29</v>
      </c>
      <c r="Z48">
        <v>93337.29</v>
      </c>
      <c r="AA48">
        <v>1</v>
      </c>
      <c r="AB48" t="s">
        <v>39</v>
      </c>
      <c r="AC48" t="s">
        <v>39</v>
      </c>
      <c r="AD48" t="s">
        <v>48</v>
      </c>
    </row>
    <row r="49" spans="1:30" x14ac:dyDescent="0.35">
      <c r="A49" t="s">
        <v>30</v>
      </c>
      <c r="B49" t="s">
        <v>1069</v>
      </c>
      <c r="C49" t="s">
        <v>599</v>
      </c>
      <c r="D49" t="s">
        <v>1857</v>
      </c>
      <c r="E49" t="s">
        <v>1858</v>
      </c>
      <c r="F49" t="s">
        <v>1859</v>
      </c>
      <c r="G49" t="s">
        <v>1860</v>
      </c>
      <c r="H49" t="s">
        <v>1271</v>
      </c>
      <c r="I49" t="s">
        <v>39</v>
      </c>
      <c r="J49" t="s">
        <v>39</v>
      </c>
      <c r="K49" s="2">
        <v>46084</v>
      </c>
      <c r="L49" s="2">
        <v>46112</v>
      </c>
      <c r="M49" s="2">
        <v>46112</v>
      </c>
      <c r="N49" s="2">
        <v>46082</v>
      </c>
      <c r="O49" s="2">
        <v>46447</v>
      </c>
      <c r="P49">
        <v>12</v>
      </c>
      <c r="Q49" t="s">
        <v>65</v>
      </c>
      <c r="R49" t="s">
        <v>88</v>
      </c>
      <c r="S49" t="s">
        <v>54</v>
      </c>
      <c r="T49" t="s">
        <v>55</v>
      </c>
      <c r="U49" t="s">
        <v>44</v>
      </c>
      <c r="V49" t="s">
        <v>81</v>
      </c>
      <c r="W49" t="s">
        <v>136</v>
      </c>
      <c r="X49" t="s">
        <v>83</v>
      </c>
      <c r="Y49">
        <v>180335.07</v>
      </c>
      <c r="Z49">
        <v>180335.07</v>
      </c>
      <c r="AA49">
        <v>1</v>
      </c>
      <c r="AB49" t="s">
        <v>39</v>
      </c>
      <c r="AC49" t="s">
        <v>39</v>
      </c>
      <c r="AD49" t="s">
        <v>48</v>
      </c>
    </row>
    <row r="50" spans="1:30" x14ac:dyDescent="0.35">
      <c r="A50" t="s">
        <v>30</v>
      </c>
      <c r="B50" t="s">
        <v>1069</v>
      </c>
      <c r="C50" t="s">
        <v>599</v>
      </c>
      <c r="D50" t="s">
        <v>1861</v>
      </c>
      <c r="E50" t="s">
        <v>1862</v>
      </c>
      <c r="F50" t="s">
        <v>1219</v>
      </c>
      <c r="G50" t="s">
        <v>1220</v>
      </c>
      <c r="H50" t="s">
        <v>1271</v>
      </c>
      <c r="I50" t="s">
        <v>39</v>
      </c>
      <c r="J50" t="s">
        <v>39</v>
      </c>
      <c r="K50" s="2">
        <v>46085</v>
      </c>
      <c r="L50" s="2">
        <v>46112</v>
      </c>
      <c r="M50" s="2">
        <v>46112</v>
      </c>
      <c r="N50" s="2">
        <v>46082</v>
      </c>
      <c r="O50" s="2">
        <v>46447</v>
      </c>
      <c r="P50">
        <v>12</v>
      </c>
      <c r="Q50" t="s">
        <v>65</v>
      </c>
      <c r="R50" t="s">
        <v>53</v>
      </c>
      <c r="S50" t="s">
        <v>118</v>
      </c>
      <c r="T50" t="s">
        <v>97</v>
      </c>
      <c r="U50" t="s">
        <v>44</v>
      </c>
      <c r="V50" t="s">
        <v>217</v>
      </c>
      <c r="W50" t="s">
        <v>150</v>
      </c>
      <c r="X50" t="s">
        <v>91</v>
      </c>
      <c r="Y50">
        <v>153748.63</v>
      </c>
      <c r="Z50">
        <v>153748.63</v>
      </c>
      <c r="AA50">
        <v>1</v>
      </c>
      <c r="AB50" t="s">
        <v>39</v>
      </c>
      <c r="AC50" t="s">
        <v>39</v>
      </c>
      <c r="AD50" t="s">
        <v>48</v>
      </c>
    </row>
    <row r="51" spans="1:30" x14ac:dyDescent="0.35">
      <c r="A51" t="s">
        <v>30</v>
      </c>
      <c r="B51" t="s">
        <v>1069</v>
      </c>
      <c r="C51" t="s">
        <v>599</v>
      </c>
      <c r="D51" t="s">
        <v>1863</v>
      </c>
      <c r="E51" t="s">
        <v>1864</v>
      </c>
      <c r="F51" t="s">
        <v>1825</v>
      </c>
      <c r="G51" t="s">
        <v>1826</v>
      </c>
      <c r="H51" t="s">
        <v>1271</v>
      </c>
      <c r="I51" t="s">
        <v>39</v>
      </c>
      <c r="J51" t="s">
        <v>39</v>
      </c>
      <c r="K51" s="2">
        <v>46086</v>
      </c>
      <c r="L51" s="2">
        <v>46112</v>
      </c>
      <c r="M51" s="2">
        <v>46112</v>
      </c>
      <c r="N51" s="2">
        <v>46082</v>
      </c>
      <c r="O51" s="2">
        <v>46447</v>
      </c>
      <c r="P51">
        <v>12</v>
      </c>
      <c r="Q51" t="s">
        <v>65</v>
      </c>
      <c r="R51" t="s">
        <v>41</v>
      </c>
      <c r="S51" t="s">
        <v>135</v>
      </c>
      <c r="T51" t="s">
        <v>131</v>
      </c>
      <c r="U51" t="s">
        <v>56</v>
      </c>
      <c r="V51" t="s">
        <v>45</v>
      </c>
      <c r="W51" t="s">
        <v>132</v>
      </c>
      <c r="X51" t="s">
        <v>59</v>
      </c>
      <c r="Y51">
        <v>91876.96</v>
      </c>
      <c r="Z51">
        <v>91876.96</v>
      </c>
      <c r="AA51">
        <v>1</v>
      </c>
      <c r="AB51" t="s">
        <v>39</v>
      </c>
      <c r="AC51" t="s">
        <v>39</v>
      </c>
      <c r="AD51" t="s">
        <v>48</v>
      </c>
    </row>
    <row r="52" spans="1:30" x14ac:dyDescent="0.35">
      <c r="A52" t="s">
        <v>30</v>
      </c>
      <c r="B52" t="s">
        <v>1069</v>
      </c>
      <c r="C52" t="s">
        <v>599</v>
      </c>
      <c r="D52" t="s">
        <v>1865</v>
      </c>
      <c r="E52" t="s">
        <v>1866</v>
      </c>
      <c r="F52" t="s">
        <v>513</v>
      </c>
      <c r="G52" t="s">
        <v>514</v>
      </c>
      <c r="H52" t="s">
        <v>1271</v>
      </c>
      <c r="I52" t="s">
        <v>39</v>
      </c>
      <c r="J52" t="s">
        <v>39</v>
      </c>
      <c r="K52" s="2">
        <v>46093</v>
      </c>
      <c r="L52" s="2">
        <v>46112</v>
      </c>
      <c r="M52" s="2">
        <v>46112</v>
      </c>
      <c r="N52" s="2">
        <v>46082</v>
      </c>
      <c r="O52" s="2">
        <v>46813</v>
      </c>
      <c r="P52">
        <v>24</v>
      </c>
      <c r="Q52" t="s">
        <v>104</v>
      </c>
      <c r="R52" t="s">
        <v>53</v>
      </c>
      <c r="S52" t="s">
        <v>137</v>
      </c>
      <c r="T52" t="s">
        <v>97</v>
      </c>
      <c r="U52" t="s">
        <v>44</v>
      </c>
      <c r="V52" t="s">
        <v>57</v>
      </c>
      <c r="W52" t="s">
        <v>82</v>
      </c>
      <c r="X52" t="s">
        <v>47</v>
      </c>
      <c r="Y52">
        <v>105769.11</v>
      </c>
      <c r="Z52">
        <v>105769.11</v>
      </c>
      <c r="AA52">
        <v>1</v>
      </c>
      <c r="AB52" t="s">
        <v>39</v>
      </c>
      <c r="AC52" t="s">
        <v>39</v>
      </c>
      <c r="AD52" t="s">
        <v>48</v>
      </c>
    </row>
    <row r="53" spans="1:30" x14ac:dyDescent="0.35">
      <c r="A53" t="s">
        <v>30</v>
      </c>
      <c r="B53" t="s">
        <v>1069</v>
      </c>
      <c r="C53" t="s">
        <v>599</v>
      </c>
      <c r="D53" t="s">
        <v>1867</v>
      </c>
      <c r="E53" t="s">
        <v>1868</v>
      </c>
      <c r="F53" t="s">
        <v>597</v>
      </c>
      <c r="G53" t="s">
        <v>598</v>
      </c>
      <c r="H53" t="s">
        <v>1290</v>
      </c>
      <c r="I53" t="s">
        <v>111</v>
      </c>
      <c r="J53" t="s">
        <v>1290</v>
      </c>
      <c r="K53" s="2">
        <v>46094</v>
      </c>
      <c r="L53" s="2">
        <v>46112</v>
      </c>
      <c r="N53" s="2">
        <v>46082</v>
      </c>
      <c r="O53" s="2">
        <v>46447</v>
      </c>
      <c r="P53">
        <v>12</v>
      </c>
      <c r="Q53" t="s">
        <v>65</v>
      </c>
      <c r="R53" t="s">
        <v>53</v>
      </c>
      <c r="S53" t="s">
        <v>163</v>
      </c>
      <c r="T53" t="s">
        <v>131</v>
      </c>
      <c r="U53" t="s">
        <v>44</v>
      </c>
      <c r="V53" t="s">
        <v>144</v>
      </c>
      <c r="W53" t="s">
        <v>46</v>
      </c>
      <c r="X53" t="s">
        <v>59</v>
      </c>
      <c r="Y53">
        <v>210000</v>
      </c>
      <c r="Z53">
        <v>210000</v>
      </c>
      <c r="AA53">
        <v>1</v>
      </c>
      <c r="AB53" t="s">
        <v>1290</v>
      </c>
      <c r="AC53" t="s">
        <v>1290</v>
      </c>
      <c r="AD53" t="s">
        <v>48</v>
      </c>
    </row>
    <row r="54" spans="1:30" x14ac:dyDescent="0.35">
      <c r="A54" t="s">
        <v>30</v>
      </c>
      <c r="B54" t="s">
        <v>1069</v>
      </c>
      <c r="C54" t="s">
        <v>599</v>
      </c>
      <c r="D54" t="s">
        <v>1869</v>
      </c>
      <c r="E54" t="s">
        <v>1870</v>
      </c>
      <c r="F54" t="s">
        <v>156</v>
      </c>
      <c r="G54" t="s">
        <v>157</v>
      </c>
      <c r="H54" t="s">
        <v>1295</v>
      </c>
      <c r="I54" t="s">
        <v>103</v>
      </c>
      <c r="J54" t="s">
        <v>1295</v>
      </c>
      <c r="K54" s="2">
        <v>46095</v>
      </c>
      <c r="L54" s="2">
        <v>46112</v>
      </c>
      <c r="N54" s="2">
        <v>46082</v>
      </c>
      <c r="O54" s="2">
        <v>47178</v>
      </c>
      <c r="P54">
        <v>36</v>
      </c>
      <c r="Q54" t="s">
        <v>40</v>
      </c>
      <c r="R54" t="s">
        <v>41</v>
      </c>
      <c r="S54" t="s">
        <v>135</v>
      </c>
      <c r="T54" t="s">
        <v>131</v>
      </c>
      <c r="U54" t="s">
        <v>56</v>
      </c>
      <c r="V54" t="s">
        <v>74</v>
      </c>
      <c r="W54" t="s">
        <v>75</v>
      </c>
      <c r="X54" t="s">
        <v>59</v>
      </c>
      <c r="Y54">
        <v>233054.59</v>
      </c>
      <c r="Z54">
        <v>233054.59</v>
      </c>
      <c r="AA54">
        <v>1</v>
      </c>
      <c r="AB54" t="s">
        <v>1295</v>
      </c>
      <c r="AC54" t="s">
        <v>1295</v>
      </c>
      <c r="AD54" t="s">
        <v>48</v>
      </c>
    </row>
    <row r="55" spans="1:30" x14ac:dyDescent="0.35">
      <c r="A55" t="s">
        <v>30</v>
      </c>
      <c r="B55" t="s">
        <v>1069</v>
      </c>
      <c r="C55" t="s">
        <v>599</v>
      </c>
      <c r="D55" t="s">
        <v>1871</v>
      </c>
      <c r="E55" t="s">
        <v>1872</v>
      </c>
      <c r="F55" t="s">
        <v>1873</v>
      </c>
      <c r="G55" t="s">
        <v>1874</v>
      </c>
      <c r="H55" t="s">
        <v>1295</v>
      </c>
      <c r="I55" t="s">
        <v>111</v>
      </c>
      <c r="J55" t="s">
        <v>1295</v>
      </c>
      <c r="K55" s="2">
        <v>46085</v>
      </c>
      <c r="L55" s="2">
        <v>46112</v>
      </c>
      <c r="N55" s="2">
        <v>46082</v>
      </c>
      <c r="O55" s="2">
        <v>46813</v>
      </c>
      <c r="P55">
        <v>24</v>
      </c>
      <c r="Q55" t="s">
        <v>104</v>
      </c>
      <c r="R55" t="s">
        <v>88</v>
      </c>
      <c r="S55" t="s">
        <v>139</v>
      </c>
      <c r="T55" t="s">
        <v>43</v>
      </c>
      <c r="U55" t="s">
        <v>44</v>
      </c>
      <c r="V55" t="s">
        <v>138</v>
      </c>
      <c r="W55" t="s">
        <v>132</v>
      </c>
      <c r="X55" t="s">
        <v>143</v>
      </c>
      <c r="Y55">
        <v>216945.41</v>
      </c>
      <c r="Z55">
        <v>216945.41</v>
      </c>
      <c r="AA55">
        <v>1</v>
      </c>
      <c r="AB55" t="s">
        <v>1295</v>
      </c>
      <c r="AC55" t="s">
        <v>1295</v>
      </c>
      <c r="AD55" t="s">
        <v>48</v>
      </c>
    </row>
    <row r="56" spans="1:30" x14ac:dyDescent="0.35">
      <c r="A56" t="s">
        <v>30</v>
      </c>
      <c r="B56" t="s">
        <v>1069</v>
      </c>
      <c r="C56" t="s">
        <v>599</v>
      </c>
      <c r="D56" t="s">
        <v>1875</v>
      </c>
      <c r="E56" t="s">
        <v>1876</v>
      </c>
      <c r="F56" t="s">
        <v>1877</v>
      </c>
      <c r="G56" t="s">
        <v>1878</v>
      </c>
      <c r="H56" t="s">
        <v>1302</v>
      </c>
      <c r="I56" t="s">
        <v>39</v>
      </c>
      <c r="J56" t="s">
        <v>39</v>
      </c>
      <c r="K56" s="2">
        <v>46095</v>
      </c>
      <c r="L56" s="2">
        <v>46112</v>
      </c>
      <c r="M56" s="2">
        <v>46112</v>
      </c>
      <c r="N56" s="2">
        <v>46082</v>
      </c>
      <c r="O56" s="2">
        <v>46447</v>
      </c>
      <c r="P56">
        <v>12</v>
      </c>
      <c r="Q56" t="s">
        <v>40</v>
      </c>
      <c r="R56" t="s">
        <v>41</v>
      </c>
      <c r="S56" t="s">
        <v>112</v>
      </c>
      <c r="T56" t="s">
        <v>55</v>
      </c>
      <c r="U56" t="s">
        <v>56</v>
      </c>
      <c r="V56" t="s">
        <v>74</v>
      </c>
      <c r="W56" t="s">
        <v>136</v>
      </c>
      <c r="X56" t="s">
        <v>83</v>
      </c>
      <c r="Y56">
        <v>70000</v>
      </c>
      <c r="Z56">
        <v>70000</v>
      </c>
      <c r="AA56">
        <v>1</v>
      </c>
      <c r="AB56" t="s">
        <v>39</v>
      </c>
      <c r="AC56" t="s">
        <v>39</v>
      </c>
      <c r="AD56" t="s">
        <v>48</v>
      </c>
    </row>
    <row r="57" spans="1:30" x14ac:dyDescent="0.35">
      <c r="A57" t="s">
        <v>30</v>
      </c>
      <c r="B57" t="s">
        <v>1069</v>
      </c>
      <c r="C57" t="s">
        <v>640</v>
      </c>
      <c r="D57" t="s">
        <v>1171</v>
      </c>
      <c r="E57" t="s">
        <v>1172</v>
      </c>
      <c r="F57" t="s">
        <v>1173</v>
      </c>
      <c r="G57" t="s">
        <v>1174</v>
      </c>
      <c r="H57" t="s">
        <v>37</v>
      </c>
      <c r="I57" t="s">
        <v>39</v>
      </c>
      <c r="J57" t="s">
        <v>39</v>
      </c>
      <c r="K57" s="2">
        <v>46124</v>
      </c>
      <c r="L57" s="2">
        <v>46142</v>
      </c>
      <c r="M57" s="2">
        <v>46142</v>
      </c>
      <c r="N57" s="2">
        <v>46113</v>
      </c>
      <c r="O57" s="2">
        <v>46478</v>
      </c>
      <c r="P57">
        <v>12</v>
      </c>
      <c r="Q57" t="s">
        <v>65</v>
      </c>
      <c r="R57" t="s">
        <v>88</v>
      </c>
      <c r="S57" t="s">
        <v>163</v>
      </c>
      <c r="T57" t="s">
        <v>131</v>
      </c>
      <c r="U57" t="s">
        <v>44</v>
      </c>
      <c r="V57" t="s">
        <v>57</v>
      </c>
      <c r="W57" t="s">
        <v>142</v>
      </c>
      <c r="X57" t="s">
        <v>59</v>
      </c>
      <c r="Y57">
        <v>103090.21</v>
      </c>
      <c r="Z57">
        <v>103090.21</v>
      </c>
      <c r="AA57">
        <v>1</v>
      </c>
      <c r="AB57" t="s">
        <v>39</v>
      </c>
      <c r="AC57" t="s">
        <v>39</v>
      </c>
      <c r="AD57" t="s">
        <v>48</v>
      </c>
    </row>
    <row r="58" spans="1:30" x14ac:dyDescent="0.35">
      <c r="A58" t="s">
        <v>30</v>
      </c>
      <c r="B58" t="s">
        <v>1069</v>
      </c>
      <c r="C58" t="s">
        <v>640</v>
      </c>
      <c r="D58" t="s">
        <v>1175</v>
      </c>
      <c r="E58" t="s">
        <v>1176</v>
      </c>
      <c r="F58" t="s">
        <v>831</v>
      </c>
      <c r="G58" t="s">
        <v>832</v>
      </c>
      <c r="H58" t="s">
        <v>37</v>
      </c>
      <c r="I58" t="s">
        <v>39</v>
      </c>
      <c r="J58" t="s">
        <v>39</v>
      </c>
      <c r="K58" s="2">
        <v>46125</v>
      </c>
      <c r="L58" s="2">
        <v>46142</v>
      </c>
      <c r="M58" s="2">
        <v>46142</v>
      </c>
      <c r="N58" s="2">
        <v>46113</v>
      </c>
      <c r="O58" s="2">
        <v>46478</v>
      </c>
      <c r="P58">
        <v>12</v>
      </c>
      <c r="Q58" t="s">
        <v>65</v>
      </c>
      <c r="R58" t="s">
        <v>53</v>
      </c>
      <c r="S58" t="s">
        <v>222</v>
      </c>
      <c r="T58" t="s">
        <v>97</v>
      </c>
      <c r="U58" t="s">
        <v>56</v>
      </c>
      <c r="V58" t="s">
        <v>67</v>
      </c>
      <c r="W58" t="s">
        <v>136</v>
      </c>
      <c r="X58" t="s">
        <v>59</v>
      </c>
      <c r="Y58">
        <v>211396.16</v>
      </c>
      <c r="Z58">
        <v>211396.16</v>
      </c>
      <c r="AA58">
        <v>1</v>
      </c>
      <c r="AB58" t="s">
        <v>39</v>
      </c>
      <c r="AC58" t="s">
        <v>39</v>
      </c>
      <c r="AD58" t="s">
        <v>48</v>
      </c>
    </row>
    <row r="59" spans="1:30" x14ac:dyDescent="0.35">
      <c r="A59" t="s">
        <v>30</v>
      </c>
      <c r="B59" t="s">
        <v>1069</v>
      </c>
      <c r="C59" t="s">
        <v>640</v>
      </c>
      <c r="D59" t="s">
        <v>1177</v>
      </c>
      <c r="E59" t="s">
        <v>1178</v>
      </c>
      <c r="F59" t="s">
        <v>636</v>
      </c>
      <c r="G59" t="s">
        <v>637</v>
      </c>
      <c r="H59" t="s">
        <v>37</v>
      </c>
      <c r="I59" t="s">
        <v>39</v>
      </c>
      <c r="J59" t="s">
        <v>39</v>
      </c>
      <c r="K59" s="2">
        <v>46115</v>
      </c>
      <c r="L59" s="2">
        <v>46142</v>
      </c>
      <c r="M59" s="2">
        <v>46142</v>
      </c>
      <c r="N59" s="2">
        <v>46113</v>
      </c>
      <c r="O59" s="2">
        <v>46478</v>
      </c>
      <c r="P59">
        <v>12</v>
      </c>
      <c r="Q59" t="s">
        <v>65</v>
      </c>
      <c r="R59" t="s">
        <v>88</v>
      </c>
      <c r="S59" t="s">
        <v>280</v>
      </c>
      <c r="T59" t="s">
        <v>43</v>
      </c>
      <c r="U59" t="s">
        <v>56</v>
      </c>
      <c r="V59" t="s">
        <v>98</v>
      </c>
      <c r="W59" t="s">
        <v>58</v>
      </c>
      <c r="X59" t="s">
        <v>83</v>
      </c>
      <c r="Y59">
        <v>205883.77</v>
      </c>
      <c r="Z59">
        <v>205883.77</v>
      </c>
      <c r="AA59">
        <v>1</v>
      </c>
      <c r="AB59" t="s">
        <v>39</v>
      </c>
      <c r="AC59" t="s">
        <v>39</v>
      </c>
      <c r="AD59" t="s">
        <v>48</v>
      </c>
    </row>
    <row r="60" spans="1:30" x14ac:dyDescent="0.35">
      <c r="A60" t="s">
        <v>30</v>
      </c>
      <c r="B60" t="s">
        <v>1069</v>
      </c>
      <c r="C60" t="s">
        <v>640</v>
      </c>
      <c r="D60" t="s">
        <v>1179</v>
      </c>
      <c r="E60" t="s">
        <v>1180</v>
      </c>
      <c r="F60" t="s">
        <v>1181</v>
      </c>
      <c r="G60" t="s">
        <v>1182</v>
      </c>
      <c r="H60" t="s">
        <v>37</v>
      </c>
      <c r="I60" t="s">
        <v>39</v>
      </c>
      <c r="J60" t="s">
        <v>39</v>
      </c>
      <c r="K60" s="2">
        <v>46124</v>
      </c>
      <c r="L60" s="2">
        <v>46142</v>
      </c>
      <c r="M60" s="2">
        <v>46142</v>
      </c>
      <c r="N60" s="2">
        <v>46113</v>
      </c>
      <c r="O60" s="2">
        <v>46478</v>
      </c>
      <c r="P60">
        <v>12</v>
      </c>
      <c r="Q60" t="s">
        <v>40</v>
      </c>
      <c r="R60" t="s">
        <v>53</v>
      </c>
      <c r="S60" t="s">
        <v>112</v>
      </c>
      <c r="T60" t="s">
        <v>55</v>
      </c>
      <c r="U60" t="s">
        <v>56</v>
      </c>
      <c r="V60" t="s">
        <v>144</v>
      </c>
      <c r="W60" t="s">
        <v>132</v>
      </c>
      <c r="X60" t="s">
        <v>59</v>
      </c>
      <c r="Y60">
        <v>138271.04000000001</v>
      </c>
      <c r="Z60">
        <v>138271.04000000001</v>
      </c>
      <c r="AA60">
        <v>1</v>
      </c>
      <c r="AB60" t="s">
        <v>39</v>
      </c>
      <c r="AC60" t="s">
        <v>39</v>
      </c>
      <c r="AD60" t="s">
        <v>48</v>
      </c>
    </row>
    <row r="61" spans="1:30" x14ac:dyDescent="0.35">
      <c r="A61" t="s">
        <v>30</v>
      </c>
      <c r="B61" t="s">
        <v>1069</v>
      </c>
      <c r="C61" t="s">
        <v>640</v>
      </c>
      <c r="D61" t="s">
        <v>1183</v>
      </c>
      <c r="E61" t="s">
        <v>1184</v>
      </c>
      <c r="F61" t="s">
        <v>1185</v>
      </c>
      <c r="G61" t="s">
        <v>1186</v>
      </c>
      <c r="H61" t="s">
        <v>37</v>
      </c>
      <c r="I61" t="s">
        <v>39</v>
      </c>
      <c r="J61" t="s">
        <v>39</v>
      </c>
      <c r="K61" s="2">
        <v>46127</v>
      </c>
      <c r="L61" s="2">
        <v>46142</v>
      </c>
      <c r="M61" s="2">
        <v>46142</v>
      </c>
      <c r="N61" s="2">
        <v>46113</v>
      </c>
      <c r="O61" s="2">
        <v>46478</v>
      </c>
      <c r="P61">
        <v>12</v>
      </c>
      <c r="Q61" t="s">
        <v>104</v>
      </c>
      <c r="R61" t="s">
        <v>88</v>
      </c>
      <c r="S61" t="s">
        <v>164</v>
      </c>
      <c r="T61" t="s">
        <v>55</v>
      </c>
      <c r="U61" t="s">
        <v>56</v>
      </c>
      <c r="V61" t="s">
        <v>81</v>
      </c>
      <c r="W61" t="s">
        <v>75</v>
      </c>
      <c r="X61" t="s">
        <v>143</v>
      </c>
      <c r="Y61">
        <v>111795.36</v>
      </c>
      <c r="Z61">
        <v>111795.36</v>
      </c>
      <c r="AA61">
        <v>1</v>
      </c>
      <c r="AB61" t="s">
        <v>39</v>
      </c>
      <c r="AC61" t="s">
        <v>39</v>
      </c>
      <c r="AD61" t="s">
        <v>48</v>
      </c>
    </row>
    <row r="62" spans="1:30" x14ac:dyDescent="0.35">
      <c r="A62" t="s">
        <v>30</v>
      </c>
      <c r="B62" t="s">
        <v>1069</v>
      </c>
      <c r="C62" t="s">
        <v>640</v>
      </c>
      <c r="D62" t="s">
        <v>1187</v>
      </c>
      <c r="E62" t="s">
        <v>1188</v>
      </c>
      <c r="F62" t="s">
        <v>1189</v>
      </c>
      <c r="G62" t="s">
        <v>1190</v>
      </c>
      <c r="H62" t="s">
        <v>37</v>
      </c>
      <c r="I62" t="s">
        <v>39</v>
      </c>
      <c r="J62" t="s">
        <v>39</v>
      </c>
      <c r="K62" s="2">
        <v>46120</v>
      </c>
      <c r="L62" s="2">
        <v>46142</v>
      </c>
      <c r="M62" s="2">
        <v>46142</v>
      </c>
      <c r="N62" s="2">
        <v>46113</v>
      </c>
      <c r="O62" s="2">
        <v>46478</v>
      </c>
      <c r="P62">
        <v>12</v>
      </c>
      <c r="Q62" t="s">
        <v>65</v>
      </c>
      <c r="R62" t="s">
        <v>88</v>
      </c>
      <c r="S62" t="s">
        <v>89</v>
      </c>
      <c r="T62" t="s">
        <v>55</v>
      </c>
      <c r="U62" t="s">
        <v>56</v>
      </c>
      <c r="V62" t="s">
        <v>98</v>
      </c>
      <c r="W62" t="s">
        <v>161</v>
      </c>
      <c r="X62" t="s">
        <v>125</v>
      </c>
      <c r="Y62">
        <v>176460.13</v>
      </c>
      <c r="Z62">
        <v>176460.13</v>
      </c>
      <c r="AA62">
        <v>1</v>
      </c>
      <c r="AB62" t="s">
        <v>39</v>
      </c>
      <c r="AC62" t="s">
        <v>39</v>
      </c>
      <c r="AD62" t="s">
        <v>48</v>
      </c>
    </row>
    <row r="63" spans="1:30" x14ac:dyDescent="0.35">
      <c r="A63" t="s">
        <v>30</v>
      </c>
      <c r="B63" t="s">
        <v>1069</v>
      </c>
      <c r="C63" t="s">
        <v>640</v>
      </c>
      <c r="D63" t="s">
        <v>1191</v>
      </c>
      <c r="E63" t="s">
        <v>1192</v>
      </c>
      <c r="F63" t="s">
        <v>1193</v>
      </c>
      <c r="G63" t="s">
        <v>1194</v>
      </c>
      <c r="H63" t="s">
        <v>37</v>
      </c>
      <c r="I63" t="s">
        <v>39</v>
      </c>
      <c r="J63" t="s">
        <v>39</v>
      </c>
      <c r="K63" s="2">
        <v>46125</v>
      </c>
      <c r="L63" s="2">
        <v>46142</v>
      </c>
      <c r="M63" s="2">
        <v>46142</v>
      </c>
      <c r="N63" s="2">
        <v>46113</v>
      </c>
      <c r="O63" s="2">
        <v>46478</v>
      </c>
      <c r="P63">
        <v>12</v>
      </c>
      <c r="Q63" t="s">
        <v>104</v>
      </c>
      <c r="R63" t="s">
        <v>41</v>
      </c>
      <c r="S63" t="s">
        <v>137</v>
      </c>
      <c r="T63" t="s">
        <v>97</v>
      </c>
      <c r="U63" t="s">
        <v>106</v>
      </c>
      <c r="V63" t="s">
        <v>45</v>
      </c>
      <c r="W63" t="s">
        <v>136</v>
      </c>
      <c r="X63" t="s">
        <v>125</v>
      </c>
      <c r="Y63">
        <v>154802.9</v>
      </c>
      <c r="Z63">
        <v>154802.9</v>
      </c>
      <c r="AA63">
        <v>1</v>
      </c>
      <c r="AB63" t="s">
        <v>39</v>
      </c>
      <c r="AC63" t="s">
        <v>39</v>
      </c>
      <c r="AD63" t="s">
        <v>48</v>
      </c>
    </row>
    <row r="64" spans="1:30" x14ac:dyDescent="0.35">
      <c r="A64" t="s">
        <v>30</v>
      </c>
      <c r="B64" t="s">
        <v>1069</v>
      </c>
      <c r="C64" t="s">
        <v>640</v>
      </c>
      <c r="D64" t="s">
        <v>1195</v>
      </c>
      <c r="E64" t="s">
        <v>1196</v>
      </c>
      <c r="F64" t="s">
        <v>1197</v>
      </c>
      <c r="G64" t="s">
        <v>1198</v>
      </c>
      <c r="H64" t="s">
        <v>37</v>
      </c>
      <c r="I64" t="s">
        <v>39</v>
      </c>
      <c r="J64" t="s">
        <v>39</v>
      </c>
      <c r="K64" s="2">
        <v>46117</v>
      </c>
      <c r="L64" s="2">
        <v>46142</v>
      </c>
      <c r="M64" s="2">
        <v>46142</v>
      </c>
      <c r="N64" s="2">
        <v>46113</v>
      </c>
      <c r="O64" s="2">
        <v>46478</v>
      </c>
      <c r="P64">
        <v>12</v>
      </c>
      <c r="Q64" t="s">
        <v>104</v>
      </c>
      <c r="R64" t="s">
        <v>88</v>
      </c>
      <c r="S64" t="s">
        <v>66</v>
      </c>
      <c r="T64" t="s">
        <v>55</v>
      </c>
      <c r="U64" t="s">
        <v>44</v>
      </c>
      <c r="V64" t="s">
        <v>138</v>
      </c>
      <c r="W64" t="s">
        <v>161</v>
      </c>
      <c r="X64" t="s">
        <v>47</v>
      </c>
      <c r="Y64">
        <v>143697.73000000001</v>
      </c>
      <c r="Z64">
        <v>143697.73000000001</v>
      </c>
      <c r="AA64">
        <v>1</v>
      </c>
      <c r="AB64" t="s">
        <v>39</v>
      </c>
      <c r="AC64" t="s">
        <v>39</v>
      </c>
      <c r="AD64" t="s">
        <v>48</v>
      </c>
    </row>
    <row r="65" spans="1:30" x14ac:dyDescent="0.35">
      <c r="A65" t="s">
        <v>30</v>
      </c>
      <c r="B65" t="s">
        <v>1069</v>
      </c>
      <c r="C65" t="s">
        <v>640</v>
      </c>
      <c r="D65" t="s">
        <v>1199</v>
      </c>
      <c r="E65" t="s">
        <v>1200</v>
      </c>
      <c r="F65" t="s">
        <v>1201</v>
      </c>
      <c r="G65" t="s">
        <v>1202</v>
      </c>
      <c r="H65" t="s">
        <v>37</v>
      </c>
      <c r="I65" t="s">
        <v>39</v>
      </c>
      <c r="J65" t="s">
        <v>39</v>
      </c>
      <c r="K65" s="2">
        <v>46127</v>
      </c>
      <c r="L65" s="2">
        <v>46142</v>
      </c>
      <c r="M65" s="2">
        <v>46142</v>
      </c>
      <c r="N65" s="2">
        <v>46113</v>
      </c>
      <c r="O65" s="2">
        <v>46478</v>
      </c>
      <c r="P65">
        <v>12</v>
      </c>
      <c r="Q65" t="s">
        <v>65</v>
      </c>
      <c r="R65" t="s">
        <v>41</v>
      </c>
      <c r="S65" t="s">
        <v>118</v>
      </c>
      <c r="T65" t="s">
        <v>97</v>
      </c>
      <c r="U65" t="s">
        <v>106</v>
      </c>
      <c r="V65" t="s">
        <v>74</v>
      </c>
      <c r="W65" t="s">
        <v>75</v>
      </c>
      <c r="X65" t="s">
        <v>91</v>
      </c>
      <c r="Y65">
        <v>95901.77</v>
      </c>
      <c r="Z65">
        <v>95901.77</v>
      </c>
      <c r="AA65">
        <v>1</v>
      </c>
      <c r="AB65" t="s">
        <v>39</v>
      </c>
      <c r="AC65" t="s">
        <v>39</v>
      </c>
      <c r="AD65" t="s">
        <v>48</v>
      </c>
    </row>
    <row r="66" spans="1:30" x14ac:dyDescent="0.35">
      <c r="A66" t="s">
        <v>30</v>
      </c>
      <c r="B66" t="s">
        <v>1069</v>
      </c>
      <c r="C66" t="s">
        <v>640</v>
      </c>
      <c r="D66" t="s">
        <v>1203</v>
      </c>
      <c r="E66" t="s">
        <v>1204</v>
      </c>
      <c r="F66" t="s">
        <v>1205</v>
      </c>
      <c r="G66" t="s">
        <v>1206</v>
      </c>
      <c r="H66" t="s">
        <v>37</v>
      </c>
      <c r="I66" t="s">
        <v>39</v>
      </c>
      <c r="J66" t="s">
        <v>39</v>
      </c>
      <c r="K66" s="2">
        <v>46115</v>
      </c>
      <c r="L66" s="2">
        <v>46142</v>
      </c>
      <c r="M66" s="2">
        <v>46142</v>
      </c>
      <c r="N66" s="2">
        <v>46113</v>
      </c>
      <c r="O66" s="2">
        <v>46478</v>
      </c>
      <c r="P66">
        <v>12</v>
      </c>
      <c r="Q66" t="s">
        <v>104</v>
      </c>
      <c r="R66" t="s">
        <v>41</v>
      </c>
      <c r="S66" t="s">
        <v>42</v>
      </c>
      <c r="T66" t="s">
        <v>43</v>
      </c>
      <c r="U66" t="s">
        <v>106</v>
      </c>
      <c r="V66" t="s">
        <v>217</v>
      </c>
      <c r="W66" t="s">
        <v>142</v>
      </c>
      <c r="X66" t="s">
        <v>158</v>
      </c>
      <c r="Y66">
        <v>131816.85999999999</v>
      </c>
      <c r="Z66">
        <v>131816.85999999999</v>
      </c>
      <c r="AA66">
        <v>1</v>
      </c>
      <c r="AB66" t="s">
        <v>39</v>
      </c>
      <c r="AC66" t="s">
        <v>39</v>
      </c>
      <c r="AD66" t="s">
        <v>48</v>
      </c>
    </row>
    <row r="67" spans="1:30" x14ac:dyDescent="0.35">
      <c r="A67" t="s">
        <v>30</v>
      </c>
      <c r="B67" t="s">
        <v>1069</v>
      </c>
      <c r="C67" t="s">
        <v>640</v>
      </c>
      <c r="D67" t="s">
        <v>1207</v>
      </c>
      <c r="E67" t="s">
        <v>1208</v>
      </c>
      <c r="F67" t="s">
        <v>1209</v>
      </c>
      <c r="G67" t="s">
        <v>1210</v>
      </c>
      <c r="H67" t="s">
        <v>37</v>
      </c>
      <c r="I67" t="s">
        <v>39</v>
      </c>
      <c r="J67" t="s">
        <v>39</v>
      </c>
      <c r="K67" s="2">
        <v>46119</v>
      </c>
      <c r="L67" s="2">
        <v>46142</v>
      </c>
      <c r="M67" s="2">
        <v>46142</v>
      </c>
      <c r="N67" s="2">
        <v>46113</v>
      </c>
      <c r="O67" s="2">
        <v>46478</v>
      </c>
      <c r="P67">
        <v>12</v>
      </c>
      <c r="Q67" t="s">
        <v>104</v>
      </c>
      <c r="R67" t="s">
        <v>53</v>
      </c>
      <c r="S67" t="s">
        <v>141</v>
      </c>
      <c r="T67" t="s">
        <v>131</v>
      </c>
      <c r="U67" t="s">
        <v>44</v>
      </c>
      <c r="V67" t="s">
        <v>144</v>
      </c>
      <c r="W67" t="s">
        <v>90</v>
      </c>
      <c r="X67" t="s">
        <v>143</v>
      </c>
      <c r="Y67">
        <v>176884.06</v>
      </c>
      <c r="Z67">
        <v>176884.06</v>
      </c>
      <c r="AA67">
        <v>1</v>
      </c>
      <c r="AB67" t="s">
        <v>39</v>
      </c>
      <c r="AC67" t="s">
        <v>39</v>
      </c>
      <c r="AD67" t="s">
        <v>48</v>
      </c>
    </row>
    <row r="68" spans="1:30" x14ac:dyDescent="0.35">
      <c r="A68" t="s">
        <v>30</v>
      </c>
      <c r="B68" t="s">
        <v>1069</v>
      </c>
      <c r="C68" t="s">
        <v>640</v>
      </c>
      <c r="D68" t="s">
        <v>1879</v>
      </c>
      <c r="E68" t="s">
        <v>1880</v>
      </c>
      <c r="F68" t="s">
        <v>1881</v>
      </c>
      <c r="G68" t="s">
        <v>1882</v>
      </c>
      <c r="H68" t="s">
        <v>1271</v>
      </c>
      <c r="I68" t="s">
        <v>39</v>
      </c>
      <c r="J68" t="s">
        <v>39</v>
      </c>
      <c r="K68" s="2">
        <v>46122</v>
      </c>
      <c r="L68" s="2">
        <v>46142</v>
      </c>
      <c r="M68" s="2">
        <v>46142</v>
      </c>
      <c r="N68" s="2">
        <v>46113</v>
      </c>
      <c r="O68" s="2">
        <v>46844</v>
      </c>
      <c r="P68">
        <v>24</v>
      </c>
      <c r="Q68" t="s">
        <v>104</v>
      </c>
      <c r="R68" t="s">
        <v>88</v>
      </c>
      <c r="S68" t="s">
        <v>96</v>
      </c>
      <c r="T68" t="s">
        <v>97</v>
      </c>
      <c r="U68" t="s">
        <v>56</v>
      </c>
      <c r="V68" t="s">
        <v>67</v>
      </c>
      <c r="W68" t="s">
        <v>120</v>
      </c>
      <c r="X68" t="s">
        <v>158</v>
      </c>
      <c r="Y68">
        <v>159871.20000000001</v>
      </c>
      <c r="Z68">
        <v>159871.20000000001</v>
      </c>
      <c r="AA68">
        <v>1</v>
      </c>
      <c r="AB68" t="s">
        <v>39</v>
      </c>
      <c r="AC68" t="s">
        <v>39</v>
      </c>
      <c r="AD68" t="s">
        <v>48</v>
      </c>
    </row>
    <row r="69" spans="1:30" x14ac:dyDescent="0.35">
      <c r="A69" t="s">
        <v>30</v>
      </c>
      <c r="B69" t="s">
        <v>1069</v>
      </c>
      <c r="C69" t="s">
        <v>640</v>
      </c>
      <c r="D69" t="s">
        <v>1883</v>
      </c>
      <c r="E69" t="s">
        <v>1884</v>
      </c>
      <c r="F69" t="s">
        <v>242</v>
      </c>
      <c r="G69" t="s">
        <v>243</v>
      </c>
      <c r="H69" t="s">
        <v>1271</v>
      </c>
      <c r="I69" t="s">
        <v>39</v>
      </c>
      <c r="J69" t="s">
        <v>39</v>
      </c>
      <c r="K69" s="2">
        <v>46118</v>
      </c>
      <c r="L69" s="2">
        <v>46142</v>
      </c>
      <c r="M69" s="2">
        <v>46142</v>
      </c>
      <c r="N69" s="2">
        <v>46113</v>
      </c>
      <c r="O69" s="2">
        <v>46478</v>
      </c>
      <c r="P69">
        <v>12</v>
      </c>
      <c r="Q69" t="s">
        <v>40</v>
      </c>
      <c r="R69" t="s">
        <v>53</v>
      </c>
      <c r="S69" t="s">
        <v>182</v>
      </c>
      <c r="T69" t="s">
        <v>97</v>
      </c>
      <c r="U69" t="s">
        <v>44</v>
      </c>
      <c r="V69" t="s">
        <v>138</v>
      </c>
      <c r="W69" t="s">
        <v>58</v>
      </c>
      <c r="X69" t="s">
        <v>47</v>
      </c>
      <c r="Y69">
        <v>148846.04</v>
      </c>
      <c r="Z69">
        <v>148846.04</v>
      </c>
      <c r="AA69">
        <v>1</v>
      </c>
      <c r="AB69" t="s">
        <v>39</v>
      </c>
      <c r="AC69" t="s">
        <v>39</v>
      </c>
      <c r="AD69" t="s">
        <v>48</v>
      </c>
    </row>
    <row r="70" spans="1:30" x14ac:dyDescent="0.35">
      <c r="A70" t="s">
        <v>30</v>
      </c>
      <c r="B70" t="s">
        <v>1069</v>
      </c>
      <c r="C70" t="s">
        <v>640</v>
      </c>
      <c r="D70" t="s">
        <v>1885</v>
      </c>
      <c r="E70" t="s">
        <v>1886</v>
      </c>
      <c r="F70" t="s">
        <v>1549</v>
      </c>
      <c r="G70" t="s">
        <v>1550</v>
      </c>
      <c r="H70" t="s">
        <v>1271</v>
      </c>
      <c r="I70" t="s">
        <v>39</v>
      </c>
      <c r="J70" t="s">
        <v>39</v>
      </c>
      <c r="K70" s="2">
        <v>46123</v>
      </c>
      <c r="L70" s="2">
        <v>46142</v>
      </c>
      <c r="M70" s="2">
        <v>46142</v>
      </c>
      <c r="N70" s="2">
        <v>46113</v>
      </c>
      <c r="O70" s="2">
        <v>46844</v>
      </c>
      <c r="P70">
        <v>24</v>
      </c>
      <c r="Q70" t="s">
        <v>65</v>
      </c>
      <c r="R70" t="s">
        <v>53</v>
      </c>
      <c r="S70" t="s">
        <v>137</v>
      </c>
      <c r="T70" t="s">
        <v>97</v>
      </c>
      <c r="U70" t="s">
        <v>56</v>
      </c>
      <c r="V70" t="s">
        <v>217</v>
      </c>
      <c r="W70" t="s">
        <v>161</v>
      </c>
      <c r="X70" t="s">
        <v>143</v>
      </c>
      <c r="Y70">
        <v>125397.6</v>
      </c>
      <c r="Z70">
        <v>125397.6</v>
      </c>
      <c r="AA70">
        <v>1</v>
      </c>
      <c r="AB70" t="s">
        <v>39</v>
      </c>
      <c r="AC70" t="s">
        <v>39</v>
      </c>
      <c r="AD70" t="s">
        <v>48</v>
      </c>
    </row>
    <row r="71" spans="1:30" x14ac:dyDescent="0.35">
      <c r="A71" t="s">
        <v>30</v>
      </c>
      <c r="B71" t="s">
        <v>1069</v>
      </c>
      <c r="C71" t="s">
        <v>640</v>
      </c>
      <c r="D71" t="s">
        <v>1887</v>
      </c>
      <c r="E71" t="s">
        <v>1888</v>
      </c>
      <c r="F71" t="s">
        <v>180</v>
      </c>
      <c r="G71" t="s">
        <v>181</v>
      </c>
      <c r="H71" t="s">
        <v>1271</v>
      </c>
      <c r="I71" t="s">
        <v>39</v>
      </c>
      <c r="J71" t="s">
        <v>39</v>
      </c>
      <c r="K71" s="2">
        <v>46125</v>
      </c>
      <c r="L71" s="2">
        <v>46142</v>
      </c>
      <c r="M71" s="2">
        <v>46142</v>
      </c>
      <c r="N71" s="2">
        <v>46113</v>
      </c>
      <c r="O71" s="2">
        <v>46478</v>
      </c>
      <c r="P71">
        <v>12</v>
      </c>
      <c r="Q71" t="s">
        <v>40</v>
      </c>
      <c r="R71" t="s">
        <v>53</v>
      </c>
      <c r="S71" t="s">
        <v>182</v>
      </c>
      <c r="T71" t="s">
        <v>97</v>
      </c>
      <c r="U71" t="s">
        <v>106</v>
      </c>
      <c r="V71" t="s">
        <v>138</v>
      </c>
      <c r="W71" t="s">
        <v>120</v>
      </c>
      <c r="X71" t="s">
        <v>125</v>
      </c>
      <c r="Y71">
        <v>164837.13</v>
      </c>
      <c r="Z71">
        <v>164837.13</v>
      </c>
      <c r="AA71">
        <v>1</v>
      </c>
      <c r="AB71" t="s">
        <v>39</v>
      </c>
      <c r="AC71" t="s">
        <v>39</v>
      </c>
      <c r="AD71" t="s">
        <v>48</v>
      </c>
    </row>
    <row r="72" spans="1:30" x14ac:dyDescent="0.35">
      <c r="A72" t="s">
        <v>30</v>
      </c>
      <c r="B72" t="s">
        <v>1069</v>
      </c>
      <c r="C72" t="s">
        <v>640</v>
      </c>
      <c r="D72" t="s">
        <v>1889</v>
      </c>
      <c r="E72" t="s">
        <v>1890</v>
      </c>
      <c r="F72" t="s">
        <v>1409</v>
      </c>
      <c r="G72" t="s">
        <v>1410</v>
      </c>
      <c r="H72" t="s">
        <v>1271</v>
      </c>
      <c r="I72" t="s">
        <v>39</v>
      </c>
      <c r="J72" t="s">
        <v>39</v>
      </c>
      <c r="K72" s="2">
        <v>46115</v>
      </c>
      <c r="L72" s="2">
        <v>46142</v>
      </c>
      <c r="M72" s="2">
        <v>46142</v>
      </c>
      <c r="N72" s="2">
        <v>46113</v>
      </c>
      <c r="O72" s="2">
        <v>46478</v>
      </c>
      <c r="P72">
        <v>12</v>
      </c>
      <c r="Q72" t="s">
        <v>104</v>
      </c>
      <c r="R72" t="s">
        <v>41</v>
      </c>
      <c r="S72" t="s">
        <v>105</v>
      </c>
      <c r="T72" t="s">
        <v>55</v>
      </c>
      <c r="U72" t="s">
        <v>56</v>
      </c>
      <c r="V72" t="s">
        <v>67</v>
      </c>
      <c r="W72" t="s">
        <v>58</v>
      </c>
      <c r="X72" t="s">
        <v>91</v>
      </c>
      <c r="Y72">
        <v>91436.68</v>
      </c>
      <c r="Z72">
        <v>91436.68</v>
      </c>
      <c r="AA72">
        <v>1</v>
      </c>
      <c r="AB72" t="s">
        <v>39</v>
      </c>
      <c r="AC72" t="s">
        <v>39</v>
      </c>
      <c r="AD72" t="s">
        <v>48</v>
      </c>
    </row>
    <row r="73" spans="1:30" x14ac:dyDescent="0.35">
      <c r="A73" t="s">
        <v>30</v>
      </c>
      <c r="B73" t="s">
        <v>1069</v>
      </c>
      <c r="C73" t="s">
        <v>640</v>
      </c>
      <c r="D73" t="s">
        <v>1891</v>
      </c>
      <c r="E73" t="s">
        <v>1892</v>
      </c>
      <c r="F73" t="s">
        <v>1893</v>
      </c>
      <c r="G73" t="s">
        <v>1894</v>
      </c>
      <c r="H73" t="s">
        <v>1271</v>
      </c>
      <c r="I73" t="s">
        <v>39</v>
      </c>
      <c r="J73" t="s">
        <v>39</v>
      </c>
      <c r="K73" s="2">
        <v>46114</v>
      </c>
      <c r="L73" s="2">
        <v>46142</v>
      </c>
      <c r="M73" s="2">
        <v>46142</v>
      </c>
      <c r="N73" s="2">
        <v>46113</v>
      </c>
      <c r="O73" s="2">
        <v>46478</v>
      </c>
      <c r="P73">
        <v>12</v>
      </c>
      <c r="Q73" t="s">
        <v>65</v>
      </c>
      <c r="R73" t="s">
        <v>53</v>
      </c>
      <c r="S73" t="s">
        <v>162</v>
      </c>
      <c r="T73" t="s">
        <v>43</v>
      </c>
      <c r="U73" t="s">
        <v>56</v>
      </c>
      <c r="V73" t="s">
        <v>74</v>
      </c>
      <c r="W73" t="s">
        <v>136</v>
      </c>
      <c r="X73" t="s">
        <v>47</v>
      </c>
      <c r="Y73">
        <v>159611.34</v>
      </c>
      <c r="Z73">
        <v>159611.34</v>
      </c>
      <c r="AA73">
        <v>1</v>
      </c>
      <c r="AB73" t="s">
        <v>39</v>
      </c>
      <c r="AC73" t="s">
        <v>39</v>
      </c>
      <c r="AD73" t="s">
        <v>48</v>
      </c>
    </row>
    <row r="74" spans="1:30" x14ac:dyDescent="0.35">
      <c r="A74" t="s">
        <v>30</v>
      </c>
      <c r="B74" t="s">
        <v>1069</v>
      </c>
      <c r="C74" t="s">
        <v>640</v>
      </c>
      <c r="D74" t="s">
        <v>1895</v>
      </c>
      <c r="E74" t="s">
        <v>1896</v>
      </c>
      <c r="F74" t="s">
        <v>899</v>
      </c>
      <c r="G74" t="s">
        <v>900</v>
      </c>
      <c r="H74" t="s">
        <v>1290</v>
      </c>
      <c r="I74" t="s">
        <v>103</v>
      </c>
      <c r="J74" t="s">
        <v>1290</v>
      </c>
      <c r="K74" s="2">
        <v>46126</v>
      </c>
      <c r="L74" s="2">
        <v>46142</v>
      </c>
      <c r="N74" s="2">
        <v>46113</v>
      </c>
      <c r="O74" s="2">
        <v>46478</v>
      </c>
      <c r="P74">
        <v>12</v>
      </c>
      <c r="Q74" t="s">
        <v>40</v>
      </c>
      <c r="R74" t="s">
        <v>88</v>
      </c>
      <c r="S74" t="s">
        <v>130</v>
      </c>
      <c r="T74" t="s">
        <v>131</v>
      </c>
      <c r="U74" t="s">
        <v>56</v>
      </c>
      <c r="V74" t="s">
        <v>119</v>
      </c>
      <c r="W74" t="s">
        <v>161</v>
      </c>
      <c r="X74" t="s">
        <v>125</v>
      </c>
      <c r="Y74">
        <v>225000</v>
      </c>
      <c r="Z74">
        <v>225000</v>
      </c>
      <c r="AA74">
        <v>1</v>
      </c>
      <c r="AB74" t="s">
        <v>1290</v>
      </c>
      <c r="AC74" t="s">
        <v>1290</v>
      </c>
      <c r="AD74" t="s">
        <v>48</v>
      </c>
    </row>
    <row r="75" spans="1:30" x14ac:dyDescent="0.35">
      <c r="A75" t="s">
        <v>30</v>
      </c>
      <c r="B75" t="s">
        <v>1069</v>
      </c>
      <c r="C75" t="s">
        <v>640</v>
      </c>
      <c r="D75" t="s">
        <v>1897</v>
      </c>
      <c r="E75" t="s">
        <v>1898</v>
      </c>
      <c r="F75" t="s">
        <v>1899</v>
      </c>
      <c r="G75" t="s">
        <v>1900</v>
      </c>
      <c r="H75" t="s">
        <v>1295</v>
      </c>
      <c r="I75" t="s">
        <v>38</v>
      </c>
      <c r="J75" t="s">
        <v>1295</v>
      </c>
      <c r="K75" s="2">
        <v>46126</v>
      </c>
      <c r="L75" s="2">
        <v>46142</v>
      </c>
      <c r="N75" s="2">
        <v>46113</v>
      </c>
      <c r="O75" s="2">
        <v>46478</v>
      </c>
      <c r="P75">
        <v>12</v>
      </c>
      <c r="Q75" t="s">
        <v>65</v>
      </c>
      <c r="R75" t="s">
        <v>88</v>
      </c>
      <c r="S75" t="s">
        <v>164</v>
      </c>
      <c r="T75" t="s">
        <v>55</v>
      </c>
      <c r="U75" t="s">
        <v>56</v>
      </c>
      <c r="V75" t="s">
        <v>81</v>
      </c>
      <c r="W75" t="s">
        <v>82</v>
      </c>
      <c r="X75" t="s">
        <v>158</v>
      </c>
      <c r="Y75">
        <v>206427</v>
      </c>
      <c r="Z75">
        <v>206427</v>
      </c>
      <c r="AA75">
        <v>1</v>
      </c>
      <c r="AB75" t="s">
        <v>1295</v>
      </c>
      <c r="AC75" t="s">
        <v>1295</v>
      </c>
      <c r="AD75" t="s">
        <v>48</v>
      </c>
    </row>
    <row r="76" spans="1:30" x14ac:dyDescent="0.35">
      <c r="A76" t="s">
        <v>30</v>
      </c>
      <c r="B76" t="s">
        <v>1069</v>
      </c>
      <c r="C76" t="s">
        <v>640</v>
      </c>
      <c r="D76" t="s">
        <v>1901</v>
      </c>
      <c r="E76" t="s">
        <v>1902</v>
      </c>
      <c r="F76" t="s">
        <v>1903</v>
      </c>
      <c r="G76" t="s">
        <v>1904</v>
      </c>
      <c r="H76" t="s">
        <v>1295</v>
      </c>
      <c r="I76" t="s">
        <v>103</v>
      </c>
      <c r="J76" t="s">
        <v>1295</v>
      </c>
      <c r="K76" s="2">
        <v>46126</v>
      </c>
      <c r="L76" s="2">
        <v>46142</v>
      </c>
      <c r="N76" s="2">
        <v>46113</v>
      </c>
      <c r="O76" s="2">
        <v>46478</v>
      </c>
      <c r="P76">
        <v>12</v>
      </c>
      <c r="Q76" t="s">
        <v>104</v>
      </c>
      <c r="R76" t="s">
        <v>88</v>
      </c>
      <c r="S76" t="s">
        <v>140</v>
      </c>
      <c r="T76" t="s">
        <v>97</v>
      </c>
      <c r="U76" t="s">
        <v>106</v>
      </c>
      <c r="V76" t="s">
        <v>45</v>
      </c>
      <c r="W76" t="s">
        <v>58</v>
      </c>
      <c r="X76" t="s">
        <v>83</v>
      </c>
      <c r="Y76">
        <v>263573</v>
      </c>
      <c r="Z76">
        <v>263573</v>
      </c>
      <c r="AA76">
        <v>1</v>
      </c>
      <c r="AB76" t="s">
        <v>1295</v>
      </c>
      <c r="AC76" t="s">
        <v>1295</v>
      </c>
      <c r="AD76" t="s">
        <v>48</v>
      </c>
    </row>
    <row r="77" spans="1:30" x14ac:dyDescent="0.35">
      <c r="A77" t="s">
        <v>30</v>
      </c>
      <c r="B77" t="s">
        <v>1069</v>
      </c>
      <c r="C77" t="s">
        <v>640</v>
      </c>
      <c r="D77" t="s">
        <v>1905</v>
      </c>
      <c r="E77" t="s">
        <v>1906</v>
      </c>
      <c r="F77" t="s">
        <v>1907</v>
      </c>
      <c r="G77" t="s">
        <v>1908</v>
      </c>
      <c r="H77" t="s">
        <v>1302</v>
      </c>
      <c r="I77" t="s">
        <v>39</v>
      </c>
      <c r="J77" t="s">
        <v>39</v>
      </c>
      <c r="K77" s="2">
        <v>46126</v>
      </c>
      <c r="L77" s="2">
        <v>46142</v>
      </c>
      <c r="M77" s="2">
        <v>46142</v>
      </c>
      <c r="N77" s="2">
        <v>46113</v>
      </c>
      <c r="O77" s="2">
        <v>46478</v>
      </c>
      <c r="P77">
        <v>12</v>
      </c>
      <c r="Q77" t="s">
        <v>104</v>
      </c>
      <c r="R77" t="s">
        <v>88</v>
      </c>
      <c r="S77" t="s">
        <v>89</v>
      </c>
      <c r="T77" t="s">
        <v>55</v>
      </c>
      <c r="U77" t="s">
        <v>44</v>
      </c>
      <c r="V77" t="s">
        <v>57</v>
      </c>
      <c r="W77" t="s">
        <v>120</v>
      </c>
      <c r="X77" t="s">
        <v>47</v>
      </c>
      <c r="Y77">
        <v>75000</v>
      </c>
      <c r="Z77">
        <v>75000</v>
      </c>
      <c r="AA77">
        <v>1</v>
      </c>
      <c r="AB77" t="s">
        <v>39</v>
      </c>
      <c r="AC77" t="s">
        <v>39</v>
      </c>
      <c r="AD77" t="s">
        <v>48</v>
      </c>
    </row>
    <row r="78" spans="1:30" x14ac:dyDescent="0.35">
      <c r="A78" t="s">
        <v>30</v>
      </c>
      <c r="B78" t="s">
        <v>1069</v>
      </c>
      <c r="C78" t="s">
        <v>691</v>
      </c>
      <c r="D78" t="s">
        <v>1221</v>
      </c>
      <c r="E78" t="s">
        <v>1222</v>
      </c>
      <c r="F78" t="s">
        <v>1223</v>
      </c>
      <c r="G78" t="s">
        <v>1224</v>
      </c>
      <c r="H78" t="s">
        <v>37</v>
      </c>
      <c r="I78" t="s">
        <v>39</v>
      </c>
      <c r="J78" t="s">
        <v>39</v>
      </c>
      <c r="K78" s="2">
        <v>46143</v>
      </c>
      <c r="L78" s="2">
        <v>46173</v>
      </c>
      <c r="M78" s="2">
        <v>46173</v>
      </c>
      <c r="N78" s="2">
        <v>46143</v>
      </c>
      <c r="O78" s="2">
        <v>46874</v>
      </c>
      <c r="P78">
        <v>24</v>
      </c>
      <c r="Q78" t="s">
        <v>104</v>
      </c>
      <c r="R78" t="s">
        <v>53</v>
      </c>
      <c r="S78" t="s">
        <v>162</v>
      </c>
      <c r="T78" t="s">
        <v>43</v>
      </c>
      <c r="U78" t="s">
        <v>56</v>
      </c>
      <c r="V78" t="s">
        <v>57</v>
      </c>
      <c r="W78" t="s">
        <v>120</v>
      </c>
      <c r="X78" t="s">
        <v>158</v>
      </c>
      <c r="Y78">
        <v>112682.33</v>
      </c>
      <c r="Z78">
        <v>112682.33</v>
      </c>
      <c r="AA78">
        <v>1</v>
      </c>
      <c r="AB78" t="s">
        <v>39</v>
      </c>
      <c r="AC78" t="s">
        <v>39</v>
      </c>
      <c r="AD78" t="s">
        <v>48</v>
      </c>
    </row>
    <row r="79" spans="1:30" x14ac:dyDescent="0.35">
      <c r="A79" t="s">
        <v>30</v>
      </c>
      <c r="B79" t="s">
        <v>1069</v>
      </c>
      <c r="C79" t="s">
        <v>691</v>
      </c>
      <c r="D79" t="s">
        <v>1225</v>
      </c>
      <c r="E79" t="s">
        <v>1226</v>
      </c>
      <c r="F79" t="s">
        <v>1227</v>
      </c>
      <c r="G79" t="s">
        <v>1228</v>
      </c>
      <c r="H79" t="s">
        <v>37</v>
      </c>
      <c r="I79" t="s">
        <v>39</v>
      </c>
      <c r="J79" t="s">
        <v>39</v>
      </c>
      <c r="K79" s="2">
        <v>46147</v>
      </c>
      <c r="L79" s="2">
        <v>46173</v>
      </c>
      <c r="M79" s="2">
        <v>46173</v>
      </c>
      <c r="N79" s="2">
        <v>46143</v>
      </c>
      <c r="O79" s="2">
        <v>46508</v>
      </c>
      <c r="P79">
        <v>12</v>
      </c>
      <c r="Q79" t="s">
        <v>40</v>
      </c>
      <c r="R79" t="s">
        <v>53</v>
      </c>
      <c r="S79" t="s">
        <v>139</v>
      </c>
      <c r="T79" t="s">
        <v>43</v>
      </c>
      <c r="U79" t="s">
        <v>106</v>
      </c>
      <c r="V79" t="s">
        <v>57</v>
      </c>
      <c r="W79" t="s">
        <v>142</v>
      </c>
      <c r="X79" t="s">
        <v>68</v>
      </c>
      <c r="Y79">
        <v>202439.39</v>
      </c>
      <c r="Z79">
        <v>202439.39</v>
      </c>
      <c r="AA79">
        <v>1</v>
      </c>
      <c r="AB79" t="s">
        <v>39</v>
      </c>
      <c r="AC79" t="s">
        <v>39</v>
      </c>
      <c r="AD79" t="s">
        <v>48</v>
      </c>
    </row>
    <row r="80" spans="1:30" x14ac:dyDescent="0.35">
      <c r="A80" t="s">
        <v>30</v>
      </c>
      <c r="B80" t="s">
        <v>1069</v>
      </c>
      <c r="C80" t="s">
        <v>691</v>
      </c>
      <c r="D80" t="s">
        <v>1229</v>
      </c>
      <c r="E80" t="s">
        <v>1230</v>
      </c>
      <c r="F80" t="s">
        <v>1231</v>
      </c>
      <c r="G80" t="s">
        <v>1232</v>
      </c>
      <c r="H80" t="s">
        <v>37</v>
      </c>
      <c r="I80" t="s">
        <v>39</v>
      </c>
      <c r="J80" t="s">
        <v>39</v>
      </c>
      <c r="K80" s="2">
        <v>46151</v>
      </c>
      <c r="L80" s="2">
        <v>46173</v>
      </c>
      <c r="M80" s="2">
        <v>46173</v>
      </c>
      <c r="N80" s="2">
        <v>46143</v>
      </c>
      <c r="O80" s="2">
        <v>46508</v>
      </c>
      <c r="P80">
        <v>12</v>
      </c>
      <c r="Q80" t="s">
        <v>40</v>
      </c>
      <c r="R80" t="s">
        <v>88</v>
      </c>
      <c r="S80" t="s">
        <v>137</v>
      </c>
      <c r="T80" t="s">
        <v>97</v>
      </c>
      <c r="U80" t="s">
        <v>106</v>
      </c>
      <c r="V80" t="s">
        <v>67</v>
      </c>
      <c r="W80" t="s">
        <v>150</v>
      </c>
      <c r="X80" t="s">
        <v>158</v>
      </c>
      <c r="Y80">
        <v>159598.16</v>
      </c>
      <c r="Z80">
        <v>159598.16</v>
      </c>
      <c r="AA80">
        <v>1</v>
      </c>
      <c r="AB80" t="s">
        <v>39</v>
      </c>
      <c r="AC80" t="s">
        <v>39</v>
      </c>
      <c r="AD80" t="s">
        <v>48</v>
      </c>
    </row>
    <row r="81" spans="1:30" x14ac:dyDescent="0.35">
      <c r="A81" t="s">
        <v>30</v>
      </c>
      <c r="B81" t="s">
        <v>1069</v>
      </c>
      <c r="C81" t="s">
        <v>691</v>
      </c>
      <c r="D81" t="s">
        <v>1233</v>
      </c>
      <c r="E81" t="s">
        <v>1234</v>
      </c>
      <c r="F81" t="s">
        <v>220</v>
      </c>
      <c r="G81" t="s">
        <v>221</v>
      </c>
      <c r="H81" t="s">
        <v>37</v>
      </c>
      <c r="I81" t="s">
        <v>39</v>
      </c>
      <c r="J81" t="s">
        <v>39</v>
      </c>
      <c r="K81" s="2">
        <v>46154</v>
      </c>
      <c r="L81" s="2">
        <v>46173</v>
      </c>
      <c r="M81" s="2">
        <v>46173</v>
      </c>
      <c r="N81" s="2">
        <v>46143</v>
      </c>
      <c r="O81" s="2">
        <v>46874</v>
      </c>
      <c r="P81">
        <v>24</v>
      </c>
      <c r="Q81" t="s">
        <v>104</v>
      </c>
      <c r="R81" t="s">
        <v>88</v>
      </c>
      <c r="S81" t="s">
        <v>118</v>
      </c>
      <c r="T81" t="s">
        <v>97</v>
      </c>
      <c r="U81" t="s">
        <v>44</v>
      </c>
      <c r="V81" t="s">
        <v>138</v>
      </c>
      <c r="W81" t="s">
        <v>132</v>
      </c>
      <c r="X81" t="s">
        <v>47</v>
      </c>
      <c r="Y81">
        <v>142055.29</v>
      </c>
      <c r="Z81">
        <v>142055.29</v>
      </c>
      <c r="AA81">
        <v>1</v>
      </c>
      <c r="AB81" t="s">
        <v>39</v>
      </c>
      <c r="AC81" t="s">
        <v>39</v>
      </c>
      <c r="AD81" t="s">
        <v>48</v>
      </c>
    </row>
    <row r="82" spans="1:30" x14ac:dyDescent="0.35">
      <c r="A82" t="s">
        <v>30</v>
      </c>
      <c r="B82" t="s">
        <v>1069</v>
      </c>
      <c r="C82" t="s">
        <v>691</v>
      </c>
      <c r="D82" t="s">
        <v>1235</v>
      </c>
      <c r="E82" t="s">
        <v>1236</v>
      </c>
      <c r="F82" t="s">
        <v>1237</v>
      </c>
      <c r="G82" t="s">
        <v>1238</v>
      </c>
      <c r="H82" t="s">
        <v>37</v>
      </c>
      <c r="I82" t="s">
        <v>39</v>
      </c>
      <c r="J82" t="s">
        <v>39</v>
      </c>
      <c r="K82" s="2">
        <v>46146</v>
      </c>
      <c r="L82" s="2">
        <v>46173</v>
      </c>
      <c r="M82" s="2">
        <v>46173</v>
      </c>
      <c r="N82" s="2">
        <v>46143</v>
      </c>
      <c r="O82" s="2">
        <v>46874</v>
      </c>
      <c r="P82">
        <v>24</v>
      </c>
      <c r="Q82" t="s">
        <v>104</v>
      </c>
      <c r="R82" t="s">
        <v>88</v>
      </c>
      <c r="S82" t="s">
        <v>105</v>
      </c>
      <c r="T82" t="s">
        <v>55</v>
      </c>
      <c r="U82" t="s">
        <v>44</v>
      </c>
      <c r="V82" t="s">
        <v>138</v>
      </c>
      <c r="W82" t="s">
        <v>136</v>
      </c>
      <c r="X82" t="s">
        <v>158</v>
      </c>
      <c r="Y82">
        <v>169771.99</v>
      </c>
      <c r="Z82">
        <v>169771.99</v>
      </c>
      <c r="AA82">
        <v>1</v>
      </c>
      <c r="AB82" t="s">
        <v>39</v>
      </c>
      <c r="AC82" t="s">
        <v>39</v>
      </c>
      <c r="AD82" t="s">
        <v>48</v>
      </c>
    </row>
    <row r="83" spans="1:30" x14ac:dyDescent="0.35">
      <c r="A83" t="s">
        <v>30</v>
      </c>
      <c r="B83" t="s">
        <v>1069</v>
      </c>
      <c r="C83" t="s">
        <v>691</v>
      </c>
      <c r="D83" t="s">
        <v>1239</v>
      </c>
      <c r="E83" t="s">
        <v>1240</v>
      </c>
      <c r="F83" t="s">
        <v>1241</v>
      </c>
      <c r="G83" t="s">
        <v>1242</v>
      </c>
      <c r="H83" t="s">
        <v>37</v>
      </c>
      <c r="I83" t="s">
        <v>39</v>
      </c>
      <c r="J83" t="s">
        <v>39</v>
      </c>
      <c r="K83" s="2">
        <v>46148</v>
      </c>
      <c r="L83" s="2">
        <v>46173</v>
      </c>
      <c r="M83" s="2">
        <v>46173</v>
      </c>
      <c r="N83" s="2">
        <v>46143</v>
      </c>
      <c r="O83" s="2">
        <v>46508</v>
      </c>
      <c r="P83">
        <v>12</v>
      </c>
      <c r="Q83" t="s">
        <v>40</v>
      </c>
      <c r="R83" t="s">
        <v>41</v>
      </c>
      <c r="S83" t="s">
        <v>42</v>
      </c>
      <c r="T83" t="s">
        <v>43</v>
      </c>
      <c r="U83" t="s">
        <v>56</v>
      </c>
      <c r="V83" t="s">
        <v>119</v>
      </c>
      <c r="W83" t="s">
        <v>142</v>
      </c>
      <c r="X83" t="s">
        <v>83</v>
      </c>
      <c r="Y83">
        <v>178002.71</v>
      </c>
      <c r="Z83">
        <v>178002.71</v>
      </c>
      <c r="AA83">
        <v>1</v>
      </c>
      <c r="AB83" t="s">
        <v>39</v>
      </c>
      <c r="AC83" t="s">
        <v>39</v>
      </c>
      <c r="AD83" t="s">
        <v>48</v>
      </c>
    </row>
    <row r="84" spans="1:30" x14ac:dyDescent="0.35">
      <c r="A84" t="s">
        <v>30</v>
      </c>
      <c r="B84" t="s">
        <v>1069</v>
      </c>
      <c r="C84" t="s">
        <v>691</v>
      </c>
      <c r="D84" t="s">
        <v>1243</v>
      </c>
      <c r="E84" t="s">
        <v>1244</v>
      </c>
      <c r="F84" t="s">
        <v>1245</v>
      </c>
      <c r="G84" t="s">
        <v>1246</v>
      </c>
      <c r="H84" t="s">
        <v>37</v>
      </c>
      <c r="I84" t="s">
        <v>39</v>
      </c>
      <c r="J84" t="s">
        <v>39</v>
      </c>
      <c r="K84" s="2">
        <v>46151</v>
      </c>
      <c r="L84" s="2">
        <v>46173</v>
      </c>
      <c r="M84" s="2">
        <v>46173</v>
      </c>
      <c r="N84" s="2">
        <v>46143</v>
      </c>
      <c r="O84" s="2">
        <v>47239</v>
      </c>
      <c r="P84">
        <v>36</v>
      </c>
      <c r="Q84" t="s">
        <v>40</v>
      </c>
      <c r="R84" t="s">
        <v>41</v>
      </c>
      <c r="S84" t="s">
        <v>118</v>
      </c>
      <c r="T84" t="s">
        <v>97</v>
      </c>
      <c r="U84" t="s">
        <v>44</v>
      </c>
      <c r="V84" t="s">
        <v>67</v>
      </c>
      <c r="W84" t="s">
        <v>161</v>
      </c>
      <c r="X84" t="s">
        <v>83</v>
      </c>
      <c r="Y84">
        <v>104387.69</v>
      </c>
      <c r="Z84">
        <v>104387.69</v>
      </c>
      <c r="AA84">
        <v>1</v>
      </c>
      <c r="AB84" t="s">
        <v>39</v>
      </c>
      <c r="AC84" t="s">
        <v>39</v>
      </c>
      <c r="AD84" t="s">
        <v>48</v>
      </c>
    </row>
    <row r="85" spans="1:30" x14ac:dyDescent="0.35">
      <c r="A85" t="s">
        <v>30</v>
      </c>
      <c r="B85" t="s">
        <v>1069</v>
      </c>
      <c r="C85" t="s">
        <v>691</v>
      </c>
      <c r="D85" t="s">
        <v>1247</v>
      </c>
      <c r="E85" t="s">
        <v>1248</v>
      </c>
      <c r="F85" t="s">
        <v>1249</v>
      </c>
      <c r="G85" t="s">
        <v>1250</v>
      </c>
      <c r="H85" t="s">
        <v>37</v>
      </c>
      <c r="I85" t="s">
        <v>39</v>
      </c>
      <c r="J85" t="s">
        <v>39</v>
      </c>
      <c r="K85" s="2">
        <v>46152</v>
      </c>
      <c r="L85" s="2">
        <v>46173</v>
      </c>
      <c r="M85" s="2">
        <v>46173</v>
      </c>
      <c r="N85" s="2">
        <v>46143</v>
      </c>
      <c r="O85" s="2">
        <v>46508</v>
      </c>
      <c r="P85">
        <v>12</v>
      </c>
      <c r="Q85" t="s">
        <v>104</v>
      </c>
      <c r="R85" t="s">
        <v>53</v>
      </c>
      <c r="S85" t="s">
        <v>182</v>
      </c>
      <c r="T85" t="s">
        <v>97</v>
      </c>
      <c r="U85" t="s">
        <v>44</v>
      </c>
      <c r="V85" t="s">
        <v>138</v>
      </c>
      <c r="W85" t="s">
        <v>46</v>
      </c>
      <c r="X85" t="s">
        <v>47</v>
      </c>
      <c r="Y85">
        <v>209948.79</v>
      </c>
      <c r="Z85">
        <v>209948.79</v>
      </c>
      <c r="AA85">
        <v>1</v>
      </c>
      <c r="AB85" t="s">
        <v>39</v>
      </c>
      <c r="AC85" t="s">
        <v>39</v>
      </c>
      <c r="AD85" t="s">
        <v>48</v>
      </c>
    </row>
    <row r="86" spans="1:30" x14ac:dyDescent="0.35">
      <c r="A86" t="s">
        <v>30</v>
      </c>
      <c r="B86" t="s">
        <v>1069</v>
      </c>
      <c r="C86" t="s">
        <v>691</v>
      </c>
      <c r="D86" t="s">
        <v>1251</v>
      </c>
      <c r="E86" t="s">
        <v>1252</v>
      </c>
      <c r="F86" t="s">
        <v>1253</v>
      </c>
      <c r="G86" t="s">
        <v>1254</v>
      </c>
      <c r="H86" t="s">
        <v>37</v>
      </c>
      <c r="I86" t="s">
        <v>39</v>
      </c>
      <c r="J86" t="s">
        <v>39</v>
      </c>
      <c r="K86" s="2">
        <v>46144</v>
      </c>
      <c r="L86" s="2">
        <v>46173</v>
      </c>
      <c r="M86" s="2">
        <v>46173</v>
      </c>
      <c r="N86" s="2">
        <v>46143</v>
      </c>
      <c r="O86" s="2">
        <v>46508</v>
      </c>
      <c r="P86">
        <v>12</v>
      </c>
      <c r="Q86" t="s">
        <v>65</v>
      </c>
      <c r="R86" t="s">
        <v>53</v>
      </c>
      <c r="S86" t="s">
        <v>105</v>
      </c>
      <c r="T86" t="s">
        <v>55</v>
      </c>
      <c r="U86" t="s">
        <v>56</v>
      </c>
      <c r="V86" t="s">
        <v>74</v>
      </c>
      <c r="W86" t="s">
        <v>142</v>
      </c>
      <c r="X86" t="s">
        <v>91</v>
      </c>
      <c r="Y86">
        <v>109768.82</v>
      </c>
      <c r="Z86">
        <v>109768.82</v>
      </c>
      <c r="AA86">
        <v>1</v>
      </c>
      <c r="AB86" t="s">
        <v>39</v>
      </c>
      <c r="AC86" t="s">
        <v>39</v>
      </c>
      <c r="AD86" t="s">
        <v>48</v>
      </c>
    </row>
    <row r="87" spans="1:30" x14ac:dyDescent="0.35">
      <c r="A87" t="s">
        <v>30</v>
      </c>
      <c r="B87" t="s">
        <v>1069</v>
      </c>
      <c r="C87" t="s">
        <v>691</v>
      </c>
      <c r="D87" t="s">
        <v>1255</v>
      </c>
      <c r="E87" t="s">
        <v>1256</v>
      </c>
      <c r="F87" t="s">
        <v>1257</v>
      </c>
      <c r="G87" t="s">
        <v>1258</v>
      </c>
      <c r="H87" t="s">
        <v>37</v>
      </c>
      <c r="I87" t="s">
        <v>39</v>
      </c>
      <c r="J87" t="s">
        <v>39</v>
      </c>
      <c r="K87" s="2">
        <v>46148</v>
      </c>
      <c r="L87" s="2">
        <v>46173</v>
      </c>
      <c r="M87" s="2">
        <v>46173</v>
      </c>
      <c r="N87" s="2">
        <v>46143</v>
      </c>
      <c r="O87" s="2">
        <v>46508</v>
      </c>
      <c r="P87">
        <v>12</v>
      </c>
      <c r="Q87" t="s">
        <v>65</v>
      </c>
      <c r="R87" t="s">
        <v>41</v>
      </c>
      <c r="S87" t="s">
        <v>141</v>
      </c>
      <c r="T87" t="s">
        <v>131</v>
      </c>
      <c r="U87" t="s">
        <v>44</v>
      </c>
      <c r="V87" t="s">
        <v>57</v>
      </c>
      <c r="W87" t="s">
        <v>58</v>
      </c>
      <c r="X87" t="s">
        <v>47</v>
      </c>
      <c r="Y87">
        <v>186557.66</v>
      </c>
      <c r="Z87">
        <v>186557.66</v>
      </c>
      <c r="AA87">
        <v>1</v>
      </c>
      <c r="AB87" t="s">
        <v>39</v>
      </c>
      <c r="AC87" t="s">
        <v>39</v>
      </c>
      <c r="AD87" t="s">
        <v>48</v>
      </c>
    </row>
    <row r="88" spans="1:30" x14ac:dyDescent="0.35">
      <c r="A88" t="s">
        <v>30</v>
      </c>
      <c r="B88" t="s">
        <v>1069</v>
      </c>
      <c r="C88" t="s">
        <v>691</v>
      </c>
      <c r="D88" t="s">
        <v>1259</v>
      </c>
      <c r="E88" t="s">
        <v>1260</v>
      </c>
      <c r="F88" t="s">
        <v>1063</v>
      </c>
      <c r="G88" t="s">
        <v>1064</v>
      </c>
      <c r="H88" t="s">
        <v>37</v>
      </c>
      <c r="I88" t="s">
        <v>39</v>
      </c>
      <c r="J88" t="s">
        <v>39</v>
      </c>
      <c r="K88" s="2">
        <v>46143</v>
      </c>
      <c r="L88" s="2">
        <v>46173</v>
      </c>
      <c r="M88" s="2">
        <v>46173</v>
      </c>
      <c r="N88" s="2">
        <v>46143</v>
      </c>
      <c r="O88" s="2">
        <v>46508</v>
      </c>
      <c r="P88">
        <v>12</v>
      </c>
      <c r="Q88" t="s">
        <v>65</v>
      </c>
      <c r="R88" t="s">
        <v>53</v>
      </c>
      <c r="S88" t="s">
        <v>105</v>
      </c>
      <c r="T88" t="s">
        <v>55</v>
      </c>
      <c r="U88" t="s">
        <v>106</v>
      </c>
      <c r="V88" t="s">
        <v>74</v>
      </c>
      <c r="W88" t="s">
        <v>150</v>
      </c>
      <c r="X88" t="s">
        <v>125</v>
      </c>
      <c r="Y88">
        <v>106023.49</v>
      </c>
      <c r="Z88">
        <v>106023.49</v>
      </c>
      <c r="AA88">
        <v>1</v>
      </c>
      <c r="AB88" t="s">
        <v>39</v>
      </c>
      <c r="AC88" t="s">
        <v>39</v>
      </c>
      <c r="AD88" t="s">
        <v>48</v>
      </c>
    </row>
    <row r="89" spans="1:30" x14ac:dyDescent="0.35">
      <c r="A89" t="s">
        <v>30</v>
      </c>
      <c r="B89" t="s">
        <v>1069</v>
      </c>
      <c r="C89" t="s">
        <v>691</v>
      </c>
      <c r="D89" t="s">
        <v>1261</v>
      </c>
      <c r="E89" t="s">
        <v>1262</v>
      </c>
      <c r="F89" t="s">
        <v>1219</v>
      </c>
      <c r="G89" t="s">
        <v>1220</v>
      </c>
      <c r="H89" t="s">
        <v>37</v>
      </c>
      <c r="I89" t="s">
        <v>39</v>
      </c>
      <c r="J89" t="s">
        <v>39</v>
      </c>
      <c r="K89" s="2">
        <v>46150</v>
      </c>
      <c r="L89" s="2">
        <v>46173</v>
      </c>
      <c r="M89" s="2">
        <v>46173</v>
      </c>
      <c r="N89" s="2">
        <v>46143</v>
      </c>
      <c r="O89" s="2">
        <v>46508</v>
      </c>
      <c r="P89">
        <v>12</v>
      </c>
      <c r="Q89" t="s">
        <v>40</v>
      </c>
      <c r="R89" t="s">
        <v>53</v>
      </c>
      <c r="S89" t="s">
        <v>118</v>
      </c>
      <c r="T89" t="s">
        <v>97</v>
      </c>
      <c r="U89" t="s">
        <v>44</v>
      </c>
      <c r="V89" t="s">
        <v>217</v>
      </c>
      <c r="W89" t="s">
        <v>82</v>
      </c>
      <c r="X89" t="s">
        <v>158</v>
      </c>
      <c r="Y89">
        <v>118763.68</v>
      </c>
      <c r="Z89">
        <v>118763.68</v>
      </c>
      <c r="AA89">
        <v>1</v>
      </c>
      <c r="AB89" t="s">
        <v>39</v>
      </c>
      <c r="AC89" t="s">
        <v>39</v>
      </c>
      <c r="AD89" t="s">
        <v>48</v>
      </c>
    </row>
    <row r="90" spans="1:30" x14ac:dyDescent="0.35">
      <c r="A90" t="s">
        <v>30</v>
      </c>
      <c r="B90" t="s">
        <v>1069</v>
      </c>
      <c r="C90" t="s">
        <v>691</v>
      </c>
      <c r="D90" t="s">
        <v>1909</v>
      </c>
      <c r="E90" t="s">
        <v>1910</v>
      </c>
      <c r="F90" t="s">
        <v>274</v>
      </c>
      <c r="G90" t="s">
        <v>275</v>
      </c>
      <c r="H90" t="s">
        <v>1271</v>
      </c>
      <c r="I90" t="s">
        <v>39</v>
      </c>
      <c r="J90" t="s">
        <v>39</v>
      </c>
      <c r="K90" s="2">
        <v>46155</v>
      </c>
      <c r="L90" s="2">
        <v>46173</v>
      </c>
      <c r="M90" s="2">
        <v>46173</v>
      </c>
      <c r="N90" s="2">
        <v>46143</v>
      </c>
      <c r="O90" s="2">
        <v>46508</v>
      </c>
      <c r="P90">
        <v>12</v>
      </c>
      <c r="Q90" t="s">
        <v>104</v>
      </c>
      <c r="R90" t="s">
        <v>88</v>
      </c>
      <c r="S90" t="s">
        <v>118</v>
      </c>
      <c r="T90" t="s">
        <v>97</v>
      </c>
      <c r="U90" t="s">
        <v>56</v>
      </c>
      <c r="V90" t="s">
        <v>144</v>
      </c>
      <c r="W90" t="s">
        <v>46</v>
      </c>
      <c r="X90" t="s">
        <v>91</v>
      </c>
      <c r="Y90">
        <v>172809.19</v>
      </c>
      <c r="Z90">
        <v>172809.19</v>
      </c>
      <c r="AA90">
        <v>1</v>
      </c>
      <c r="AB90" t="s">
        <v>39</v>
      </c>
      <c r="AC90" t="s">
        <v>39</v>
      </c>
      <c r="AD90" t="s">
        <v>48</v>
      </c>
    </row>
    <row r="91" spans="1:30" x14ac:dyDescent="0.35">
      <c r="A91" t="s">
        <v>30</v>
      </c>
      <c r="B91" t="s">
        <v>1069</v>
      </c>
      <c r="C91" t="s">
        <v>691</v>
      </c>
      <c r="D91" t="s">
        <v>1911</v>
      </c>
      <c r="E91" t="s">
        <v>1912</v>
      </c>
      <c r="F91" t="s">
        <v>1913</v>
      </c>
      <c r="G91" t="s">
        <v>1914</v>
      </c>
      <c r="H91" t="s">
        <v>1271</v>
      </c>
      <c r="I91" t="s">
        <v>39</v>
      </c>
      <c r="J91" t="s">
        <v>39</v>
      </c>
      <c r="K91" s="2">
        <v>46146</v>
      </c>
      <c r="L91" s="2">
        <v>46173</v>
      </c>
      <c r="M91" s="2">
        <v>46173</v>
      </c>
      <c r="N91" s="2">
        <v>46143</v>
      </c>
      <c r="O91" s="2">
        <v>46508</v>
      </c>
      <c r="P91">
        <v>12</v>
      </c>
      <c r="Q91" t="s">
        <v>65</v>
      </c>
      <c r="R91" t="s">
        <v>41</v>
      </c>
      <c r="S91" t="s">
        <v>137</v>
      </c>
      <c r="T91" t="s">
        <v>97</v>
      </c>
      <c r="U91" t="s">
        <v>44</v>
      </c>
      <c r="V91" t="s">
        <v>98</v>
      </c>
      <c r="W91" t="s">
        <v>120</v>
      </c>
      <c r="X91" t="s">
        <v>68</v>
      </c>
      <c r="Y91">
        <v>147390.14000000001</v>
      </c>
      <c r="Z91">
        <v>147390.14000000001</v>
      </c>
      <c r="AA91">
        <v>1</v>
      </c>
      <c r="AB91" t="s">
        <v>39</v>
      </c>
      <c r="AC91" t="s">
        <v>39</v>
      </c>
      <c r="AD91" t="s">
        <v>48</v>
      </c>
    </row>
    <row r="92" spans="1:30" x14ac:dyDescent="0.35">
      <c r="A92" t="s">
        <v>30</v>
      </c>
      <c r="B92" t="s">
        <v>1069</v>
      </c>
      <c r="C92" t="s">
        <v>691</v>
      </c>
      <c r="D92" t="s">
        <v>1915</v>
      </c>
      <c r="E92" t="s">
        <v>1916</v>
      </c>
      <c r="F92" t="s">
        <v>1917</v>
      </c>
      <c r="G92" t="s">
        <v>1918</v>
      </c>
      <c r="H92" t="s">
        <v>1271</v>
      </c>
      <c r="I92" t="s">
        <v>39</v>
      </c>
      <c r="J92" t="s">
        <v>39</v>
      </c>
      <c r="K92" s="2">
        <v>46143</v>
      </c>
      <c r="L92" s="2">
        <v>46173</v>
      </c>
      <c r="M92" s="2">
        <v>46173</v>
      </c>
      <c r="N92" s="2">
        <v>46143</v>
      </c>
      <c r="O92" s="2">
        <v>46508</v>
      </c>
      <c r="P92">
        <v>12</v>
      </c>
      <c r="Q92" t="s">
        <v>65</v>
      </c>
      <c r="R92" t="s">
        <v>53</v>
      </c>
      <c r="S92" t="s">
        <v>96</v>
      </c>
      <c r="T92" t="s">
        <v>97</v>
      </c>
      <c r="U92" t="s">
        <v>56</v>
      </c>
      <c r="V92" t="s">
        <v>57</v>
      </c>
      <c r="W92" t="s">
        <v>132</v>
      </c>
      <c r="X92" t="s">
        <v>143</v>
      </c>
      <c r="Y92">
        <v>124873.22</v>
      </c>
      <c r="Z92">
        <v>124873.22</v>
      </c>
      <c r="AA92">
        <v>1</v>
      </c>
      <c r="AB92" t="s">
        <v>39</v>
      </c>
      <c r="AC92" t="s">
        <v>39</v>
      </c>
      <c r="AD92" t="s">
        <v>48</v>
      </c>
    </row>
    <row r="93" spans="1:30" x14ac:dyDescent="0.35">
      <c r="A93" t="s">
        <v>30</v>
      </c>
      <c r="B93" t="s">
        <v>1069</v>
      </c>
      <c r="C93" t="s">
        <v>691</v>
      </c>
      <c r="D93" t="s">
        <v>1919</v>
      </c>
      <c r="E93" t="s">
        <v>1920</v>
      </c>
      <c r="F93" t="s">
        <v>1921</v>
      </c>
      <c r="G93" t="s">
        <v>1922</v>
      </c>
      <c r="H93" t="s">
        <v>1271</v>
      </c>
      <c r="I93" t="s">
        <v>39</v>
      </c>
      <c r="J93" t="s">
        <v>39</v>
      </c>
      <c r="K93" s="2">
        <v>46154</v>
      </c>
      <c r="L93" s="2">
        <v>46173</v>
      </c>
      <c r="M93" s="2">
        <v>46173</v>
      </c>
      <c r="N93" s="2">
        <v>46143</v>
      </c>
      <c r="O93" s="2">
        <v>46874</v>
      </c>
      <c r="P93">
        <v>24</v>
      </c>
      <c r="Q93" t="s">
        <v>65</v>
      </c>
      <c r="R93" t="s">
        <v>53</v>
      </c>
      <c r="S93" t="s">
        <v>54</v>
      </c>
      <c r="T93" t="s">
        <v>55</v>
      </c>
      <c r="U93" t="s">
        <v>106</v>
      </c>
      <c r="V93" t="s">
        <v>57</v>
      </c>
      <c r="W93" t="s">
        <v>132</v>
      </c>
      <c r="X93" t="s">
        <v>125</v>
      </c>
      <c r="Y93">
        <v>135648.10999999999</v>
      </c>
      <c r="Z93">
        <v>135648.10999999999</v>
      </c>
      <c r="AA93">
        <v>1</v>
      </c>
      <c r="AB93" t="s">
        <v>39</v>
      </c>
      <c r="AC93" t="s">
        <v>39</v>
      </c>
      <c r="AD93" t="s">
        <v>48</v>
      </c>
    </row>
    <row r="94" spans="1:30" x14ac:dyDescent="0.35">
      <c r="A94" t="s">
        <v>30</v>
      </c>
      <c r="B94" t="s">
        <v>1069</v>
      </c>
      <c r="C94" t="s">
        <v>691</v>
      </c>
      <c r="D94" t="s">
        <v>1923</v>
      </c>
      <c r="E94" t="s">
        <v>1924</v>
      </c>
      <c r="F94" t="s">
        <v>1925</v>
      </c>
      <c r="G94" t="s">
        <v>1926</v>
      </c>
      <c r="H94" t="s">
        <v>1271</v>
      </c>
      <c r="I94" t="s">
        <v>39</v>
      </c>
      <c r="J94" t="s">
        <v>39</v>
      </c>
      <c r="K94" s="2">
        <v>46157</v>
      </c>
      <c r="L94" s="2">
        <v>46173</v>
      </c>
      <c r="M94" s="2">
        <v>46173</v>
      </c>
      <c r="N94" s="2">
        <v>46143</v>
      </c>
      <c r="O94" s="2">
        <v>46508</v>
      </c>
      <c r="P94">
        <v>12</v>
      </c>
      <c r="Q94" t="s">
        <v>40</v>
      </c>
      <c r="R94" t="s">
        <v>41</v>
      </c>
      <c r="S94" t="s">
        <v>80</v>
      </c>
      <c r="T94" t="s">
        <v>43</v>
      </c>
      <c r="U94" t="s">
        <v>56</v>
      </c>
      <c r="V94" t="s">
        <v>57</v>
      </c>
      <c r="W94" t="s">
        <v>132</v>
      </c>
      <c r="X94" t="s">
        <v>143</v>
      </c>
      <c r="Y94">
        <v>94670.34</v>
      </c>
      <c r="Z94">
        <v>94670.34</v>
      </c>
      <c r="AA94">
        <v>1</v>
      </c>
      <c r="AB94" t="s">
        <v>39</v>
      </c>
      <c r="AC94" t="s">
        <v>39</v>
      </c>
      <c r="AD94" t="s">
        <v>48</v>
      </c>
    </row>
    <row r="95" spans="1:30" x14ac:dyDescent="0.35">
      <c r="A95" t="s">
        <v>30</v>
      </c>
      <c r="B95" t="s">
        <v>1069</v>
      </c>
      <c r="C95" t="s">
        <v>691</v>
      </c>
      <c r="D95" t="s">
        <v>1927</v>
      </c>
      <c r="E95" t="s">
        <v>1928</v>
      </c>
      <c r="F95" t="s">
        <v>1929</v>
      </c>
      <c r="G95" t="s">
        <v>1930</v>
      </c>
      <c r="H95" t="s">
        <v>1271</v>
      </c>
      <c r="I95" t="s">
        <v>39</v>
      </c>
      <c r="J95" t="s">
        <v>39</v>
      </c>
      <c r="K95" s="2">
        <v>46157</v>
      </c>
      <c r="L95" s="2">
        <v>46173</v>
      </c>
      <c r="M95" s="2">
        <v>46173</v>
      </c>
      <c r="N95" s="2">
        <v>46143</v>
      </c>
      <c r="O95" s="2">
        <v>47239</v>
      </c>
      <c r="P95">
        <v>36</v>
      </c>
      <c r="Q95" t="s">
        <v>40</v>
      </c>
      <c r="R95" t="s">
        <v>88</v>
      </c>
      <c r="S95" t="s">
        <v>149</v>
      </c>
      <c r="T95" t="s">
        <v>131</v>
      </c>
      <c r="U95" t="s">
        <v>44</v>
      </c>
      <c r="V95" t="s">
        <v>217</v>
      </c>
      <c r="W95" t="s">
        <v>58</v>
      </c>
      <c r="X95" t="s">
        <v>91</v>
      </c>
      <c r="Y95">
        <v>129010.35</v>
      </c>
      <c r="Z95">
        <v>129010.35</v>
      </c>
      <c r="AA95">
        <v>1</v>
      </c>
      <c r="AB95" t="s">
        <v>39</v>
      </c>
      <c r="AC95" t="s">
        <v>39</v>
      </c>
      <c r="AD95" t="s">
        <v>48</v>
      </c>
    </row>
    <row r="96" spans="1:30" x14ac:dyDescent="0.35">
      <c r="A96" t="s">
        <v>30</v>
      </c>
      <c r="B96" t="s">
        <v>1069</v>
      </c>
      <c r="C96" t="s">
        <v>691</v>
      </c>
      <c r="D96" t="s">
        <v>1931</v>
      </c>
      <c r="E96" t="s">
        <v>1932</v>
      </c>
      <c r="F96" t="s">
        <v>1933</v>
      </c>
      <c r="G96" t="s">
        <v>1934</v>
      </c>
      <c r="H96" t="s">
        <v>1271</v>
      </c>
      <c r="I96" t="s">
        <v>39</v>
      </c>
      <c r="J96" t="s">
        <v>39</v>
      </c>
      <c r="K96" s="2">
        <v>46144</v>
      </c>
      <c r="L96" s="2">
        <v>46173</v>
      </c>
      <c r="M96" s="2">
        <v>46173</v>
      </c>
      <c r="N96" s="2">
        <v>46143</v>
      </c>
      <c r="O96" s="2">
        <v>46508</v>
      </c>
      <c r="P96">
        <v>12</v>
      </c>
      <c r="Q96" t="s">
        <v>65</v>
      </c>
      <c r="R96" t="s">
        <v>88</v>
      </c>
      <c r="S96" t="s">
        <v>73</v>
      </c>
      <c r="T96" t="s">
        <v>43</v>
      </c>
      <c r="U96" t="s">
        <v>44</v>
      </c>
      <c r="V96" t="s">
        <v>138</v>
      </c>
      <c r="W96" t="s">
        <v>161</v>
      </c>
      <c r="X96" t="s">
        <v>68</v>
      </c>
      <c r="Y96">
        <v>105598.65</v>
      </c>
      <c r="Z96">
        <v>105598.65</v>
      </c>
      <c r="AA96">
        <v>1</v>
      </c>
      <c r="AB96" t="s">
        <v>39</v>
      </c>
      <c r="AC96" t="s">
        <v>39</v>
      </c>
      <c r="AD96" t="s">
        <v>48</v>
      </c>
    </row>
    <row r="97" spans="1:30" x14ac:dyDescent="0.35">
      <c r="A97" t="s">
        <v>30</v>
      </c>
      <c r="B97" t="s">
        <v>1069</v>
      </c>
      <c r="C97" t="s">
        <v>691</v>
      </c>
      <c r="D97" t="s">
        <v>1935</v>
      </c>
      <c r="E97" t="s">
        <v>1936</v>
      </c>
      <c r="F97" t="s">
        <v>1241</v>
      </c>
      <c r="G97" t="s">
        <v>1242</v>
      </c>
      <c r="H97" t="s">
        <v>1290</v>
      </c>
      <c r="I97" t="s">
        <v>103</v>
      </c>
      <c r="J97" t="s">
        <v>1290</v>
      </c>
      <c r="K97" s="2">
        <v>46147</v>
      </c>
      <c r="L97" s="2">
        <v>46173</v>
      </c>
      <c r="N97" s="2">
        <v>46143</v>
      </c>
      <c r="O97" s="2">
        <v>46508</v>
      </c>
      <c r="P97">
        <v>12</v>
      </c>
      <c r="Q97" t="s">
        <v>40</v>
      </c>
      <c r="R97" t="s">
        <v>53</v>
      </c>
      <c r="S97" t="s">
        <v>42</v>
      </c>
      <c r="T97" t="s">
        <v>43</v>
      </c>
      <c r="U97" t="s">
        <v>56</v>
      </c>
      <c r="V97" t="s">
        <v>119</v>
      </c>
      <c r="W97" t="s">
        <v>142</v>
      </c>
      <c r="X97" t="s">
        <v>47</v>
      </c>
      <c r="Y97">
        <v>240000</v>
      </c>
      <c r="Z97">
        <v>240000</v>
      </c>
      <c r="AA97">
        <v>1</v>
      </c>
      <c r="AB97" t="s">
        <v>1290</v>
      </c>
      <c r="AC97" t="s">
        <v>1290</v>
      </c>
      <c r="AD97" t="s">
        <v>48</v>
      </c>
    </row>
    <row r="98" spans="1:30" x14ac:dyDescent="0.35">
      <c r="A98" t="s">
        <v>30</v>
      </c>
      <c r="B98" t="s">
        <v>1069</v>
      </c>
      <c r="C98" t="s">
        <v>691</v>
      </c>
      <c r="D98" t="s">
        <v>1937</v>
      </c>
      <c r="E98" t="s">
        <v>1938</v>
      </c>
      <c r="F98" t="s">
        <v>322</v>
      </c>
      <c r="G98" t="s">
        <v>323</v>
      </c>
      <c r="H98" t="s">
        <v>1295</v>
      </c>
      <c r="I98" t="s">
        <v>38</v>
      </c>
      <c r="J98" t="s">
        <v>1295</v>
      </c>
      <c r="K98" s="2">
        <v>46154</v>
      </c>
      <c r="L98" s="2">
        <v>46173</v>
      </c>
      <c r="N98" s="2">
        <v>46143</v>
      </c>
      <c r="O98" s="2">
        <v>46508</v>
      </c>
      <c r="P98">
        <v>12</v>
      </c>
      <c r="Q98" t="s">
        <v>65</v>
      </c>
      <c r="R98" t="s">
        <v>53</v>
      </c>
      <c r="S98" t="s">
        <v>182</v>
      </c>
      <c r="T98" t="s">
        <v>97</v>
      </c>
      <c r="U98" t="s">
        <v>44</v>
      </c>
      <c r="V98" t="s">
        <v>144</v>
      </c>
      <c r="W98" t="s">
        <v>75</v>
      </c>
      <c r="X98" t="s">
        <v>59</v>
      </c>
      <c r="Y98">
        <v>302110.93</v>
      </c>
      <c r="Z98">
        <v>302110.93</v>
      </c>
      <c r="AA98">
        <v>1</v>
      </c>
      <c r="AB98" t="s">
        <v>1295</v>
      </c>
      <c r="AC98" t="s">
        <v>1295</v>
      </c>
      <c r="AD98" t="s">
        <v>48</v>
      </c>
    </row>
    <row r="99" spans="1:30" x14ac:dyDescent="0.35">
      <c r="A99" t="s">
        <v>30</v>
      </c>
      <c r="B99" t="s">
        <v>1069</v>
      </c>
      <c r="C99" t="s">
        <v>691</v>
      </c>
      <c r="D99" t="s">
        <v>1939</v>
      </c>
      <c r="E99" t="s">
        <v>1940</v>
      </c>
      <c r="F99" t="s">
        <v>193</v>
      </c>
      <c r="G99" t="s">
        <v>194</v>
      </c>
      <c r="H99" t="s">
        <v>1295</v>
      </c>
      <c r="I99" t="s">
        <v>111</v>
      </c>
      <c r="J99" t="s">
        <v>1295</v>
      </c>
      <c r="K99" s="2">
        <v>46154</v>
      </c>
      <c r="L99" s="2">
        <v>46173</v>
      </c>
      <c r="N99" s="2">
        <v>46143</v>
      </c>
      <c r="O99" s="2">
        <v>46508</v>
      </c>
      <c r="P99">
        <v>12</v>
      </c>
      <c r="Q99" t="s">
        <v>104</v>
      </c>
      <c r="R99" t="s">
        <v>53</v>
      </c>
      <c r="S99" t="s">
        <v>80</v>
      </c>
      <c r="T99" t="s">
        <v>43</v>
      </c>
      <c r="U99" t="s">
        <v>106</v>
      </c>
      <c r="V99" t="s">
        <v>67</v>
      </c>
      <c r="W99" t="s">
        <v>75</v>
      </c>
      <c r="X99" t="s">
        <v>91</v>
      </c>
      <c r="Y99">
        <v>187889.07</v>
      </c>
      <c r="Z99">
        <v>187889.07</v>
      </c>
      <c r="AA99">
        <v>1</v>
      </c>
      <c r="AB99" t="s">
        <v>1295</v>
      </c>
      <c r="AC99" t="s">
        <v>1295</v>
      </c>
      <c r="AD99" t="s">
        <v>48</v>
      </c>
    </row>
    <row r="100" spans="1:30" x14ac:dyDescent="0.35">
      <c r="A100" t="s">
        <v>30</v>
      </c>
      <c r="B100" t="s">
        <v>1069</v>
      </c>
      <c r="C100" t="s">
        <v>691</v>
      </c>
      <c r="D100" t="s">
        <v>1941</v>
      </c>
      <c r="E100" t="s">
        <v>1942</v>
      </c>
      <c r="F100" t="s">
        <v>1943</v>
      </c>
      <c r="G100" t="s">
        <v>1944</v>
      </c>
      <c r="H100" t="s">
        <v>1302</v>
      </c>
      <c r="I100" t="s">
        <v>39</v>
      </c>
      <c r="J100" t="s">
        <v>39</v>
      </c>
      <c r="K100" s="2">
        <v>46146</v>
      </c>
      <c r="L100" s="2">
        <v>46173</v>
      </c>
      <c r="M100" s="2">
        <v>46173</v>
      </c>
      <c r="N100" s="2">
        <v>46143</v>
      </c>
      <c r="O100" s="2">
        <v>46874</v>
      </c>
      <c r="P100">
        <v>24</v>
      </c>
      <c r="Q100" t="s">
        <v>40</v>
      </c>
      <c r="R100" t="s">
        <v>88</v>
      </c>
      <c r="S100" t="s">
        <v>54</v>
      </c>
      <c r="T100" t="s">
        <v>55</v>
      </c>
      <c r="U100" t="s">
        <v>44</v>
      </c>
      <c r="V100" t="s">
        <v>81</v>
      </c>
      <c r="W100" t="s">
        <v>136</v>
      </c>
      <c r="X100" t="s">
        <v>59</v>
      </c>
      <c r="Y100">
        <v>80000</v>
      </c>
      <c r="Z100">
        <v>80000</v>
      </c>
      <c r="AA100">
        <v>1</v>
      </c>
      <c r="AB100" t="s">
        <v>39</v>
      </c>
      <c r="AC100" t="s">
        <v>39</v>
      </c>
      <c r="AD100" t="s">
        <v>48</v>
      </c>
    </row>
    <row r="101" spans="1:30" x14ac:dyDescent="0.35">
      <c r="A101" t="s">
        <v>30</v>
      </c>
      <c r="B101" t="s">
        <v>31</v>
      </c>
      <c r="C101" t="s">
        <v>32</v>
      </c>
      <c r="D101" t="s">
        <v>33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 t="s">
        <v>39</v>
      </c>
      <c r="K101" s="2">
        <v>46184</v>
      </c>
      <c r="L101" s="2">
        <v>46203</v>
      </c>
      <c r="N101" s="2">
        <v>46174</v>
      </c>
      <c r="O101" s="2">
        <v>46539</v>
      </c>
      <c r="P101">
        <v>12</v>
      </c>
      <c r="Q101" t="s">
        <v>40</v>
      </c>
      <c r="R101" t="s">
        <v>41</v>
      </c>
      <c r="S101" t="s">
        <v>42</v>
      </c>
      <c r="T101" t="s">
        <v>43</v>
      </c>
      <c r="U101" t="s">
        <v>44</v>
      </c>
      <c r="V101" t="s">
        <v>45</v>
      </c>
      <c r="W101" t="s">
        <v>46</v>
      </c>
      <c r="X101" t="s">
        <v>47</v>
      </c>
      <c r="Y101">
        <v>111678.03</v>
      </c>
      <c r="Z101">
        <v>39087.31</v>
      </c>
      <c r="AA101">
        <v>0.35</v>
      </c>
      <c r="AB101" t="s">
        <v>39</v>
      </c>
      <c r="AC101" t="s">
        <v>39</v>
      </c>
      <c r="AD101" t="s">
        <v>48</v>
      </c>
    </row>
    <row r="102" spans="1:30" x14ac:dyDescent="0.35">
      <c r="A102" t="s">
        <v>30</v>
      </c>
      <c r="B102" t="s">
        <v>31</v>
      </c>
      <c r="C102" t="s">
        <v>32</v>
      </c>
      <c r="D102" t="s">
        <v>49</v>
      </c>
      <c r="E102" t="s">
        <v>50</v>
      </c>
      <c r="F102" t="s">
        <v>51</v>
      </c>
      <c r="G102" t="s">
        <v>52</v>
      </c>
      <c r="H102" t="s">
        <v>37</v>
      </c>
      <c r="I102" t="s">
        <v>38</v>
      </c>
      <c r="J102" t="s">
        <v>39</v>
      </c>
      <c r="K102" s="2">
        <v>46184</v>
      </c>
      <c r="L102" s="2">
        <v>46203</v>
      </c>
      <c r="N102" s="2">
        <v>46174</v>
      </c>
      <c r="O102" s="2">
        <v>47270</v>
      </c>
      <c r="P102">
        <v>36</v>
      </c>
      <c r="Q102" t="s">
        <v>40</v>
      </c>
      <c r="R102" t="s">
        <v>53</v>
      </c>
      <c r="S102" t="s">
        <v>54</v>
      </c>
      <c r="T102" t="s">
        <v>55</v>
      </c>
      <c r="U102" t="s">
        <v>56</v>
      </c>
      <c r="V102" t="s">
        <v>57</v>
      </c>
      <c r="W102" t="s">
        <v>58</v>
      </c>
      <c r="X102" t="s">
        <v>59</v>
      </c>
      <c r="Y102">
        <v>156334.93</v>
      </c>
      <c r="Z102">
        <v>78167.460000000006</v>
      </c>
      <c r="AA102">
        <v>0.5</v>
      </c>
      <c r="AB102" t="s">
        <v>39</v>
      </c>
      <c r="AC102" t="s">
        <v>39</v>
      </c>
      <c r="AD102" t="s">
        <v>48</v>
      </c>
    </row>
    <row r="103" spans="1:30" x14ac:dyDescent="0.35">
      <c r="A103" t="s">
        <v>30</v>
      </c>
      <c r="B103" t="s">
        <v>31</v>
      </c>
      <c r="C103" t="s">
        <v>32</v>
      </c>
      <c r="D103" t="s">
        <v>60</v>
      </c>
      <c r="E103" t="s">
        <v>61</v>
      </c>
      <c r="F103" t="s">
        <v>62</v>
      </c>
      <c r="G103" t="s">
        <v>63</v>
      </c>
      <c r="H103" t="s">
        <v>37</v>
      </c>
      <c r="I103" t="s">
        <v>64</v>
      </c>
      <c r="J103" t="s">
        <v>39</v>
      </c>
      <c r="K103" s="2">
        <v>46185</v>
      </c>
      <c r="L103" s="2">
        <v>46203</v>
      </c>
      <c r="N103" s="2">
        <v>46174</v>
      </c>
      <c r="O103" s="2">
        <v>46539</v>
      </c>
      <c r="P103">
        <v>12</v>
      </c>
      <c r="Q103" t="s">
        <v>65</v>
      </c>
      <c r="R103" t="s">
        <v>41</v>
      </c>
      <c r="S103" t="s">
        <v>66</v>
      </c>
      <c r="T103" t="s">
        <v>55</v>
      </c>
      <c r="U103" t="s">
        <v>44</v>
      </c>
      <c r="V103" t="s">
        <v>67</v>
      </c>
      <c r="W103" t="s">
        <v>58</v>
      </c>
      <c r="X103" t="s">
        <v>68</v>
      </c>
      <c r="Y103">
        <v>154824.72</v>
      </c>
      <c r="Z103">
        <v>123859.78</v>
      </c>
      <c r="AA103">
        <v>0.8</v>
      </c>
      <c r="AB103" t="s">
        <v>39</v>
      </c>
      <c r="AC103" t="s">
        <v>39</v>
      </c>
      <c r="AD103" t="s">
        <v>48</v>
      </c>
    </row>
    <row r="104" spans="1:30" x14ac:dyDescent="0.35">
      <c r="A104" t="s">
        <v>30</v>
      </c>
      <c r="B104" t="s">
        <v>31</v>
      </c>
      <c r="C104" t="s">
        <v>32</v>
      </c>
      <c r="D104" t="s">
        <v>69</v>
      </c>
      <c r="E104" t="s">
        <v>70</v>
      </c>
      <c r="F104" t="s">
        <v>71</v>
      </c>
      <c r="G104" t="s">
        <v>72</v>
      </c>
      <c r="H104" t="s">
        <v>37</v>
      </c>
      <c r="I104" t="s">
        <v>64</v>
      </c>
      <c r="J104" t="s">
        <v>39</v>
      </c>
      <c r="K104" s="2">
        <v>46186</v>
      </c>
      <c r="L104" s="2">
        <v>46203</v>
      </c>
      <c r="N104" s="2">
        <v>46174</v>
      </c>
      <c r="O104" s="2">
        <v>47270</v>
      </c>
      <c r="P104">
        <v>36</v>
      </c>
      <c r="Q104" t="s">
        <v>40</v>
      </c>
      <c r="R104" t="s">
        <v>41</v>
      </c>
      <c r="S104" t="s">
        <v>73</v>
      </c>
      <c r="T104" t="s">
        <v>43</v>
      </c>
      <c r="U104" t="s">
        <v>56</v>
      </c>
      <c r="V104" t="s">
        <v>74</v>
      </c>
      <c r="W104" t="s">
        <v>75</v>
      </c>
      <c r="X104" t="s">
        <v>68</v>
      </c>
      <c r="Y104">
        <v>202499.39</v>
      </c>
      <c r="Z104">
        <v>161999.51</v>
      </c>
      <c r="AA104">
        <v>0.8</v>
      </c>
      <c r="AB104" t="s">
        <v>39</v>
      </c>
      <c r="AC104" t="s">
        <v>39</v>
      </c>
      <c r="AD104" t="s">
        <v>48</v>
      </c>
    </row>
    <row r="105" spans="1:30" x14ac:dyDescent="0.35">
      <c r="A105" t="s">
        <v>30</v>
      </c>
      <c r="B105" t="s">
        <v>31</v>
      </c>
      <c r="C105" t="s">
        <v>32</v>
      </c>
      <c r="D105" t="s">
        <v>76</v>
      </c>
      <c r="E105" t="s">
        <v>77</v>
      </c>
      <c r="F105" t="s">
        <v>78</v>
      </c>
      <c r="G105" t="s">
        <v>79</v>
      </c>
      <c r="H105" t="s">
        <v>37</v>
      </c>
      <c r="I105" t="s">
        <v>38</v>
      </c>
      <c r="J105" t="s">
        <v>39</v>
      </c>
      <c r="K105" s="2">
        <v>46184</v>
      </c>
      <c r="L105" s="2">
        <v>46203</v>
      </c>
      <c r="N105" s="2">
        <v>46174</v>
      </c>
      <c r="O105" s="2">
        <v>46539</v>
      </c>
      <c r="P105">
        <v>12</v>
      </c>
      <c r="Q105" t="s">
        <v>65</v>
      </c>
      <c r="R105" t="s">
        <v>53</v>
      </c>
      <c r="S105" t="s">
        <v>80</v>
      </c>
      <c r="T105" t="s">
        <v>43</v>
      </c>
      <c r="U105" t="s">
        <v>44</v>
      </c>
      <c r="V105" t="s">
        <v>81</v>
      </c>
      <c r="W105" t="s">
        <v>82</v>
      </c>
      <c r="X105" t="s">
        <v>83</v>
      </c>
      <c r="Y105">
        <v>166528.62</v>
      </c>
      <c r="Z105">
        <v>108243.6</v>
      </c>
      <c r="AA105">
        <v>0.65</v>
      </c>
      <c r="AB105" t="s">
        <v>39</v>
      </c>
      <c r="AC105" t="s">
        <v>39</v>
      </c>
      <c r="AD105" t="s">
        <v>48</v>
      </c>
    </row>
    <row r="106" spans="1:30" x14ac:dyDescent="0.35">
      <c r="A106" t="s">
        <v>30</v>
      </c>
      <c r="B106" t="s">
        <v>31</v>
      </c>
      <c r="C106" t="s">
        <v>32</v>
      </c>
      <c r="D106" t="s">
        <v>84</v>
      </c>
      <c r="E106" t="s">
        <v>85</v>
      </c>
      <c r="F106" t="s">
        <v>86</v>
      </c>
      <c r="G106" t="s">
        <v>87</v>
      </c>
      <c r="H106" t="s">
        <v>37</v>
      </c>
      <c r="I106" t="s">
        <v>38</v>
      </c>
      <c r="J106" t="s">
        <v>39</v>
      </c>
      <c r="K106" s="2">
        <v>46181</v>
      </c>
      <c r="L106" s="2">
        <v>46203</v>
      </c>
      <c r="N106" s="2">
        <v>46174</v>
      </c>
      <c r="O106" s="2">
        <v>46905</v>
      </c>
      <c r="P106">
        <v>24</v>
      </c>
      <c r="Q106" t="s">
        <v>65</v>
      </c>
      <c r="R106" t="s">
        <v>88</v>
      </c>
      <c r="S106" t="s">
        <v>89</v>
      </c>
      <c r="T106" t="s">
        <v>55</v>
      </c>
      <c r="U106" t="s">
        <v>44</v>
      </c>
      <c r="V106" t="s">
        <v>57</v>
      </c>
      <c r="W106" t="s">
        <v>90</v>
      </c>
      <c r="X106" t="s">
        <v>91</v>
      </c>
      <c r="Y106">
        <v>137783.81</v>
      </c>
      <c r="Z106">
        <v>89559.48</v>
      </c>
      <c r="AA106">
        <v>0.65</v>
      </c>
      <c r="AB106" t="s">
        <v>39</v>
      </c>
      <c r="AC106" t="s">
        <v>39</v>
      </c>
      <c r="AD106" t="s">
        <v>48</v>
      </c>
    </row>
    <row r="107" spans="1:30" x14ac:dyDescent="0.35">
      <c r="A107" t="s">
        <v>30</v>
      </c>
      <c r="B107" t="s">
        <v>31</v>
      </c>
      <c r="C107" t="s">
        <v>32</v>
      </c>
      <c r="D107" t="s">
        <v>92</v>
      </c>
      <c r="E107" t="s">
        <v>93</v>
      </c>
      <c r="F107" t="s">
        <v>94</v>
      </c>
      <c r="G107" t="s">
        <v>95</v>
      </c>
      <c r="H107" t="s">
        <v>37</v>
      </c>
      <c r="I107" t="s">
        <v>64</v>
      </c>
      <c r="J107" t="s">
        <v>39</v>
      </c>
      <c r="K107" s="2">
        <v>46174</v>
      </c>
      <c r="L107" s="2">
        <v>46203</v>
      </c>
      <c r="N107" s="2">
        <v>46174</v>
      </c>
      <c r="O107" s="2">
        <v>46905</v>
      </c>
      <c r="P107">
        <v>24</v>
      </c>
      <c r="Q107" t="s">
        <v>40</v>
      </c>
      <c r="R107" t="s">
        <v>41</v>
      </c>
      <c r="S107" t="s">
        <v>96</v>
      </c>
      <c r="T107" t="s">
        <v>97</v>
      </c>
      <c r="U107" t="s">
        <v>56</v>
      </c>
      <c r="V107" t="s">
        <v>98</v>
      </c>
      <c r="W107" t="s">
        <v>82</v>
      </c>
      <c r="X107" t="s">
        <v>47</v>
      </c>
      <c r="Y107">
        <v>105328.37</v>
      </c>
      <c r="Z107">
        <v>68463.44</v>
      </c>
      <c r="AA107">
        <v>0.65</v>
      </c>
      <c r="AB107" t="s">
        <v>39</v>
      </c>
      <c r="AC107" t="s">
        <v>39</v>
      </c>
      <c r="AD107" t="s">
        <v>48</v>
      </c>
    </row>
    <row r="108" spans="1:30" x14ac:dyDescent="0.35">
      <c r="A108" t="s">
        <v>30</v>
      </c>
      <c r="B108" t="s">
        <v>31</v>
      </c>
      <c r="C108" t="s">
        <v>32</v>
      </c>
      <c r="D108" t="s">
        <v>99</v>
      </c>
      <c r="E108" t="s">
        <v>100</v>
      </c>
      <c r="F108" t="s">
        <v>101</v>
      </c>
      <c r="G108" t="s">
        <v>102</v>
      </c>
      <c r="H108" t="s">
        <v>37</v>
      </c>
      <c r="I108" t="s">
        <v>103</v>
      </c>
      <c r="J108" t="s">
        <v>39</v>
      </c>
      <c r="K108" s="2">
        <v>46175</v>
      </c>
      <c r="L108" s="2">
        <v>46203</v>
      </c>
      <c r="N108" s="2">
        <v>46174</v>
      </c>
      <c r="O108" s="2">
        <v>46539</v>
      </c>
      <c r="P108">
        <v>12</v>
      </c>
      <c r="Q108" t="s">
        <v>104</v>
      </c>
      <c r="R108" t="s">
        <v>41</v>
      </c>
      <c r="S108" t="s">
        <v>105</v>
      </c>
      <c r="T108" t="s">
        <v>55</v>
      </c>
      <c r="U108" t="s">
        <v>106</v>
      </c>
      <c r="V108" t="s">
        <v>81</v>
      </c>
      <c r="W108" t="s">
        <v>46</v>
      </c>
      <c r="X108" t="s">
        <v>91</v>
      </c>
      <c r="Y108">
        <v>165730.74</v>
      </c>
      <c r="Z108">
        <v>82865.37</v>
      </c>
      <c r="AA108">
        <v>0.5</v>
      </c>
      <c r="AB108" t="s">
        <v>39</v>
      </c>
      <c r="AC108" t="s">
        <v>39</v>
      </c>
      <c r="AD108" t="s">
        <v>48</v>
      </c>
    </row>
    <row r="109" spans="1:30" x14ac:dyDescent="0.35">
      <c r="A109" t="s">
        <v>30</v>
      </c>
      <c r="B109" t="s">
        <v>31</v>
      </c>
      <c r="C109" t="s">
        <v>32</v>
      </c>
      <c r="D109" t="s">
        <v>107</v>
      </c>
      <c r="E109" t="s">
        <v>108</v>
      </c>
      <c r="F109" t="s">
        <v>109</v>
      </c>
      <c r="G109" t="s">
        <v>110</v>
      </c>
      <c r="H109" t="s">
        <v>37</v>
      </c>
      <c r="I109" t="s">
        <v>111</v>
      </c>
      <c r="J109" t="s">
        <v>39</v>
      </c>
      <c r="K109" s="2">
        <v>46179</v>
      </c>
      <c r="L109" s="2">
        <v>46203</v>
      </c>
      <c r="N109" s="2">
        <v>46174</v>
      </c>
      <c r="O109" s="2">
        <v>46905</v>
      </c>
      <c r="P109">
        <v>24</v>
      </c>
      <c r="Q109" t="s">
        <v>65</v>
      </c>
      <c r="R109" t="s">
        <v>41</v>
      </c>
      <c r="S109" t="s">
        <v>112</v>
      </c>
      <c r="T109" t="s">
        <v>55</v>
      </c>
      <c r="U109" t="s">
        <v>56</v>
      </c>
      <c r="V109" t="s">
        <v>81</v>
      </c>
      <c r="W109" t="s">
        <v>46</v>
      </c>
      <c r="X109" t="s">
        <v>47</v>
      </c>
      <c r="Y109">
        <v>115097.51</v>
      </c>
      <c r="Z109">
        <v>74813.38</v>
      </c>
      <c r="AA109">
        <v>0.65</v>
      </c>
      <c r="AB109" t="s">
        <v>39</v>
      </c>
      <c r="AC109" t="s">
        <v>39</v>
      </c>
      <c r="AD109" t="s">
        <v>48</v>
      </c>
    </row>
    <row r="110" spans="1:30" x14ac:dyDescent="0.35">
      <c r="A110" t="s">
        <v>30</v>
      </c>
      <c r="B110" t="s">
        <v>31</v>
      </c>
      <c r="C110" t="s">
        <v>32</v>
      </c>
      <c r="D110" t="s">
        <v>113</v>
      </c>
      <c r="E110" t="s">
        <v>114</v>
      </c>
      <c r="F110" t="s">
        <v>115</v>
      </c>
      <c r="G110" t="s">
        <v>116</v>
      </c>
      <c r="H110" t="s">
        <v>37</v>
      </c>
      <c r="I110" t="s">
        <v>117</v>
      </c>
      <c r="J110" t="s">
        <v>39</v>
      </c>
      <c r="K110" s="2">
        <v>46181</v>
      </c>
      <c r="L110" s="2">
        <v>46203</v>
      </c>
      <c r="N110" s="2">
        <v>46174</v>
      </c>
      <c r="O110" s="2">
        <v>47270</v>
      </c>
      <c r="P110">
        <v>36</v>
      </c>
      <c r="Q110" t="s">
        <v>104</v>
      </c>
      <c r="R110" t="s">
        <v>88</v>
      </c>
      <c r="S110" t="s">
        <v>118</v>
      </c>
      <c r="T110" t="s">
        <v>97</v>
      </c>
      <c r="U110" t="s">
        <v>106</v>
      </c>
      <c r="V110" t="s">
        <v>119</v>
      </c>
      <c r="W110" t="s">
        <v>120</v>
      </c>
      <c r="X110" t="s">
        <v>91</v>
      </c>
      <c r="Y110">
        <v>100863.24</v>
      </c>
      <c r="Z110">
        <v>50431.62</v>
      </c>
      <c r="AA110">
        <v>0.5</v>
      </c>
      <c r="AB110" t="s">
        <v>39</v>
      </c>
      <c r="AC110" t="s">
        <v>39</v>
      </c>
      <c r="AD110" t="s">
        <v>48</v>
      </c>
    </row>
    <row r="111" spans="1:30" x14ac:dyDescent="0.35">
      <c r="A111" t="s">
        <v>30</v>
      </c>
      <c r="B111" t="s">
        <v>31</v>
      </c>
      <c r="C111" t="s">
        <v>32</v>
      </c>
      <c r="D111" t="s">
        <v>121</v>
      </c>
      <c r="E111" t="s">
        <v>122</v>
      </c>
      <c r="F111" t="s">
        <v>123</v>
      </c>
      <c r="G111" t="s">
        <v>124</v>
      </c>
      <c r="H111" t="s">
        <v>37</v>
      </c>
      <c r="I111" t="s">
        <v>64</v>
      </c>
      <c r="J111" t="s">
        <v>39</v>
      </c>
      <c r="K111" s="2">
        <v>46179</v>
      </c>
      <c r="L111" s="2">
        <v>46203</v>
      </c>
      <c r="N111" s="2">
        <v>46174</v>
      </c>
      <c r="O111" s="2">
        <v>46905</v>
      </c>
      <c r="P111">
        <v>24</v>
      </c>
      <c r="Q111" t="s">
        <v>65</v>
      </c>
      <c r="R111" t="s">
        <v>53</v>
      </c>
      <c r="S111" t="s">
        <v>42</v>
      </c>
      <c r="T111" t="s">
        <v>43</v>
      </c>
      <c r="U111" t="s">
        <v>56</v>
      </c>
      <c r="V111" t="s">
        <v>45</v>
      </c>
      <c r="W111" t="s">
        <v>75</v>
      </c>
      <c r="X111" t="s">
        <v>125</v>
      </c>
      <c r="Y111">
        <v>212753.1</v>
      </c>
      <c r="Z111">
        <v>106376.55</v>
      </c>
      <c r="AA111">
        <v>0.5</v>
      </c>
      <c r="AB111" t="s">
        <v>39</v>
      </c>
      <c r="AC111" t="s">
        <v>39</v>
      </c>
      <c r="AD111" t="s">
        <v>48</v>
      </c>
    </row>
    <row r="112" spans="1:30" x14ac:dyDescent="0.35">
      <c r="A112" t="s">
        <v>30</v>
      </c>
      <c r="B112" t="s">
        <v>31</v>
      </c>
      <c r="C112" t="s">
        <v>32</v>
      </c>
      <c r="D112" t="s">
        <v>126</v>
      </c>
      <c r="E112" t="s">
        <v>127</v>
      </c>
      <c r="F112" t="s">
        <v>128</v>
      </c>
      <c r="G112" t="s">
        <v>129</v>
      </c>
      <c r="H112" t="s">
        <v>37</v>
      </c>
      <c r="I112" t="s">
        <v>103</v>
      </c>
      <c r="J112" t="s">
        <v>39</v>
      </c>
      <c r="K112" s="2">
        <v>46177</v>
      </c>
      <c r="L112" s="2">
        <v>46203</v>
      </c>
      <c r="N112" s="2">
        <v>46174</v>
      </c>
      <c r="O112" s="2">
        <v>46539</v>
      </c>
      <c r="P112">
        <v>12</v>
      </c>
      <c r="Q112" t="s">
        <v>40</v>
      </c>
      <c r="R112" t="s">
        <v>88</v>
      </c>
      <c r="S112" t="s">
        <v>42</v>
      </c>
      <c r="T112" t="s">
        <v>43</v>
      </c>
      <c r="U112" t="s">
        <v>106</v>
      </c>
      <c r="V112" t="s">
        <v>81</v>
      </c>
      <c r="W112" t="s">
        <v>82</v>
      </c>
      <c r="X112" t="s">
        <v>91</v>
      </c>
      <c r="Y112">
        <v>213366.54</v>
      </c>
      <c r="Z112">
        <v>138688.25</v>
      </c>
      <c r="AA112">
        <v>0.65</v>
      </c>
      <c r="AB112" t="s">
        <v>39</v>
      </c>
      <c r="AC112" t="s">
        <v>39</v>
      </c>
      <c r="AD112" t="s">
        <v>48</v>
      </c>
    </row>
    <row r="113" spans="1:30" x14ac:dyDescent="0.35">
      <c r="A113" t="s">
        <v>30</v>
      </c>
      <c r="B113" t="s">
        <v>31</v>
      </c>
      <c r="C113" t="s">
        <v>32</v>
      </c>
      <c r="D113" t="s">
        <v>1945</v>
      </c>
      <c r="E113" t="s">
        <v>1946</v>
      </c>
      <c r="F113" t="s">
        <v>1947</v>
      </c>
      <c r="G113" t="s">
        <v>1948</v>
      </c>
      <c r="H113" t="s">
        <v>1271</v>
      </c>
      <c r="I113" t="s">
        <v>38</v>
      </c>
      <c r="J113" t="s">
        <v>39</v>
      </c>
      <c r="K113" s="2">
        <v>46180</v>
      </c>
      <c r="L113" s="2">
        <v>46203</v>
      </c>
      <c r="N113" s="2">
        <v>46174</v>
      </c>
      <c r="O113" s="2">
        <v>46539</v>
      </c>
      <c r="P113">
        <v>12</v>
      </c>
      <c r="Q113" t="s">
        <v>65</v>
      </c>
      <c r="R113" t="s">
        <v>41</v>
      </c>
      <c r="S113" t="s">
        <v>80</v>
      </c>
      <c r="T113" t="s">
        <v>43</v>
      </c>
      <c r="U113" t="s">
        <v>44</v>
      </c>
      <c r="V113" t="s">
        <v>98</v>
      </c>
      <c r="W113" t="s">
        <v>90</v>
      </c>
      <c r="X113" t="s">
        <v>59</v>
      </c>
      <c r="Y113">
        <v>104671.2</v>
      </c>
      <c r="Z113">
        <v>68036.28</v>
      </c>
      <c r="AA113">
        <v>0.65</v>
      </c>
      <c r="AB113" t="s">
        <v>39</v>
      </c>
      <c r="AC113" t="s">
        <v>39</v>
      </c>
      <c r="AD113" t="s">
        <v>48</v>
      </c>
    </row>
    <row r="114" spans="1:30" x14ac:dyDescent="0.35">
      <c r="A114" t="s">
        <v>30</v>
      </c>
      <c r="B114" t="s">
        <v>31</v>
      </c>
      <c r="C114" t="s">
        <v>32</v>
      </c>
      <c r="D114" t="s">
        <v>1949</v>
      </c>
      <c r="E114" t="s">
        <v>1950</v>
      </c>
      <c r="F114" t="s">
        <v>1951</v>
      </c>
      <c r="G114" t="s">
        <v>1952</v>
      </c>
      <c r="H114" t="s">
        <v>1271</v>
      </c>
      <c r="I114" t="s">
        <v>38</v>
      </c>
      <c r="J114" t="s">
        <v>39</v>
      </c>
      <c r="K114" s="2">
        <v>46183</v>
      </c>
      <c r="L114" s="2">
        <v>46203</v>
      </c>
      <c r="N114" s="2">
        <v>46174</v>
      </c>
      <c r="O114" s="2">
        <v>46539</v>
      </c>
      <c r="P114">
        <v>12</v>
      </c>
      <c r="Q114" t="s">
        <v>65</v>
      </c>
      <c r="R114" t="s">
        <v>53</v>
      </c>
      <c r="S114" t="s">
        <v>66</v>
      </c>
      <c r="T114" t="s">
        <v>55</v>
      </c>
      <c r="U114" t="s">
        <v>44</v>
      </c>
      <c r="V114" t="s">
        <v>98</v>
      </c>
      <c r="W114" t="s">
        <v>136</v>
      </c>
      <c r="X114" t="s">
        <v>143</v>
      </c>
      <c r="Y114">
        <v>159274.68</v>
      </c>
      <c r="Z114">
        <v>127419.75</v>
      </c>
      <c r="AA114">
        <v>0.8</v>
      </c>
      <c r="AB114" t="s">
        <v>39</v>
      </c>
      <c r="AC114" t="s">
        <v>39</v>
      </c>
      <c r="AD114" t="s">
        <v>48</v>
      </c>
    </row>
    <row r="115" spans="1:30" x14ac:dyDescent="0.35">
      <c r="A115" t="s">
        <v>30</v>
      </c>
      <c r="B115" t="s">
        <v>31</v>
      </c>
      <c r="C115" t="s">
        <v>32</v>
      </c>
      <c r="D115" t="s">
        <v>1953</v>
      </c>
      <c r="E115" t="s">
        <v>1954</v>
      </c>
      <c r="F115" t="s">
        <v>1955</v>
      </c>
      <c r="G115" t="s">
        <v>1956</v>
      </c>
      <c r="H115" t="s">
        <v>1271</v>
      </c>
      <c r="I115" t="s">
        <v>38</v>
      </c>
      <c r="J115" t="s">
        <v>39</v>
      </c>
      <c r="K115" s="2">
        <v>46177</v>
      </c>
      <c r="L115" s="2">
        <v>46203</v>
      </c>
      <c r="N115" s="2">
        <v>46174</v>
      </c>
      <c r="O115" s="2">
        <v>46539</v>
      </c>
      <c r="P115">
        <v>12</v>
      </c>
      <c r="Q115" t="s">
        <v>104</v>
      </c>
      <c r="R115" t="s">
        <v>41</v>
      </c>
      <c r="S115" t="s">
        <v>89</v>
      </c>
      <c r="T115" t="s">
        <v>55</v>
      </c>
      <c r="U115" t="s">
        <v>56</v>
      </c>
      <c r="V115" t="s">
        <v>74</v>
      </c>
      <c r="W115" t="s">
        <v>90</v>
      </c>
      <c r="X115" t="s">
        <v>91</v>
      </c>
      <c r="Y115">
        <v>82643.94</v>
      </c>
      <c r="Z115">
        <v>28925.38</v>
      </c>
      <c r="AA115">
        <v>0.35</v>
      </c>
      <c r="AB115" t="s">
        <v>39</v>
      </c>
      <c r="AC115" t="s">
        <v>39</v>
      </c>
      <c r="AD115" t="s">
        <v>48</v>
      </c>
    </row>
    <row r="116" spans="1:30" x14ac:dyDescent="0.35">
      <c r="A116" t="s">
        <v>30</v>
      </c>
      <c r="B116" t="s">
        <v>31</v>
      </c>
      <c r="C116" t="s">
        <v>32</v>
      </c>
      <c r="D116" t="s">
        <v>1957</v>
      </c>
      <c r="E116" t="s">
        <v>1958</v>
      </c>
      <c r="F116" t="s">
        <v>1959</v>
      </c>
      <c r="G116" t="s">
        <v>1960</v>
      </c>
      <c r="H116" t="s">
        <v>1271</v>
      </c>
      <c r="I116" t="s">
        <v>103</v>
      </c>
      <c r="J116" t="s">
        <v>39</v>
      </c>
      <c r="K116" s="2">
        <v>46185</v>
      </c>
      <c r="L116" s="2">
        <v>46203</v>
      </c>
      <c r="N116" s="2">
        <v>46174</v>
      </c>
      <c r="O116" s="2">
        <v>46905</v>
      </c>
      <c r="P116">
        <v>24</v>
      </c>
      <c r="Q116" t="s">
        <v>104</v>
      </c>
      <c r="R116" t="s">
        <v>88</v>
      </c>
      <c r="S116" t="s">
        <v>164</v>
      </c>
      <c r="T116" t="s">
        <v>55</v>
      </c>
      <c r="U116" t="s">
        <v>56</v>
      </c>
      <c r="V116" t="s">
        <v>119</v>
      </c>
      <c r="W116" t="s">
        <v>120</v>
      </c>
      <c r="X116" t="s">
        <v>143</v>
      </c>
      <c r="Y116">
        <v>148946.04</v>
      </c>
      <c r="Z116">
        <v>119156.83</v>
      </c>
      <c r="AA116">
        <v>0.8</v>
      </c>
      <c r="AB116" t="s">
        <v>39</v>
      </c>
      <c r="AC116" t="s">
        <v>39</v>
      </c>
      <c r="AD116" t="s">
        <v>48</v>
      </c>
    </row>
    <row r="117" spans="1:30" x14ac:dyDescent="0.35">
      <c r="A117" t="s">
        <v>30</v>
      </c>
      <c r="B117" t="s">
        <v>31</v>
      </c>
      <c r="C117" t="s">
        <v>32</v>
      </c>
      <c r="D117" t="s">
        <v>1961</v>
      </c>
      <c r="E117" t="s">
        <v>1962</v>
      </c>
      <c r="F117" t="s">
        <v>1963</v>
      </c>
      <c r="G117" t="s">
        <v>1964</v>
      </c>
      <c r="H117" t="s">
        <v>1271</v>
      </c>
      <c r="I117" t="s">
        <v>111</v>
      </c>
      <c r="J117" t="s">
        <v>39</v>
      </c>
      <c r="K117" s="2">
        <v>46179</v>
      </c>
      <c r="L117" s="2">
        <v>46203</v>
      </c>
      <c r="N117" s="2">
        <v>46174</v>
      </c>
      <c r="O117" s="2">
        <v>46539</v>
      </c>
      <c r="P117">
        <v>12</v>
      </c>
      <c r="Q117" t="s">
        <v>40</v>
      </c>
      <c r="R117" t="s">
        <v>53</v>
      </c>
      <c r="S117" t="s">
        <v>162</v>
      </c>
      <c r="T117" t="s">
        <v>43</v>
      </c>
      <c r="U117" t="s">
        <v>106</v>
      </c>
      <c r="V117" t="s">
        <v>217</v>
      </c>
      <c r="W117" t="s">
        <v>46</v>
      </c>
      <c r="X117" t="s">
        <v>91</v>
      </c>
      <c r="Y117">
        <v>151560.75</v>
      </c>
      <c r="Z117">
        <v>98514.49</v>
      </c>
      <c r="AA117">
        <v>0.65</v>
      </c>
      <c r="AB117" t="s">
        <v>39</v>
      </c>
      <c r="AC117" t="s">
        <v>39</v>
      </c>
      <c r="AD117" t="s">
        <v>48</v>
      </c>
    </row>
    <row r="118" spans="1:30" x14ac:dyDescent="0.35">
      <c r="A118" t="s">
        <v>30</v>
      </c>
      <c r="B118" t="s">
        <v>31</v>
      </c>
      <c r="C118" t="s">
        <v>32</v>
      </c>
      <c r="D118" t="s">
        <v>1965</v>
      </c>
      <c r="E118" t="s">
        <v>1966</v>
      </c>
      <c r="F118" t="s">
        <v>1967</v>
      </c>
      <c r="G118" t="s">
        <v>1968</v>
      </c>
      <c r="H118" t="s">
        <v>1271</v>
      </c>
      <c r="I118" t="s">
        <v>117</v>
      </c>
      <c r="J118" t="s">
        <v>39</v>
      </c>
      <c r="K118" s="2">
        <v>46188</v>
      </c>
      <c r="L118" s="2">
        <v>46203</v>
      </c>
      <c r="N118" s="2">
        <v>46174</v>
      </c>
      <c r="O118" s="2">
        <v>47270</v>
      </c>
      <c r="P118">
        <v>36</v>
      </c>
      <c r="Q118" t="s">
        <v>65</v>
      </c>
      <c r="R118" t="s">
        <v>53</v>
      </c>
      <c r="S118" t="s">
        <v>130</v>
      </c>
      <c r="T118" t="s">
        <v>131</v>
      </c>
      <c r="U118" t="s">
        <v>56</v>
      </c>
      <c r="V118" t="s">
        <v>119</v>
      </c>
      <c r="W118" t="s">
        <v>142</v>
      </c>
      <c r="X118" t="s">
        <v>143</v>
      </c>
      <c r="Y118">
        <v>176519.85</v>
      </c>
      <c r="Z118">
        <v>61781.95</v>
      </c>
      <c r="AA118">
        <v>0.35</v>
      </c>
      <c r="AB118" t="s">
        <v>39</v>
      </c>
      <c r="AC118" t="s">
        <v>39</v>
      </c>
      <c r="AD118" t="s">
        <v>48</v>
      </c>
    </row>
    <row r="119" spans="1:30" x14ac:dyDescent="0.35">
      <c r="A119" t="s">
        <v>30</v>
      </c>
      <c r="B119" t="s">
        <v>31</v>
      </c>
      <c r="C119" t="s">
        <v>32</v>
      </c>
      <c r="D119" t="s">
        <v>1969</v>
      </c>
      <c r="E119" t="s">
        <v>1970</v>
      </c>
      <c r="F119" t="s">
        <v>397</v>
      </c>
      <c r="G119" t="s">
        <v>398</v>
      </c>
      <c r="H119" t="s">
        <v>1271</v>
      </c>
      <c r="I119" t="s">
        <v>64</v>
      </c>
      <c r="J119" t="s">
        <v>39</v>
      </c>
      <c r="K119" s="2">
        <v>46175</v>
      </c>
      <c r="L119" s="2">
        <v>46203</v>
      </c>
      <c r="N119" s="2">
        <v>46174</v>
      </c>
      <c r="O119" s="2">
        <v>47270</v>
      </c>
      <c r="P119">
        <v>36</v>
      </c>
      <c r="Q119" t="s">
        <v>40</v>
      </c>
      <c r="R119" t="s">
        <v>88</v>
      </c>
      <c r="S119" t="s">
        <v>182</v>
      </c>
      <c r="T119" t="s">
        <v>97</v>
      </c>
      <c r="U119" t="s">
        <v>44</v>
      </c>
      <c r="V119" t="s">
        <v>67</v>
      </c>
      <c r="W119" t="s">
        <v>132</v>
      </c>
      <c r="X119" t="s">
        <v>68</v>
      </c>
      <c r="Y119">
        <v>117201.53</v>
      </c>
      <c r="Z119">
        <v>76181</v>
      </c>
      <c r="AA119">
        <v>0.65</v>
      </c>
      <c r="AB119" t="s">
        <v>39</v>
      </c>
      <c r="AC119" t="s">
        <v>39</v>
      </c>
      <c r="AD119" t="s">
        <v>48</v>
      </c>
    </row>
    <row r="120" spans="1:30" x14ac:dyDescent="0.35">
      <c r="A120" t="s">
        <v>30</v>
      </c>
      <c r="B120" t="s">
        <v>31</v>
      </c>
      <c r="C120" t="s">
        <v>32</v>
      </c>
      <c r="D120" t="s">
        <v>1971</v>
      </c>
      <c r="E120" t="s">
        <v>1972</v>
      </c>
      <c r="F120" t="s">
        <v>1973</v>
      </c>
      <c r="G120" t="s">
        <v>1974</v>
      </c>
      <c r="H120" t="s">
        <v>1290</v>
      </c>
      <c r="I120" t="s">
        <v>64</v>
      </c>
      <c r="J120" t="s">
        <v>1290</v>
      </c>
      <c r="K120" s="2">
        <v>46180</v>
      </c>
      <c r="L120" s="2">
        <v>46203</v>
      </c>
      <c r="N120" s="2">
        <v>46174</v>
      </c>
      <c r="O120" s="2">
        <v>46539</v>
      </c>
      <c r="P120">
        <v>12</v>
      </c>
      <c r="Q120" t="s">
        <v>40</v>
      </c>
      <c r="R120" t="s">
        <v>53</v>
      </c>
      <c r="S120" t="s">
        <v>140</v>
      </c>
      <c r="T120" t="s">
        <v>97</v>
      </c>
      <c r="U120" t="s">
        <v>44</v>
      </c>
      <c r="V120" t="s">
        <v>81</v>
      </c>
      <c r="W120" t="s">
        <v>90</v>
      </c>
      <c r="X120" t="s">
        <v>68</v>
      </c>
      <c r="Y120">
        <v>153926.46</v>
      </c>
      <c r="Z120">
        <v>53874.26</v>
      </c>
      <c r="AA120">
        <v>0.35</v>
      </c>
      <c r="AB120" t="s">
        <v>1290</v>
      </c>
      <c r="AC120" t="s">
        <v>1290</v>
      </c>
      <c r="AD120" t="s">
        <v>48</v>
      </c>
    </row>
    <row r="121" spans="1:30" x14ac:dyDescent="0.35">
      <c r="A121" t="s">
        <v>30</v>
      </c>
      <c r="B121" t="s">
        <v>31</v>
      </c>
      <c r="C121" t="s">
        <v>32</v>
      </c>
      <c r="D121" t="s">
        <v>1975</v>
      </c>
      <c r="E121" t="s">
        <v>1976</v>
      </c>
      <c r="F121" t="s">
        <v>1977</v>
      </c>
      <c r="G121" t="s">
        <v>1978</v>
      </c>
      <c r="H121" t="s">
        <v>1290</v>
      </c>
      <c r="I121" t="s">
        <v>38</v>
      </c>
      <c r="J121" t="s">
        <v>1290</v>
      </c>
      <c r="K121" s="2">
        <v>46182</v>
      </c>
      <c r="L121" s="2">
        <v>46203</v>
      </c>
      <c r="N121" s="2">
        <v>46174</v>
      </c>
      <c r="O121" s="2">
        <v>46905</v>
      </c>
      <c r="P121">
        <v>24</v>
      </c>
      <c r="Q121" t="s">
        <v>104</v>
      </c>
      <c r="R121" t="s">
        <v>41</v>
      </c>
      <c r="S121" t="s">
        <v>163</v>
      </c>
      <c r="T121" t="s">
        <v>131</v>
      </c>
      <c r="U121" t="s">
        <v>44</v>
      </c>
      <c r="V121" t="s">
        <v>144</v>
      </c>
      <c r="W121" t="s">
        <v>150</v>
      </c>
      <c r="X121" t="s">
        <v>59</v>
      </c>
      <c r="Y121">
        <v>168950.54</v>
      </c>
      <c r="Z121">
        <v>109817.85</v>
      </c>
      <c r="AA121">
        <v>0.65</v>
      </c>
      <c r="AB121" t="s">
        <v>1290</v>
      </c>
      <c r="AC121" t="s">
        <v>1290</v>
      </c>
      <c r="AD121" t="s">
        <v>48</v>
      </c>
    </row>
    <row r="122" spans="1:30" x14ac:dyDescent="0.35">
      <c r="A122" t="s">
        <v>30</v>
      </c>
      <c r="B122" t="s">
        <v>31</v>
      </c>
      <c r="C122" t="s">
        <v>32</v>
      </c>
      <c r="D122" t="s">
        <v>1979</v>
      </c>
      <c r="E122" t="s">
        <v>1980</v>
      </c>
      <c r="F122" t="s">
        <v>1981</v>
      </c>
      <c r="G122" t="s">
        <v>1982</v>
      </c>
      <c r="H122" t="s">
        <v>1295</v>
      </c>
      <c r="I122" t="s">
        <v>111</v>
      </c>
      <c r="J122" t="s">
        <v>1295</v>
      </c>
      <c r="K122" s="2">
        <v>46183</v>
      </c>
      <c r="L122" s="2">
        <v>46203</v>
      </c>
      <c r="N122" s="2">
        <v>46174</v>
      </c>
      <c r="O122" s="2">
        <v>46539</v>
      </c>
      <c r="P122">
        <v>12</v>
      </c>
      <c r="Q122" t="s">
        <v>104</v>
      </c>
      <c r="R122" t="s">
        <v>41</v>
      </c>
      <c r="S122" t="s">
        <v>89</v>
      </c>
      <c r="T122" t="s">
        <v>55</v>
      </c>
      <c r="U122" t="s">
        <v>56</v>
      </c>
      <c r="V122" t="s">
        <v>74</v>
      </c>
      <c r="W122" t="s">
        <v>120</v>
      </c>
      <c r="X122" t="s">
        <v>91</v>
      </c>
      <c r="Y122">
        <v>147174.07</v>
      </c>
      <c r="Z122">
        <v>73587.03</v>
      </c>
      <c r="AA122">
        <v>0.5</v>
      </c>
      <c r="AB122" t="s">
        <v>1295</v>
      </c>
      <c r="AC122" t="s">
        <v>1295</v>
      </c>
      <c r="AD122" t="s">
        <v>48</v>
      </c>
    </row>
    <row r="123" spans="1:30" x14ac:dyDescent="0.35">
      <c r="A123" t="s">
        <v>30</v>
      </c>
      <c r="B123" t="s">
        <v>31</v>
      </c>
      <c r="C123" t="s">
        <v>32</v>
      </c>
      <c r="D123" t="s">
        <v>1983</v>
      </c>
      <c r="E123" t="s">
        <v>1984</v>
      </c>
      <c r="F123" t="s">
        <v>1985</v>
      </c>
      <c r="G123" t="s">
        <v>1986</v>
      </c>
      <c r="H123" t="s">
        <v>1295</v>
      </c>
      <c r="I123" t="s">
        <v>117</v>
      </c>
      <c r="J123" t="s">
        <v>1295</v>
      </c>
      <c r="K123" s="2">
        <v>46177</v>
      </c>
      <c r="L123" s="2">
        <v>46203</v>
      </c>
      <c r="N123" s="2">
        <v>46174</v>
      </c>
      <c r="O123" s="2">
        <v>46539</v>
      </c>
      <c r="P123">
        <v>12</v>
      </c>
      <c r="Q123" t="s">
        <v>65</v>
      </c>
      <c r="R123" t="s">
        <v>41</v>
      </c>
      <c r="S123" t="s">
        <v>105</v>
      </c>
      <c r="T123" t="s">
        <v>55</v>
      </c>
      <c r="U123" t="s">
        <v>106</v>
      </c>
      <c r="V123" t="s">
        <v>138</v>
      </c>
      <c r="W123" t="s">
        <v>120</v>
      </c>
      <c r="X123" t="s">
        <v>59</v>
      </c>
      <c r="Y123">
        <v>255474.56</v>
      </c>
      <c r="Z123">
        <v>127737.28</v>
      </c>
      <c r="AA123">
        <v>0.5</v>
      </c>
      <c r="AB123" t="s">
        <v>1295</v>
      </c>
      <c r="AC123" t="s">
        <v>1295</v>
      </c>
      <c r="AD123" t="s">
        <v>48</v>
      </c>
    </row>
    <row r="124" spans="1:30" x14ac:dyDescent="0.35">
      <c r="A124" t="s">
        <v>30</v>
      </c>
      <c r="B124" t="s">
        <v>31</v>
      </c>
      <c r="C124" t="s">
        <v>32</v>
      </c>
      <c r="D124" t="s">
        <v>1987</v>
      </c>
      <c r="E124" t="s">
        <v>1988</v>
      </c>
      <c r="F124" t="s">
        <v>452</v>
      </c>
      <c r="G124" t="s">
        <v>453</v>
      </c>
      <c r="H124" t="s">
        <v>1295</v>
      </c>
      <c r="I124" t="s">
        <v>117</v>
      </c>
      <c r="J124" t="s">
        <v>1295</v>
      </c>
      <c r="K124" s="2">
        <v>46185</v>
      </c>
      <c r="L124" s="2">
        <v>46203</v>
      </c>
      <c r="N124" s="2">
        <v>46174</v>
      </c>
      <c r="O124" s="2">
        <v>46539</v>
      </c>
      <c r="P124">
        <v>12</v>
      </c>
      <c r="Q124" t="s">
        <v>40</v>
      </c>
      <c r="R124" t="s">
        <v>41</v>
      </c>
      <c r="S124" t="s">
        <v>96</v>
      </c>
      <c r="T124" t="s">
        <v>97</v>
      </c>
      <c r="U124" t="s">
        <v>44</v>
      </c>
      <c r="V124" t="s">
        <v>45</v>
      </c>
      <c r="W124" t="s">
        <v>136</v>
      </c>
      <c r="X124" t="s">
        <v>91</v>
      </c>
      <c r="Y124">
        <v>127608.38</v>
      </c>
      <c r="Z124">
        <v>44662.93</v>
      </c>
      <c r="AA124">
        <v>0.35</v>
      </c>
      <c r="AB124" t="s">
        <v>1295</v>
      </c>
      <c r="AC124" t="s">
        <v>1295</v>
      </c>
      <c r="AD124" t="s">
        <v>48</v>
      </c>
    </row>
    <row r="125" spans="1:30" x14ac:dyDescent="0.35">
      <c r="A125" t="s">
        <v>30</v>
      </c>
      <c r="B125" t="s">
        <v>31</v>
      </c>
      <c r="C125" t="s">
        <v>32</v>
      </c>
      <c r="D125" t="s">
        <v>1989</v>
      </c>
      <c r="E125" t="s">
        <v>1990</v>
      </c>
      <c r="F125" t="s">
        <v>1991</v>
      </c>
      <c r="G125" t="s">
        <v>1992</v>
      </c>
      <c r="H125" t="s">
        <v>1302</v>
      </c>
      <c r="I125" t="s">
        <v>117</v>
      </c>
      <c r="J125" t="s">
        <v>39</v>
      </c>
      <c r="K125" s="2">
        <v>46177</v>
      </c>
      <c r="L125" s="2">
        <v>46203</v>
      </c>
      <c r="N125" s="2">
        <v>46174</v>
      </c>
      <c r="O125" s="2">
        <v>46539</v>
      </c>
      <c r="P125">
        <v>12</v>
      </c>
      <c r="Q125" t="s">
        <v>65</v>
      </c>
      <c r="R125" t="s">
        <v>53</v>
      </c>
      <c r="S125" t="s">
        <v>130</v>
      </c>
      <c r="T125" t="s">
        <v>131</v>
      </c>
      <c r="U125" t="s">
        <v>44</v>
      </c>
      <c r="V125" t="s">
        <v>45</v>
      </c>
      <c r="W125" t="s">
        <v>90</v>
      </c>
      <c r="X125" t="s">
        <v>91</v>
      </c>
      <c r="Y125">
        <v>150000</v>
      </c>
      <c r="Z125">
        <v>120000</v>
      </c>
      <c r="AA125">
        <v>0.8</v>
      </c>
      <c r="AB125" t="s">
        <v>39</v>
      </c>
      <c r="AC125" t="s">
        <v>39</v>
      </c>
      <c r="AD125" t="s">
        <v>48</v>
      </c>
    </row>
    <row r="126" spans="1:30" x14ac:dyDescent="0.35">
      <c r="A126" t="s">
        <v>30</v>
      </c>
      <c r="B126" t="s">
        <v>31</v>
      </c>
      <c r="C126" t="s">
        <v>165</v>
      </c>
      <c r="D126" t="s">
        <v>166</v>
      </c>
      <c r="E126" t="s">
        <v>167</v>
      </c>
      <c r="F126" t="s">
        <v>168</v>
      </c>
      <c r="G126" t="s">
        <v>169</v>
      </c>
      <c r="H126" t="s">
        <v>37</v>
      </c>
      <c r="I126" t="s">
        <v>103</v>
      </c>
      <c r="J126" t="s">
        <v>39</v>
      </c>
      <c r="K126" s="2">
        <v>46214</v>
      </c>
      <c r="L126" s="2">
        <v>46234</v>
      </c>
      <c r="N126" s="2">
        <v>46204</v>
      </c>
      <c r="O126" s="2">
        <v>46935</v>
      </c>
      <c r="P126">
        <v>24</v>
      </c>
      <c r="Q126" t="s">
        <v>65</v>
      </c>
      <c r="R126" t="s">
        <v>53</v>
      </c>
      <c r="S126" t="s">
        <v>130</v>
      </c>
      <c r="T126" t="s">
        <v>131</v>
      </c>
      <c r="U126" t="s">
        <v>56</v>
      </c>
      <c r="V126" t="s">
        <v>138</v>
      </c>
      <c r="W126" t="s">
        <v>136</v>
      </c>
      <c r="X126" t="s">
        <v>158</v>
      </c>
      <c r="Y126">
        <v>158383.28</v>
      </c>
      <c r="Z126">
        <v>126706.62</v>
      </c>
      <c r="AA126">
        <v>0.8</v>
      </c>
      <c r="AB126" t="s">
        <v>39</v>
      </c>
      <c r="AC126" t="s">
        <v>39</v>
      </c>
      <c r="AD126" t="s">
        <v>48</v>
      </c>
    </row>
    <row r="127" spans="1:30" x14ac:dyDescent="0.35">
      <c r="A127" t="s">
        <v>30</v>
      </c>
      <c r="B127" t="s">
        <v>31</v>
      </c>
      <c r="C127" t="s">
        <v>165</v>
      </c>
      <c r="D127" t="s">
        <v>170</v>
      </c>
      <c r="E127" t="s">
        <v>171</v>
      </c>
      <c r="F127" t="s">
        <v>172</v>
      </c>
      <c r="G127" t="s">
        <v>173</v>
      </c>
      <c r="H127" t="s">
        <v>37</v>
      </c>
      <c r="I127" t="s">
        <v>117</v>
      </c>
      <c r="J127" t="s">
        <v>39</v>
      </c>
      <c r="K127" s="2">
        <v>46207</v>
      </c>
      <c r="L127" s="2">
        <v>46234</v>
      </c>
      <c r="N127" s="2">
        <v>46204</v>
      </c>
      <c r="O127" s="2">
        <v>46569</v>
      </c>
      <c r="P127">
        <v>12</v>
      </c>
      <c r="Q127" t="s">
        <v>40</v>
      </c>
      <c r="R127" t="s">
        <v>53</v>
      </c>
      <c r="S127" t="s">
        <v>149</v>
      </c>
      <c r="T127" t="s">
        <v>131</v>
      </c>
      <c r="U127" t="s">
        <v>56</v>
      </c>
      <c r="V127" t="s">
        <v>67</v>
      </c>
      <c r="W127" t="s">
        <v>161</v>
      </c>
      <c r="X127" t="s">
        <v>59</v>
      </c>
      <c r="Y127">
        <v>172918.63</v>
      </c>
      <c r="Z127">
        <v>112397.11</v>
      </c>
      <c r="AA127">
        <v>0.65</v>
      </c>
      <c r="AB127" t="s">
        <v>39</v>
      </c>
      <c r="AC127" t="s">
        <v>39</v>
      </c>
      <c r="AD127" t="s">
        <v>48</v>
      </c>
    </row>
    <row r="128" spans="1:30" x14ac:dyDescent="0.35">
      <c r="A128" t="s">
        <v>30</v>
      </c>
      <c r="B128" t="s">
        <v>31</v>
      </c>
      <c r="C128" t="s">
        <v>165</v>
      </c>
      <c r="D128" t="s">
        <v>174</v>
      </c>
      <c r="E128" t="s">
        <v>175</v>
      </c>
      <c r="F128" t="s">
        <v>176</v>
      </c>
      <c r="G128" t="s">
        <v>177</v>
      </c>
      <c r="H128" t="s">
        <v>37</v>
      </c>
      <c r="I128" t="s">
        <v>111</v>
      </c>
      <c r="J128" t="s">
        <v>39</v>
      </c>
      <c r="K128" s="2">
        <v>46212</v>
      </c>
      <c r="L128" s="2">
        <v>46234</v>
      </c>
      <c r="N128" s="2">
        <v>46204</v>
      </c>
      <c r="O128" s="2">
        <v>46935</v>
      </c>
      <c r="P128">
        <v>24</v>
      </c>
      <c r="Q128" t="s">
        <v>65</v>
      </c>
      <c r="R128" t="s">
        <v>88</v>
      </c>
      <c r="S128" t="s">
        <v>151</v>
      </c>
      <c r="T128" t="s">
        <v>131</v>
      </c>
      <c r="U128" t="s">
        <v>56</v>
      </c>
      <c r="V128" t="s">
        <v>98</v>
      </c>
      <c r="W128" t="s">
        <v>120</v>
      </c>
      <c r="X128" t="s">
        <v>59</v>
      </c>
      <c r="Y128">
        <v>131102.01999999999</v>
      </c>
      <c r="Z128">
        <v>104881.61</v>
      </c>
      <c r="AA128">
        <v>0.8</v>
      </c>
      <c r="AB128" t="s">
        <v>39</v>
      </c>
      <c r="AC128" t="s">
        <v>39</v>
      </c>
      <c r="AD128" t="s">
        <v>48</v>
      </c>
    </row>
    <row r="129" spans="1:30" x14ac:dyDescent="0.35">
      <c r="A129" t="s">
        <v>30</v>
      </c>
      <c r="B129" t="s">
        <v>31</v>
      </c>
      <c r="C129" t="s">
        <v>165</v>
      </c>
      <c r="D129" t="s">
        <v>178</v>
      </c>
      <c r="E129" t="s">
        <v>179</v>
      </c>
      <c r="F129" t="s">
        <v>180</v>
      </c>
      <c r="G129" t="s">
        <v>181</v>
      </c>
      <c r="H129" t="s">
        <v>37</v>
      </c>
      <c r="I129" t="s">
        <v>103</v>
      </c>
      <c r="J129" t="s">
        <v>39</v>
      </c>
      <c r="K129" s="2">
        <v>46208</v>
      </c>
      <c r="L129" s="2">
        <v>46234</v>
      </c>
      <c r="N129" s="2">
        <v>46204</v>
      </c>
      <c r="O129" s="2">
        <v>46569</v>
      </c>
      <c r="P129">
        <v>12</v>
      </c>
      <c r="Q129" t="s">
        <v>40</v>
      </c>
      <c r="R129" t="s">
        <v>41</v>
      </c>
      <c r="S129" t="s">
        <v>182</v>
      </c>
      <c r="T129" t="s">
        <v>97</v>
      </c>
      <c r="U129" t="s">
        <v>106</v>
      </c>
      <c r="V129" t="s">
        <v>138</v>
      </c>
      <c r="W129" t="s">
        <v>150</v>
      </c>
      <c r="X129" t="s">
        <v>83</v>
      </c>
      <c r="Y129">
        <v>175446.02</v>
      </c>
      <c r="Z129">
        <v>140356.82</v>
      </c>
      <c r="AA129">
        <v>0.8</v>
      </c>
      <c r="AB129" t="s">
        <v>39</v>
      </c>
      <c r="AC129" t="s">
        <v>39</v>
      </c>
      <c r="AD129" t="s">
        <v>48</v>
      </c>
    </row>
    <row r="130" spans="1:30" x14ac:dyDescent="0.35">
      <c r="A130" t="s">
        <v>30</v>
      </c>
      <c r="B130" t="s">
        <v>31</v>
      </c>
      <c r="C130" t="s">
        <v>165</v>
      </c>
      <c r="D130" t="s">
        <v>183</v>
      </c>
      <c r="E130" t="s">
        <v>184</v>
      </c>
      <c r="F130" t="s">
        <v>185</v>
      </c>
      <c r="G130" t="s">
        <v>186</v>
      </c>
      <c r="H130" t="s">
        <v>37</v>
      </c>
      <c r="I130" t="s">
        <v>117</v>
      </c>
      <c r="J130" t="s">
        <v>39</v>
      </c>
      <c r="K130" s="2">
        <v>46204</v>
      </c>
      <c r="L130" s="2">
        <v>46234</v>
      </c>
      <c r="N130" s="2">
        <v>46204</v>
      </c>
      <c r="O130" s="2">
        <v>46935</v>
      </c>
      <c r="P130">
        <v>24</v>
      </c>
      <c r="Q130" t="s">
        <v>40</v>
      </c>
      <c r="R130" t="s">
        <v>88</v>
      </c>
      <c r="S130" t="s">
        <v>139</v>
      </c>
      <c r="T130" t="s">
        <v>43</v>
      </c>
      <c r="U130" t="s">
        <v>44</v>
      </c>
      <c r="V130" t="s">
        <v>81</v>
      </c>
      <c r="W130" t="s">
        <v>46</v>
      </c>
      <c r="X130" t="s">
        <v>91</v>
      </c>
      <c r="Y130">
        <v>167679.29999999999</v>
      </c>
      <c r="Z130">
        <v>58687.76</v>
      </c>
      <c r="AA130">
        <v>0.35</v>
      </c>
      <c r="AB130" t="s">
        <v>39</v>
      </c>
      <c r="AC130" t="s">
        <v>39</v>
      </c>
      <c r="AD130" t="s">
        <v>48</v>
      </c>
    </row>
    <row r="131" spans="1:30" x14ac:dyDescent="0.35">
      <c r="A131" t="s">
        <v>30</v>
      </c>
      <c r="B131" t="s">
        <v>31</v>
      </c>
      <c r="C131" t="s">
        <v>165</v>
      </c>
      <c r="D131" t="s">
        <v>187</v>
      </c>
      <c r="E131" t="s">
        <v>188</v>
      </c>
      <c r="F131" t="s">
        <v>189</v>
      </c>
      <c r="G131" t="s">
        <v>190</v>
      </c>
      <c r="H131" t="s">
        <v>37</v>
      </c>
      <c r="I131" t="s">
        <v>64</v>
      </c>
      <c r="J131" t="s">
        <v>39</v>
      </c>
      <c r="K131" s="2">
        <v>46207</v>
      </c>
      <c r="L131" s="2">
        <v>46234</v>
      </c>
      <c r="N131" s="2">
        <v>46204</v>
      </c>
      <c r="O131" s="2">
        <v>46569</v>
      </c>
      <c r="P131">
        <v>12</v>
      </c>
      <c r="Q131" t="s">
        <v>40</v>
      </c>
      <c r="R131" t="s">
        <v>53</v>
      </c>
      <c r="S131" t="s">
        <v>135</v>
      </c>
      <c r="T131" t="s">
        <v>131</v>
      </c>
      <c r="U131" t="s">
        <v>44</v>
      </c>
      <c r="V131" t="s">
        <v>119</v>
      </c>
      <c r="W131" t="s">
        <v>142</v>
      </c>
      <c r="X131" t="s">
        <v>143</v>
      </c>
      <c r="Y131">
        <v>130201.07</v>
      </c>
      <c r="Z131">
        <v>104160.85</v>
      </c>
      <c r="AA131">
        <v>0.8</v>
      </c>
      <c r="AB131" t="s">
        <v>39</v>
      </c>
      <c r="AC131" t="s">
        <v>39</v>
      </c>
      <c r="AD131" t="s">
        <v>48</v>
      </c>
    </row>
    <row r="132" spans="1:30" x14ac:dyDescent="0.35">
      <c r="A132" t="s">
        <v>30</v>
      </c>
      <c r="B132" t="s">
        <v>31</v>
      </c>
      <c r="C132" t="s">
        <v>165</v>
      </c>
      <c r="D132" t="s">
        <v>191</v>
      </c>
      <c r="E132" t="s">
        <v>192</v>
      </c>
      <c r="F132" t="s">
        <v>193</v>
      </c>
      <c r="G132" t="s">
        <v>194</v>
      </c>
      <c r="H132" t="s">
        <v>37</v>
      </c>
      <c r="I132" t="s">
        <v>38</v>
      </c>
      <c r="J132" t="s">
        <v>39</v>
      </c>
      <c r="K132" s="2">
        <v>46205</v>
      </c>
      <c r="L132" s="2">
        <v>46234</v>
      </c>
      <c r="N132" s="2">
        <v>46204</v>
      </c>
      <c r="O132" s="2">
        <v>46569</v>
      </c>
      <c r="P132">
        <v>12</v>
      </c>
      <c r="Q132" t="s">
        <v>65</v>
      </c>
      <c r="R132" t="s">
        <v>41</v>
      </c>
      <c r="S132" t="s">
        <v>80</v>
      </c>
      <c r="T132" t="s">
        <v>43</v>
      </c>
      <c r="U132" t="s">
        <v>106</v>
      </c>
      <c r="V132" t="s">
        <v>67</v>
      </c>
      <c r="W132" t="s">
        <v>136</v>
      </c>
      <c r="X132" t="s">
        <v>47</v>
      </c>
      <c r="Y132">
        <v>174502.06</v>
      </c>
      <c r="Z132">
        <v>87251.03</v>
      </c>
      <c r="AA132">
        <v>0.5</v>
      </c>
      <c r="AB132" t="s">
        <v>39</v>
      </c>
      <c r="AC132" t="s">
        <v>39</v>
      </c>
      <c r="AD132" t="s">
        <v>48</v>
      </c>
    </row>
    <row r="133" spans="1:30" x14ac:dyDescent="0.35">
      <c r="A133" t="s">
        <v>30</v>
      </c>
      <c r="B133" t="s">
        <v>31</v>
      </c>
      <c r="C133" t="s">
        <v>165</v>
      </c>
      <c r="D133" t="s">
        <v>195</v>
      </c>
      <c r="E133" t="s">
        <v>196</v>
      </c>
      <c r="F133" t="s">
        <v>197</v>
      </c>
      <c r="G133" t="s">
        <v>198</v>
      </c>
      <c r="H133" t="s">
        <v>37</v>
      </c>
      <c r="I133" t="s">
        <v>38</v>
      </c>
      <c r="J133" t="s">
        <v>39</v>
      </c>
      <c r="K133" s="2">
        <v>46214</v>
      </c>
      <c r="L133" s="2">
        <v>46234</v>
      </c>
      <c r="N133" s="2">
        <v>46204</v>
      </c>
      <c r="O133" s="2">
        <v>46569</v>
      </c>
      <c r="P133">
        <v>12</v>
      </c>
      <c r="Q133" t="s">
        <v>104</v>
      </c>
      <c r="R133" t="s">
        <v>88</v>
      </c>
      <c r="S133" t="s">
        <v>118</v>
      </c>
      <c r="T133" t="s">
        <v>97</v>
      </c>
      <c r="U133" t="s">
        <v>44</v>
      </c>
      <c r="V133" t="s">
        <v>98</v>
      </c>
      <c r="W133" t="s">
        <v>142</v>
      </c>
      <c r="X133" t="s">
        <v>91</v>
      </c>
      <c r="Y133">
        <v>168029.58</v>
      </c>
      <c r="Z133">
        <v>58810.35</v>
      </c>
      <c r="AA133">
        <v>0.35</v>
      </c>
      <c r="AB133" t="s">
        <v>39</v>
      </c>
      <c r="AC133" t="s">
        <v>39</v>
      </c>
      <c r="AD133" t="s">
        <v>48</v>
      </c>
    </row>
    <row r="134" spans="1:30" x14ac:dyDescent="0.35">
      <c r="A134" t="s">
        <v>30</v>
      </c>
      <c r="B134" t="s">
        <v>31</v>
      </c>
      <c r="C134" t="s">
        <v>165</v>
      </c>
      <c r="D134" t="s">
        <v>199</v>
      </c>
      <c r="E134" t="s">
        <v>200</v>
      </c>
      <c r="F134" t="s">
        <v>201</v>
      </c>
      <c r="G134" t="s">
        <v>202</v>
      </c>
      <c r="H134" t="s">
        <v>37</v>
      </c>
      <c r="I134" t="s">
        <v>117</v>
      </c>
      <c r="J134" t="s">
        <v>39</v>
      </c>
      <c r="K134" s="2">
        <v>46214</v>
      </c>
      <c r="L134" s="2">
        <v>46234</v>
      </c>
      <c r="N134" s="2">
        <v>46204</v>
      </c>
      <c r="O134" s="2">
        <v>46569</v>
      </c>
      <c r="P134">
        <v>12</v>
      </c>
      <c r="Q134" t="s">
        <v>40</v>
      </c>
      <c r="R134" t="s">
        <v>53</v>
      </c>
      <c r="S134" t="s">
        <v>73</v>
      </c>
      <c r="T134" t="s">
        <v>43</v>
      </c>
      <c r="U134" t="s">
        <v>44</v>
      </c>
      <c r="V134" t="s">
        <v>119</v>
      </c>
      <c r="W134" t="s">
        <v>136</v>
      </c>
      <c r="X134" t="s">
        <v>158</v>
      </c>
      <c r="Y134">
        <v>149244.96</v>
      </c>
      <c r="Z134">
        <v>97009.22</v>
      </c>
      <c r="AA134">
        <v>0.65</v>
      </c>
      <c r="AB134" t="s">
        <v>39</v>
      </c>
      <c r="AC134" t="s">
        <v>39</v>
      </c>
      <c r="AD134" t="s">
        <v>48</v>
      </c>
    </row>
    <row r="135" spans="1:30" x14ac:dyDescent="0.35">
      <c r="A135" t="s">
        <v>30</v>
      </c>
      <c r="B135" t="s">
        <v>31</v>
      </c>
      <c r="C135" t="s">
        <v>165</v>
      </c>
      <c r="D135" t="s">
        <v>203</v>
      </c>
      <c r="E135" t="s">
        <v>204</v>
      </c>
      <c r="F135" t="s">
        <v>205</v>
      </c>
      <c r="G135" t="s">
        <v>206</v>
      </c>
      <c r="H135" t="s">
        <v>37</v>
      </c>
      <c r="I135" t="s">
        <v>117</v>
      </c>
      <c r="J135" t="s">
        <v>39</v>
      </c>
      <c r="K135" s="2">
        <v>46206</v>
      </c>
      <c r="L135" s="2">
        <v>46234</v>
      </c>
      <c r="N135" s="2">
        <v>46204</v>
      </c>
      <c r="O135" s="2">
        <v>46569</v>
      </c>
      <c r="P135">
        <v>12</v>
      </c>
      <c r="Q135" t="s">
        <v>104</v>
      </c>
      <c r="R135" t="s">
        <v>41</v>
      </c>
      <c r="S135" t="s">
        <v>73</v>
      </c>
      <c r="T135" t="s">
        <v>43</v>
      </c>
      <c r="U135" t="s">
        <v>106</v>
      </c>
      <c r="V135" t="s">
        <v>67</v>
      </c>
      <c r="W135" t="s">
        <v>75</v>
      </c>
      <c r="X135" t="s">
        <v>125</v>
      </c>
      <c r="Y135">
        <v>175066.31</v>
      </c>
      <c r="Z135">
        <v>140053.04999999999</v>
      </c>
      <c r="AA135">
        <v>0.8</v>
      </c>
      <c r="AB135" t="s">
        <v>39</v>
      </c>
      <c r="AC135" t="s">
        <v>39</v>
      </c>
      <c r="AD135" t="s">
        <v>48</v>
      </c>
    </row>
    <row r="136" spans="1:30" x14ac:dyDescent="0.35">
      <c r="A136" t="s">
        <v>30</v>
      </c>
      <c r="B136" t="s">
        <v>31</v>
      </c>
      <c r="C136" t="s">
        <v>165</v>
      </c>
      <c r="D136" t="s">
        <v>207</v>
      </c>
      <c r="E136" t="s">
        <v>208</v>
      </c>
      <c r="F136" t="s">
        <v>209</v>
      </c>
      <c r="G136" t="s">
        <v>210</v>
      </c>
      <c r="H136" t="s">
        <v>37</v>
      </c>
      <c r="I136" t="s">
        <v>38</v>
      </c>
      <c r="J136" t="s">
        <v>39</v>
      </c>
      <c r="K136" s="2">
        <v>46210</v>
      </c>
      <c r="L136" s="2">
        <v>46234</v>
      </c>
      <c r="N136" s="2">
        <v>46204</v>
      </c>
      <c r="O136" s="2">
        <v>46569</v>
      </c>
      <c r="P136">
        <v>12</v>
      </c>
      <c r="Q136" t="s">
        <v>104</v>
      </c>
      <c r="R136" t="s">
        <v>41</v>
      </c>
      <c r="S136" t="s">
        <v>118</v>
      </c>
      <c r="T136" t="s">
        <v>97</v>
      </c>
      <c r="U136" t="s">
        <v>106</v>
      </c>
      <c r="V136" t="s">
        <v>57</v>
      </c>
      <c r="W136" t="s">
        <v>82</v>
      </c>
      <c r="X136" t="s">
        <v>125</v>
      </c>
      <c r="Y136">
        <v>155654.14000000001</v>
      </c>
      <c r="Z136">
        <v>54478.95</v>
      </c>
      <c r="AA136">
        <v>0.35</v>
      </c>
      <c r="AB136" t="s">
        <v>39</v>
      </c>
      <c r="AC136" t="s">
        <v>39</v>
      </c>
      <c r="AD136" t="s">
        <v>48</v>
      </c>
    </row>
    <row r="137" spans="1:30" x14ac:dyDescent="0.35">
      <c r="A137" t="s">
        <v>30</v>
      </c>
      <c r="B137" t="s">
        <v>31</v>
      </c>
      <c r="C137" t="s">
        <v>165</v>
      </c>
      <c r="D137" t="s">
        <v>211</v>
      </c>
      <c r="E137" t="s">
        <v>212</v>
      </c>
      <c r="F137" t="s">
        <v>213</v>
      </c>
      <c r="G137" t="s">
        <v>214</v>
      </c>
      <c r="H137" t="s">
        <v>37</v>
      </c>
      <c r="I137" t="s">
        <v>64</v>
      </c>
      <c r="J137" t="s">
        <v>39</v>
      </c>
      <c r="K137" s="2">
        <v>46213</v>
      </c>
      <c r="L137" s="2">
        <v>46234</v>
      </c>
      <c r="N137" s="2">
        <v>46204</v>
      </c>
      <c r="O137" s="2">
        <v>46569</v>
      </c>
      <c r="P137">
        <v>12</v>
      </c>
      <c r="Q137" t="s">
        <v>65</v>
      </c>
      <c r="R137" t="s">
        <v>88</v>
      </c>
      <c r="S137" t="s">
        <v>105</v>
      </c>
      <c r="T137" t="s">
        <v>55</v>
      </c>
      <c r="U137" t="s">
        <v>56</v>
      </c>
      <c r="V137" t="s">
        <v>138</v>
      </c>
      <c r="W137" t="s">
        <v>132</v>
      </c>
      <c r="X137" t="s">
        <v>47</v>
      </c>
      <c r="Y137">
        <v>108487.62</v>
      </c>
      <c r="Z137">
        <v>70516.95</v>
      </c>
      <c r="AA137">
        <v>0.65</v>
      </c>
      <c r="AB137" t="s">
        <v>39</v>
      </c>
      <c r="AC137" t="s">
        <v>39</v>
      </c>
      <c r="AD137" t="s">
        <v>48</v>
      </c>
    </row>
    <row r="138" spans="1:30" x14ac:dyDescent="0.35">
      <c r="A138" t="s">
        <v>30</v>
      </c>
      <c r="B138" t="s">
        <v>31</v>
      </c>
      <c r="C138" t="s">
        <v>165</v>
      </c>
      <c r="D138" t="s">
        <v>1993</v>
      </c>
      <c r="E138" t="s">
        <v>1994</v>
      </c>
      <c r="F138" t="s">
        <v>1995</v>
      </c>
      <c r="G138" t="s">
        <v>1996</v>
      </c>
      <c r="H138" t="s">
        <v>1271</v>
      </c>
      <c r="I138" t="s">
        <v>38</v>
      </c>
      <c r="J138" t="s">
        <v>39</v>
      </c>
      <c r="K138" s="2">
        <v>46214</v>
      </c>
      <c r="L138" s="2">
        <v>46234</v>
      </c>
      <c r="N138" s="2">
        <v>46204</v>
      </c>
      <c r="O138" s="2">
        <v>46569</v>
      </c>
      <c r="P138">
        <v>12</v>
      </c>
      <c r="Q138" t="s">
        <v>65</v>
      </c>
      <c r="R138" t="s">
        <v>53</v>
      </c>
      <c r="S138" t="s">
        <v>139</v>
      </c>
      <c r="T138" t="s">
        <v>43</v>
      </c>
      <c r="U138" t="s">
        <v>44</v>
      </c>
      <c r="V138" t="s">
        <v>144</v>
      </c>
      <c r="W138" t="s">
        <v>46</v>
      </c>
      <c r="X138" t="s">
        <v>125</v>
      </c>
      <c r="Y138">
        <v>142078.19</v>
      </c>
      <c r="Z138">
        <v>49727.37</v>
      </c>
      <c r="AA138">
        <v>0.35</v>
      </c>
      <c r="AB138" t="s">
        <v>39</v>
      </c>
      <c r="AC138" t="s">
        <v>39</v>
      </c>
      <c r="AD138" t="s">
        <v>48</v>
      </c>
    </row>
    <row r="139" spans="1:30" x14ac:dyDescent="0.35">
      <c r="A139" t="s">
        <v>30</v>
      </c>
      <c r="B139" t="s">
        <v>31</v>
      </c>
      <c r="C139" t="s">
        <v>165</v>
      </c>
      <c r="D139" t="s">
        <v>1997</v>
      </c>
      <c r="E139" t="s">
        <v>1998</v>
      </c>
      <c r="F139" t="s">
        <v>346</v>
      </c>
      <c r="G139" t="s">
        <v>347</v>
      </c>
      <c r="H139" t="s">
        <v>1271</v>
      </c>
      <c r="I139" t="s">
        <v>64</v>
      </c>
      <c r="J139" t="s">
        <v>39</v>
      </c>
      <c r="K139" s="2">
        <v>46215</v>
      </c>
      <c r="L139" s="2">
        <v>46234</v>
      </c>
      <c r="N139" s="2">
        <v>46204</v>
      </c>
      <c r="O139" s="2">
        <v>46569</v>
      </c>
      <c r="P139">
        <v>12</v>
      </c>
      <c r="Q139" t="s">
        <v>40</v>
      </c>
      <c r="R139" t="s">
        <v>88</v>
      </c>
      <c r="S139" t="s">
        <v>140</v>
      </c>
      <c r="T139" t="s">
        <v>97</v>
      </c>
      <c r="U139" t="s">
        <v>56</v>
      </c>
      <c r="V139" t="s">
        <v>217</v>
      </c>
      <c r="W139" t="s">
        <v>90</v>
      </c>
      <c r="X139" t="s">
        <v>59</v>
      </c>
      <c r="Y139">
        <v>125184.84</v>
      </c>
      <c r="Z139">
        <v>81370.149999999994</v>
      </c>
      <c r="AA139">
        <v>0.65</v>
      </c>
      <c r="AB139" t="s">
        <v>39</v>
      </c>
      <c r="AC139" t="s">
        <v>39</v>
      </c>
      <c r="AD139" t="s">
        <v>48</v>
      </c>
    </row>
    <row r="140" spans="1:30" x14ac:dyDescent="0.35">
      <c r="A140" t="s">
        <v>30</v>
      </c>
      <c r="B140" t="s">
        <v>31</v>
      </c>
      <c r="C140" t="s">
        <v>165</v>
      </c>
      <c r="D140" t="s">
        <v>1999</v>
      </c>
      <c r="E140" t="s">
        <v>2000</v>
      </c>
      <c r="F140" t="s">
        <v>931</v>
      </c>
      <c r="G140" t="s">
        <v>932</v>
      </c>
      <c r="H140" t="s">
        <v>1271</v>
      </c>
      <c r="I140" t="s">
        <v>38</v>
      </c>
      <c r="J140" t="s">
        <v>39</v>
      </c>
      <c r="K140" s="2">
        <v>46205</v>
      </c>
      <c r="L140" s="2">
        <v>46234</v>
      </c>
      <c r="N140" s="2">
        <v>46204</v>
      </c>
      <c r="O140" s="2">
        <v>46569</v>
      </c>
      <c r="P140">
        <v>12</v>
      </c>
      <c r="Q140" t="s">
        <v>65</v>
      </c>
      <c r="R140" t="s">
        <v>53</v>
      </c>
      <c r="S140" t="s">
        <v>162</v>
      </c>
      <c r="T140" t="s">
        <v>43</v>
      </c>
      <c r="U140" t="s">
        <v>56</v>
      </c>
      <c r="V140" t="s">
        <v>144</v>
      </c>
      <c r="W140" t="s">
        <v>136</v>
      </c>
      <c r="X140" t="s">
        <v>59</v>
      </c>
      <c r="Y140">
        <v>146170.85</v>
      </c>
      <c r="Z140">
        <v>73085.429999999993</v>
      </c>
      <c r="AA140">
        <v>0.5</v>
      </c>
      <c r="AB140" t="s">
        <v>39</v>
      </c>
      <c r="AC140" t="s">
        <v>39</v>
      </c>
      <c r="AD140" t="s">
        <v>48</v>
      </c>
    </row>
    <row r="141" spans="1:30" x14ac:dyDescent="0.35">
      <c r="A141" t="s">
        <v>30</v>
      </c>
      <c r="B141" t="s">
        <v>31</v>
      </c>
      <c r="C141" t="s">
        <v>165</v>
      </c>
      <c r="D141" t="s">
        <v>2001</v>
      </c>
      <c r="E141" t="s">
        <v>2002</v>
      </c>
      <c r="F141" t="s">
        <v>758</v>
      </c>
      <c r="G141" t="s">
        <v>759</v>
      </c>
      <c r="H141" t="s">
        <v>1271</v>
      </c>
      <c r="I141" t="s">
        <v>64</v>
      </c>
      <c r="J141" t="s">
        <v>39</v>
      </c>
      <c r="K141" s="2">
        <v>46215</v>
      </c>
      <c r="L141" s="2">
        <v>46234</v>
      </c>
      <c r="N141" s="2">
        <v>46204</v>
      </c>
      <c r="O141" s="2">
        <v>46569</v>
      </c>
      <c r="P141">
        <v>12</v>
      </c>
      <c r="Q141" t="s">
        <v>104</v>
      </c>
      <c r="R141" t="s">
        <v>88</v>
      </c>
      <c r="S141" t="s">
        <v>135</v>
      </c>
      <c r="T141" t="s">
        <v>131</v>
      </c>
      <c r="U141" t="s">
        <v>56</v>
      </c>
      <c r="V141" t="s">
        <v>57</v>
      </c>
      <c r="W141" t="s">
        <v>132</v>
      </c>
      <c r="X141" t="s">
        <v>47</v>
      </c>
      <c r="Y141">
        <v>127081.11</v>
      </c>
      <c r="Z141">
        <v>82602.720000000001</v>
      </c>
      <c r="AA141">
        <v>0.65</v>
      </c>
      <c r="AB141" t="s">
        <v>39</v>
      </c>
      <c r="AC141" t="s">
        <v>39</v>
      </c>
      <c r="AD141" t="s">
        <v>48</v>
      </c>
    </row>
    <row r="142" spans="1:30" x14ac:dyDescent="0.35">
      <c r="A142" t="s">
        <v>30</v>
      </c>
      <c r="B142" t="s">
        <v>31</v>
      </c>
      <c r="C142" t="s">
        <v>165</v>
      </c>
      <c r="D142" t="s">
        <v>2003</v>
      </c>
      <c r="E142" t="s">
        <v>2004</v>
      </c>
      <c r="F142" t="s">
        <v>2005</v>
      </c>
      <c r="G142" t="s">
        <v>2006</v>
      </c>
      <c r="H142" t="s">
        <v>1271</v>
      </c>
      <c r="I142" t="s">
        <v>64</v>
      </c>
      <c r="J142" t="s">
        <v>39</v>
      </c>
      <c r="K142" s="2">
        <v>46217</v>
      </c>
      <c r="L142" s="2">
        <v>46234</v>
      </c>
      <c r="N142" s="2">
        <v>46204</v>
      </c>
      <c r="O142" s="2">
        <v>46935</v>
      </c>
      <c r="P142">
        <v>24</v>
      </c>
      <c r="Q142" t="s">
        <v>104</v>
      </c>
      <c r="R142" t="s">
        <v>53</v>
      </c>
      <c r="S142" t="s">
        <v>105</v>
      </c>
      <c r="T142" t="s">
        <v>55</v>
      </c>
      <c r="U142" t="s">
        <v>44</v>
      </c>
      <c r="V142" t="s">
        <v>144</v>
      </c>
      <c r="W142" t="s">
        <v>161</v>
      </c>
      <c r="X142" t="s">
        <v>158</v>
      </c>
      <c r="Y142">
        <v>204915.41</v>
      </c>
      <c r="Z142">
        <v>163932.32999999999</v>
      </c>
      <c r="AA142">
        <v>0.8</v>
      </c>
      <c r="AB142" t="s">
        <v>39</v>
      </c>
      <c r="AC142" t="s">
        <v>39</v>
      </c>
      <c r="AD142" t="s">
        <v>48</v>
      </c>
    </row>
    <row r="143" spans="1:30" x14ac:dyDescent="0.35">
      <c r="A143" t="s">
        <v>30</v>
      </c>
      <c r="B143" t="s">
        <v>31</v>
      </c>
      <c r="C143" t="s">
        <v>165</v>
      </c>
      <c r="D143" t="s">
        <v>2007</v>
      </c>
      <c r="E143" t="s">
        <v>2008</v>
      </c>
      <c r="F143" t="s">
        <v>2009</v>
      </c>
      <c r="G143" t="s">
        <v>2010</v>
      </c>
      <c r="H143" t="s">
        <v>1271</v>
      </c>
      <c r="I143" t="s">
        <v>103</v>
      </c>
      <c r="J143" t="s">
        <v>39</v>
      </c>
      <c r="K143" s="2">
        <v>46204</v>
      </c>
      <c r="L143" s="2">
        <v>46234</v>
      </c>
      <c r="N143" s="2">
        <v>46204</v>
      </c>
      <c r="O143" s="2">
        <v>46569</v>
      </c>
      <c r="P143">
        <v>12</v>
      </c>
      <c r="Q143" t="s">
        <v>40</v>
      </c>
      <c r="R143" t="s">
        <v>88</v>
      </c>
      <c r="S143" t="s">
        <v>139</v>
      </c>
      <c r="T143" t="s">
        <v>43</v>
      </c>
      <c r="U143" t="s">
        <v>44</v>
      </c>
      <c r="V143" t="s">
        <v>144</v>
      </c>
      <c r="W143" t="s">
        <v>58</v>
      </c>
      <c r="X143" t="s">
        <v>68</v>
      </c>
      <c r="Y143">
        <v>145700.43</v>
      </c>
      <c r="Z143">
        <v>50995.15</v>
      </c>
      <c r="AA143">
        <v>0.35</v>
      </c>
      <c r="AB143" t="s">
        <v>39</v>
      </c>
      <c r="AC143" t="s">
        <v>39</v>
      </c>
      <c r="AD143" t="s">
        <v>48</v>
      </c>
    </row>
    <row r="144" spans="1:30" x14ac:dyDescent="0.35">
      <c r="A144" t="s">
        <v>30</v>
      </c>
      <c r="B144" t="s">
        <v>31</v>
      </c>
      <c r="C144" t="s">
        <v>165</v>
      </c>
      <c r="D144" t="s">
        <v>2011</v>
      </c>
      <c r="E144" t="s">
        <v>2012</v>
      </c>
      <c r="F144" t="s">
        <v>2013</v>
      </c>
      <c r="G144" t="s">
        <v>2014</v>
      </c>
      <c r="H144" t="s">
        <v>1271</v>
      </c>
      <c r="I144" t="s">
        <v>38</v>
      </c>
      <c r="J144" t="s">
        <v>39</v>
      </c>
      <c r="K144" s="2">
        <v>46212</v>
      </c>
      <c r="L144" s="2">
        <v>46234</v>
      </c>
      <c r="N144" s="2">
        <v>46204</v>
      </c>
      <c r="O144" s="2">
        <v>46569</v>
      </c>
      <c r="P144">
        <v>12</v>
      </c>
      <c r="Q144" t="s">
        <v>65</v>
      </c>
      <c r="R144" t="s">
        <v>88</v>
      </c>
      <c r="S144" t="s">
        <v>163</v>
      </c>
      <c r="T144" t="s">
        <v>131</v>
      </c>
      <c r="U144" t="s">
        <v>56</v>
      </c>
      <c r="V144" t="s">
        <v>81</v>
      </c>
      <c r="W144" t="s">
        <v>58</v>
      </c>
      <c r="X144" t="s">
        <v>143</v>
      </c>
      <c r="Y144">
        <v>104066.16</v>
      </c>
      <c r="Z144">
        <v>83252.929999999993</v>
      </c>
      <c r="AA144">
        <v>0.8</v>
      </c>
      <c r="AB144" t="s">
        <v>39</v>
      </c>
      <c r="AC144" t="s">
        <v>39</v>
      </c>
      <c r="AD144" t="s">
        <v>48</v>
      </c>
    </row>
    <row r="145" spans="1:30" x14ac:dyDescent="0.35">
      <c r="A145" t="s">
        <v>30</v>
      </c>
      <c r="B145" t="s">
        <v>31</v>
      </c>
      <c r="C145" t="s">
        <v>165</v>
      </c>
      <c r="D145" t="s">
        <v>2015</v>
      </c>
      <c r="E145" t="s">
        <v>2016</v>
      </c>
      <c r="F145" t="s">
        <v>2017</v>
      </c>
      <c r="G145" t="s">
        <v>2018</v>
      </c>
      <c r="H145" t="s">
        <v>1290</v>
      </c>
      <c r="I145" t="s">
        <v>117</v>
      </c>
      <c r="J145" t="s">
        <v>1290</v>
      </c>
      <c r="K145" s="2">
        <v>46210</v>
      </c>
      <c r="L145" s="2">
        <v>46234</v>
      </c>
      <c r="N145" s="2">
        <v>46204</v>
      </c>
      <c r="O145" s="2">
        <v>46569</v>
      </c>
      <c r="P145">
        <v>12</v>
      </c>
      <c r="Q145" t="s">
        <v>104</v>
      </c>
      <c r="R145" t="s">
        <v>53</v>
      </c>
      <c r="S145" t="s">
        <v>280</v>
      </c>
      <c r="T145" t="s">
        <v>43</v>
      </c>
      <c r="U145" t="s">
        <v>44</v>
      </c>
      <c r="V145" t="s">
        <v>45</v>
      </c>
      <c r="W145" t="s">
        <v>150</v>
      </c>
      <c r="X145" t="s">
        <v>125</v>
      </c>
      <c r="Y145">
        <v>197195.85</v>
      </c>
      <c r="Z145">
        <v>157756.68</v>
      </c>
      <c r="AA145">
        <v>0.8</v>
      </c>
      <c r="AB145" t="s">
        <v>1290</v>
      </c>
      <c r="AC145" t="s">
        <v>1290</v>
      </c>
      <c r="AD145" t="s">
        <v>48</v>
      </c>
    </row>
    <row r="146" spans="1:30" x14ac:dyDescent="0.35">
      <c r="A146" t="s">
        <v>30</v>
      </c>
      <c r="B146" t="s">
        <v>31</v>
      </c>
      <c r="C146" t="s">
        <v>165</v>
      </c>
      <c r="D146" t="s">
        <v>2019</v>
      </c>
      <c r="E146" t="s">
        <v>2020</v>
      </c>
      <c r="F146" t="s">
        <v>1061</v>
      </c>
      <c r="G146" t="s">
        <v>1062</v>
      </c>
      <c r="H146" t="s">
        <v>1290</v>
      </c>
      <c r="I146" t="s">
        <v>111</v>
      </c>
      <c r="J146" t="s">
        <v>1290</v>
      </c>
      <c r="K146" s="2">
        <v>46212</v>
      </c>
      <c r="L146" s="2">
        <v>46234</v>
      </c>
      <c r="N146" s="2">
        <v>46204</v>
      </c>
      <c r="O146" s="2">
        <v>46935</v>
      </c>
      <c r="P146">
        <v>24</v>
      </c>
      <c r="Q146" t="s">
        <v>104</v>
      </c>
      <c r="R146" t="s">
        <v>53</v>
      </c>
      <c r="S146" t="s">
        <v>118</v>
      </c>
      <c r="T146" t="s">
        <v>97</v>
      </c>
      <c r="U146" t="s">
        <v>44</v>
      </c>
      <c r="V146" t="s">
        <v>144</v>
      </c>
      <c r="W146" t="s">
        <v>142</v>
      </c>
      <c r="X146" t="s">
        <v>91</v>
      </c>
      <c r="Y146">
        <v>173925.15</v>
      </c>
      <c r="Z146">
        <v>60873.8</v>
      </c>
      <c r="AA146">
        <v>0.35</v>
      </c>
      <c r="AB146" t="s">
        <v>1290</v>
      </c>
      <c r="AC146" t="s">
        <v>1290</v>
      </c>
      <c r="AD146" t="s">
        <v>48</v>
      </c>
    </row>
    <row r="147" spans="1:30" x14ac:dyDescent="0.35">
      <c r="A147" t="s">
        <v>30</v>
      </c>
      <c r="B147" t="s">
        <v>31</v>
      </c>
      <c r="C147" t="s">
        <v>165</v>
      </c>
      <c r="D147" t="s">
        <v>2021</v>
      </c>
      <c r="E147" t="s">
        <v>2022</v>
      </c>
      <c r="F147" t="s">
        <v>2023</v>
      </c>
      <c r="G147" t="s">
        <v>2024</v>
      </c>
      <c r="H147" t="s">
        <v>1295</v>
      </c>
      <c r="I147" t="s">
        <v>38</v>
      </c>
      <c r="J147" t="s">
        <v>1295</v>
      </c>
      <c r="K147" s="2">
        <v>46211</v>
      </c>
      <c r="L147" s="2">
        <v>46234</v>
      </c>
      <c r="N147" s="2">
        <v>46204</v>
      </c>
      <c r="O147" s="2">
        <v>46569</v>
      </c>
      <c r="P147">
        <v>12</v>
      </c>
      <c r="Q147" t="s">
        <v>40</v>
      </c>
      <c r="R147" t="s">
        <v>41</v>
      </c>
      <c r="S147" t="s">
        <v>162</v>
      </c>
      <c r="T147" t="s">
        <v>43</v>
      </c>
      <c r="U147" t="s">
        <v>44</v>
      </c>
      <c r="V147" t="s">
        <v>98</v>
      </c>
      <c r="W147" t="s">
        <v>75</v>
      </c>
      <c r="X147" t="s">
        <v>59</v>
      </c>
      <c r="Y147">
        <v>229209.51</v>
      </c>
      <c r="Z147">
        <v>183367.61</v>
      </c>
      <c r="AA147">
        <v>0.8</v>
      </c>
      <c r="AB147" t="s">
        <v>1295</v>
      </c>
      <c r="AC147" t="s">
        <v>1295</v>
      </c>
      <c r="AD147" t="s">
        <v>48</v>
      </c>
    </row>
    <row r="148" spans="1:30" x14ac:dyDescent="0.35">
      <c r="A148" t="s">
        <v>30</v>
      </c>
      <c r="B148" t="s">
        <v>31</v>
      </c>
      <c r="C148" t="s">
        <v>165</v>
      </c>
      <c r="D148" t="s">
        <v>2025</v>
      </c>
      <c r="E148" t="s">
        <v>2026</v>
      </c>
      <c r="F148" t="s">
        <v>2027</v>
      </c>
      <c r="G148" t="s">
        <v>2028</v>
      </c>
      <c r="H148" t="s">
        <v>1295</v>
      </c>
      <c r="I148" t="s">
        <v>38</v>
      </c>
      <c r="J148" t="s">
        <v>1295</v>
      </c>
      <c r="K148" s="2">
        <v>46205</v>
      </c>
      <c r="L148" s="2">
        <v>46234</v>
      </c>
      <c r="N148" s="2">
        <v>46204</v>
      </c>
      <c r="O148" s="2">
        <v>46569</v>
      </c>
      <c r="P148">
        <v>12</v>
      </c>
      <c r="Q148" t="s">
        <v>40</v>
      </c>
      <c r="R148" t="s">
        <v>53</v>
      </c>
      <c r="S148" t="s">
        <v>164</v>
      </c>
      <c r="T148" t="s">
        <v>55</v>
      </c>
      <c r="U148" t="s">
        <v>56</v>
      </c>
      <c r="V148" t="s">
        <v>81</v>
      </c>
      <c r="W148" t="s">
        <v>120</v>
      </c>
      <c r="X148" t="s">
        <v>143</v>
      </c>
      <c r="Y148">
        <v>161372.31</v>
      </c>
      <c r="Z148">
        <v>56480.31</v>
      </c>
      <c r="AA148">
        <v>0.35</v>
      </c>
      <c r="AB148" t="s">
        <v>1295</v>
      </c>
      <c r="AC148" t="s">
        <v>1295</v>
      </c>
      <c r="AD148" t="s">
        <v>48</v>
      </c>
    </row>
    <row r="149" spans="1:30" x14ac:dyDescent="0.35">
      <c r="A149" t="s">
        <v>30</v>
      </c>
      <c r="B149" t="s">
        <v>31</v>
      </c>
      <c r="C149" t="s">
        <v>165</v>
      </c>
      <c r="D149" t="s">
        <v>2029</v>
      </c>
      <c r="E149" t="s">
        <v>2030</v>
      </c>
      <c r="F149" t="s">
        <v>2031</v>
      </c>
      <c r="G149" t="s">
        <v>2032</v>
      </c>
      <c r="H149" t="s">
        <v>1295</v>
      </c>
      <c r="I149" t="s">
        <v>64</v>
      </c>
      <c r="J149" t="s">
        <v>1295</v>
      </c>
      <c r="K149" s="2">
        <v>46209</v>
      </c>
      <c r="L149" s="2">
        <v>46234</v>
      </c>
      <c r="N149" s="2">
        <v>46204</v>
      </c>
      <c r="O149" s="2">
        <v>46935</v>
      </c>
      <c r="P149">
        <v>24</v>
      </c>
      <c r="Q149" t="s">
        <v>40</v>
      </c>
      <c r="R149" t="s">
        <v>53</v>
      </c>
      <c r="S149" t="s">
        <v>139</v>
      </c>
      <c r="T149" t="s">
        <v>43</v>
      </c>
      <c r="U149" t="s">
        <v>56</v>
      </c>
      <c r="V149" t="s">
        <v>98</v>
      </c>
      <c r="W149" t="s">
        <v>120</v>
      </c>
      <c r="X149" t="s">
        <v>125</v>
      </c>
      <c r="Y149">
        <v>221981.19</v>
      </c>
      <c r="Z149">
        <v>177584.95</v>
      </c>
      <c r="AA149">
        <v>0.8</v>
      </c>
      <c r="AB149" t="s">
        <v>1295</v>
      </c>
      <c r="AC149" t="s">
        <v>1295</v>
      </c>
      <c r="AD149" t="s">
        <v>48</v>
      </c>
    </row>
    <row r="150" spans="1:30" x14ac:dyDescent="0.35">
      <c r="A150" t="s">
        <v>30</v>
      </c>
      <c r="B150" t="s">
        <v>31</v>
      </c>
      <c r="C150" t="s">
        <v>165</v>
      </c>
      <c r="D150" t="s">
        <v>2033</v>
      </c>
      <c r="E150" t="s">
        <v>2034</v>
      </c>
      <c r="F150" t="s">
        <v>732</v>
      </c>
      <c r="G150" t="s">
        <v>733</v>
      </c>
      <c r="H150" t="s">
        <v>1302</v>
      </c>
      <c r="I150" t="s">
        <v>38</v>
      </c>
      <c r="J150" t="s">
        <v>39</v>
      </c>
      <c r="K150" s="2">
        <v>46207</v>
      </c>
      <c r="L150" s="2">
        <v>46234</v>
      </c>
      <c r="N150" s="2">
        <v>46204</v>
      </c>
      <c r="O150" s="2">
        <v>46569</v>
      </c>
      <c r="P150">
        <v>12</v>
      </c>
      <c r="Q150" t="s">
        <v>40</v>
      </c>
      <c r="R150" t="s">
        <v>53</v>
      </c>
      <c r="S150" t="s">
        <v>182</v>
      </c>
      <c r="T150" t="s">
        <v>97</v>
      </c>
      <c r="U150" t="s">
        <v>56</v>
      </c>
      <c r="V150" t="s">
        <v>119</v>
      </c>
      <c r="W150" t="s">
        <v>150</v>
      </c>
      <c r="X150" t="s">
        <v>68</v>
      </c>
      <c r="Y150">
        <v>94078.91</v>
      </c>
      <c r="Z150">
        <v>47039.46</v>
      </c>
      <c r="AA150">
        <v>0.5</v>
      </c>
      <c r="AB150" t="s">
        <v>39</v>
      </c>
      <c r="AC150" t="s">
        <v>39</v>
      </c>
      <c r="AD150" t="s">
        <v>48</v>
      </c>
    </row>
    <row r="151" spans="1:30" x14ac:dyDescent="0.35">
      <c r="A151" t="s">
        <v>30</v>
      </c>
      <c r="B151" t="s">
        <v>31</v>
      </c>
      <c r="C151" t="s">
        <v>165</v>
      </c>
      <c r="D151" t="s">
        <v>2035</v>
      </c>
      <c r="E151" t="s">
        <v>2036</v>
      </c>
      <c r="F151" t="s">
        <v>499</v>
      </c>
      <c r="G151" t="s">
        <v>500</v>
      </c>
      <c r="H151" t="s">
        <v>1302</v>
      </c>
      <c r="I151" t="s">
        <v>111</v>
      </c>
      <c r="J151" t="s">
        <v>39</v>
      </c>
      <c r="K151" s="2">
        <v>46218</v>
      </c>
      <c r="L151" s="2">
        <v>46234</v>
      </c>
      <c r="N151" s="2">
        <v>46204</v>
      </c>
      <c r="O151" s="2">
        <v>46569</v>
      </c>
      <c r="P151">
        <v>12</v>
      </c>
      <c r="Q151" t="s">
        <v>65</v>
      </c>
      <c r="R151" t="s">
        <v>88</v>
      </c>
      <c r="S151" t="s">
        <v>80</v>
      </c>
      <c r="T151" t="s">
        <v>43</v>
      </c>
      <c r="U151" t="s">
        <v>56</v>
      </c>
      <c r="V151" t="s">
        <v>74</v>
      </c>
      <c r="W151" t="s">
        <v>142</v>
      </c>
      <c r="X151" t="s">
        <v>83</v>
      </c>
      <c r="Y151">
        <v>109720.21</v>
      </c>
      <c r="Z151">
        <v>87776.17</v>
      </c>
      <c r="AA151">
        <v>0.8</v>
      </c>
      <c r="AB151" t="s">
        <v>39</v>
      </c>
      <c r="AC151" t="s">
        <v>39</v>
      </c>
      <c r="AD151" t="s">
        <v>48</v>
      </c>
    </row>
    <row r="152" spans="1:30" x14ac:dyDescent="0.35">
      <c r="A152" t="s">
        <v>30</v>
      </c>
      <c r="B152" t="s">
        <v>31</v>
      </c>
      <c r="C152" t="s">
        <v>165</v>
      </c>
      <c r="D152" t="s">
        <v>2037</v>
      </c>
      <c r="E152" t="s">
        <v>2038</v>
      </c>
      <c r="F152" t="s">
        <v>145</v>
      </c>
      <c r="G152" t="s">
        <v>146</v>
      </c>
      <c r="H152" t="s">
        <v>1302</v>
      </c>
      <c r="I152" t="s">
        <v>38</v>
      </c>
      <c r="J152" t="s">
        <v>39</v>
      </c>
      <c r="K152" s="2">
        <v>46206</v>
      </c>
      <c r="L152" s="2">
        <v>46234</v>
      </c>
      <c r="N152" s="2">
        <v>46204</v>
      </c>
      <c r="O152" s="2">
        <v>46569</v>
      </c>
      <c r="P152">
        <v>12</v>
      </c>
      <c r="Q152" t="s">
        <v>40</v>
      </c>
      <c r="R152" t="s">
        <v>53</v>
      </c>
      <c r="S152" t="s">
        <v>130</v>
      </c>
      <c r="T152" t="s">
        <v>131</v>
      </c>
      <c r="U152" t="s">
        <v>56</v>
      </c>
      <c r="V152" t="s">
        <v>119</v>
      </c>
      <c r="W152" t="s">
        <v>161</v>
      </c>
      <c r="X152" t="s">
        <v>158</v>
      </c>
      <c r="Y152">
        <v>103678.88</v>
      </c>
      <c r="Z152">
        <v>67391.27</v>
      </c>
      <c r="AA152">
        <v>0.65</v>
      </c>
      <c r="AB152" t="s">
        <v>39</v>
      </c>
      <c r="AC152" t="s">
        <v>39</v>
      </c>
      <c r="AD152" t="s">
        <v>48</v>
      </c>
    </row>
    <row r="153" spans="1:30" x14ac:dyDescent="0.35">
      <c r="A153" t="s">
        <v>30</v>
      </c>
      <c r="B153" t="s">
        <v>31</v>
      </c>
      <c r="C153" t="s">
        <v>231</v>
      </c>
      <c r="D153" t="s">
        <v>232</v>
      </c>
      <c r="E153" t="s">
        <v>233</v>
      </c>
      <c r="F153" t="s">
        <v>234</v>
      </c>
      <c r="G153" t="s">
        <v>235</v>
      </c>
      <c r="H153" t="s">
        <v>37</v>
      </c>
      <c r="I153" t="s">
        <v>64</v>
      </c>
      <c r="J153" t="s">
        <v>39</v>
      </c>
      <c r="K153" s="2">
        <v>46236</v>
      </c>
      <c r="L153" s="2">
        <v>46265</v>
      </c>
      <c r="N153" s="2">
        <v>46235</v>
      </c>
      <c r="O153" s="2">
        <v>46600</v>
      </c>
      <c r="P153">
        <v>12</v>
      </c>
      <c r="Q153" t="s">
        <v>40</v>
      </c>
      <c r="R153" t="s">
        <v>88</v>
      </c>
      <c r="S153" t="s">
        <v>54</v>
      </c>
      <c r="T153" t="s">
        <v>55</v>
      </c>
      <c r="U153" t="s">
        <v>44</v>
      </c>
      <c r="V153" t="s">
        <v>119</v>
      </c>
      <c r="W153" t="s">
        <v>132</v>
      </c>
      <c r="X153" t="s">
        <v>125</v>
      </c>
      <c r="Y153">
        <v>172320.74</v>
      </c>
      <c r="Z153">
        <v>86160.37</v>
      </c>
      <c r="AA153">
        <v>0.5</v>
      </c>
      <c r="AB153" t="s">
        <v>39</v>
      </c>
      <c r="AC153" t="s">
        <v>39</v>
      </c>
      <c r="AD153" t="s">
        <v>48</v>
      </c>
    </row>
    <row r="154" spans="1:30" x14ac:dyDescent="0.35">
      <c r="A154" t="s">
        <v>30</v>
      </c>
      <c r="B154" t="s">
        <v>31</v>
      </c>
      <c r="C154" t="s">
        <v>231</v>
      </c>
      <c r="D154" t="s">
        <v>236</v>
      </c>
      <c r="E154" t="s">
        <v>237</v>
      </c>
      <c r="F154" t="s">
        <v>238</v>
      </c>
      <c r="G154" t="s">
        <v>239</v>
      </c>
      <c r="H154" t="s">
        <v>37</v>
      </c>
      <c r="I154" t="s">
        <v>38</v>
      </c>
      <c r="J154" t="s">
        <v>39</v>
      </c>
      <c r="K154" s="2">
        <v>46238</v>
      </c>
      <c r="L154" s="2">
        <v>46265</v>
      </c>
      <c r="N154" s="2">
        <v>46235</v>
      </c>
      <c r="O154" s="2">
        <v>46600</v>
      </c>
      <c r="P154">
        <v>12</v>
      </c>
      <c r="Q154" t="s">
        <v>40</v>
      </c>
      <c r="R154" t="s">
        <v>41</v>
      </c>
      <c r="S154" t="s">
        <v>163</v>
      </c>
      <c r="T154" t="s">
        <v>131</v>
      </c>
      <c r="U154" t="s">
        <v>106</v>
      </c>
      <c r="V154" t="s">
        <v>45</v>
      </c>
      <c r="W154" t="s">
        <v>75</v>
      </c>
      <c r="X154" t="s">
        <v>47</v>
      </c>
      <c r="Y154">
        <v>165454.65</v>
      </c>
      <c r="Z154">
        <v>57909.13</v>
      </c>
      <c r="AA154">
        <v>0.35</v>
      </c>
      <c r="AB154" t="s">
        <v>39</v>
      </c>
      <c r="AC154" t="s">
        <v>39</v>
      </c>
      <c r="AD154" t="s">
        <v>48</v>
      </c>
    </row>
    <row r="155" spans="1:30" x14ac:dyDescent="0.35">
      <c r="A155" t="s">
        <v>30</v>
      </c>
      <c r="B155" t="s">
        <v>31</v>
      </c>
      <c r="C155" t="s">
        <v>231</v>
      </c>
      <c r="D155" t="s">
        <v>240</v>
      </c>
      <c r="E155" t="s">
        <v>241</v>
      </c>
      <c r="F155" t="s">
        <v>242</v>
      </c>
      <c r="G155" t="s">
        <v>243</v>
      </c>
      <c r="H155" t="s">
        <v>37</v>
      </c>
      <c r="I155" t="s">
        <v>64</v>
      </c>
      <c r="J155" t="s">
        <v>39</v>
      </c>
      <c r="K155" s="2">
        <v>46244</v>
      </c>
      <c r="L155" s="2">
        <v>46265</v>
      </c>
      <c r="N155" s="2">
        <v>46235</v>
      </c>
      <c r="O155" s="2">
        <v>46600</v>
      </c>
      <c r="P155">
        <v>12</v>
      </c>
      <c r="Q155" t="s">
        <v>104</v>
      </c>
      <c r="R155" t="s">
        <v>53</v>
      </c>
      <c r="S155" t="s">
        <v>182</v>
      </c>
      <c r="T155" t="s">
        <v>97</v>
      </c>
      <c r="U155" t="s">
        <v>44</v>
      </c>
      <c r="V155" t="s">
        <v>138</v>
      </c>
      <c r="W155" t="s">
        <v>46</v>
      </c>
      <c r="X155" t="s">
        <v>68</v>
      </c>
      <c r="Y155">
        <v>162374.47</v>
      </c>
      <c r="Z155">
        <v>105543.41</v>
      </c>
      <c r="AA155">
        <v>0.65</v>
      </c>
      <c r="AB155" t="s">
        <v>39</v>
      </c>
      <c r="AC155" t="s">
        <v>39</v>
      </c>
      <c r="AD155" t="s">
        <v>48</v>
      </c>
    </row>
    <row r="156" spans="1:30" x14ac:dyDescent="0.35">
      <c r="A156" t="s">
        <v>30</v>
      </c>
      <c r="B156" t="s">
        <v>31</v>
      </c>
      <c r="C156" t="s">
        <v>231</v>
      </c>
      <c r="D156" t="s">
        <v>244</v>
      </c>
      <c r="E156" t="s">
        <v>245</v>
      </c>
      <c r="F156" t="s">
        <v>246</v>
      </c>
      <c r="G156" t="s">
        <v>247</v>
      </c>
      <c r="H156" t="s">
        <v>37</v>
      </c>
      <c r="I156" t="s">
        <v>111</v>
      </c>
      <c r="J156" t="s">
        <v>39</v>
      </c>
      <c r="K156" s="2">
        <v>46236</v>
      </c>
      <c r="L156" s="2">
        <v>46265</v>
      </c>
      <c r="N156" s="2">
        <v>46235</v>
      </c>
      <c r="O156" s="2">
        <v>46600</v>
      </c>
      <c r="P156">
        <v>12</v>
      </c>
      <c r="Q156" t="s">
        <v>104</v>
      </c>
      <c r="R156" t="s">
        <v>88</v>
      </c>
      <c r="S156" t="s">
        <v>140</v>
      </c>
      <c r="T156" t="s">
        <v>97</v>
      </c>
      <c r="U156" t="s">
        <v>44</v>
      </c>
      <c r="V156" t="s">
        <v>119</v>
      </c>
      <c r="W156" t="s">
        <v>150</v>
      </c>
      <c r="X156" t="s">
        <v>125</v>
      </c>
      <c r="Y156">
        <v>186366.45</v>
      </c>
      <c r="Z156">
        <v>121138.19</v>
      </c>
      <c r="AA156">
        <v>0.65</v>
      </c>
      <c r="AB156" t="s">
        <v>39</v>
      </c>
      <c r="AC156" t="s">
        <v>39</v>
      </c>
      <c r="AD156" t="s">
        <v>48</v>
      </c>
    </row>
    <row r="157" spans="1:30" x14ac:dyDescent="0.35">
      <c r="A157" t="s">
        <v>30</v>
      </c>
      <c r="B157" t="s">
        <v>31</v>
      </c>
      <c r="C157" t="s">
        <v>231</v>
      </c>
      <c r="D157" t="s">
        <v>248</v>
      </c>
      <c r="E157" t="s">
        <v>249</v>
      </c>
      <c r="F157" t="s">
        <v>250</v>
      </c>
      <c r="G157" t="s">
        <v>251</v>
      </c>
      <c r="H157" t="s">
        <v>37</v>
      </c>
      <c r="I157" t="s">
        <v>111</v>
      </c>
      <c r="J157" t="s">
        <v>39</v>
      </c>
      <c r="K157" s="2">
        <v>46242</v>
      </c>
      <c r="L157" s="2">
        <v>46265</v>
      </c>
      <c r="N157" s="2">
        <v>46235</v>
      </c>
      <c r="O157" s="2">
        <v>46966</v>
      </c>
      <c r="P157">
        <v>24</v>
      </c>
      <c r="Q157" t="s">
        <v>40</v>
      </c>
      <c r="R157" t="s">
        <v>41</v>
      </c>
      <c r="S157" t="s">
        <v>112</v>
      </c>
      <c r="T157" t="s">
        <v>55</v>
      </c>
      <c r="U157" t="s">
        <v>44</v>
      </c>
      <c r="V157" t="s">
        <v>138</v>
      </c>
      <c r="W157" t="s">
        <v>136</v>
      </c>
      <c r="X157" t="s">
        <v>158</v>
      </c>
      <c r="Y157">
        <v>116348.49</v>
      </c>
      <c r="Z157">
        <v>40721.97</v>
      </c>
      <c r="AA157">
        <v>0.35</v>
      </c>
      <c r="AB157" t="s">
        <v>39</v>
      </c>
      <c r="AC157" t="s">
        <v>39</v>
      </c>
      <c r="AD157" t="s">
        <v>48</v>
      </c>
    </row>
    <row r="158" spans="1:30" x14ac:dyDescent="0.35">
      <c r="A158" t="s">
        <v>30</v>
      </c>
      <c r="B158" t="s">
        <v>31</v>
      </c>
      <c r="C158" t="s">
        <v>231</v>
      </c>
      <c r="D158" t="s">
        <v>252</v>
      </c>
      <c r="E158" t="s">
        <v>253</v>
      </c>
      <c r="F158" t="s">
        <v>254</v>
      </c>
      <c r="G158" t="s">
        <v>255</v>
      </c>
      <c r="H158" t="s">
        <v>37</v>
      </c>
      <c r="I158" t="s">
        <v>111</v>
      </c>
      <c r="J158" t="s">
        <v>39</v>
      </c>
      <c r="K158" s="2">
        <v>46246</v>
      </c>
      <c r="L158" s="2">
        <v>46265</v>
      </c>
      <c r="N158" s="2">
        <v>46235</v>
      </c>
      <c r="O158" s="2">
        <v>46966</v>
      </c>
      <c r="P158">
        <v>24</v>
      </c>
      <c r="Q158" t="s">
        <v>104</v>
      </c>
      <c r="R158" t="s">
        <v>88</v>
      </c>
      <c r="S158" t="s">
        <v>182</v>
      </c>
      <c r="T158" t="s">
        <v>97</v>
      </c>
      <c r="U158" t="s">
        <v>44</v>
      </c>
      <c r="V158" t="s">
        <v>74</v>
      </c>
      <c r="W158" t="s">
        <v>120</v>
      </c>
      <c r="X158" t="s">
        <v>83</v>
      </c>
      <c r="Y158">
        <v>226159.12</v>
      </c>
      <c r="Z158">
        <v>113079.56</v>
      </c>
      <c r="AA158">
        <v>0.5</v>
      </c>
      <c r="AB158" t="s">
        <v>39</v>
      </c>
      <c r="AC158" t="s">
        <v>39</v>
      </c>
      <c r="AD158" t="s">
        <v>48</v>
      </c>
    </row>
    <row r="159" spans="1:30" x14ac:dyDescent="0.35">
      <c r="A159" t="s">
        <v>30</v>
      </c>
      <c r="B159" t="s">
        <v>31</v>
      </c>
      <c r="C159" t="s">
        <v>231</v>
      </c>
      <c r="D159" t="s">
        <v>256</v>
      </c>
      <c r="E159" t="s">
        <v>257</v>
      </c>
      <c r="F159" t="s">
        <v>258</v>
      </c>
      <c r="G159" t="s">
        <v>259</v>
      </c>
      <c r="H159" t="s">
        <v>37</v>
      </c>
      <c r="I159" t="s">
        <v>64</v>
      </c>
      <c r="J159" t="s">
        <v>39</v>
      </c>
      <c r="K159" s="2">
        <v>46238</v>
      </c>
      <c r="L159" s="2">
        <v>46265</v>
      </c>
      <c r="N159" s="2">
        <v>46235</v>
      </c>
      <c r="O159" s="2">
        <v>46600</v>
      </c>
      <c r="P159">
        <v>12</v>
      </c>
      <c r="Q159" t="s">
        <v>40</v>
      </c>
      <c r="R159" t="s">
        <v>41</v>
      </c>
      <c r="S159" t="s">
        <v>42</v>
      </c>
      <c r="T159" t="s">
        <v>43</v>
      </c>
      <c r="U159" t="s">
        <v>106</v>
      </c>
      <c r="V159" t="s">
        <v>67</v>
      </c>
      <c r="W159" t="s">
        <v>82</v>
      </c>
      <c r="X159" t="s">
        <v>47</v>
      </c>
      <c r="Y159">
        <v>122832.71</v>
      </c>
      <c r="Z159">
        <v>98266.17</v>
      </c>
      <c r="AA159">
        <v>0.8</v>
      </c>
      <c r="AB159" t="s">
        <v>39</v>
      </c>
      <c r="AC159" t="s">
        <v>39</v>
      </c>
      <c r="AD159" t="s">
        <v>48</v>
      </c>
    </row>
    <row r="160" spans="1:30" x14ac:dyDescent="0.35">
      <c r="A160" t="s">
        <v>30</v>
      </c>
      <c r="B160" t="s">
        <v>31</v>
      </c>
      <c r="C160" t="s">
        <v>231</v>
      </c>
      <c r="D160" t="s">
        <v>260</v>
      </c>
      <c r="E160" t="s">
        <v>261</v>
      </c>
      <c r="F160" t="s">
        <v>262</v>
      </c>
      <c r="G160" t="s">
        <v>263</v>
      </c>
      <c r="H160" t="s">
        <v>37</v>
      </c>
      <c r="I160" t="s">
        <v>103</v>
      </c>
      <c r="J160" t="s">
        <v>39</v>
      </c>
      <c r="K160" s="2">
        <v>46247</v>
      </c>
      <c r="L160" s="2">
        <v>46265</v>
      </c>
      <c r="N160" s="2">
        <v>46235</v>
      </c>
      <c r="O160" s="2">
        <v>46600</v>
      </c>
      <c r="P160">
        <v>12</v>
      </c>
      <c r="Q160" t="s">
        <v>65</v>
      </c>
      <c r="R160" t="s">
        <v>88</v>
      </c>
      <c r="S160" t="s">
        <v>222</v>
      </c>
      <c r="T160" t="s">
        <v>97</v>
      </c>
      <c r="U160" t="s">
        <v>106</v>
      </c>
      <c r="V160" t="s">
        <v>119</v>
      </c>
      <c r="W160" t="s">
        <v>132</v>
      </c>
      <c r="X160" t="s">
        <v>91</v>
      </c>
      <c r="Y160">
        <v>113628.37</v>
      </c>
      <c r="Z160">
        <v>90902.69</v>
      </c>
      <c r="AA160">
        <v>0.8</v>
      </c>
      <c r="AB160" t="s">
        <v>39</v>
      </c>
      <c r="AC160" t="s">
        <v>39</v>
      </c>
      <c r="AD160" t="s">
        <v>48</v>
      </c>
    </row>
    <row r="161" spans="1:30" x14ac:dyDescent="0.35">
      <c r="A161" t="s">
        <v>30</v>
      </c>
      <c r="B161" t="s">
        <v>31</v>
      </c>
      <c r="C161" t="s">
        <v>231</v>
      </c>
      <c r="D161" t="s">
        <v>264</v>
      </c>
      <c r="E161" t="s">
        <v>265</v>
      </c>
      <c r="F161" t="s">
        <v>266</v>
      </c>
      <c r="G161" t="s">
        <v>267</v>
      </c>
      <c r="H161" t="s">
        <v>37</v>
      </c>
      <c r="I161" t="s">
        <v>111</v>
      </c>
      <c r="J161" t="s">
        <v>39</v>
      </c>
      <c r="K161" s="2">
        <v>46249</v>
      </c>
      <c r="L161" s="2">
        <v>46265</v>
      </c>
      <c r="N161" s="2">
        <v>46235</v>
      </c>
      <c r="O161" s="2">
        <v>46600</v>
      </c>
      <c r="P161">
        <v>12</v>
      </c>
      <c r="Q161" t="s">
        <v>40</v>
      </c>
      <c r="R161" t="s">
        <v>88</v>
      </c>
      <c r="S161" t="s">
        <v>182</v>
      </c>
      <c r="T161" t="s">
        <v>97</v>
      </c>
      <c r="U161" t="s">
        <v>56</v>
      </c>
      <c r="V161" t="s">
        <v>144</v>
      </c>
      <c r="W161" t="s">
        <v>46</v>
      </c>
      <c r="X161" t="s">
        <v>143</v>
      </c>
      <c r="Y161">
        <v>192857.55</v>
      </c>
      <c r="Z161">
        <v>125357.41</v>
      </c>
      <c r="AA161">
        <v>0.65</v>
      </c>
      <c r="AB161" t="s">
        <v>39</v>
      </c>
      <c r="AC161" t="s">
        <v>39</v>
      </c>
      <c r="AD161" t="s">
        <v>48</v>
      </c>
    </row>
    <row r="162" spans="1:30" x14ac:dyDescent="0.35">
      <c r="A162" t="s">
        <v>30</v>
      </c>
      <c r="B162" t="s">
        <v>31</v>
      </c>
      <c r="C162" t="s">
        <v>231</v>
      </c>
      <c r="D162" t="s">
        <v>268</v>
      </c>
      <c r="E162" t="s">
        <v>269</v>
      </c>
      <c r="F162" t="s">
        <v>270</v>
      </c>
      <c r="G162" t="s">
        <v>271</v>
      </c>
      <c r="H162" t="s">
        <v>37</v>
      </c>
      <c r="I162" t="s">
        <v>64</v>
      </c>
      <c r="J162" t="s">
        <v>39</v>
      </c>
      <c r="K162" s="2">
        <v>46243</v>
      </c>
      <c r="L162" s="2">
        <v>46265</v>
      </c>
      <c r="N162" s="2">
        <v>46235</v>
      </c>
      <c r="O162" s="2">
        <v>46966</v>
      </c>
      <c r="P162">
        <v>24</v>
      </c>
      <c r="Q162" t="s">
        <v>104</v>
      </c>
      <c r="R162" t="s">
        <v>88</v>
      </c>
      <c r="S162" t="s">
        <v>135</v>
      </c>
      <c r="T162" t="s">
        <v>131</v>
      </c>
      <c r="U162" t="s">
        <v>44</v>
      </c>
      <c r="V162" t="s">
        <v>144</v>
      </c>
      <c r="W162" t="s">
        <v>90</v>
      </c>
      <c r="X162" t="s">
        <v>125</v>
      </c>
      <c r="Y162">
        <v>175403.49</v>
      </c>
      <c r="Z162">
        <v>87701.74</v>
      </c>
      <c r="AA162">
        <v>0.5</v>
      </c>
      <c r="AB162" t="s">
        <v>39</v>
      </c>
      <c r="AC162" t="s">
        <v>39</v>
      </c>
      <c r="AD162" t="s">
        <v>48</v>
      </c>
    </row>
    <row r="163" spans="1:30" x14ac:dyDescent="0.35">
      <c r="A163" t="s">
        <v>30</v>
      </c>
      <c r="B163" t="s">
        <v>31</v>
      </c>
      <c r="C163" t="s">
        <v>231</v>
      </c>
      <c r="D163" t="s">
        <v>272</v>
      </c>
      <c r="E163" t="s">
        <v>273</v>
      </c>
      <c r="F163" t="s">
        <v>215</v>
      </c>
      <c r="G163" t="s">
        <v>216</v>
      </c>
      <c r="H163" t="s">
        <v>37</v>
      </c>
      <c r="I163" t="s">
        <v>111</v>
      </c>
      <c r="J163" t="s">
        <v>39</v>
      </c>
      <c r="K163" s="2">
        <v>46245</v>
      </c>
      <c r="L163" s="2">
        <v>46265</v>
      </c>
      <c r="N163" s="2">
        <v>46235</v>
      </c>
      <c r="O163" s="2">
        <v>46966</v>
      </c>
      <c r="P163">
        <v>24</v>
      </c>
      <c r="Q163" t="s">
        <v>65</v>
      </c>
      <c r="R163" t="s">
        <v>53</v>
      </c>
      <c r="S163" t="s">
        <v>162</v>
      </c>
      <c r="T163" t="s">
        <v>43</v>
      </c>
      <c r="U163" t="s">
        <v>44</v>
      </c>
      <c r="V163" t="s">
        <v>81</v>
      </c>
      <c r="W163" t="s">
        <v>75</v>
      </c>
      <c r="X163" t="s">
        <v>143</v>
      </c>
      <c r="Y163">
        <v>116731.98</v>
      </c>
      <c r="Z163">
        <v>75875.78</v>
      </c>
      <c r="AA163">
        <v>0.65</v>
      </c>
      <c r="AB163" t="s">
        <v>39</v>
      </c>
      <c r="AC163" t="s">
        <v>39</v>
      </c>
      <c r="AD163" t="s">
        <v>48</v>
      </c>
    </row>
    <row r="164" spans="1:30" x14ac:dyDescent="0.35">
      <c r="A164" t="s">
        <v>30</v>
      </c>
      <c r="B164" t="s">
        <v>31</v>
      </c>
      <c r="C164" t="s">
        <v>231</v>
      </c>
      <c r="D164" t="s">
        <v>2039</v>
      </c>
      <c r="E164" t="s">
        <v>2040</v>
      </c>
      <c r="F164" t="s">
        <v>2041</v>
      </c>
      <c r="G164" t="s">
        <v>2042</v>
      </c>
      <c r="H164" t="s">
        <v>1271</v>
      </c>
      <c r="I164" t="s">
        <v>103</v>
      </c>
      <c r="J164" t="s">
        <v>39</v>
      </c>
      <c r="K164" s="2">
        <v>46241</v>
      </c>
      <c r="L164" s="2">
        <v>46265</v>
      </c>
      <c r="N164" s="2">
        <v>46235</v>
      </c>
      <c r="O164" s="2">
        <v>46600</v>
      </c>
      <c r="P164">
        <v>12</v>
      </c>
      <c r="Q164" t="s">
        <v>65</v>
      </c>
      <c r="R164" t="s">
        <v>88</v>
      </c>
      <c r="S164" t="s">
        <v>140</v>
      </c>
      <c r="T164" t="s">
        <v>97</v>
      </c>
      <c r="U164" t="s">
        <v>56</v>
      </c>
      <c r="V164" t="s">
        <v>57</v>
      </c>
      <c r="W164" t="s">
        <v>142</v>
      </c>
      <c r="X164" t="s">
        <v>59</v>
      </c>
      <c r="Y164">
        <v>142301.45000000001</v>
      </c>
      <c r="Z164">
        <v>113841.16</v>
      </c>
      <c r="AA164">
        <v>0.8</v>
      </c>
      <c r="AB164" t="s">
        <v>39</v>
      </c>
      <c r="AC164" t="s">
        <v>39</v>
      </c>
      <c r="AD164" t="s">
        <v>48</v>
      </c>
    </row>
    <row r="165" spans="1:30" x14ac:dyDescent="0.35">
      <c r="A165" t="s">
        <v>30</v>
      </c>
      <c r="B165" t="s">
        <v>31</v>
      </c>
      <c r="C165" t="s">
        <v>231</v>
      </c>
      <c r="D165" t="s">
        <v>2043</v>
      </c>
      <c r="E165" t="s">
        <v>2044</v>
      </c>
      <c r="F165" t="s">
        <v>1127</v>
      </c>
      <c r="G165" t="s">
        <v>1128</v>
      </c>
      <c r="H165" t="s">
        <v>1271</v>
      </c>
      <c r="I165" t="s">
        <v>111</v>
      </c>
      <c r="J165" t="s">
        <v>39</v>
      </c>
      <c r="K165" s="2">
        <v>46245</v>
      </c>
      <c r="L165" s="2">
        <v>46265</v>
      </c>
      <c r="N165" s="2">
        <v>46235</v>
      </c>
      <c r="O165" s="2">
        <v>46600</v>
      </c>
      <c r="P165">
        <v>12</v>
      </c>
      <c r="Q165" t="s">
        <v>104</v>
      </c>
      <c r="R165" t="s">
        <v>88</v>
      </c>
      <c r="S165" t="s">
        <v>139</v>
      </c>
      <c r="T165" t="s">
        <v>43</v>
      </c>
      <c r="U165" t="s">
        <v>56</v>
      </c>
      <c r="V165" t="s">
        <v>45</v>
      </c>
      <c r="W165" t="s">
        <v>142</v>
      </c>
      <c r="X165" t="s">
        <v>83</v>
      </c>
      <c r="Y165">
        <v>125389.53</v>
      </c>
      <c r="Z165">
        <v>43886.33</v>
      </c>
      <c r="AA165">
        <v>0.35</v>
      </c>
      <c r="AB165" t="s">
        <v>39</v>
      </c>
      <c r="AC165" t="s">
        <v>39</v>
      </c>
      <c r="AD165" t="s">
        <v>48</v>
      </c>
    </row>
    <row r="166" spans="1:30" x14ac:dyDescent="0.35">
      <c r="A166" t="s">
        <v>30</v>
      </c>
      <c r="B166" t="s">
        <v>31</v>
      </c>
      <c r="C166" t="s">
        <v>231</v>
      </c>
      <c r="D166" t="s">
        <v>2045</v>
      </c>
      <c r="E166" t="s">
        <v>2046</v>
      </c>
      <c r="F166" t="s">
        <v>2047</v>
      </c>
      <c r="G166" t="s">
        <v>2048</v>
      </c>
      <c r="H166" t="s">
        <v>1271</v>
      </c>
      <c r="I166" t="s">
        <v>64</v>
      </c>
      <c r="J166" t="s">
        <v>39</v>
      </c>
      <c r="K166" s="2">
        <v>46239</v>
      </c>
      <c r="L166" s="2">
        <v>46265</v>
      </c>
      <c r="N166" s="2">
        <v>46235</v>
      </c>
      <c r="O166" s="2">
        <v>46966</v>
      </c>
      <c r="P166">
        <v>24</v>
      </c>
      <c r="Q166" t="s">
        <v>40</v>
      </c>
      <c r="R166" t="s">
        <v>53</v>
      </c>
      <c r="S166" t="s">
        <v>141</v>
      </c>
      <c r="T166" t="s">
        <v>131</v>
      </c>
      <c r="U166" t="s">
        <v>44</v>
      </c>
      <c r="V166" t="s">
        <v>217</v>
      </c>
      <c r="W166" t="s">
        <v>82</v>
      </c>
      <c r="X166" t="s">
        <v>59</v>
      </c>
      <c r="Y166">
        <v>91725.45</v>
      </c>
      <c r="Z166">
        <v>45862.73</v>
      </c>
      <c r="AA166">
        <v>0.5</v>
      </c>
      <c r="AB166" t="s">
        <v>39</v>
      </c>
      <c r="AC166" t="s">
        <v>39</v>
      </c>
      <c r="AD166" t="s">
        <v>48</v>
      </c>
    </row>
    <row r="167" spans="1:30" x14ac:dyDescent="0.35">
      <c r="A167" t="s">
        <v>30</v>
      </c>
      <c r="B167" t="s">
        <v>31</v>
      </c>
      <c r="C167" t="s">
        <v>231</v>
      </c>
      <c r="D167" t="s">
        <v>2049</v>
      </c>
      <c r="E167" t="s">
        <v>2050</v>
      </c>
      <c r="F167" t="s">
        <v>2051</v>
      </c>
      <c r="G167" t="s">
        <v>2052</v>
      </c>
      <c r="H167" t="s">
        <v>1271</v>
      </c>
      <c r="I167" t="s">
        <v>117</v>
      </c>
      <c r="J167" t="s">
        <v>39</v>
      </c>
      <c r="K167" s="2">
        <v>46242</v>
      </c>
      <c r="L167" s="2">
        <v>46265</v>
      </c>
      <c r="N167" s="2">
        <v>46235</v>
      </c>
      <c r="O167" s="2">
        <v>46600</v>
      </c>
      <c r="P167">
        <v>12</v>
      </c>
      <c r="Q167" t="s">
        <v>65</v>
      </c>
      <c r="R167" t="s">
        <v>53</v>
      </c>
      <c r="S167" t="s">
        <v>139</v>
      </c>
      <c r="T167" t="s">
        <v>43</v>
      </c>
      <c r="U167" t="s">
        <v>56</v>
      </c>
      <c r="V167" t="s">
        <v>81</v>
      </c>
      <c r="W167" t="s">
        <v>58</v>
      </c>
      <c r="X167" t="s">
        <v>143</v>
      </c>
      <c r="Y167">
        <v>165352.47</v>
      </c>
      <c r="Z167">
        <v>107479.11</v>
      </c>
      <c r="AA167">
        <v>0.65</v>
      </c>
      <c r="AB167" t="s">
        <v>39</v>
      </c>
      <c r="AC167" t="s">
        <v>39</v>
      </c>
      <c r="AD167" t="s">
        <v>48</v>
      </c>
    </row>
    <row r="168" spans="1:30" x14ac:dyDescent="0.35">
      <c r="A168" t="s">
        <v>30</v>
      </c>
      <c r="B168" t="s">
        <v>31</v>
      </c>
      <c r="C168" t="s">
        <v>231</v>
      </c>
      <c r="D168" t="s">
        <v>2053</v>
      </c>
      <c r="E168" t="s">
        <v>2054</v>
      </c>
      <c r="F168" t="s">
        <v>1687</v>
      </c>
      <c r="G168" t="s">
        <v>1688</v>
      </c>
      <c r="H168" t="s">
        <v>1271</v>
      </c>
      <c r="I168" t="s">
        <v>111</v>
      </c>
      <c r="J168" t="s">
        <v>39</v>
      </c>
      <c r="K168" s="2">
        <v>46245</v>
      </c>
      <c r="L168" s="2">
        <v>46265</v>
      </c>
      <c r="N168" s="2">
        <v>46235</v>
      </c>
      <c r="O168" s="2">
        <v>46600</v>
      </c>
      <c r="P168">
        <v>12</v>
      </c>
      <c r="Q168" t="s">
        <v>40</v>
      </c>
      <c r="R168" t="s">
        <v>88</v>
      </c>
      <c r="S168" t="s">
        <v>135</v>
      </c>
      <c r="T168" t="s">
        <v>131</v>
      </c>
      <c r="U168" t="s">
        <v>56</v>
      </c>
      <c r="V168" t="s">
        <v>144</v>
      </c>
      <c r="W168" t="s">
        <v>46</v>
      </c>
      <c r="X168" t="s">
        <v>47</v>
      </c>
      <c r="Y168">
        <v>136086.51</v>
      </c>
      <c r="Z168">
        <v>108869.2</v>
      </c>
      <c r="AA168">
        <v>0.8</v>
      </c>
      <c r="AB168" t="s">
        <v>39</v>
      </c>
      <c r="AC168" t="s">
        <v>39</v>
      </c>
      <c r="AD168" t="s">
        <v>48</v>
      </c>
    </row>
    <row r="169" spans="1:30" x14ac:dyDescent="0.35">
      <c r="A169" t="s">
        <v>30</v>
      </c>
      <c r="B169" t="s">
        <v>31</v>
      </c>
      <c r="C169" t="s">
        <v>231</v>
      </c>
      <c r="D169" t="s">
        <v>2055</v>
      </c>
      <c r="E169" t="s">
        <v>2056</v>
      </c>
      <c r="F169" t="s">
        <v>2057</v>
      </c>
      <c r="G169" t="s">
        <v>2058</v>
      </c>
      <c r="H169" t="s">
        <v>1271</v>
      </c>
      <c r="I169" t="s">
        <v>111</v>
      </c>
      <c r="J169" t="s">
        <v>39</v>
      </c>
      <c r="K169" s="2">
        <v>46242</v>
      </c>
      <c r="L169" s="2">
        <v>46265</v>
      </c>
      <c r="N169" s="2">
        <v>46235</v>
      </c>
      <c r="O169" s="2">
        <v>46600</v>
      </c>
      <c r="P169">
        <v>12</v>
      </c>
      <c r="Q169" t="s">
        <v>65</v>
      </c>
      <c r="R169" t="s">
        <v>41</v>
      </c>
      <c r="S169" t="s">
        <v>112</v>
      </c>
      <c r="T169" t="s">
        <v>55</v>
      </c>
      <c r="U169" t="s">
        <v>56</v>
      </c>
      <c r="V169" t="s">
        <v>138</v>
      </c>
      <c r="W169" t="s">
        <v>90</v>
      </c>
      <c r="X169" t="s">
        <v>158</v>
      </c>
      <c r="Y169">
        <v>152156.85</v>
      </c>
      <c r="Z169">
        <v>53254.9</v>
      </c>
      <c r="AA169">
        <v>0.35</v>
      </c>
      <c r="AB169" t="s">
        <v>39</v>
      </c>
      <c r="AC169" t="s">
        <v>39</v>
      </c>
      <c r="AD169" t="s">
        <v>48</v>
      </c>
    </row>
    <row r="170" spans="1:30" x14ac:dyDescent="0.35">
      <c r="A170" t="s">
        <v>30</v>
      </c>
      <c r="B170" t="s">
        <v>31</v>
      </c>
      <c r="C170" t="s">
        <v>231</v>
      </c>
      <c r="D170" t="s">
        <v>2059</v>
      </c>
      <c r="E170" t="s">
        <v>2060</v>
      </c>
      <c r="F170" t="s">
        <v>2061</v>
      </c>
      <c r="G170" t="s">
        <v>2062</v>
      </c>
      <c r="H170" t="s">
        <v>1271</v>
      </c>
      <c r="I170" t="s">
        <v>117</v>
      </c>
      <c r="J170" t="s">
        <v>39</v>
      </c>
      <c r="K170" s="2">
        <v>46242</v>
      </c>
      <c r="L170" s="2">
        <v>46265</v>
      </c>
      <c r="N170" s="2">
        <v>46235</v>
      </c>
      <c r="O170" s="2">
        <v>46600</v>
      </c>
      <c r="P170">
        <v>12</v>
      </c>
      <c r="Q170" t="s">
        <v>65</v>
      </c>
      <c r="R170" t="s">
        <v>88</v>
      </c>
      <c r="S170" t="s">
        <v>141</v>
      </c>
      <c r="T170" t="s">
        <v>131</v>
      </c>
      <c r="U170" t="s">
        <v>44</v>
      </c>
      <c r="V170" t="s">
        <v>74</v>
      </c>
      <c r="W170" t="s">
        <v>46</v>
      </c>
      <c r="X170" t="s">
        <v>83</v>
      </c>
      <c r="Y170">
        <v>136954.01</v>
      </c>
      <c r="Z170">
        <v>89020.11</v>
      </c>
      <c r="AA170">
        <v>0.65</v>
      </c>
      <c r="AB170" t="s">
        <v>39</v>
      </c>
      <c r="AC170" t="s">
        <v>39</v>
      </c>
      <c r="AD170" t="s">
        <v>48</v>
      </c>
    </row>
    <row r="171" spans="1:30" x14ac:dyDescent="0.35">
      <c r="A171" t="s">
        <v>30</v>
      </c>
      <c r="B171" t="s">
        <v>31</v>
      </c>
      <c r="C171" t="s">
        <v>231</v>
      </c>
      <c r="D171" t="s">
        <v>2063</v>
      </c>
      <c r="E171" t="s">
        <v>2064</v>
      </c>
      <c r="F171" t="s">
        <v>685</v>
      </c>
      <c r="G171" t="s">
        <v>686</v>
      </c>
      <c r="H171" t="s">
        <v>1271</v>
      </c>
      <c r="I171" t="s">
        <v>64</v>
      </c>
      <c r="J171" t="s">
        <v>39</v>
      </c>
      <c r="K171" s="2">
        <v>46243</v>
      </c>
      <c r="L171" s="2">
        <v>46265</v>
      </c>
      <c r="N171" s="2">
        <v>46235</v>
      </c>
      <c r="O171" s="2">
        <v>46600</v>
      </c>
      <c r="P171">
        <v>12</v>
      </c>
      <c r="Q171" t="s">
        <v>104</v>
      </c>
      <c r="R171" t="s">
        <v>41</v>
      </c>
      <c r="S171" t="s">
        <v>141</v>
      </c>
      <c r="T171" t="s">
        <v>131</v>
      </c>
      <c r="U171" t="s">
        <v>56</v>
      </c>
      <c r="V171" t="s">
        <v>217</v>
      </c>
      <c r="W171" t="s">
        <v>136</v>
      </c>
      <c r="X171" t="s">
        <v>158</v>
      </c>
      <c r="Y171">
        <v>77080.73</v>
      </c>
      <c r="Z171">
        <v>50102.48</v>
      </c>
      <c r="AA171">
        <v>0.65</v>
      </c>
      <c r="AB171" t="s">
        <v>39</v>
      </c>
      <c r="AC171" t="s">
        <v>39</v>
      </c>
      <c r="AD171" t="s">
        <v>48</v>
      </c>
    </row>
    <row r="172" spans="1:30" x14ac:dyDescent="0.35">
      <c r="A172" t="s">
        <v>30</v>
      </c>
      <c r="B172" t="s">
        <v>31</v>
      </c>
      <c r="C172" t="s">
        <v>231</v>
      </c>
      <c r="D172" t="s">
        <v>2065</v>
      </c>
      <c r="E172" t="s">
        <v>2066</v>
      </c>
      <c r="F172" t="s">
        <v>2067</v>
      </c>
      <c r="G172" t="s">
        <v>2068</v>
      </c>
      <c r="H172" t="s">
        <v>1290</v>
      </c>
      <c r="I172" t="s">
        <v>117</v>
      </c>
      <c r="J172" t="s">
        <v>1290</v>
      </c>
      <c r="K172" s="2">
        <v>46247</v>
      </c>
      <c r="L172" s="2">
        <v>46265</v>
      </c>
      <c r="N172" s="2">
        <v>46235</v>
      </c>
      <c r="O172" s="2">
        <v>46966</v>
      </c>
      <c r="P172">
        <v>24</v>
      </c>
      <c r="Q172" t="s">
        <v>40</v>
      </c>
      <c r="R172" t="s">
        <v>88</v>
      </c>
      <c r="S172" t="s">
        <v>141</v>
      </c>
      <c r="T172" t="s">
        <v>131</v>
      </c>
      <c r="U172" t="s">
        <v>44</v>
      </c>
      <c r="V172" t="s">
        <v>67</v>
      </c>
      <c r="W172" t="s">
        <v>150</v>
      </c>
      <c r="X172" t="s">
        <v>125</v>
      </c>
      <c r="Y172">
        <v>116550.9</v>
      </c>
      <c r="Z172">
        <v>75758.080000000002</v>
      </c>
      <c r="AA172">
        <v>0.65</v>
      </c>
      <c r="AB172" t="s">
        <v>1290</v>
      </c>
      <c r="AC172" t="s">
        <v>1290</v>
      </c>
      <c r="AD172" t="s">
        <v>48</v>
      </c>
    </row>
    <row r="173" spans="1:30" x14ac:dyDescent="0.35">
      <c r="A173" t="s">
        <v>30</v>
      </c>
      <c r="B173" t="s">
        <v>31</v>
      </c>
      <c r="C173" t="s">
        <v>231</v>
      </c>
      <c r="D173" t="s">
        <v>2069</v>
      </c>
      <c r="E173" t="s">
        <v>2070</v>
      </c>
      <c r="F173" t="s">
        <v>2071</v>
      </c>
      <c r="G173" t="s">
        <v>2072</v>
      </c>
      <c r="H173" t="s">
        <v>1290</v>
      </c>
      <c r="I173" t="s">
        <v>38</v>
      </c>
      <c r="J173" t="s">
        <v>1290</v>
      </c>
      <c r="K173" s="2">
        <v>46248</v>
      </c>
      <c r="L173" s="2">
        <v>46265</v>
      </c>
      <c r="N173" s="2">
        <v>46235</v>
      </c>
      <c r="O173" s="2">
        <v>46600</v>
      </c>
      <c r="P173">
        <v>12</v>
      </c>
      <c r="Q173" t="s">
        <v>65</v>
      </c>
      <c r="R173" t="s">
        <v>88</v>
      </c>
      <c r="S173" t="s">
        <v>222</v>
      </c>
      <c r="T173" t="s">
        <v>97</v>
      </c>
      <c r="U173" t="s">
        <v>44</v>
      </c>
      <c r="V173" t="s">
        <v>98</v>
      </c>
      <c r="W173" t="s">
        <v>90</v>
      </c>
      <c r="X173" t="s">
        <v>59</v>
      </c>
      <c r="Y173">
        <v>112233.14</v>
      </c>
      <c r="Z173">
        <v>72951.539999999994</v>
      </c>
      <c r="AA173">
        <v>0.65</v>
      </c>
      <c r="AB173" t="s">
        <v>1290</v>
      </c>
      <c r="AC173" t="s">
        <v>1290</v>
      </c>
      <c r="AD173" t="s">
        <v>48</v>
      </c>
    </row>
    <row r="174" spans="1:30" x14ac:dyDescent="0.35">
      <c r="A174" t="s">
        <v>30</v>
      </c>
      <c r="B174" t="s">
        <v>31</v>
      </c>
      <c r="C174" t="s">
        <v>231</v>
      </c>
      <c r="D174" t="s">
        <v>2073</v>
      </c>
      <c r="E174" t="s">
        <v>2074</v>
      </c>
      <c r="F174" t="s">
        <v>879</v>
      </c>
      <c r="G174" t="s">
        <v>880</v>
      </c>
      <c r="H174" t="s">
        <v>1290</v>
      </c>
      <c r="I174" t="s">
        <v>103</v>
      </c>
      <c r="J174" t="s">
        <v>1290</v>
      </c>
      <c r="K174" s="2">
        <v>46244</v>
      </c>
      <c r="L174" s="2">
        <v>46265</v>
      </c>
      <c r="N174" s="2">
        <v>46235</v>
      </c>
      <c r="O174" s="2">
        <v>46600</v>
      </c>
      <c r="P174">
        <v>12</v>
      </c>
      <c r="Q174" t="s">
        <v>104</v>
      </c>
      <c r="R174" t="s">
        <v>41</v>
      </c>
      <c r="S174" t="s">
        <v>222</v>
      </c>
      <c r="T174" t="s">
        <v>97</v>
      </c>
      <c r="U174" t="s">
        <v>56</v>
      </c>
      <c r="V174" t="s">
        <v>217</v>
      </c>
      <c r="W174" t="s">
        <v>161</v>
      </c>
      <c r="X174" t="s">
        <v>68</v>
      </c>
      <c r="Y174">
        <v>173645.96</v>
      </c>
      <c r="Z174">
        <v>138916.76999999999</v>
      </c>
      <c r="AA174">
        <v>0.8</v>
      </c>
      <c r="AB174" t="s">
        <v>1290</v>
      </c>
      <c r="AC174" t="s">
        <v>1290</v>
      </c>
      <c r="AD174" t="s">
        <v>48</v>
      </c>
    </row>
    <row r="175" spans="1:30" x14ac:dyDescent="0.35">
      <c r="A175" t="s">
        <v>30</v>
      </c>
      <c r="B175" t="s">
        <v>31</v>
      </c>
      <c r="C175" t="s">
        <v>231</v>
      </c>
      <c r="D175" t="s">
        <v>2075</v>
      </c>
      <c r="E175" t="s">
        <v>2076</v>
      </c>
      <c r="F175" t="s">
        <v>2077</v>
      </c>
      <c r="G175" t="s">
        <v>2078</v>
      </c>
      <c r="H175" t="s">
        <v>1295</v>
      </c>
      <c r="I175" t="s">
        <v>111</v>
      </c>
      <c r="J175" t="s">
        <v>1295</v>
      </c>
      <c r="K175" s="2">
        <v>46243</v>
      </c>
      <c r="L175" s="2">
        <v>46265</v>
      </c>
      <c r="N175" s="2">
        <v>46235</v>
      </c>
      <c r="O175" s="2">
        <v>46600</v>
      </c>
      <c r="P175">
        <v>12</v>
      </c>
      <c r="Q175" t="s">
        <v>40</v>
      </c>
      <c r="R175" t="s">
        <v>41</v>
      </c>
      <c r="S175" t="s">
        <v>89</v>
      </c>
      <c r="T175" t="s">
        <v>55</v>
      </c>
      <c r="U175" t="s">
        <v>44</v>
      </c>
      <c r="V175" t="s">
        <v>217</v>
      </c>
      <c r="W175" t="s">
        <v>82</v>
      </c>
      <c r="X175" t="s">
        <v>91</v>
      </c>
      <c r="Y175">
        <v>192570.26</v>
      </c>
      <c r="Z175">
        <v>125170.67</v>
      </c>
      <c r="AA175">
        <v>0.65</v>
      </c>
      <c r="AB175" t="s">
        <v>1295</v>
      </c>
      <c r="AC175" t="s">
        <v>1295</v>
      </c>
      <c r="AD175" t="s">
        <v>48</v>
      </c>
    </row>
    <row r="176" spans="1:30" x14ac:dyDescent="0.35">
      <c r="A176" t="s">
        <v>30</v>
      </c>
      <c r="B176" t="s">
        <v>31</v>
      </c>
      <c r="C176" t="s">
        <v>231</v>
      </c>
      <c r="D176" t="s">
        <v>2079</v>
      </c>
      <c r="E176" t="s">
        <v>2080</v>
      </c>
      <c r="F176" t="s">
        <v>2081</v>
      </c>
      <c r="G176" t="s">
        <v>2082</v>
      </c>
      <c r="H176" t="s">
        <v>1295</v>
      </c>
      <c r="I176" t="s">
        <v>117</v>
      </c>
      <c r="J176" t="s">
        <v>1295</v>
      </c>
      <c r="K176" s="2">
        <v>46236</v>
      </c>
      <c r="L176" s="2">
        <v>46265</v>
      </c>
      <c r="N176" s="2">
        <v>46235</v>
      </c>
      <c r="O176" s="2">
        <v>46600</v>
      </c>
      <c r="P176">
        <v>12</v>
      </c>
      <c r="Q176" t="s">
        <v>40</v>
      </c>
      <c r="R176" t="s">
        <v>88</v>
      </c>
      <c r="S176" t="s">
        <v>105</v>
      </c>
      <c r="T176" t="s">
        <v>55</v>
      </c>
      <c r="U176" t="s">
        <v>44</v>
      </c>
      <c r="V176" t="s">
        <v>119</v>
      </c>
      <c r="W176" t="s">
        <v>90</v>
      </c>
      <c r="X176" t="s">
        <v>158</v>
      </c>
      <c r="Y176">
        <v>251268.85</v>
      </c>
      <c r="Z176">
        <v>163324.75</v>
      </c>
      <c r="AA176">
        <v>0.65</v>
      </c>
      <c r="AB176" t="s">
        <v>1295</v>
      </c>
      <c r="AC176" t="s">
        <v>1295</v>
      </c>
      <c r="AD176" t="s">
        <v>48</v>
      </c>
    </row>
    <row r="177" spans="1:30" x14ac:dyDescent="0.35">
      <c r="A177" t="s">
        <v>30</v>
      </c>
      <c r="B177" t="s">
        <v>31</v>
      </c>
      <c r="C177" t="s">
        <v>231</v>
      </c>
      <c r="D177" t="s">
        <v>2083</v>
      </c>
      <c r="E177" t="s">
        <v>2084</v>
      </c>
      <c r="F177" t="s">
        <v>595</v>
      </c>
      <c r="G177" t="s">
        <v>596</v>
      </c>
      <c r="H177" t="s">
        <v>1295</v>
      </c>
      <c r="I177" t="s">
        <v>38</v>
      </c>
      <c r="J177" t="s">
        <v>1295</v>
      </c>
      <c r="K177" s="2">
        <v>46239</v>
      </c>
      <c r="L177" s="2">
        <v>46265</v>
      </c>
      <c r="N177" s="2">
        <v>46235</v>
      </c>
      <c r="O177" s="2">
        <v>46966</v>
      </c>
      <c r="P177">
        <v>24</v>
      </c>
      <c r="Q177" t="s">
        <v>104</v>
      </c>
      <c r="R177" t="s">
        <v>41</v>
      </c>
      <c r="S177" t="s">
        <v>141</v>
      </c>
      <c r="T177" t="s">
        <v>131</v>
      </c>
      <c r="U177" t="s">
        <v>44</v>
      </c>
      <c r="V177" t="s">
        <v>57</v>
      </c>
      <c r="W177" t="s">
        <v>136</v>
      </c>
      <c r="X177" t="s">
        <v>59</v>
      </c>
      <c r="Y177">
        <v>218531.89</v>
      </c>
      <c r="Z177">
        <v>174825.51</v>
      </c>
      <c r="AA177">
        <v>0.8</v>
      </c>
      <c r="AB177" t="s">
        <v>1295</v>
      </c>
      <c r="AC177" t="s">
        <v>1295</v>
      </c>
      <c r="AD177" t="s">
        <v>48</v>
      </c>
    </row>
    <row r="178" spans="1:30" x14ac:dyDescent="0.35">
      <c r="A178" t="s">
        <v>30</v>
      </c>
      <c r="B178" t="s">
        <v>31</v>
      </c>
      <c r="C178" t="s">
        <v>231</v>
      </c>
      <c r="D178" t="s">
        <v>2085</v>
      </c>
      <c r="E178" t="s">
        <v>2086</v>
      </c>
      <c r="F178" t="s">
        <v>1263</v>
      </c>
      <c r="G178" t="s">
        <v>1264</v>
      </c>
      <c r="H178" t="s">
        <v>1302</v>
      </c>
      <c r="I178" t="s">
        <v>117</v>
      </c>
      <c r="J178" t="s">
        <v>39</v>
      </c>
      <c r="K178" s="2">
        <v>46243</v>
      </c>
      <c r="L178" s="2">
        <v>46265</v>
      </c>
      <c r="N178" s="2">
        <v>46235</v>
      </c>
      <c r="O178" s="2">
        <v>46600</v>
      </c>
      <c r="P178">
        <v>12</v>
      </c>
      <c r="Q178" t="s">
        <v>65</v>
      </c>
      <c r="R178" t="s">
        <v>88</v>
      </c>
      <c r="S178" t="s">
        <v>163</v>
      </c>
      <c r="T178" t="s">
        <v>131</v>
      </c>
      <c r="U178" t="s">
        <v>56</v>
      </c>
      <c r="V178" t="s">
        <v>74</v>
      </c>
      <c r="W178" t="s">
        <v>58</v>
      </c>
      <c r="X178" t="s">
        <v>143</v>
      </c>
      <c r="Y178">
        <v>106652.24</v>
      </c>
      <c r="Z178">
        <v>85321.79</v>
      </c>
      <c r="AA178">
        <v>0.8</v>
      </c>
      <c r="AB178" t="s">
        <v>39</v>
      </c>
      <c r="AC178" t="s">
        <v>39</v>
      </c>
      <c r="AD178" t="s">
        <v>48</v>
      </c>
    </row>
    <row r="179" spans="1:30" x14ac:dyDescent="0.35">
      <c r="A179" t="s">
        <v>30</v>
      </c>
      <c r="B179" t="s">
        <v>31</v>
      </c>
      <c r="C179" t="s">
        <v>231</v>
      </c>
      <c r="D179" t="s">
        <v>2087</v>
      </c>
      <c r="E179" t="s">
        <v>2088</v>
      </c>
      <c r="F179" t="s">
        <v>2089</v>
      </c>
      <c r="G179" t="s">
        <v>2090</v>
      </c>
      <c r="H179" t="s">
        <v>1302</v>
      </c>
      <c r="I179" t="s">
        <v>103</v>
      </c>
      <c r="J179" t="s">
        <v>39</v>
      </c>
      <c r="K179" s="2">
        <v>46245</v>
      </c>
      <c r="L179" s="2">
        <v>46265</v>
      </c>
      <c r="N179" s="2">
        <v>46235</v>
      </c>
      <c r="O179" s="2">
        <v>46600</v>
      </c>
      <c r="P179">
        <v>12</v>
      </c>
      <c r="Q179" t="s">
        <v>104</v>
      </c>
      <c r="R179" t="s">
        <v>41</v>
      </c>
      <c r="S179" t="s">
        <v>73</v>
      </c>
      <c r="T179" t="s">
        <v>43</v>
      </c>
      <c r="U179" t="s">
        <v>56</v>
      </c>
      <c r="V179" t="s">
        <v>98</v>
      </c>
      <c r="W179" t="s">
        <v>142</v>
      </c>
      <c r="X179" t="s">
        <v>68</v>
      </c>
      <c r="Y179">
        <v>94488.47</v>
      </c>
      <c r="Z179">
        <v>61417.5</v>
      </c>
      <c r="AA179">
        <v>0.65</v>
      </c>
      <c r="AB179" t="s">
        <v>39</v>
      </c>
      <c r="AC179" t="s">
        <v>39</v>
      </c>
      <c r="AD179" t="s">
        <v>48</v>
      </c>
    </row>
    <row r="180" spans="1:30" x14ac:dyDescent="0.35">
      <c r="A180" t="s">
        <v>30</v>
      </c>
      <c r="B180" t="s">
        <v>31</v>
      </c>
      <c r="C180" t="s">
        <v>231</v>
      </c>
      <c r="D180" t="s">
        <v>2091</v>
      </c>
      <c r="E180" t="s">
        <v>2092</v>
      </c>
      <c r="F180" t="s">
        <v>2093</v>
      </c>
      <c r="G180" t="s">
        <v>2094</v>
      </c>
      <c r="H180" t="s">
        <v>1302</v>
      </c>
      <c r="I180" t="s">
        <v>117</v>
      </c>
      <c r="J180" t="s">
        <v>39</v>
      </c>
      <c r="K180" s="2">
        <v>46244</v>
      </c>
      <c r="L180" s="2">
        <v>46265</v>
      </c>
      <c r="N180" s="2">
        <v>46235</v>
      </c>
      <c r="O180" s="2">
        <v>46600</v>
      </c>
      <c r="P180">
        <v>12</v>
      </c>
      <c r="Q180" t="s">
        <v>40</v>
      </c>
      <c r="R180" t="s">
        <v>41</v>
      </c>
      <c r="S180" t="s">
        <v>80</v>
      </c>
      <c r="T180" t="s">
        <v>43</v>
      </c>
      <c r="U180" t="s">
        <v>44</v>
      </c>
      <c r="V180" t="s">
        <v>138</v>
      </c>
      <c r="W180" t="s">
        <v>142</v>
      </c>
      <c r="X180" t="s">
        <v>83</v>
      </c>
      <c r="Y180">
        <v>172362.29</v>
      </c>
      <c r="Z180">
        <v>112035.49</v>
      </c>
      <c r="AA180">
        <v>0.65</v>
      </c>
      <c r="AB180" t="s">
        <v>39</v>
      </c>
      <c r="AC180" t="s">
        <v>39</v>
      </c>
      <c r="AD180" t="s">
        <v>48</v>
      </c>
    </row>
    <row r="181" spans="1:30" x14ac:dyDescent="0.35">
      <c r="A181" t="s">
        <v>30</v>
      </c>
      <c r="B181" t="s">
        <v>31</v>
      </c>
      <c r="C181" t="s">
        <v>285</v>
      </c>
      <c r="D181" t="s">
        <v>286</v>
      </c>
      <c r="E181" t="s">
        <v>287</v>
      </c>
      <c r="F181" t="s">
        <v>288</v>
      </c>
      <c r="G181" t="s">
        <v>289</v>
      </c>
      <c r="H181" t="s">
        <v>37</v>
      </c>
      <c r="I181" t="s">
        <v>103</v>
      </c>
      <c r="J181" t="s">
        <v>39</v>
      </c>
      <c r="K181" s="2">
        <v>46272</v>
      </c>
      <c r="L181" s="2">
        <v>46295</v>
      </c>
      <c r="N181" s="2">
        <v>46266</v>
      </c>
      <c r="O181" s="2">
        <v>46631</v>
      </c>
      <c r="P181">
        <v>12</v>
      </c>
      <c r="Q181" t="s">
        <v>104</v>
      </c>
      <c r="R181" t="s">
        <v>53</v>
      </c>
      <c r="S181" t="s">
        <v>73</v>
      </c>
      <c r="T181" t="s">
        <v>43</v>
      </c>
      <c r="U181" t="s">
        <v>56</v>
      </c>
      <c r="V181" t="s">
        <v>57</v>
      </c>
      <c r="W181" t="s">
        <v>136</v>
      </c>
      <c r="X181" t="s">
        <v>125</v>
      </c>
      <c r="Y181">
        <v>159878.59</v>
      </c>
      <c r="Z181">
        <v>79939.3</v>
      </c>
      <c r="AA181">
        <v>0.5</v>
      </c>
      <c r="AB181" t="s">
        <v>39</v>
      </c>
      <c r="AC181" t="s">
        <v>39</v>
      </c>
      <c r="AD181" t="s">
        <v>48</v>
      </c>
    </row>
    <row r="182" spans="1:30" x14ac:dyDescent="0.35">
      <c r="A182" t="s">
        <v>30</v>
      </c>
      <c r="B182" t="s">
        <v>31</v>
      </c>
      <c r="C182" t="s">
        <v>285</v>
      </c>
      <c r="D182" t="s">
        <v>290</v>
      </c>
      <c r="E182" t="s">
        <v>291</v>
      </c>
      <c r="F182" t="s">
        <v>292</v>
      </c>
      <c r="G182" t="s">
        <v>293</v>
      </c>
      <c r="H182" t="s">
        <v>37</v>
      </c>
      <c r="I182" t="s">
        <v>111</v>
      </c>
      <c r="J182" t="s">
        <v>39</v>
      </c>
      <c r="K182" s="2">
        <v>46266</v>
      </c>
      <c r="L182" s="2">
        <v>46295</v>
      </c>
      <c r="N182" s="2">
        <v>46266</v>
      </c>
      <c r="O182" s="2">
        <v>46631</v>
      </c>
      <c r="P182">
        <v>12</v>
      </c>
      <c r="Q182" t="s">
        <v>65</v>
      </c>
      <c r="R182" t="s">
        <v>53</v>
      </c>
      <c r="S182" t="s">
        <v>130</v>
      </c>
      <c r="T182" t="s">
        <v>131</v>
      </c>
      <c r="U182" t="s">
        <v>44</v>
      </c>
      <c r="V182" t="s">
        <v>74</v>
      </c>
      <c r="W182" t="s">
        <v>82</v>
      </c>
      <c r="X182" t="s">
        <v>47</v>
      </c>
      <c r="Y182">
        <v>169347.33</v>
      </c>
      <c r="Z182">
        <v>84673.67</v>
      </c>
      <c r="AA182">
        <v>0.5</v>
      </c>
      <c r="AB182" t="s">
        <v>39</v>
      </c>
      <c r="AC182" t="s">
        <v>39</v>
      </c>
      <c r="AD182" t="s">
        <v>48</v>
      </c>
    </row>
    <row r="183" spans="1:30" x14ac:dyDescent="0.35">
      <c r="A183" t="s">
        <v>30</v>
      </c>
      <c r="B183" t="s">
        <v>31</v>
      </c>
      <c r="C183" t="s">
        <v>285</v>
      </c>
      <c r="D183" t="s">
        <v>294</v>
      </c>
      <c r="E183" t="s">
        <v>295</v>
      </c>
      <c r="F183" t="s">
        <v>296</v>
      </c>
      <c r="G183" t="s">
        <v>297</v>
      </c>
      <c r="H183" t="s">
        <v>37</v>
      </c>
      <c r="I183" t="s">
        <v>103</v>
      </c>
      <c r="J183" t="s">
        <v>39</v>
      </c>
      <c r="K183" s="2">
        <v>46271</v>
      </c>
      <c r="L183" s="2">
        <v>46295</v>
      </c>
      <c r="N183" s="2">
        <v>46266</v>
      </c>
      <c r="O183" s="2">
        <v>46631</v>
      </c>
      <c r="P183">
        <v>12</v>
      </c>
      <c r="Q183" t="s">
        <v>104</v>
      </c>
      <c r="R183" t="s">
        <v>88</v>
      </c>
      <c r="S183" t="s">
        <v>137</v>
      </c>
      <c r="T183" t="s">
        <v>97</v>
      </c>
      <c r="U183" t="s">
        <v>56</v>
      </c>
      <c r="V183" t="s">
        <v>98</v>
      </c>
      <c r="W183" t="s">
        <v>142</v>
      </c>
      <c r="X183" t="s">
        <v>47</v>
      </c>
      <c r="Y183">
        <v>127601.09</v>
      </c>
      <c r="Z183">
        <v>63800.55</v>
      </c>
      <c r="AA183">
        <v>0.5</v>
      </c>
      <c r="AB183" t="s">
        <v>39</v>
      </c>
      <c r="AC183" t="s">
        <v>39</v>
      </c>
      <c r="AD183" t="s">
        <v>48</v>
      </c>
    </row>
    <row r="184" spans="1:30" x14ac:dyDescent="0.35">
      <c r="A184" t="s">
        <v>30</v>
      </c>
      <c r="B184" t="s">
        <v>31</v>
      </c>
      <c r="C184" t="s">
        <v>285</v>
      </c>
      <c r="D184" t="s">
        <v>298</v>
      </c>
      <c r="E184" t="s">
        <v>299</v>
      </c>
      <c r="F184" t="s">
        <v>215</v>
      </c>
      <c r="G184" t="s">
        <v>216</v>
      </c>
      <c r="H184" t="s">
        <v>37</v>
      </c>
      <c r="I184" t="s">
        <v>111</v>
      </c>
      <c r="J184" t="s">
        <v>39</v>
      </c>
      <c r="K184" s="2">
        <v>46268</v>
      </c>
      <c r="L184" s="2">
        <v>46295</v>
      </c>
      <c r="N184" s="2">
        <v>46266</v>
      </c>
      <c r="O184" s="2">
        <v>46997</v>
      </c>
      <c r="P184">
        <v>24</v>
      </c>
      <c r="Q184" t="s">
        <v>40</v>
      </c>
      <c r="R184" t="s">
        <v>53</v>
      </c>
      <c r="S184" t="s">
        <v>162</v>
      </c>
      <c r="T184" t="s">
        <v>43</v>
      </c>
      <c r="U184" t="s">
        <v>44</v>
      </c>
      <c r="V184" t="s">
        <v>81</v>
      </c>
      <c r="W184" t="s">
        <v>136</v>
      </c>
      <c r="X184" t="s">
        <v>143</v>
      </c>
      <c r="Y184">
        <v>133323.22</v>
      </c>
      <c r="Z184">
        <v>66661.61</v>
      </c>
      <c r="AA184">
        <v>0.5</v>
      </c>
      <c r="AB184" t="s">
        <v>39</v>
      </c>
      <c r="AC184" t="s">
        <v>39</v>
      </c>
      <c r="AD184" t="s">
        <v>48</v>
      </c>
    </row>
    <row r="185" spans="1:30" x14ac:dyDescent="0.35">
      <c r="A185" t="s">
        <v>30</v>
      </c>
      <c r="B185" t="s">
        <v>31</v>
      </c>
      <c r="C185" t="s">
        <v>285</v>
      </c>
      <c r="D185" t="s">
        <v>300</v>
      </c>
      <c r="E185" t="s">
        <v>301</v>
      </c>
      <c r="F185" t="s">
        <v>302</v>
      </c>
      <c r="G185" t="s">
        <v>303</v>
      </c>
      <c r="H185" t="s">
        <v>37</v>
      </c>
      <c r="I185" t="s">
        <v>103</v>
      </c>
      <c r="J185" t="s">
        <v>39</v>
      </c>
      <c r="K185" s="2">
        <v>46268</v>
      </c>
      <c r="L185" s="2">
        <v>46295</v>
      </c>
      <c r="N185" s="2">
        <v>46266</v>
      </c>
      <c r="O185" s="2">
        <v>46997</v>
      </c>
      <c r="P185">
        <v>24</v>
      </c>
      <c r="Q185" t="s">
        <v>40</v>
      </c>
      <c r="R185" t="s">
        <v>88</v>
      </c>
      <c r="S185" t="s">
        <v>130</v>
      </c>
      <c r="T185" t="s">
        <v>131</v>
      </c>
      <c r="U185" t="s">
        <v>44</v>
      </c>
      <c r="V185" t="s">
        <v>81</v>
      </c>
      <c r="W185" t="s">
        <v>58</v>
      </c>
      <c r="X185" t="s">
        <v>59</v>
      </c>
      <c r="Y185">
        <v>217333.42</v>
      </c>
      <c r="Z185">
        <v>141266.72</v>
      </c>
      <c r="AA185">
        <v>0.65</v>
      </c>
      <c r="AB185" t="s">
        <v>39</v>
      </c>
      <c r="AC185" t="s">
        <v>39</v>
      </c>
      <c r="AD185" t="s">
        <v>48</v>
      </c>
    </row>
    <row r="186" spans="1:30" x14ac:dyDescent="0.35">
      <c r="A186" t="s">
        <v>30</v>
      </c>
      <c r="B186" t="s">
        <v>31</v>
      </c>
      <c r="C186" t="s">
        <v>285</v>
      </c>
      <c r="D186" t="s">
        <v>304</v>
      </c>
      <c r="E186" t="s">
        <v>305</v>
      </c>
      <c r="F186" t="s">
        <v>306</v>
      </c>
      <c r="G186" t="s">
        <v>307</v>
      </c>
      <c r="H186" t="s">
        <v>37</v>
      </c>
      <c r="I186" t="s">
        <v>103</v>
      </c>
      <c r="J186" t="s">
        <v>39</v>
      </c>
      <c r="K186" s="2">
        <v>46279</v>
      </c>
      <c r="L186" s="2">
        <v>46295</v>
      </c>
      <c r="N186" s="2">
        <v>46266</v>
      </c>
      <c r="O186" s="2">
        <v>46631</v>
      </c>
      <c r="P186">
        <v>12</v>
      </c>
      <c r="Q186" t="s">
        <v>40</v>
      </c>
      <c r="R186" t="s">
        <v>88</v>
      </c>
      <c r="S186" t="s">
        <v>89</v>
      </c>
      <c r="T186" t="s">
        <v>55</v>
      </c>
      <c r="U186" t="s">
        <v>44</v>
      </c>
      <c r="V186" t="s">
        <v>138</v>
      </c>
      <c r="W186" t="s">
        <v>120</v>
      </c>
      <c r="X186" t="s">
        <v>83</v>
      </c>
      <c r="Y186">
        <v>195935.06</v>
      </c>
      <c r="Z186">
        <v>68577.27</v>
      </c>
      <c r="AA186">
        <v>0.35</v>
      </c>
      <c r="AB186" t="s">
        <v>39</v>
      </c>
      <c r="AC186" t="s">
        <v>39</v>
      </c>
      <c r="AD186" t="s">
        <v>48</v>
      </c>
    </row>
    <row r="187" spans="1:30" x14ac:dyDescent="0.35">
      <c r="A187" t="s">
        <v>30</v>
      </c>
      <c r="B187" t="s">
        <v>31</v>
      </c>
      <c r="C187" t="s">
        <v>285</v>
      </c>
      <c r="D187" t="s">
        <v>308</v>
      </c>
      <c r="E187" t="s">
        <v>309</v>
      </c>
      <c r="F187" t="s">
        <v>310</v>
      </c>
      <c r="G187" t="s">
        <v>311</v>
      </c>
      <c r="H187" t="s">
        <v>37</v>
      </c>
      <c r="I187" t="s">
        <v>117</v>
      </c>
      <c r="J187" t="s">
        <v>39</v>
      </c>
      <c r="K187" s="2">
        <v>46278</v>
      </c>
      <c r="L187" s="2">
        <v>46295</v>
      </c>
      <c r="N187" s="2">
        <v>46266</v>
      </c>
      <c r="O187" s="2">
        <v>46631</v>
      </c>
      <c r="P187">
        <v>12</v>
      </c>
      <c r="Q187" t="s">
        <v>104</v>
      </c>
      <c r="R187" t="s">
        <v>53</v>
      </c>
      <c r="S187" t="s">
        <v>42</v>
      </c>
      <c r="T187" t="s">
        <v>43</v>
      </c>
      <c r="U187" t="s">
        <v>44</v>
      </c>
      <c r="V187" t="s">
        <v>98</v>
      </c>
      <c r="W187" t="s">
        <v>136</v>
      </c>
      <c r="X187" t="s">
        <v>91</v>
      </c>
      <c r="Y187">
        <v>120172.97</v>
      </c>
      <c r="Z187">
        <v>60086.48</v>
      </c>
      <c r="AA187">
        <v>0.5</v>
      </c>
      <c r="AB187" t="s">
        <v>39</v>
      </c>
      <c r="AC187" t="s">
        <v>39</v>
      </c>
      <c r="AD187" t="s">
        <v>48</v>
      </c>
    </row>
    <row r="188" spans="1:30" x14ac:dyDescent="0.35">
      <c r="A188" t="s">
        <v>30</v>
      </c>
      <c r="B188" t="s">
        <v>31</v>
      </c>
      <c r="C188" t="s">
        <v>285</v>
      </c>
      <c r="D188" t="s">
        <v>312</v>
      </c>
      <c r="E188" t="s">
        <v>313</v>
      </c>
      <c r="F188" t="s">
        <v>314</v>
      </c>
      <c r="G188" t="s">
        <v>315</v>
      </c>
      <c r="H188" t="s">
        <v>37</v>
      </c>
      <c r="I188" t="s">
        <v>103</v>
      </c>
      <c r="J188" t="s">
        <v>39</v>
      </c>
      <c r="K188" s="2">
        <v>46270</v>
      </c>
      <c r="L188" s="2">
        <v>46295</v>
      </c>
      <c r="N188" s="2">
        <v>46266</v>
      </c>
      <c r="O188" s="2">
        <v>46631</v>
      </c>
      <c r="P188">
        <v>12</v>
      </c>
      <c r="Q188" t="s">
        <v>65</v>
      </c>
      <c r="R188" t="s">
        <v>41</v>
      </c>
      <c r="S188" t="s">
        <v>280</v>
      </c>
      <c r="T188" t="s">
        <v>43</v>
      </c>
      <c r="U188" t="s">
        <v>56</v>
      </c>
      <c r="V188" t="s">
        <v>74</v>
      </c>
      <c r="W188" t="s">
        <v>161</v>
      </c>
      <c r="X188" t="s">
        <v>83</v>
      </c>
      <c r="Y188">
        <v>106941.29</v>
      </c>
      <c r="Z188">
        <v>37429.449999999997</v>
      </c>
      <c r="AA188">
        <v>0.35</v>
      </c>
      <c r="AB188" t="s">
        <v>39</v>
      </c>
      <c r="AC188" t="s">
        <v>39</v>
      </c>
      <c r="AD188" t="s">
        <v>48</v>
      </c>
    </row>
    <row r="189" spans="1:30" x14ac:dyDescent="0.35">
      <c r="A189" t="s">
        <v>30</v>
      </c>
      <c r="B189" t="s">
        <v>31</v>
      </c>
      <c r="C189" t="s">
        <v>285</v>
      </c>
      <c r="D189" t="s">
        <v>316</v>
      </c>
      <c r="E189" t="s">
        <v>317</v>
      </c>
      <c r="F189" t="s">
        <v>318</v>
      </c>
      <c r="G189" t="s">
        <v>319</v>
      </c>
      <c r="H189" t="s">
        <v>37</v>
      </c>
      <c r="I189" t="s">
        <v>103</v>
      </c>
      <c r="J189" t="s">
        <v>39</v>
      </c>
      <c r="K189" s="2">
        <v>46276</v>
      </c>
      <c r="L189" s="2">
        <v>46295</v>
      </c>
      <c r="N189" s="2">
        <v>46266</v>
      </c>
      <c r="O189" s="2">
        <v>46631</v>
      </c>
      <c r="P189">
        <v>12</v>
      </c>
      <c r="Q189" t="s">
        <v>40</v>
      </c>
      <c r="R189" t="s">
        <v>88</v>
      </c>
      <c r="S189" t="s">
        <v>135</v>
      </c>
      <c r="T189" t="s">
        <v>131</v>
      </c>
      <c r="U189" t="s">
        <v>44</v>
      </c>
      <c r="V189" t="s">
        <v>98</v>
      </c>
      <c r="W189" t="s">
        <v>132</v>
      </c>
      <c r="X189" t="s">
        <v>143</v>
      </c>
      <c r="Y189">
        <v>150172.57999999999</v>
      </c>
      <c r="Z189">
        <v>75086.289999999994</v>
      </c>
      <c r="AA189">
        <v>0.5</v>
      </c>
      <c r="AB189" t="s">
        <v>39</v>
      </c>
      <c r="AC189" t="s">
        <v>39</v>
      </c>
      <c r="AD189" t="s">
        <v>48</v>
      </c>
    </row>
    <row r="190" spans="1:30" x14ac:dyDescent="0.35">
      <c r="A190" t="s">
        <v>30</v>
      </c>
      <c r="B190" t="s">
        <v>31</v>
      </c>
      <c r="C190" t="s">
        <v>285</v>
      </c>
      <c r="D190" t="s">
        <v>320</v>
      </c>
      <c r="E190" t="s">
        <v>321</v>
      </c>
      <c r="F190" t="s">
        <v>322</v>
      </c>
      <c r="G190" t="s">
        <v>323</v>
      </c>
      <c r="H190" t="s">
        <v>37</v>
      </c>
      <c r="I190" t="s">
        <v>111</v>
      </c>
      <c r="J190" t="s">
        <v>39</v>
      </c>
      <c r="K190" s="2">
        <v>46278</v>
      </c>
      <c r="L190" s="2">
        <v>46295</v>
      </c>
      <c r="N190" s="2">
        <v>46266</v>
      </c>
      <c r="O190" s="2">
        <v>46631</v>
      </c>
      <c r="P190">
        <v>12</v>
      </c>
      <c r="Q190" t="s">
        <v>40</v>
      </c>
      <c r="R190" t="s">
        <v>41</v>
      </c>
      <c r="S190" t="s">
        <v>182</v>
      </c>
      <c r="T190" t="s">
        <v>97</v>
      </c>
      <c r="U190" t="s">
        <v>44</v>
      </c>
      <c r="V190" t="s">
        <v>144</v>
      </c>
      <c r="W190" t="s">
        <v>82</v>
      </c>
      <c r="X190" t="s">
        <v>91</v>
      </c>
      <c r="Y190">
        <v>203743.55</v>
      </c>
      <c r="Z190">
        <v>71310.240000000005</v>
      </c>
      <c r="AA190">
        <v>0.35</v>
      </c>
      <c r="AB190" t="s">
        <v>39</v>
      </c>
      <c r="AC190" t="s">
        <v>39</v>
      </c>
      <c r="AD190" t="s">
        <v>48</v>
      </c>
    </row>
    <row r="191" spans="1:30" x14ac:dyDescent="0.35">
      <c r="A191" t="s">
        <v>30</v>
      </c>
      <c r="B191" t="s">
        <v>31</v>
      </c>
      <c r="C191" t="s">
        <v>285</v>
      </c>
      <c r="D191" t="s">
        <v>324</v>
      </c>
      <c r="E191" t="s">
        <v>325</v>
      </c>
      <c r="F191" t="s">
        <v>326</v>
      </c>
      <c r="G191" t="s">
        <v>327</v>
      </c>
      <c r="H191" t="s">
        <v>37</v>
      </c>
      <c r="I191" t="s">
        <v>64</v>
      </c>
      <c r="J191" t="s">
        <v>39</v>
      </c>
      <c r="K191" s="2">
        <v>46276</v>
      </c>
      <c r="L191" s="2">
        <v>46295</v>
      </c>
      <c r="N191" s="2">
        <v>46266</v>
      </c>
      <c r="O191" s="2">
        <v>46631</v>
      </c>
      <c r="P191">
        <v>12</v>
      </c>
      <c r="Q191" t="s">
        <v>40</v>
      </c>
      <c r="R191" t="s">
        <v>41</v>
      </c>
      <c r="S191" t="s">
        <v>182</v>
      </c>
      <c r="T191" t="s">
        <v>97</v>
      </c>
      <c r="U191" t="s">
        <v>56</v>
      </c>
      <c r="V191" t="s">
        <v>98</v>
      </c>
      <c r="W191" t="s">
        <v>142</v>
      </c>
      <c r="X191" t="s">
        <v>47</v>
      </c>
      <c r="Y191">
        <v>180660.9</v>
      </c>
      <c r="Z191">
        <v>117429.59</v>
      </c>
      <c r="AA191">
        <v>0.65</v>
      </c>
      <c r="AB191" t="s">
        <v>39</v>
      </c>
      <c r="AC191" t="s">
        <v>39</v>
      </c>
      <c r="AD191" t="s">
        <v>48</v>
      </c>
    </row>
    <row r="192" spans="1:30" x14ac:dyDescent="0.35">
      <c r="A192" t="s">
        <v>30</v>
      </c>
      <c r="B192" t="s">
        <v>31</v>
      </c>
      <c r="C192" t="s">
        <v>285</v>
      </c>
      <c r="D192" t="s">
        <v>2095</v>
      </c>
      <c r="E192" t="s">
        <v>2096</v>
      </c>
      <c r="F192" t="s">
        <v>2097</v>
      </c>
      <c r="G192" t="s">
        <v>2098</v>
      </c>
      <c r="H192" t="s">
        <v>1271</v>
      </c>
      <c r="I192" t="s">
        <v>38</v>
      </c>
      <c r="J192" t="s">
        <v>39</v>
      </c>
      <c r="K192" s="2">
        <v>46269</v>
      </c>
      <c r="L192" s="2">
        <v>46295</v>
      </c>
      <c r="N192" s="2">
        <v>46266</v>
      </c>
      <c r="O192" s="2">
        <v>46997</v>
      </c>
      <c r="P192">
        <v>24</v>
      </c>
      <c r="Q192" t="s">
        <v>40</v>
      </c>
      <c r="R192" t="s">
        <v>88</v>
      </c>
      <c r="S192" t="s">
        <v>96</v>
      </c>
      <c r="T192" t="s">
        <v>97</v>
      </c>
      <c r="U192" t="s">
        <v>106</v>
      </c>
      <c r="V192" t="s">
        <v>217</v>
      </c>
      <c r="W192" t="s">
        <v>142</v>
      </c>
      <c r="X192" t="s">
        <v>125</v>
      </c>
      <c r="Y192">
        <v>140793.68</v>
      </c>
      <c r="Z192">
        <v>49277.79</v>
      </c>
      <c r="AA192">
        <v>0.35</v>
      </c>
      <c r="AB192" t="s">
        <v>39</v>
      </c>
      <c r="AC192" t="s">
        <v>39</v>
      </c>
      <c r="AD192" t="s">
        <v>48</v>
      </c>
    </row>
    <row r="193" spans="1:30" x14ac:dyDescent="0.35">
      <c r="A193" t="s">
        <v>30</v>
      </c>
      <c r="B193" t="s">
        <v>31</v>
      </c>
      <c r="C193" t="s">
        <v>285</v>
      </c>
      <c r="D193" t="s">
        <v>2099</v>
      </c>
      <c r="E193" t="s">
        <v>2100</v>
      </c>
      <c r="F193" t="s">
        <v>2101</v>
      </c>
      <c r="G193" t="s">
        <v>2102</v>
      </c>
      <c r="H193" t="s">
        <v>1271</v>
      </c>
      <c r="I193" t="s">
        <v>103</v>
      </c>
      <c r="J193" t="s">
        <v>39</v>
      </c>
      <c r="K193" s="2">
        <v>46276</v>
      </c>
      <c r="L193" s="2">
        <v>46295</v>
      </c>
      <c r="N193" s="2">
        <v>46266</v>
      </c>
      <c r="O193" s="2">
        <v>46997</v>
      </c>
      <c r="P193">
        <v>24</v>
      </c>
      <c r="Q193" t="s">
        <v>40</v>
      </c>
      <c r="R193" t="s">
        <v>53</v>
      </c>
      <c r="S193" t="s">
        <v>137</v>
      </c>
      <c r="T193" t="s">
        <v>97</v>
      </c>
      <c r="U193" t="s">
        <v>56</v>
      </c>
      <c r="V193" t="s">
        <v>57</v>
      </c>
      <c r="W193" t="s">
        <v>90</v>
      </c>
      <c r="X193" t="s">
        <v>143</v>
      </c>
      <c r="Y193">
        <v>90700.33</v>
      </c>
      <c r="Z193">
        <v>58955.21</v>
      </c>
      <c r="AA193">
        <v>0.65</v>
      </c>
      <c r="AB193" t="s">
        <v>39</v>
      </c>
      <c r="AC193" t="s">
        <v>39</v>
      </c>
      <c r="AD193" t="s">
        <v>48</v>
      </c>
    </row>
    <row r="194" spans="1:30" x14ac:dyDescent="0.35">
      <c r="A194" t="s">
        <v>30</v>
      </c>
      <c r="B194" t="s">
        <v>31</v>
      </c>
      <c r="C194" t="s">
        <v>285</v>
      </c>
      <c r="D194" t="s">
        <v>2103</v>
      </c>
      <c r="E194" t="s">
        <v>2104</v>
      </c>
      <c r="F194" t="s">
        <v>1019</v>
      </c>
      <c r="G194" t="s">
        <v>1020</v>
      </c>
      <c r="H194" t="s">
        <v>1271</v>
      </c>
      <c r="I194" t="s">
        <v>64</v>
      </c>
      <c r="J194" t="s">
        <v>39</v>
      </c>
      <c r="K194" s="2">
        <v>46278</v>
      </c>
      <c r="L194" s="2">
        <v>46295</v>
      </c>
      <c r="N194" s="2">
        <v>46266</v>
      </c>
      <c r="O194" s="2">
        <v>46997</v>
      </c>
      <c r="P194">
        <v>24</v>
      </c>
      <c r="Q194" t="s">
        <v>104</v>
      </c>
      <c r="R194" t="s">
        <v>41</v>
      </c>
      <c r="S194" t="s">
        <v>151</v>
      </c>
      <c r="T194" t="s">
        <v>131</v>
      </c>
      <c r="U194" t="s">
        <v>56</v>
      </c>
      <c r="V194" t="s">
        <v>45</v>
      </c>
      <c r="W194" t="s">
        <v>132</v>
      </c>
      <c r="X194" t="s">
        <v>59</v>
      </c>
      <c r="Y194">
        <v>138879.65</v>
      </c>
      <c r="Z194">
        <v>48607.88</v>
      </c>
      <c r="AA194">
        <v>0.35</v>
      </c>
      <c r="AB194" t="s">
        <v>39</v>
      </c>
      <c r="AC194" t="s">
        <v>39</v>
      </c>
      <c r="AD194" t="s">
        <v>48</v>
      </c>
    </row>
    <row r="195" spans="1:30" x14ac:dyDescent="0.35">
      <c r="A195" t="s">
        <v>30</v>
      </c>
      <c r="B195" t="s">
        <v>31</v>
      </c>
      <c r="C195" t="s">
        <v>285</v>
      </c>
      <c r="D195" t="s">
        <v>2105</v>
      </c>
      <c r="E195" t="s">
        <v>2106</v>
      </c>
      <c r="F195" t="s">
        <v>2107</v>
      </c>
      <c r="G195" t="s">
        <v>2108</v>
      </c>
      <c r="H195" t="s">
        <v>1271</v>
      </c>
      <c r="I195" t="s">
        <v>38</v>
      </c>
      <c r="J195" t="s">
        <v>39</v>
      </c>
      <c r="K195" s="2">
        <v>46272</v>
      </c>
      <c r="L195" s="2">
        <v>46295</v>
      </c>
      <c r="N195" s="2">
        <v>46266</v>
      </c>
      <c r="O195" s="2">
        <v>46631</v>
      </c>
      <c r="P195">
        <v>12</v>
      </c>
      <c r="Q195" t="s">
        <v>65</v>
      </c>
      <c r="R195" t="s">
        <v>41</v>
      </c>
      <c r="S195" t="s">
        <v>66</v>
      </c>
      <c r="T195" t="s">
        <v>55</v>
      </c>
      <c r="U195" t="s">
        <v>56</v>
      </c>
      <c r="V195" t="s">
        <v>57</v>
      </c>
      <c r="W195" t="s">
        <v>136</v>
      </c>
      <c r="X195" t="s">
        <v>59</v>
      </c>
      <c r="Y195">
        <v>144858.42000000001</v>
      </c>
      <c r="Z195">
        <v>50700.45</v>
      </c>
      <c r="AA195">
        <v>0.35</v>
      </c>
      <c r="AB195" t="s">
        <v>39</v>
      </c>
      <c r="AC195" t="s">
        <v>39</v>
      </c>
      <c r="AD195" t="s">
        <v>48</v>
      </c>
    </row>
    <row r="196" spans="1:30" x14ac:dyDescent="0.35">
      <c r="A196" t="s">
        <v>30</v>
      </c>
      <c r="B196" t="s">
        <v>31</v>
      </c>
      <c r="C196" t="s">
        <v>285</v>
      </c>
      <c r="D196" t="s">
        <v>2109</v>
      </c>
      <c r="E196" t="s">
        <v>2110</v>
      </c>
      <c r="F196" t="s">
        <v>2111</v>
      </c>
      <c r="G196" t="s">
        <v>2112</v>
      </c>
      <c r="H196" t="s">
        <v>1271</v>
      </c>
      <c r="I196" t="s">
        <v>103</v>
      </c>
      <c r="J196" t="s">
        <v>39</v>
      </c>
      <c r="K196" s="2">
        <v>46272</v>
      </c>
      <c r="L196" s="2">
        <v>46295</v>
      </c>
      <c r="N196" s="2">
        <v>46266</v>
      </c>
      <c r="O196" s="2">
        <v>46631</v>
      </c>
      <c r="P196">
        <v>12</v>
      </c>
      <c r="Q196" t="s">
        <v>65</v>
      </c>
      <c r="R196" t="s">
        <v>41</v>
      </c>
      <c r="S196" t="s">
        <v>42</v>
      </c>
      <c r="T196" t="s">
        <v>43</v>
      </c>
      <c r="U196" t="s">
        <v>44</v>
      </c>
      <c r="V196" t="s">
        <v>57</v>
      </c>
      <c r="W196" t="s">
        <v>120</v>
      </c>
      <c r="X196" t="s">
        <v>47</v>
      </c>
      <c r="Y196">
        <v>146964.03</v>
      </c>
      <c r="Z196">
        <v>95526.62</v>
      </c>
      <c r="AA196">
        <v>0.65</v>
      </c>
      <c r="AB196" t="s">
        <v>39</v>
      </c>
      <c r="AC196" t="s">
        <v>39</v>
      </c>
      <c r="AD196" t="s">
        <v>48</v>
      </c>
    </row>
    <row r="197" spans="1:30" x14ac:dyDescent="0.35">
      <c r="A197" t="s">
        <v>30</v>
      </c>
      <c r="B197" t="s">
        <v>31</v>
      </c>
      <c r="C197" t="s">
        <v>285</v>
      </c>
      <c r="D197" t="s">
        <v>2113</v>
      </c>
      <c r="E197" t="s">
        <v>2114</v>
      </c>
      <c r="F197" t="s">
        <v>1917</v>
      </c>
      <c r="G197" t="s">
        <v>1918</v>
      </c>
      <c r="H197" t="s">
        <v>1271</v>
      </c>
      <c r="I197" t="s">
        <v>117</v>
      </c>
      <c r="J197" t="s">
        <v>39</v>
      </c>
      <c r="K197" s="2">
        <v>46274</v>
      </c>
      <c r="L197" s="2">
        <v>46295</v>
      </c>
      <c r="N197" s="2">
        <v>46266</v>
      </c>
      <c r="O197" s="2">
        <v>46631</v>
      </c>
      <c r="P197">
        <v>12</v>
      </c>
      <c r="Q197" t="s">
        <v>104</v>
      </c>
      <c r="R197" t="s">
        <v>88</v>
      </c>
      <c r="S197" t="s">
        <v>96</v>
      </c>
      <c r="T197" t="s">
        <v>97</v>
      </c>
      <c r="U197" t="s">
        <v>56</v>
      </c>
      <c r="V197" t="s">
        <v>57</v>
      </c>
      <c r="W197" t="s">
        <v>150</v>
      </c>
      <c r="X197" t="s">
        <v>125</v>
      </c>
      <c r="Y197">
        <v>131614.1</v>
      </c>
      <c r="Z197">
        <v>85549.17</v>
      </c>
      <c r="AA197">
        <v>0.65</v>
      </c>
      <c r="AB197" t="s">
        <v>39</v>
      </c>
      <c r="AC197" t="s">
        <v>39</v>
      </c>
      <c r="AD197" t="s">
        <v>48</v>
      </c>
    </row>
    <row r="198" spans="1:30" x14ac:dyDescent="0.35">
      <c r="A198" t="s">
        <v>30</v>
      </c>
      <c r="B198" t="s">
        <v>31</v>
      </c>
      <c r="C198" t="s">
        <v>285</v>
      </c>
      <c r="D198" t="s">
        <v>2115</v>
      </c>
      <c r="E198" t="s">
        <v>2116</v>
      </c>
      <c r="F198" t="s">
        <v>2117</v>
      </c>
      <c r="G198" t="s">
        <v>2118</v>
      </c>
      <c r="H198" t="s">
        <v>1271</v>
      </c>
      <c r="I198" t="s">
        <v>38</v>
      </c>
      <c r="J198" t="s">
        <v>39</v>
      </c>
      <c r="K198" s="2">
        <v>46274</v>
      </c>
      <c r="L198" s="2">
        <v>46295</v>
      </c>
      <c r="N198" s="2">
        <v>46266</v>
      </c>
      <c r="O198" s="2">
        <v>47362</v>
      </c>
      <c r="P198">
        <v>36</v>
      </c>
      <c r="Q198" t="s">
        <v>40</v>
      </c>
      <c r="R198" t="s">
        <v>41</v>
      </c>
      <c r="S198" t="s">
        <v>135</v>
      </c>
      <c r="T198" t="s">
        <v>131</v>
      </c>
      <c r="U198" t="s">
        <v>44</v>
      </c>
      <c r="V198" t="s">
        <v>67</v>
      </c>
      <c r="W198" t="s">
        <v>161</v>
      </c>
      <c r="X198" t="s">
        <v>91</v>
      </c>
      <c r="Y198">
        <v>128402.78</v>
      </c>
      <c r="Z198">
        <v>102722.23</v>
      </c>
      <c r="AA198">
        <v>0.8</v>
      </c>
      <c r="AB198" t="s">
        <v>39</v>
      </c>
      <c r="AC198" t="s">
        <v>39</v>
      </c>
      <c r="AD198" t="s">
        <v>48</v>
      </c>
    </row>
    <row r="199" spans="1:30" x14ac:dyDescent="0.35">
      <c r="A199" t="s">
        <v>30</v>
      </c>
      <c r="B199" t="s">
        <v>31</v>
      </c>
      <c r="C199" t="s">
        <v>285</v>
      </c>
      <c r="D199" t="s">
        <v>2119</v>
      </c>
      <c r="E199" t="s">
        <v>2120</v>
      </c>
      <c r="F199" t="s">
        <v>220</v>
      </c>
      <c r="G199" t="s">
        <v>221</v>
      </c>
      <c r="H199" t="s">
        <v>1290</v>
      </c>
      <c r="I199" t="s">
        <v>111</v>
      </c>
      <c r="J199" t="s">
        <v>1290</v>
      </c>
      <c r="K199" s="2">
        <v>46270</v>
      </c>
      <c r="L199" s="2">
        <v>46295</v>
      </c>
      <c r="N199" s="2">
        <v>46266</v>
      </c>
      <c r="O199" s="2">
        <v>46631</v>
      </c>
      <c r="P199">
        <v>12</v>
      </c>
      <c r="Q199" t="s">
        <v>104</v>
      </c>
      <c r="R199" t="s">
        <v>88</v>
      </c>
      <c r="S199" t="s">
        <v>118</v>
      </c>
      <c r="T199" t="s">
        <v>97</v>
      </c>
      <c r="U199" t="s">
        <v>44</v>
      </c>
      <c r="V199" t="s">
        <v>138</v>
      </c>
      <c r="W199" t="s">
        <v>132</v>
      </c>
      <c r="X199" t="s">
        <v>125</v>
      </c>
      <c r="Y199">
        <v>128049.27</v>
      </c>
      <c r="Z199">
        <v>44817.25</v>
      </c>
      <c r="AA199">
        <v>0.35</v>
      </c>
      <c r="AB199" t="s">
        <v>1290</v>
      </c>
      <c r="AC199" t="s">
        <v>1290</v>
      </c>
      <c r="AD199" t="s">
        <v>48</v>
      </c>
    </row>
    <row r="200" spans="1:30" x14ac:dyDescent="0.35">
      <c r="A200" t="s">
        <v>30</v>
      </c>
      <c r="B200" t="s">
        <v>31</v>
      </c>
      <c r="C200" t="s">
        <v>285</v>
      </c>
      <c r="D200" t="s">
        <v>2121</v>
      </c>
      <c r="E200" t="s">
        <v>2122</v>
      </c>
      <c r="F200" t="s">
        <v>2123</v>
      </c>
      <c r="G200" t="s">
        <v>2124</v>
      </c>
      <c r="H200" t="s">
        <v>1290</v>
      </c>
      <c r="I200" t="s">
        <v>38</v>
      </c>
      <c r="J200" t="s">
        <v>1290</v>
      </c>
      <c r="K200" s="2">
        <v>46278</v>
      </c>
      <c r="L200" s="2">
        <v>46295</v>
      </c>
      <c r="N200" s="2">
        <v>46266</v>
      </c>
      <c r="O200" s="2">
        <v>46631</v>
      </c>
      <c r="P200">
        <v>12</v>
      </c>
      <c r="Q200" t="s">
        <v>40</v>
      </c>
      <c r="R200" t="s">
        <v>53</v>
      </c>
      <c r="S200" t="s">
        <v>89</v>
      </c>
      <c r="T200" t="s">
        <v>55</v>
      </c>
      <c r="U200" t="s">
        <v>44</v>
      </c>
      <c r="V200" t="s">
        <v>81</v>
      </c>
      <c r="W200" t="s">
        <v>142</v>
      </c>
      <c r="X200" t="s">
        <v>83</v>
      </c>
      <c r="Y200">
        <v>143354.60999999999</v>
      </c>
      <c r="Z200">
        <v>114683.69</v>
      </c>
      <c r="AA200">
        <v>0.8</v>
      </c>
      <c r="AB200" t="s">
        <v>1290</v>
      </c>
      <c r="AC200" t="s">
        <v>1290</v>
      </c>
      <c r="AD200" t="s">
        <v>48</v>
      </c>
    </row>
    <row r="201" spans="1:30" x14ac:dyDescent="0.35">
      <c r="A201" t="s">
        <v>30</v>
      </c>
      <c r="B201" t="s">
        <v>31</v>
      </c>
      <c r="C201" t="s">
        <v>285</v>
      </c>
      <c r="D201" t="s">
        <v>2125</v>
      </c>
      <c r="E201" t="s">
        <v>2126</v>
      </c>
      <c r="F201" t="s">
        <v>2127</v>
      </c>
      <c r="G201" t="s">
        <v>2128</v>
      </c>
      <c r="H201" t="s">
        <v>1290</v>
      </c>
      <c r="I201" t="s">
        <v>117</v>
      </c>
      <c r="J201" t="s">
        <v>1290</v>
      </c>
      <c r="K201" s="2">
        <v>46278</v>
      </c>
      <c r="L201" s="2">
        <v>46295</v>
      </c>
      <c r="N201" s="2">
        <v>46266</v>
      </c>
      <c r="O201" s="2">
        <v>46631</v>
      </c>
      <c r="P201">
        <v>12</v>
      </c>
      <c r="Q201" t="s">
        <v>40</v>
      </c>
      <c r="R201" t="s">
        <v>41</v>
      </c>
      <c r="S201" t="s">
        <v>149</v>
      </c>
      <c r="T201" t="s">
        <v>131</v>
      </c>
      <c r="U201" t="s">
        <v>44</v>
      </c>
      <c r="V201" t="s">
        <v>98</v>
      </c>
      <c r="W201" t="s">
        <v>132</v>
      </c>
      <c r="X201" t="s">
        <v>143</v>
      </c>
      <c r="Y201">
        <v>152632.10999999999</v>
      </c>
      <c r="Z201">
        <v>99210.87</v>
      </c>
      <c r="AA201">
        <v>0.65</v>
      </c>
      <c r="AB201" t="s">
        <v>1290</v>
      </c>
      <c r="AC201" t="s">
        <v>1290</v>
      </c>
      <c r="AD201" t="s">
        <v>48</v>
      </c>
    </row>
    <row r="202" spans="1:30" x14ac:dyDescent="0.35">
      <c r="A202" t="s">
        <v>30</v>
      </c>
      <c r="B202" t="s">
        <v>31</v>
      </c>
      <c r="C202" t="s">
        <v>285</v>
      </c>
      <c r="D202" t="s">
        <v>2129</v>
      </c>
      <c r="E202" t="s">
        <v>2130</v>
      </c>
      <c r="F202" t="s">
        <v>2131</v>
      </c>
      <c r="G202" t="s">
        <v>2132</v>
      </c>
      <c r="H202" t="s">
        <v>1295</v>
      </c>
      <c r="I202" t="s">
        <v>103</v>
      </c>
      <c r="J202" t="s">
        <v>1295</v>
      </c>
      <c r="K202" s="2">
        <v>46270</v>
      </c>
      <c r="L202" s="2">
        <v>46295</v>
      </c>
      <c r="N202" s="2">
        <v>46266</v>
      </c>
      <c r="O202" s="2">
        <v>46631</v>
      </c>
      <c r="P202">
        <v>12</v>
      </c>
      <c r="Q202" t="s">
        <v>40</v>
      </c>
      <c r="R202" t="s">
        <v>53</v>
      </c>
      <c r="S202" t="s">
        <v>164</v>
      </c>
      <c r="T202" t="s">
        <v>55</v>
      </c>
      <c r="U202" t="s">
        <v>44</v>
      </c>
      <c r="V202" t="s">
        <v>119</v>
      </c>
      <c r="W202" t="s">
        <v>82</v>
      </c>
      <c r="X202" t="s">
        <v>143</v>
      </c>
      <c r="Y202">
        <v>127253.14</v>
      </c>
      <c r="Z202">
        <v>44538.6</v>
      </c>
      <c r="AA202">
        <v>0.35</v>
      </c>
      <c r="AB202" t="s">
        <v>1295</v>
      </c>
      <c r="AC202" t="s">
        <v>1295</v>
      </c>
      <c r="AD202" t="s">
        <v>48</v>
      </c>
    </row>
    <row r="203" spans="1:30" x14ac:dyDescent="0.35">
      <c r="A203" t="s">
        <v>30</v>
      </c>
      <c r="B203" t="s">
        <v>31</v>
      </c>
      <c r="C203" t="s">
        <v>285</v>
      </c>
      <c r="D203" t="s">
        <v>2133</v>
      </c>
      <c r="E203" t="s">
        <v>2134</v>
      </c>
      <c r="F203" t="s">
        <v>1217</v>
      </c>
      <c r="G203" t="s">
        <v>1218</v>
      </c>
      <c r="H203" t="s">
        <v>1295</v>
      </c>
      <c r="I203" t="s">
        <v>38</v>
      </c>
      <c r="J203" t="s">
        <v>1295</v>
      </c>
      <c r="K203" s="2">
        <v>46277</v>
      </c>
      <c r="L203" s="2">
        <v>46295</v>
      </c>
      <c r="N203" s="2">
        <v>46266</v>
      </c>
      <c r="O203" s="2">
        <v>46631</v>
      </c>
      <c r="P203">
        <v>12</v>
      </c>
      <c r="Q203" t="s">
        <v>65</v>
      </c>
      <c r="R203" t="s">
        <v>41</v>
      </c>
      <c r="S203" t="s">
        <v>182</v>
      </c>
      <c r="T203" t="s">
        <v>97</v>
      </c>
      <c r="U203" t="s">
        <v>56</v>
      </c>
      <c r="V203" t="s">
        <v>98</v>
      </c>
      <c r="W203" t="s">
        <v>90</v>
      </c>
      <c r="X203" t="s">
        <v>158</v>
      </c>
      <c r="Y203">
        <v>207558.83</v>
      </c>
      <c r="Z203">
        <v>72645.59</v>
      </c>
      <c r="AA203">
        <v>0.35</v>
      </c>
      <c r="AB203" t="s">
        <v>1295</v>
      </c>
      <c r="AC203" t="s">
        <v>1295</v>
      </c>
      <c r="AD203" t="s">
        <v>48</v>
      </c>
    </row>
    <row r="204" spans="1:30" x14ac:dyDescent="0.35">
      <c r="A204" t="s">
        <v>30</v>
      </c>
      <c r="B204" t="s">
        <v>31</v>
      </c>
      <c r="C204" t="s">
        <v>285</v>
      </c>
      <c r="D204" t="s">
        <v>2135</v>
      </c>
      <c r="E204" t="s">
        <v>2136</v>
      </c>
      <c r="F204" t="s">
        <v>2137</v>
      </c>
      <c r="G204" t="s">
        <v>2138</v>
      </c>
      <c r="H204" t="s">
        <v>1295</v>
      </c>
      <c r="I204" t="s">
        <v>117</v>
      </c>
      <c r="J204" t="s">
        <v>1295</v>
      </c>
      <c r="K204" s="2">
        <v>46267</v>
      </c>
      <c r="L204" s="2">
        <v>46295</v>
      </c>
      <c r="N204" s="2">
        <v>46266</v>
      </c>
      <c r="O204" s="2">
        <v>46631</v>
      </c>
      <c r="P204">
        <v>12</v>
      </c>
      <c r="Q204" t="s">
        <v>40</v>
      </c>
      <c r="R204" t="s">
        <v>88</v>
      </c>
      <c r="S204" t="s">
        <v>130</v>
      </c>
      <c r="T204" t="s">
        <v>131</v>
      </c>
      <c r="U204" t="s">
        <v>56</v>
      </c>
      <c r="V204" t="s">
        <v>57</v>
      </c>
      <c r="W204" t="s">
        <v>132</v>
      </c>
      <c r="X204" t="s">
        <v>68</v>
      </c>
      <c r="Y204">
        <v>184323.58</v>
      </c>
      <c r="Z204">
        <v>119810.33</v>
      </c>
      <c r="AA204">
        <v>0.65</v>
      </c>
      <c r="AB204" t="s">
        <v>1295</v>
      </c>
      <c r="AC204" t="s">
        <v>1295</v>
      </c>
      <c r="AD204" t="s">
        <v>48</v>
      </c>
    </row>
    <row r="205" spans="1:30" x14ac:dyDescent="0.35">
      <c r="A205" t="s">
        <v>30</v>
      </c>
      <c r="B205" t="s">
        <v>31</v>
      </c>
      <c r="C205" t="s">
        <v>285</v>
      </c>
      <c r="D205" t="s">
        <v>2139</v>
      </c>
      <c r="E205" t="s">
        <v>2140</v>
      </c>
      <c r="F205" t="s">
        <v>2141</v>
      </c>
      <c r="G205" t="s">
        <v>2142</v>
      </c>
      <c r="H205" t="s">
        <v>1295</v>
      </c>
      <c r="I205" t="s">
        <v>117</v>
      </c>
      <c r="J205" t="s">
        <v>1295</v>
      </c>
      <c r="K205" s="2">
        <v>46269</v>
      </c>
      <c r="L205" s="2">
        <v>46295</v>
      </c>
      <c r="N205" s="2">
        <v>46266</v>
      </c>
      <c r="O205" s="2">
        <v>46631</v>
      </c>
      <c r="P205">
        <v>12</v>
      </c>
      <c r="Q205" t="s">
        <v>104</v>
      </c>
      <c r="R205" t="s">
        <v>53</v>
      </c>
      <c r="S205" t="s">
        <v>140</v>
      </c>
      <c r="T205" t="s">
        <v>97</v>
      </c>
      <c r="U205" t="s">
        <v>44</v>
      </c>
      <c r="V205" t="s">
        <v>67</v>
      </c>
      <c r="W205" t="s">
        <v>150</v>
      </c>
      <c r="X205" t="s">
        <v>68</v>
      </c>
      <c r="Y205">
        <v>186370.45</v>
      </c>
      <c r="Z205">
        <v>121140.79</v>
      </c>
      <c r="AA205">
        <v>0.65</v>
      </c>
      <c r="AB205" t="s">
        <v>1295</v>
      </c>
      <c r="AC205" t="s">
        <v>1295</v>
      </c>
      <c r="AD205" t="s">
        <v>48</v>
      </c>
    </row>
    <row r="206" spans="1:30" x14ac:dyDescent="0.35">
      <c r="A206" t="s">
        <v>30</v>
      </c>
      <c r="B206" t="s">
        <v>31</v>
      </c>
      <c r="C206" t="s">
        <v>285</v>
      </c>
      <c r="D206" t="s">
        <v>2143</v>
      </c>
      <c r="E206" t="s">
        <v>2144</v>
      </c>
      <c r="F206" t="s">
        <v>2145</v>
      </c>
      <c r="G206" t="s">
        <v>2146</v>
      </c>
      <c r="H206" t="s">
        <v>1302</v>
      </c>
      <c r="I206" t="s">
        <v>111</v>
      </c>
      <c r="J206" t="s">
        <v>39</v>
      </c>
      <c r="K206" s="2">
        <v>46274</v>
      </c>
      <c r="L206" s="2">
        <v>46295</v>
      </c>
      <c r="N206" s="2">
        <v>46266</v>
      </c>
      <c r="O206" s="2">
        <v>46631</v>
      </c>
      <c r="P206">
        <v>12</v>
      </c>
      <c r="Q206" t="s">
        <v>40</v>
      </c>
      <c r="R206" t="s">
        <v>53</v>
      </c>
      <c r="S206" t="s">
        <v>80</v>
      </c>
      <c r="T206" t="s">
        <v>43</v>
      </c>
      <c r="U206" t="s">
        <v>44</v>
      </c>
      <c r="V206" t="s">
        <v>138</v>
      </c>
      <c r="W206" t="s">
        <v>136</v>
      </c>
      <c r="X206" t="s">
        <v>68</v>
      </c>
      <c r="Y206">
        <v>146313.60000000001</v>
      </c>
      <c r="Z206">
        <v>117050.88</v>
      </c>
      <c r="AA206">
        <v>0.8</v>
      </c>
      <c r="AB206" t="s">
        <v>39</v>
      </c>
      <c r="AC206" t="s">
        <v>39</v>
      </c>
      <c r="AD206" t="s">
        <v>48</v>
      </c>
    </row>
    <row r="207" spans="1:30" x14ac:dyDescent="0.35">
      <c r="A207" t="s">
        <v>30</v>
      </c>
      <c r="B207" t="s">
        <v>31</v>
      </c>
      <c r="C207" t="s">
        <v>285</v>
      </c>
      <c r="D207" t="s">
        <v>2147</v>
      </c>
      <c r="E207" t="s">
        <v>2148</v>
      </c>
      <c r="F207" t="s">
        <v>154</v>
      </c>
      <c r="G207" t="s">
        <v>155</v>
      </c>
      <c r="H207" t="s">
        <v>1302</v>
      </c>
      <c r="I207" t="s">
        <v>111</v>
      </c>
      <c r="J207" t="s">
        <v>39</v>
      </c>
      <c r="K207" s="2">
        <v>46275</v>
      </c>
      <c r="L207" s="2">
        <v>46295</v>
      </c>
      <c r="N207" s="2">
        <v>46266</v>
      </c>
      <c r="O207" s="2">
        <v>46997</v>
      </c>
      <c r="P207">
        <v>24</v>
      </c>
      <c r="Q207" t="s">
        <v>65</v>
      </c>
      <c r="R207" t="s">
        <v>53</v>
      </c>
      <c r="S207" t="s">
        <v>73</v>
      </c>
      <c r="T207" t="s">
        <v>43</v>
      </c>
      <c r="U207" t="s">
        <v>44</v>
      </c>
      <c r="V207" t="s">
        <v>74</v>
      </c>
      <c r="W207" t="s">
        <v>132</v>
      </c>
      <c r="X207" t="s">
        <v>143</v>
      </c>
      <c r="Y207">
        <v>101403.99</v>
      </c>
      <c r="Z207">
        <v>81123.19</v>
      </c>
      <c r="AA207">
        <v>0.8</v>
      </c>
      <c r="AB207" t="s">
        <v>39</v>
      </c>
      <c r="AC207" t="s">
        <v>39</v>
      </c>
      <c r="AD207" t="s">
        <v>48</v>
      </c>
    </row>
    <row r="208" spans="1:30" x14ac:dyDescent="0.35">
      <c r="A208" t="s">
        <v>30</v>
      </c>
      <c r="B208" t="s">
        <v>31</v>
      </c>
      <c r="C208" t="s">
        <v>285</v>
      </c>
      <c r="D208" t="s">
        <v>2149</v>
      </c>
      <c r="E208" t="s">
        <v>2150</v>
      </c>
      <c r="F208" t="s">
        <v>965</v>
      </c>
      <c r="G208" t="s">
        <v>966</v>
      </c>
      <c r="H208" t="s">
        <v>1302</v>
      </c>
      <c r="I208" t="s">
        <v>38</v>
      </c>
      <c r="J208" t="s">
        <v>39</v>
      </c>
      <c r="K208" s="2">
        <v>46272</v>
      </c>
      <c r="L208" s="2">
        <v>46295</v>
      </c>
      <c r="N208" s="2">
        <v>46266</v>
      </c>
      <c r="O208" s="2">
        <v>46631</v>
      </c>
      <c r="P208">
        <v>12</v>
      </c>
      <c r="Q208" t="s">
        <v>65</v>
      </c>
      <c r="R208" t="s">
        <v>53</v>
      </c>
      <c r="S208" t="s">
        <v>42</v>
      </c>
      <c r="T208" t="s">
        <v>43</v>
      </c>
      <c r="U208" t="s">
        <v>106</v>
      </c>
      <c r="V208" t="s">
        <v>217</v>
      </c>
      <c r="W208" t="s">
        <v>132</v>
      </c>
      <c r="X208" t="s">
        <v>91</v>
      </c>
      <c r="Y208">
        <v>134643.41</v>
      </c>
      <c r="Z208">
        <v>87518.22</v>
      </c>
      <c r="AA208">
        <v>0.65</v>
      </c>
      <c r="AB208" t="s">
        <v>39</v>
      </c>
      <c r="AC208" t="s">
        <v>39</v>
      </c>
      <c r="AD208" t="s">
        <v>48</v>
      </c>
    </row>
    <row r="209" spans="1:30" x14ac:dyDescent="0.35">
      <c r="A209" t="s">
        <v>30</v>
      </c>
      <c r="B209" t="s">
        <v>31</v>
      </c>
      <c r="C209" t="s">
        <v>348</v>
      </c>
      <c r="D209" t="s">
        <v>349</v>
      </c>
      <c r="E209" t="s">
        <v>350</v>
      </c>
      <c r="F209" t="s">
        <v>351</v>
      </c>
      <c r="G209" t="s">
        <v>352</v>
      </c>
      <c r="H209" t="s">
        <v>37</v>
      </c>
      <c r="I209" t="s">
        <v>64</v>
      </c>
      <c r="J209" t="s">
        <v>39</v>
      </c>
      <c r="K209" s="2">
        <v>46305</v>
      </c>
      <c r="L209" s="2">
        <v>46326</v>
      </c>
      <c r="N209" s="2">
        <v>46296</v>
      </c>
      <c r="O209" s="2">
        <v>46661</v>
      </c>
      <c r="P209">
        <v>12</v>
      </c>
      <c r="Q209" t="s">
        <v>104</v>
      </c>
      <c r="R209" t="s">
        <v>53</v>
      </c>
      <c r="S209" t="s">
        <v>162</v>
      </c>
      <c r="T209" t="s">
        <v>43</v>
      </c>
      <c r="U209" t="s">
        <v>106</v>
      </c>
      <c r="V209" t="s">
        <v>217</v>
      </c>
      <c r="W209" t="s">
        <v>142</v>
      </c>
      <c r="X209" t="s">
        <v>158</v>
      </c>
      <c r="Y209">
        <v>153532.01</v>
      </c>
      <c r="Z209">
        <v>53736.2</v>
      </c>
      <c r="AA209">
        <v>0.35</v>
      </c>
      <c r="AB209" t="s">
        <v>39</v>
      </c>
      <c r="AC209" t="s">
        <v>39</v>
      </c>
      <c r="AD209" t="s">
        <v>48</v>
      </c>
    </row>
    <row r="210" spans="1:30" x14ac:dyDescent="0.35">
      <c r="A210" t="s">
        <v>30</v>
      </c>
      <c r="B210" t="s">
        <v>31</v>
      </c>
      <c r="C210" t="s">
        <v>348</v>
      </c>
      <c r="D210" t="s">
        <v>353</v>
      </c>
      <c r="E210" t="s">
        <v>354</v>
      </c>
      <c r="F210" t="s">
        <v>355</v>
      </c>
      <c r="G210" t="s">
        <v>356</v>
      </c>
      <c r="H210" t="s">
        <v>37</v>
      </c>
      <c r="I210" t="s">
        <v>103</v>
      </c>
      <c r="J210" t="s">
        <v>39</v>
      </c>
      <c r="K210" s="2">
        <v>46296</v>
      </c>
      <c r="L210" s="2">
        <v>46326</v>
      </c>
      <c r="N210" s="2">
        <v>46296</v>
      </c>
      <c r="O210" s="2">
        <v>46661</v>
      </c>
      <c r="P210">
        <v>12</v>
      </c>
      <c r="Q210" t="s">
        <v>104</v>
      </c>
      <c r="R210" t="s">
        <v>41</v>
      </c>
      <c r="S210" t="s">
        <v>66</v>
      </c>
      <c r="T210" t="s">
        <v>55</v>
      </c>
      <c r="U210" t="s">
        <v>44</v>
      </c>
      <c r="V210" t="s">
        <v>138</v>
      </c>
      <c r="W210" t="s">
        <v>136</v>
      </c>
      <c r="X210" t="s">
        <v>125</v>
      </c>
      <c r="Y210">
        <v>169463.16</v>
      </c>
      <c r="Z210">
        <v>110151.05</v>
      </c>
      <c r="AA210">
        <v>0.65</v>
      </c>
      <c r="AB210" t="s">
        <v>39</v>
      </c>
      <c r="AC210" t="s">
        <v>39</v>
      </c>
      <c r="AD210" t="s">
        <v>48</v>
      </c>
    </row>
    <row r="211" spans="1:30" x14ac:dyDescent="0.35">
      <c r="A211" t="s">
        <v>30</v>
      </c>
      <c r="B211" t="s">
        <v>31</v>
      </c>
      <c r="C211" t="s">
        <v>348</v>
      </c>
      <c r="D211" t="s">
        <v>357</v>
      </c>
      <c r="E211" t="s">
        <v>358</v>
      </c>
      <c r="F211" t="s">
        <v>359</v>
      </c>
      <c r="G211" t="s">
        <v>360</v>
      </c>
      <c r="H211" t="s">
        <v>37</v>
      </c>
      <c r="I211" t="s">
        <v>64</v>
      </c>
      <c r="J211" t="s">
        <v>39</v>
      </c>
      <c r="K211" s="2">
        <v>46299</v>
      </c>
      <c r="L211" s="2">
        <v>46326</v>
      </c>
      <c r="N211" s="2">
        <v>46296</v>
      </c>
      <c r="O211" s="2">
        <v>47392</v>
      </c>
      <c r="P211">
        <v>36</v>
      </c>
      <c r="Q211" t="s">
        <v>104</v>
      </c>
      <c r="R211" t="s">
        <v>53</v>
      </c>
      <c r="S211" t="s">
        <v>118</v>
      </c>
      <c r="T211" t="s">
        <v>97</v>
      </c>
      <c r="U211" t="s">
        <v>56</v>
      </c>
      <c r="V211" t="s">
        <v>144</v>
      </c>
      <c r="W211" t="s">
        <v>142</v>
      </c>
      <c r="X211" t="s">
        <v>91</v>
      </c>
      <c r="Y211">
        <v>161158.88</v>
      </c>
      <c r="Z211">
        <v>104753.27</v>
      </c>
      <c r="AA211">
        <v>0.65</v>
      </c>
      <c r="AB211" t="s">
        <v>39</v>
      </c>
      <c r="AC211" t="s">
        <v>39</v>
      </c>
      <c r="AD211" t="s">
        <v>48</v>
      </c>
    </row>
    <row r="212" spans="1:30" x14ac:dyDescent="0.35">
      <c r="A212" t="s">
        <v>30</v>
      </c>
      <c r="B212" t="s">
        <v>31</v>
      </c>
      <c r="C212" t="s">
        <v>348</v>
      </c>
      <c r="D212" t="s">
        <v>361</v>
      </c>
      <c r="E212" t="s">
        <v>362</v>
      </c>
      <c r="F212" t="s">
        <v>363</v>
      </c>
      <c r="G212" t="s">
        <v>364</v>
      </c>
      <c r="H212" t="s">
        <v>37</v>
      </c>
      <c r="I212" t="s">
        <v>117</v>
      </c>
      <c r="J212" t="s">
        <v>39</v>
      </c>
      <c r="K212" s="2">
        <v>46302</v>
      </c>
      <c r="L212" s="2">
        <v>46326</v>
      </c>
      <c r="N212" s="2">
        <v>46296</v>
      </c>
      <c r="O212" s="2">
        <v>46661</v>
      </c>
      <c r="P212">
        <v>12</v>
      </c>
      <c r="Q212" t="s">
        <v>65</v>
      </c>
      <c r="R212" t="s">
        <v>41</v>
      </c>
      <c r="S212" t="s">
        <v>280</v>
      </c>
      <c r="T212" t="s">
        <v>43</v>
      </c>
      <c r="U212" t="s">
        <v>56</v>
      </c>
      <c r="V212" t="s">
        <v>144</v>
      </c>
      <c r="W212" t="s">
        <v>161</v>
      </c>
      <c r="X212" t="s">
        <v>47</v>
      </c>
      <c r="Y212">
        <v>156452.69</v>
      </c>
      <c r="Z212">
        <v>54758.44</v>
      </c>
      <c r="AA212">
        <v>0.35</v>
      </c>
      <c r="AB212" t="s">
        <v>39</v>
      </c>
      <c r="AC212" t="s">
        <v>39</v>
      </c>
      <c r="AD212" t="s">
        <v>48</v>
      </c>
    </row>
    <row r="213" spans="1:30" x14ac:dyDescent="0.35">
      <c r="A213" t="s">
        <v>30</v>
      </c>
      <c r="B213" t="s">
        <v>31</v>
      </c>
      <c r="C213" t="s">
        <v>348</v>
      </c>
      <c r="D213" t="s">
        <v>365</v>
      </c>
      <c r="E213" t="s">
        <v>366</v>
      </c>
      <c r="F213" t="s">
        <v>367</v>
      </c>
      <c r="G213" t="s">
        <v>368</v>
      </c>
      <c r="H213" t="s">
        <v>37</v>
      </c>
      <c r="I213" t="s">
        <v>117</v>
      </c>
      <c r="J213" t="s">
        <v>39</v>
      </c>
      <c r="K213" s="2">
        <v>46301</v>
      </c>
      <c r="L213" s="2">
        <v>46326</v>
      </c>
      <c r="N213" s="2">
        <v>46296</v>
      </c>
      <c r="O213" s="2">
        <v>46661</v>
      </c>
      <c r="P213">
        <v>12</v>
      </c>
      <c r="Q213" t="s">
        <v>40</v>
      </c>
      <c r="R213" t="s">
        <v>53</v>
      </c>
      <c r="S213" t="s">
        <v>105</v>
      </c>
      <c r="T213" t="s">
        <v>55</v>
      </c>
      <c r="U213" t="s">
        <v>106</v>
      </c>
      <c r="V213" t="s">
        <v>98</v>
      </c>
      <c r="W213" t="s">
        <v>120</v>
      </c>
      <c r="X213" t="s">
        <v>143</v>
      </c>
      <c r="Y213">
        <v>166642.29</v>
      </c>
      <c r="Z213">
        <v>108317.49</v>
      </c>
      <c r="AA213">
        <v>0.65</v>
      </c>
      <c r="AB213" t="s">
        <v>39</v>
      </c>
      <c r="AC213" t="s">
        <v>39</v>
      </c>
      <c r="AD213" t="s">
        <v>48</v>
      </c>
    </row>
    <row r="214" spans="1:30" x14ac:dyDescent="0.35">
      <c r="A214" t="s">
        <v>30</v>
      </c>
      <c r="B214" t="s">
        <v>31</v>
      </c>
      <c r="C214" t="s">
        <v>348</v>
      </c>
      <c r="D214" t="s">
        <v>369</v>
      </c>
      <c r="E214" t="s">
        <v>370</v>
      </c>
      <c r="F214" t="s">
        <v>371</v>
      </c>
      <c r="G214" t="s">
        <v>372</v>
      </c>
      <c r="H214" t="s">
        <v>37</v>
      </c>
      <c r="I214" t="s">
        <v>103</v>
      </c>
      <c r="J214" t="s">
        <v>39</v>
      </c>
      <c r="K214" s="2">
        <v>46298</v>
      </c>
      <c r="L214" s="2">
        <v>46326</v>
      </c>
      <c r="N214" s="2">
        <v>46296</v>
      </c>
      <c r="O214" s="2">
        <v>46661</v>
      </c>
      <c r="P214">
        <v>12</v>
      </c>
      <c r="Q214" t="s">
        <v>65</v>
      </c>
      <c r="R214" t="s">
        <v>88</v>
      </c>
      <c r="S214" t="s">
        <v>54</v>
      </c>
      <c r="T214" t="s">
        <v>55</v>
      </c>
      <c r="U214" t="s">
        <v>56</v>
      </c>
      <c r="V214" t="s">
        <v>98</v>
      </c>
      <c r="W214" t="s">
        <v>142</v>
      </c>
      <c r="X214" t="s">
        <v>158</v>
      </c>
      <c r="Y214">
        <v>152583.51999999999</v>
      </c>
      <c r="Z214">
        <v>76291.759999999995</v>
      </c>
      <c r="AA214">
        <v>0.5</v>
      </c>
      <c r="AB214" t="s">
        <v>39</v>
      </c>
      <c r="AC214" t="s">
        <v>39</v>
      </c>
      <c r="AD214" t="s">
        <v>48</v>
      </c>
    </row>
    <row r="215" spans="1:30" x14ac:dyDescent="0.35">
      <c r="A215" t="s">
        <v>30</v>
      </c>
      <c r="B215" t="s">
        <v>31</v>
      </c>
      <c r="C215" t="s">
        <v>348</v>
      </c>
      <c r="D215" t="s">
        <v>373</v>
      </c>
      <c r="E215" t="s">
        <v>374</v>
      </c>
      <c r="F215" t="s">
        <v>375</v>
      </c>
      <c r="G215" t="s">
        <v>376</v>
      </c>
      <c r="H215" t="s">
        <v>37</v>
      </c>
      <c r="I215" t="s">
        <v>117</v>
      </c>
      <c r="J215" t="s">
        <v>39</v>
      </c>
      <c r="K215" s="2">
        <v>46303</v>
      </c>
      <c r="L215" s="2">
        <v>46326</v>
      </c>
      <c r="N215" s="2">
        <v>46296</v>
      </c>
      <c r="O215" s="2">
        <v>46661</v>
      </c>
      <c r="P215">
        <v>12</v>
      </c>
      <c r="Q215" t="s">
        <v>65</v>
      </c>
      <c r="R215" t="s">
        <v>88</v>
      </c>
      <c r="S215" t="s">
        <v>96</v>
      </c>
      <c r="T215" t="s">
        <v>97</v>
      </c>
      <c r="U215" t="s">
        <v>56</v>
      </c>
      <c r="V215" t="s">
        <v>217</v>
      </c>
      <c r="W215" t="s">
        <v>136</v>
      </c>
      <c r="X215" t="s">
        <v>125</v>
      </c>
      <c r="Y215">
        <v>125518.16</v>
      </c>
      <c r="Z215">
        <v>62759.08</v>
      </c>
      <c r="AA215">
        <v>0.5</v>
      </c>
      <c r="AB215" t="s">
        <v>39</v>
      </c>
      <c r="AC215" t="s">
        <v>39</v>
      </c>
      <c r="AD215" t="s">
        <v>48</v>
      </c>
    </row>
    <row r="216" spans="1:30" x14ac:dyDescent="0.35">
      <c r="A216" t="s">
        <v>30</v>
      </c>
      <c r="B216" t="s">
        <v>31</v>
      </c>
      <c r="C216" t="s">
        <v>348</v>
      </c>
      <c r="D216" t="s">
        <v>377</v>
      </c>
      <c r="E216" t="s">
        <v>378</v>
      </c>
      <c r="F216" t="s">
        <v>379</v>
      </c>
      <c r="G216" t="s">
        <v>380</v>
      </c>
      <c r="H216" t="s">
        <v>37</v>
      </c>
      <c r="I216" t="s">
        <v>103</v>
      </c>
      <c r="J216" t="s">
        <v>39</v>
      </c>
      <c r="K216" s="2">
        <v>46299</v>
      </c>
      <c r="L216" s="2">
        <v>46326</v>
      </c>
      <c r="N216" s="2">
        <v>46296</v>
      </c>
      <c r="O216" s="2">
        <v>47027</v>
      </c>
      <c r="P216">
        <v>24</v>
      </c>
      <c r="Q216" t="s">
        <v>65</v>
      </c>
      <c r="R216" t="s">
        <v>88</v>
      </c>
      <c r="S216" t="s">
        <v>163</v>
      </c>
      <c r="T216" t="s">
        <v>131</v>
      </c>
      <c r="U216" t="s">
        <v>106</v>
      </c>
      <c r="V216" t="s">
        <v>81</v>
      </c>
      <c r="W216" t="s">
        <v>90</v>
      </c>
      <c r="X216" t="s">
        <v>83</v>
      </c>
      <c r="Y216">
        <v>197749.13</v>
      </c>
      <c r="Z216">
        <v>158199.29999999999</v>
      </c>
      <c r="AA216">
        <v>0.8</v>
      </c>
      <c r="AB216" t="s">
        <v>39</v>
      </c>
      <c r="AC216" t="s">
        <v>39</v>
      </c>
      <c r="AD216" t="s">
        <v>48</v>
      </c>
    </row>
    <row r="217" spans="1:30" x14ac:dyDescent="0.35">
      <c r="A217" t="s">
        <v>30</v>
      </c>
      <c r="B217" t="s">
        <v>31</v>
      </c>
      <c r="C217" t="s">
        <v>348</v>
      </c>
      <c r="D217" t="s">
        <v>381</v>
      </c>
      <c r="E217" t="s">
        <v>382</v>
      </c>
      <c r="F217" t="s">
        <v>383</v>
      </c>
      <c r="G217" t="s">
        <v>384</v>
      </c>
      <c r="H217" t="s">
        <v>37</v>
      </c>
      <c r="I217" t="s">
        <v>38</v>
      </c>
      <c r="J217" t="s">
        <v>39</v>
      </c>
      <c r="K217" s="2">
        <v>46309</v>
      </c>
      <c r="L217" s="2">
        <v>46326</v>
      </c>
      <c r="N217" s="2">
        <v>46296</v>
      </c>
      <c r="O217" s="2">
        <v>46661</v>
      </c>
      <c r="P217">
        <v>12</v>
      </c>
      <c r="Q217" t="s">
        <v>40</v>
      </c>
      <c r="R217" t="s">
        <v>41</v>
      </c>
      <c r="S217" t="s">
        <v>130</v>
      </c>
      <c r="T217" t="s">
        <v>131</v>
      </c>
      <c r="U217" t="s">
        <v>56</v>
      </c>
      <c r="V217" t="s">
        <v>119</v>
      </c>
      <c r="W217" t="s">
        <v>161</v>
      </c>
      <c r="X217" t="s">
        <v>158</v>
      </c>
      <c r="Y217">
        <v>113807.24</v>
      </c>
      <c r="Z217">
        <v>39832.53</v>
      </c>
      <c r="AA217">
        <v>0.35</v>
      </c>
      <c r="AB217" t="s">
        <v>39</v>
      </c>
      <c r="AC217" t="s">
        <v>39</v>
      </c>
      <c r="AD217" t="s">
        <v>48</v>
      </c>
    </row>
    <row r="218" spans="1:30" x14ac:dyDescent="0.35">
      <c r="A218" t="s">
        <v>30</v>
      </c>
      <c r="B218" t="s">
        <v>31</v>
      </c>
      <c r="C218" t="s">
        <v>348</v>
      </c>
      <c r="D218" t="s">
        <v>385</v>
      </c>
      <c r="E218" t="s">
        <v>386</v>
      </c>
      <c r="F218" t="s">
        <v>387</v>
      </c>
      <c r="G218" t="s">
        <v>388</v>
      </c>
      <c r="H218" t="s">
        <v>37</v>
      </c>
      <c r="I218" t="s">
        <v>117</v>
      </c>
      <c r="J218" t="s">
        <v>39</v>
      </c>
      <c r="K218" s="2">
        <v>46303</v>
      </c>
      <c r="L218" s="2">
        <v>46326</v>
      </c>
      <c r="N218" s="2">
        <v>46296</v>
      </c>
      <c r="O218" s="2">
        <v>46661</v>
      </c>
      <c r="P218">
        <v>12</v>
      </c>
      <c r="Q218" t="s">
        <v>40</v>
      </c>
      <c r="R218" t="s">
        <v>88</v>
      </c>
      <c r="S218" t="s">
        <v>137</v>
      </c>
      <c r="T218" t="s">
        <v>97</v>
      </c>
      <c r="U218" t="s">
        <v>44</v>
      </c>
      <c r="V218" t="s">
        <v>119</v>
      </c>
      <c r="W218" t="s">
        <v>46</v>
      </c>
      <c r="X218" t="s">
        <v>47</v>
      </c>
      <c r="Y218">
        <v>173400.95999999999</v>
      </c>
      <c r="Z218">
        <v>112710.62</v>
      </c>
      <c r="AA218">
        <v>0.65</v>
      </c>
      <c r="AB218" t="s">
        <v>39</v>
      </c>
      <c r="AC218" t="s">
        <v>39</v>
      </c>
      <c r="AD218" t="s">
        <v>48</v>
      </c>
    </row>
    <row r="219" spans="1:30" x14ac:dyDescent="0.35">
      <c r="A219" t="s">
        <v>30</v>
      </c>
      <c r="B219" t="s">
        <v>31</v>
      </c>
      <c r="C219" t="s">
        <v>348</v>
      </c>
      <c r="D219" t="s">
        <v>389</v>
      </c>
      <c r="E219" t="s">
        <v>390</v>
      </c>
      <c r="F219" t="s">
        <v>391</v>
      </c>
      <c r="G219" t="s">
        <v>392</v>
      </c>
      <c r="H219" t="s">
        <v>37</v>
      </c>
      <c r="I219" t="s">
        <v>38</v>
      </c>
      <c r="J219" t="s">
        <v>39</v>
      </c>
      <c r="K219" s="2">
        <v>46296</v>
      </c>
      <c r="L219" s="2">
        <v>46326</v>
      </c>
      <c r="N219" s="2">
        <v>46296</v>
      </c>
      <c r="O219" s="2">
        <v>47027</v>
      </c>
      <c r="P219">
        <v>24</v>
      </c>
      <c r="Q219" t="s">
        <v>104</v>
      </c>
      <c r="R219" t="s">
        <v>53</v>
      </c>
      <c r="S219" t="s">
        <v>42</v>
      </c>
      <c r="T219" t="s">
        <v>43</v>
      </c>
      <c r="U219" t="s">
        <v>44</v>
      </c>
      <c r="V219" t="s">
        <v>81</v>
      </c>
      <c r="W219" t="s">
        <v>58</v>
      </c>
      <c r="X219" t="s">
        <v>47</v>
      </c>
      <c r="Y219">
        <v>108084.96</v>
      </c>
      <c r="Z219">
        <v>37829.730000000003</v>
      </c>
      <c r="AA219">
        <v>0.35</v>
      </c>
      <c r="AB219" t="s">
        <v>39</v>
      </c>
      <c r="AC219" t="s">
        <v>39</v>
      </c>
      <c r="AD219" t="s">
        <v>48</v>
      </c>
    </row>
    <row r="220" spans="1:30" x14ac:dyDescent="0.35">
      <c r="A220" t="s">
        <v>30</v>
      </c>
      <c r="B220" t="s">
        <v>31</v>
      </c>
      <c r="C220" t="s">
        <v>348</v>
      </c>
      <c r="D220" t="s">
        <v>2151</v>
      </c>
      <c r="E220" t="s">
        <v>2152</v>
      </c>
      <c r="F220" t="s">
        <v>2153</v>
      </c>
      <c r="G220" t="s">
        <v>2154</v>
      </c>
      <c r="H220" t="s">
        <v>1271</v>
      </c>
      <c r="I220" t="s">
        <v>111</v>
      </c>
      <c r="J220" t="s">
        <v>39</v>
      </c>
      <c r="K220" s="2">
        <v>46298</v>
      </c>
      <c r="L220" s="2">
        <v>46326</v>
      </c>
      <c r="N220" s="2">
        <v>46296</v>
      </c>
      <c r="O220" s="2">
        <v>46661</v>
      </c>
      <c r="P220">
        <v>12</v>
      </c>
      <c r="Q220" t="s">
        <v>40</v>
      </c>
      <c r="R220" t="s">
        <v>53</v>
      </c>
      <c r="S220" t="s">
        <v>139</v>
      </c>
      <c r="T220" t="s">
        <v>43</v>
      </c>
      <c r="U220" t="s">
        <v>44</v>
      </c>
      <c r="V220" t="s">
        <v>144</v>
      </c>
      <c r="W220" t="s">
        <v>120</v>
      </c>
      <c r="X220" t="s">
        <v>125</v>
      </c>
      <c r="Y220">
        <v>109551.75</v>
      </c>
      <c r="Z220">
        <v>87641.4</v>
      </c>
      <c r="AA220">
        <v>0.8</v>
      </c>
      <c r="AB220" t="s">
        <v>39</v>
      </c>
      <c r="AC220" t="s">
        <v>39</v>
      </c>
      <c r="AD220" t="s">
        <v>48</v>
      </c>
    </row>
    <row r="221" spans="1:30" x14ac:dyDescent="0.35">
      <c r="A221" t="s">
        <v>30</v>
      </c>
      <c r="B221" t="s">
        <v>31</v>
      </c>
      <c r="C221" t="s">
        <v>348</v>
      </c>
      <c r="D221" t="s">
        <v>2155</v>
      </c>
      <c r="E221" t="s">
        <v>2156</v>
      </c>
      <c r="F221" t="s">
        <v>1153</v>
      </c>
      <c r="G221" t="s">
        <v>1154</v>
      </c>
      <c r="H221" t="s">
        <v>1271</v>
      </c>
      <c r="I221" t="s">
        <v>103</v>
      </c>
      <c r="J221" t="s">
        <v>39</v>
      </c>
      <c r="K221" s="2">
        <v>46306</v>
      </c>
      <c r="L221" s="2">
        <v>46326</v>
      </c>
      <c r="N221" s="2">
        <v>46296</v>
      </c>
      <c r="O221" s="2">
        <v>47027</v>
      </c>
      <c r="P221">
        <v>24</v>
      </c>
      <c r="Q221" t="s">
        <v>40</v>
      </c>
      <c r="R221" t="s">
        <v>41</v>
      </c>
      <c r="S221" t="s">
        <v>80</v>
      </c>
      <c r="T221" t="s">
        <v>43</v>
      </c>
      <c r="U221" t="s">
        <v>44</v>
      </c>
      <c r="V221" t="s">
        <v>119</v>
      </c>
      <c r="W221" t="s">
        <v>90</v>
      </c>
      <c r="X221" t="s">
        <v>83</v>
      </c>
      <c r="Y221">
        <v>156284.94</v>
      </c>
      <c r="Z221">
        <v>54699.73</v>
      </c>
      <c r="AA221">
        <v>0.35</v>
      </c>
      <c r="AB221" t="s">
        <v>39</v>
      </c>
      <c r="AC221" t="s">
        <v>39</v>
      </c>
      <c r="AD221" t="s">
        <v>48</v>
      </c>
    </row>
    <row r="222" spans="1:30" x14ac:dyDescent="0.35">
      <c r="A222" t="s">
        <v>30</v>
      </c>
      <c r="B222" t="s">
        <v>31</v>
      </c>
      <c r="C222" t="s">
        <v>348</v>
      </c>
      <c r="D222" t="s">
        <v>2157</v>
      </c>
      <c r="E222" t="s">
        <v>2158</v>
      </c>
      <c r="F222" t="s">
        <v>971</v>
      </c>
      <c r="G222" t="s">
        <v>972</v>
      </c>
      <c r="H222" t="s">
        <v>1271</v>
      </c>
      <c r="I222" t="s">
        <v>117</v>
      </c>
      <c r="J222" t="s">
        <v>39</v>
      </c>
      <c r="K222" s="2">
        <v>46297</v>
      </c>
      <c r="L222" s="2">
        <v>46326</v>
      </c>
      <c r="N222" s="2">
        <v>46296</v>
      </c>
      <c r="O222" s="2">
        <v>46661</v>
      </c>
      <c r="P222">
        <v>12</v>
      </c>
      <c r="Q222" t="s">
        <v>65</v>
      </c>
      <c r="R222" t="s">
        <v>88</v>
      </c>
      <c r="S222" t="s">
        <v>164</v>
      </c>
      <c r="T222" t="s">
        <v>55</v>
      </c>
      <c r="U222" t="s">
        <v>56</v>
      </c>
      <c r="V222" t="s">
        <v>138</v>
      </c>
      <c r="W222" t="s">
        <v>58</v>
      </c>
      <c r="X222" t="s">
        <v>68</v>
      </c>
      <c r="Y222">
        <v>165496.85</v>
      </c>
      <c r="Z222">
        <v>57923.9</v>
      </c>
      <c r="AA222">
        <v>0.35</v>
      </c>
      <c r="AB222" t="s">
        <v>39</v>
      </c>
      <c r="AC222" t="s">
        <v>39</v>
      </c>
      <c r="AD222" t="s">
        <v>48</v>
      </c>
    </row>
    <row r="223" spans="1:30" x14ac:dyDescent="0.35">
      <c r="A223" t="s">
        <v>30</v>
      </c>
      <c r="B223" t="s">
        <v>31</v>
      </c>
      <c r="C223" t="s">
        <v>348</v>
      </c>
      <c r="D223" t="s">
        <v>2159</v>
      </c>
      <c r="E223" t="s">
        <v>2160</v>
      </c>
      <c r="F223" t="s">
        <v>2161</v>
      </c>
      <c r="G223" t="s">
        <v>2162</v>
      </c>
      <c r="H223" t="s">
        <v>1271</v>
      </c>
      <c r="I223" t="s">
        <v>103</v>
      </c>
      <c r="J223" t="s">
        <v>39</v>
      </c>
      <c r="K223" s="2">
        <v>46299</v>
      </c>
      <c r="L223" s="2">
        <v>46326</v>
      </c>
      <c r="N223" s="2">
        <v>46296</v>
      </c>
      <c r="O223" s="2">
        <v>46661</v>
      </c>
      <c r="P223">
        <v>12</v>
      </c>
      <c r="Q223" t="s">
        <v>40</v>
      </c>
      <c r="R223" t="s">
        <v>41</v>
      </c>
      <c r="S223" t="s">
        <v>80</v>
      </c>
      <c r="T223" t="s">
        <v>43</v>
      </c>
      <c r="U223" t="s">
        <v>44</v>
      </c>
      <c r="V223" t="s">
        <v>144</v>
      </c>
      <c r="W223" t="s">
        <v>120</v>
      </c>
      <c r="X223" t="s">
        <v>83</v>
      </c>
      <c r="Y223">
        <v>96864.320000000007</v>
      </c>
      <c r="Z223">
        <v>62961.81</v>
      </c>
      <c r="AA223">
        <v>0.65</v>
      </c>
      <c r="AB223" t="s">
        <v>39</v>
      </c>
      <c r="AC223" t="s">
        <v>39</v>
      </c>
      <c r="AD223" t="s">
        <v>48</v>
      </c>
    </row>
    <row r="224" spans="1:30" x14ac:dyDescent="0.35">
      <c r="A224" t="s">
        <v>30</v>
      </c>
      <c r="B224" t="s">
        <v>31</v>
      </c>
      <c r="C224" t="s">
        <v>348</v>
      </c>
      <c r="D224" t="s">
        <v>2163</v>
      </c>
      <c r="E224" t="s">
        <v>2164</v>
      </c>
      <c r="F224" t="s">
        <v>505</v>
      </c>
      <c r="G224" t="s">
        <v>506</v>
      </c>
      <c r="H224" t="s">
        <v>1271</v>
      </c>
      <c r="I224" t="s">
        <v>38</v>
      </c>
      <c r="J224" t="s">
        <v>39</v>
      </c>
      <c r="K224" s="2">
        <v>46302</v>
      </c>
      <c r="L224" s="2">
        <v>46326</v>
      </c>
      <c r="N224" s="2">
        <v>46296</v>
      </c>
      <c r="O224" s="2">
        <v>46661</v>
      </c>
      <c r="P224">
        <v>12</v>
      </c>
      <c r="Q224" t="s">
        <v>65</v>
      </c>
      <c r="R224" t="s">
        <v>53</v>
      </c>
      <c r="S224" t="s">
        <v>118</v>
      </c>
      <c r="T224" t="s">
        <v>97</v>
      </c>
      <c r="U224" t="s">
        <v>44</v>
      </c>
      <c r="V224" t="s">
        <v>81</v>
      </c>
      <c r="W224" t="s">
        <v>132</v>
      </c>
      <c r="X224" t="s">
        <v>125</v>
      </c>
      <c r="Y224">
        <v>137017.53</v>
      </c>
      <c r="Z224">
        <v>89061.39</v>
      </c>
      <c r="AA224">
        <v>0.65</v>
      </c>
      <c r="AB224" t="s">
        <v>39</v>
      </c>
      <c r="AC224" t="s">
        <v>39</v>
      </c>
      <c r="AD224" t="s">
        <v>48</v>
      </c>
    </row>
    <row r="225" spans="1:30" x14ac:dyDescent="0.35">
      <c r="A225" t="s">
        <v>30</v>
      </c>
      <c r="B225" t="s">
        <v>31</v>
      </c>
      <c r="C225" t="s">
        <v>348</v>
      </c>
      <c r="D225" t="s">
        <v>2165</v>
      </c>
      <c r="E225" t="s">
        <v>2166</v>
      </c>
      <c r="F225" t="s">
        <v>1041</v>
      </c>
      <c r="G225" t="s">
        <v>1042</v>
      </c>
      <c r="H225" t="s">
        <v>1271</v>
      </c>
      <c r="I225" t="s">
        <v>111</v>
      </c>
      <c r="J225" t="s">
        <v>39</v>
      </c>
      <c r="K225" s="2">
        <v>46306</v>
      </c>
      <c r="L225" s="2">
        <v>46326</v>
      </c>
      <c r="N225" s="2">
        <v>46296</v>
      </c>
      <c r="O225" s="2">
        <v>46661</v>
      </c>
      <c r="P225">
        <v>12</v>
      </c>
      <c r="Q225" t="s">
        <v>40</v>
      </c>
      <c r="R225" t="s">
        <v>53</v>
      </c>
      <c r="S225" t="s">
        <v>164</v>
      </c>
      <c r="T225" t="s">
        <v>55</v>
      </c>
      <c r="U225" t="s">
        <v>44</v>
      </c>
      <c r="V225" t="s">
        <v>98</v>
      </c>
      <c r="W225" t="s">
        <v>75</v>
      </c>
      <c r="X225" t="s">
        <v>143</v>
      </c>
      <c r="Y225">
        <v>190644.95</v>
      </c>
      <c r="Z225">
        <v>123919.22</v>
      </c>
      <c r="AA225">
        <v>0.65</v>
      </c>
      <c r="AB225" t="s">
        <v>39</v>
      </c>
      <c r="AC225" t="s">
        <v>39</v>
      </c>
      <c r="AD225" t="s">
        <v>48</v>
      </c>
    </row>
    <row r="226" spans="1:30" x14ac:dyDescent="0.35">
      <c r="A226" t="s">
        <v>30</v>
      </c>
      <c r="B226" t="s">
        <v>31</v>
      </c>
      <c r="C226" t="s">
        <v>348</v>
      </c>
      <c r="D226" t="s">
        <v>2167</v>
      </c>
      <c r="E226" t="s">
        <v>2168</v>
      </c>
      <c r="F226" t="s">
        <v>2169</v>
      </c>
      <c r="G226" t="s">
        <v>2170</v>
      </c>
      <c r="H226" t="s">
        <v>1271</v>
      </c>
      <c r="I226" t="s">
        <v>117</v>
      </c>
      <c r="J226" t="s">
        <v>39</v>
      </c>
      <c r="K226" s="2">
        <v>46300</v>
      </c>
      <c r="L226" s="2">
        <v>46326</v>
      </c>
      <c r="N226" s="2">
        <v>46296</v>
      </c>
      <c r="O226" s="2">
        <v>46661</v>
      </c>
      <c r="P226">
        <v>12</v>
      </c>
      <c r="Q226" t="s">
        <v>104</v>
      </c>
      <c r="R226" t="s">
        <v>41</v>
      </c>
      <c r="S226" t="s">
        <v>151</v>
      </c>
      <c r="T226" t="s">
        <v>131</v>
      </c>
      <c r="U226" t="s">
        <v>56</v>
      </c>
      <c r="V226" t="s">
        <v>138</v>
      </c>
      <c r="W226" t="s">
        <v>120</v>
      </c>
      <c r="X226" t="s">
        <v>91</v>
      </c>
      <c r="Y226">
        <v>109779.8</v>
      </c>
      <c r="Z226">
        <v>38422.93</v>
      </c>
      <c r="AA226">
        <v>0.35</v>
      </c>
      <c r="AB226" t="s">
        <v>39</v>
      </c>
      <c r="AC226" t="s">
        <v>39</v>
      </c>
      <c r="AD226" t="s">
        <v>48</v>
      </c>
    </row>
    <row r="227" spans="1:30" x14ac:dyDescent="0.35">
      <c r="A227" t="s">
        <v>30</v>
      </c>
      <c r="B227" t="s">
        <v>31</v>
      </c>
      <c r="C227" t="s">
        <v>348</v>
      </c>
      <c r="D227" t="s">
        <v>2171</v>
      </c>
      <c r="E227" t="s">
        <v>2172</v>
      </c>
      <c r="F227" t="s">
        <v>2173</v>
      </c>
      <c r="G227" t="s">
        <v>2174</v>
      </c>
      <c r="H227" t="s">
        <v>1271</v>
      </c>
      <c r="I227" t="s">
        <v>111</v>
      </c>
      <c r="J227" t="s">
        <v>39</v>
      </c>
      <c r="K227" s="2">
        <v>46309</v>
      </c>
      <c r="L227" s="2">
        <v>46326</v>
      </c>
      <c r="N227" s="2">
        <v>46296</v>
      </c>
      <c r="O227" s="2">
        <v>46661</v>
      </c>
      <c r="P227">
        <v>12</v>
      </c>
      <c r="Q227" t="s">
        <v>65</v>
      </c>
      <c r="R227" t="s">
        <v>41</v>
      </c>
      <c r="S227" t="s">
        <v>73</v>
      </c>
      <c r="T227" t="s">
        <v>43</v>
      </c>
      <c r="U227" t="s">
        <v>56</v>
      </c>
      <c r="V227" t="s">
        <v>138</v>
      </c>
      <c r="W227" t="s">
        <v>58</v>
      </c>
      <c r="X227" t="s">
        <v>143</v>
      </c>
      <c r="Y227">
        <v>92481.87</v>
      </c>
      <c r="Z227">
        <v>32368.65</v>
      </c>
      <c r="AA227">
        <v>0.35</v>
      </c>
      <c r="AB227" t="s">
        <v>39</v>
      </c>
      <c r="AC227" t="s">
        <v>39</v>
      </c>
      <c r="AD227" t="s">
        <v>48</v>
      </c>
    </row>
    <row r="228" spans="1:30" x14ac:dyDescent="0.35">
      <c r="A228" t="s">
        <v>30</v>
      </c>
      <c r="B228" t="s">
        <v>31</v>
      </c>
      <c r="C228" t="s">
        <v>348</v>
      </c>
      <c r="D228" t="s">
        <v>2175</v>
      </c>
      <c r="E228" t="s">
        <v>2176</v>
      </c>
      <c r="F228" t="s">
        <v>2177</v>
      </c>
      <c r="G228" t="s">
        <v>2178</v>
      </c>
      <c r="H228" t="s">
        <v>1290</v>
      </c>
      <c r="I228" t="s">
        <v>64</v>
      </c>
      <c r="J228" t="s">
        <v>1290</v>
      </c>
      <c r="K228" s="2">
        <v>46296</v>
      </c>
      <c r="L228" s="2">
        <v>46326</v>
      </c>
      <c r="N228" s="2">
        <v>46296</v>
      </c>
      <c r="O228" s="2">
        <v>46661</v>
      </c>
      <c r="P228">
        <v>12</v>
      </c>
      <c r="Q228" t="s">
        <v>40</v>
      </c>
      <c r="R228" t="s">
        <v>53</v>
      </c>
      <c r="S228" t="s">
        <v>73</v>
      </c>
      <c r="T228" t="s">
        <v>43</v>
      </c>
      <c r="U228" t="s">
        <v>106</v>
      </c>
      <c r="V228" t="s">
        <v>74</v>
      </c>
      <c r="W228" t="s">
        <v>90</v>
      </c>
      <c r="X228" t="s">
        <v>59</v>
      </c>
      <c r="Y228">
        <v>164803.75</v>
      </c>
      <c r="Z228">
        <v>131843</v>
      </c>
      <c r="AA228">
        <v>0.8</v>
      </c>
      <c r="AB228" t="s">
        <v>1290</v>
      </c>
      <c r="AC228" t="s">
        <v>1290</v>
      </c>
      <c r="AD228" t="s">
        <v>48</v>
      </c>
    </row>
    <row r="229" spans="1:30" x14ac:dyDescent="0.35">
      <c r="A229" t="s">
        <v>30</v>
      </c>
      <c r="B229" t="s">
        <v>31</v>
      </c>
      <c r="C229" t="s">
        <v>348</v>
      </c>
      <c r="D229" t="s">
        <v>2179</v>
      </c>
      <c r="E229" t="s">
        <v>2180</v>
      </c>
      <c r="F229" t="s">
        <v>2181</v>
      </c>
      <c r="G229" t="s">
        <v>2182</v>
      </c>
      <c r="H229" t="s">
        <v>1290</v>
      </c>
      <c r="I229" t="s">
        <v>38</v>
      </c>
      <c r="J229" t="s">
        <v>1290</v>
      </c>
      <c r="K229" s="2">
        <v>46302</v>
      </c>
      <c r="L229" s="2">
        <v>46326</v>
      </c>
      <c r="N229" s="2">
        <v>46296</v>
      </c>
      <c r="O229" s="2">
        <v>46661</v>
      </c>
      <c r="P229">
        <v>12</v>
      </c>
      <c r="Q229" t="s">
        <v>104</v>
      </c>
      <c r="R229" t="s">
        <v>53</v>
      </c>
      <c r="S229" t="s">
        <v>164</v>
      </c>
      <c r="T229" t="s">
        <v>55</v>
      </c>
      <c r="U229" t="s">
        <v>56</v>
      </c>
      <c r="V229" t="s">
        <v>98</v>
      </c>
      <c r="W229" t="s">
        <v>120</v>
      </c>
      <c r="X229" t="s">
        <v>83</v>
      </c>
      <c r="Y229">
        <v>144872.16</v>
      </c>
      <c r="Z229">
        <v>72436.08</v>
      </c>
      <c r="AA229">
        <v>0.5</v>
      </c>
      <c r="AB229" t="s">
        <v>1290</v>
      </c>
      <c r="AC229" t="s">
        <v>1290</v>
      </c>
      <c r="AD229" t="s">
        <v>48</v>
      </c>
    </row>
    <row r="230" spans="1:30" x14ac:dyDescent="0.35">
      <c r="A230" t="s">
        <v>30</v>
      </c>
      <c r="B230" t="s">
        <v>31</v>
      </c>
      <c r="C230" t="s">
        <v>348</v>
      </c>
      <c r="D230" t="s">
        <v>2183</v>
      </c>
      <c r="E230" t="s">
        <v>2184</v>
      </c>
      <c r="F230" t="s">
        <v>2185</v>
      </c>
      <c r="G230" t="s">
        <v>2186</v>
      </c>
      <c r="H230" t="s">
        <v>1290</v>
      </c>
      <c r="I230" t="s">
        <v>64</v>
      </c>
      <c r="J230" t="s">
        <v>1290</v>
      </c>
      <c r="K230" s="2">
        <v>46309</v>
      </c>
      <c r="L230" s="2">
        <v>46326</v>
      </c>
      <c r="N230" s="2">
        <v>46296</v>
      </c>
      <c r="O230" s="2">
        <v>47027</v>
      </c>
      <c r="P230">
        <v>24</v>
      </c>
      <c r="Q230" t="s">
        <v>40</v>
      </c>
      <c r="R230" t="s">
        <v>41</v>
      </c>
      <c r="S230" t="s">
        <v>137</v>
      </c>
      <c r="T230" t="s">
        <v>97</v>
      </c>
      <c r="U230" t="s">
        <v>44</v>
      </c>
      <c r="V230" t="s">
        <v>217</v>
      </c>
      <c r="W230" t="s">
        <v>150</v>
      </c>
      <c r="X230" t="s">
        <v>125</v>
      </c>
      <c r="Y230">
        <v>130003.08</v>
      </c>
      <c r="Z230">
        <v>65001.54</v>
      </c>
      <c r="AA230">
        <v>0.5</v>
      </c>
      <c r="AB230" t="s">
        <v>1290</v>
      </c>
      <c r="AC230" t="s">
        <v>1290</v>
      </c>
      <c r="AD230" t="s">
        <v>48</v>
      </c>
    </row>
    <row r="231" spans="1:30" x14ac:dyDescent="0.35">
      <c r="A231" t="s">
        <v>30</v>
      </c>
      <c r="B231" t="s">
        <v>31</v>
      </c>
      <c r="C231" t="s">
        <v>348</v>
      </c>
      <c r="D231" t="s">
        <v>2187</v>
      </c>
      <c r="E231" t="s">
        <v>2188</v>
      </c>
      <c r="F231" t="s">
        <v>2189</v>
      </c>
      <c r="G231" t="s">
        <v>2190</v>
      </c>
      <c r="H231" t="s">
        <v>1295</v>
      </c>
      <c r="I231" t="s">
        <v>64</v>
      </c>
      <c r="J231" t="s">
        <v>1295</v>
      </c>
      <c r="K231" s="2">
        <v>46297</v>
      </c>
      <c r="L231" s="2">
        <v>46326</v>
      </c>
      <c r="N231" s="2">
        <v>46296</v>
      </c>
      <c r="O231" s="2">
        <v>46661</v>
      </c>
      <c r="P231">
        <v>12</v>
      </c>
      <c r="Q231" t="s">
        <v>104</v>
      </c>
      <c r="R231" t="s">
        <v>41</v>
      </c>
      <c r="S231" t="s">
        <v>130</v>
      </c>
      <c r="T231" t="s">
        <v>131</v>
      </c>
      <c r="U231" t="s">
        <v>44</v>
      </c>
      <c r="V231" t="s">
        <v>45</v>
      </c>
      <c r="W231" t="s">
        <v>58</v>
      </c>
      <c r="X231" t="s">
        <v>125</v>
      </c>
      <c r="Y231">
        <v>189221.59</v>
      </c>
      <c r="Z231">
        <v>151377.26999999999</v>
      </c>
      <c r="AA231">
        <v>0.8</v>
      </c>
      <c r="AB231" t="s">
        <v>1295</v>
      </c>
      <c r="AC231" t="s">
        <v>1295</v>
      </c>
      <c r="AD231" t="s">
        <v>48</v>
      </c>
    </row>
    <row r="232" spans="1:30" x14ac:dyDescent="0.35">
      <c r="A232" t="s">
        <v>30</v>
      </c>
      <c r="B232" t="s">
        <v>31</v>
      </c>
      <c r="C232" t="s">
        <v>348</v>
      </c>
      <c r="D232" t="s">
        <v>2191</v>
      </c>
      <c r="E232" t="s">
        <v>2192</v>
      </c>
      <c r="F232" t="s">
        <v>2193</v>
      </c>
      <c r="G232" t="s">
        <v>2194</v>
      </c>
      <c r="H232" t="s">
        <v>1295</v>
      </c>
      <c r="I232" t="s">
        <v>38</v>
      </c>
      <c r="J232" t="s">
        <v>1295</v>
      </c>
      <c r="K232" s="2">
        <v>46301</v>
      </c>
      <c r="L232" s="2">
        <v>46326</v>
      </c>
      <c r="N232" s="2">
        <v>46296</v>
      </c>
      <c r="O232" s="2">
        <v>46661</v>
      </c>
      <c r="P232">
        <v>12</v>
      </c>
      <c r="Q232" t="s">
        <v>104</v>
      </c>
      <c r="R232" t="s">
        <v>41</v>
      </c>
      <c r="S232" t="s">
        <v>139</v>
      </c>
      <c r="T232" t="s">
        <v>43</v>
      </c>
      <c r="U232" t="s">
        <v>44</v>
      </c>
      <c r="V232" t="s">
        <v>57</v>
      </c>
      <c r="W232" t="s">
        <v>46</v>
      </c>
      <c r="X232" t="s">
        <v>47</v>
      </c>
      <c r="Y232">
        <v>205464.52</v>
      </c>
      <c r="Z232">
        <v>102732.26</v>
      </c>
      <c r="AA232">
        <v>0.5</v>
      </c>
      <c r="AB232" t="s">
        <v>1295</v>
      </c>
      <c r="AC232" t="s">
        <v>1295</v>
      </c>
      <c r="AD232" t="s">
        <v>48</v>
      </c>
    </row>
    <row r="233" spans="1:30" x14ac:dyDescent="0.35">
      <c r="A233" t="s">
        <v>30</v>
      </c>
      <c r="B233" t="s">
        <v>31</v>
      </c>
      <c r="C233" t="s">
        <v>348</v>
      </c>
      <c r="D233" t="s">
        <v>2195</v>
      </c>
      <c r="E233" t="s">
        <v>2196</v>
      </c>
      <c r="F233" t="s">
        <v>939</v>
      </c>
      <c r="G233" t="s">
        <v>940</v>
      </c>
      <c r="H233" t="s">
        <v>1295</v>
      </c>
      <c r="I233" t="s">
        <v>111</v>
      </c>
      <c r="J233" t="s">
        <v>1295</v>
      </c>
      <c r="K233" s="2">
        <v>46299</v>
      </c>
      <c r="L233" s="2">
        <v>46326</v>
      </c>
      <c r="N233" s="2">
        <v>46296</v>
      </c>
      <c r="O233" s="2">
        <v>46661</v>
      </c>
      <c r="P233">
        <v>12</v>
      </c>
      <c r="Q233" t="s">
        <v>104</v>
      </c>
      <c r="R233" t="s">
        <v>41</v>
      </c>
      <c r="S233" t="s">
        <v>112</v>
      </c>
      <c r="T233" t="s">
        <v>55</v>
      </c>
      <c r="U233" t="s">
        <v>56</v>
      </c>
      <c r="V233" t="s">
        <v>217</v>
      </c>
      <c r="W233" t="s">
        <v>132</v>
      </c>
      <c r="X233" t="s">
        <v>68</v>
      </c>
      <c r="Y233">
        <v>199515.88</v>
      </c>
      <c r="Z233">
        <v>129685.32</v>
      </c>
      <c r="AA233">
        <v>0.65</v>
      </c>
      <c r="AB233" t="s">
        <v>1295</v>
      </c>
      <c r="AC233" t="s">
        <v>1295</v>
      </c>
      <c r="AD233" t="s">
        <v>48</v>
      </c>
    </row>
    <row r="234" spans="1:30" x14ac:dyDescent="0.35">
      <c r="A234" t="s">
        <v>30</v>
      </c>
      <c r="B234" t="s">
        <v>31</v>
      </c>
      <c r="C234" t="s">
        <v>348</v>
      </c>
      <c r="D234" t="s">
        <v>2197</v>
      </c>
      <c r="E234" t="s">
        <v>2198</v>
      </c>
      <c r="F234" t="s">
        <v>2199</v>
      </c>
      <c r="G234" t="s">
        <v>2200</v>
      </c>
      <c r="H234" t="s">
        <v>1295</v>
      </c>
      <c r="I234" t="s">
        <v>117</v>
      </c>
      <c r="J234" t="s">
        <v>1295</v>
      </c>
      <c r="K234" s="2">
        <v>46307</v>
      </c>
      <c r="L234" s="2">
        <v>46326</v>
      </c>
      <c r="N234" s="2">
        <v>46296</v>
      </c>
      <c r="O234" s="2">
        <v>46661</v>
      </c>
      <c r="P234">
        <v>12</v>
      </c>
      <c r="Q234" t="s">
        <v>65</v>
      </c>
      <c r="R234" t="s">
        <v>53</v>
      </c>
      <c r="S234" t="s">
        <v>139</v>
      </c>
      <c r="T234" t="s">
        <v>43</v>
      </c>
      <c r="U234" t="s">
        <v>56</v>
      </c>
      <c r="V234" t="s">
        <v>81</v>
      </c>
      <c r="W234" t="s">
        <v>120</v>
      </c>
      <c r="X234" t="s">
        <v>59</v>
      </c>
      <c r="Y234">
        <v>113401.01</v>
      </c>
      <c r="Z234">
        <v>56700.51</v>
      </c>
      <c r="AA234">
        <v>0.5</v>
      </c>
      <c r="AB234" t="s">
        <v>1295</v>
      </c>
      <c r="AC234" t="s">
        <v>1295</v>
      </c>
      <c r="AD234" t="s">
        <v>48</v>
      </c>
    </row>
    <row r="235" spans="1:30" x14ac:dyDescent="0.35">
      <c r="A235" t="s">
        <v>30</v>
      </c>
      <c r="B235" t="s">
        <v>31</v>
      </c>
      <c r="C235" t="s">
        <v>348</v>
      </c>
      <c r="D235" t="s">
        <v>2201</v>
      </c>
      <c r="E235" t="s">
        <v>2202</v>
      </c>
      <c r="F235" t="s">
        <v>2203</v>
      </c>
      <c r="G235" t="s">
        <v>2204</v>
      </c>
      <c r="H235" t="s">
        <v>1302</v>
      </c>
      <c r="I235" t="s">
        <v>117</v>
      </c>
      <c r="J235" t="s">
        <v>39</v>
      </c>
      <c r="K235" s="2">
        <v>46297</v>
      </c>
      <c r="L235" s="2">
        <v>46326</v>
      </c>
      <c r="N235" s="2">
        <v>46296</v>
      </c>
      <c r="O235" s="2">
        <v>47027</v>
      </c>
      <c r="P235">
        <v>24</v>
      </c>
      <c r="Q235" t="s">
        <v>65</v>
      </c>
      <c r="R235" t="s">
        <v>41</v>
      </c>
      <c r="S235" t="s">
        <v>164</v>
      </c>
      <c r="T235" t="s">
        <v>55</v>
      </c>
      <c r="U235" t="s">
        <v>44</v>
      </c>
      <c r="V235" t="s">
        <v>57</v>
      </c>
      <c r="W235" t="s">
        <v>120</v>
      </c>
      <c r="X235" t="s">
        <v>47</v>
      </c>
      <c r="Y235">
        <v>122047.08</v>
      </c>
      <c r="Z235">
        <v>97637.67</v>
      </c>
      <c r="AA235">
        <v>0.8</v>
      </c>
      <c r="AB235" t="s">
        <v>39</v>
      </c>
      <c r="AC235" t="s">
        <v>39</v>
      </c>
      <c r="AD235" t="s">
        <v>48</v>
      </c>
    </row>
    <row r="236" spans="1:30" x14ac:dyDescent="0.35">
      <c r="A236" t="s">
        <v>30</v>
      </c>
      <c r="B236" t="s">
        <v>31</v>
      </c>
      <c r="C236" t="s">
        <v>348</v>
      </c>
      <c r="D236" t="s">
        <v>2205</v>
      </c>
      <c r="E236" t="s">
        <v>2206</v>
      </c>
      <c r="F236" t="s">
        <v>519</v>
      </c>
      <c r="G236" t="s">
        <v>520</v>
      </c>
      <c r="H236" t="s">
        <v>1302</v>
      </c>
      <c r="I236" t="s">
        <v>38</v>
      </c>
      <c r="J236" t="s">
        <v>39</v>
      </c>
      <c r="K236" s="2">
        <v>46298</v>
      </c>
      <c r="L236" s="2">
        <v>46326</v>
      </c>
      <c r="N236" s="2">
        <v>46296</v>
      </c>
      <c r="O236" s="2">
        <v>47027</v>
      </c>
      <c r="P236">
        <v>24</v>
      </c>
      <c r="Q236" t="s">
        <v>104</v>
      </c>
      <c r="R236" t="s">
        <v>88</v>
      </c>
      <c r="S236" t="s">
        <v>66</v>
      </c>
      <c r="T236" t="s">
        <v>55</v>
      </c>
      <c r="U236" t="s">
        <v>44</v>
      </c>
      <c r="V236" t="s">
        <v>67</v>
      </c>
      <c r="W236" t="s">
        <v>161</v>
      </c>
      <c r="X236" t="s">
        <v>143</v>
      </c>
      <c r="Y236">
        <v>111632.57</v>
      </c>
      <c r="Z236">
        <v>39071.4</v>
      </c>
      <c r="AA236">
        <v>0.35</v>
      </c>
      <c r="AB236" t="s">
        <v>39</v>
      </c>
      <c r="AC236" t="s">
        <v>39</v>
      </c>
      <c r="AD236" t="s">
        <v>48</v>
      </c>
    </row>
    <row r="237" spans="1:30" x14ac:dyDescent="0.35">
      <c r="A237" t="s">
        <v>30</v>
      </c>
      <c r="B237" t="s">
        <v>31</v>
      </c>
      <c r="C237" t="s">
        <v>348</v>
      </c>
      <c r="D237" t="s">
        <v>2207</v>
      </c>
      <c r="E237" t="s">
        <v>2208</v>
      </c>
      <c r="F237" t="s">
        <v>2209</v>
      </c>
      <c r="G237" t="s">
        <v>2210</v>
      </c>
      <c r="H237" t="s">
        <v>1302</v>
      </c>
      <c r="I237" t="s">
        <v>117</v>
      </c>
      <c r="J237" t="s">
        <v>39</v>
      </c>
      <c r="K237" s="2">
        <v>46297</v>
      </c>
      <c r="L237" s="2">
        <v>46326</v>
      </c>
      <c r="N237" s="2">
        <v>46296</v>
      </c>
      <c r="O237" s="2">
        <v>46661</v>
      </c>
      <c r="P237">
        <v>12</v>
      </c>
      <c r="Q237" t="s">
        <v>65</v>
      </c>
      <c r="R237" t="s">
        <v>88</v>
      </c>
      <c r="S237" t="s">
        <v>135</v>
      </c>
      <c r="T237" t="s">
        <v>131</v>
      </c>
      <c r="U237" t="s">
        <v>56</v>
      </c>
      <c r="V237" t="s">
        <v>74</v>
      </c>
      <c r="W237" t="s">
        <v>58</v>
      </c>
      <c r="X237" t="s">
        <v>83</v>
      </c>
      <c r="Y237">
        <v>157446.35</v>
      </c>
      <c r="Z237">
        <v>102340.13</v>
      </c>
      <c r="AA237">
        <v>0.65</v>
      </c>
      <c r="AB237" t="s">
        <v>39</v>
      </c>
      <c r="AC237" t="s">
        <v>39</v>
      </c>
      <c r="AD237" t="s">
        <v>48</v>
      </c>
    </row>
    <row r="238" spans="1:30" x14ac:dyDescent="0.35">
      <c r="A238" t="s">
        <v>30</v>
      </c>
      <c r="B238" t="s">
        <v>31</v>
      </c>
      <c r="C238" t="s">
        <v>399</v>
      </c>
      <c r="D238" t="s">
        <v>400</v>
      </c>
      <c r="E238" t="s">
        <v>401</v>
      </c>
      <c r="F238" t="s">
        <v>402</v>
      </c>
      <c r="G238" t="s">
        <v>403</v>
      </c>
      <c r="H238" t="s">
        <v>37</v>
      </c>
      <c r="I238" t="s">
        <v>111</v>
      </c>
      <c r="J238" t="s">
        <v>39</v>
      </c>
      <c r="K238" s="2">
        <v>46331</v>
      </c>
      <c r="L238" s="2">
        <v>46356</v>
      </c>
      <c r="N238" s="2">
        <v>46327</v>
      </c>
      <c r="O238" s="2">
        <v>46692</v>
      </c>
      <c r="P238">
        <v>12</v>
      </c>
      <c r="Q238" t="s">
        <v>40</v>
      </c>
      <c r="R238" t="s">
        <v>88</v>
      </c>
      <c r="S238" t="s">
        <v>140</v>
      </c>
      <c r="T238" t="s">
        <v>97</v>
      </c>
      <c r="U238" t="s">
        <v>56</v>
      </c>
      <c r="V238" t="s">
        <v>67</v>
      </c>
      <c r="W238" t="s">
        <v>120</v>
      </c>
      <c r="X238" t="s">
        <v>83</v>
      </c>
      <c r="Y238">
        <v>157516.76</v>
      </c>
      <c r="Z238">
        <v>78758.38</v>
      </c>
      <c r="AA238">
        <v>0.5</v>
      </c>
      <c r="AB238" t="s">
        <v>39</v>
      </c>
      <c r="AC238" t="s">
        <v>39</v>
      </c>
      <c r="AD238" t="s">
        <v>48</v>
      </c>
    </row>
    <row r="239" spans="1:30" x14ac:dyDescent="0.35">
      <c r="A239" t="s">
        <v>30</v>
      </c>
      <c r="B239" t="s">
        <v>31</v>
      </c>
      <c r="C239" t="s">
        <v>399</v>
      </c>
      <c r="D239" t="s">
        <v>404</v>
      </c>
      <c r="E239" t="s">
        <v>405</v>
      </c>
      <c r="F239" t="s">
        <v>406</v>
      </c>
      <c r="G239" t="s">
        <v>407</v>
      </c>
      <c r="H239" t="s">
        <v>37</v>
      </c>
      <c r="I239" t="s">
        <v>38</v>
      </c>
      <c r="J239" t="s">
        <v>39</v>
      </c>
      <c r="K239" s="2">
        <v>46331</v>
      </c>
      <c r="L239" s="2">
        <v>46356</v>
      </c>
      <c r="N239" s="2">
        <v>46327</v>
      </c>
      <c r="O239" s="2">
        <v>46692</v>
      </c>
      <c r="P239">
        <v>12</v>
      </c>
      <c r="Q239" t="s">
        <v>65</v>
      </c>
      <c r="R239" t="s">
        <v>88</v>
      </c>
      <c r="S239" t="s">
        <v>164</v>
      </c>
      <c r="T239" t="s">
        <v>55</v>
      </c>
      <c r="U239" t="s">
        <v>44</v>
      </c>
      <c r="V239" t="s">
        <v>57</v>
      </c>
      <c r="W239" t="s">
        <v>58</v>
      </c>
      <c r="X239" t="s">
        <v>47</v>
      </c>
      <c r="Y239">
        <v>121578.2</v>
      </c>
      <c r="Z239">
        <v>60789.1</v>
      </c>
      <c r="AA239">
        <v>0.5</v>
      </c>
      <c r="AB239" t="s">
        <v>39</v>
      </c>
      <c r="AC239" t="s">
        <v>39</v>
      </c>
      <c r="AD239" t="s">
        <v>48</v>
      </c>
    </row>
    <row r="240" spans="1:30" x14ac:dyDescent="0.35">
      <c r="A240" t="s">
        <v>30</v>
      </c>
      <c r="B240" t="s">
        <v>31</v>
      </c>
      <c r="C240" t="s">
        <v>399</v>
      </c>
      <c r="D240" t="s">
        <v>408</v>
      </c>
      <c r="E240" t="s">
        <v>409</v>
      </c>
      <c r="F240" t="s">
        <v>410</v>
      </c>
      <c r="G240" t="s">
        <v>411</v>
      </c>
      <c r="H240" t="s">
        <v>37</v>
      </c>
      <c r="I240" t="s">
        <v>103</v>
      </c>
      <c r="J240" t="s">
        <v>39</v>
      </c>
      <c r="K240" s="2">
        <v>46333</v>
      </c>
      <c r="L240" s="2">
        <v>46356</v>
      </c>
      <c r="N240" s="2">
        <v>46327</v>
      </c>
      <c r="O240" s="2">
        <v>46692</v>
      </c>
      <c r="P240">
        <v>12</v>
      </c>
      <c r="Q240" t="s">
        <v>65</v>
      </c>
      <c r="R240" t="s">
        <v>88</v>
      </c>
      <c r="S240" t="s">
        <v>162</v>
      </c>
      <c r="T240" t="s">
        <v>43</v>
      </c>
      <c r="U240" t="s">
        <v>56</v>
      </c>
      <c r="V240" t="s">
        <v>217</v>
      </c>
      <c r="W240" t="s">
        <v>82</v>
      </c>
      <c r="X240" t="s">
        <v>59</v>
      </c>
      <c r="Y240">
        <v>181236.39</v>
      </c>
      <c r="Z240">
        <v>63432.74</v>
      </c>
      <c r="AA240">
        <v>0.35</v>
      </c>
      <c r="AB240" t="s">
        <v>39</v>
      </c>
      <c r="AC240" t="s">
        <v>39</v>
      </c>
      <c r="AD240" t="s">
        <v>48</v>
      </c>
    </row>
    <row r="241" spans="1:30" x14ac:dyDescent="0.35">
      <c r="A241" t="s">
        <v>30</v>
      </c>
      <c r="B241" t="s">
        <v>31</v>
      </c>
      <c r="C241" t="s">
        <v>399</v>
      </c>
      <c r="D241" t="s">
        <v>412</v>
      </c>
      <c r="E241" t="s">
        <v>413</v>
      </c>
      <c r="F241" t="s">
        <v>414</v>
      </c>
      <c r="G241" t="s">
        <v>415</v>
      </c>
      <c r="H241" t="s">
        <v>37</v>
      </c>
      <c r="I241" t="s">
        <v>103</v>
      </c>
      <c r="J241" t="s">
        <v>39</v>
      </c>
      <c r="K241" s="2">
        <v>46334</v>
      </c>
      <c r="L241" s="2">
        <v>46356</v>
      </c>
      <c r="N241" s="2">
        <v>46327</v>
      </c>
      <c r="O241" s="2">
        <v>46692</v>
      </c>
      <c r="P241">
        <v>12</v>
      </c>
      <c r="Q241" t="s">
        <v>104</v>
      </c>
      <c r="R241" t="s">
        <v>53</v>
      </c>
      <c r="S241" t="s">
        <v>42</v>
      </c>
      <c r="T241" t="s">
        <v>43</v>
      </c>
      <c r="U241" t="s">
        <v>56</v>
      </c>
      <c r="V241" t="s">
        <v>144</v>
      </c>
      <c r="W241" t="s">
        <v>82</v>
      </c>
      <c r="X241" t="s">
        <v>143</v>
      </c>
      <c r="Y241">
        <v>180631.2</v>
      </c>
      <c r="Z241">
        <v>63220.92</v>
      </c>
      <c r="AA241">
        <v>0.35</v>
      </c>
      <c r="AB241" t="s">
        <v>39</v>
      </c>
      <c r="AC241" t="s">
        <v>39</v>
      </c>
      <c r="AD241" t="s">
        <v>48</v>
      </c>
    </row>
    <row r="242" spans="1:30" x14ac:dyDescent="0.35">
      <c r="A242" t="s">
        <v>30</v>
      </c>
      <c r="B242" t="s">
        <v>31</v>
      </c>
      <c r="C242" t="s">
        <v>399</v>
      </c>
      <c r="D242" t="s">
        <v>416</v>
      </c>
      <c r="E242" t="s">
        <v>417</v>
      </c>
      <c r="F242" t="s">
        <v>418</v>
      </c>
      <c r="G242" t="s">
        <v>419</v>
      </c>
      <c r="H242" t="s">
        <v>37</v>
      </c>
      <c r="I242" t="s">
        <v>103</v>
      </c>
      <c r="J242" t="s">
        <v>39</v>
      </c>
      <c r="K242" s="2">
        <v>46327</v>
      </c>
      <c r="L242" s="2">
        <v>46356</v>
      </c>
      <c r="N242" s="2">
        <v>46327</v>
      </c>
      <c r="O242" s="2">
        <v>46692</v>
      </c>
      <c r="P242">
        <v>12</v>
      </c>
      <c r="Q242" t="s">
        <v>104</v>
      </c>
      <c r="R242" t="s">
        <v>88</v>
      </c>
      <c r="S242" t="s">
        <v>182</v>
      </c>
      <c r="T242" t="s">
        <v>97</v>
      </c>
      <c r="U242" t="s">
        <v>44</v>
      </c>
      <c r="V242" t="s">
        <v>67</v>
      </c>
      <c r="W242" t="s">
        <v>46</v>
      </c>
      <c r="X242" t="s">
        <v>83</v>
      </c>
      <c r="Y242">
        <v>165744.04</v>
      </c>
      <c r="Z242">
        <v>132595.24</v>
      </c>
      <c r="AA242">
        <v>0.8</v>
      </c>
      <c r="AB242" t="s">
        <v>39</v>
      </c>
      <c r="AC242" t="s">
        <v>39</v>
      </c>
      <c r="AD242" t="s">
        <v>48</v>
      </c>
    </row>
    <row r="243" spans="1:30" x14ac:dyDescent="0.35">
      <c r="A243" t="s">
        <v>30</v>
      </c>
      <c r="B243" t="s">
        <v>31</v>
      </c>
      <c r="C243" t="s">
        <v>399</v>
      </c>
      <c r="D243" t="s">
        <v>420</v>
      </c>
      <c r="E243" t="s">
        <v>421</v>
      </c>
      <c r="F243" t="s">
        <v>422</v>
      </c>
      <c r="G243" t="s">
        <v>423</v>
      </c>
      <c r="H243" t="s">
        <v>37</v>
      </c>
      <c r="I243" t="s">
        <v>117</v>
      </c>
      <c r="J243" t="s">
        <v>39</v>
      </c>
      <c r="K243" s="2">
        <v>46339</v>
      </c>
      <c r="L243" s="2">
        <v>46356</v>
      </c>
      <c r="N243" s="2">
        <v>46327</v>
      </c>
      <c r="O243" s="2">
        <v>47423</v>
      </c>
      <c r="P243">
        <v>36</v>
      </c>
      <c r="Q243" t="s">
        <v>40</v>
      </c>
      <c r="R243" t="s">
        <v>88</v>
      </c>
      <c r="S243" t="s">
        <v>80</v>
      </c>
      <c r="T243" t="s">
        <v>43</v>
      </c>
      <c r="U243" t="s">
        <v>44</v>
      </c>
      <c r="V243" t="s">
        <v>74</v>
      </c>
      <c r="W243" t="s">
        <v>132</v>
      </c>
      <c r="X243" t="s">
        <v>91</v>
      </c>
      <c r="Y243">
        <v>111309.64</v>
      </c>
      <c r="Z243">
        <v>38958.370000000003</v>
      </c>
      <c r="AA243">
        <v>0.35</v>
      </c>
      <c r="AB243" t="s">
        <v>39</v>
      </c>
      <c r="AC243" t="s">
        <v>39</v>
      </c>
      <c r="AD243" t="s">
        <v>48</v>
      </c>
    </row>
    <row r="244" spans="1:30" x14ac:dyDescent="0.35">
      <c r="A244" t="s">
        <v>30</v>
      </c>
      <c r="B244" t="s">
        <v>31</v>
      </c>
      <c r="C244" t="s">
        <v>399</v>
      </c>
      <c r="D244" t="s">
        <v>424</v>
      </c>
      <c r="E244" t="s">
        <v>425</v>
      </c>
      <c r="F244" t="s">
        <v>426</v>
      </c>
      <c r="G244" t="s">
        <v>427</v>
      </c>
      <c r="H244" t="s">
        <v>37</v>
      </c>
      <c r="I244" t="s">
        <v>64</v>
      </c>
      <c r="J244" t="s">
        <v>39</v>
      </c>
      <c r="K244" s="2">
        <v>46341</v>
      </c>
      <c r="L244" s="2">
        <v>46356</v>
      </c>
      <c r="N244" s="2">
        <v>46327</v>
      </c>
      <c r="O244" s="2">
        <v>47058</v>
      </c>
      <c r="P244">
        <v>24</v>
      </c>
      <c r="Q244" t="s">
        <v>65</v>
      </c>
      <c r="R244" t="s">
        <v>88</v>
      </c>
      <c r="S244" t="s">
        <v>151</v>
      </c>
      <c r="T244" t="s">
        <v>131</v>
      </c>
      <c r="U244" t="s">
        <v>44</v>
      </c>
      <c r="V244" t="s">
        <v>138</v>
      </c>
      <c r="W244" t="s">
        <v>132</v>
      </c>
      <c r="X244" t="s">
        <v>68</v>
      </c>
      <c r="Y244">
        <v>132723.91</v>
      </c>
      <c r="Z244">
        <v>86270.54</v>
      </c>
      <c r="AA244">
        <v>0.65</v>
      </c>
      <c r="AB244" t="s">
        <v>39</v>
      </c>
      <c r="AC244" t="s">
        <v>39</v>
      </c>
      <c r="AD244" t="s">
        <v>48</v>
      </c>
    </row>
    <row r="245" spans="1:30" x14ac:dyDescent="0.35">
      <c r="A245" t="s">
        <v>30</v>
      </c>
      <c r="B245" t="s">
        <v>31</v>
      </c>
      <c r="C245" t="s">
        <v>399</v>
      </c>
      <c r="D245" t="s">
        <v>428</v>
      </c>
      <c r="E245" t="s">
        <v>429</v>
      </c>
      <c r="F245" t="s">
        <v>430</v>
      </c>
      <c r="G245" t="s">
        <v>431</v>
      </c>
      <c r="H245" t="s">
        <v>37</v>
      </c>
      <c r="I245" t="s">
        <v>38</v>
      </c>
      <c r="J245" t="s">
        <v>39</v>
      </c>
      <c r="K245" s="2">
        <v>46334</v>
      </c>
      <c r="L245" s="2">
        <v>46356</v>
      </c>
      <c r="N245" s="2">
        <v>46327</v>
      </c>
      <c r="O245" s="2">
        <v>46692</v>
      </c>
      <c r="P245">
        <v>12</v>
      </c>
      <c r="Q245" t="s">
        <v>65</v>
      </c>
      <c r="R245" t="s">
        <v>41</v>
      </c>
      <c r="S245" t="s">
        <v>135</v>
      </c>
      <c r="T245" t="s">
        <v>131</v>
      </c>
      <c r="U245" t="s">
        <v>106</v>
      </c>
      <c r="V245" t="s">
        <v>45</v>
      </c>
      <c r="W245" t="s">
        <v>75</v>
      </c>
      <c r="X245" t="s">
        <v>143</v>
      </c>
      <c r="Y245">
        <v>178636.31</v>
      </c>
      <c r="Z245">
        <v>62522.71</v>
      </c>
      <c r="AA245">
        <v>0.35</v>
      </c>
      <c r="AB245" t="s">
        <v>39</v>
      </c>
      <c r="AC245" t="s">
        <v>39</v>
      </c>
      <c r="AD245" t="s">
        <v>48</v>
      </c>
    </row>
    <row r="246" spans="1:30" x14ac:dyDescent="0.35">
      <c r="A246" t="s">
        <v>30</v>
      </c>
      <c r="B246" t="s">
        <v>31</v>
      </c>
      <c r="C246" t="s">
        <v>399</v>
      </c>
      <c r="D246" t="s">
        <v>432</v>
      </c>
      <c r="E246" t="s">
        <v>433</v>
      </c>
      <c r="F246" t="s">
        <v>434</v>
      </c>
      <c r="G246" t="s">
        <v>435</v>
      </c>
      <c r="H246" t="s">
        <v>37</v>
      </c>
      <c r="I246" t="s">
        <v>117</v>
      </c>
      <c r="J246" t="s">
        <v>39</v>
      </c>
      <c r="K246" s="2">
        <v>46329</v>
      </c>
      <c r="L246" s="2">
        <v>46356</v>
      </c>
      <c r="N246" s="2">
        <v>46327</v>
      </c>
      <c r="O246" s="2">
        <v>47058</v>
      </c>
      <c r="P246">
        <v>24</v>
      </c>
      <c r="Q246" t="s">
        <v>104</v>
      </c>
      <c r="R246" t="s">
        <v>88</v>
      </c>
      <c r="S246" t="s">
        <v>280</v>
      </c>
      <c r="T246" t="s">
        <v>43</v>
      </c>
      <c r="U246" t="s">
        <v>44</v>
      </c>
      <c r="V246" t="s">
        <v>217</v>
      </c>
      <c r="W246" t="s">
        <v>46</v>
      </c>
      <c r="X246" t="s">
        <v>68</v>
      </c>
      <c r="Y246">
        <v>105602.51</v>
      </c>
      <c r="Z246">
        <v>36960.879999999997</v>
      </c>
      <c r="AA246">
        <v>0.35</v>
      </c>
      <c r="AB246" t="s">
        <v>39</v>
      </c>
      <c r="AC246" t="s">
        <v>39</v>
      </c>
      <c r="AD246" t="s">
        <v>48</v>
      </c>
    </row>
    <row r="247" spans="1:30" x14ac:dyDescent="0.35">
      <c r="A247" t="s">
        <v>30</v>
      </c>
      <c r="B247" t="s">
        <v>31</v>
      </c>
      <c r="C247" t="s">
        <v>399</v>
      </c>
      <c r="D247" t="s">
        <v>436</v>
      </c>
      <c r="E247" t="s">
        <v>437</v>
      </c>
      <c r="F247" t="s">
        <v>438</v>
      </c>
      <c r="G247" t="s">
        <v>439</v>
      </c>
      <c r="H247" t="s">
        <v>37</v>
      </c>
      <c r="I247" t="s">
        <v>117</v>
      </c>
      <c r="J247" t="s">
        <v>39</v>
      </c>
      <c r="K247" s="2">
        <v>46330</v>
      </c>
      <c r="L247" s="2">
        <v>46356</v>
      </c>
      <c r="N247" s="2">
        <v>46327</v>
      </c>
      <c r="O247" s="2">
        <v>46692</v>
      </c>
      <c r="P247">
        <v>12</v>
      </c>
      <c r="Q247" t="s">
        <v>104</v>
      </c>
      <c r="R247" t="s">
        <v>53</v>
      </c>
      <c r="S247" t="s">
        <v>137</v>
      </c>
      <c r="T247" t="s">
        <v>97</v>
      </c>
      <c r="U247" t="s">
        <v>44</v>
      </c>
      <c r="V247" t="s">
        <v>45</v>
      </c>
      <c r="W247" t="s">
        <v>150</v>
      </c>
      <c r="X247" t="s">
        <v>59</v>
      </c>
      <c r="Y247">
        <v>164970.76</v>
      </c>
      <c r="Z247">
        <v>131976.60999999999</v>
      </c>
      <c r="AA247">
        <v>0.8</v>
      </c>
      <c r="AB247" t="s">
        <v>39</v>
      </c>
      <c r="AC247" t="s">
        <v>39</v>
      </c>
      <c r="AD247" t="s">
        <v>48</v>
      </c>
    </row>
    <row r="248" spans="1:30" x14ac:dyDescent="0.35">
      <c r="A248" t="s">
        <v>30</v>
      </c>
      <c r="B248" t="s">
        <v>31</v>
      </c>
      <c r="C248" t="s">
        <v>399</v>
      </c>
      <c r="D248" t="s">
        <v>440</v>
      </c>
      <c r="E248" t="s">
        <v>441</v>
      </c>
      <c r="F248" t="s">
        <v>442</v>
      </c>
      <c r="G248" t="s">
        <v>443</v>
      </c>
      <c r="H248" t="s">
        <v>37</v>
      </c>
      <c r="I248" t="s">
        <v>103</v>
      </c>
      <c r="J248" t="s">
        <v>39</v>
      </c>
      <c r="K248" s="2">
        <v>46329</v>
      </c>
      <c r="L248" s="2">
        <v>46356</v>
      </c>
      <c r="N248" s="2">
        <v>46327</v>
      </c>
      <c r="O248" s="2">
        <v>47423</v>
      </c>
      <c r="P248">
        <v>36</v>
      </c>
      <c r="Q248" t="s">
        <v>40</v>
      </c>
      <c r="R248" t="s">
        <v>53</v>
      </c>
      <c r="S248" t="s">
        <v>135</v>
      </c>
      <c r="T248" t="s">
        <v>131</v>
      </c>
      <c r="U248" t="s">
        <v>44</v>
      </c>
      <c r="V248" t="s">
        <v>81</v>
      </c>
      <c r="W248" t="s">
        <v>132</v>
      </c>
      <c r="X248" t="s">
        <v>158</v>
      </c>
      <c r="Y248">
        <v>152732.28</v>
      </c>
      <c r="Z248">
        <v>76366.14</v>
      </c>
      <c r="AA248">
        <v>0.5</v>
      </c>
      <c r="AB248" t="s">
        <v>39</v>
      </c>
      <c r="AC248" t="s">
        <v>39</v>
      </c>
      <c r="AD248" t="s">
        <v>48</v>
      </c>
    </row>
    <row r="249" spans="1:30" x14ac:dyDescent="0.35">
      <c r="A249" t="s">
        <v>30</v>
      </c>
      <c r="B249" t="s">
        <v>31</v>
      </c>
      <c r="C249" t="s">
        <v>399</v>
      </c>
      <c r="D249" t="s">
        <v>2211</v>
      </c>
      <c r="E249" t="s">
        <v>2212</v>
      </c>
      <c r="F249" t="s">
        <v>1265</v>
      </c>
      <c r="G249" t="s">
        <v>1266</v>
      </c>
      <c r="H249" t="s">
        <v>1271</v>
      </c>
      <c r="I249" t="s">
        <v>103</v>
      </c>
      <c r="J249" t="s">
        <v>39</v>
      </c>
      <c r="K249" s="2">
        <v>46339</v>
      </c>
      <c r="L249" s="2">
        <v>46356</v>
      </c>
      <c r="N249" s="2">
        <v>46327</v>
      </c>
      <c r="O249" s="2">
        <v>47058</v>
      </c>
      <c r="P249">
        <v>24</v>
      </c>
      <c r="Q249" t="s">
        <v>104</v>
      </c>
      <c r="R249" t="s">
        <v>88</v>
      </c>
      <c r="S249" t="s">
        <v>222</v>
      </c>
      <c r="T249" t="s">
        <v>97</v>
      </c>
      <c r="U249" t="s">
        <v>56</v>
      </c>
      <c r="V249" t="s">
        <v>74</v>
      </c>
      <c r="W249" t="s">
        <v>142</v>
      </c>
      <c r="X249" t="s">
        <v>59</v>
      </c>
      <c r="Y249">
        <v>147926.29999999999</v>
      </c>
      <c r="Z249">
        <v>96152.1</v>
      </c>
      <c r="AA249">
        <v>0.65</v>
      </c>
      <c r="AB249" t="s">
        <v>39</v>
      </c>
      <c r="AC249" t="s">
        <v>39</v>
      </c>
      <c r="AD249" t="s">
        <v>48</v>
      </c>
    </row>
    <row r="250" spans="1:30" x14ac:dyDescent="0.35">
      <c r="A250" t="s">
        <v>30</v>
      </c>
      <c r="B250" t="s">
        <v>31</v>
      </c>
      <c r="C250" t="s">
        <v>399</v>
      </c>
      <c r="D250" t="s">
        <v>2213</v>
      </c>
      <c r="E250" t="s">
        <v>2214</v>
      </c>
      <c r="F250" t="s">
        <v>278</v>
      </c>
      <c r="G250" t="s">
        <v>279</v>
      </c>
      <c r="H250" t="s">
        <v>1271</v>
      </c>
      <c r="I250" t="s">
        <v>64</v>
      </c>
      <c r="J250" t="s">
        <v>39</v>
      </c>
      <c r="K250" s="2">
        <v>46329</v>
      </c>
      <c r="L250" s="2">
        <v>46356</v>
      </c>
      <c r="N250" s="2">
        <v>46327</v>
      </c>
      <c r="O250" s="2">
        <v>46692</v>
      </c>
      <c r="P250">
        <v>12</v>
      </c>
      <c r="Q250" t="s">
        <v>40</v>
      </c>
      <c r="R250" t="s">
        <v>88</v>
      </c>
      <c r="S250" t="s">
        <v>162</v>
      </c>
      <c r="T250" t="s">
        <v>43</v>
      </c>
      <c r="U250" t="s">
        <v>44</v>
      </c>
      <c r="V250" t="s">
        <v>45</v>
      </c>
      <c r="W250" t="s">
        <v>161</v>
      </c>
      <c r="X250" t="s">
        <v>59</v>
      </c>
      <c r="Y250">
        <v>122975.82</v>
      </c>
      <c r="Z250">
        <v>61487.91</v>
      </c>
      <c r="AA250">
        <v>0.5</v>
      </c>
      <c r="AB250" t="s">
        <v>39</v>
      </c>
      <c r="AC250" t="s">
        <v>39</v>
      </c>
      <c r="AD250" t="s">
        <v>48</v>
      </c>
    </row>
    <row r="251" spans="1:30" x14ac:dyDescent="0.35">
      <c r="A251" t="s">
        <v>30</v>
      </c>
      <c r="B251" t="s">
        <v>31</v>
      </c>
      <c r="C251" t="s">
        <v>399</v>
      </c>
      <c r="D251" t="s">
        <v>2215</v>
      </c>
      <c r="E251" t="s">
        <v>2216</v>
      </c>
      <c r="F251" t="s">
        <v>2217</v>
      </c>
      <c r="G251" t="s">
        <v>2218</v>
      </c>
      <c r="H251" t="s">
        <v>1271</v>
      </c>
      <c r="I251" t="s">
        <v>111</v>
      </c>
      <c r="J251" t="s">
        <v>39</v>
      </c>
      <c r="K251" s="2">
        <v>46338</v>
      </c>
      <c r="L251" s="2">
        <v>46356</v>
      </c>
      <c r="N251" s="2">
        <v>46327</v>
      </c>
      <c r="O251" s="2">
        <v>46692</v>
      </c>
      <c r="P251">
        <v>12</v>
      </c>
      <c r="Q251" t="s">
        <v>40</v>
      </c>
      <c r="R251" t="s">
        <v>53</v>
      </c>
      <c r="S251" t="s">
        <v>135</v>
      </c>
      <c r="T251" t="s">
        <v>131</v>
      </c>
      <c r="U251" t="s">
        <v>56</v>
      </c>
      <c r="V251" t="s">
        <v>57</v>
      </c>
      <c r="W251" t="s">
        <v>46</v>
      </c>
      <c r="X251" t="s">
        <v>59</v>
      </c>
      <c r="Y251">
        <v>173133.66</v>
      </c>
      <c r="Z251">
        <v>86566.83</v>
      </c>
      <c r="AA251">
        <v>0.5</v>
      </c>
      <c r="AB251" t="s">
        <v>39</v>
      </c>
      <c r="AC251" t="s">
        <v>39</v>
      </c>
      <c r="AD251" t="s">
        <v>48</v>
      </c>
    </row>
    <row r="252" spans="1:30" x14ac:dyDescent="0.35">
      <c r="A252" t="s">
        <v>30</v>
      </c>
      <c r="B252" t="s">
        <v>31</v>
      </c>
      <c r="C252" t="s">
        <v>399</v>
      </c>
      <c r="D252" t="s">
        <v>2219</v>
      </c>
      <c r="E252" t="s">
        <v>2220</v>
      </c>
      <c r="F252" t="s">
        <v>2221</v>
      </c>
      <c r="G252" t="s">
        <v>2222</v>
      </c>
      <c r="H252" t="s">
        <v>1271</v>
      </c>
      <c r="I252" t="s">
        <v>103</v>
      </c>
      <c r="J252" t="s">
        <v>39</v>
      </c>
      <c r="K252" s="2">
        <v>46329</v>
      </c>
      <c r="L252" s="2">
        <v>46356</v>
      </c>
      <c r="N252" s="2">
        <v>46327</v>
      </c>
      <c r="O252" s="2">
        <v>47058</v>
      </c>
      <c r="P252">
        <v>24</v>
      </c>
      <c r="Q252" t="s">
        <v>40</v>
      </c>
      <c r="R252" t="s">
        <v>53</v>
      </c>
      <c r="S252" t="s">
        <v>141</v>
      </c>
      <c r="T252" t="s">
        <v>131</v>
      </c>
      <c r="U252" t="s">
        <v>56</v>
      </c>
      <c r="V252" t="s">
        <v>138</v>
      </c>
      <c r="W252" t="s">
        <v>142</v>
      </c>
      <c r="X252" t="s">
        <v>91</v>
      </c>
      <c r="Y252">
        <v>95043.65</v>
      </c>
      <c r="Z252">
        <v>76034.92</v>
      </c>
      <c r="AA252">
        <v>0.8</v>
      </c>
      <c r="AB252" t="s">
        <v>39</v>
      </c>
      <c r="AC252" t="s">
        <v>39</v>
      </c>
      <c r="AD252" t="s">
        <v>48</v>
      </c>
    </row>
    <row r="253" spans="1:30" x14ac:dyDescent="0.35">
      <c r="A253" t="s">
        <v>30</v>
      </c>
      <c r="B253" t="s">
        <v>31</v>
      </c>
      <c r="C253" t="s">
        <v>399</v>
      </c>
      <c r="D253" t="s">
        <v>2223</v>
      </c>
      <c r="E253" t="s">
        <v>2224</v>
      </c>
      <c r="F253" t="s">
        <v>2225</v>
      </c>
      <c r="G253" t="s">
        <v>2226</v>
      </c>
      <c r="H253" t="s">
        <v>1271</v>
      </c>
      <c r="I253" t="s">
        <v>64</v>
      </c>
      <c r="J253" t="s">
        <v>39</v>
      </c>
      <c r="K253" s="2">
        <v>46329</v>
      </c>
      <c r="L253" s="2">
        <v>46356</v>
      </c>
      <c r="N253" s="2">
        <v>46327</v>
      </c>
      <c r="O253" s="2">
        <v>47423</v>
      </c>
      <c r="P253">
        <v>36</v>
      </c>
      <c r="Q253" t="s">
        <v>40</v>
      </c>
      <c r="R253" t="s">
        <v>53</v>
      </c>
      <c r="S253" t="s">
        <v>151</v>
      </c>
      <c r="T253" t="s">
        <v>131</v>
      </c>
      <c r="U253" t="s">
        <v>106</v>
      </c>
      <c r="V253" t="s">
        <v>144</v>
      </c>
      <c r="W253" t="s">
        <v>75</v>
      </c>
      <c r="X253" t="s">
        <v>143</v>
      </c>
      <c r="Y253">
        <v>154607.51</v>
      </c>
      <c r="Z253">
        <v>123686.01</v>
      </c>
      <c r="AA253">
        <v>0.8</v>
      </c>
      <c r="AB253" t="s">
        <v>39</v>
      </c>
      <c r="AC253" t="s">
        <v>39</v>
      </c>
      <c r="AD253" t="s">
        <v>48</v>
      </c>
    </row>
    <row r="254" spans="1:30" x14ac:dyDescent="0.35">
      <c r="A254" t="s">
        <v>30</v>
      </c>
      <c r="B254" t="s">
        <v>31</v>
      </c>
      <c r="C254" t="s">
        <v>399</v>
      </c>
      <c r="D254" t="s">
        <v>2227</v>
      </c>
      <c r="E254" t="s">
        <v>2228</v>
      </c>
      <c r="F254" t="s">
        <v>929</v>
      </c>
      <c r="G254" t="s">
        <v>930</v>
      </c>
      <c r="H254" t="s">
        <v>1271</v>
      </c>
      <c r="I254" t="s">
        <v>64</v>
      </c>
      <c r="J254" t="s">
        <v>39</v>
      </c>
      <c r="K254" s="2">
        <v>46336</v>
      </c>
      <c r="L254" s="2">
        <v>46356</v>
      </c>
      <c r="N254" s="2">
        <v>46327</v>
      </c>
      <c r="O254" s="2">
        <v>46692</v>
      </c>
      <c r="P254">
        <v>12</v>
      </c>
      <c r="Q254" t="s">
        <v>40</v>
      </c>
      <c r="R254" t="s">
        <v>88</v>
      </c>
      <c r="S254" t="s">
        <v>112</v>
      </c>
      <c r="T254" t="s">
        <v>55</v>
      </c>
      <c r="U254" t="s">
        <v>106</v>
      </c>
      <c r="V254" t="s">
        <v>119</v>
      </c>
      <c r="W254" t="s">
        <v>46</v>
      </c>
      <c r="X254" t="s">
        <v>47</v>
      </c>
      <c r="Y254">
        <v>145448.45000000001</v>
      </c>
      <c r="Z254">
        <v>50906.96</v>
      </c>
      <c r="AA254">
        <v>0.35</v>
      </c>
      <c r="AB254" t="s">
        <v>39</v>
      </c>
      <c r="AC254" t="s">
        <v>39</v>
      </c>
      <c r="AD254" t="s">
        <v>48</v>
      </c>
    </row>
    <row r="255" spans="1:30" x14ac:dyDescent="0.35">
      <c r="A255" t="s">
        <v>30</v>
      </c>
      <c r="B255" t="s">
        <v>31</v>
      </c>
      <c r="C255" t="s">
        <v>399</v>
      </c>
      <c r="D255" t="s">
        <v>2229</v>
      </c>
      <c r="E255" t="s">
        <v>2230</v>
      </c>
      <c r="F255" t="s">
        <v>1617</v>
      </c>
      <c r="G255" t="s">
        <v>1618</v>
      </c>
      <c r="H255" t="s">
        <v>1271</v>
      </c>
      <c r="I255" t="s">
        <v>117</v>
      </c>
      <c r="J255" t="s">
        <v>39</v>
      </c>
      <c r="K255" s="2">
        <v>46327</v>
      </c>
      <c r="L255" s="2">
        <v>46356</v>
      </c>
      <c r="N255" s="2">
        <v>46327</v>
      </c>
      <c r="O255" s="2">
        <v>46692</v>
      </c>
      <c r="P255">
        <v>12</v>
      </c>
      <c r="Q255" t="s">
        <v>104</v>
      </c>
      <c r="R255" t="s">
        <v>53</v>
      </c>
      <c r="S255" t="s">
        <v>135</v>
      </c>
      <c r="T255" t="s">
        <v>131</v>
      </c>
      <c r="U255" t="s">
        <v>44</v>
      </c>
      <c r="V255" t="s">
        <v>144</v>
      </c>
      <c r="W255" t="s">
        <v>82</v>
      </c>
      <c r="X255" t="s">
        <v>91</v>
      </c>
      <c r="Y255">
        <v>143096.60999999999</v>
      </c>
      <c r="Z255">
        <v>71548.31</v>
      </c>
      <c r="AA255">
        <v>0.5</v>
      </c>
      <c r="AB255" t="s">
        <v>39</v>
      </c>
      <c r="AC255" t="s">
        <v>39</v>
      </c>
      <c r="AD255" t="s">
        <v>48</v>
      </c>
    </row>
    <row r="256" spans="1:30" x14ac:dyDescent="0.35">
      <c r="A256" t="s">
        <v>30</v>
      </c>
      <c r="B256" t="s">
        <v>31</v>
      </c>
      <c r="C256" t="s">
        <v>399</v>
      </c>
      <c r="D256" t="s">
        <v>2231</v>
      </c>
      <c r="E256" t="s">
        <v>2232</v>
      </c>
      <c r="F256" t="s">
        <v>2233</v>
      </c>
      <c r="G256" t="s">
        <v>2234</v>
      </c>
      <c r="H256" t="s">
        <v>1290</v>
      </c>
      <c r="I256" t="s">
        <v>64</v>
      </c>
      <c r="J256" t="s">
        <v>1290</v>
      </c>
      <c r="K256" s="2">
        <v>46327</v>
      </c>
      <c r="L256" s="2">
        <v>46356</v>
      </c>
      <c r="N256" s="2">
        <v>46327</v>
      </c>
      <c r="O256" s="2">
        <v>46692</v>
      </c>
      <c r="P256">
        <v>12</v>
      </c>
      <c r="Q256" t="s">
        <v>104</v>
      </c>
      <c r="R256" t="s">
        <v>41</v>
      </c>
      <c r="S256" t="s">
        <v>130</v>
      </c>
      <c r="T256" t="s">
        <v>131</v>
      </c>
      <c r="U256" t="s">
        <v>44</v>
      </c>
      <c r="V256" t="s">
        <v>217</v>
      </c>
      <c r="W256" t="s">
        <v>75</v>
      </c>
      <c r="X256" t="s">
        <v>83</v>
      </c>
      <c r="Y256">
        <v>134286.87</v>
      </c>
      <c r="Z256">
        <v>67143.429999999993</v>
      </c>
      <c r="AA256">
        <v>0.5</v>
      </c>
      <c r="AB256" t="s">
        <v>1290</v>
      </c>
      <c r="AC256" t="s">
        <v>1290</v>
      </c>
      <c r="AD256" t="s">
        <v>48</v>
      </c>
    </row>
    <row r="257" spans="1:30" x14ac:dyDescent="0.35">
      <c r="A257" t="s">
        <v>30</v>
      </c>
      <c r="B257" t="s">
        <v>31</v>
      </c>
      <c r="C257" t="s">
        <v>399</v>
      </c>
      <c r="D257" t="s">
        <v>2235</v>
      </c>
      <c r="E257" t="s">
        <v>2236</v>
      </c>
      <c r="F257" t="s">
        <v>1163</v>
      </c>
      <c r="G257" t="s">
        <v>1164</v>
      </c>
      <c r="H257" t="s">
        <v>1290</v>
      </c>
      <c r="I257" t="s">
        <v>117</v>
      </c>
      <c r="J257" t="s">
        <v>1290</v>
      </c>
      <c r="K257" s="2">
        <v>46331</v>
      </c>
      <c r="L257" s="2">
        <v>46356</v>
      </c>
      <c r="N257" s="2">
        <v>46327</v>
      </c>
      <c r="O257" s="2">
        <v>47058</v>
      </c>
      <c r="P257">
        <v>24</v>
      </c>
      <c r="Q257" t="s">
        <v>104</v>
      </c>
      <c r="R257" t="s">
        <v>88</v>
      </c>
      <c r="S257" t="s">
        <v>149</v>
      </c>
      <c r="T257" t="s">
        <v>131</v>
      </c>
      <c r="U257" t="s">
        <v>44</v>
      </c>
      <c r="V257" t="s">
        <v>98</v>
      </c>
      <c r="W257" t="s">
        <v>161</v>
      </c>
      <c r="X257" t="s">
        <v>91</v>
      </c>
      <c r="Y257">
        <v>160653.89000000001</v>
      </c>
      <c r="Z257">
        <v>56228.86</v>
      </c>
      <c r="AA257">
        <v>0.35</v>
      </c>
      <c r="AB257" t="s">
        <v>1290</v>
      </c>
      <c r="AC257" t="s">
        <v>1290</v>
      </c>
      <c r="AD257" t="s">
        <v>48</v>
      </c>
    </row>
    <row r="258" spans="1:30" x14ac:dyDescent="0.35">
      <c r="A258" t="s">
        <v>30</v>
      </c>
      <c r="B258" t="s">
        <v>31</v>
      </c>
      <c r="C258" t="s">
        <v>399</v>
      </c>
      <c r="D258" t="s">
        <v>2237</v>
      </c>
      <c r="E258" t="s">
        <v>2238</v>
      </c>
      <c r="F258" t="s">
        <v>801</v>
      </c>
      <c r="G258" t="s">
        <v>802</v>
      </c>
      <c r="H258" t="s">
        <v>1290</v>
      </c>
      <c r="I258" t="s">
        <v>64</v>
      </c>
      <c r="J258" t="s">
        <v>1290</v>
      </c>
      <c r="K258" s="2">
        <v>46337</v>
      </c>
      <c r="L258" s="2">
        <v>46356</v>
      </c>
      <c r="N258" s="2">
        <v>46327</v>
      </c>
      <c r="O258" s="2">
        <v>47058</v>
      </c>
      <c r="P258">
        <v>24</v>
      </c>
      <c r="Q258" t="s">
        <v>40</v>
      </c>
      <c r="R258" t="s">
        <v>88</v>
      </c>
      <c r="S258" t="s">
        <v>96</v>
      </c>
      <c r="T258" t="s">
        <v>97</v>
      </c>
      <c r="U258" t="s">
        <v>44</v>
      </c>
      <c r="V258" t="s">
        <v>81</v>
      </c>
      <c r="W258" t="s">
        <v>46</v>
      </c>
      <c r="X258" t="s">
        <v>47</v>
      </c>
      <c r="Y258">
        <v>146031.24</v>
      </c>
      <c r="Z258">
        <v>94920.3</v>
      </c>
      <c r="AA258">
        <v>0.65</v>
      </c>
      <c r="AB258" t="s">
        <v>1290</v>
      </c>
      <c r="AC258" t="s">
        <v>1290</v>
      </c>
      <c r="AD258" t="s">
        <v>48</v>
      </c>
    </row>
    <row r="259" spans="1:30" x14ac:dyDescent="0.35">
      <c r="A259" t="s">
        <v>30</v>
      </c>
      <c r="B259" t="s">
        <v>31</v>
      </c>
      <c r="C259" t="s">
        <v>399</v>
      </c>
      <c r="D259" t="s">
        <v>2239</v>
      </c>
      <c r="E259" t="s">
        <v>2240</v>
      </c>
      <c r="F259" t="s">
        <v>823</v>
      </c>
      <c r="G259" t="s">
        <v>824</v>
      </c>
      <c r="H259" t="s">
        <v>1295</v>
      </c>
      <c r="I259" t="s">
        <v>64</v>
      </c>
      <c r="J259" t="s">
        <v>1295</v>
      </c>
      <c r="K259" s="2">
        <v>46340</v>
      </c>
      <c r="L259" s="2">
        <v>46356</v>
      </c>
      <c r="N259" s="2">
        <v>46327</v>
      </c>
      <c r="O259" s="2">
        <v>46692</v>
      </c>
      <c r="P259">
        <v>12</v>
      </c>
      <c r="Q259" t="s">
        <v>104</v>
      </c>
      <c r="R259" t="s">
        <v>41</v>
      </c>
      <c r="S259" t="s">
        <v>182</v>
      </c>
      <c r="T259" t="s">
        <v>97</v>
      </c>
      <c r="U259" t="s">
        <v>44</v>
      </c>
      <c r="V259" t="s">
        <v>144</v>
      </c>
      <c r="W259" t="s">
        <v>142</v>
      </c>
      <c r="X259" t="s">
        <v>143</v>
      </c>
      <c r="Y259">
        <v>174784.71</v>
      </c>
      <c r="Z259">
        <v>139827.76999999999</v>
      </c>
      <c r="AA259">
        <v>0.8</v>
      </c>
      <c r="AB259" t="s">
        <v>1295</v>
      </c>
      <c r="AC259" t="s">
        <v>1295</v>
      </c>
      <c r="AD259" t="s">
        <v>48</v>
      </c>
    </row>
    <row r="260" spans="1:30" x14ac:dyDescent="0.35">
      <c r="A260" t="s">
        <v>30</v>
      </c>
      <c r="B260" t="s">
        <v>31</v>
      </c>
      <c r="C260" t="s">
        <v>399</v>
      </c>
      <c r="D260" t="s">
        <v>2241</v>
      </c>
      <c r="E260" t="s">
        <v>2242</v>
      </c>
      <c r="F260" t="s">
        <v>1293</v>
      </c>
      <c r="G260" t="s">
        <v>1294</v>
      </c>
      <c r="H260" t="s">
        <v>1295</v>
      </c>
      <c r="I260" t="s">
        <v>103</v>
      </c>
      <c r="J260" t="s">
        <v>1295</v>
      </c>
      <c r="K260" s="2">
        <v>46332</v>
      </c>
      <c r="L260" s="2">
        <v>46356</v>
      </c>
      <c r="N260" s="2">
        <v>46327</v>
      </c>
      <c r="O260" s="2">
        <v>47058</v>
      </c>
      <c r="P260">
        <v>24</v>
      </c>
      <c r="Q260" t="s">
        <v>104</v>
      </c>
      <c r="R260" t="s">
        <v>41</v>
      </c>
      <c r="S260" t="s">
        <v>141</v>
      </c>
      <c r="T260" t="s">
        <v>131</v>
      </c>
      <c r="U260" t="s">
        <v>106</v>
      </c>
      <c r="V260" t="s">
        <v>81</v>
      </c>
      <c r="W260" t="s">
        <v>46</v>
      </c>
      <c r="X260" t="s">
        <v>68</v>
      </c>
      <c r="Y260">
        <v>190522.39</v>
      </c>
      <c r="Z260">
        <v>66682.84</v>
      </c>
      <c r="AA260">
        <v>0.35</v>
      </c>
      <c r="AB260" t="s">
        <v>1295</v>
      </c>
      <c r="AC260" t="s">
        <v>1295</v>
      </c>
      <c r="AD260" t="s">
        <v>48</v>
      </c>
    </row>
    <row r="261" spans="1:30" x14ac:dyDescent="0.35">
      <c r="A261" t="s">
        <v>30</v>
      </c>
      <c r="B261" t="s">
        <v>31</v>
      </c>
      <c r="C261" t="s">
        <v>399</v>
      </c>
      <c r="D261" t="s">
        <v>2243</v>
      </c>
      <c r="E261" t="s">
        <v>2244</v>
      </c>
      <c r="F261" t="s">
        <v>1521</v>
      </c>
      <c r="G261" t="s">
        <v>1522</v>
      </c>
      <c r="H261" t="s">
        <v>1295</v>
      </c>
      <c r="I261" t="s">
        <v>103</v>
      </c>
      <c r="J261" t="s">
        <v>1295</v>
      </c>
      <c r="K261" s="2">
        <v>46337</v>
      </c>
      <c r="L261" s="2">
        <v>46356</v>
      </c>
      <c r="N261" s="2">
        <v>46327</v>
      </c>
      <c r="O261" s="2">
        <v>47058</v>
      </c>
      <c r="P261">
        <v>24</v>
      </c>
      <c r="Q261" t="s">
        <v>65</v>
      </c>
      <c r="R261" t="s">
        <v>88</v>
      </c>
      <c r="S261" t="s">
        <v>130</v>
      </c>
      <c r="T261" t="s">
        <v>131</v>
      </c>
      <c r="U261" t="s">
        <v>44</v>
      </c>
      <c r="V261" t="s">
        <v>217</v>
      </c>
      <c r="W261" t="s">
        <v>82</v>
      </c>
      <c r="X261" t="s">
        <v>125</v>
      </c>
      <c r="Y261">
        <v>148760.23000000001</v>
      </c>
      <c r="Z261">
        <v>52066.080000000002</v>
      </c>
      <c r="AA261">
        <v>0.35</v>
      </c>
      <c r="AB261" t="s">
        <v>1295</v>
      </c>
      <c r="AC261" t="s">
        <v>1295</v>
      </c>
      <c r="AD261" t="s">
        <v>48</v>
      </c>
    </row>
    <row r="262" spans="1:30" x14ac:dyDescent="0.35">
      <c r="A262" t="s">
        <v>30</v>
      </c>
      <c r="B262" t="s">
        <v>31</v>
      </c>
      <c r="C262" t="s">
        <v>399</v>
      </c>
      <c r="D262" t="s">
        <v>2245</v>
      </c>
      <c r="E262" t="s">
        <v>2246</v>
      </c>
      <c r="F262" t="s">
        <v>2247</v>
      </c>
      <c r="G262" t="s">
        <v>2248</v>
      </c>
      <c r="H262" t="s">
        <v>1295</v>
      </c>
      <c r="I262" t="s">
        <v>103</v>
      </c>
      <c r="J262" t="s">
        <v>1295</v>
      </c>
      <c r="K262" s="2">
        <v>46327</v>
      </c>
      <c r="L262" s="2">
        <v>46356</v>
      </c>
      <c r="N262" s="2">
        <v>46327</v>
      </c>
      <c r="O262" s="2">
        <v>46692</v>
      </c>
      <c r="P262">
        <v>12</v>
      </c>
      <c r="Q262" t="s">
        <v>40</v>
      </c>
      <c r="R262" t="s">
        <v>88</v>
      </c>
      <c r="S262" t="s">
        <v>135</v>
      </c>
      <c r="T262" t="s">
        <v>131</v>
      </c>
      <c r="U262" t="s">
        <v>106</v>
      </c>
      <c r="V262" t="s">
        <v>45</v>
      </c>
      <c r="W262" t="s">
        <v>82</v>
      </c>
      <c r="X262" t="s">
        <v>125</v>
      </c>
      <c r="Y262">
        <v>204854.67</v>
      </c>
      <c r="Z262">
        <v>102427.33</v>
      </c>
      <c r="AA262">
        <v>0.5</v>
      </c>
      <c r="AB262" t="s">
        <v>1295</v>
      </c>
      <c r="AC262" t="s">
        <v>1295</v>
      </c>
      <c r="AD262" t="s">
        <v>48</v>
      </c>
    </row>
    <row r="263" spans="1:30" x14ac:dyDescent="0.35">
      <c r="A263" t="s">
        <v>30</v>
      </c>
      <c r="B263" t="s">
        <v>31</v>
      </c>
      <c r="C263" t="s">
        <v>399</v>
      </c>
      <c r="D263" t="s">
        <v>2249</v>
      </c>
      <c r="E263" t="s">
        <v>2250</v>
      </c>
      <c r="F263" t="s">
        <v>2251</v>
      </c>
      <c r="G263" t="s">
        <v>2252</v>
      </c>
      <c r="H263" t="s">
        <v>1302</v>
      </c>
      <c r="I263" t="s">
        <v>117</v>
      </c>
      <c r="J263" t="s">
        <v>39</v>
      </c>
      <c r="K263" s="2">
        <v>46331</v>
      </c>
      <c r="L263" s="2">
        <v>46356</v>
      </c>
      <c r="N263" s="2">
        <v>46327</v>
      </c>
      <c r="O263" s="2">
        <v>46692</v>
      </c>
      <c r="P263">
        <v>12</v>
      </c>
      <c r="Q263" t="s">
        <v>40</v>
      </c>
      <c r="R263" t="s">
        <v>41</v>
      </c>
      <c r="S263" t="s">
        <v>135</v>
      </c>
      <c r="T263" t="s">
        <v>131</v>
      </c>
      <c r="U263" t="s">
        <v>44</v>
      </c>
      <c r="V263" t="s">
        <v>81</v>
      </c>
      <c r="W263" t="s">
        <v>132</v>
      </c>
      <c r="X263" t="s">
        <v>158</v>
      </c>
      <c r="Y263">
        <v>170712.74</v>
      </c>
      <c r="Z263">
        <v>85356.37</v>
      </c>
      <c r="AA263">
        <v>0.5</v>
      </c>
      <c r="AB263" t="s">
        <v>39</v>
      </c>
      <c r="AC263" t="s">
        <v>39</v>
      </c>
      <c r="AD263" t="s">
        <v>48</v>
      </c>
    </row>
    <row r="264" spans="1:30" x14ac:dyDescent="0.35">
      <c r="A264" t="s">
        <v>30</v>
      </c>
      <c r="B264" t="s">
        <v>31</v>
      </c>
      <c r="C264" t="s">
        <v>399</v>
      </c>
      <c r="D264" t="s">
        <v>2253</v>
      </c>
      <c r="E264" t="s">
        <v>2254</v>
      </c>
      <c r="F264" t="s">
        <v>2255</v>
      </c>
      <c r="G264" t="s">
        <v>2256</v>
      </c>
      <c r="H264" t="s">
        <v>1302</v>
      </c>
      <c r="I264" t="s">
        <v>103</v>
      </c>
      <c r="J264" t="s">
        <v>39</v>
      </c>
      <c r="K264" s="2">
        <v>46334</v>
      </c>
      <c r="L264" s="2">
        <v>46356</v>
      </c>
      <c r="N264" s="2">
        <v>46327</v>
      </c>
      <c r="O264" s="2">
        <v>47423</v>
      </c>
      <c r="P264">
        <v>36</v>
      </c>
      <c r="Q264" t="s">
        <v>40</v>
      </c>
      <c r="R264" t="s">
        <v>53</v>
      </c>
      <c r="S264" t="s">
        <v>164</v>
      </c>
      <c r="T264" t="s">
        <v>55</v>
      </c>
      <c r="U264" t="s">
        <v>106</v>
      </c>
      <c r="V264" t="s">
        <v>144</v>
      </c>
      <c r="W264" t="s">
        <v>136</v>
      </c>
      <c r="X264" t="s">
        <v>143</v>
      </c>
      <c r="Y264">
        <v>122294.02</v>
      </c>
      <c r="Z264">
        <v>42802.91</v>
      </c>
      <c r="AA264">
        <v>0.35</v>
      </c>
      <c r="AB264" t="s">
        <v>39</v>
      </c>
      <c r="AC264" t="s">
        <v>39</v>
      </c>
      <c r="AD264" t="s">
        <v>48</v>
      </c>
    </row>
    <row r="265" spans="1:30" x14ac:dyDescent="0.35">
      <c r="A265" t="s">
        <v>30</v>
      </c>
      <c r="B265" t="s">
        <v>31</v>
      </c>
      <c r="C265" t="s">
        <v>399</v>
      </c>
      <c r="D265" t="s">
        <v>2257</v>
      </c>
      <c r="E265" t="s">
        <v>2258</v>
      </c>
      <c r="F265" t="s">
        <v>2259</v>
      </c>
      <c r="G265" t="s">
        <v>2260</v>
      </c>
      <c r="H265" t="s">
        <v>1302</v>
      </c>
      <c r="I265" t="s">
        <v>103</v>
      </c>
      <c r="J265" t="s">
        <v>39</v>
      </c>
      <c r="K265" s="2">
        <v>46340</v>
      </c>
      <c r="L265" s="2">
        <v>46356</v>
      </c>
      <c r="N265" s="2">
        <v>46327</v>
      </c>
      <c r="O265" s="2">
        <v>46692</v>
      </c>
      <c r="P265">
        <v>12</v>
      </c>
      <c r="Q265" t="s">
        <v>40</v>
      </c>
      <c r="R265" t="s">
        <v>41</v>
      </c>
      <c r="S265" t="s">
        <v>140</v>
      </c>
      <c r="T265" t="s">
        <v>97</v>
      </c>
      <c r="U265" t="s">
        <v>44</v>
      </c>
      <c r="V265" t="s">
        <v>98</v>
      </c>
      <c r="W265" t="s">
        <v>142</v>
      </c>
      <c r="X265" t="s">
        <v>59</v>
      </c>
      <c r="Y265">
        <v>106885.24</v>
      </c>
      <c r="Z265">
        <v>37409.83</v>
      </c>
      <c r="AA265">
        <v>0.35</v>
      </c>
      <c r="AB265" t="s">
        <v>39</v>
      </c>
      <c r="AC265" t="s">
        <v>39</v>
      </c>
      <c r="AD265" t="s">
        <v>48</v>
      </c>
    </row>
    <row r="266" spans="1:30" x14ac:dyDescent="0.35">
      <c r="A266" t="s">
        <v>30</v>
      </c>
      <c r="B266" t="s">
        <v>31</v>
      </c>
      <c r="C266" t="s">
        <v>454</v>
      </c>
      <c r="D266" t="s">
        <v>455</v>
      </c>
      <c r="E266" t="s">
        <v>456</v>
      </c>
      <c r="F266" t="s">
        <v>457</v>
      </c>
      <c r="G266" t="s">
        <v>458</v>
      </c>
      <c r="H266" t="s">
        <v>37</v>
      </c>
      <c r="I266" t="s">
        <v>117</v>
      </c>
      <c r="J266" t="s">
        <v>39</v>
      </c>
      <c r="K266" s="2">
        <v>46363</v>
      </c>
      <c r="L266" s="2">
        <v>46387</v>
      </c>
      <c r="N266" s="2">
        <v>46357</v>
      </c>
      <c r="O266" s="2">
        <v>46722</v>
      </c>
      <c r="P266">
        <v>12</v>
      </c>
      <c r="Q266" t="s">
        <v>104</v>
      </c>
      <c r="R266" t="s">
        <v>41</v>
      </c>
      <c r="S266" t="s">
        <v>149</v>
      </c>
      <c r="T266" t="s">
        <v>131</v>
      </c>
      <c r="U266" t="s">
        <v>56</v>
      </c>
      <c r="V266" t="s">
        <v>144</v>
      </c>
      <c r="W266" t="s">
        <v>161</v>
      </c>
      <c r="X266" t="s">
        <v>83</v>
      </c>
      <c r="Y266">
        <v>176508.88</v>
      </c>
      <c r="Z266">
        <v>88254.44</v>
      </c>
      <c r="AA266">
        <v>0.5</v>
      </c>
      <c r="AB266" t="s">
        <v>39</v>
      </c>
      <c r="AC266" t="s">
        <v>39</v>
      </c>
      <c r="AD266" t="s">
        <v>48</v>
      </c>
    </row>
    <row r="267" spans="1:30" x14ac:dyDescent="0.35">
      <c r="A267" t="s">
        <v>30</v>
      </c>
      <c r="B267" t="s">
        <v>31</v>
      </c>
      <c r="C267" t="s">
        <v>454</v>
      </c>
      <c r="D267" t="s">
        <v>459</v>
      </c>
      <c r="E267" t="s">
        <v>460</v>
      </c>
      <c r="F267" t="s">
        <v>461</v>
      </c>
      <c r="G267" t="s">
        <v>462</v>
      </c>
      <c r="H267" t="s">
        <v>37</v>
      </c>
      <c r="I267" t="s">
        <v>103</v>
      </c>
      <c r="J267" t="s">
        <v>39</v>
      </c>
      <c r="K267" s="2">
        <v>46359</v>
      </c>
      <c r="L267" s="2">
        <v>46387</v>
      </c>
      <c r="N267" s="2">
        <v>46357</v>
      </c>
      <c r="O267" s="2">
        <v>46722</v>
      </c>
      <c r="P267">
        <v>12</v>
      </c>
      <c r="Q267" t="s">
        <v>40</v>
      </c>
      <c r="R267" t="s">
        <v>88</v>
      </c>
      <c r="S267" t="s">
        <v>182</v>
      </c>
      <c r="T267" t="s">
        <v>97</v>
      </c>
      <c r="U267" t="s">
        <v>106</v>
      </c>
      <c r="V267" t="s">
        <v>81</v>
      </c>
      <c r="W267" t="s">
        <v>142</v>
      </c>
      <c r="X267" t="s">
        <v>158</v>
      </c>
      <c r="Y267">
        <v>182288.52</v>
      </c>
      <c r="Z267">
        <v>145830.82</v>
      </c>
      <c r="AA267">
        <v>0.8</v>
      </c>
      <c r="AB267" t="s">
        <v>39</v>
      </c>
      <c r="AC267" t="s">
        <v>39</v>
      </c>
      <c r="AD267" t="s">
        <v>48</v>
      </c>
    </row>
    <row r="268" spans="1:30" x14ac:dyDescent="0.35">
      <c r="A268" t="s">
        <v>30</v>
      </c>
      <c r="B268" t="s">
        <v>31</v>
      </c>
      <c r="C268" t="s">
        <v>454</v>
      </c>
      <c r="D268" t="s">
        <v>463</v>
      </c>
      <c r="E268" t="s">
        <v>464</v>
      </c>
      <c r="F268" t="s">
        <v>465</v>
      </c>
      <c r="G268" t="s">
        <v>466</v>
      </c>
      <c r="H268" t="s">
        <v>37</v>
      </c>
      <c r="I268" t="s">
        <v>38</v>
      </c>
      <c r="J268" t="s">
        <v>39</v>
      </c>
      <c r="K268" s="2">
        <v>46371</v>
      </c>
      <c r="L268" s="2">
        <v>46387</v>
      </c>
      <c r="N268" s="2">
        <v>46357</v>
      </c>
      <c r="O268" s="2">
        <v>47453</v>
      </c>
      <c r="P268">
        <v>36</v>
      </c>
      <c r="Q268" t="s">
        <v>65</v>
      </c>
      <c r="R268" t="s">
        <v>88</v>
      </c>
      <c r="S268" t="s">
        <v>141</v>
      </c>
      <c r="T268" t="s">
        <v>131</v>
      </c>
      <c r="U268" t="s">
        <v>56</v>
      </c>
      <c r="V268" t="s">
        <v>98</v>
      </c>
      <c r="W268" t="s">
        <v>120</v>
      </c>
      <c r="X268" t="s">
        <v>91</v>
      </c>
      <c r="Y268">
        <v>213872.22</v>
      </c>
      <c r="Z268">
        <v>171097.78</v>
      </c>
      <c r="AA268">
        <v>0.8</v>
      </c>
      <c r="AB268" t="s">
        <v>39</v>
      </c>
      <c r="AC268" t="s">
        <v>39</v>
      </c>
      <c r="AD268" t="s">
        <v>48</v>
      </c>
    </row>
    <row r="269" spans="1:30" x14ac:dyDescent="0.35">
      <c r="A269" t="s">
        <v>30</v>
      </c>
      <c r="B269" t="s">
        <v>31</v>
      </c>
      <c r="C269" t="s">
        <v>454</v>
      </c>
      <c r="D269" t="s">
        <v>467</v>
      </c>
      <c r="E269" t="s">
        <v>468</v>
      </c>
      <c r="F269" t="s">
        <v>469</v>
      </c>
      <c r="G269" t="s">
        <v>470</v>
      </c>
      <c r="H269" t="s">
        <v>37</v>
      </c>
      <c r="I269" t="s">
        <v>64</v>
      </c>
      <c r="J269" t="s">
        <v>39</v>
      </c>
      <c r="K269" s="2">
        <v>46359</v>
      </c>
      <c r="L269" s="2">
        <v>46387</v>
      </c>
      <c r="N269" s="2">
        <v>46357</v>
      </c>
      <c r="O269" s="2">
        <v>46722</v>
      </c>
      <c r="P269">
        <v>12</v>
      </c>
      <c r="Q269" t="s">
        <v>104</v>
      </c>
      <c r="R269" t="s">
        <v>41</v>
      </c>
      <c r="S269" t="s">
        <v>130</v>
      </c>
      <c r="T269" t="s">
        <v>131</v>
      </c>
      <c r="U269" t="s">
        <v>44</v>
      </c>
      <c r="V269" t="s">
        <v>138</v>
      </c>
      <c r="W269" t="s">
        <v>142</v>
      </c>
      <c r="X269" t="s">
        <v>83</v>
      </c>
      <c r="Y269">
        <v>140343.15</v>
      </c>
      <c r="Z269">
        <v>91223.05</v>
      </c>
      <c r="AA269">
        <v>0.65</v>
      </c>
      <c r="AB269" t="s">
        <v>39</v>
      </c>
      <c r="AC269" t="s">
        <v>39</v>
      </c>
      <c r="AD269" t="s">
        <v>48</v>
      </c>
    </row>
    <row r="270" spans="1:30" x14ac:dyDescent="0.35">
      <c r="A270" t="s">
        <v>30</v>
      </c>
      <c r="B270" t="s">
        <v>31</v>
      </c>
      <c r="C270" t="s">
        <v>454</v>
      </c>
      <c r="D270" t="s">
        <v>471</v>
      </c>
      <c r="E270" t="s">
        <v>472</v>
      </c>
      <c r="F270" t="s">
        <v>473</v>
      </c>
      <c r="G270" t="s">
        <v>474</v>
      </c>
      <c r="H270" t="s">
        <v>37</v>
      </c>
      <c r="I270" t="s">
        <v>117</v>
      </c>
      <c r="J270" t="s">
        <v>39</v>
      </c>
      <c r="K270" s="2">
        <v>46361</v>
      </c>
      <c r="L270" s="2">
        <v>46387</v>
      </c>
      <c r="N270" s="2">
        <v>46357</v>
      </c>
      <c r="O270" s="2">
        <v>46722</v>
      </c>
      <c r="P270">
        <v>12</v>
      </c>
      <c r="Q270" t="s">
        <v>40</v>
      </c>
      <c r="R270" t="s">
        <v>53</v>
      </c>
      <c r="S270" t="s">
        <v>89</v>
      </c>
      <c r="T270" t="s">
        <v>55</v>
      </c>
      <c r="U270" t="s">
        <v>106</v>
      </c>
      <c r="V270" t="s">
        <v>138</v>
      </c>
      <c r="W270" t="s">
        <v>142</v>
      </c>
      <c r="X270" t="s">
        <v>59</v>
      </c>
      <c r="Y270">
        <v>109072.66</v>
      </c>
      <c r="Z270">
        <v>38175.43</v>
      </c>
      <c r="AA270">
        <v>0.35</v>
      </c>
      <c r="AB270" t="s">
        <v>39</v>
      </c>
      <c r="AC270" t="s">
        <v>39</v>
      </c>
      <c r="AD270" t="s">
        <v>48</v>
      </c>
    </row>
    <row r="271" spans="1:30" x14ac:dyDescent="0.35">
      <c r="A271" t="s">
        <v>30</v>
      </c>
      <c r="B271" t="s">
        <v>31</v>
      </c>
      <c r="C271" t="s">
        <v>454</v>
      </c>
      <c r="D271" t="s">
        <v>475</v>
      </c>
      <c r="E271" t="s">
        <v>476</v>
      </c>
      <c r="F271" t="s">
        <v>477</v>
      </c>
      <c r="G271" t="s">
        <v>478</v>
      </c>
      <c r="H271" t="s">
        <v>37</v>
      </c>
      <c r="I271" t="s">
        <v>64</v>
      </c>
      <c r="J271" t="s">
        <v>39</v>
      </c>
      <c r="K271" s="2">
        <v>46367</v>
      </c>
      <c r="L271" s="2">
        <v>46387</v>
      </c>
      <c r="N271" s="2">
        <v>46357</v>
      </c>
      <c r="O271" s="2">
        <v>46722</v>
      </c>
      <c r="P271">
        <v>12</v>
      </c>
      <c r="Q271" t="s">
        <v>40</v>
      </c>
      <c r="R271" t="s">
        <v>41</v>
      </c>
      <c r="S271" t="s">
        <v>140</v>
      </c>
      <c r="T271" t="s">
        <v>97</v>
      </c>
      <c r="U271" t="s">
        <v>44</v>
      </c>
      <c r="V271" t="s">
        <v>81</v>
      </c>
      <c r="W271" t="s">
        <v>58</v>
      </c>
      <c r="X271" t="s">
        <v>143</v>
      </c>
      <c r="Y271">
        <v>136679.01999999999</v>
      </c>
      <c r="Z271">
        <v>47837.66</v>
      </c>
      <c r="AA271">
        <v>0.35</v>
      </c>
      <c r="AB271" t="s">
        <v>39</v>
      </c>
      <c r="AC271" t="s">
        <v>39</v>
      </c>
      <c r="AD271" t="s">
        <v>48</v>
      </c>
    </row>
    <row r="272" spans="1:30" x14ac:dyDescent="0.35">
      <c r="A272" t="s">
        <v>30</v>
      </c>
      <c r="B272" t="s">
        <v>31</v>
      </c>
      <c r="C272" t="s">
        <v>454</v>
      </c>
      <c r="D272" t="s">
        <v>479</v>
      </c>
      <c r="E272" t="s">
        <v>480</v>
      </c>
      <c r="F272" t="s">
        <v>481</v>
      </c>
      <c r="G272" t="s">
        <v>482</v>
      </c>
      <c r="H272" t="s">
        <v>37</v>
      </c>
      <c r="I272" t="s">
        <v>64</v>
      </c>
      <c r="J272" t="s">
        <v>39</v>
      </c>
      <c r="K272" s="2">
        <v>46371</v>
      </c>
      <c r="L272" s="2">
        <v>46387</v>
      </c>
      <c r="N272" s="2">
        <v>46357</v>
      </c>
      <c r="O272" s="2">
        <v>46722</v>
      </c>
      <c r="P272">
        <v>12</v>
      </c>
      <c r="Q272" t="s">
        <v>104</v>
      </c>
      <c r="R272" t="s">
        <v>41</v>
      </c>
      <c r="S272" t="s">
        <v>66</v>
      </c>
      <c r="T272" t="s">
        <v>55</v>
      </c>
      <c r="U272" t="s">
        <v>44</v>
      </c>
      <c r="V272" t="s">
        <v>119</v>
      </c>
      <c r="W272" t="s">
        <v>120</v>
      </c>
      <c r="X272" t="s">
        <v>59</v>
      </c>
      <c r="Y272">
        <v>157719.06</v>
      </c>
      <c r="Z272">
        <v>126175.25</v>
      </c>
      <c r="AA272">
        <v>0.8</v>
      </c>
      <c r="AB272" t="s">
        <v>39</v>
      </c>
      <c r="AC272" t="s">
        <v>39</v>
      </c>
      <c r="AD272" t="s">
        <v>48</v>
      </c>
    </row>
    <row r="273" spans="1:30" x14ac:dyDescent="0.35">
      <c r="A273" t="s">
        <v>30</v>
      </c>
      <c r="B273" t="s">
        <v>31</v>
      </c>
      <c r="C273" t="s">
        <v>454</v>
      </c>
      <c r="D273" t="s">
        <v>483</v>
      </c>
      <c r="E273" t="s">
        <v>484</v>
      </c>
      <c r="F273" t="s">
        <v>485</v>
      </c>
      <c r="G273" t="s">
        <v>486</v>
      </c>
      <c r="H273" t="s">
        <v>37</v>
      </c>
      <c r="I273" t="s">
        <v>64</v>
      </c>
      <c r="J273" t="s">
        <v>39</v>
      </c>
      <c r="K273" s="2">
        <v>46368</v>
      </c>
      <c r="L273" s="2">
        <v>46387</v>
      </c>
      <c r="N273" s="2">
        <v>46357</v>
      </c>
      <c r="O273" s="2">
        <v>47088</v>
      </c>
      <c r="P273">
        <v>24</v>
      </c>
      <c r="Q273" t="s">
        <v>65</v>
      </c>
      <c r="R273" t="s">
        <v>88</v>
      </c>
      <c r="S273" t="s">
        <v>54</v>
      </c>
      <c r="T273" t="s">
        <v>55</v>
      </c>
      <c r="U273" t="s">
        <v>44</v>
      </c>
      <c r="V273" t="s">
        <v>81</v>
      </c>
      <c r="W273" t="s">
        <v>75</v>
      </c>
      <c r="X273" t="s">
        <v>158</v>
      </c>
      <c r="Y273">
        <v>111067.97</v>
      </c>
      <c r="Z273">
        <v>72194.179999999993</v>
      </c>
      <c r="AA273">
        <v>0.65</v>
      </c>
      <c r="AB273" t="s">
        <v>39</v>
      </c>
      <c r="AC273" t="s">
        <v>39</v>
      </c>
      <c r="AD273" t="s">
        <v>48</v>
      </c>
    </row>
    <row r="274" spans="1:30" x14ac:dyDescent="0.35">
      <c r="A274" t="s">
        <v>30</v>
      </c>
      <c r="B274" t="s">
        <v>31</v>
      </c>
      <c r="C274" t="s">
        <v>454</v>
      </c>
      <c r="D274" t="s">
        <v>487</v>
      </c>
      <c r="E274" t="s">
        <v>488</v>
      </c>
      <c r="F274" t="s">
        <v>489</v>
      </c>
      <c r="G274" t="s">
        <v>490</v>
      </c>
      <c r="H274" t="s">
        <v>37</v>
      </c>
      <c r="I274" t="s">
        <v>111</v>
      </c>
      <c r="J274" t="s">
        <v>39</v>
      </c>
      <c r="K274" s="2">
        <v>46368</v>
      </c>
      <c r="L274" s="2">
        <v>46387</v>
      </c>
      <c r="N274" s="2">
        <v>46357</v>
      </c>
      <c r="O274" s="2">
        <v>46722</v>
      </c>
      <c r="P274">
        <v>12</v>
      </c>
      <c r="Q274" t="s">
        <v>104</v>
      </c>
      <c r="R274" t="s">
        <v>53</v>
      </c>
      <c r="S274" t="s">
        <v>80</v>
      </c>
      <c r="T274" t="s">
        <v>43</v>
      </c>
      <c r="U274" t="s">
        <v>56</v>
      </c>
      <c r="V274" t="s">
        <v>144</v>
      </c>
      <c r="W274" t="s">
        <v>75</v>
      </c>
      <c r="X274" t="s">
        <v>143</v>
      </c>
      <c r="Y274">
        <v>118291.14</v>
      </c>
      <c r="Z274">
        <v>41401.9</v>
      </c>
      <c r="AA274">
        <v>0.35</v>
      </c>
      <c r="AB274" t="s">
        <v>39</v>
      </c>
      <c r="AC274" t="s">
        <v>39</v>
      </c>
      <c r="AD274" t="s">
        <v>48</v>
      </c>
    </row>
    <row r="275" spans="1:30" x14ac:dyDescent="0.35">
      <c r="A275" t="s">
        <v>30</v>
      </c>
      <c r="B275" t="s">
        <v>31</v>
      </c>
      <c r="C275" t="s">
        <v>454</v>
      </c>
      <c r="D275" t="s">
        <v>491</v>
      </c>
      <c r="E275" t="s">
        <v>492</v>
      </c>
      <c r="F275" t="s">
        <v>493</v>
      </c>
      <c r="G275" t="s">
        <v>494</v>
      </c>
      <c r="H275" t="s">
        <v>37</v>
      </c>
      <c r="I275" t="s">
        <v>64</v>
      </c>
      <c r="J275" t="s">
        <v>39</v>
      </c>
      <c r="K275" s="2">
        <v>46365</v>
      </c>
      <c r="L275" s="2">
        <v>46387</v>
      </c>
      <c r="N275" s="2">
        <v>46357</v>
      </c>
      <c r="O275" s="2">
        <v>47088</v>
      </c>
      <c r="P275">
        <v>24</v>
      </c>
      <c r="Q275" t="s">
        <v>65</v>
      </c>
      <c r="R275" t="s">
        <v>53</v>
      </c>
      <c r="S275" t="s">
        <v>162</v>
      </c>
      <c r="T275" t="s">
        <v>43</v>
      </c>
      <c r="U275" t="s">
        <v>106</v>
      </c>
      <c r="V275" t="s">
        <v>57</v>
      </c>
      <c r="W275" t="s">
        <v>82</v>
      </c>
      <c r="X275" t="s">
        <v>143</v>
      </c>
      <c r="Y275">
        <v>220036.73</v>
      </c>
      <c r="Z275">
        <v>176029.39</v>
      </c>
      <c r="AA275">
        <v>0.8</v>
      </c>
      <c r="AB275" t="s">
        <v>39</v>
      </c>
      <c r="AC275" t="s">
        <v>39</v>
      </c>
      <c r="AD275" t="s">
        <v>48</v>
      </c>
    </row>
    <row r="276" spans="1:30" x14ac:dyDescent="0.35">
      <c r="A276" t="s">
        <v>30</v>
      </c>
      <c r="B276" t="s">
        <v>31</v>
      </c>
      <c r="C276" t="s">
        <v>454</v>
      </c>
      <c r="D276" t="s">
        <v>495</v>
      </c>
      <c r="E276" t="s">
        <v>496</v>
      </c>
      <c r="F276" t="s">
        <v>497</v>
      </c>
      <c r="G276" t="s">
        <v>498</v>
      </c>
      <c r="H276" t="s">
        <v>37</v>
      </c>
      <c r="I276" t="s">
        <v>103</v>
      </c>
      <c r="J276" t="s">
        <v>39</v>
      </c>
      <c r="K276" s="2">
        <v>46371</v>
      </c>
      <c r="L276" s="2">
        <v>46387</v>
      </c>
      <c r="N276" s="2">
        <v>46357</v>
      </c>
      <c r="O276" s="2">
        <v>47453</v>
      </c>
      <c r="P276">
        <v>36</v>
      </c>
      <c r="Q276" t="s">
        <v>65</v>
      </c>
      <c r="R276" t="s">
        <v>88</v>
      </c>
      <c r="S276" t="s">
        <v>164</v>
      </c>
      <c r="T276" t="s">
        <v>55</v>
      </c>
      <c r="U276" t="s">
        <v>56</v>
      </c>
      <c r="V276" t="s">
        <v>81</v>
      </c>
      <c r="W276" t="s">
        <v>161</v>
      </c>
      <c r="X276" t="s">
        <v>47</v>
      </c>
      <c r="Y276">
        <v>180084.65</v>
      </c>
      <c r="Z276">
        <v>144067.72</v>
      </c>
      <c r="AA276">
        <v>0.8</v>
      </c>
      <c r="AB276" t="s">
        <v>39</v>
      </c>
      <c r="AC276" t="s">
        <v>39</v>
      </c>
      <c r="AD276" t="s">
        <v>48</v>
      </c>
    </row>
    <row r="277" spans="1:30" x14ac:dyDescent="0.35">
      <c r="A277" t="s">
        <v>30</v>
      </c>
      <c r="B277" t="s">
        <v>31</v>
      </c>
      <c r="C277" t="s">
        <v>454</v>
      </c>
      <c r="D277" t="s">
        <v>2261</v>
      </c>
      <c r="E277" t="s">
        <v>2262</v>
      </c>
      <c r="F277" t="s">
        <v>2263</v>
      </c>
      <c r="G277" t="s">
        <v>2264</v>
      </c>
      <c r="H277" t="s">
        <v>1271</v>
      </c>
      <c r="I277" t="s">
        <v>64</v>
      </c>
      <c r="J277" t="s">
        <v>39</v>
      </c>
      <c r="K277" s="2">
        <v>46369</v>
      </c>
      <c r="L277" s="2">
        <v>46387</v>
      </c>
      <c r="N277" s="2">
        <v>46357</v>
      </c>
      <c r="O277" s="2">
        <v>46722</v>
      </c>
      <c r="P277">
        <v>12</v>
      </c>
      <c r="Q277" t="s">
        <v>40</v>
      </c>
      <c r="R277" t="s">
        <v>88</v>
      </c>
      <c r="S277" t="s">
        <v>118</v>
      </c>
      <c r="T277" t="s">
        <v>97</v>
      </c>
      <c r="U277" t="s">
        <v>44</v>
      </c>
      <c r="V277" t="s">
        <v>119</v>
      </c>
      <c r="W277" t="s">
        <v>90</v>
      </c>
      <c r="X277" t="s">
        <v>143</v>
      </c>
      <c r="Y277">
        <v>95172.01</v>
      </c>
      <c r="Z277">
        <v>76137.61</v>
      </c>
      <c r="AA277">
        <v>0.8</v>
      </c>
      <c r="AB277" t="s">
        <v>39</v>
      </c>
      <c r="AC277" t="s">
        <v>39</v>
      </c>
      <c r="AD277" t="s">
        <v>48</v>
      </c>
    </row>
    <row r="278" spans="1:30" x14ac:dyDescent="0.35">
      <c r="A278" t="s">
        <v>30</v>
      </c>
      <c r="B278" t="s">
        <v>31</v>
      </c>
      <c r="C278" t="s">
        <v>454</v>
      </c>
      <c r="D278" t="s">
        <v>2265</v>
      </c>
      <c r="E278" t="s">
        <v>2266</v>
      </c>
      <c r="F278" t="s">
        <v>2267</v>
      </c>
      <c r="G278" t="s">
        <v>2268</v>
      </c>
      <c r="H278" t="s">
        <v>1271</v>
      </c>
      <c r="I278" t="s">
        <v>64</v>
      </c>
      <c r="J278" t="s">
        <v>39</v>
      </c>
      <c r="K278" s="2">
        <v>46367</v>
      </c>
      <c r="L278" s="2">
        <v>46387</v>
      </c>
      <c r="N278" s="2">
        <v>46357</v>
      </c>
      <c r="O278" s="2">
        <v>46722</v>
      </c>
      <c r="P278">
        <v>12</v>
      </c>
      <c r="Q278" t="s">
        <v>104</v>
      </c>
      <c r="R278" t="s">
        <v>41</v>
      </c>
      <c r="S278" t="s">
        <v>137</v>
      </c>
      <c r="T278" t="s">
        <v>97</v>
      </c>
      <c r="U278" t="s">
        <v>44</v>
      </c>
      <c r="V278" t="s">
        <v>74</v>
      </c>
      <c r="W278" t="s">
        <v>136</v>
      </c>
      <c r="X278" t="s">
        <v>47</v>
      </c>
      <c r="Y278">
        <v>145033.25</v>
      </c>
      <c r="Z278">
        <v>94271.61</v>
      </c>
      <c r="AA278">
        <v>0.65</v>
      </c>
      <c r="AB278" t="s">
        <v>39</v>
      </c>
      <c r="AC278" t="s">
        <v>39</v>
      </c>
      <c r="AD278" t="s">
        <v>48</v>
      </c>
    </row>
    <row r="279" spans="1:30" x14ac:dyDescent="0.35">
      <c r="A279" t="s">
        <v>30</v>
      </c>
      <c r="B279" t="s">
        <v>31</v>
      </c>
      <c r="C279" t="s">
        <v>454</v>
      </c>
      <c r="D279" t="s">
        <v>2269</v>
      </c>
      <c r="E279" t="s">
        <v>2270</v>
      </c>
      <c r="F279" t="s">
        <v>2271</v>
      </c>
      <c r="G279" t="s">
        <v>2272</v>
      </c>
      <c r="H279" t="s">
        <v>1271</v>
      </c>
      <c r="I279" t="s">
        <v>111</v>
      </c>
      <c r="J279" t="s">
        <v>39</v>
      </c>
      <c r="K279" s="2">
        <v>46364</v>
      </c>
      <c r="L279" s="2">
        <v>46387</v>
      </c>
      <c r="N279" s="2">
        <v>46357</v>
      </c>
      <c r="O279" s="2">
        <v>46722</v>
      </c>
      <c r="P279">
        <v>12</v>
      </c>
      <c r="Q279" t="s">
        <v>40</v>
      </c>
      <c r="R279" t="s">
        <v>53</v>
      </c>
      <c r="S279" t="s">
        <v>80</v>
      </c>
      <c r="T279" t="s">
        <v>43</v>
      </c>
      <c r="U279" t="s">
        <v>106</v>
      </c>
      <c r="V279" t="s">
        <v>138</v>
      </c>
      <c r="W279" t="s">
        <v>136</v>
      </c>
      <c r="X279" t="s">
        <v>68</v>
      </c>
      <c r="Y279">
        <v>147693.82</v>
      </c>
      <c r="Z279">
        <v>73846.91</v>
      </c>
      <c r="AA279">
        <v>0.5</v>
      </c>
      <c r="AB279" t="s">
        <v>39</v>
      </c>
      <c r="AC279" t="s">
        <v>39</v>
      </c>
      <c r="AD279" t="s">
        <v>48</v>
      </c>
    </row>
    <row r="280" spans="1:30" x14ac:dyDescent="0.35">
      <c r="A280" t="s">
        <v>30</v>
      </c>
      <c r="B280" t="s">
        <v>31</v>
      </c>
      <c r="C280" t="s">
        <v>454</v>
      </c>
      <c r="D280" t="s">
        <v>2273</v>
      </c>
      <c r="E280" t="s">
        <v>2274</v>
      </c>
      <c r="F280" t="s">
        <v>340</v>
      </c>
      <c r="G280" t="s">
        <v>341</v>
      </c>
      <c r="H280" t="s">
        <v>1271</v>
      </c>
      <c r="I280" t="s">
        <v>38</v>
      </c>
      <c r="J280" t="s">
        <v>39</v>
      </c>
      <c r="K280" s="2">
        <v>46366</v>
      </c>
      <c r="L280" s="2">
        <v>46387</v>
      </c>
      <c r="N280" s="2">
        <v>46357</v>
      </c>
      <c r="O280" s="2">
        <v>46722</v>
      </c>
      <c r="P280">
        <v>12</v>
      </c>
      <c r="Q280" t="s">
        <v>65</v>
      </c>
      <c r="R280" t="s">
        <v>53</v>
      </c>
      <c r="S280" t="s">
        <v>112</v>
      </c>
      <c r="T280" t="s">
        <v>55</v>
      </c>
      <c r="U280" t="s">
        <v>56</v>
      </c>
      <c r="V280" t="s">
        <v>81</v>
      </c>
      <c r="W280" t="s">
        <v>136</v>
      </c>
      <c r="X280" t="s">
        <v>68</v>
      </c>
      <c r="Y280">
        <v>140404.57</v>
      </c>
      <c r="Z280">
        <v>70202.28</v>
      </c>
      <c r="AA280">
        <v>0.5</v>
      </c>
      <c r="AB280" t="s">
        <v>39</v>
      </c>
      <c r="AC280" t="s">
        <v>39</v>
      </c>
      <c r="AD280" t="s">
        <v>48</v>
      </c>
    </row>
    <row r="281" spans="1:30" x14ac:dyDescent="0.35">
      <c r="A281" t="s">
        <v>30</v>
      </c>
      <c r="B281" t="s">
        <v>31</v>
      </c>
      <c r="C281" t="s">
        <v>454</v>
      </c>
      <c r="D281" t="s">
        <v>2275</v>
      </c>
      <c r="E281" t="s">
        <v>2276</v>
      </c>
      <c r="F281" t="s">
        <v>2277</v>
      </c>
      <c r="G281" t="s">
        <v>2278</v>
      </c>
      <c r="H281" t="s">
        <v>1271</v>
      </c>
      <c r="I281" t="s">
        <v>111</v>
      </c>
      <c r="J281" t="s">
        <v>39</v>
      </c>
      <c r="K281" s="2">
        <v>46361</v>
      </c>
      <c r="L281" s="2">
        <v>46387</v>
      </c>
      <c r="N281" s="2">
        <v>46357</v>
      </c>
      <c r="O281" s="2">
        <v>46722</v>
      </c>
      <c r="P281">
        <v>12</v>
      </c>
      <c r="Q281" t="s">
        <v>40</v>
      </c>
      <c r="R281" t="s">
        <v>53</v>
      </c>
      <c r="S281" t="s">
        <v>96</v>
      </c>
      <c r="T281" t="s">
        <v>97</v>
      </c>
      <c r="U281" t="s">
        <v>44</v>
      </c>
      <c r="V281" t="s">
        <v>217</v>
      </c>
      <c r="W281" t="s">
        <v>90</v>
      </c>
      <c r="X281" t="s">
        <v>83</v>
      </c>
      <c r="Y281">
        <v>148783.39000000001</v>
      </c>
      <c r="Z281">
        <v>119026.71</v>
      </c>
      <c r="AA281">
        <v>0.8</v>
      </c>
      <c r="AB281" t="s">
        <v>39</v>
      </c>
      <c r="AC281" t="s">
        <v>39</v>
      </c>
      <c r="AD281" t="s">
        <v>48</v>
      </c>
    </row>
    <row r="282" spans="1:30" x14ac:dyDescent="0.35">
      <c r="A282" t="s">
        <v>30</v>
      </c>
      <c r="B282" t="s">
        <v>31</v>
      </c>
      <c r="C282" t="s">
        <v>454</v>
      </c>
      <c r="D282" t="s">
        <v>2279</v>
      </c>
      <c r="E282" t="s">
        <v>2280</v>
      </c>
      <c r="F282" t="s">
        <v>556</v>
      </c>
      <c r="G282" t="s">
        <v>557</v>
      </c>
      <c r="H282" t="s">
        <v>1271</v>
      </c>
      <c r="I282" t="s">
        <v>117</v>
      </c>
      <c r="J282" t="s">
        <v>39</v>
      </c>
      <c r="K282" s="2">
        <v>46360</v>
      </c>
      <c r="L282" s="2">
        <v>46387</v>
      </c>
      <c r="N282" s="2">
        <v>46357</v>
      </c>
      <c r="O282" s="2">
        <v>46722</v>
      </c>
      <c r="P282">
        <v>12</v>
      </c>
      <c r="Q282" t="s">
        <v>40</v>
      </c>
      <c r="R282" t="s">
        <v>53</v>
      </c>
      <c r="S282" t="s">
        <v>105</v>
      </c>
      <c r="T282" t="s">
        <v>55</v>
      </c>
      <c r="U282" t="s">
        <v>44</v>
      </c>
      <c r="V282" t="s">
        <v>98</v>
      </c>
      <c r="W282" t="s">
        <v>136</v>
      </c>
      <c r="X282" t="s">
        <v>143</v>
      </c>
      <c r="Y282">
        <v>97828.38</v>
      </c>
      <c r="Z282">
        <v>48914.19</v>
      </c>
      <c r="AA282">
        <v>0.5</v>
      </c>
      <c r="AB282" t="s">
        <v>39</v>
      </c>
      <c r="AC282" t="s">
        <v>39</v>
      </c>
      <c r="AD282" t="s">
        <v>48</v>
      </c>
    </row>
    <row r="283" spans="1:30" x14ac:dyDescent="0.35">
      <c r="A283" t="s">
        <v>30</v>
      </c>
      <c r="B283" t="s">
        <v>31</v>
      </c>
      <c r="C283" t="s">
        <v>454</v>
      </c>
      <c r="D283" t="s">
        <v>2281</v>
      </c>
      <c r="E283" t="s">
        <v>2282</v>
      </c>
      <c r="F283" t="s">
        <v>452</v>
      </c>
      <c r="G283" t="s">
        <v>453</v>
      </c>
      <c r="H283" t="s">
        <v>1271</v>
      </c>
      <c r="I283" t="s">
        <v>103</v>
      </c>
      <c r="J283" t="s">
        <v>39</v>
      </c>
      <c r="K283" s="2">
        <v>46369</v>
      </c>
      <c r="L283" s="2">
        <v>46387</v>
      </c>
      <c r="N283" s="2">
        <v>46357</v>
      </c>
      <c r="O283" s="2">
        <v>47088</v>
      </c>
      <c r="P283">
        <v>24</v>
      </c>
      <c r="Q283" t="s">
        <v>65</v>
      </c>
      <c r="R283" t="s">
        <v>53</v>
      </c>
      <c r="S283" t="s">
        <v>96</v>
      </c>
      <c r="T283" t="s">
        <v>97</v>
      </c>
      <c r="U283" t="s">
        <v>44</v>
      </c>
      <c r="V283" t="s">
        <v>45</v>
      </c>
      <c r="W283" t="s">
        <v>132</v>
      </c>
      <c r="X283" t="s">
        <v>91</v>
      </c>
      <c r="Y283">
        <v>136878.57</v>
      </c>
      <c r="Z283">
        <v>47907.5</v>
      </c>
      <c r="AA283">
        <v>0.35</v>
      </c>
      <c r="AB283" t="s">
        <v>39</v>
      </c>
      <c r="AC283" t="s">
        <v>39</v>
      </c>
      <c r="AD283" t="s">
        <v>48</v>
      </c>
    </row>
    <row r="284" spans="1:30" x14ac:dyDescent="0.35">
      <c r="A284" t="s">
        <v>30</v>
      </c>
      <c r="B284" t="s">
        <v>31</v>
      </c>
      <c r="C284" t="s">
        <v>454</v>
      </c>
      <c r="D284" t="s">
        <v>2283</v>
      </c>
      <c r="E284" t="s">
        <v>2284</v>
      </c>
      <c r="F284" t="s">
        <v>334</v>
      </c>
      <c r="G284" t="s">
        <v>335</v>
      </c>
      <c r="H284" t="s">
        <v>1271</v>
      </c>
      <c r="I284" t="s">
        <v>117</v>
      </c>
      <c r="J284" t="s">
        <v>39</v>
      </c>
      <c r="K284" s="2">
        <v>46359</v>
      </c>
      <c r="L284" s="2">
        <v>46387</v>
      </c>
      <c r="N284" s="2">
        <v>46357</v>
      </c>
      <c r="O284" s="2">
        <v>46722</v>
      </c>
      <c r="P284">
        <v>12</v>
      </c>
      <c r="Q284" t="s">
        <v>40</v>
      </c>
      <c r="R284" t="s">
        <v>53</v>
      </c>
      <c r="S284" t="s">
        <v>54</v>
      </c>
      <c r="T284" t="s">
        <v>55</v>
      </c>
      <c r="U284" t="s">
        <v>44</v>
      </c>
      <c r="V284" t="s">
        <v>144</v>
      </c>
      <c r="W284" t="s">
        <v>150</v>
      </c>
      <c r="X284" t="s">
        <v>125</v>
      </c>
      <c r="Y284">
        <v>122971.02</v>
      </c>
      <c r="Z284">
        <v>61485.51</v>
      </c>
      <c r="AA284">
        <v>0.5</v>
      </c>
      <c r="AB284" t="s">
        <v>39</v>
      </c>
      <c r="AC284" t="s">
        <v>39</v>
      </c>
      <c r="AD284" t="s">
        <v>48</v>
      </c>
    </row>
    <row r="285" spans="1:30" x14ac:dyDescent="0.35">
      <c r="A285" t="s">
        <v>30</v>
      </c>
      <c r="B285" t="s">
        <v>31</v>
      </c>
      <c r="C285" t="s">
        <v>454</v>
      </c>
      <c r="D285" t="s">
        <v>2285</v>
      </c>
      <c r="E285" t="s">
        <v>2286</v>
      </c>
      <c r="F285" t="s">
        <v>1129</v>
      </c>
      <c r="G285" t="s">
        <v>1130</v>
      </c>
      <c r="H285" t="s">
        <v>1290</v>
      </c>
      <c r="I285" t="s">
        <v>64</v>
      </c>
      <c r="J285" t="s">
        <v>1290</v>
      </c>
      <c r="K285" s="2">
        <v>46368</v>
      </c>
      <c r="L285" s="2">
        <v>46387</v>
      </c>
      <c r="N285" s="2">
        <v>46357</v>
      </c>
      <c r="O285" s="2">
        <v>46722</v>
      </c>
      <c r="P285">
        <v>12</v>
      </c>
      <c r="Q285" t="s">
        <v>40</v>
      </c>
      <c r="R285" t="s">
        <v>53</v>
      </c>
      <c r="S285" t="s">
        <v>141</v>
      </c>
      <c r="T285" t="s">
        <v>131</v>
      </c>
      <c r="U285" t="s">
        <v>56</v>
      </c>
      <c r="V285" t="s">
        <v>119</v>
      </c>
      <c r="W285" t="s">
        <v>161</v>
      </c>
      <c r="X285" t="s">
        <v>47</v>
      </c>
      <c r="Y285">
        <v>113207.7</v>
      </c>
      <c r="Z285">
        <v>56603.85</v>
      </c>
      <c r="AA285">
        <v>0.5</v>
      </c>
      <c r="AB285" t="s">
        <v>1290</v>
      </c>
      <c r="AC285" t="s">
        <v>1290</v>
      </c>
      <c r="AD285" t="s">
        <v>48</v>
      </c>
    </row>
    <row r="286" spans="1:30" x14ac:dyDescent="0.35">
      <c r="A286" t="s">
        <v>30</v>
      </c>
      <c r="B286" t="s">
        <v>31</v>
      </c>
      <c r="C286" t="s">
        <v>454</v>
      </c>
      <c r="D286" t="s">
        <v>2287</v>
      </c>
      <c r="E286" t="s">
        <v>2288</v>
      </c>
      <c r="F286" t="s">
        <v>777</v>
      </c>
      <c r="G286" t="s">
        <v>778</v>
      </c>
      <c r="H286" t="s">
        <v>1290</v>
      </c>
      <c r="I286" t="s">
        <v>38</v>
      </c>
      <c r="J286" t="s">
        <v>1290</v>
      </c>
      <c r="K286" s="2">
        <v>46358</v>
      </c>
      <c r="L286" s="2">
        <v>46387</v>
      </c>
      <c r="N286" s="2">
        <v>46357</v>
      </c>
      <c r="O286" s="2">
        <v>46722</v>
      </c>
      <c r="P286">
        <v>12</v>
      </c>
      <c r="Q286" t="s">
        <v>104</v>
      </c>
      <c r="R286" t="s">
        <v>41</v>
      </c>
      <c r="S286" t="s">
        <v>89</v>
      </c>
      <c r="T286" t="s">
        <v>55</v>
      </c>
      <c r="U286" t="s">
        <v>56</v>
      </c>
      <c r="V286" t="s">
        <v>45</v>
      </c>
      <c r="W286" t="s">
        <v>90</v>
      </c>
      <c r="X286" t="s">
        <v>47</v>
      </c>
      <c r="Y286">
        <v>182165.77</v>
      </c>
      <c r="Z286">
        <v>63758.02</v>
      </c>
      <c r="AA286">
        <v>0.35</v>
      </c>
      <c r="AB286" t="s">
        <v>1290</v>
      </c>
      <c r="AC286" t="s">
        <v>1290</v>
      </c>
      <c r="AD286" t="s">
        <v>48</v>
      </c>
    </row>
    <row r="287" spans="1:30" x14ac:dyDescent="0.35">
      <c r="A287" t="s">
        <v>30</v>
      </c>
      <c r="B287" t="s">
        <v>31</v>
      </c>
      <c r="C287" t="s">
        <v>454</v>
      </c>
      <c r="D287" t="s">
        <v>2289</v>
      </c>
      <c r="E287" t="s">
        <v>2290</v>
      </c>
      <c r="F287" t="s">
        <v>2291</v>
      </c>
      <c r="G287" t="s">
        <v>2292</v>
      </c>
      <c r="H287" t="s">
        <v>1290</v>
      </c>
      <c r="I287" t="s">
        <v>117</v>
      </c>
      <c r="J287" t="s">
        <v>1290</v>
      </c>
      <c r="K287" s="2">
        <v>46362</v>
      </c>
      <c r="L287" s="2">
        <v>46387</v>
      </c>
      <c r="N287" s="2">
        <v>46357</v>
      </c>
      <c r="O287" s="2">
        <v>46722</v>
      </c>
      <c r="P287">
        <v>12</v>
      </c>
      <c r="Q287" t="s">
        <v>104</v>
      </c>
      <c r="R287" t="s">
        <v>53</v>
      </c>
      <c r="S287" t="s">
        <v>222</v>
      </c>
      <c r="T287" t="s">
        <v>97</v>
      </c>
      <c r="U287" t="s">
        <v>44</v>
      </c>
      <c r="V287" t="s">
        <v>144</v>
      </c>
      <c r="W287" t="s">
        <v>90</v>
      </c>
      <c r="X287" t="s">
        <v>68</v>
      </c>
      <c r="Y287">
        <v>179767.53</v>
      </c>
      <c r="Z287">
        <v>89883.77</v>
      </c>
      <c r="AA287">
        <v>0.5</v>
      </c>
      <c r="AB287" t="s">
        <v>1290</v>
      </c>
      <c r="AC287" t="s">
        <v>1290</v>
      </c>
      <c r="AD287" t="s">
        <v>48</v>
      </c>
    </row>
    <row r="288" spans="1:30" x14ac:dyDescent="0.35">
      <c r="A288" t="s">
        <v>30</v>
      </c>
      <c r="B288" t="s">
        <v>31</v>
      </c>
      <c r="C288" t="s">
        <v>454</v>
      </c>
      <c r="D288" t="s">
        <v>2293</v>
      </c>
      <c r="E288" t="s">
        <v>2294</v>
      </c>
      <c r="F288" t="s">
        <v>1211</v>
      </c>
      <c r="G288" t="s">
        <v>1212</v>
      </c>
      <c r="H288" t="s">
        <v>1295</v>
      </c>
      <c r="I288" t="s">
        <v>117</v>
      </c>
      <c r="J288" t="s">
        <v>1295</v>
      </c>
      <c r="K288" s="2">
        <v>46368</v>
      </c>
      <c r="L288" s="2">
        <v>46387</v>
      </c>
      <c r="N288" s="2">
        <v>46357</v>
      </c>
      <c r="O288" s="2">
        <v>46722</v>
      </c>
      <c r="P288">
        <v>12</v>
      </c>
      <c r="Q288" t="s">
        <v>65</v>
      </c>
      <c r="R288" t="s">
        <v>41</v>
      </c>
      <c r="S288" t="s">
        <v>118</v>
      </c>
      <c r="T288" t="s">
        <v>97</v>
      </c>
      <c r="U288" t="s">
        <v>44</v>
      </c>
      <c r="V288" t="s">
        <v>98</v>
      </c>
      <c r="W288" t="s">
        <v>46</v>
      </c>
      <c r="X288" t="s">
        <v>83</v>
      </c>
      <c r="Y288">
        <v>220507.38</v>
      </c>
      <c r="Z288">
        <v>110253.69</v>
      </c>
      <c r="AA288">
        <v>0.5</v>
      </c>
      <c r="AB288" t="s">
        <v>1295</v>
      </c>
      <c r="AC288" t="s">
        <v>1295</v>
      </c>
      <c r="AD288" t="s">
        <v>48</v>
      </c>
    </row>
    <row r="289" spans="1:30" x14ac:dyDescent="0.35">
      <c r="A289" t="s">
        <v>30</v>
      </c>
      <c r="B289" t="s">
        <v>31</v>
      </c>
      <c r="C289" t="s">
        <v>454</v>
      </c>
      <c r="D289" t="s">
        <v>2295</v>
      </c>
      <c r="E289" t="s">
        <v>2296</v>
      </c>
      <c r="F289" t="s">
        <v>2297</v>
      </c>
      <c r="G289" t="s">
        <v>2298</v>
      </c>
      <c r="H289" t="s">
        <v>1295</v>
      </c>
      <c r="I289" t="s">
        <v>117</v>
      </c>
      <c r="J289" t="s">
        <v>1295</v>
      </c>
      <c r="K289" s="2">
        <v>46367</v>
      </c>
      <c r="L289" s="2">
        <v>46387</v>
      </c>
      <c r="N289" s="2">
        <v>46357</v>
      </c>
      <c r="O289" s="2">
        <v>46722</v>
      </c>
      <c r="P289">
        <v>12</v>
      </c>
      <c r="Q289" t="s">
        <v>65</v>
      </c>
      <c r="R289" t="s">
        <v>41</v>
      </c>
      <c r="S289" t="s">
        <v>73</v>
      </c>
      <c r="T289" t="s">
        <v>43</v>
      </c>
      <c r="U289" t="s">
        <v>56</v>
      </c>
      <c r="V289" t="s">
        <v>67</v>
      </c>
      <c r="W289" t="s">
        <v>161</v>
      </c>
      <c r="X289" t="s">
        <v>143</v>
      </c>
      <c r="Y289">
        <v>222667.15</v>
      </c>
      <c r="Z289">
        <v>77933.5</v>
      </c>
      <c r="AA289">
        <v>0.35</v>
      </c>
      <c r="AB289" t="s">
        <v>1295</v>
      </c>
      <c r="AC289" t="s">
        <v>1295</v>
      </c>
      <c r="AD289" t="s">
        <v>48</v>
      </c>
    </row>
    <row r="290" spans="1:30" x14ac:dyDescent="0.35">
      <c r="A290" t="s">
        <v>30</v>
      </c>
      <c r="B290" t="s">
        <v>31</v>
      </c>
      <c r="C290" t="s">
        <v>454</v>
      </c>
      <c r="D290" t="s">
        <v>2299</v>
      </c>
      <c r="E290" t="s">
        <v>2300</v>
      </c>
      <c r="F290" t="s">
        <v>877</v>
      </c>
      <c r="G290" t="s">
        <v>878</v>
      </c>
      <c r="H290" t="s">
        <v>1295</v>
      </c>
      <c r="I290" t="s">
        <v>103</v>
      </c>
      <c r="J290" t="s">
        <v>1295</v>
      </c>
      <c r="K290" s="2">
        <v>46361</v>
      </c>
      <c r="L290" s="2">
        <v>46387</v>
      </c>
      <c r="N290" s="2">
        <v>46357</v>
      </c>
      <c r="O290" s="2">
        <v>46722</v>
      </c>
      <c r="P290">
        <v>12</v>
      </c>
      <c r="Q290" t="s">
        <v>40</v>
      </c>
      <c r="R290" t="s">
        <v>41</v>
      </c>
      <c r="S290" t="s">
        <v>149</v>
      </c>
      <c r="T290" t="s">
        <v>131</v>
      </c>
      <c r="U290" t="s">
        <v>44</v>
      </c>
      <c r="V290" t="s">
        <v>81</v>
      </c>
      <c r="W290" t="s">
        <v>90</v>
      </c>
      <c r="X290" t="s">
        <v>143</v>
      </c>
      <c r="Y290">
        <v>123103.87</v>
      </c>
      <c r="Z290">
        <v>80017.509999999995</v>
      </c>
      <c r="AA290">
        <v>0.65</v>
      </c>
      <c r="AB290" t="s">
        <v>1295</v>
      </c>
      <c r="AC290" t="s">
        <v>1295</v>
      </c>
      <c r="AD290" t="s">
        <v>48</v>
      </c>
    </row>
    <row r="291" spans="1:30" x14ac:dyDescent="0.35">
      <c r="A291" t="s">
        <v>30</v>
      </c>
      <c r="B291" t="s">
        <v>31</v>
      </c>
      <c r="C291" t="s">
        <v>454</v>
      </c>
      <c r="D291" t="s">
        <v>2301</v>
      </c>
      <c r="E291" t="s">
        <v>2302</v>
      </c>
      <c r="F291" t="s">
        <v>1313</v>
      </c>
      <c r="G291" t="s">
        <v>1314</v>
      </c>
      <c r="H291" t="s">
        <v>1295</v>
      </c>
      <c r="I291" t="s">
        <v>117</v>
      </c>
      <c r="J291" t="s">
        <v>1295</v>
      </c>
      <c r="K291" s="2">
        <v>46360</v>
      </c>
      <c r="L291" s="2">
        <v>46387</v>
      </c>
      <c r="N291" s="2">
        <v>46357</v>
      </c>
      <c r="O291" s="2">
        <v>46722</v>
      </c>
      <c r="P291">
        <v>12</v>
      </c>
      <c r="Q291" t="s">
        <v>40</v>
      </c>
      <c r="R291" t="s">
        <v>53</v>
      </c>
      <c r="S291" t="s">
        <v>112</v>
      </c>
      <c r="T291" t="s">
        <v>55</v>
      </c>
      <c r="U291" t="s">
        <v>44</v>
      </c>
      <c r="V291" t="s">
        <v>98</v>
      </c>
      <c r="W291" t="s">
        <v>82</v>
      </c>
      <c r="X291" t="s">
        <v>91</v>
      </c>
      <c r="Y291">
        <v>235845.61</v>
      </c>
      <c r="Z291">
        <v>82545.960000000006</v>
      </c>
      <c r="AA291">
        <v>0.35</v>
      </c>
      <c r="AB291" t="s">
        <v>1295</v>
      </c>
      <c r="AC291" t="s">
        <v>1295</v>
      </c>
      <c r="AD291" t="s">
        <v>48</v>
      </c>
    </row>
    <row r="292" spans="1:30" x14ac:dyDescent="0.35">
      <c r="A292" t="s">
        <v>30</v>
      </c>
      <c r="B292" t="s">
        <v>31</v>
      </c>
      <c r="C292" t="s">
        <v>454</v>
      </c>
      <c r="D292" t="s">
        <v>2303</v>
      </c>
      <c r="E292" t="s">
        <v>2304</v>
      </c>
      <c r="F292" t="s">
        <v>558</v>
      </c>
      <c r="G292" t="s">
        <v>559</v>
      </c>
      <c r="H292" t="s">
        <v>1302</v>
      </c>
      <c r="I292" t="s">
        <v>103</v>
      </c>
      <c r="J292" t="s">
        <v>39</v>
      </c>
      <c r="K292" s="2">
        <v>46370</v>
      </c>
      <c r="L292" s="2">
        <v>46387</v>
      </c>
      <c r="N292" s="2">
        <v>46357</v>
      </c>
      <c r="O292" s="2">
        <v>46722</v>
      </c>
      <c r="P292">
        <v>12</v>
      </c>
      <c r="Q292" t="s">
        <v>40</v>
      </c>
      <c r="R292" t="s">
        <v>88</v>
      </c>
      <c r="S292" t="s">
        <v>112</v>
      </c>
      <c r="T292" t="s">
        <v>55</v>
      </c>
      <c r="U292" t="s">
        <v>106</v>
      </c>
      <c r="V292" t="s">
        <v>74</v>
      </c>
      <c r="W292" t="s">
        <v>90</v>
      </c>
      <c r="X292" t="s">
        <v>125</v>
      </c>
      <c r="Y292">
        <v>117835.17</v>
      </c>
      <c r="Z292">
        <v>94268.14</v>
      </c>
      <c r="AA292">
        <v>0.8</v>
      </c>
      <c r="AB292" t="s">
        <v>39</v>
      </c>
      <c r="AC292" t="s">
        <v>39</v>
      </c>
      <c r="AD292" t="s">
        <v>48</v>
      </c>
    </row>
    <row r="293" spans="1:30" x14ac:dyDescent="0.35">
      <c r="A293" t="s">
        <v>30</v>
      </c>
      <c r="B293" t="s">
        <v>31</v>
      </c>
      <c r="C293" t="s">
        <v>454</v>
      </c>
      <c r="D293" t="s">
        <v>2305</v>
      </c>
      <c r="E293" t="s">
        <v>2306</v>
      </c>
      <c r="F293" t="s">
        <v>2307</v>
      </c>
      <c r="G293" t="s">
        <v>2308</v>
      </c>
      <c r="H293" t="s">
        <v>1302</v>
      </c>
      <c r="I293" t="s">
        <v>103</v>
      </c>
      <c r="J293" t="s">
        <v>39</v>
      </c>
      <c r="K293" s="2">
        <v>46366</v>
      </c>
      <c r="L293" s="2">
        <v>46387</v>
      </c>
      <c r="N293" s="2">
        <v>46357</v>
      </c>
      <c r="O293" s="2">
        <v>46722</v>
      </c>
      <c r="P293">
        <v>12</v>
      </c>
      <c r="Q293" t="s">
        <v>40</v>
      </c>
      <c r="R293" t="s">
        <v>41</v>
      </c>
      <c r="S293" t="s">
        <v>137</v>
      </c>
      <c r="T293" t="s">
        <v>97</v>
      </c>
      <c r="U293" t="s">
        <v>106</v>
      </c>
      <c r="V293" t="s">
        <v>144</v>
      </c>
      <c r="W293" t="s">
        <v>82</v>
      </c>
      <c r="X293" t="s">
        <v>143</v>
      </c>
      <c r="Y293">
        <v>94485.69</v>
      </c>
      <c r="Z293">
        <v>33069.99</v>
      </c>
      <c r="AA293">
        <v>0.35</v>
      </c>
      <c r="AB293" t="s">
        <v>39</v>
      </c>
      <c r="AC293" t="s">
        <v>39</v>
      </c>
      <c r="AD293" t="s">
        <v>48</v>
      </c>
    </row>
    <row r="294" spans="1:30" x14ac:dyDescent="0.35">
      <c r="A294" t="s">
        <v>30</v>
      </c>
      <c r="B294" t="s">
        <v>31</v>
      </c>
      <c r="C294" t="s">
        <v>454</v>
      </c>
      <c r="D294" t="s">
        <v>2309</v>
      </c>
      <c r="E294" t="s">
        <v>2310</v>
      </c>
      <c r="F294" t="s">
        <v>659</v>
      </c>
      <c r="G294" t="s">
        <v>660</v>
      </c>
      <c r="H294" t="s">
        <v>1302</v>
      </c>
      <c r="I294" t="s">
        <v>117</v>
      </c>
      <c r="J294" t="s">
        <v>39</v>
      </c>
      <c r="K294" s="2">
        <v>46371</v>
      </c>
      <c r="L294" s="2">
        <v>46387</v>
      </c>
      <c r="N294" s="2">
        <v>46357</v>
      </c>
      <c r="O294" s="2">
        <v>46722</v>
      </c>
      <c r="P294">
        <v>12</v>
      </c>
      <c r="Q294" t="s">
        <v>104</v>
      </c>
      <c r="R294" t="s">
        <v>53</v>
      </c>
      <c r="S294" t="s">
        <v>162</v>
      </c>
      <c r="T294" t="s">
        <v>43</v>
      </c>
      <c r="U294" t="s">
        <v>44</v>
      </c>
      <c r="V294" t="s">
        <v>74</v>
      </c>
      <c r="W294" t="s">
        <v>142</v>
      </c>
      <c r="X294" t="s">
        <v>91</v>
      </c>
      <c r="Y294">
        <v>98782.44</v>
      </c>
      <c r="Z294">
        <v>49391.22</v>
      </c>
      <c r="AA294">
        <v>0.5</v>
      </c>
      <c r="AB294" t="s">
        <v>39</v>
      </c>
      <c r="AC294" t="s">
        <v>39</v>
      </c>
      <c r="AD294" t="s">
        <v>48</v>
      </c>
    </row>
    <row r="295" spans="1:30" x14ac:dyDescent="0.35">
      <c r="A295" t="s">
        <v>30</v>
      </c>
      <c r="B295" t="s">
        <v>31</v>
      </c>
      <c r="C295" t="s">
        <v>454</v>
      </c>
      <c r="D295" t="s">
        <v>2311</v>
      </c>
      <c r="E295" t="s">
        <v>2312</v>
      </c>
      <c r="F295" t="s">
        <v>2313</v>
      </c>
      <c r="G295" t="s">
        <v>2314</v>
      </c>
      <c r="H295" t="s">
        <v>1302</v>
      </c>
      <c r="I295" t="s">
        <v>117</v>
      </c>
      <c r="J295" t="s">
        <v>39</v>
      </c>
      <c r="K295" s="2">
        <v>46367</v>
      </c>
      <c r="L295" s="2">
        <v>46387</v>
      </c>
      <c r="N295" s="2">
        <v>46357</v>
      </c>
      <c r="O295" s="2">
        <v>46722</v>
      </c>
      <c r="P295">
        <v>12</v>
      </c>
      <c r="Q295" t="s">
        <v>40</v>
      </c>
      <c r="R295" t="s">
        <v>41</v>
      </c>
      <c r="S295" t="s">
        <v>149</v>
      </c>
      <c r="T295" t="s">
        <v>131</v>
      </c>
      <c r="U295" t="s">
        <v>44</v>
      </c>
      <c r="V295" t="s">
        <v>81</v>
      </c>
      <c r="W295" t="s">
        <v>120</v>
      </c>
      <c r="X295" t="s">
        <v>91</v>
      </c>
      <c r="Y295">
        <v>97554.7</v>
      </c>
      <c r="Z295">
        <v>48777.35</v>
      </c>
      <c r="AA295">
        <v>0.5</v>
      </c>
      <c r="AB295" t="s">
        <v>39</v>
      </c>
      <c r="AC295" t="s">
        <v>39</v>
      </c>
      <c r="AD295" t="s">
        <v>48</v>
      </c>
    </row>
    <row r="296" spans="1:30" x14ac:dyDescent="0.35">
      <c r="A296" t="s">
        <v>30</v>
      </c>
      <c r="B296" t="s">
        <v>31</v>
      </c>
      <c r="C296" t="s">
        <v>32</v>
      </c>
      <c r="D296" t="s">
        <v>33</v>
      </c>
      <c r="E296" t="s">
        <v>34</v>
      </c>
      <c r="F296" t="s">
        <v>35</v>
      </c>
      <c r="G296" t="s">
        <v>36</v>
      </c>
      <c r="H296" t="s">
        <v>37</v>
      </c>
      <c r="I296" t="s">
        <v>38</v>
      </c>
      <c r="J296" t="s">
        <v>39</v>
      </c>
      <c r="K296" s="2">
        <v>46184</v>
      </c>
      <c r="L296" s="2">
        <v>46203</v>
      </c>
      <c r="N296" s="2">
        <v>46174</v>
      </c>
      <c r="O296" s="2">
        <v>46539</v>
      </c>
      <c r="P296">
        <v>12</v>
      </c>
      <c r="Q296" t="s">
        <v>40</v>
      </c>
      <c r="R296" t="s">
        <v>41</v>
      </c>
      <c r="S296" t="s">
        <v>42</v>
      </c>
      <c r="T296" t="s">
        <v>43</v>
      </c>
      <c r="U296" t="s">
        <v>44</v>
      </c>
      <c r="V296" t="s">
        <v>45</v>
      </c>
      <c r="W296" t="s">
        <v>46</v>
      </c>
      <c r="X296" t="s">
        <v>47</v>
      </c>
      <c r="Y296">
        <v>111678.03</v>
      </c>
      <c r="Z296">
        <v>39087.31</v>
      </c>
      <c r="AA296">
        <v>0.35</v>
      </c>
      <c r="AB296" t="s">
        <v>39</v>
      </c>
      <c r="AC296" t="s">
        <v>39</v>
      </c>
      <c r="AD296" t="s">
        <v>48</v>
      </c>
    </row>
    <row r="297" spans="1:30" x14ac:dyDescent="0.35">
      <c r="A297" t="s">
        <v>30</v>
      </c>
      <c r="B297" t="s">
        <v>31</v>
      </c>
      <c r="C297" t="s">
        <v>32</v>
      </c>
      <c r="D297" t="s">
        <v>49</v>
      </c>
      <c r="E297" t="s">
        <v>50</v>
      </c>
      <c r="F297" t="s">
        <v>51</v>
      </c>
      <c r="G297" t="s">
        <v>52</v>
      </c>
      <c r="H297" t="s">
        <v>37</v>
      </c>
      <c r="I297" t="s">
        <v>38</v>
      </c>
      <c r="J297" t="s">
        <v>39</v>
      </c>
      <c r="K297" s="2">
        <v>46184</v>
      </c>
      <c r="L297" s="2">
        <v>46203</v>
      </c>
      <c r="N297" s="2">
        <v>46174</v>
      </c>
      <c r="O297" s="2">
        <v>47270</v>
      </c>
      <c r="P297">
        <v>36</v>
      </c>
      <c r="Q297" t="s">
        <v>40</v>
      </c>
      <c r="R297" t="s">
        <v>53</v>
      </c>
      <c r="S297" t="s">
        <v>54</v>
      </c>
      <c r="T297" t="s">
        <v>55</v>
      </c>
      <c r="U297" t="s">
        <v>56</v>
      </c>
      <c r="V297" t="s">
        <v>57</v>
      </c>
      <c r="W297" t="s">
        <v>58</v>
      </c>
      <c r="X297" t="s">
        <v>59</v>
      </c>
      <c r="Y297">
        <v>156334.93</v>
      </c>
      <c r="Z297">
        <v>78167.460000000006</v>
      </c>
      <c r="AA297">
        <v>0.5</v>
      </c>
      <c r="AB297" t="s">
        <v>39</v>
      </c>
      <c r="AC297" t="s">
        <v>39</v>
      </c>
      <c r="AD297" t="s">
        <v>48</v>
      </c>
    </row>
    <row r="298" spans="1:30" x14ac:dyDescent="0.35">
      <c r="A298" t="s">
        <v>30</v>
      </c>
      <c r="B298" t="s">
        <v>31</v>
      </c>
      <c r="C298" t="s">
        <v>32</v>
      </c>
      <c r="D298" t="s">
        <v>60</v>
      </c>
      <c r="E298" t="s">
        <v>61</v>
      </c>
      <c r="F298" t="s">
        <v>62</v>
      </c>
      <c r="G298" t="s">
        <v>63</v>
      </c>
      <c r="H298" t="s">
        <v>37</v>
      </c>
      <c r="I298" t="s">
        <v>64</v>
      </c>
      <c r="J298" t="s">
        <v>39</v>
      </c>
      <c r="K298" s="2">
        <v>46185</v>
      </c>
      <c r="L298" s="2">
        <v>46203</v>
      </c>
      <c r="N298" s="2">
        <v>46174</v>
      </c>
      <c r="O298" s="2">
        <v>46539</v>
      </c>
      <c r="P298">
        <v>12</v>
      </c>
      <c r="Q298" t="s">
        <v>65</v>
      </c>
      <c r="R298" t="s">
        <v>41</v>
      </c>
      <c r="S298" t="s">
        <v>66</v>
      </c>
      <c r="T298" t="s">
        <v>55</v>
      </c>
      <c r="U298" t="s">
        <v>44</v>
      </c>
      <c r="V298" t="s">
        <v>67</v>
      </c>
      <c r="W298" t="s">
        <v>58</v>
      </c>
      <c r="X298" t="s">
        <v>68</v>
      </c>
      <c r="Y298">
        <v>154824.72</v>
      </c>
      <c r="Z298">
        <v>123859.78</v>
      </c>
      <c r="AA298">
        <v>0.8</v>
      </c>
      <c r="AB298" t="s">
        <v>39</v>
      </c>
      <c r="AC298" t="s">
        <v>39</v>
      </c>
      <c r="AD298" t="s">
        <v>48</v>
      </c>
    </row>
    <row r="299" spans="1:30" x14ac:dyDescent="0.35">
      <c r="A299" t="s">
        <v>30</v>
      </c>
      <c r="B299" t="s">
        <v>31</v>
      </c>
      <c r="C299" t="s">
        <v>32</v>
      </c>
      <c r="D299" t="s">
        <v>69</v>
      </c>
      <c r="E299" t="s">
        <v>70</v>
      </c>
      <c r="F299" t="s">
        <v>71</v>
      </c>
      <c r="G299" t="s">
        <v>72</v>
      </c>
      <c r="H299" t="s">
        <v>37</v>
      </c>
      <c r="I299" t="s">
        <v>64</v>
      </c>
      <c r="J299" t="s">
        <v>39</v>
      </c>
      <c r="K299" s="2">
        <v>46186</v>
      </c>
      <c r="L299" s="2">
        <v>46203</v>
      </c>
      <c r="N299" s="2">
        <v>46174</v>
      </c>
      <c r="O299" s="2">
        <v>47270</v>
      </c>
      <c r="P299">
        <v>36</v>
      </c>
      <c r="Q299" t="s">
        <v>40</v>
      </c>
      <c r="R299" t="s">
        <v>41</v>
      </c>
      <c r="S299" t="s">
        <v>73</v>
      </c>
      <c r="T299" t="s">
        <v>43</v>
      </c>
      <c r="U299" t="s">
        <v>56</v>
      </c>
      <c r="V299" t="s">
        <v>74</v>
      </c>
      <c r="W299" t="s">
        <v>75</v>
      </c>
      <c r="X299" t="s">
        <v>68</v>
      </c>
      <c r="Y299">
        <v>202499.39</v>
      </c>
      <c r="Z299">
        <v>161999.51</v>
      </c>
      <c r="AA299">
        <v>0.8</v>
      </c>
      <c r="AB299" t="s">
        <v>39</v>
      </c>
      <c r="AC299" t="s">
        <v>39</v>
      </c>
      <c r="AD299" t="s">
        <v>48</v>
      </c>
    </row>
    <row r="300" spans="1:30" x14ac:dyDescent="0.35">
      <c r="A300" t="s">
        <v>30</v>
      </c>
      <c r="B300" t="s">
        <v>31</v>
      </c>
      <c r="C300" t="s">
        <v>32</v>
      </c>
      <c r="D300" t="s">
        <v>76</v>
      </c>
      <c r="E300" t="s">
        <v>77</v>
      </c>
      <c r="F300" t="s">
        <v>78</v>
      </c>
      <c r="G300" t="s">
        <v>79</v>
      </c>
      <c r="H300" t="s">
        <v>37</v>
      </c>
      <c r="I300" t="s">
        <v>38</v>
      </c>
      <c r="J300" t="s">
        <v>39</v>
      </c>
      <c r="K300" s="2">
        <v>46184</v>
      </c>
      <c r="L300" s="2">
        <v>46203</v>
      </c>
      <c r="N300" s="2">
        <v>46174</v>
      </c>
      <c r="O300" s="2">
        <v>46539</v>
      </c>
      <c r="P300">
        <v>12</v>
      </c>
      <c r="Q300" t="s">
        <v>65</v>
      </c>
      <c r="R300" t="s">
        <v>53</v>
      </c>
      <c r="S300" t="s">
        <v>80</v>
      </c>
      <c r="T300" t="s">
        <v>43</v>
      </c>
      <c r="U300" t="s">
        <v>44</v>
      </c>
      <c r="V300" t="s">
        <v>81</v>
      </c>
      <c r="W300" t="s">
        <v>82</v>
      </c>
      <c r="X300" t="s">
        <v>83</v>
      </c>
      <c r="Y300">
        <v>166528.62</v>
      </c>
      <c r="Z300">
        <v>108243.6</v>
      </c>
      <c r="AA300">
        <v>0.65</v>
      </c>
      <c r="AB300" t="s">
        <v>39</v>
      </c>
      <c r="AC300" t="s">
        <v>39</v>
      </c>
      <c r="AD300" t="s">
        <v>48</v>
      </c>
    </row>
    <row r="301" spans="1:30" x14ac:dyDescent="0.35">
      <c r="A301" t="s">
        <v>30</v>
      </c>
      <c r="B301" t="s">
        <v>31</v>
      </c>
      <c r="C301" t="s">
        <v>32</v>
      </c>
      <c r="D301" t="s">
        <v>84</v>
      </c>
      <c r="E301" t="s">
        <v>85</v>
      </c>
      <c r="F301" t="s">
        <v>86</v>
      </c>
      <c r="G301" t="s">
        <v>87</v>
      </c>
      <c r="H301" t="s">
        <v>37</v>
      </c>
      <c r="I301" t="s">
        <v>38</v>
      </c>
      <c r="J301" t="s">
        <v>39</v>
      </c>
      <c r="K301" s="2">
        <v>46181</v>
      </c>
      <c r="L301" s="2">
        <v>46203</v>
      </c>
      <c r="N301" s="2">
        <v>46174</v>
      </c>
      <c r="O301" s="2">
        <v>46905</v>
      </c>
      <c r="P301">
        <v>24</v>
      </c>
      <c r="Q301" t="s">
        <v>65</v>
      </c>
      <c r="R301" t="s">
        <v>88</v>
      </c>
      <c r="S301" t="s">
        <v>89</v>
      </c>
      <c r="T301" t="s">
        <v>55</v>
      </c>
      <c r="U301" t="s">
        <v>44</v>
      </c>
      <c r="V301" t="s">
        <v>57</v>
      </c>
      <c r="W301" t="s">
        <v>90</v>
      </c>
      <c r="X301" t="s">
        <v>91</v>
      </c>
      <c r="Y301">
        <v>137783.81</v>
      </c>
      <c r="Z301">
        <v>89559.48</v>
      </c>
      <c r="AA301">
        <v>0.65</v>
      </c>
      <c r="AB301" t="s">
        <v>39</v>
      </c>
      <c r="AC301" t="s">
        <v>39</v>
      </c>
      <c r="AD301" t="s">
        <v>48</v>
      </c>
    </row>
    <row r="302" spans="1:30" x14ac:dyDescent="0.35">
      <c r="A302" t="s">
        <v>30</v>
      </c>
      <c r="B302" t="s">
        <v>31</v>
      </c>
      <c r="C302" t="s">
        <v>32</v>
      </c>
      <c r="D302" t="s">
        <v>92</v>
      </c>
      <c r="E302" t="s">
        <v>93</v>
      </c>
      <c r="F302" t="s">
        <v>94</v>
      </c>
      <c r="G302" t="s">
        <v>95</v>
      </c>
      <c r="H302" t="s">
        <v>37</v>
      </c>
      <c r="I302" t="s">
        <v>64</v>
      </c>
      <c r="J302" t="s">
        <v>39</v>
      </c>
      <c r="K302" s="2">
        <v>46174</v>
      </c>
      <c r="L302" s="2">
        <v>46203</v>
      </c>
      <c r="N302" s="2">
        <v>46174</v>
      </c>
      <c r="O302" s="2">
        <v>46905</v>
      </c>
      <c r="P302">
        <v>24</v>
      </c>
      <c r="Q302" t="s">
        <v>40</v>
      </c>
      <c r="R302" t="s">
        <v>41</v>
      </c>
      <c r="S302" t="s">
        <v>96</v>
      </c>
      <c r="T302" t="s">
        <v>97</v>
      </c>
      <c r="U302" t="s">
        <v>56</v>
      </c>
      <c r="V302" t="s">
        <v>98</v>
      </c>
      <c r="W302" t="s">
        <v>82</v>
      </c>
      <c r="X302" t="s">
        <v>47</v>
      </c>
      <c r="Y302">
        <v>105328.37</v>
      </c>
      <c r="Z302">
        <v>68463.44</v>
      </c>
      <c r="AA302">
        <v>0.65</v>
      </c>
      <c r="AB302" t="s">
        <v>39</v>
      </c>
      <c r="AC302" t="s">
        <v>39</v>
      </c>
      <c r="AD302" t="s">
        <v>48</v>
      </c>
    </row>
    <row r="303" spans="1:30" x14ac:dyDescent="0.35">
      <c r="A303" t="s">
        <v>30</v>
      </c>
      <c r="B303" t="s">
        <v>31</v>
      </c>
      <c r="C303" t="s">
        <v>32</v>
      </c>
      <c r="D303" t="s">
        <v>99</v>
      </c>
      <c r="E303" t="s">
        <v>100</v>
      </c>
      <c r="F303" t="s">
        <v>101</v>
      </c>
      <c r="G303" t="s">
        <v>102</v>
      </c>
      <c r="H303" t="s">
        <v>37</v>
      </c>
      <c r="I303" t="s">
        <v>103</v>
      </c>
      <c r="J303" t="s">
        <v>39</v>
      </c>
      <c r="K303" s="2">
        <v>46175</v>
      </c>
      <c r="L303" s="2">
        <v>46203</v>
      </c>
      <c r="N303" s="2">
        <v>46174</v>
      </c>
      <c r="O303" s="2">
        <v>46539</v>
      </c>
      <c r="P303">
        <v>12</v>
      </c>
      <c r="Q303" t="s">
        <v>104</v>
      </c>
      <c r="R303" t="s">
        <v>41</v>
      </c>
      <c r="S303" t="s">
        <v>105</v>
      </c>
      <c r="T303" t="s">
        <v>55</v>
      </c>
      <c r="U303" t="s">
        <v>106</v>
      </c>
      <c r="V303" t="s">
        <v>81</v>
      </c>
      <c r="W303" t="s">
        <v>46</v>
      </c>
      <c r="X303" t="s">
        <v>91</v>
      </c>
      <c r="Y303">
        <v>165730.74</v>
      </c>
      <c r="Z303">
        <v>82865.37</v>
      </c>
      <c r="AA303">
        <v>0.5</v>
      </c>
      <c r="AB303" t="s">
        <v>39</v>
      </c>
      <c r="AC303" t="s">
        <v>39</v>
      </c>
      <c r="AD303" t="s">
        <v>48</v>
      </c>
    </row>
    <row r="304" spans="1:30" x14ac:dyDescent="0.35">
      <c r="A304" t="s">
        <v>30</v>
      </c>
      <c r="B304" t="s">
        <v>31</v>
      </c>
      <c r="C304" t="s">
        <v>32</v>
      </c>
      <c r="D304" t="s">
        <v>107</v>
      </c>
      <c r="E304" t="s">
        <v>108</v>
      </c>
      <c r="F304" t="s">
        <v>109</v>
      </c>
      <c r="G304" t="s">
        <v>110</v>
      </c>
      <c r="H304" t="s">
        <v>37</v>
      </c>
      <c r="I304" t="s">
        <v>111</v>
      </c>
      <c r="J304" t="s">
        <v>39</v>
      </c>
      <c r="K304" s="2">
        <v>46179</v>
      </c>
      <c r="L304" s="2">
        <v>46203</v>
      </c>
      <c r="N304" s="2">
        <v>46174</v>
      </c>
      <c r="O304" s="2">
        <v>46905</v>
      </c>
      <c r="P304">
        <v>24</v>
      </c>
      <c r="Q304" t="s">
        <v>65</v>
      </c>
      <c r="R304" t="s">
        <v>41</v>
      </c>
      <c r="S304" t="s">
        <v>112</v>
      </c>
      <c r="T304" t="s">
        <v>55</v>
      </c>
      <c r="U304" t="s">
        <v>56</v>
      </c>
      <c r="V304" t="s">
        <v>81</v>
      </c>
      <c r="W304" t="s">
        <v>46</v>
      </c>
      <c r="X304" t="s">
        <v>47</v>
      </c>
      <c r="Y304">
        <v>115097.51</v>
      </c>
      <c r="Z304">
        <v>74813.38</v>
      </c>
      <c r="AA304">
        <v>0.65</v>
      </c>
      <c r="AB304" t="s">
        <v>39</v>
      </c>
      <c r="AC304" t="s">
        <v>39</v>
      </c>
      <c r="AD304" t="s">
        <v>48</v>
      </c>
    </row>
    <row r="305" spans="1:30" x14ac:dyDescent="0.35">
      <c r="A305" t="s">
        <v>30</v>
      </c>
      <c r="B305" t="s">
        <v>31</v>
      </c>
      <c r="C305" t="s">
        <v>32</v>
      </c>
      <c r="D305" t="s">
        <v>113</v>
      </c>
      <c r="E305" t="s">
        <v>114</v>
      </c>
      <c r="F305" t="s">
        <v>115</v>
      </c>
      <c r="G305" t="s">
        <v>116</v>
      </c>
      <c r="H305" t="s">
        <v>37</v>
      </c>
      <c r="I305" t="s">
        <v>117</v>
      </c>
      <c r="J305" t="s">
        <v>39</v>
      </c>
      <c r="K305" s="2">
        <v>46181</v>
      </c>
      <c r="L305" s="2">
        <v>46203</v>
      </c>
      <c r="N305" s="2">
        <v>46174</v>
      </c>
      <c r="O305" s="2">
        <v>47270</v>
      </c>
      <c r="P305">
        <v>36</v>
      </c>
      <c r="Q305" t="s">
        <v>104</v>
      </c>
      <c r="R305" t="s">
        <v>88</v>
      </c>
      <c r="S305" t="s">
        <v>118</v>
      </c>
      <c r="T305" t="s">
        <v>97</v>
      </c>
      <c r="U305" t="s">
        <v>106</v>
      </c>
      <c r="V305" t="s">
        <v>119</v>
      </c>
      <c r="W305" t="s">
        <v>120</v>
      </c>
      <c r="X305" t="s">
        <v>91</v>
      </c>
      <c r="Y305">
        <v>100863.24</v>
      </c>
      <c r="Z305">
        <v>50431.62</v>
      </c>
      <c r="AA305">
        <v>0.5</v>
      </c>
      <c r="AB305" t="s">
        <v>39</v>
      </c>
      <c r="AC305" t="s">
        <v>39</v>
      </c>
      <c r="AD305" t="s">
        <v>48</v>
      </c>
    </row>
    <row r="306" spans="1:30" x14ac:dyDescent="0.35">
      <c r="A306" t="s">
        <v>30</v>
      </c>
      <c r="B306" t="s">
        <v>31</v>
      </c>
      <c r="C306" t="s">
        <v>32</v>
      </c>
      <c r="D306" t="s">
        <v>121</v>
      </c>
      <c r="E306" t="s">
        <v>122</v>
      </c>
      <c r="F306" t="s">
        <v>123</v>
      </c>
      <c r="G306" t="s">
        <v>124</v>
      </c>
      <c r="H306" t="s">
        <v>37</v>
      </c>
      <c r="I306" t="s">
        <v>64</v>
      </c>
      <c r="J306" t="s">
        <v>39</v>
      </c>
      <c r="K306" s="2">
        <v>46179</v>
      </c>
      <c r="L306" s="2">
        <v>46203</v>
      </c>
      <c r="N306" s="2">
        <v>46174</v>
      </c>
      <c r="O306" s="2">
        <v>46905</v>
      </c>
      <c r="P306">
        <v>24</v>
      </c>
      <c r="Q306" t="s">
        <v>65</v>
      </c>
      <c r="R306" t="s">
        <v>53</v>
      </c>
      <c r="S306" t="s">
        <v>42</v>
      </c>
      <c r="T306" t="s">
        <v>43</v>
      </c>
      <c r="U306" t="s">
        <v>56</v>
      </c>
      <c r="V306" t="s">
        <v>45</v>
      </c>
      <c r="W306" t="s">
        <v>75</v>
      </c>
      <c r="X306" t="s">
        <v>125</v>
      </c>
      <c r="Y306">
        <v>212753.1</v>
      </c>
      <c r="Z306">
        <v>106376.55</v>
      </c>
      <c r="AA306">
        <v>0.5</v>
      </c>
      <c r="AB306" t="s">
        <v>39</v>
      </c>
      <c r="AC306" t="s">
        <v>39</v>
      </c>
      <c r="AD306" t="s">
        <v>48</v>
      </c>
    </row>
    <row r="307" spans="1:30" x14ac:dyDescent="0.35">
      <c r="A307" t="s">
        <v>30</v>
      </c>
      <c r="B307" t="s">
        <v>31</v>
      </c>
      <c r="C307" t="s">
        <v>32</v>
      </c>
      <c r="D307" t="s">
        <v>126</v>
      </c>
      <c r="E307" t="s">
        <v>127</v>
      </c>
      <c r="F307" t="s">
        <v>128</v>
      </c>
      <c r="G307" t="s">
        <v>129</v>
      </c>
      <c r="H307" t="s">
        <v>37</v>
      </c>
      <c r="I307" t="s">
        <v>103</v>
      </c>
      <c r="J307" t="s">
        <v>39</v>
      </c>
      <c r="K307" s="2">
        <v>46177</v>
      </c>
      <c r="L307" s="2">
        <v>46203</v>
      </c>
      <c r="N307" s="2">
        <v>46174</v>
      </c>
      <c r="O307" s="2">
        <v>46539</v>
      </c>
      <c r="P307">
        <v>12</v>
      </c>
      <c r="Q307" t="s">
        <v>40</v>
      </c>
      <c r="R307" t="s">
        <v>88</v>
      </c>
      <c r="S307" t="s">
        <v>42</v>
      </c>
      <c r="T307" t="s">
        <v>43</v>
      </c>
      <c r="U307" t="s">
        <v>106</v>
      </c>
      <c r="V307" t="s">
        <v>81</v>
      </c>
      <c r="W307" t="s">
        <v>82</v>
      </c>
      <c r="X307" t="s">
        <v>91</v>
      </c>
      <c r="Y307">
        <v>213366.54</v>
      </c>
      <c r="Z307">
        <v>138688.25</v>
      </c>
      <c r="AA307">
        <v>0.65</v>
      </c>
      <c r="AB307" t="s">
        <v>39</v>
      </c>
      <c r="AC307" t="s">
        <v>39</v>
      </c>
      <c r="AD307" t="s">
        <v>48</v>
      </c>
    </row>
    <row r="308" spans="1:30" x14ac:dyDescent="0.35">
      <c r="A308" t="s">
        <v>30</v>
      </c>
      <c r="B308" t="s">
        <v>31</v>
      </c>
      <c r="C308" t="s">
        <v>32</v>
      </c>
      <c r="D308" t="s">
        <v>1945</v>
      </c>
      <c r="E308" t="s">
        <v>1946</v>
      </c>
      <c r="F308" t="s">
        <v>1947</v>
      </c>
      <c r="G308" t="s">
        <v>1948</v>
      </c>
      <c r="H308" t="s">
        <v>1271</v>
      </c>
      <c r="I308" t="s">
        <v>38</v>
      </c>
      <c r="J308" t="s">
        <v>39</v>
      </c>
      <c r="K308" s="2">
        <v>46180</v>
      </c>
      <c r="L308" s="2">
        <v>46203</v>
      </c>
      <c r="N308" s="2">
        <v>46174</v>
      </c>
      <c r="O308" s="2">
        <v>46539</v>
      </c>
      <c r="P308">
        <v>12</v>
      </c>
      <c r="Q308" t="s">
        <v>65</v>
      </c>
      <c r="R308" t="s">
        <v>41</v>
      </c>
      <c r="S308" t="s">
        <v>80</v>
      </c>
      <c r="T308" t="s">
        <v>43</v>
      </c>
      <c r="U308" t="s">
        <v>44</v>
      </c>
      <c r="V308" t="s">
        <v>98</v>
      </c>
      <c r="W308" t="s">
        <v>90</v>
      </c>
      <c r="X308" t="s">
        <v>59</v>
      </c>
      <c r="Y308">
        <v>104671.2</v>
      </c>
      <c r="Z308">
        <v>68036.28</v>
      </c>
      <c r="AA308">
        <v>0.65</v>
      </c>
      <c r="AB308" t="s">
        <v>39</v>
      </c>
      <c r="AC308" t="s">
        <v>39</v>
      </c>
      <c r="AD308" t="s">
        <v>48</v>
      </c>
    </row>
    <row r="309" spans="1:30" x14ac:dyDescent="0.35">
      <c r="A309" t="s">
        <v>30</v>
      </c>
      <c r="B309" t="s">
        <v>31</v>
      </c>
      <c r="C309" t="s">
        <v>32</v>
      </c>
      <c r="D309" t="s">
        <v>1949</v>
      </c>
      <c r="E309" t="s">
        <v>1950</v>
      </c>
      <c r="F309" t="s">
        <v>1951</v>
      </c>
      <c r="G309" t="s">
        <v>1952</v>
      </c>
      <c r="H309" t="s">
        <v>1271</v>
      </c>
      <c r="I309" t="s">
        <v>38</v>
      </c>
      <c r="J309" t="s">
        <v>39</v>
      </c>
      <c r="K309" s="2">
        <v>46183</v>
      </c>
      <c r="L309" s="2">
        <v>46203</v>
      </c>
      <c r="N309" s="2">
        <v>46174</v>
      </c>
      <c r="O309" s="2">
        <v>46539</v>
      </c>
      <c r="P309">
        <v>12</v>
      </c>
      <c r="Q309" t="s">
        <v>65</v>
      </c>
      <c r="R309" t="s">
        <v>53</v>
      </c>
      <c r="S309" t="s">
        <v>66</v>
      </c>
      <c r="T309" t="s">
        <v>55</v>
      </c>
      <c r="U309" t="s">
        <v>44</v>
      </c>
      <c r="V309" t="s">
        <v>98</v>
      </c>
      <c r="W309" t="s">
        <v>136</v>
      </c>
      <c r="X309" t="s">
        <v>143</v>
      </c>
      <c r="Y309">
        <v>159274.68</v>
      </c>
      <c r="Z309">
        <v>127419.75</v>
      </c>
      <c r="AA309">
        <v>0.8</v>
      </c>
      <c r="AB309" t="s">
        <v>39</v>
      </c>
      <c r="AC309" t="s">
        <v>39</v>
      </c>
      <c r="AD309" t="s">
        <v>48</v>
      </c>
    </row>
    <row r="310" spans="1:30" x14ac:dyDescent="0.35">
      <c r="A310" t="s">
        <v>30</v>
      </c>
      <c r="B310" t="s">
        <v>31</v>
      </c>
      <c r="C310" t="s">
        <v>32</v>
      </c>
      <c r="D310" t="s">
        <v>1953</v>
      </c>
      <c r="E310" t="s">
        <v>1954</v>
      </c>
      <c r="F310" t="s">
        <v>1955</v>
      </c>
      <c r="G310" t="s">
        <v>1956</v>
      </c>
      <c r="H310" t="s">
        <v>1271</v>
      </c>
      <c r="I310" t="s">
        <v>38</v>
      </c>
      <c r="J310" t="s">
        <v>39</v>
      </c>
      <c r="K310" s="2">
        <v>46177</v>
      </c>
      <c r="L310" s="2">
        <v>46203</v>
      </c>
      <c r="N310" s="2">
        <v>46174</v>
      </c>
      <c r="O310" s="2">
        <v>46539</v>
      </c>
      <c r="P310">
        <v>12</v>
      </c>
      <c r="Q310" t="s">
        <v>104</v>
      </c>
      <c r="R310" t="s">
        <v>41</v>
      </c>
      <c r="S310" t="s">
        <v>89</v>
      </c>
      <c r="T310" t="s">
        <v>55</v>
      </c>
      <c r="U310" t="s">
        <v>56</v>
      </c>
      <c r="V310" t="s">
        <v>74</v>
      </c>
      <c r="W310" t="s">
        <v>90</v>
      </c>
      <c r="X310" t="s">
        <v>91</v>
      </c>
      <c r="Y310">
        <v>82643.94</v>
      </c>
      <c r="Z310">
        <v>28925.38</v>
      </c>
      <c r="AA310">
        <v>0.35</v>
      </c>
      <c r="AB310" t="s">
        <v>39</v>
      </c>
      <c r="AC310" t="s">
        <v>39</v>
      </c>
      <c r="AD310" t="s">
        <v>48</v>
      </c>
    </row>
    <row r="311" spans="1:30" x14ac:dyDescent="0.35">
      <c r="A311" t="s">
        <v>30</v>
      </c>
      <c r="B311" t="s">
        <v>31</v>
      </c>
      <c r="C311" t="s">
        <v>32</v>
      </c>
      <c r="D311" t="s">
        <v>1957</v>
      </c>
      <c r="E311" t="s">
        <v>1958</v>
      </c>
      <c r="F311" t="s">
        <v>1959</v>
      </c>
      <c r="G311" t="s">
        <v>1960</v>
      </c>
      <c r="H311" t="s">
        <v>1271</v>
      </c>
      <c r="I311" t="s">
        <v>103</v>
      </c>
      <c r="J311" t="s">
        <v>39</v>
      </c>
      <c r="K311" s="2">
        <v>46185</v>
      </c>
      <c r="L311" s="2">
        <v>46203</v>
      </c>
      <c r="N311" s="2">
        <v>46174</v>
      </c>
      <c r="O311" s="2">
        <v>46905</v>
      </c>
      <c r="P311">
        <v>24</v>
      </c>
      <c r="Q311" t="s">
        <v>104</v>
      </c>
      <c r="R311" t="s">
        <v>88</v>
      </c>
      <c r="S311" t="s">
        <v>164</v>
      </c>
      <c r="T311" t="s">
        <v>55</v>
      </c>
      <c r="U311" t="s">
        <v>56</v>
      </c>
      <c r="V311" t="s">
        <v>119</v>
      </c>
      <c r="W311" t="s">
        <v>120</v>
      </c>
      <c r="X311" t="s">
        <v>143</v>
      </c>
      <c r="Y311">
        <v>148946.04</v>
      </c>
      <c r="Z311">
        <v>119156.83</v>
      </c>
      <c r="AA311">
        <v>0.8</v>
      </c>
      <c r="AB311" t="s">
        <v>39</v>
      </c>
      <c r="AC311" t="s">
        <v>39</v>
      </c>
      <c r="AD311" t="s">
        <v>48</v>
      </c>
    </row>
    <row r="312" spans="1:30" x14ac:dyDescent="0.35">
      <c r="A312" t="s">
        <v>30</v>
      </c>
      <c r="B312" t="s">
        <v>31</v>
      </c>
      <c r="C312" t="s">
        <v>32</v>
      </c>
      <c r="D312" t="s">
        <v>1961</v>
      </c>
      <c r="E312" t="s">
        <v>1962</v>
      </c>
      <c r="F312" t="s">
        <v>1963</v>
      </c>
      <c r="G312" t="s">
        <v>1964</v>
      </c>
      <c r="H312" t="s">
        <v>1271</v>
      </c>
      <c r="I312" t="s">
        <v>111</v>
      </c>
      <c r="J312" t="s">
        <v>39</v>
      </c>
      <c r="K312" s="2">
        <v>46179</v>
      </c>
      <c r="L312" s="2">
        <v>46203</v>
      </c>
      <c r="N312" s="2">
        <v>46174</v>
      </c>
      <c r="O312" s="2">
        <v>46539</v>
      </c>
      <c r="P312">
        <v>12</v>
      </c>
      <c r="Q312" t="s">
        <v>40</v>
      </c>
      <c r="R312" t="s">
        <v>53</v>
      </c>
      <c r="S312" t="s">
        <v>162</v>
      </c>
      <c r="T312" t="s">
        <v>43</v>
      </c>
      <c r="U312" t="s">
        <v>106</v>
      </c>
      <c r="V312" t="s">
        <v>217</v>
      </c>
      <c r="W312" t="s">
        <v>46</v>
      </c>
      <c r="X312" t="s">
        <v>91</v>
      </c>
      <c r="Y312">
        <v>151560.75</v>
      </c>
      <c r="Z312">
        <v>98514.49</v>
      </c>
      <c r="AA312">
        <v>0.65</v>
      </c>
      <c r="AB312" t="s">
        <v>39</v>
      </c>
      <c r="AC312" t="s">
        <v>39</v>
      </c>
      <c r="AD312" t="s">
        <v>48</v>
      </c>
    </row>
    <row r="313" spans="1:30" x14ac:dyDescent="0.35">
      <c r="A313" t="s">
        <v>30</v>
      </c>
      <c r="B313" t="s">
        <v>31</v>
      </c>
      <c r="C313" t="s">
        <v>32</v>
      </c>
      <c r="D313" t="s">
        <v>1965</v>
      </c>
      <c r="E313" t="s">
        <v>1966</v>
      </c>
      <c r="F313" t="s">
        <v>1967</v>
      </c>
      <c r="G313" t="s">
        <v>1968</v>
      </c>
      <c r="H313" t="s">
        <v>1271</v>
      </c>
      <c r="I313" t="s">
        <v>117</v>
      </c>
      <c r="J313" t="s">
        <v>39</v>
      </c>
      <c r="K313" s="2">
        <v>46188</v>
      </c>
      <c r="L313" s="2">
        <v>46203</v>
      </c>
      <c r="N313" s="2">
        <v>46174</v>
      </c>
      <c r="O313" s="2">
        <v>47270</v>
      </c>
      <c r="P313">
        <v>36</v>
      </c>
      <c r="Q313" t="s">
        <v>65</v>
      </c>
      <c r="R313" t="s">
        <v>53</v>
      </c>
      <c r="S313" t="s">
        <v>130</v>
      </c>
      <c r="T313" t="s">
        <v>131</v>
      </c>
      <c r="U313" t="s">
        <v>56</v>
      </c>
      <c r="V313" t="s">
        <v>119</v>
      </c>
      <c r="W313" t="s">
        <v>142</v>
      </c>
      <c r="X313" t="s">
        <v>143</v>
      </c>
      <c r="Y313">
        <v>176519.85</v>
      </c>
      <c r="Z313">
        <v>61781.95</v>
      </c>
      <c r="AA313">
        <v>0.35</v>
      </c>
      <c r="AB313" t="s">
        <v>39</v>
      </c>
      <c r="AC313" t="s">
        <v>39</v>
      </c>
      <c r="AD313" t="s">
        <v>48</v>
      </c>
    </row>
    <row r="314" spans="1:30" x14ac:dyDescent="0.35">
      <c r="A314" t="s">
        <v>30</v>
      </c>
      <c r="B314" t="s">
        <v>31</v>
      </c>
      <c r="C314" t="s">
        <v>32</v>
      </c>
      <c r="D314" t="s">
        <v>1969</v>
      </c>
      <c r="E314" t="s">
        <v>1970</v>
      </c>
      <c r="F314" t="s">
        <v>397</v>
      </c>
      <c r="G314" t="s">
        <v>398</v>
      </c>
      <c r="H314" t="s">
        <v>1271</v>
      </c>
      <c r="I314" t="s">
        <v>64</v>
      </c>
      <c r="J314" t="s">
        <v>39</v>
      </c>
      <c r="K314" s="2">
        <v>46175</v>
      </c>
      <c r="L314" s="2">
        <v>46203</v>
      </c>
      <c r="N314" s="2">
        <v>46174</v>
      </c>
      <c r="O314" s="2">
        <v>47270</v>
      </c>
      <c r="P314">
        <v>36</v>
      </c>
      <c r="Q314" t="s">
        <v>40</v>
      </c>
      <c r="R314" t="s">
        <v>88</v>
      </c>
      <c r="S314" t="s">
        <v>182</v>
      </c>
      <c r="T314" t="s">
        <v>97</v>
      </c>
      <c r="U314" t="s">
        <v>44</v>
      </c>
      <c r="V314" t="s">
        <v>67</v>
      </c>
      <c r="W314" t="s">
        <v>132</v>
      </c>
      <c r="X314" t="s">
        <v>68</v>
      </c>
      <c r="Y314">
        <v>117201.53</v>
      </c>
      <c r="Z314">
        <v>76181</v>
      </c>
      <c r="AA314">
        <v>0.65</v>
      </c>
      <c r="AB314" t="s">
        <v>39</v>
      </c>
      <c r="AC314" t="s">
        <v>39</v>
      </c>
      <c r="AD314" t="s">
        <v>48</v>
      </c>
    </row>
    <row r="315" spans="1:30" x14ac:dyDescent="0.35">
      <c r="A315" t="s">
        <v>30</v>
      </c>
      <c r="B315" t="s">
        <v>31</v>
      </c>
      <c r="C315" t="s">
        <v>32</v>
      </c>
      <c r="D315" t="s">
        <v>1971</v>
      </c>
      <c r="E315" t="s">
        <v>1972</v>
      </c>
      <c r="F315" t="s">
        <v>1973</v>
      </c>
      <c r="G315" t="s">
        <v>1974</v>
      </c>
      <c r="H315" t="s">
        <v>1290</v>
      </c>
      <c r="I315" t="s">
        <v>64</v>
      </c>
      <c r="J315" t="s">
        <v>1290</v>
      </c>
      <c r="K315" s="2">
        <v>46180</v>
      </c>
      <c r="L315" s="2">
        <v>46203</v>
      </c>
      <c r="N315" s="2">
        <v>46174</v>
      </c>
      <c r="O315" s="2">
        <v>46539</v>
      </c>
      <c r="P315">
        <v>12</v>
      </c>
      <c r="Q315" t="s">
        <v>40</v>
      </c>
      <c r="R315" t="s">
        <v>53</v>
      </c>
      <c r="S315" t="s">
        <v>140</v>
      </c>
      <c r="T315" t="s">
        <v>97</v>
      </c>
      <c r="U315" t="s">
        <v>44</v>
      </c>
      <c r="V315" t="s">
        <v>81</v>
      </c>
      <c r="W315" t="s">
        <v>90</v>
      </c>
      <c r="X315" t="s">
        <v>68</v>
      </c>
      <c r="Y315">
        <v>153926.46</v>
      </c>
      <c r="Z315">
        <v>53874.26</v>
      </c>
      <c r="AA315">
        <v>0.35</v>
      </c>
      <c r="AB315" t="s">
        <v>1290</v>
      </c>
      <c r="AC315" t="s">
        <v>1290</v>
      </c>
      <c r="AD315" t="s">
        <v>48</v>
      </c>
    </row>
    <row r="316" spans="1:30" x14ac:dyDescent="0.35">
      <c r="A316" t="s">
        <v>30</v>
      </c>
      <c r="B316" t="s">
        <v>31</v>
      </c>
      <c r="C316" t="s">
        <v>32</v>
      </c>
      <c r="D316" t="s">
        <v>1975</v>
      </c>
      <c r="E316" t="s">
        <v>1976</v>
      </c>
      <c r="F316" t="s">
        <v>1977</v>
      </c>
      <c r="G316" t="s">
        <v>1978</v>
      </c>
      <c r="H316" t="s">
        <v>1290</v>
      </c>
      <c r="I316" t="s">
        <v>38</v>
      </c>
      <c r="J316" t="s">
        <v>1290</v>
      </c>
      <c r="K316" s="2">
        <v>46182</v>
      </c>
      <c r="L316" s="2">
        <v>46203</v>
      </c>
      <c r="N316" s="2">
        <v>46174</v>
      </c>
      <c r="O316" s="2">
        <v>46905</v>
      </c>
      <c r="P316">
        <v>24</v>
      </c>
      <c r="Q316" t="s">
        <v>104</v>
      </c>
      <c r="R316" t="s">
        <v>41</v>
      </c>
      <c r="S316" t="s">
        <v>163</v>
      </c>
      <c r="T316" t="s">
        <v>131</v>
      </c>
      <c r="U316" t="s">
        <v>44</v>
      </c>
      <c r="V316" t="s">
        <v>144</v>
      </c>
      <c r="W316" t="s">
        <v>150</v>
      </c>
      <c r="X316" t="s">
        <v>59</v>
      </c>
      <c r="Y316">
        <v>168950.54</v>
      </c>
      <c r="Z316">
        <v>109817.85</v>
      </c>
      <c r="AA316">
        <v>0.65</v>
      </c>
      <c r="AB316" t="s">
        <v>1290</v>
      </c>
      <c r="AC316" t="s">
        <v>1290</v>
      </c>
      <c r="AD316" t="s">
        <v>48</v>
      </c>
    </row>
    <row r="317" spans="1:30" x14ac:dyDescent="0.35">
      <c r="A317" t="s">
        <v>30</v>
      </c>
      <c r="B317" t="s">
        <v>31</v>
      </c>
      <c r="C317" t="s">
        <v>32</v>
      </c>
      <c r="D317" t="s">
        <v>1979</v>
      </c>
      <c r="E317" t="s">
        <v>1980</v>
      </c>
      <c r="F317" t="s">
        <v>1981</v>
      </c>
      <c r="G317" t="s">
        <v>1982</v>
      </c>
      <c r="H317" t="s">
        <v>1295</v>
      </c>
      <c r="I317" t="s">
        <v>111</v>
      </c>
      <c r="J317" t="s">
        <v>1295</v>
      </c>
      <c r="K317" s="2">
        <v>46183</v>
      </c>
      <c r="L317" s="2">
        <v>46203</v>
      </c>
      <c r="N317" s="2">
        <v>46174</v>
      </c>
      <c r="O317" s="2">
        <v>46539</v>
      </c>
      <c r="P317">
        <v>12</v>
      </c>
      <c r="Q317" t="s">
        <v>104</v>
      </c>
      <c r="R317" t="s">
        <v>41</v>
      </c>
      <c r="S317" t="s">
        <v>89</v>
      </c>
      <c r="T317" t="s">
        <v>55</v>
      </c>
      <c r="U317" t="s">
        <v>56</v>
      </c>
      <c r="V317" t="s">
        <v>74</v>
      </c>
      <c r="W317" t="s">
        <v>120</v>
      </c>
      <c r="X317" t="s">
        <v>91</v>
      </c>
      <c r="Y317">
        <v>147174.07</v>
      </c>
      <c r="Z317">
        <v>73587.03</v>
      </c>
      <c r="AA317">
        <v>0.5</v>
      </c>
      <c r="AB317" t="s">
        <v>1295</v>
      </c>
      <c r="AC317" t="s">
        <v>1295</v>
      </c>
      <c r="AD317" t="s">
        <v>48</v>
      </c>
    </row>
    <row r="318" spans="1:30" x14ac:dyDescent="0.35">
      <c r="A318" t="s">
        <v>30</v>
      </c>
      <c r="B318" t="s">
        <v>31</v>
      </c>
      <c r="C318" t="s">
        <v>32</v>
      </c>
      <c r="D318" t="s">
        <v>1983</v>
      </c>
      <c r="E318" t="s">
        <v>1984</v>
      </c>
      <c r="F318" t="s">
        <v>1985</v>
      </c>
      <c r="G318" t="s">
        <v>1986</v>
      </c>
      <c r="H318" t="s">
        <v>1295</v>
      </c>
      <c r="I318" t="s">
        <v>117</v>
      </c>
      <c r="J318" t="s">
        <v>1295</v>
      </c>
      <c r="K318" s="2">
        <v>46177</v>
      </c>
      <c r="L318" s="2">
        <v>46203</v>
      </c>
      <c r="N318" s="2">
        <v>46174</v>
      </c>
      <c r="O318" s="2">
        <v>46539</v>
      </c>
      <c r="P318">
        <v>12</v>
      </c>
      <c r="Q318" t="s">
        <v>65</v>
      </c>
      <c r="R318" t="s">
        <v>41</v>
      </c>
      <c r="S318" t="s">
        <v>105</v>
      </c>
      <c r="T318" t="s">
        <v>55</v>
      </c>
      <c r="U318" t="s">
        <v>106</v>
      </c>
      <c r="V318" t="s">
        <v>138</v>
      </c>
      <c r="W318" t="s">
        <v>120</v>
      </c>
      <c r="X318" t="s">
        <v>59</v>
      </c>
      <c r="Y318">
        <v>255474.56</v>
      </c>
      <c r="Z318">
        <v>127737.28</v>
      </c>
      <c r="AA318">
        <v>0.5</v>
      </c>
      <c r="AB318" t="s">
        <v>1295</v>
      </c>
      <c r="AC318" t="s">
        <v>1295</v>
      </c>
      <c r="AD318" t="s">
        <v>48</v>
      </c>
    </row>
    <row r="319" spans="1:30" x14ac:dyDescent="0.35">
      <c r="A319" t="s">
        <v>30</v>
      </c>
      <c r="B319" t="s">
        <v>31</v>
      </c>
      <c r="C319" t="s">
        <v>32</v>
      </c>
      <c r="D319" t="s">
        <v>1987</v>
      </c>
      <c r="E319" t="s">
        <v>1988</v>
      </c>
      <c r="F319" t="s">
        <v>452</v>
      </c>
      <c r="G319" t="s">
        <v>453</v>
      </c>
      <c r="H319" t="s">
        <v>1295</v>
      </c>
      <c r="I319" t="s">
        <v>117</v>
      </c>
      <c r="J319" t="s">
        <v>1295</v>
      </c>
      <c r="K319" s="2">
        <v>46185</v>
      </c>
      <c r="L319" s="2">
        <v>46203</v>
      </c>
      <c r="N319" s="2">
        <v>46174</v>
      </c>
      <c r="O319" s="2">
        <v>46539</v>
      </c>
      <c r="P319">
        <v>12</v>
      </c>
      <c r="Q319" t="s">
        <v>40</v>
      </c>
      <c r="R319" t="s">
        <v>41</v>
      </c>
      <c r="S319" t="s">
        <v>96</v>
      </c>
      <c r="T319" t="s">
        <v>97</v>
      </c>
      <c r="U319" t="s">
        <v>44</v>
      </c>
      <c r="V319" t="s">
        <v>45</v>
      </c>
      <c r="W319" t="s">
        <v>136</v>
      </c>
      <c r="X319" t="s">
        <v>91</v>
      </c>
      <c r="Y319">
        <v>127608.38</v>
      </c>
      <c r="Z319">
        <v>44662.93</v>
      </c>
      <c r="AA319">
        <v>0.35</v>
      </c>
      <c r="AB319" t="s">
        <v>1295</v>
      </c>
      <c r="AC319" t="s">
        <v>1295</v>
      </c>
      <c r="AD319" t="s">
        <v>48</v>
      </c>
    </row>
    <row r="320" spans="1:30" x14ac:dyDescent="0.35">
      <c r="A320" t="s">
        <v>30</v>
      </c>
      <c r="B320" t="s">
        <v>31</v>
      </c>
      <c r="C320" t="s">
        <v>32</v>
      </c>
      <c r="D320" t="s">
        <v>1989</v>
      </c>
      <c r="E320" t="s">
        <v>1990</v>
      </c>
      <c r="F320" t="s">
        <v>1991</v>
      </c>
      <c r="G320" t="s">
        <v>1992</v>
      </c>
      <c r="H320" t="s">
        <v>1302</v>
      </c>
      <c r="I320" t="s">
        <v>117</v>
      </c>
      <c r="J320" t="s">
        <v>39</v>
      </c>
      <c r="K320" s="2">
        <v>46177</v>
      </c>
      <c r="L320" s="2">
        <v>46203</v>
      </c>
      <c r="N320" s="2">
        <v>46174</v>
      </c>
      <c r="O320" s="2">
        <v>46539</v>
      </c>
      <c r="P320">
        <v>12</v>
      </c>
      <c r="Q320" t="s">
        <v>65</v>
      </c>
      <c r="R320" t="s">
        <v>53</v>
      </c>
      <c r="S320" t="s">
        <v>130</v>
      </c>
      <c r="T320" t="s">
        <v>131</v>
      </c>
      <c r="U320" t="s">
        <v>44</v>
      </c>
      <c r="V320" t="s">
        <v>45</v>
      </c>
      <c r="W320" t="s">
        <v>90</v>
      </c>
      <c r="X320" t="s">
        <v>91</v>
      </c>
      <c r="Y320">
        <v>150000</v>
      </c>
      <c r="Z320">
        <v>120000</v>
      </c>
      <c r="AA320">
        <v>0.8</v>
      </c>
      <c r="AB320" t="s">
        <v>39</v>
      </c>
      <c r="AC320" t="s">
        <v>39</v>
      </c>
      <c r="AD320" t="s">
        <v>48</v>
      </c>
    </row>
    <row r="321" spans="1:30" x14ac:dyDescent="0.35">
      <c r="A321" t="s">
        <v>30</v>
      </c>
      <c r="B321" t="s">
        <v>31</v>
      </c>
      <c r="C321" t="s">
        <v>165</v>
      </c>
      <c r="D321" t="s">
        <v>166</v>
      </c>
      <c r="E321" t="s">
        <v>167</v>
      </c>
      <c r="F321" t="s">
        <v>168</v>
      </c>
      <c r="G321" t="s">
        <v>169</v>
      </c>
      <c r="H321" t="s">
        <v>37</v>
      </c>
      <c r="I321" t="s">
        <v>103</v>
      </c>
      <c r="J321" t="s">
        <v>39</v>
      </c>
      <c r="K321" s="2">
        <v>46214</v>
      </c>
      <c r="L321" s="2">
        <v>46234</v>
      </c>
      <c r="N321" s="2">
        <v>46204</v>
      </c>
      <c r="O321" s="2">
        <v>46935</v>
      </c>
      <c r="P321">
        <v>24</v>
      </c>
      <c r="Q321" t="s">
        <v>65</v>
      </c>
      <c r="R321" t="s">
        <v>53</v>
      </c>
      <c r="S321" t="s">
        <v>130</v>
      </c>
      <c r="T321" t="s">
        <v>131</v>
      </c>
      <c r="U321" t="s">
        <v>56</v>
      </c>
      <c r="V321" t="s">
        <v>138</v>
      </c>
      <c r="W321" t="s">
        <v>136</v>
      </c>
      <c r="X321" t="s">
        <v>158</v>
      </c>
      <c r="Y321">
        <v>158383.28</v>
      </c>
      <c r="Z321">
        <v>126706.62</v>
      </c>
      <c r="AA321">
        <v>0.8</v>
      </c>
      <c r="AB321" t="s">
        <v>39</v>
      </c>
      <c r="AC321" t="s">
        <v>39</v>
      </c>
      <c r="AD321" t="s">
        <v>48</v>
      </c>
    </row>
    <row r="322" spans="1:30" x14ac:dyDescent="0.35">
      <c r="A322" t="s">
        <v>30</v>
      </c>
      <c r="B322" t="s">
        <v>31</v>
      </c>
      <c r="C322" t="s">
        <v>165</v>
      </c>
      <c r="D322" t="s">
        <v>170</v>
      </c>
      <c r="E322" t="s">
        <v>171</v>
      </c>
      <c r="F322" t="s">
        <v>172</v>
      </c>
      <c r="G322" t="s">
        <v>173</v>
      </c>
      <c r="H322" t="s">
        <v>37</v>
      </c>
      <c r="I322" t="s">
        <v>117</v>
      </c>
      <c r="J322" t="s">
        <v>39</v>
      </c>
      <c r="K322" s="2">
        <v>46207</v>
      </c>
      <c r="L322" s="2">
        <v>46234</v>
      </c>
      <c r="N322" s="2">
        <v>46204</v>
      </c>
      <c r="O322" s="2">
        <v>46569</v>
      </c>
      <c r="P322">
        <v>12</v>
      </c>
      <c r="Q322" t="s">
        <v>40</v>
      </c>
      <c r="R322" t="s">
        <v>53</v>
      </c>
      <c r="S322" t="s">
        <v>149</v>
      </c>
      <c r="T322" t="s">
        <v>131</v>
      </c>
      <c r="U322" t="s">
        <v>56</v>
      </c>
      <c r="V322" t="s">
        <v>67</v>
      </c>
      <c r="W322" t="s">
        <v>161</v>
      </c>
      <c r="X322" t="s">
        <v>59</v>
      </c>
      <c r="Y322">
        <v>172918.63</v>
      </c>
      <c r="Z322">
        <v>112397.11</v>
      </c>
      <c r="AA322">
        <v>0.65</v>
      </c>
      <c r="AB322" t="s">
        <v>39</v>
      </c>
      <c r="AC322" t="s">
        <v>39</v>
      </c>
      <c r="AD322" t="s">
        <v>48</v>
      </c>
    </row>
    <row r="323" spans="1:30" x14ac:dyDescent="0.35">
      <c r="A323" t="s">
        <v>30</v>
      </c>
      <c r="B323" t="s">
        <v>31</v>
      </c>
      <c r="C323" t="s">
        <v>165</v>
      </c>
      <c r="D323" t="s">
        <v>174</v>
      </c>
      <c r="E323" t="s">
        <v>175</v>
      </c>
      <c r="F323" t="s">
        <v>176</v>
      </c>
      <c r="G323" t="s">
        <v>177</v>
      </c>
      <c r="H323" t="s">
        <v>37</v>
      </c>
      <c r="I323" t="s">
        <v>111</v>
      </c>
      <c r="J323" t="s">
        <v>39</v>
      </c>
      <c r="K323" s="2">
        <v>46212</v>
      </c>
      <c r="L323" s="2">
        <v>46234</v>
      </c>
      <c r="N323" s="2">
        <v>46204</v>
      </c>
      <c r="O323" s="2">
        <v>46935</v>
      </c>
      <c r="P323">
        <v>24</v>
      </c>
      <c r="Q323" t="s">
        <v>65</v>
      </c>
      <c r="R323" t="s">
        <v>88</v>
      </c>
      <c r="S323" t="s">
        <v>151</v>
      </c>
      <c r="T323" t="s">
        <v>131</v>
      </c>
      <c r="U323" t="s">
        <v>56</v>
      </c>
      <c r="V323" t="s">
        <v>98</v>
      </c>
      <c r="W323" t="s">
        <v>120</v>
      </c>
      <c r="X323" t="s">
        <v>59</v>
      </c>
      <c r="Y323">
        <v>131102.01999999999</v>
      </c>
      <c r="Z323">
        <v>104881.61</v>
      </c>
      <c r="AA323">
        <v>0.8</v>
      </c>
      <c r="AB323" t="s">
        <v>39</v>
      </c>
      <c r="AC323" t="s">
        <v>39</v>
      </c>
      <c r="AD323" t="s">
        <v>48</v>
      </c>
    </row>
    <row r="324" spans="1:30" x14ac:dyDescent="0.35">
      <c r="A324" t="s">
        <v>30</v>
      </c>
      <c r="B324" t="s">
        <v>31</v>
      </c>
      <c r="C324" t="s">
        <v>165</v>
      </c>
      <c r="D324" t="s">
        <v>178</v>
      </c>
      <c r="E324" t="s">
        <v>179</v>
      </c>
      <c r="F324" t="s">
        <v>180</v>
      </c>
      <c r="G324" t="s">
        <v>181</v>
      </c>
      <c r="H324" t="s">
        <v>37</v>
      </c>
      <c r="I324" t="s">
        <v>103</v>
      </c>
      <c r="J324" t="s">
        <v>39</v>
      </c>
      <c r="K324" s="2">
        <v>46208</v>
      </c>
      <c r="L324" s="2">
        <v>46234</v>
      </c>
      <c r="N324" s="2">
        <v>46204</v>
      </c>
      <c r="O324" s="2">
        <v>46569</v>
      </c>
      <c r="P324">
        <v>12</v>
      </c>
      <c r="Q324" t="s">
        <v>40</v>
      </c>
      <c r="R324" t="s">
        <v>41</v>
      </c>
      <c r="S324" t="s">
        <v>182</v>
      </c>
      <c r="T324" t="s">
        <v>97</v>
      </c>
      <c r="U324" t="s">
        <v>106</v>
      </c>
      <c r="V324" t="s">
        <v>138</v>
      </c>
      <c r="W324" t="s">
        <v>150</v>
      </c>
      <c r="X324" t="s">
        <v>83</v>
      </c>
      <c r="Y324">
        <v>175446.02</v>
      </c>
      <c r="Z324">
        <v>140356.82</v>
      </c>
      <c r="AA324">
        <v>0.8</v>
      </c>
      <c r="AB324" t="s">
        <v>39</v>
      </c>
      <c r="AC324" t="s">
        <v>39</v>
      </c>
      <c r="AD324" t="s">
        <v>48</v>
      </c>
    </row>
    <row r="325" spans="1:30" x14ac:dyDescent="0.35">
      <c r="A325" t="s">
        <v>30</v>
      </c>
      <c r="B325" t="s">
        <v>31</v>
      </c>
      <c r="C325" t="s">
        <v>165</v>
      </c>
      <c r="D325" t="s">
        <v>183</v>
      </c>
      <c r="E325" t="s">
        <v>184</v>
      </c>
      <c r="F325" t="s">
        <v>185</v>
      </c>
      <c r="G325" t="s">
        <v>186</v>
      </c>
      <c r="H325" t="s">
        <v>37</v>
      </c>
      <c r="I325" t="s">
        <v>117</v>
      </c>
      <c r="J325" t="s">
        <v>39</v>
      </c>
      <c r="K325" s="2">
        <v>46204</v>
      </c>
      <c r="L325" s="2">
        <v>46234</v>
      </c>
      <c r="N325" s="2">
        <v>46204</v>
      </c>
      <c r="O325" s="2">
        <v>46935</v>
      </c>
      <c r="P325">
        <v>24</v>
      </c>
      <c r="Q325" t="s">
        <v>40</v>
      </c>
      <c r="R325" t="s">
        <v>88</v>
      </c>
      <c r="S325" t="s">
        <v>139</v>
      </c>
      <c r="T325" t="s">
        <v>43</v>
      </c>
      <c r="U325" t="s">
        <v>44</v>
      </c>
      <c r="V325" t="s">
        <v>81</v>
      </c>
      <c r="W325" t="s">
        <v>46</v>
      </c>
      <c r="X325" t="s">
        <v>91</v>
      </c>
      <c r="Y325">
        <v>167679.29999999999</v>
      </c>
      <c r="Z325">
        <v>58687.76</v>
      </c>
      <c r="AA325">
        <v>0.35</v>
      </c>
      <c r="AB325" t="s">
        <v>39</v>
      </c>
      <c r="AC325" t="s">
        <v>39</v>
      </c>
      <c r="AD325" t="s">
        <v>48</v>
      </c>
    </row>
    <row r="326" spans="1:30" x14ac:dyDescent="0.35">
      <c r="A326" t="s">
        <v>30</v>
      </c>
      <c r="B326" t="s">
        <v>31</v>
      </c>
      <c r="C326" t="s">
        <v>165</v>
      </c>
      <c r="D326" t="s">
        <v>187</v>
      </c>
      <c r="E326" t="s">
        <v>188</v>
      </c>
      <c r="F326" t="s">
        <v>189</v>
      </c>
      <c r="G326" t="s">
        <v>190</v>
      </c>
      <c r="H326" t="s">
        <v>37</v>
      </c>
      <c r="I326" t="s">
        <v>64</v>
      </c>
      <c r="J326" t="s">
        <v>39</v>
      </c>
      <c r="K326" s="2">
        <v>46207</v>
      </c>
      <c r="L326" s="2">
        <v>46234</v>
      </c>
      <c r="N326" s="2">
        <v>46204</v>
      </c>
      <c r="O326" s="2">
        <v>46569</v>
      </c>
      <c r="P326">
        <v>12</v>
      </c>
      <c r="Q326" t="s">
        <v>40</v>
      </c>
      <c r="R326" t="s">
        <v>53</v>
      </c>
      <c r="S326" t="s">
        <v>135</v>
      </c>
      <c r="T326" t="s">
        <v>131</v>
      </c>
      <c r="U326" t="s">
        <v>44</v>
      </c>
      <c r="V326" t="s">
        <v>119</v>
      </c>
      <c r="W326" t="s">
        <v>142</v>
      </c>
      <c r="X326" t="s">
        <v>143</v>
      </c>
      <c r="Y326">
        <v>130201.07</v>
      </c>
      <c r="Z326">
        <v>104160.85</v>
      </c>
      <c r="AA326">
        <v>0.8</v>
      </c>
      <c r="AB326" t="s">
        <v>39</v>
      </c>
      <c r="AC326" t="s">
        <v>39</v>
      </c>
      <c r="AD326" t="s">
        <v>48</v>
      </c>
    </row>
    <row r="327" spans="1:30" x14ac:dyDescent="0.35">
      <c r="A327" t="s">
        <v>30</v>
      </c>
      <c r="B327" t="s">
        <v>31</v>
      </c>
      <c r="C327" t="s">
        <v>165</v>
      </c>
      <c r="D327" t="s">
        <v>191</v>
      </c>
      <c r="E327" t="s">
        <v>192</v>
      </c>
      <c r="F327" t="s">
        <v>193</v>
      </c>
      <c r="G327" t="s">
        <v>194</v>
      </c>
      <c r="H327" t="s">
        <v>37</v>
      </c>
      <c r="I327" t="s">
        <v>38</v>
      </c>
      <c r="J327" t="s">
        <v>39</v>
      </c>
      <c r="K327" s="2">
        <v>46205</v>
      </c>
      <c r="L327" s="2">
        <v>46234</v>
      </c>
      <c r="N327" s="2">
        <v>46204</v>
      </c>
      <c r="O327" s="2">
        <v>46569</v>
      </c>
      <c r="P327">
        <v>12</v>
      </c>
      <c r="Q327" t="s">
        <v>65</v>
      </c>
      <c r="R327" t="s">
        <v>41</v>
      </c>
      <c r="S327" t="s">
        <v>80</v>
      </c>
      <c r="T327" t="s">
        <v>43</v>
      </c>
      <c r="U327" t="s">
        <v>106</v>
      </c>
      <c r="V327" t="s">
        <v>67</v>
      </c>
      <c r="W327" t="s">
        <v>136</v>
      </c>
      <c r="X327" t="s">
        <v>47</v>
      </c>
      <c r="Y327">
        <v>174502.06</v>
      </c>
      <c r="Z327">
        <v>87251.03</v>
      </c>
      <c r="AA327">
        <v>0.5</v>
      </c>
      <c r="AB327" t="s">
        <v>39</v>
      </c>
      <c r="AC327" t="s">
        <v>39</v>
      </c>
      <c r="AD327" t="s">
        <v>48</v>
      </c>
    </row>
    <row r="328" spans="1:30" x14ac:dyDescent="0.35">
      <c r="A328" t="s">
        <v>30</v>
      </c>
      <c r="B328" t="s">
        <v>31</v>
      </c>
      <c r="C328" t="s">
        <v>165</v>
      </c>
      <c r="D328" t="s">
        <v>195</v>
      </c>
      <c r="E328" t="s">
        <v>196</v>
      </c>
      <c r="F328" t="s">
        <v>197</v>
      </c>
      <c r="G328" t="s">
        <v>198</v>
      </c>
      <c r="H328" t="s">
        <v>37</v>
      </c>
      <c r="I328" t="s">
        <v>38</v>
      </c>
      <c r="J328" t="s">
        <v>39</v>
      </c>
      <c r="K328" s="2">
        <v>46214</v>
      </c>
      <c r="L328" s="2">
        <v>46234</v>
      </c>
      <c r="N328" s="2">
        <v>46204</v>
      </c>
      <c r="O328" s="2">
        <v>46569</v>
      </c>
      <c r="P328">
        <v>12</v>
      </c>
      <c r="Q328" t="s">
        <v>104</v>
      </c>
      <c r="R328" t="s">
        <v>88</v>
      </c>
      <c r="S328" t="s">
        <v>118</v>
      </c>
      <c r="T328" t="s">
        <v>97</v>
      </c>
      <c r="U328" t="s">
        <v>44</v>
      </c>
      <c r="V328" t="s">
        <v>98</v>
      </c>
      <c r="W328" t="s">
        <v>142</v>
      </c>
      <c r="X328" t="s">
        <v>91</v>
      </c>
      <c r="Y328">
        <v>168029.58</v>
      </c>
      <c r="Z328">
        <v>58810.35</v>
      </c>
      <c r="AA328">
        <v>0.35</v>
      </c>
      <c r="AB328" t="s">
        <v>39</v>
      </c>
      <c r="AC328" t="s">
        <v>39</v>
      </c>
      <c r="AD328" t="s">
        <v>48</v>
      </c>
    </row>
    <row r="329" spans="1:30" x14ac:dyDescent="0.35">
      <c r="A329" t="s">
        <v>30</v>
      </c>
      <c r="B329" t="s">
        <v>31</v>
      </c>
      <c r="C329" t="s">
        <v>165</v>
      </c>
      <c r="D329" t="s">
        <v>199</v>
      </c>
      <c r="E329" t="s">
        <v>200</v>
      </c>
      <c r="F329" t="s">
        <v>201</v>
      </c>
      <c r="G329" t="s">
        <v>202</v>
      </c>
      <c r="H329" t="s">
        <v>37</v>
      </c>
      <c r="I329" t="s">
        <v>117</v>
      </c>
      <c r="J329" t="s">
        <v>39</v>
      </c>
      <c r="K329" s="2">
        <v>46214</v>
      </c>
      <c r="L329" s="2">
        <v>46234</v>
      </c>
      <c r="N329" s="2">
        <v>46204</v>
      </c>
      <c r="O329" s="2">
        <v>46569</v>
      </c>
      <c r="P329">
        <v>12</v>
      </c>
      <c r="Q329" t="s">
        <v>40</v>
      </c>
      <c r="R329" t="s">
        <v>53</v>
      </c>
      <c r="S329" t="s">
        <v>73</v>
      </c>
      <c r="T329" t="s">
        <v>43</v>
      </c>
      <c r="U329" t="s">
        <v>44</v>
      </c>
      <c r="V329" t="s">
        <v>119</v>
      </c>
      <c r="W329" t="s">
        <v>136</v>
      </c>
      <c r="X329" t="s">
        <v>158</v>
      </c>
      <c r="Y329">
        <v>149244.96</v>
      </c>
      <c r="Z329">
        <v>97009.22</v>
      </c>
      <c r="AA329">
        <v>0.65</v>
      </c>
      <c r="AB329" t="s">
        <v>39</v>
      </c>
      <c r="AC329" t="s">
        <v>39</v>
      </c>
      <c r="AD329" t="s">
        <v>48</v>
      </c>
    </row>
    <row r="330" spans="1:30" x14ac:dyDescent="0.35">
      <c r="A330" t="s">
        <v>30</v>
      </c>
      <c r="B330" t="s">
        <v>31</v>
      </c>
      <c r="C330" t="s">
        <v>165</v>
      </c>
      <c r="D330" t="s">
        <v>203</v>
      </c>
      <c r="E330" t="s">
        <v>204</v>
      </c>
      <c r="F330" t="s">
        <v>205</v>
      </c>
      <c r="G330" t="s">
        <v>206</v>
      </c>
      <c r="H330" t="s">
        <v>37</v>
      </c>
      <c r="I330" t="s">
        <v>117</v>
      </c>
      <c r="J330" t="s">
        <v>39</v>
      </c>
      <c r="K330" s="2">
        <v>46206</v>
      </c>
      <c r="L330" s="2">
        <v>46234</v>
      </c>
      <c r="N330" s="2">
        <v>46204</v>
      </c>
      <c r="O330" s="2">
        <v>46569</v>
      </c>
      <c r="P330">
        <v>12</v>
      </c>
      <c r="Q330" t="s">
        <v>104</v>
      </c>
      <c r="R330" t="s">
        <v>41</v>
      </c>
      <c r="S330" t="s">
        <v>73</v>
      </c>
      <c r="T330" t="s">
        <v>43</v>
      </c>
      <c r="U330" t="s">
        <v>106</v>
      </c>
      <c r="V330" t="s">
        <v>67</v>
      </c>
      <c r="W330" t="s">
        <v>75</v>
      </c>
      <c r="X330" t="s">
        <v>125</v>
      </c>
      <c r="Y330">
        <v>175066.31</v>
      </c>
      <c r="Z330">
        <v>140053.04999999999</v>
      </c>
      <c r="AA330">
        <v>0.8</v>
      </c>
      <c r="AB330" t="s">
        <v>39</v>
      </c>
      <c r="AC330" t="s">
        <v>39</v>
      </c>
      <c r="AD330" t="s">
        <v>48</v>
      </c>
    </row>
    <row r="331" spans="1:30" x14ac:dyDescent="0.35">
      <c r="A331" t="s">
        <v>30</v>
      </c>
      <c r="B331" t="s">
        <v>31</v>
      </c>
      <c r="C331" t="s">
        <v>165</v>
      </c>
      <c r="D331" t="s">
        <v>207</v>
      </c>
      <c r="E331" t="s">
        <v>208</v>
      </c>
      <c r="F331" t="s">
        <v>209</v>
      </c>
      <c r="G331" t="s">
        <v>210</v>
      </c>
      <c r="H331" t="s">
        <v>37</v>
      </c>
      <c r="I331" t="s">
        <v>38</v>
      </c>
      <c r="J331" t="s">
        <v>39</v>
      </c>
      <c r="K331" s="2">
        <v>46210</v>
      </c>
      <c r="L331" s="2">
        <v>46234</v>
      </c>
      <c r="N331" s="2">
        <v>46204</v>
      </c>
      <c r="O331" s="2">
        <v>46569</v>
      </c>
      <c r="P331">
        <v>12</v>
      </c>
      <c r="Q331" t="s">
        <v>104</v>
      </c>
      <c r="R331" t="s">
        <v>41</v>
      </c>
      <c r="S331" t="s">
        <v>118</v>
      </c>
      <c r="T331" t="s">
        <v>97</v>
      </c>
      <c r="U331" t="s">
        <v>106</v>
      </c>
      <c r="V331" t="s">
        <v>57</v>
      </c>
      <c r="W331" t="s">
        <v>82</v>
      </c>
      <c r="X331" t="s">
        <v>125</v>
      </c>
      <c r="Y331">
        <v>155654.14000000001</v>
      </c>
      <c r="Z331">
        <v>54478.95</v>
      </c>
      <c r="AA331">
        <v>0.35</v>
      </c>
      <c r="AB331" t="s">
        <v>39</v>
      </c>
      <c r="AC331" t="s">
        <v>39</v>
      </c>
      <c r="AD331" t="s">
        <v>48</v>
      </c>
    </row>
    <row r="332" spans="1:30" x14ac:dyDescent="0.35">
      <c r="A332" t="s">
        <v>30</v>
      </c>
      <c r="B332" t="s">
        <v>31</v>
      </c>
      <c r="C332" t="s">
        <v>165</v>
      </c>
      <c r="D332" t="s">
        <v>211</v>
      </c>
      <c r="E332" t="s">
        <v>212</v>
      </c>
      <c r="F332" t="s">
        <v>213</v>
      </c>
      <c r="G332" t="s">
        <v>214</v>
      </c>
      <c r="H332" t="s">
        <v>37</v>
      </c>
      <c r="I332" t="s">
        <v>64</v>
      </c>
      <c r="J332" t="s">
        <v>39</v>
      </c>
      <c r="K332" s="2">
        <v>46213</v>
      </c>
      <c r="L332" s="2">
        <v>46234</v>
      </c>
      <c r="N332" s="2">
        <v>46204</v>
      </c>
      <c r="O332" s="2">
        <v>46569</v>
      </c>
      <c r="P332">
        <v>12</v>
      </c>
      <c r="Q332" t="s">
        <v>65</v>
      </c>
      <c r="R332" t="s">
        <v>88</v>
      </c>
      <c r="S332" t="s">
        <v>105</v>
      </c>
      <c r="T332" t="s">
        <v>55</v>
      </c>
      <c r="U332" t="s">
        <v>56</v>
      </c>
      <c r="V332" t="s">
        <v>138</v>
      </c>
      <c r="W332" t="s">
        <v>132</v>
      </c>
      <c r="X332" t="s">
        <v>47</v>
      </c>
      <c r="Y332">
        <v>108487.62</v>
      </c>
      <c r="Z332">
        <v>70516.95</v>
      </c>
      <c r="AA332">
        <v>0.65</v>
      </c>
      <c r="AB332" t="s">
        <v>39</v>
      </c>
      <c r="AC332" t="s">
        <v>39</v>
      </c>
      <c r="AD332" t="s">
        <v>48</v>
      </c>
    </row>
    <row r="333" spans="1:30" x14ac:dyDescent="0.35">
      <c r="A333" t="s">
        <v>30</v>
      </c>
      <c r="B333" t="s">
        <v>31</v>
      </c>
      <c r="C333" t="s">
        <v>165</v>
      </c>
      <c r="D333" t="s">
        <v>1993</v>
      </c>
      <c r="E333" t="s">
        <v>1994</v>
      </c>
      <c r="F333" t="s">
        <v>1995</v>
      </c>
      <c r="G333" t="s">
        <v>1996</v>
      </c>
      <c r="H333" t="s">
        <v>1271</v>
      </c>
      <c r="I333" t="s">
        <v>38</v>
      </c>
      <c r="J333" t="s">
        <v>39</v>
      </c>
      <c r="K333" s="2">
        <v>46214</v>
      </c>
      <c r="L333" s="2">
        <v>46234</v>
      </c>
      <c r="N333" s="2">
        <v>46204</v>
      </c>
      <c r="O333" s="2">
        <v>46569</v>
      </c>
      <c r="P333">
        <v>12</v>
      </c>
      <c r="Q333" t="s">
        <v>65</v>
      </c>
      <c r="R333" t="s">
        <v>53</v>
      </c>
      <c r="S333" t="s">
        <v>139</v>
      </c>
      <c r="T333" t="s">
        <v>43</v>
      </c>
      <c r="U333" t="s">
        <v>44</v>
      </c>
      <c r="V333" t="s">
        <v>144</v>
      </c>
      <c r="W333" t="s">
        <v>46</v>
      </c>
      <c r="X333" t="s">
        <v>125</v>
      </c>
      <c r="Y333">
        <v>142078.19</v>
      </c>
      <c r="Z333">
        <v>49727.37</v>
      </c>
      <c r="AA333">
        <v>0.35</v>
      </c>
      <c r="AB333" t="s">
        <v>39</v>
      </c>
      <c r="AC333" t="s">
        <v>39</v>
      </c>
      <c r="AD333" t="s">
        <v>48</v>
      </c>
    </row>
    <row r="334" spans="1:30" x14ac:dyDescent="0.35">
      <c r="A334" t="s">
        <v>30</v>
      </c>
      <c r="B334" t="s">
        <v>31</v>
      </c>
      <c r="C334" t="s">
        <v>165</v>
      </c>
      <c r="D334" t="s">
        <v>1997</v>
      </c>
      <c r="E334" t="s">
        <v>1998</v>
      </c>
      <c r="F334" t="s">
        <v>346</v>
      </c>
      <c r="G334" t="s">
        <v>347</v>
      </c>
      <c r="H334" t="s">
        <v>1271</v>
      </c>
      <c r="I334" t="s">
        <v>64</v>
      </c>
      <c r="J334" t="s">
        <v>39</v>
      </c>
      <c r="K334" s="2">
        <v>46215</v>
      </c>
      <c r="L334" s="2">
        <v>46234</v>
      </c>
      <c r="N334" s="2">
        <v>46204</v>
      </c>
      <c r="O334" s="2">
        <v>46569</v>
      </c>
      <c r="P334">
        <v>12</v>
      </c>
      <c r="Q334" t="s">
        <v>40</v>
      </c>
      <c r="R334" t="s">
        <v>88</v>
      </c>
      <c r="S334" t="s">
        <v>140</v>
      </c>
      <c r="T334" t="s">
        <v>97</v>
      </c>
      <c r="U334" t="s">
        <v>56</v>
      </c>
      <c r="V334" t="s">
        <v>217</v>
      </c>
      <c r="W334" t="s">
        <v>90</v>
      </c>
      <c r="X334" t="s">
        <v>59</v>
      </c>
      <c r="Y334">
        <v>125184.84</v>
      </c>
      <c r="Z334">
        <v>81370.149999999994</v>
      </c>
      <c r="AA334">
        <v>0.65</v>
      </c>
      <c r="AB334" t="s">
        <v>39</v>
      </c>
      <c r="AC334" t="s">
        <v>39</v>
      </c>
      <c r="AD334" t="s">
        <v>48</v>
      </c>
    </row>
    <row r="335" spans="1:30" x14ac:dyDescent="0.35">
      <c r="A335" t="s">
        <v>30</v>
      </c>
      <c r="B335" t="s">
        <v>31</v>
      </c>
      <c r="C335" t="s">
        <v>165</v>
      </c>
      <c r="D335" t="s">
        <v>1999</v>
      </c>
      <c r="E335" t="s">
        <v>2000</v>
      </c>
      <c r="F335" t="s">
        <v>931</v>
      </c>
      <c r="G335" t="s">
        <v>932</v>
      </c>
      <c r="H335" t="s">
        <v>1271</v>
      </c>
      <c r="I335" t="s">
        <v>38</v>
      </c>
      <c r="J335" t="s">
        <v>39</v>
      </c>
      <c r="K335" s="2">
        <v>46205</v>
      </c>
      <c r="L335" s="2">
        <v>46234</v>
      </c>
      <c r="N335" s="2">
        <v>46204</v>
      </c>
      <c r="O335" s="2">
        <v>46569</v>
      </c>
      <c r="P335">
        <v>12</v>
      </c>
      <c r="Q335" t="s">
        <v>65</v>
      </c>
      <c r="R335" t="s">
        <v>53</v>
      </c>
      <c r="S335" t="s">
        <v>162</v>
      </c>
      <c r="T335" t="s">
        <v>43</v>
      </c>
      <c r="U335" t="s">
        <v>56</v>
      </c>
      <c r="V335" t="s">
        <v>144</v>
      </c>
      <c r="W335" t="s">
        <v>136</v>
      </c>
      <c r="X335" t="s">
        <v>59</v>
      </c>
      <c r="Y335">
        <v>146170.85</v>
      </c>
      <c r="Z335">
        <v>73085.429999999993</v>
      </c>
      <c r="AA335">
        <v>0.5</v>
      </c>
      <c r="AB335" t="s">
        <v>39</v>
      </c>
      <c r="AC335" t="s">
        <v>39</v>
      </c>
      <c r="AD335" t="s">
        <v>48</v>
      </c>
    </row>
    <row r="336" spans="1:30" x14ac:dyDescent="0.35">
      <c r="A336" t="s">
        <v>30</v>
      </c>
      <c r="B336" t="s">
        <v>31</v>
      </c>
      <c r="C336" t="s">
        <v>165</v>
      </c>
      <c r="D336" t="s">
        <v>2001</v>
      </c>
      <c r="E336" t="s">
        <v>2002</v>
      </c>
      <c r="F336" t="s">
        <v>758</v>
      </c>
      <c r="G336" t="s">
        <v>759</v>
      </c>
      <c r="H336" t="s">
        <v>1271</v>
      </c>
      <c r="I336" t="s">
        <v>64</v>
      </c>
      <c r="J336" t="s">
        <v>39</v>
      </c>
      <c r="K336" s="2">
        <v>46215</v>
      </c>
      <c r="L336" s="2">
        <v>46234</v>
      </c>
      <c r="N336" s="2">
        <v>46204</v>
      </c>
      <c r="O336" s="2">
        <v>46569</v>
      </c>
      <c r="P336">
        <v>12</v>
      </c>
      <c r="Q336" t="s">
        <v>104</v>
      </c>
      <c r="R336" t="s">
        <v>88</v>
      </c>
      <c r="S336" t="s">
        <v>135</v>
      </c>
      <c r="T336" t="s">
        <v>131</v>
      </c>
      <c r="U336" t="s">
        <v>56</v>
      </c>
      <c r="V336" t="s">
        <v>57</v>
      </c>
      <c r="W336" t="s">
        <v>132</v>
      </c>
      <c r="X336" t="s">
        <v>47</v>
      </c>
      <c r="Y336">
        <v>127081.11</v>
      </c>
      <c r="Z336">
        <v>82602.720000000001</v>
      </c>
      <c r="AA336">
        <v>0.65</v>
      </c>
      <c r="AB336" t="s">
        <v>39</v>
      </c>
      <c r="AC336" t="s">
        <v>39</v>
      </c>
      <c r="AD336" t="s">
        <v>48</v>
      </c>
    </row>
    <row r="337" spans="1:30" x14ac:dyDescent="0.35">
      <c r="A337" t="s">
        <v>30</v>
      </c>
      <c r="B337" t="s">
        <v>31</v>
      </c>
      <c r="C337" t="s">
        <v>165</v>
      </c>
      <c r="D337" t="s">
        <v>2003</v>
      </c>
      <c r="E337" t="s">
        <v>2004</v>
      </c>
      <c r="F337" t="s">
        <v>2005</v>
      </c>
      <c r="G337" t="s">
        <v>2006</v>
      </c>
      <c r="H337" t="s">
        <v>1271</v>
      </c>
      <c r="I337" t="s">
        <v>64</v>
      </c>
      <c r="J337" t="s">
        <v>39</v>
      </c>
      <c r="K337" s="2">
        <v>46217</v>
      </c>
      <c r="L337" s="2">
        <v>46234</v>
      </c>
      <c r="N337" s="2">
        <v>46204</v>
      </c>
      <c r="O337" s="2">
        <v>46935</v>
      </c>
      <c r="P337">
        <v>24</v>
      </c>
      <c r="Q337" t="s">
        <v>104</v>
      </c>
      <c r="R337" t="s">
        <v>53</v>
      </c>
      <c r="S337" t="s">
        <v>105</v>
      </c>
      <c r="T337" t="s">
        <v>55</v>
      </c>
      <c r="U337" t="s">
        <v>44</v>
      </c>
      <c r="V337" t="s">
        <v>144</v>
      </c>
      <c r="W337" t="s">
        <v>161</v>
      </c>
      <c r="X337" t="s">
        <v>158</v>
      </c>
      <c r="Y337">
        <v>204915.41</v>
      </c>
      <c r="Z337">
        <v>163932.32999999999</v>
      </c>
      <c r="AA337">
        <v>0.8</v>
      </c>
      <c r="AB337" t="s">
        <v>39</v>
      </c>
      <c r="AC337" t="s">
        <v>39</v>
      </c>
      <c r="AD337" t="s">
        <v>48</v>
      </c>
    </row>
    <row r="338" spans="1:30" x14ac:dyDescent="0.35">
      <c r="A338" t="s">
        <v>30</v>
      </c>
      <c r="B338" t="s">
        <v>31</v>
      </c>
      <c r="C338" t="s">
        <v>165</v>
      </c>
      <c r="D338" t="s">
        <v>2007</v>
      </c>
      <c r="E338" t="s">
        <v>2008</v>
      </c>
      <c r="F338" t="s">
        <v>2009</v>
      </c>
      <c r="G338" t="s">
        <v>2010</v>
      </c>
      <c r="H338" t="s">
        <v>1271</v>
      </c>
      <c r="I338" t="s">
        <v>103</v>
      </c>
      <c r="J338" t="s">
        <v>39</v>
      </c>
      <c r="K338" s="2">
        <v>46204</v>
      </c>
      <c r="L338" s="2">
        <v>46234</v>
      </c>
      <c r="N338" s="2">
        <v>46204</v>
      </c>
      <c r="O338" s="2">
        <v>46569</v>
      </c>
      <c r="P338">
        <v>12</v>
      </c>
      <c r="Q338" t="s">
        <v>40</v>
      </c>
      <c r="R338" t="s">
        <v>88</v>
      </c>
      <c r="S338" t="s">
        <v>139</v>
      </c>
      <c r="T338" t="s">
        <v>43</v>
      </c>
      <c r="U338" t="s">
        <v>44</v>
      </c>
      <c r="V338" t="s">
        <v>144</v>
      </c>
      <c r="W338" t="s">
        <v>58</v>
      </c>
      <c r="X338" t="s">
        <v>68</v>
      </c>
      <c r="Y338">
        <v>145700.43</v>
      </c>
      <c r="Z338">
        <v>50995.15</v>
      </c>
      <c r="AA338">
        <v>0.35</v>
      </c>
      <c r="AB338" t="s">
        <v>39</v>
      </c>
      <c r="AC338" t="s">
        <v>39</v>
      </c>
      <c r="AD338" t="s">
        <v>48</v>
      </c>
    </row>
    <row r="339" spans="1:30" x14ac:dyDescent="0.35">
      <c r="A339" t="s">
        <v>30</v>
      </c>
      <c r="B339" t="s">
        <v>31</v>
      </c>
      <c r="C339" t="s">
        <v>165</v>
      </c>
      <c r="D339" t="s">
        <v>2011</v>
      </c>
      <c r="E339" t="s">
        <v>2012</v>
      </c>
      <c r="F339" t="s">
        <v>2013</v>
      </c>
      <c r="G339" t="s">
        <v>2014</v>
      </c>
      <c r="H339" t="s">
        <v>1271</v>
      </c>
      <c r="I339" t="s">
        <v>38</v>
      </c>
      <c r="J339" t="s">
        <v>39</v>
      </c>
      <c r="K339" s="2">
        <v>46212</v>
      </c>
      <c r="L339" s="2">
        <v>46234</v>
      </c>
      <c r="N339" s="2">
        <v>46204</v>
      </c>
      <c r="O339" s="2">
        <v>46569</v>
      </c>
      <c r="P339">
        <v>12</v>
      </c>
      <c r="Q339" t="s">
        <v>65</v>
      </c>
      <c r="R339" t="s">
        <v>88</v>
      </c>
      <c r="S339" t="s">
        <v>163</v>
      </c>
      <c r="T339" t="s">
        <v>131</v>
      </c>
      <c r="U339" t="s">
        <v>56</v>
      </c>
      <c r="V339" t="s">
        <v>81</v>
      </c>
      <c r="W339" t="s">
        <v>58</v>
      </c>
      <c r="X339" t="s">
        <v>143</v>
      </c>
      <c r="Y339">
        <v>104066.16</v>
      </c>
      <c r="Z339">
        <v>83252.929999999993</v>
      </c>
      <c r="AA339">
        <v>0.8</v>
      </c>
      <c r="AB339" t="s">
        <v>39</v>
      </c>
      <c r="AC339" t="s">
        <v>39</v>
      </c>
      <c r="AD339" t="s">
        <v>48</v>
      </c>
    </row>
    <row r="340" spans="1:30" x14ac:dyDescent="0.35">
      <c r="A340" t="s">
        <v>30</v>
      </c>
      <c r="B340" t="s">
        <v>31</v>
      </c>
      <c r="C340" t="s">
        <v>165</v>
      </c>
      <c r="D340" t="s">
        <v>2015</v>
      </c>
      <c r="E340" t="s">
        <v>2016</v>
      </c>
      <c r="F340" t="s">
        <v>2017</v>
      </c>
      <c r="G340" t="s">
        <v>2018</v>
      </c>
      <c r="H340" t="s">
        <v>1290</v>
      </c>
      <c r="I340" t="s">
        <v>117</v>
      </c>
      <c r="J340" t="s">
        <v>1290</v>
      </c>
      <c r="K340" s="2">
        <v>46210</v>
      </c>
      <c r="L340" s="2">
        <v>46234</v>
      </c>
      <c r="N340" s="2">
        <v>46204</v>
      </c>
      <c r="O340" s="2">
        <v>46569</v>
      </c>
      <c r="P340">
        <v>12</v>
      </c>
      <c r="Q340" t="s">
        <v>104</v>
      </c>
      <c r="R340" t="s">
        <v>53</v>
      </c>
      <c r="S340" t="s">
        <v>280</v>
      </c>
      <c r="T340" t="s">
        <v>43</v>
      </c>
      <c r="U340" t="s">
        <v>44</v>
      </c>
      <c r="V340" t="s">
        <v>45</v>
      </c>
      <c r="W340" t="s">
        <v>150</v>
      </c>
      <c r="X340" t="s">
        <v>125</v>
      </c>
      <c r="Y340">
        <v>197195.85</v>
      </c>
      <c r="Z340">
        <v>157756.68</v>
      </c>
      <c r="AA340">
        <v>0.8</v>
      </c>
      <c r="AB340" t="s">
        <v>1290</v>
      </c>
      <c r="AC340" t="s">
        <v>1290</v>
      </c>
      <c r="AD340" t="s">
        <v>48</v>
      </c>
    </row>
    <row r="341" spans="1:30" x14ac:dyDescent="0.35">
      <c r="A341" t="s">
        <v>30</v>
      </c>
      <c r="B341" t="s">
        <v>31</v>
      </c>
      <c r="C341" t="s">
        <v>165</v>
      </c>
      <c r="D341" t="s">
        <v>2019</v>
      </c>
      <c r="E341" t="s">
        <v>2020</v>
      </c>
      <c r="F341" t="s">
        <v>1061</v>
      </c>
      <c r="G341" t="s">
        <v>1062</v>
      </c>
      <c r="H341" t="s">
        <v>1290</v>
      </c>
      <c r="I341" t="s">
        <v>111</v>
      </c>
      <c r="J341" t="s">
        <v>1290</v>
      </c>
      <c r="K341" s="2">
        <v>46212</v>
      </c>
      <c r="L341" s="2">
        <v>46234</v>
      </c>
      <c r="N341" s="2">
        <v>46204</v>
      </c>
      <c r="O341" s="2">
        <v>46935</v>
      </c>
      <c r="P341">
        <v>24</v>
      </c>
      <c r="Q341" t="s">
        <v>104</v>
      </c>
      <c r="R341" t="s">
        <v>53</v>
      </c>
      <c r="S341" t="s">
        <v>118</v>
      </c>
      <c r="T341" t="s">
        <v>97</v>
      </c>
      <c r="U341" t="s">
        <v>44</v>
      </c>
      <c r="V341" t="s">
        <v>144</v>
      </c>
      <c r="W341" t="s">
        <v>142</v>
      </c>
      <c r="X341" t="s">
        <v>91</v>
      </c>
      <c r="Y341">
        <v>173925.15</v>
      </c>
      <c r="Z341">
        <v>60873.8</v>
      </c>
      <c r="AA341">
        <v>0.35</v>
      </c>
      <c r="AB341" t="s">
        <v>1290</v>
      </c>
      <c r="AC341" t="s">
        <v>1290</v>
      </c>
      <c r="AD341" t="s">
        <v>48</v>
      </c>
    </row>
    <row r="342" spans="1:30" x14ac:dyDescent="0.35">
      <c r="A342" t="s">
        <v>30</v>
      </c>
      <c r="B342" t="s">
        <v>31</v>
      </c>
      <c r="C342" t="s">
        <v>165</v>
      </c>
      <c r="D342" t="s">
        <v>2021</v>
      </c>
      <c r="E342" t="s">
        <v>2022</v>
      </c>
      <c r="F342" t="s">
        <v>2023</v>
      </c>
      <c r="G342" t="s">
        <v>2024</v>
      </c>
      <c r="H342" t="s">
        <v>1295</v>
      </c>
      <c r="I342" t="s">
        <v>38</v>
      </c>
      <c r="J342" t="s">
        <v>1295</v>
      </c>
      <c r="K342" s="2">
        <v>46211</v>
      </c>
      <c r="L342" s="2">
        <v>46234</v>
      </c>
      <c r="N342" s="2">
        <v>46204</v>
      </c>
      <c r="O342" s="2">
        <v>46569</v>
      </c>
      <c r="P342">
        <v>12</v>
      </c>
      <c r="Q342" t="s">
        <v>40</v>
      </c>
      <c r="R342" t="s">
        <v>41</v>
      </c>
      <c r="S342" t="s">
        <v>162</v>
      </c>
      <c r="T342" t="s">
        <v>43</v>
      </c>
      <c r="U342" t="s">
        <v>44</v>
      </c>
      <c r="V342" t="s">
        <v>98</v>
      </c>
      <c r="W342" t="s">
        <v>75</v>
      </c>
      <c r="X342" t="s">
        <v>59</v>
      </c>
      <c r="Y342">
        <v>229209.51</v>
      </c>
      <c r="Z342">
        <v>183367.61</v>
      </c>
      <c r="AA342">
        <v>0.8</v>
      </c>
      <c r="AB342" t="s">
        <v>1295</v>
      </c>
      <c r="AC342" t="s">
        <v>1295</v>
      </c>
      <c r="AD342" t="s">
        <v>48</v>
      </c>
    </row>
    <row r="343" spans="1:30" x14ac:dyDescent="0.35">
      <c r="A343" t="s">
        <v>30</v>
      </c>
      <c r="B343" t="s">
        <v>31</v>
      </c>
      <c r="C343" t="s">
        <v>165</v>
      </c>
      <c r="D343" t="s">
        <v>2025</v>
      </c>
      <c r="E343" t="s">
        <v>2026</v>
      </c>
      <c r="F343" t="s">
        <v>2027</v>
      </c>
      <c r="G343" t="s">
        <v>2028</v>
      </c>
      <c r="H343" t="s">
        <v>1295</v>
      </c>
      <c r="I343" t="s">
        <v>38</v>
      </c>
      <c r="J343" t="s">
        <v>1295</v>
      </c>
      <c r="K343" s="2">
        <v>46205</v>
      </c>
      <c r="L343" s="2">
        <v>46234</v>
      </c>
      <c r="N343" s="2">
        <v>46204</v>
      </c>
      <c r="O343" s="2">
        <v>46569</v>
      </c>
      <c r="P343">
        <v>12</v>
      </c>
      <c r="Q343" t="s">
        <v>40</v>
      </c>
      <c r="R343" t="s">
        <v>53</v>
      </c>
      <c r="S343" t="s">
        <v>164</v>
      </c>
      <c r="T343" t="s">
        <v>55</v>
      </c>
      <c r="U343" t="s">
        <v>56</v>
      </c>
      <c r="V343" t="s">
        <v>81</v>
      </c>
      <c r="W343" t="s">
        <v>120</v>
      </c>
      <c r="X343" t="s">
        <v>143</v>
      </c>
      <c r="Y343">
        <v>161372.31</v>
      </c>
      <c r="Z343">
        <v>56480.31</v>
      </c>
      <c r="AA343">
        <v>0.35</v>
      </c>
      <c r="AB343" t="s">
        <v>1295</v>
      </c>
      <c r="AC343" t="s">
        <v>1295</v>
      </c>
      <c r="AD343" t="s">
        <v>48</v>
      </c>
    </row>
    <row r="344" spans="1:30" x14ac:dyDescent="0.35">
      <c r="A344" t="s">
        <v>30</v>
      </c>
      <c r="B344" t="s">
        <v>31</v>
      </c>
      <c r="C344" t="s">
        <v>165</v>
      </c>
      <c r="D344" t="s">
        <v>2029</v>
      </c>
      <c r="E344" t="s">
        <v>2030</v>
      </c>
      <c r="F344" t="s">
        <v>2031</v>
      </c>
      <c r="G344" t="s">
        <v>2032</v>
      </c>
      <c r="H344" t="s">
        <v>1295</v>
      </c>
      <c r="I344" t="s">
        <v>64</v>
      </c>
      <c r="J344" t="s">
        <v>1295</v>
      </c>
      <c r="K344" s="2">
        <v>46209</v>
      </c>
      <c r="L344" s="2">
        <v>46234</v>
      </c>
      <c r="N344" s="2">
        <v>46204</v>
      </c>
      <c r="O344" s="2">
        <v>46935</v>
      </c>
      <c r="P344">
        <v>24</v>
      </c>
      <c r="Q344" t="s">
        <v>40</v>
      </c>
      <c r="R344" t="s">
        <v>53</v>
      </c>
      <c r="S344" t="s">
        <v>139</v>
      </c>
      <c r="T344" t="s">
        <v>43</v>
      </c>
      <c r="U344" t="s">
        <v>56</v>
      </c>
      <c r="V344" t="s">
        <v>98</v>
      </c>
      <c r="W344" t="s">
        <v>120</v>
      </c>
      <c r="X344" t="s">
        <v>125</v>
      </c>
      <c r="Y344">
        <v>221981.19</v>
      </c>
      <c r="Z344">
        <v>177584.95</v>
      </c>
      <c r="AA344">
        <v>0.8</v>
      </c>
      <c r="AB344" t="s">
        <v>1295</v>
      </c>
      <c r="AC344" t="s">
        <v>1295</v>
      </c>
      <c r="AD344" t="s">
        <v>48</v>
      </c>
    </row>
    <row r="345" spans="1:30" x14ac:dyDescent="0.35">
      <c r="A345" t="s">
        <v>30</v>
      </c>
      <c r="B345" t="s">
        <v>31</v>
      </c>
      <c r="C345" t="s">
        <v>165</v>
      </c>
      <c r="D345" t="s">
        <v>2033</v>
      </c>
      <c r="E345" t="s">
        <v>2034</v>
      </c>
      <c r="F345" t="s">
        <v>732</v>
      </c>
      <c r="G345" t="s">
        <v>733</v>
      </c>
      <c r="H345" t="s">
        <v>1302</v>
      </c>
      <c r="I345" t="s">
        <v>38</v>
      </c>
      <c r="J345" t="s">
        <v>39</v>
      </c>
      <c r="K345" s="2">
        <v>46207</v>
      </c>
      <c r="L345" s="2">
        <v>46234</v>
      </c>
      <c r="N345" s="2">
        <v>46204</v>
      </c>
      <c r="O345" s="2">
        <v>46569</v>
      </c>
      <c r="P345">
        <v>12</v>
      </c>
      <c r="Q345" t="s">
        <v>40</v>
      </c>
      <c r="R345" t="s">
        <v>53</v>
      </c>
      <c r="S345" t="s">
        <v>182</v>
      </c>
      <c r="T345" t="s">
        <v>97</v>
      </c>
      <c r="U345" t="s">
        <v>56</v>
      </c>
      <c r="V345" t="s">
        <v>119</v>
      </c>
      <c r="W345" t="s">
        <v>150</v>
      </c>
      <c r="X345" t="s">
        <v>68</v>
      </c>
      <c r="Y345">
        <v>94078.91</v>
      </c>
      <c r="Z345">
        <v>47039.46</v>
      </c>
      <c r="AA345">
        <v>0.5</v>
      </c>
      <c r="AB345" t="s">
        <v>39</v>
      </c>
      <c r="AC345" t="s">
        <v>39</v>
      </c>
      <c r="AD345" t="s">
        <v>48</v>
      </c>
    </row>
    <row r="346" spans="1:30" x14ac:dyDescent="0.35">
      <c r="A346" t="s">
        <v>30</v>
      </c>
      <c r="B346" t="s">
        <v>31</v>
      </c>
      <c r="C346" t="s">
        <v>165</v>
      </c>
      <c r="D346" t="s">
        <v>2035</v>
      </c>
      <c r="E346" t="s">
        <v>2036</v>
      </c>
      <c r="F346" t="s">
        <v>499</v>
      </c>
      <c r="G346" t="s">
        <v>500</v>
      </c>
      <c r="H346" t="s">
        <v>1302</v>
      </c>
      <c r="I346" t="s">
        <v>111</v>
      </c>
      <c r="J346" t="s">
        <v>39</v>
      </c>
      <c r="K346" s="2">
        <v>46218</v>
      </c>
      <c r="L346" s="2">
        <v>46234</v>
      </c>
      <c r="N346" s="2">
        <v>46204</v>
      </c>
      <c r="O346" s="2">
        <v>46569</v>
      </c>
      <c r="P346">
        <v>12</v>
      </c>
      <c r="Q346" t="s">
        <v>65</v>
      </c>
      <c r="R346" t="s">
        <v>88</v>
      </c>
      <c r="S346" t="s">
        <v>80</v>
      </c>
      <c r="T346" t="s">
        <v>43</v>
      </c>
      <c r="U346" t="s">
        <v>56</v>
      </c>
      <c r="V346" t="s">
        <v>74</v>
      </c>
      <c r="W346" t="s">
        <v>142</v>
      </c>
      <c r="X346" t="s">
        <v>83</v>
      </c>
      <c r="Y346">
        <v>109720.21</v>
      </c>
      <c r="Z346">
        <v>87776.17</v>
      </c>
      <c r="AA346">
        <v>0.8</v>
      </c>
      <c r="AB346" t="s">
        <v>39</v>
      </c>
      <c r="AC346" t="s">
        <v>39</v>
      </c>
      <c r="AD346" t="s">
        <v>48</v>
      </c>
    </row>
    <row r="347" spans="1:30" x14ac:dyDescent="0.35">
      <c r="A347" t="s">
        <v>30</v>
      </c>
      <c r="B347" t="s">
        <v>31</v>
      </c>
      <c r="C347" t="s">
        <v>165</v>
      </c>
      <c r="D347" t="s">
        <v>2037</v>
      </c>
      <c r="E347" t="s">
        <v>2038</v>
      </c>
      <c r="F347" t="s">
        <v>145</v>
      </c>
      <c r="G347" t="s">
        <v>146</v>
      </c>
      <c r="H347" t="s">
        <v>1302</v>
      </c>
      <c r="I347" t="s">
        <v>38</v>
      </c>
      <c r="J347" t="s">
        <v>39</v>
      </c>
      <c r="K347" s="2">
        <v>46206</v>
      </c>
      <c r="L347" s="2">
        <v>46234</v>
      </c>
      <c r="N347" s="2">
        <v>46204</v>
      </c>
      <c r="O347" s="2">
        <v>46569</v>
      </c>
      <c r="P347">
        <v>12</v>
      </c>
      <c r="Q347" t="s">
        <v>40</v>
      </c>
      <c r="R347" t="s">
        <v>53</v>
      </c>
      <c r="S347" t="s">
        <v>130</v>
      </c>
      <c r="T347" t="s">
        <v>131</v>
      </c>
      <c r="U347" t="s">
        <v>56</v>
      </c>
      <c r="V347" t="s">
        <v>119</v>
      </c>
      <c r="W347" t="s">
        <v>161</v>
      </c>
      <c r="X347" t="s">
        <v>158</v>
      </c>
      <c r="Y347">
        <v>103678.88</v>
      </c>
      <c r="Z347">
        <v>67391.27</v>
      </c>
      <c r="AA347">
        <v>0.65</v>
      </c>
      <c r="AB347" t="s">
        <v>39</v>
      </c>
      <c r="AC347" t="s">
        <v>39</v>
      </c>
      <c r="AD347" t="s">
        <v>48</v>
      </c>
    </row>
    <row r="348" spans="1:30" x14ac:dyDescent="0.35">
      <c r="A348" t="s">
        <v>30</v>
      </c>
      <c r="B348" t="s">
        <v>31</v>
      </c>
      <c r="C348" t="s">
        <v>231</v>
      </c>
      <c r="D348" t="s">
        <v>232</v>
      </c>
      <c r="E348" t="s">
        <v>233</v>
      </c>
      <c r="F348" t="s">
        <v>234</v>
      </c>
      <c r="G348" t="s">
        <v>235</v>
      </c>
      <c r="H348" t="s">
        <v>37</v>
      </c>
      <c r="I348" t="s">
        <v>64</v>
      </c>
      <c r="J348" t="s">
        <v>39</v>
      </c>
      <c r="K348" s="2">
        <v>46236</v>
      </c>
      <c r="L348" s="2">
        <v>46265</v>
      </c>
      <c r="N348" s="2">
        <v>46235</v>
      </c>
      <c r="O348" s="2">
        <v>46600</v>
      </c>
      <c r="P348">
        <v>12</v>
      </c>
      <c r="Q348" t="s">
        <v>40</v>
      </c>
      <c r="R348" t="s">
        <v>88</v>
      </c>
      <c r="S348" t="s">
        <v>54</v>
      </c>
      <c r="T348" t="s">
        <v>55</v>
      </c>
      <c r="U348" t="s">
        <v>44</v>
      </c>
      <c r="V348" t="s">
        <v>119</v>
      </c>
      <c r="W348" t="s">
        <v>132</v>
      </c>
      <c r="X348" t="s">
        <v>125</v>
      </c>
      <c r="Y348">
        <v>172320.74</v>
      </c>
      <c r="Z348">
        <v>86160.37</v>
      </c>
      <c r="AA348">
        <v>0.5</v>
      </c>
      <c r="AB348" t="s">
        <v>39</v>
      </c>
      <c r="AC348" t="s">
        <v>39</v>
      </c>
      <c r="AD348" t="s">
        <v>48</v>
      </c>
    </row>
    <row r="349" spans="1:30" x14ac:dyDescent="0.35">
      <c r="A349" t="s">
        <v>30</v>
      </c>
      <c r="B349" t="s">
        <v>31</v>
      </c>
      <c r="C349" t="s">
        <v>231</v>
      </c>
      <c r="D349" t="s">
        <v>236</v>
      </c>
      <c r="E349" t="s">
        <v>237</v>
      </c>
      <c r="F349" t="s">
        <v>238</v>
      </c>
      <c r="G349" t="s">
        <v>239</v>
      </c>
      <c r="H349" t="s">
        <v>37</v>
      </c>
      <c r="I349" t="s">
        <v>38</v>
      </c>
      <c r="J349" t="s">
        <v>39</v>
      </c>
      <c r="K349" s="2">
        <v>46238</v>
      </c>
      <c r="L349" s="2">
        <v>46265</v>
      </c>
      <c r="N349" s="2">
        <v>46235</v>
      </c>
      <c r="O349" s="2">
        <v>46600</v>
      </c>
      <c r="P349">
        <v>12</v>
      </c>
      <c r="Q349" t="s">
        <v>40</v>
      </c>
      <c r="R349" t="s">
        <v>41</v>
      </c>
      <c r="S349" t="s">
        <v>163</v>
      </c>
      <c r="T349" t="s">
        <v>131</v>
      </c>
      <c r="U349" t="s">
        <v>106</v>
      </c>
      <c r="V349" t="s">
        <v>45</v>
      </c>
      <c r="W349" t="s">
        <v>75</v>
      </c>
      <c r="X349" t="s">
        <v>47</v>
      </c>
      <c r="Y349">
        <v>165454.65</v>
      </c>
      <c r="Z349">
        <v>57909.13</v>
      </c>
      <c r="AA349">
        <v>0.35</v>
      </c>
      <c r="AB349" t="s">
        <v>39</v>
      </c>
      <c r="AC349" t="s">
        <v>39</v>
      </c>
      <c r="AD349" t="s">
        <v>48</v>
      </c>
    </row>
    <row r="350" spans="1:30" x14ac:dyDescent="0.35">
      <c r="A350" t="s">
        <v>30</v>
      </c>
      <c r="B350" t="s">
        <v>31</v>
      </c>
      <c r="C350" t="s">
        <v>231</v>
      </c>
      <c r="D350" t="s">
        <v>240</v>
      </c>
      <c r="E350" t="s">
        <v>241</v>
      </c>
      <c r="F350" t="s">
        <v>242</v>
      </c>
      <c r="G350" t="s">
        <v>243</v>
      </c>
      <c r="H350" t="s">
        <v>37</v>
      </c>
      <c r="I350" t="s">
        <v>64</v>
      </c>
      <c r="J350" t="s">
        <v>39</v>
      </c>
      <c r="K350" s="2">
        <v>46244</v>
      </c>
      <c r="L350" s="2">
        <v>46265</v>
      </c>
      <c r="N350" s="2">
        <v>46235</v>
      </c>
      <c r="O350" s="2">
        <v>46600</v>
      </c>
      <c r="P350">
        <v>12</v>
      </c>
      <c r="Q350" t="s">
        <v>104</v>
      </c>
      <c r="R350" t="s">
        <v>53</v>
      </c>
      <c r="S350" t="s">
        <v>182</v>
      </c>
      <c r="T350" t="s">
        <v>97</v>
      </c>
      <c r="U350" t="s">
        <v>44</v>
      </c>
      <c r="V350" t="s">
        <v>138</v>
      </c>
      <c r="W350" t="s">
        <v>46</v>
      </c>
      <c r="X350" t="s">
        <v>68</v>
      </c>
      <c r="Y350">
        <v>162374.47</v>
      </c>
      <c r="Z350">
        <v>105543.41</v>
      </c>
      <c r="AA350">
        <v>0.65</v>
      </c>
      <c r="AB350" t="s">
        <v>39</v>
      </c>
      <c r="AC350" t="s">
        <v>39</v>
      </c>
      <c r="AD350" t="s">
        <v>48</v>
      </c>
    </row>
    <row r="351" spans="1:30" x14ac:dyDescent="0.35">
      <c r="A351" t="s">
        <v>30</v>
      </c>
      <c r="B351" t="s">
        <v>31</v>
      </c>
      <c r="C351" t="s">
        <v>231</v>
      </c>
      <c r="D351" t="s">
        <v>244</v>
      </c>
      <c r="E351" t="s">
        <v>245</v>
      </c>
      <c r="F351" t="s">
        <v>246</v>
      </c>
      <c r="G351" t="s">
        <v>247</v>
      </c>
      <c r="H351" t="s">
        <v>37</v>
      </c>
      <c r="I351" t="s">
        <v>111</v>
      </c>
      <c r="J351" t="s">
        <v>39</v>
      </c>
      <c r="K351" s="2">
        <v>46236</v>
      </c>
      <c r="L351" s="2">
        <v>46265</v>
      </c>
      <c r="N351" s="2">
        <v>46235</v>
      </c>
      <c r="O351" s="2">
        <v>46600</v>
      </c>
      <c r="P351">
        <v>12</v>
      </c>
      <c r="Q351" t="s">
        <v>104</v>
      </c>
      <c r="R351" t="s">
        <v>88</v>
      </c>
      <c r="S351" t="s">
        <v>140</v>
      </c>
      <c r="T351" t="s">
        <v>97</v>
      </c>
      <c r="U351" t="s">
        <v>44</v>
      </c>
      <c r="V351" t="s">
        <v>119</v>
      </c>
      <c r="W351" t="s">
        <v>150</v>
      </c>
      <c r="X351" t="s">
        <v>125</v>
      </c>
      <c r="Y351">
        <v>186366.45</v>
      </c>
      <c r="Z351">
        <v>121138.19</v>
      </c>
      <c r="AA351">
        <v>0.65</v>
      </c>
      <c r="AB351" t="s">
        <v>39</v>
      </c>
      <c r="AC351" t="s">
        <v>39</v>
      </c>
      <c r="AD351" t="s">
        <v>48</v>
      </c>
    </row>
    <row r="352" spans="1:30" x14ac:dyDescent="0.35">
      <c r="A352" t="s">
        <v>30</v>
      </c>
      <c r="B352" t="s">
        <v>31</v>
      </c>
      <c r="C352" t="s">
        <v>231</v>
      </c>
      <c r="D352" t="s">
        <v>248</v>
      </c>
      <c r="E352" t="s">
        <v>249</v>
      </c>
      <c r="F352" t="s">
        <v>250</v>
      </c>
      <c r="G352" t="s">
        <v>251</v>
      </c>
      <c r="H352" t="s">
        <v>37</v>
      </c>
      <c r="I352" t="s">
        <v>111</v>
      </c>
      <c r="J352" t="s">
        <v>39</v>
      </c>
      <c r="K352" s="2">
        <v>46242</v>
      </c>
      <c r="L352" s="2">
        <v>46265</v>
      </c>
      <c r="N352" s="2">
        <v>46235</v>
      </c>
      <c r="O352" s="2">
        <v>46966</v>
      </c>
      <c r="P352">
        <v>24</v>
      </c>
      <c r="Q352" t="s">
        <v>40</v>
      </c>
      <c r="R352" t="s">
        <v>41</v>
      </c>
      <c r="S352" t="s">
        <v>112</v>
      </c>
      <c r="T352" t="s">
        <v>55</v>
      </c>
      <c r="U352" t="s">
        <v>44</v>
      </c>
      <c r="V352" t="s">
        <v>138</v>
      </c>
      <c r="W352" t="s">
        <v>136</v>
      </c>
      <c r="X352" t="s">
        <v>158</v>
      </c>
      <c r="Y352">
        <v>116348.49</v>
      </c>
      <c r="Z352">
        <v>40721.97</v>
      </c>
      <c r="AA352">
        <v>0.35</v>
      </c>
      <c r="AB352" t="s">
        <v>39</v>
      </c>
      <c r="AC352" t="s">
        <v>39</v>
      </c>
      <c r="AD352" t="s">
        <v>48</v>
      </c>
    </row>
    <row r="353" spans="1:30" x14ac:dyDescent="0.35">
      <c r="A353" t="s">
        <v>30</v>
      </c>
      <c r="B353" t="s">
        <v>31</v>
      </c>
      <c r="C353" t="s">
        <v>231</v>
      </c>
      <c r="D353" t="s">
        <v>252</v>
      </c>
      <c r="E353" t="s">
        <v>253</v>
      </c>
      <c r="F353" t="s">
        <v>254</v>
      </c>
      <c r="G353" t="s">
        <v>255</v>
      </c>
      <c r="H353" t="s">
        <v>37</v>
      </c>
      <c r="I353" t="s">
        <v>111</v>
      </c>
      <c r="J353" t="s">
        <v>39</v>
      </c>
      <c r="K353" s="2">
        <v>46246</v>
      </c>
      <c r="L353" s="2">
        <v>46265</v>
      </c>
      <c r="N353" s="2">
        <v>46235</v>
      </c>
      <c r="O353" s="2">
        <v>46966</v>
      </c>
      <c r="P353">
        <v>24</v>
      </c>
      <c r="Q353" t="s">
        <v>104</v>
      </c>
      <c r="R353" t="s">
        <v>88</v>
      </c>
      <c r="S353" t="s">
        <v>182</v>
      </c>
      <c r="T353" t="s">
        <v>97</v>
      </c>
      <c r="U353" t="s">
        <v>44</v>
      </c>
      <c r="V353" t="s">
        <v>74</v>
      </c>
      <c r="W353" t="s">
        <v>120</v>
      </c>
      <c r="X353" t="s">
        <v>83</v>
      </c>
      <c r="Y353">
        <v>226159.12</v>
      </c>
      <c r="Z353">
        <v>113079.56</v>
      </c>
      <c r="AA353">
        <v>0.5</v>
      </c>
      <c r="AB353" t="s">
        <v>39</v>
      </c>
      <c r="AC353" t="s">
        <v>39</v>
      </c>
      <c r="AD353" t="s">
        <v>48</v>
      </c>
    </row>
    <row r="354" spans="1:30" x14ac:dyDescent="0.35">
      <c r="A354" t="s">
        <v>30</v>
      </c>
      <c r="B354" t="s">
        <v>31</v>
      </c>
      <c r="C354" t="s">
        <v>231</v>
      </c>
      <c r="D354" t="s">
        <v>256</v>
      </c>
      <c r="E354" t="s">
        <v>257</v>
      </c>
      <c r="F354" t="s">
        <v>258</v>
      </c>
      <c r="G354" t="s">
        <v>259</v>
      </c>
      <c r="H354" t="s">
        <v>37</v>
      </c>
      <c r="I354" t="s">
        <v>64</v>
      </c>
      <c r="J354" t="s">
        <v>39</v>
      </c>
      <c r="K354" s="2">
        <v>46238</v>
      </c>
      <c r="L354" s="2">
        <v>46265</v>
      </c>
      <c r="N354" s="2">
        <v>46235</v>
      </c>
      <c r="O354" s="2">
        <v>46600</v>
      </c>
      <c r="P354">
        <v>12</v>
      </c>
      <c r="Q354" t="s">
        <v>40</v>
      </c>
      <c r="R354" t="s">
        <v>41</v>
      </c>
      <c r="S354" t="s">
        <v>42</v>
      </c>
      <c r="T354" t="s">
        <v>43</v>
      </c>
      <c r="U354" t="s">
        <v>106</v>
      </c>
      <c r="V354" t="s">
        <v>67</v>
      </c>
      <c r="W354" t="s">
        <v>82</v>
      </c>
      <c r="X354" t="s">
        <v>47</v>
      </c>
      <c r="Y354">
        <v>122832.71</v>
      </c>
      <c r="Z354">
        <v>98266.17</v>
      </c>
      <c r="AA354">
        <v>0.8</v>
      </c>
      <c r="AB354" t="s">
        <v>39</v>
      </c>
      <c r="AC354" t="s">
        <v>39</v>
      </c>
      <c r="AD354" t="s">
        <v>48</v>
      </c>
    </row>
    <row r="355" spans="1:30" x14ac:dyDescent="0.35">
      <c r="A355" t="s">
        <v>30</v>
      </c>
      <c r="B355" t="s">
        <v>31</v>
      </c>
      <c r="C355" t="s">
        <v>231</v>
      </c>
      <c r="D355" t="s">
        <v>260</v>
      </c>
      <c r="E355" t="s">
        <v>261</v>
      </c>
      <c r="F355" t="s">
        <v>262</v>
      </c>
      <c r="G355" t="s">
        <v>263</v>
      </c>
      <c r="H355" t="s">
        <v>37</v>
      </c>
      <c r="I355" t="s">
        <v>103</v>
      </c>
      <c r="J355" t="s">
        <v>39</v>
      </c>
      <c r="K355" s="2">
        <v>46247</v>
      </c>
      <c r="L355" s="2">
        <v>46265</v>
      </c>
      <c r="N355" s="2">
        <v>46235</v>
      </c>
      <c r="O355" s="2">
        <v>46600</v>
      </c>
      <c r="P355">
        <v>12</v>
      </c>
      <c r="Q355" t="s">
        <v>65</v>
      </c>
      <c r="R355" t="s">
        <v>88</v>
      </c>
      <c r="S355" t="s">
        <v>222</v>
      </c>
      <c r="T355" t="s">
        <v>97</v>
      </c>
      <c r="U355" t="s">
        <v>106</v>
      </c>
      <c r="V355" t="s">
        <v>119</v>
      </c>
      <c r="W355" t="s">
        <v>132</v>
      </c>
      <c r="X355" t="s">
        <v>91</v>
      </c>
      <c r="Y355">
        <v>113628.37</v>
      </c>
      <c r="Z355">
        <v>90902.69</v>
      </c>
      <c r="AA355">
        <v>0.8</v>
      </c>
      <c r="AB355" t="s">
        <v>39</v>
      </c>
      <c r="AC355" t="s">
        <v>39</v>
      </c>
      <c r="AD355" t="s">
        <v>48</v>
      </c>
    </row>
    <row r="356" spans="1:30" x14ac:dyDescent="0.35">
      <c r="A356" t="s">
        <v>30</v>
      </c>
      <c r="B356" t="s">
        <v>31</v>
      </c>
      <c r="C356" t="s">
        <v>231</v>
      </c>
      <c r="D356" t="s">
        <v>264</v>
      </c>
      <c r="E356" t="s">
        <v>265</v>
      </c>
      <c r="F356" t="s">
        <v>266</v>
      </c>
      <c r="G356" t="s">
        <v>267</v>
      </c>
      <c r="H356" t="s">
        <v>37</v>
      </c>
      <c r="I356" t="s">
        <v>111</v>
      </c>
      <c r="J356" t="s">
        <v>39</v>
      </c>
      <c r="K356" s="2">
        <v>46249</v>
      </c>
      <c r="L356" s="2">
        <v>46265</v>
      </c>
      <c r="N356" s="2">
        <v>46235</v>
      </c>
      <c r="O356" s="2">
        <v>46600</v>
      </c>
      <c r="P356">
        <v>12</v>
      </c>
      <c r="Q356" t="s">
        <v>40</v>
      </c>
      <c r="R356" t="s">
        <v>88</v>
      </c>
      <c r="S356" t="s">
        <v>182</v>
      </c>
      <c r="T356" t="s">
        <v>97</v>
      </c>
      <c r="U356" t="s">
        <v>56</v>
      </c>
      <c r="V356" t="s">
        <v>144</v>
      </c>
      <c r="W356" t="s">
        <v>46</v>
      </c>
      <c r="X356" t="s">
        <v>143</v>
      </c>
      <c r="Y356">
        <v>192857.55</v>
      </c>
      <c r="Z356">
        <v>125357.41</v>
      </c>
      <c r="AA356">
        <v>0.65</v>
      </c>
      <c r="AB356" t="s">
        <v>39</v>
      </c>
      <c r="AC356" t="s">
        <v>39</v>
      </c>
      <c r="AD356" t="s">
        <v>48</v>
      </c>
    </row>
    <row r="357" spans="1:30" x14ac:dyDescent="0.35">
      <c r="A357" t="s">
        <v>30</v>
      </c>
      <c r="B357" t="s">
        <v>31</v>
      </c>
      <c r="C357" t="s">
        <v>231</v>
      </c>
      <c r="D357" t="s">
        <v>268</v>
      </c>
      <c r="E357" t="s">
        <v>269</v>
      </c>
      <c r="F357" t="s">
        <v>270</v>
      </c>
      <c r="G357" t="s">
        <v>271</v>
      </c>
      <c r="H357" t="s">
        <v>37</v>
      </c>
      <c r="I357" t="s">
        <v>64</v>
      </c>
      <c r="J357" t="s">
        <v>39</v>
      </c>
      <c r="K357" s="2">
        <v>46243</v>
      </c>
      <c r="L357" s="2">
        <v>46265</v>
      </c>
      <c r="N357" s="2">
        <v>46235</v>
      </c>
      <c r="O357" s="2">
        <v>46966</v>
      </c>
      <c r="P357">
        <v>24</v>
      </c>
      <c r="Q357" t="s">
        <v>104</v>
      </c>
      <c r="R357" t="s">
        <v>88</v>
      </c>
      <c r="S357" t="s">
        <v>135</v>
      </c>
      <c r="T357" t="s">
        <v>131</v>
      </c>
      <c r="U357" t="s">
        <v>44</v>
      </c>
      <c r="V357" t="s">
        <v>144</v>
      </c>
      <c r="W357" t="s">
        <v>90</v>
      </c>
      <c r="X357" t="s">
        <v>125</v>
      </c>
      <c r="Y357">
        <v>175403.49</v>
      </c>
      <c r="Z357">
        <v>87701.74</v>
      </c>
      <c r="AA357">
        <v>0.5</v>
      </c>
      <c r="AB357" t="s">
        <v>39</v>
      </c>
      <c r="AC357" t="s">
        <v>39</v>
      </c>
      <c r="AD357" t="s">
        <v>48</v>
      </c>
    </row>
    <row r="358" spans="1:30" x14ac:dyDescent="0.35">
      <c r="A358" t="s">
        <v>30</v>
      </c>
      <c r="B358" t="s">
        <v>31</v>
      </c>
      <c r="C358" t="s">
        <v>231</v>
      </c>
      <c r="D358" t="s">
        <v>272</v>
      </c>
      <c r="E358" t="s">
        <v>273</v>
      </c>
      <c r="F358" t="s">
        <v>215</v>
      </c>
      <c r="G358" t="s">
        <v>216</v>
      </c>
      <c r="H358" t="s">
        <v>37</v>
      </c>
      <c r="I358" t="s">
        <v>111</v>
      </c>
      <c r="J358" t="s">
        <v>39</v>
      </c>
      <c r="K358" s="2">
        <v>46245</v>
      </c>
      <c r="L358" s="2">
        <v>46265</v>
      </c>
      <c r="N358" s="2">
        <v>46235</v>
      </c>
      <c r="O358" s="2">
        <v>46966</v>
      </c>
      <c r="P358">
        <v>24</v>
      </c>
      <c r="Q358" t="s">
        <v>65</v>
      </c>
      <c r="R358" t="s">
        <v>53</v>
      </c>
      <c r="S358" t="s">
        <v>162</v>
      </c>
      <c r="T358" t="s">
        <v>43</v>
      </c>
      <c r="U358" t="s">
        <v>44</v>
      </c>
      <c r="V358" t="s">
        <v>81</v>
      </c>
      <c r="W358" t="s">
        <v>75</v>
      </c>
      <c r="X358" t="s">
        <v>143</v>
      </c>
      <c r="Y358">
        <v>116731.98</v>
      </c>
      <c r="Z358">
        <v>75875.78</v>
      </c>
      <c r="AA358">
        <v>0.65</v>
      </c>
      <c r="AB358" t="s">
        <v>39</v>
      </c>
      <c r="AC358" t="s">
        <v>39</v>
      </c>
      <c r="AD358" t="s">
        <v>48</v>
      </c>
    </row>
    <row r="359" spans="1:30" x14ac:dyDescent="0.35">
      <c r="A359" t="s">
        <v>30</v>
      </c>
      <c r="B359" t="s">
        <v>31</v>
      </c>
      <c r="C359" t="s">
        <v>231</v>
      </c>
      <c r="D359" t="s">
        <v>2039</v>
      </c>
      <c r="E359" t="s">
        <v>2040</v>
      </c>
      <c r="F359" t="s">
        <v>2041</v>
      </c>
      <c r="G359" t="s">
        <v>2042</v>
      </c>
      <c r="H359" t="s">
        <v>1271</v>
      </c>
      <c r="I359" t="s">
        <v>103</v>
      </c>
      <c r="J359" t="s">
        <v>39</v>
      </c>
      <c r="K359" s="2">
        <v>46241</v>
      </c>
      <c r="L359" s="2">
        <v>46265</v>
      </c>
      <c r="N359" s="2">
        <v>46235</v>
      </c>
      <c r="O359" s="2">
        <v>46600</v>
      </c>
      <c r="P359">
        <v>12</v>
      </c>
      <c r="Q359" t="s">
        <v>65</v>
      </c>
      <c r="R359" t="s">
        <v>88</v>
      </c>
      <c r="S359" t="s">
        <v>140</v>
      </c>
      <c r="T359" t="s">
        <v>97</v>
      </c>
      <c r="U359" t="s">
        <v>56</v>
      </c>
      <c r="V359" t="s">
        <v>57</v>
      </c>
      <c r="W359" t="s">
        <v>142</v>
      </c>
      <c r="X359" t="s">
        <v>59</v>
      </c>
      <c r="Y359">
        <v>142301.45000000001</v>
      </c>
      <c r="Z359">
        <v>113841.16</v>
      </c>
      <c r="AA359">
        <v>0.8</v>
      </c>
      <c r="AB359" t="s">
        <v>39</v>
      </c>
      <c r="AC359" t="s">
        <v>39</v>
      </c>
      <c r="AD359" t="s">
        <v>48</v>
      </c>
    </row>
    <row r="360" spans="1:30" x14ac:dyDescent="0.35">
      <c r="A360" t="s">
        <v>30</v>
      </c>
      <c r="B360" t="s">
        <v>31</v>
      </c>
      <c r="C360" t="s">
        <v>231</v>
      </c>
      <c r="D360" t="s">
        <v>2043</v>
      </c>
      <c r="E360" t="s">
        <v>2044</v>
      </c>
      <c r="F360" t="s">
        <v>1127</v>
      </c>
      <c r="G360" t="s">
        <v>1128</v>
      </c>
      <c r="H360" t="s">
        <v>1271</v>
      </c>
      <c r="I360" t="s">
        <v>111</v>
      </c>
      <c r="J360" t="s">
        <v>39</v>
      </c>
      <c r="K360" s="2">
        <v>46245</v>
      </c>
      <c r="L360" s="2">
        <v>46265</v>
      </c>
      <c r="N360" s="2">
        <v>46235</v>
      </c>
      <c r="O360" s="2">
        <v>46600</v>
      </c>
      <c r="P360">
        <v>12</v>
      </c>
      <c r="Q360" t="s">
        <v>104</v>
      </c>
      <c r="R360" t="s">
        <v>88</v>
      </c>
      <c r="S360" t="s">
        <v>139</v>
      </c>
      <c r="T360" t="s">
        <v>43</v>
      </c>
      <c r="U360" t="s">
        <v>56</v>
      </c>
      <c r="V360" t="s">
        <v>45</v>
      </c>
      <c r="W360" t="s">
        <v>142</v>
      </c>
      <c r="X360" t="s">
        <v>83</v>
      </c>
      <c r="Y360">
        <v>125389.53</v>
      </c>
      <c r="Z360">
        <v>43886.33</v>
      </c>
      <c r="AA360">
        <v>0.35</v>
      </c>
      <c r="AB360" t="s">
        <v>39</v>
      </c>
      <c r="AC360" t="s">
        <v>39</v>
      </c>
      <c r="AD360" t="s">
        <v>48</v>
      </c>
    </row>
    <row r="361" spans="1:30" x14ac:dyDescent="0.35">
      <c r="A361" t="s">
        <v>30</v>
      </c>
      <c r="B361" t="s">
        <v>31</v>
      </c>
      <c r="C361" t="s">
        <v>231</v>
      </c>
      <c r="D361" t="s">
        <v>2045</v>
      </c>
      <c r="E361" t="s">
        <v>2046</v>
      </c>
      <c r="F361" t="s">
        <v>2047</v>
      </c>
      <c r="G361" t="s">
        <v>2048</v>
      </c>
      <c r="H361" t="s">
        <v>1271</v>
      </c>
      <c r="I361" t="s">
        <v>64</v>
      </c>
      <c r="J361" t="s">
        <v>39</v>
      </c>
      <c r="K361" s="2">
        <v>46239</v>
      </c>
      <c r="L361" s="2">
        <v>46265</v>
      </c>
      <c r="N361" s="2">
        <v>46235</v>
      </c>
      <c r="O361" s="2">
        <v>46966</v>
      </c>
      <c r="P361">
        <v>24</v>
      </c>
      <c r="Q361" t="s">
        <v>40</v>
      </c>
      <c r="R361" t="s">
        <v>53</v>
      </c>
      <c r="S361" t="s">
        <v>141</v>
      </c>
      <c r="T361" t="s">
        <v>131</v>
      </c>
      <c r="U361" t="s">
        <v>44</v>
      </c>
      <c r="V361" t="s">
        <v>217</v>
      </c>
      <c r="W361" t="s">
        <v>82</v>
      </c>
      <c r="X361" t="s">
        <v>59</v>
      </c>
      <c r="Y361">
        <v>91725.45</v>
      </c>
      <c r="Z361">
        <v>45862.73</v>
      </c>
      <c r="AA361">
        <v>0.5</v>
      </c>
      <c r="AB361" t="s">
        <v>39</v>
      </c>
      <c r="AC361" t="s">
        <v>39</v>
      </c>
      <c r="AD361" t="s">
        <v>48</v>
      </c>
    </row>
    <row r="362" spans="1:30" x14ac:dyDescent="0.35">
      <c r="A362" t="s">
        <v>30</v>
      </c>
      <c r="B362" t="s">
        <v>31</v>
      </c>
      <c r="C362" t="s">
        <v>231</v>
      </c>
      <c r="D362" t="s">
        <v>2049</v>
      </c>
      <c r="E362" t="s">
        <v>2050</v>
      </c>
      <c r="F362" t="s">
        <v>2051</v>
      </c>
      <c r="G362" t="s">
        <v>2052</v>
      </c>
      <c r="H362" t="s">
        <v>1271</v>
      </c>
      <c r="I362" t="s">
        <v>117</v>
      </c>
      <c r="J362" t="s">
        <v>39</v>
      </c>
      <c r="K362" s="2">
        <v>46242</v>
      </c>
      <c r="L362" s="2">
        <v>46265</v>
      </c>
      <c r="N362" s="2">
        <v>46235</v>
      </c>
      <c r="O362" s="2">
        <v>46600</v>
      </c>
      <c r="P362">
        <v>12</v>
      </c>
      <c r="Q362" t="s">
        <v>65</v>
      </c>
      <c r="R362" t="s">
        <v>53</v>
      </c>
      <c r="S362" t="s">
        <v>139</v>
      </c>
      <c r="T362" t="s">
        <v>43</v>
      </c>
      <c r="U362" t="s">
        <v>56</v>
      </c>
      <c r="V362" t="s">
        <v>81</v>
      </c>
      <c r="W362" t="s">
        <v>58</v>
      </c>
      <c r="X362" t="s">
        <v>143</v>
      </c>
      <c r="Y362">
        <v>165352.47</v>
      </c>
      <c r="Z362">
        <v>107479.11</v>
      </c>
      <c r="AA362">
        <v>0.65</v>
      </c>
      <c r="AB362" t="s">
        <v>39</v>
      </c>
      <c r="AC362" t="s">
        <v>39</v>
      </c>
      <c r="AD362" t="s">
        <v>48</v>
      </c>
    </row>
    <row r="363" spans="1:30" x14ac:dyDescent="0.35">
      <c r="A363" t="s">
        <v>30</v>
      </c>
      <c r="B363" t="s">
        <v>31</v>
      </c>
      <c r="C363" t="s">
        <v>231</v>
      </c>
      <c r="D363" t="s">
        <v>2053</v>
      </c>
      <c r="E363" t="s">
        <v>2054</v>
      </c>
      <c r="F363" t="s">
        <v>1687</v>
      </c>
      <c r="G363" t="s">
        <v>1688</v>
      </c>
      <c r="H363" t="s">
        <v>1271</v>
      </c>
      <c r="I363" t="s">
        <v>111</v>
      </c>
      <c r="J363" t="s">
        <v>39</v>
      </c>
      <c r="K363" s="2">
        <v>46245</v>
      </c>
      <c r="L363" s="2">
        <v>46265</v>
      </c>
      <c r="N363" s="2">
        <v>46235</v>
      </c>
      <c r="O363" s="2">
        <v>46600</v>
      </c>
      <c r="P363">
        <v>12</v>
      </c>
      <c r="Q363" t="s">
        <v>40</v>
      </c>
      <c r="R363" t="s">
        <v>88</v>
      </c>
      <c r="S363" t="s">
        <v>135</v>
      </c>
      <c r="T363" t="s">
        <v>131</v>
      </c>
      <c r="U363" t="s">
        <v>56</v>
      </c>
      <c r="V363" t="s">
        <v>144</v>
      </c>
      <c r="W363" t="s">
        <v>46</v>
      </c>
      <c r="X363" t="s">
        <v>47</v>
      </c>
      <c r="Y363">
        <v>136086.51</v>
      </c>
      <c r="Z363">
        <v>108869.2</v>
      </c>
      <c r="AA363">
        <v>0.8</v>
      </c>
      <c r="AB363" t="s">
        <v>39</v>
      </c>
      <c r="AC363" t="s">
        <v>39</v>
      </c>
      <c r="AD363" t="s">
        <v>48</v>
      </c>
    </row>
    <row r="364" spans="1:30" x14ac:dyDescent="0.35">
      <c r="A364" t="s">
        <v>30</v>
      </c>
      <c r="B364" t="s">
        <v>31</v>
      </c>
      <c r="C364" t="s">
        <v>231</v>
      </c>
      <c r="D364" t="s">
        <v>2055</v>
      </c>
      <c r="E364" t="s">
        <v>2056</v>
      </c>
      <c r="F364" t="s">
        <v>2057</v>
      </c>
      <c r="G364" t="s">
        <v>2058</v>
      </c>
      <c r="H364" t="s">
        <v>1271</v>
      </c>
      <c r="I364" t="s">
        <v>111</v>
      </c>
      <c r="J364" t="s">
        <v>39</v>
      </c>
      <c r="K364" s="2">
        <v>46242</v>
      </c>
      <c r="L364" s="2">
        <v>46265</v>
      </c>
      <c r="N364" s="2">
        <v>46235</v>
      </c>
      <c r="O364" s="2">
        <v>46600</v>
      </c>
      <c r="P364">
        <v>12</v>
      </c>
      <c r="Q364" t="s">
        <v>65</v>
      </c>
      <c r="R364" t="s">
        <v>41</v>
      </c>
      <c r="S364" t="s">
        <v>112</v>
      </c>
      <c r="T364" t="s">
        <v>55</v>
      </c>
      <c r="U364" t="s">
        <v>56</v>
      </c>
      <c r="V364" t="s">
        <v>138</v>
      </c>
      <c r="W364" t="s">
        <v>90</v>
      </c>
      <c r="X364" t="s">
        <v>158</v>
      </c>
      <c r="Y364">
        <v>152156.85</v>
      </c>
      <c r="Z364">
        <v>53254.9</v>
      </c>
      <c r="AA364">
        <v>0.35</v>
      </c>
      <c r="AB364" t="s">
        <v>39</v>
      </c>
      <c r="AC364" t="s">
        <v>39</v>
      </c>
      <c r="AD364" t="s">
        <v>48</v>
      </c>
    </row>
    <row r="365" spans="1:30" x14ac:dyDescent="0.35">
      <c r="A365" t="s">
        <v>30</v>
      </c>
      <c r="B365" t="s">
        <v>31</v>
      </c>
      <c r="C365" t="s">
        <v>231</v>
      </c>
      <c r="D365" t="s">
        <v>2059</v>
      </c>
      <c r="E365" t="s">
        <v>2060</v>
      </c>
      <c r="F365" t="s">
        <v>2061</v>
      </c>
      <c r="G365" t="s">
        <v>2062</v>
      </c>
      <c r="H365" t="s">
        <v>1271</v>
      </c>
      <c r="I365" t="s">
        <v>117</v>
      </c>
      <c r="J365" t="s">
        <v>39</v>
      </c>
      <c r="K365" s="2">
        <v>46242</v>
      </c>
      <c r="L365" s="2">
        <v>46265</v>
      </c>
      <c r="N365" s="2">
        <v>46235</v>
      </c>
      <c r="O365" s="2">
        <v>46600</v>
      </c>
      <c r="P365">
        <v>12</v>
      </c>
      <c r="Q365" t="s">
        <v>65</v>
      </c>
      <c r="R365" t="s">
        <v>88</v>
      </c>
      <c r="S365" t="s">
        <v>141</v>
      </c>
      <c r="T365" t="s">
        <v>131</v>
      </c>
      <c r="U365" t="s">
        <v>44</v>
      </c>
      <c r="V365" t="s">
        <v>74</v>
      </c>
      <c r="W365" t="s">
        <v>46</v>
      </c>
      <c r="X365" t="s">
        <v>83</v>
      </c>
      <c r="Y365">
        <v>136954.01</v>
      </c>
      <c r="Z365">
        <v>89020.11</v>
      </c>
      <c r="AA365">
        <v>0.65</v>
      </c>
      <c r="AB365" t="s">
        <v>39</v>
      </c>
      <c r="AC365" t="s">
        <v>39</v>
      </c>
      <c r="AD365" t="s">
        <v>48</v>
      </c>
    </row>
    <row r="366" spans="1:30" x14ac:dyDescent="0.35">
      <c r="A366" t="s">
        <v>30</v>
      </c>
      <c r="B366" t="s">
        <v>31</v>
      </c>
      <c r="C366" t="s">
        <v>231</v>
      </c>
      <c r="D366" t="s">
        <v>2063</v>
      </c>
      <c r="E366" t="s">
        <v>2064</v>
      </c>
      <c r="F366" t="s">
        <v>685</v>
      </c>
      <c r="G366" t="s">
        <v>686</v>
      </c>
      <c r="H366" t="s">
        <v>1271</v>
      </c>
      <c r="I366" t="s">
        <v>64</v>
      </c>
      <c r="J366" t="s">
        <v>39</v>
      </c>
      <c r="K366" s="2">
        <v>46243</v>
      </c>
      <c r="L366" s="2">
        <v>46265</v>
      </c>
      <c r="N366" s="2">
        <v>46235</v>
      </c>
      <c r="O366" s="2">
        <v>46600</v>
      </c>
      <c r="P366">
        <v>12</v>
      </c>
      <c r="Q366" t="s">
        <v>104</v>
      </c>
      <c r="R366" t="s">
        <v>41</v>
      </c>
      <c r="S366" t="s">
        <v>141</v>
      </c>
      <c r="T366" t="s">
        <v>131</v>
      </c>
      <c r="U366" t="s">
        <v>56</v>
      </c>
      <c r="V366" t="s">
        <v>217</v>
      </c>
      <c r="W366" t="s">
        <v>136</v>
      </c>
      <c r="X366" t="s">
        <v>158</v>
      </c>
      <c r="Y366">
        <v>77080.73</v>
      </c>
      <c r="Z366">
        <v>50102.48</v>
      </c>
      <c r="AA366">
        <v>0.65</v>
      </c>
      <c r="AB366" t="s">
        <v>39</v>
      </c>
      <c r="AC366" t="s">
        <v>39</v>
      </c>
      <c r="AD366" t="s">
        <v>48</v>
      </c>
    </row>
    <row r="367" spans="1:30" x14ac:dyDescent="0.35">
      <c r="A367" t="s">
        <v>30</v>
      </c>
      <c r="B367" t="s">
        <v>31</v>
      </c>
      <c r="C367" t="s">
        <v>231</v>
      </c>
      <c r="D367" t="s">
        <v>2065</v>
      </c>
      <c r="E367" t="s">
        <v>2066</v>
      </c>
      <c r="F367" t="s">
        <v>2067</v>
      </c>
      <c r="G367" t="s">
        <v>2068</v>
      </c>
      <c r="H367" t="s">
        <v>1290</v>
      </c>
      <c r="I367" t="s">
        <v>117</v>
      </c>
      <c r="J367" t="s">
        <v>1290</v>
      </c>
      <c r="K367" s="2">
        <v>46247</v>
      </c>
      <c r="L367" s="2">
        <v>46265</v>
      </c>
      <c r="N367" s="2">
        <v>46235</v>
      </c>
      <c r="O367" s="2">
        <v>46966</v>
      </c>
      <c r="P367">
        <v>24</v>
      </c>
      <c r="Q367" t="s">
        <v>40</v>
      </c>
      <c r="R367" t="s">
        <v>88</v>
      </c>
      <c r="S367" t="s">
        <v>141</v>
      </c>
      <c r="T367" t="s">
        <v>131</v>
      </c>
      <c r="U367" t="s">
        <v>44</v>
      </c>
      <c r="V367" t="s">
        <v>67</v>
      </c>
      <c r="W367" t="s">
        <v>150</v>
      </c>
      <c r="X367" t="s">
        <v>125</v>
      </c>
      <c r="Y367">
        <v>116550.9</v>
      </c>
      <c r="Z367">
        <v>75758.080000000002</v>
      </c>
      <c r="AA367">
        <v>0.65</v>
      </c>
      <c r="AB367" t="s">
        <v>1290</v>
      </c>
      <c r="AC367" t="s">
        <v>1290</v>
      </c>
      <c r="AD367" t="s">
        <v>48</v>
      </c>
    </row>
    <row r="368" spans="1:30" x14ac:dyDescent="0.35">
      <c r="A368" t="s">
        <v>30</v>
      </c>
      <c r="B368" t="s">
        <v>31</v>
      </c>
      <c r="C368" t="s">
        <v>231</v>
      </c>
      <c r="D368" t="s">
        <v>2069</v>
      </c>
      <c r="E368" t="s">
        <v>2070</v>
      </c>
      <c r="F368" t="s">
        <v>2071</v>
      </c>
      <c r="G368" t="s">
        <v>2072</v>
      </c>
      <c r="H368" t="s">
        <v>1290</v>
      </c>
      <c r="I368" t="s">
        <v>38</v>
      </c>
      <c r="J368" t="s">
        <v>1290</v>
      </c>
      <c r="K368" s="2">
        <v>46248</v>
      </c>
      <c r="L368" s="2">
        <v>46265</v>
      </c>
      <c r="N368" s="2">
        <v>46235</v>
      </c>
      <c r="O368" s="2">
        <v>46600</v>
      </c>
      <c r="P368">
        <v>12</v>
      </c>
      <c r="Q368" t="s">
        <v>65</v>
      </c>
      <c r="R368" t="s">
        <v>88</v>
      </c>
      <c r="S368" t="s">
        <v>222</v>
      </c>
      <c r="T368" t="s">
        <v>97</v>
      </c>
      <c r="U368" t="s">
        <v>44</v>
      </c>
      <c r="V368" t="s">
        <v>98</v>
      </c>
      <c r="W368" t="s">
        <v>90</v>
      </c>
      <c r="X368" t="s">
        <v>59</v>
      </c>
      <c r="Y368">
        <v>112233.14</v>
      </c>
      <c r="Z368">
        <v>72951.539999999994</v>
      </c>
      <c r="AA368">
        <v>0.65</v>
      </c>
      <c r="AB368" t="s">
        <v>1290</v>
      </c>
      <c r="AC368" t="s">
        <v>1290</v>
      </c>
      <c r="AD368" t="s">
        <v>48</v>
      </c>
    </row>
    <row r="369" spans="1:30" x14ac:dyDescent="0.35">
      <c r="A369" t="s">
        <v>30</v>
      </c>
      <c r="B369" t="s">
        <v>31</v>
      </c>
      <c r="C369" t="s">
        <v>231</v>
      </c>
      <c r="D369" t="s">
        <v>2073</v>
      </c>
      <c r="E369" t="s">
        <v>2074</v>
      </c>
      <c r="F369" t="s">
        <v>879</v>
      </c>
      <c r="G369" t="s">
        <v>880</v>
      </c>
      <c r="H369" t="s">
        <v>1290</v>
      </c>
      <c r="I369" t="s">
        <v>103</v>
      </c>
      <c r="J369" t="s">
        <v>1290</v>
      </c>
      <c r="K369" s="2">
        <v>46244</v>
      </c>
      <c r="L369" s="2">
        <v>46265</v>
      </c>
      <c r="N369" s="2">
        <v>46235</v>
      </c>
      <c r="O369" s="2">
        <v>46600</v>
      </c>
      <c r="P369">
        <v>12</v>
      </c>
      <c r="Q369" t="s">
        <v>104</v>
      </c>
      <c r="R369" t="s">
        <v>41</v>
      </c>
      <c r="S369" t="s">
        <v>222</v>
      </c>
      <c r="T369" t="s">
        <v>97</v>
      </c>
      <c r="U369" t="s">
        <v>56</v>
      </c>
      <c r="V369" t="s">
        <v>217</v>
      </c>
      <c r="W369" t="s">
        <v>161</v>
      </c>
      <c r="X369" t="s">
        <v>68</v>
      </c>
      <c r="Y369">
        <v>173645.96</v>
      </c>
      <c r="Z369">
        <v>138916.76999999999</v>
      </c>
      <c r="AA369">
        <v>0.8</v>
      </c>
      <c r="AB369" t="s">
        <v>1290</v>
      </c>
      <c r="AC369" t="s">
        <v>1290</v>
      </c>
      <c r="AD369" t="s">
        <v>48</v>
      </c>
    </row>
    <row r="370" spans="1:30" x14ac:dyDescent="0.35">
      <c r="A370" t="s">
        <v>30</v>
      </c>
      <c r="B370" t="s">
        <v>31</v>
      </c>
      <c r="C370" t="s">
        <v>231</v>
      </c>
      <c r="D370" t="s">
        <v>2075</v>
      </c>
      <c r="E370" t="s">
        <v>2076</v>
      </c>
      <c r="F370" t="s">
        <v>2077</v>
      </c>
      <c r="G370" t="s">
        <v>2078</v>
      </c>
      <c r="H370" t="s">
        <v>1295</v>
      </c>
      <c r="I370" t="s">
        <v>111</v>
      </c>
      <c r="J370" t="s">
        <v>1295</v>
      </c>
      <c r="K370" s="2">
        <v>46243</v>
      </c>
      <c r="L370" s="2">
        <v>46265</v>
      </c>
      <c r="N370" s="2">
        <v>46235</v>
      </c>
      <c r="O370" s="2">
        <v>46600</v>
      </c>
      <c r="P370">
        <v>12</v>
      </c>
      <c r="Q370" t="s">
        <v>40</v>
      </c>
      <c r="R370" t="s">
        <v>41</v>
      </c>
      <c r="S370" t="s">
        <v>89</v>
      </c>
      <c r="T370" t="s">
        <v>55</v>
      </c>
      <c r="U370" t="s">
        <v>44</v>
      </c>
      <c r="V370" t="s">
        <v>217</v>
      </c>
      <c r="W370" t="s">
        <v>82</v>
      </c>
      <c r="X370" t="s">
        <v>91</v>
      </c>
      <c r="Y370">
        <v>192570.26</v>
      </c>
      <c r="Z370">
        <v>125170.67</v>
      </c>
      <c r="AA370">
        <v>0.65</v>
      </c>
      <c r="AB370" t="s">
        <v>1295</v>
      </c>
      <c r="AC370" t="s">
        <v>1295</v>
      </c>
      <c r="AD370" t="s">
        <v>48</v>
      </c>
    </row>
    <row r="371" spans="1:30" x14ac:dyDescent="0.35">
      <c r="A371" t="s">
        <v>30</v>
      </c>
      <c r="B371" t="s">
        <v>31</v>
      </c>
      <c r="C371" t="s">
        <v>231</v>
      </c>
      <c r="D371" t="s">
        <v>2079</v>
      </c>
      <c r="E371" t="s">
        <v>2080</v>
      </c>
      <c r="F371" t="s">
        <v>2081</v>
      </c>
      <c r="G371" t="s">
        <v>2082</v>
      </c>
      <c r="H371" t="s">
        <v>1295</v>
      </c>
      <c r="I371" t="s">
        <v>117</v>
      </c>
      <c r="J371" t="s">
        <v>1295</v>
      </c>
      <c r="K371" s="2">
        <v>46236</v>
      </c>
      <c r="L371" s="2">
        <v>46265</v>
      </c>
      <c r="N371" s="2">
        <v>46235</v>
      </c>
      <c r="O371" s="2">
        <v>46600</v>
      </c>
      <c r="P371">
        <v>12</v>
      </c>
      <c r="Q371" t="s">
        <v>40</v>
      </c>
      <c r="R371" t="s">
        <v>88</v>
      </c>
      <c r="S371" t="s">
        <v>105</v>
      </c>
      <c r="T371" t="s">
        <v>55</v>
      </c>
      <c r="U371" t="s">
        <v>44</v>
      </c>
      <c r="V371" t="s">
        <v>119</v>
      </c>
      <c r="W371" t="s">
        <v>90</v>
      </c>
      <c r="X371" t="s">
        <v>158</v>
      </c>
      <c r="Y371">
        <v>251268.85</v>
      </c>
      <c r="Z371">
        <v>163324.75</v>
      </c>
      <c r="AA371">
        <v>0.65</v>
      </c>
      <c r="AB371" t="s">
        <v>1295</v>
      </c>
      <c r="AC371" t="s">
        <v>1295</v>
      </c>
      <c r="AD371" t="s">
        <v>48</v>
      </c>
    </row>
    <row r="372" spans="1:30" x14ac:dyDescent="0.35">
      <c r="A372" t="s">
        <v>30</v>
      </c>
      <c r="B372" t="s">
        <v>31</v>
      </c>
      <c r="C372" t="s">
        <v>231</v>
      </c>
      <c r="D372" t="s">
        <v>2083</v>
      </c>
      <c r="E372" t="s">
        <v>2084</v>
      </c>
      <c r="F372" t="s">
        <v>595</v>
      </c>
      <c r="G372" t="s">
        <v>596</v>
      </c>
      <c r="H372" t="s">
        <v>1295</v>
      </c>
      <c r="I372" t="s">
        <v>38</v>
      </c>
      <c r="J372" t="s">
        <v>1295</v>
      </c>
      <c r="K372" s="2">
        <v>46239</v>
      </c>
      <c r="L372" s="2">
        <v>46265</v>
      </c>
      <c r="N372" s="2">
        <v>46235</v>
      </c>
      <c r="O372" s="2">
        <v>46966</v>
      </c>
      <c r="P372">
        <v>24</v>
      </c>
      <c r="Q372" t="s">
        <v>104</v>
      </c>
      <c r="R372" t="s">
        <v>41</v>
      </c>
      <c r="S372" t="s">
        <v>141</v>
      </c>
      <c r="T372" t="s">
        <v>131</v>
      </c>
      <c r="U372" t="s">
        <v>44</v>
      </c>
      <c r="V372" t="s">
        <v>57</v>
      </c>
      <c r="W372" t="s">
        <v>136</v>
      </c>
      <c r="X372" t="s">
        <v>59</v>
      </c>
      <c r="Y372">
        <v>218531.89</v>
      </c>
      <c r="Z372">
        <v>174825.51</v>
      </c>
      <c r="AA372">
        <v>0.8</v>
      </c>
      <c r="AB372" t="s">
        <v>1295</v>
      </c>
      <c r="AC372" t="s">
        <v>1295</v>
      </c>
      <c r="AD372" t="s">
        <v>48</v>
      </c>
    </row>
    <row r="373" spans="1:30" x14ac:dyDescent="0.35">
      <c r="A373" t="s">
        <v>30</v>
      </c>
      <c r="B373" t="s">
        <v>31</v>
      </c>
      <c r="C373" t="s">
        <v>231</v>
      </c>
      <c r="D373" t="s">
        <v>2085</v>
      </c>
      <c r="E373" t="s">
        <v>2086</v>
      </c>
      <c r="F373" t="s">
        <v>1263</v>
      </c>
      <c r="G373" t="s">
        <v>1264</v>
      </c>
      <c r="H373" t="s">
        <v>1302</v>
      </c>
      <c r="I373" t="s">
        <v>117</v>
      </c>
      <c r="J373" t="s">
        <v>39</v>
      </c>
      <c r="K373" s="2">
        <v>46243</v>
      </c>
      <c r="L373" s="2">
        <v>46265</v>
      </c>
      <c r="N373" s="2">
        <v>46235</v>
      </c>
      <c r="O373" s="2">
        <v>46600</v>
      </c>
      <c r="P373">
        <v>12</v>
      </c>
      <c r="Q373" t="s">
        <v>65</v>
      </c>
      <c r="R373" t="s">
        <v>88</v>
      </c>
      <c r="S373" t="s">
        <v>163</v>
      </c>
      <c r="T373" t="s">
        <v>131</v>
      </c>
      <c r="U373" t="s">
        <v>56</v>
      </c>
      <c r="V373" t="s">
        <v>74</v>
      </c>
      <c r="W373" t="s">
        <v>58</v>
      </c>
      <c r="X373" t="s">
        <v>143</v>
      </c>
      <c r="Y373">
        <v>106652.24</v>
      </c>
      <c r="Z373">
        <v>85321.79</v>
      </c>
      <c r="AA373">
        <v>0.8</v>
      </c>
      <c r="AB373" t="s">
        <v>39</v>
      </c>
      <c r="AC373" t="s">
        <v>39</v>
      </c>
      <c r="AD373" t="s">
        <v>48</v>
      </c>
    </row>
    <row r="374" spans="1:30" x14ac:dyDescent="0.35">
      <c r="A374" t="s">
        <v>30</v>
      </c>
      <c r="B374" t="s">
        <v>31</v>
      </c>
      <c r="C374" t="s">
        <v>231</v>
      </c>
      <c r="D374" t="s">
        <v>2087</v>
      </c>
      <c r="E374" t="s">
        <v>2088</v>
      </c>
      <c r="F374" t="s">
        <v>2089</v>
      </c>
      <c r="G374" t="s">
        <v>2090</v>
      </c>
      <c r="H374" t="s">
        <v>1302</v>
      </c>
      <c r="I374" t="s">
        <v>103</v>
      </c>
      <c r="J374" t="s">
        <v>39</v>
      </c>
      <c r="K374" s="2">
        <v>46245</v>
      </c>
      <c r="L374" s="2">
        <v>46265</v>
      </c>
      <c r="N374" s="2">
        <v>46235</v>
      </c>
      <c r="O374" s="2">
        <v>46600</v>
      </c>
      <c r="P374">
        <v>12</v>
      </c>
      <c r="Q374" t="s">
        <v>104</v>
      </c>
      <c r="R374" t="s">
        <v>41</v>
      </c>
      <c r="S374" t="s">
        <v>73</v>
      </c>
      <c r="T374" t="s">
        <v>43</v>
      </c>
      <c r="U374" t="s">
        <v>56</v>
      </c>
      <c r="V374" t="s">
        <v>98</v>
      </c>
      <c r="W374" t="s">
        <v>142</v>
      </c>
      <c r="X374" t="s">
        <v>68</v>
      </c>
      <c r="Y374">
        <v>94488.47</v>
      </c>
      <c r="Z374">
        <v>61417.5</v>
      </c>
      <c r="AA374">
        <v>0.65</v>
      </c>
      <c r="AB374" t="s">
        <v>39</v>
      </c>
      <c r="AC374" t="s">
        <v>39</v>
      </c>
      <c r="AD374" t="s">
        <v>48</v>
      </c>
    </row>
    <row r="375" spans="1:30" x14ac:dyDescent="0.35">
      <c r="A375" t="s">
        <v>30</v>
      </c>
      <c r="B375" t="s">
        <v>31</v>
      </c>
      <c r="C375" t="s">
        <v>231</v>
      </c>
      <c r="D375" t="s">
        <v>2091</v>
      </c>
      <c r="E375" t="s">
        <v>2092</v>
      </c>
      <c r="F375" t="s">
        <v>2093</v>
      </c>
      <c r="G375" t="s">
        <v>2094</v>
      </c>
      <c r="H375" t="s">
        <v>1302</v>
      </c>
      <c r="I375" t="s">
        <v>117</v>
      </c>
      <c r="J375" t="s">
        <v>39</v>
      </c>
      <c r="K375" s="2">
        <v>46244</v>
      </c>
      <c r="L375" s="2">
        <v>46265</v>
      </c>
      <c r="N375" s="2">
        <v>46235</v>
      </c>
      <c r="O375" s="2">
        <v>46600</v>
      </c>
      <c r="P375">
        <v>12</v>
      </c>
      <c r="Q375" t="s">
        <v>40</v>
      </c>
      <c r="R375" t="s">
        <v>41</v>
      </c>
      <c r="S375" t="s">
        <v>80</v>
      </c>
      <c r="T375" t="s">
        <v>43</v>
      </c>
      <c r="U375" t="s">
        <v>44</v>
      </c>
      <c r="V375" t="s">
        <v>138</v>
      </c>
      <c r="W375" t="s">
        <v>142</v>
      </c>
      <c r="X375" t="s">
        <v>83</v>
      </c>
      <c r="Y375">
        <v>172362.29</v>
      </c>
      <c r="Z375">
        <v>112035.49</v>
      </c>
      <c r="AA375">
        <v>0.65</v>
      </c>
      <c r="AB375" t="s">
        <v>39</v>
      </c>
      <c r="AC375" t="s">
        <v>39</v>
      </c>
      <c r="AD375" t="s">
        <v>48</v>
      </c>
    </row>
    <row r="376" spans="1:30" x14ac:dyDescent="0.35">
      <c r="A376" t="s">
        <v>30</v>
      </c>
      <c r="B376" t="s">
        <v>31</v>
      </c>
      <c r="C376" t="s">
        <v>285</v>
      </c>
      <c r="D376" t="s">
        <v>286</v>
      </c>
      <c r="E376" t="s">
        <v>287</v>
      </c>
      <c r="F376" t="s">
        <v>288</v>
      </c>
      <c r="G376" t="s">
        <v>289</v>
      </c>
      <c r="H376" t="s">
        <v>37</v>
      </c>
      <c r="I376" t="s">
        <v>103</v>
      </c>
      <c r="J376" t="s">
        <v>39</v>
      </c>
      <c r="K376" s="2">
        <v>46272</v>
      </c>
      <c r="L376" s="2">
        <v>46295</v>
      </c>
      <c r="N376" s="2">
        <v>46266</v>
      </c>
      <c r="O376" s="2">
        <v>46631</v>
      </c>
      <c r="P376">
        <v>12</v>
      </c>
      <c r="Q376" t="s">
        <v>104</v>
      </c>
      <c r="R376" t="s">
        <v>53</v>
      </c>
      <c r="S376" t="s">
        <v>73</v>
      </c>
      <c r="T376" t="s">
        <v>43</v>
      </c>
      <c r="U376" t="s">
        <v>56</v>
      </c>
      <c r="V376" t="s">
        <v>57</v>
      </c>
      <c r="W376" t="s">
        <v>136</v>
      </c>
      <c r="X376" t="s">
        <v>125</v>
      </c>
      <c r="Y376">
        <v>159878.59</v>
      </c>
      <c r="Z376">
        <v>79939.3</v>
      </c>
      <c r="AA376">
        <v>0.5</v>
      </c>
      <c r="AB376" t="s">
        <v>39</v>
      </c>
      <c r="AC376" t="s">
        <v>39</v>
      </c>
      <c r="AD376" t="s">
        <v>48</v>
      </c>
    </row>
    <row r="377" spans="1:30" x14ac:dyDescent="0.35">
      <c r="A377" t="s">
        <v>30</v>
      </c>
      <c r="B377" t="s">
        <v>31</v>
      </c>
      <c r="C377" t="s">
        <v>285</v>
      </c>
      <c r="D377" t="s">
        <v>290</v>
      </c>
      <c r="E377" t="s">
        <v>291</v>
      </c>
      <c r="F377" t="s">
        <v>292</v>
      </c>
      <c r="G377" t="s">
        <v>293</v>
      </c>
      <c r="H377" t="s">
        <v>37</v>
      </c>
      <c r="I377" t="s">
        <v>111</v>
      </c>
      <c r="J377" t="s">
        <v>39</v>
      </c>
      <c r="K377" s="2">
        <v>46266</v>
      </c>
      <c r="L377" s="2">
        <v>46295</v>
      </c>
      <c r="N377" s="2">
        <v>46266</v>
      </c>
      <c r="O377" s="2">
        <v>46631</v>
      </c>
      <c r="P377">
        <v>12</v>
      </c>
      <c r="Q377" t="s">
        <v>65</v>
      </c>
      <c r="R377" t="s">
        <v>53</v>
      </c>
      <c r="S377" t="s">
        <v>130</v>
      </c>
      <c r="T377" t="s">
        <v>131</v>
      </c>
      <c r="U377" t="s">
        <v>44</v>
      </c>
      <c r="V377" t="s">
        <v>74</v>
      </c>
      <c r="W377" t="s">
        <v>82</v>
      </c>
      <c r="X377" t="s">
        <v>47</v>
      </c>
      <c r="Y377">
        <v>169347.33</v>
      </c>
      <c r="Z377">
        <v>84673.67</v>
      </c>
      <c r="AA377">
        <v>0.5</v>
      </c>
      <c r="AB377" t="s">
        <v>39</v>
      </c>
      <c r="AC377" t="s">
        <v>39</v>
      </c>
      <c r="AD377" t="s">
        <v>48</v>
      </c>
    </row>
    <row r="378" spans="1:30" x14ac:dyDescent="0.35">
      <c r="A378" t="s">
        <v>30</v>
      </c>
      <c r="B378" t="s">
        <v>31</v>
      </c>
      <c r="C378" t="s">
        <v>285</v>
      </c>
      <c r="D378" t="s">
        <v>294</v>
      </c>
      <c r="E378" t="s">
        <v>295</v>
      </c>
      <c r="F378" t="s">
        <v>296</v>
      </c>
      <c r="G378" t="s">
        <v>297</v>
      </c>
      <c r="H378" t="s">
        <v>37</v>
      </c>
      <c r="I378" t="s">
        <v>103</v>
      </c>
      <c r="J378" t="s">
        <v>39</v>
      </c>
      <c r="K378" s="2">
        <v>46271</v>
      </c>
      <c r="L378" s="2">
        <v>46295</v>
      </c>
      <c r="N378" s="2">
        <v>46266</v>
      </c>
      <c r="O378" s="2">
        <v>46631</v>
      </c>
      <c r="P378">
        <v>12</v>
      </c>
      <c r="Q378" t="s">
        <v>104</v>
      </c>
      <c r="R378" t="s">
        <v>88</v>
      </c>
      <c r="S378" t="s">
        <v>137</v>
      </c>
      <c r="T378" t="s">
        <v>97</v>
      </c>
      <c r="U378" t="s">
        <v>56</v>
      </c>
      <c r="V378" t="s">
        <v>98</v>
      </c>
      <c r="W378" t="s">
        <v>142</v>
      </c>
      <c r="X378" t="s">
        <v>47</v>
      </c>
      <c r="Y378">
        <v>127601.09</v>
      </c>
      <c r="Z378">
        <v>63800.55</v>
      </c>
      <c r="AA378">
        <v>0.5</v>
      </c>
      <c r="AB378" t="s">
        <v>39</v>
      </c>
      <c r="AC378" t="s">
        <v>39</v>
      </c>
      <c r="AD378" t="s">
        <v>48</v>
      </c>
    </row>
    <row r="379" spans="1:30" x14ac:dyDescent="0.35">
      <c r="A379" t="s">
        <v>30</v>
      </c>
      <c r="B379" t="s">
        <v>31</v>
      </c>
      <c r="C379" t="s">
        <v>285</v>
      </c>
      <c r="D379" t="s">
        <v>298</v>
      </c>
      <c r="E379" t="s">
        <v>299</v>
      </c>
      <c r="F379" t="s">
        <v>215</v>
      </c>
      <c r="G379" t="s">
        <v>216</v>
      </c>
      <c r="H379" t="s">
        <v>37</v>
      </c>
      <c r="I379" t="s">
        <v>111</v>
      </c>
      <c r="J379" t="s">
        <v>39</v>
      </c>
      <c r="K379" s="2">
        <v>46268</v>
      </c>
      <c r="L379" s="2">
        <v>46295</v>
      </c>
      <c r="N379" s="2">
        <v>46266</v>
      </c>
      <c r="O379" s="2">
        <v>46997</v>
      </c>
      <c r="P379">
        <v>24</v>
      </c>
      <c r="Q379" t="s">
        <v>40</v>
      </c>
      <c r="R379" t="s">
        <v>53</v>
      </c>
      <c r="S379" t="s">
        <v>162</v>
      </c>
      <c r="T379" t="s">
        <v>43</v>
      </c>
      <c r="U379" t="s">
        <v>44</v>
      </c>
      <c r="V379" t="s">
        <v>81</v>
      </c>
      <c r="W379" t="s">
        <v>136</v>
      </c>
      <c r="X379" t="s">
        <v>143</v>
      </c>
      <c r="Y379">
        <v>133323.22</v>
      </c>
      <c r="Z379">
        <v>66661.61</v>
      </c>
      <c r="AA379">
        <v>0.5</v>
      </c>
      <c r="AB379" t="s">
        <v>39</v>
      </c>
      <c r="AC379" t="s">
        <v>39</v>
      </c>
      <c r="AD379" t="s">
        <v>48</v>
      </c>
    </row>
    <row r="380" spans="1:30" x14ac:dyDescent="0.35">
      <c r="A380" t="s">
        <v>30</v>
      </c>
      <c r="B380" t="s">
        <v>31</v>
      </c>
      <c r="C380" t="s">
        <v>285</v>
      </c>
      <c r="D380" t="s">
        <v>300</v>
      </c>
      <c r="E380" t="s">
        <v>301</v>
      </c>
      <c r="F380" t="s">
        <v>302</v>
      </c>
      <c r="G380" t="s">
        <v>303</v>
      </c>
      <c r="H380" t="s">
        <v>37</v>
      </c>
      <c r="I380" t="s">
        <v>103</v>
      </c>
      <c r="J380" t="s">
        <v>39</v>
      </c>
      <c r="K380" s="2">
        <v>46268</v>
      </c>
      <c r="L380" s="2">
        <v>46295</v>
      </c>
      <c r="N380" s="2">
        <v>46266</v>
      </c>
      <c r="O380" s="2">
        <v>46997</v>
      </c>
      <c r="P380">
        <v>24</v>
      </c>
      <c r="Q380" t="s">
        <v>40</v>
      </c>
      <c r="R380" t="s">
        <v>88</v>
      </c>
      <c r="S380" t="s">
        <v>130</v>
      </c>
      <c r="T380" t="s">
        <v>131</v>
      </c>
      <c r="U380" t="s">
        <v>44</v>
      </c>
      <c r="V380" t="s">
        <v>81</v>
      </c>
      <c r="W380" t="s">
        <v>58</v>
      </c>
      <c r="X380" t="s">
        <v>59</v>
      </c>
      <c r="Y380">
        <v>217333.42</v>
      </c>
      <c r="Z380">
        <v>141266.72</v>
      </c>
      <c r="AA380">
        <v>0.65</v>
      </c>
      <c r="AB380" t="s">
        <v>39</v>
      </c>
      <c r="AC380" t="s">
        <v>39</v>
      </c>
      <c r="AD380" t="s">
        <v>48</v>
      </c>
    </row>
    <row r="381" spans="1:30" x14ac:dyDescent="0.35">
      <c r="A381" t="s">
        <v>30</v>
      </c>
      <c r="B381" t="s">
        <v>31</v>
      </c>
      <c r="C381" t="s">
        <v>285</v>
      </c>
      <c r="D381" t="s">
        <v>304</v>
      </c>
      <c r="E381" t="s">
        <v>305</v>
      </c>
      <c r="F381" t="s">
        <v>306</v>
      </c>
      <c r="G381" t="s">
        <v>307</v>
      </c>
      <c r="H381" t="s">
        <v>37</v>
      </c>
      <c r="I381" t="s">
        <v>103</v>
      </c>
      <c r="J381" t="s">
        <v>39</v>
      </c>
      <c r="K381" s="2">
        <v>46279</v>
      </c>
      <c r="L381" s="2">
        <v>46295</v>
      </c>
      <c r="N381" s="2">
        <v>46266</v>
      </c>
      <c r="O381" s="2">
        <v>46631</v>
      </c>
      <c r="P381">
        <v>12</v>
      </c>
      <c r="Q381" t="s">
        <v>40</v>
      </c>
      <c r="R381" t="s">
        <v>88</v>
      </c>
      <c r="S381" t="s">
        <v>89</v>
      </c>
      <c r="T381" t="s">
        <v>55</v>
      </c>
      <c r="U381" t="s">
        <v>44</v>
      </c>
      <c r="V381" t="s">
        <v>138</v>
      </c>
      <c r="W381" t="s">
        <v>120</v>
      </c>
      <c r="X381" t="s">
        <v>83</v>
      </c>
      <c r="Y381">
        <v>195935.06</v>
      </c>
      <c r="Z381">
        <v>68577.27</v>
      </c>
      <c r="AA381">
        <v>0.35</v>
      </c>
      <c r="AB381" t="s">
        <v>39</v>
      </c>
      <c r="AC381" t="s">
        <v>39</v>
      </c>
      <c r="AD381" t="s">
        <v>48</v>
      </c>
    </row>
    <row r="382" spans="1:30" x14ac:dyDescent="0.35">
      <c r="A382" t="s">
        <v>30</v>
      </c>
      <c r="B382" t="s">
        <v>31</v>
      </c>
      <c r="C382" t="s">
        <v>285</v>
      </c>
      <c r="D382" t="s">
        <v>308</v>
      </c>
      <c r="E382" t="s">
        <v>309</v>
      </c>
      <c r="F382" t="s">
        <v>310</v>
      </c>
      <c r="G382" t="s">
        <v>311</v>
      </c>
      <c r="H382" t="s">
        <v>37</v>
      </c>
      <c r="I382" t="s">
        <v>117</v>
      </c>
      <c r="J382" t="s">
        <v>39</v>
      </c>
      <c r="K382" s="2">
        <v>46278</v>
      </c>
      <c r="L382" s="2">
        <v>46295</v>
      </c>
      <c r="N382" s="2">
        <v>46266</v>
      </c>
      <c r="O382" s="2">
        <v>46631</v>
      </c>
      <c r="P382">
        <v>12</v>
      </c>
      <c r="Q382" t="s">
        <v>104</v>
      </c>
      <c r="R382" t="s">
        <v>53</v>
      </c>
      <c r="S382" t="s">
        <v>42</v>
      </c>
      <c r="T382" t="s">
        <v>43</v>
      </c>
      <c r="U382" t="s">
        <v>44</v>
      </c>
      <c r="V382" t="s">
        <v>98</v>
      </c>
      <c r="W382" t="s">
        <v>136</v>
      </c>
      <c r="X382" t="s">
        <v>91</v>
      </c>
      <c r="Y382">
        <v>120172.97</v>
      </c>
      <c r="Z382">
        <v>60086.48</v>
      </c>
      <c r="AA382">
        <v>0.5</v>
      </c>
      <c r="AB382" t="s">
        <v>39</v>
      </c>
      <c r="AC382" t="s">
        <v>39</v>
      </c>
      <c r="AD382" t="s">
        <v>48</v>
      </c>
    </row>
    <row r="383" spans="1:30" x14ac:dyDescent="0.35">
      <c r="A383" t="s">
        <v>30</v>
      </c>
      <c r="B383" t="s">
        <v>31</v>
      </c>
      <c r="C383" t="s">
        <v>285</v>
      </c>
      <c r="D383" t="s">
        <v>312</v>
      </c>
      <c r="E383" t="s">
        <v>313</v>
      </c>
      <c r="F383" t="s">
        <v>314</v>
      </c>
      <c r="G383" t="s">
        <v>315</v>
      </c>
      <c r="H383" t="s">
        <v>37</v>
      </c>
      <c r="I383" t="s">
        <v>103</v>
      </c>
      <c r="J383" t="s">
        <v>39</v>
      </c>
      <c r="K383" s="2">
        <v>46270</v>
      </c>
      <c r="L383" s="2">
        <v>46295</v>
      </c>
      <c r="N383" s="2">
        <v>46266</v>
      </c>
      <c r="O383" s="2">
        <v>46631</v>
      </c>
      <c r="P383">
        <v>12</v>
      </c>
      <c r="Q383" t="s">
        <v>65</v>
      </c>
      <c r="R383" t="s">
        <v>41</v>
      </c>
      <c r="S383" t="s">
        <v>280</v>
      </c>
      <c r="T383" t="s">
        <v>43</v>
      </c>
      <c r="U383" t="s">
        <v>56</v>
      </c>
      <c r="V383" t="s">
        <v>74</v>
      </c>
      <c r="W383" t="s">
        <v>161</v>
      </c>
      <c r="X383" t="s">
        <v>83</v>
      </c>
      <c r="Y383">
        <v>106941.29</v>
      </c>
      <c r="Z383">
        <v>37429.449999999997</v>
      </c>
      <c r="AA383">
        <v>0.35</v>
      </c>
      <c r="AB383" t="s">
        <v>39</v>
      </c>
      <c r="AC383" t="s">
        <v>39</v>
      </c>
      <c r="AD383" t="s">
        <v>48</v>
      </c>
    </row>
    <row r="384" spans="1:30" x14ac:dyDescent="0.35">
      <c r="A384" t="s">
        <v>30</v>
      </c>
      <c r="B384" t="s">
        <v>31</v>
      </c>
      <c r="C384" t="s">
        <v>285</v>
      </c>
      <c r="D384" t="s">
        <v>316</v>
      </c>
      <c r="E384" t="s">
        <v>317</v>
      </c>
      <c r="F384" t="s">
        <v>318</v>
      </c>
      <c r="G384" t="s">
        <v>319</v>
      </c>
      <c r="H384" t="s">
        <v>37</v>
      </c>
      <c r="I384" t="s">
        <v>103</v>
      </c>
      <c r="J384" t="s">
        <v>39</v>
      </c>
      <c r="K384" s="2">
        <v>46276</v>
      </c>
      <c r="L384" s="2">
        <v>46295</v>
      </c>
      <c r="N384" s="2">
        <v>46266</v>
      </c>
      <c r="O384" s="2">
        <v>46631</v>
      </c>
      <c r="P384">
        <v>12</v>
      </c>
      <c r="Q384" t="s">
        <v>40</v>
      </c>
      <c r="R384" t="s">
        <v>88</v>
      </c>
      <c r="S384" t="s">
        <v>135</v>
      </c>
      <c r="T384" t="s">
        <v>131</v>
      </c>
      <c r="U384" t="s">
        <v>44</v>
      </c>
      <c r="V384" t="s">
        <v>98</v>
      </c>
      <c r="W384" t="s">
        <v>132</v>
      </c>
      <c r="X384" t="s">
        <v>143</v>
      </c>
      <c r="Y384">
        <v>150172.57999999999</v>
      </c>
      <c r="Z384">
        <v>75086.289999999994</v>
      </c>
      <c r="AA384">
        <v>0.5</v>
      </c>
      <c r="AB384" t="s">
        <v>39</v>
      </c>
      <c r="AC384" t="s">
        <v>39</v>
      </c>
      <c r="AD384" t="s">
        <v>48</v>
      </c>
    </row>
    <row r="385" spans="1:30" x14ac:dyDescent="0.35">
      <c r="A385" t="s">
        <v>30</v>
      </c>
      <c r="B385" t="s">
        <v>31</v>
      </c>
      <c r="C385" t="s">
        <v>285</v>
      </c>
      <c r="D385" t="s">
        <v>320</v>
      </c>
      <c r="E385" t="s">
        <v>321</v>
      </c>
      <c r="F385" t="s">
        <v>322</v>
      </c>
      <c r="G385" t="s">
        <v>323</v>
      </c>
      <c r="H385" t="s">
        <v>37</v>
      </c>
      <c r="I385" t="s">
        <v>111</v>
      </c>
      <c r="J385" t="s">
        <v>39</v>
      </c>
      <c r="K385" s="2">
        <v>46278</v>
      </c>
      <c r="L385" s="2">
        <v>46295</v>
      </c>
      <c r="N385" s="2">
        <v>46266</v>
      </c>
      <c r="O385" s="2">
        <v>46631</v>
      </c>
      <c r="P385">
        <v>12</v>
      </c>
      <c r="Q385" t="s">
        <v>40</v>
      </c>
      <c r="R385" t="s">
        <v>41</v>
      </c>
      <c r="S385" t="s">
        <v>182</v>
      </c>
      <c r="T385" t="s">
        <v>97</v>
      </c>
      <c r="U385" t="s">
        <v>44</v>
      </c>
      <c r="V385" t="s">
        <v>144</v>
      </c>
      <c r="W385" t="s">
        <v>82</v>
      </c>
      <c r="X385" t="s">
        <v>91</v>
      </c>
      <c r="Y385">
        <v>203743.55</v>
      </c>
      <c r="Z385">
        <v>71310.240000000005</v>
      </c>
      <c r="AA385">
        <v>0.35</v>
      </c>
      <c r="AB385" t="s">
        <v>39</v>
      </c>
      <c r="AC385" t="s">
        <v>39</v>
      </c>
      <c r="AD385" t="s">
        <v>48</v>
      </c>
    </row>
    <row r="386" spans="1:30" x14ac:dyDescent="0.35">
      <c r="A386" t="s">
        <v>30</v>
      </c>
      <c r="B386" t="s">
        <v>31</v>
      </c>
      <c r="C386" t="s">
        <v>285</v>
      </c>
      <c r="D386" t="s">
        <v>324</v>
      </c>
      <c r="E386" t="s">
        <v>325</v>
      </c>
      <c r="F386" t="s">
        <v>326</v>
      </c>
      <c r="G386" t="s">
        <v>327</v>
      </c>
      <c r="H386" t="s">
        <v>37</v>
      </c>
      <c r="I386" t="s">
        <v>64</v>
      </c>
      <c r="J386" t="s">
        <v>39</v>
      </c>
      <c r="K386" s="2">
        <v>46276</v>
      </c>
      <c r="L386" s="2">
        <v>46295</v>
      </c>
      <c r="N386" s="2">
        <v>46266</v>
      </c>
      <c r="O386" s="2">
        <v>46631</v>
      </c>
      <c r="P386">
        <v>12</v>
      </c>
      <c r="Q386" t="s">
        <v>40</v>
      </c>
      <c r="R386" t="s">
        <v>41</v>
      </c>
      <c r="S386" t="s">
        <v>182</v>
      </c>
      <c r="T386" t="s">
        <v>97</v>
      </c>
      <c r="U386" t="s">
        <v>56</v>
      </c>
      <c r="V386" t="s">
        <v>98</v>
      </c>
      <c r="W386" t="s">
        <v>142</v>
      </c>
      <c r="X386" t="s">
        <v>47</v>
      </c>
      <c r="Y386">
        <v>180660.9</v>
      </c>
      <c r="Z386">
        <v>117429.59</v>
      </c>
      <c r="AA386">
        <v>0.65</v>
      </c>
      <c r="AB386" t="s">
        <v>39</v>
      </c>
      <c r="AC386" t="s">
        <v>39</v>
      </c>
      <c r="AD386" t="s">
        <v>48</v>
      </c>
    </row>
    <row r="387" spans="1:30" x14ac:dyDescent="0.35">
      <c r="A387" t="s">
        <v>30</v>
      </c>
      <c r="B387" t="s">
        <v>31</v>
      </c>
      <c r="C387" t="s">
        <v>285</v>
      </c>
      <c r="D387" t="s">
        <v>2095</v>
      </c>
      <c r="E387" t="s">
        <v>2096</v>
      </c>
      <c r="F387" t="s">
        <v>2097</v>
      </c>
      <c r="G387" t="s">
        <v>2098</v>
      </c>
      <c r="H387" t="s">
        <v>1271</v>
      </c>
      <c r="I387" t="s">
        <v>38</v>
      </c>
      <c r="J387" t="s">
        <v>39</v>
      </c>
      <c r="K387" s="2">
        <v>46269</v>
      </c>
      <c r="L387" s="2">
        <v>46295</v>
      </c>
      <c r="N387" s="2">
        <v>46266</v>
      </c>
      <c r="O387" s="2">
        <v>46997</v>
      </c>
      <c r="P387">
        <v>24</v>
      </c>
      <c r="Q387" t="s">
        <v>40</v>
      </c>
      <c r="R387" t="s">
        <v>88</v>
      </c>
      <c r="S387" t="s">
        <v>96</v>
      </c>
      <c r="T387" t="s">
        <v>97</v>
      </c>
      <c r="U387" t="s">
        <v>106</v>
      </c>
      <c r="V387" t="s">
        <v>217</v>
      </c>
      <c r="W387" t="s">
        <v>142</v>
      </c>
      <c r="X387" t="s">
        <v>125</v>
      </c>
      <c r="Y387">
        <v>140793.68</v>
      </c>
      <c r="Z387">
        <v>49277.79</v>
      </c>
      <c r="AA387">
        <v>0.35</v>
      </c>
      <c r="AB387" t="s">
        <v>39</v>
      </c>
      <c r="AC387" t="s">
        <v>39</v>
      </c>
      <c r="AD387" t="s">
        <v>48</v>
      </c>
    </row>
    <row r="388" spans="1:30" x14ac:dyDescent="0.35">
      <c r="A388" t="s">
        <v>30</v>
      </c>
      <c r="B388" t="s">
        <v>31</v>
      </c>
      <c r="C388" t="s">
        <v>285</v>
      </c>
      <c r="D388" t="s">
        <v>2099</v>
      </c>
      <c r="E388" t="s">
        <v>2100</v>
      </c>
      <c r="F388" t="s">
        <v>2101</v>
      </c>
      <c r="G388" t="s">
        <v>2102</v>
      </c>
      <c r="H388" t="s">
        <v>1271</v>
      </c>
      <c r="I388" t="s">
        <v>103</v>
      </c>
      <c r="J388" t="s">
        <v>39</v>
      </c>
      <c r="K388" s="2">
        <v>46276</v>
      </c>
      <c r="L388" s="2">
        <v>46295</v>
      </c>
      <c r="N388" s="2">
        <v>46266</v>
      </c>
      <c r="O388" s="2">
        <v>46997</v>
      </c>
      <c r="P388">
        <v>24</v>
      </c>
      <c r="Q388" t="s">
        <v>40</v>
      </c>
      <c r="R388" t="s">
        <v>53</v>
      </c>
      <c r="S388" t="s">
        <v>137</v>
      </c>
      <c r="T388" t="s">
        <v>97</v>
      </c>
      <c r="U388" t="s">
        <v>56</v>
      </c>
      <c r="V388" t="s">
        <v>57</v>
      </c>
      <c r="W388" t="s">
        <v>90</v>
      </c>
      <c r="X388" t="s">
        <v>143</v>
      </c>
      <c r="Y388">
        <v>90700.33</v>
      </c>
      <c r="Z388">
        <v>58955.21</v>
      </c>
      <c r="AA388">
        <v>0.65</v>
      </c>
      <c r="AB388" t="s">
        <v>39</v>
      </c>
      <c r="AC388" t="s">
        <v>39</v>
      </c>
      <c r="AD388" t="s">
        <v>48</v>
      </c>
    </row>
    <row r="389" spans="1:30" x14ac:dyDescent="0.35">
      <c r="A389" t="s">
        <v>30</v>
      </c>
      <c r="B389" t="s">
        <v>31</v>
      </c>
      <c r="C389" t="s">
        <v>285</v>
      </c>
      <c r="D389" t="s">
        <v>2103</v>
      </c>
      <c r="E389" t="s">
        <v>2104</v>
      </c>
      <c r="F389" t="s">
        <v>1019</v>
      </c>
      <c r="G389" t="s">
        <v>1020</v>
      </c>
      <c r="H389" t="s">
        <v>1271</v>
      </c>
      <c r="I389" t="s">
        <v>64</v>
      </c>
      <c r="J389" t="s">
        <v>39</v>
      </c>
      <c r="K389" s="2">
        <v>46278</v>
      </c>
      <c r="L389" s="2">
        <v>46295</v>
      </c>
      <c r="N389" s="2">
        <v>46266</v>
      </c>
      <c r="O389" s="2">
        <v>46997</v>
      </c>
      <c r="P389">
        <v>24</v>
      </c>
      <c r="Q389" t="s">
        <v>104</v>
      </c>
      <c r="R389" t="s">
        <v>41</v>
      </c>
      <c r="S389" t="s">
        <v>151</v>
      </c>
      <c r="T389" t="s">
        <v>131</v>
      </c>
      <c r="U389" t="s">
        <v>56</v>
      </c>
      <c r="V389" t="s">
        <v>45</v>
      </c>
      <c r="W389" t="s">
        <v>132</v>
      </c>
      <c r="X389" t="s">
        <v>59</v>
      </c>
      <c r="Y389">
        <v>138879.65</v>
      </c>
      <c r="Z389">
        <v>48607.88</v>
      </c>
      <c r="AA389">
        <v>0.35</v>
      </c>
      <c r="AB389" t="s">
        <v>39</v>
      </c>
      <c r="AC389" t="s">
        <v>39</v>
      </c>
      <c r="AD389" t="s">
        <v>48</v>
      </c>
    </row>
    <row r="390" spans="1:30" x14ac:dyDescent="0.35">
      <c r="A390" t="s">
        <v>30</v>
      </c>
      <c r="B390" t="s">
        <v>31</v>
      </c>
      <c r="C390" t="s">
        <v>285</v>
      </c>
      <c r="D390" t="s">
        <v>2105</v>
      </c>
      <c r="E390" t="s">
        <v>2106</v>
      </c>
      <c r="F390" t="s">
        <v>2107</v>
      </c>
      <c r="G390" t="s">
        <v>2108</v>
      </c>
      <c r="H390" t="s">
        <v>1271</v>
      </c>
      <c r="I390" t="s">
        <v>38</v>
      </c>
      <c r="J390" t="s">
        <v>39</v>
      </c>
      <c r="K390" s="2">
        <v>46272</v>
      </c>
      <c r="L390" s="2">
        <v>46295</v>
      </c>
      <c r="N390" s="2">
        <v>46266</v>
      </c>
      <c r="O390" s="2">
        <v>46631</v>
      </c>
      <c r="P390">
        <v>12</v>
      </c>
      <c r="Q390" t="s">
        <v>65</v>
      </c>
      <c r="R390" t="s">
        <v>41</v>
      </c>
      <c r="S390" t="s">
        <v>66</v>
      </c>
      <c r="T390" t="s">
        <v>55</v>
      </c>
      <c r="U390" t="s">
        <v>56</v>
      </c>
      <c r="V390" t="s">
        <v>57</v>
      </c>
      <c r="W390" t="s">
        <v>136</v>
      </c>
      <c r="X390" t="s">
        <v>59</v>
      </c>
      <c r="Y390">
        <v>144858.42000000001</v>
      </c>
      <c r="Z390">
        <v>50700.45</v>
      </c>
      <c r="AA390">
        <v>0.35</v>
      </c>
      <c r="AB390" t="s">
        <v>39</v>
      </c>
      <c r="AC390" t="s">
        <v>39</v>
      </c>
      <c r="AD390" t="s">
        <v>48</v>
      </c>
    </row>
    <row r="391" spans="1:30" x14ac:dyDescent="0.35">
      <c r="A391" t="s">
        <v>30</v>
      </c>
      <c r="B391" t="s">
        <v>31</v>
      </c>
      <c r="C391" t="s">
        <v>285</v>
      </c>
      <c r="D391" t="s">
        <v>2109</v>
      </c>
      <c r="E391" t="s">
        <v>2110</v>
      </c>
      <c r="F391" t="s">
        <v>2111</v>
      </c>
      <c r="G391" t="s">
        <v>2112</v>
      </c>
      <c r="H391" t="s">
        <v>1271</v>
      </c>
      <c r="I391" t="s">
        <v>103</v>
      </c>
      <c r="J391" t="s">
        <v>39</v>
      </c>
      <c r="K391" s="2">
        <v>46272</v>
      </c>
      <c r="L391" s="2">
        <v>46295</v>
      </c>
      <c r="N391" s="2">
        <v>46266</v>
      </c>
      <c r="O391" s="2">
        <v>46631</v>
      </c>
      <c r="P391">
        <v>12</v>
      </c>
      <c r="Q391" t="s">
        <v>65</v>
      </c>
      <c r="R391" t="s">
        <v>41</v>
      </c>
      <c r="S391" t="s">
        <v>42</v>
      </c>
      <c r="T391" t="s">
        <v>43</v>
      </c>
      <c r="U391" t="s">
        <v>44</v>
      </c>
      <c r="V391" t="s">
        <v>57</v>
      </c>
      <c r="W391" t="s">
        <v>120</v>
      </c>
      <c r="X391" t="s">
        <v>47</v>
      </c>
      <c r="Y391">
        <v>146964.03</v>
      </c>
      <c r="Z391">
        <v>95526.62</v>
      </c>
      <c r="AA391">
        <v>0.65</v>
      </c>
      <c r="AB391" t="s">
        <v>39</v>
      </c>
      <c r="AC391" t="s">
        <v>39</v>
      </c>
      <c r="AD391" t="s">
        <v>48</v>
      </c>
    </row>
    <row r="392" spans="1:30" x14ac:dyDescent="0.35">
      <c r="A392" t="s">
        <v>30</v>
      </c>
      <c r="B392" t="s">
        <v>31</v>
      </c>
      <c r="C392" t="s">
        <v>285</v>
      </c>
      <c r="D392" t="s">
        <v>2113</v>
      </c>
      <c r="E392" t="s">
        <v>2114</v>
      </c>
      <c r="F392" t="s">
        <v>1917</v>
      </c>
      <c r="G392" t="s">
        <v>1918</v>
      </c>
      <c r="H392" t="s">
        <v>1271</v>
      </c>
      <c r="I392" t="s">
        <v>117</v>
      </c>
      <c r="J392" t="s">
        <v>39</v>
      </c>
      <c r="K392" s="2">
        <v>46274</v>
      </c>
      <c r="L392" s="2">
        <v>46295</v>
      </c>
      <c r="N392" s="2">
        <v>46266</v>
      </c>
      <c r="O392" s="2">
        <v>46631</v>
      </c>
      <c r="P392">
        <v>12</v>
      </c>
      <c r="Q392" t="s">
        <v>104</v>
      </c>
      <c r="R392" t="s">
        <v>88</v>
      </c>
      <c r="S392" t="s">
        <v>96</v>
      </c>
      <c r="T392" t="s">
        <v>97</v>
      </c>
      <c r="U392" t="s">
        <v>56</v>
      </c>
      <c r="V392" t="s">
        <v>57</v>
      </c>
      <c r="W392" t="s">
        <v>150</v>
      </c>
      <c r="X392" t="s">
        <v>125</v>
      </c>
      <c r="Y392">
        <v>131614.1</v>
      </c>
      <c r="Z392">
        <v>85549.17</v>
      </c>
      <c r="AA392">
        <v>0.65</v>
      </c>
      <c r="AB392" t="s">
        <v>39</v>
      </c>
      <c r="AC392" t="s">
        <v>39</v>
      </c>
      <c r="AD392" t="s">
        <v>48</v>
      </c>
    </row>
    <row r="393" spans="1:30" x14ac:dyDescent="0.35">
      <c r="A393" t="s">
        <v>30</v>
      </c>
      <c r="B393" t="s">
        <v>31</v>
      </c>
      <c r="C393" t="s">
        <v>285</v>
      </c>
      <c r="D393" t="s">
        <v>2115</v>
      </c>
      <c r="E393" t="s">
        <v>2116</v>
      </c>
      <c r="F393" t="s">
        <v>2117</v>
      </c>
      <c r="G393" t="s">
        <v>2118</v>
      </c>
      <c r="H393" t="s">
        <v>1271</v>
      </c>
      <c r="I393" t="s">
        <v>38</v>
      </c>
      <c r="J393" t="s">
        <v>39</v>
      </c>
      <c r="K393" s="2">
        <v>46274</v>
      </c>
      <c r="L393" s="2">
        <v>46295</v>
      </c>
      <c r="N393" s="2">
        <v>46266</v>
      </c>
      <c r="O393" s="2">
        <v>47362</v>
      </c>
      <c r="P393">
        <v>36</v>
      </c>
      <c r="Q393" t="s">
        <v>40</v>
      </c>
      <c r="R393" t="s">
        <v>41</v>
      </c>
      <c r="S393" t="s">
        <v>135</v>
      </c>
      <c r="T393" t="s">
        <v>131</v>
      </c>
      <c r="U393" t="s">
        <v>44</v>
      </c>
      <c r="V393" t="s">
        <v>67</v>
      </c>
      <c r="W393" t="s">
        <v>161</v>
      </c>
      <c r="X393" t="s">
        <v>91</v>
      </c>
      <c r="Y393">
        <v>128402.78</v>
      </c>
      <c r="Z393">
        <v>102722.23</v>
      </c>
      <c r="AA393">
        <v>0.8</v>
      </c>
      <c r="AB393" t="s">
        <v>39</v>
      </c>
      <c r="AC393" t="s">
        <v>39</v>
      </c>
      <c r="AD393" t="s">
        <v>48</v>
      </c>
    </row>
    <row r="394" spans="1:30" x14ac:dyDescent="0.35">
      <c r="A394" t="s">
        <v>30</v>
      </c>
      <c r="B394" t="s">
        <v>31</v>
      </c>
      <c r="C394" t="s">
        <v>285</v>
      </c>
      <c r="D394" t="s">
        <v>2119</v>
      </c>
      <c r="E394" t="s">
        <v>2120</v>
      </c>
      <c r="F394" t="s">
        <v>220</v>
      </c>
      <c r="G394" t="s">
        <v>221</v>
      </c>
      <c r="H394" t="s">
        <v>1290</v>
      </c>
      <c r="I394" t="s">
        <v>111</v>
      </c>
      <c r="J394" t="s">
        <v>1290</v>
      </c>
      <c r="K394" s="2">
        <v>46270</v>
      </c>
      <c r="L394" s="2">
        <v>46295</v>
      </c>
      <c r="N394" s="2">
        <v>46266</v>
      </c>
      <c r="O394" s="2">
        <v>46631</v>
      </c>
      <c r="P394">
        <v>12</v>
      </c>
      <c r="Q394" t="s">
        <v>104</v>
      </c>
      <c r="R394" t="s">
        <v>88</v>
      </c>
      <c r="S394" t="s">
        <v>118</v>
      </c>
      <c r="T394" t="s">
        <v>97</v>
      </c>
      <c r="U394" t="s">
        <v>44</v>
      </c>
      <c r="V394" t="s">
        <v>138</v>
      </c>
      <c r="W394" t="s">
        <v>132</v>
      </c>
      <c r="X394" t="s">
        <v>125</v>
      </c>
      <c r="Y394">
        <v>128049.27</v>
      </c>
      <c r="Z394">
        <v>44817.25</v>
      </c>
      <c r="AA394">
        <v>0.35</v>
      </c>
      <c r="AB394" t="s">
        <v>1290</v>
      </c>
      <c r="AC394" t="s">
        <v>1290</v>
      </c>
      <c r="AD394" t="s">
        <v>48</v>
      </c>
    </row>
    <row r="395" spans="1:30" x14ac:dyDescent="0.35">
      <c r="A395" t="s">
        <v>30</v>
      </c>
      <c r="B395" t="s">
        <v>31</v>
      </c>
      <c r="C395" t="s">
        <v>285</v>
      </c>
      <c r="D395" t="s">
        <v>2121</v>
      </c>
      <c r="E395" t="s">
        <v>2122</v>
      </c>
      <c r="F395" t="s">
        <v>2123</v>
      </c>
      <c r="G395" t="s">
        <v>2124</v>
      </c>
      <c r="H395" t="s">
        <v>1290</v>
      </c>
      <c r="I395" t="s">
        <v>38</v>
      </c>
      <c r="J395" t="s">
        <v>1290</v>
      </c>
      <c r="K395" s="2">
        <v>46278</v>
      </c>
      <c r="L395" s="2">
        <v>46295</v>
      </c>
      <c r="N395" s="2">
        <v>46266</v>
      </c>
      <c r="O395" s="2">
        <v>46631</v>
      </c>
      <c r="P395">
        <v>12</v>
      </c>
      <c r="Q395" t="s">
        <v>40</v>
      </c>
      <c r="R395" t="s">
        <v>53</v>
      </c>
      <c r="S395" t="s">
        <v>89</v>
      </c>
      <c r="T395" t="s">
        <v>55</v>
      </c>
      <c r="U395" t="s">
        <v>44</v>
      </c>
      <c r="V395" t="s">
        <v>81</v>
      </c>
      <c r="W395" t="s">
        <v>142</v>
      </c>
      <c r="X395" t="s">
        <v>83</v>
      </c>
      <c r="Y395">
        <v>143354.60999999999</v>
      </c>
      <c r="Z395">
        <v>114683.69</v>
      </c>
      <c r="AA395">
        <v>0.8</v>
      </c>
      <c r="AB395" t="s">
        <v>1290</v>
      </c>
      <c r="AC395" t="s">
        <v>1290</v>
      </c>
      <c r="AD395" t="s">
        <v>48</v>
      </c>
    </row>
    <row r="396" spans="1:30" x14ac:dyDescent="0.35">
      <c r="A396" t="s">
        <v>30</v>
      </c>
      <c r="B396" t="s">
        <v>31</v>
      </c>
      <c r="C396" t="s">
        <v>285</v>
      </c>
      <c r="D396" t="s">
        <v>2125</v>
      </c>
      <c r="E396" t="s">
        <v>2126</v>
      </c>
      <c r="F396" t="s">
        <v>2127</v>
      </c>
      <c r="G396" t="s">
        <v>2128</v>
      </c>
      <c r="H396" t="s">
        <v>1290</v>
      </c>
      <c r="I396" t="s">
        <v>117</v>
      </c>
      <c r="J396" t="s">
        <v>1290</v>
      </c>
      <c r="K396" s="2">
        <v>46278</v>
      </c>
      <c r="L396" s="2">
        <v>46295</v>
      </c>
      <c r="N396" s="2">
        <v>46266</v>
      </c>
      <c r="O396" s="2">
        <v>46631</v>
      </c>
      <c r="P396">
        <v>12</v>
      </c>
      <c r="Q396" t="s">
        <v>40</v>
      </c>
      <c r="R396" t="s">
        <v>41</v>
      </c>
      <c r="S396" t="s">
        <v>149</v>
      </c>
      <c r="T396" t="s">
        <v>131</v>
      </c>
      <c r="U396" t="s">
        <v>44</v>
      </c>
      <c r="V396" t="s">
        <v>98</v>
      </c>
      <c r="W396" t="s">
        <v>132</v>
      </c>
      <c r="X396" t="s">
        <v>143</v>
      </c>
      <c r="Y396">
        <v>152632.10999999999</v>
      </c>
      <c r="Z396">
        <v>99210.87</v>
      </c>
      <c r="AA396">
        <v>0.65</v>
      </c>
      <c r="AB396" t="s">
        <v>1290</v>
      </c>
      <c r="AC396" t="s">
        <v>1290</v>
      </c>
      <c r="AD396" t="s">
        <v>48</v>
      </c>
    </row>
    <row r="397" spans="1:30" x14ac:dyDescent="0.35">
      <c r="A397" t="s">
        <v>30</v>
      </c>
      <c r="B397" t="s">
        <v>31</v>
      </c>
      <c r="C397" t="s">
        <v>285</v>
      </c>
      <c r="D397" t="s">
        <v>2129</v>
      </c>
      <c r="E397" t="s">
        <v>2130</v>
      </c>
      <c r="F397" t="s">
        <v>2131</v>
      </c>
      <c r="G397" t="s">
        <v>2132</v>
      </c>
      <c r="H397" t="s">
        <v>1295</v>
      </c>
      <c r="I397" t="s">
        <v>103</v>
      </c>
      <c r="J397" t="s">
        <v>1295</v>
      </c>
      <c r="K397" s="2">
        <v>46270</v>
      </c>
      <c r="L397" s="2">
        <v>46295</v>
      </c>
      <c r="N397" s="2">
        <v>46266</v>
      </c>
      <c r="O397" s="2">
        <v>46631</v>
      </c>
      <c r="P397">
        <v>12</v>
      </c>
      <c r="Q397" t="s">
        <v>40</v>
      </c>
      <c r="R397" t="s">
        <v>53</v>
      </c>
      <c r="S397" t="s">
        <v>164</v>
      </c>
      <c r="T397" t="s">
        <v>55</v>
      </c>
      <c r="U397" t="s">
        <v>44</v>
      </c>
      <c r="V397" t="s">
        <v>119</v>
      </c>
      <c r="W397" t="s">
        <v>82</v>
      </c>
      <c r="X397" t="s">
        <v>143</v>
      </c>
      <c r="Y397">
        <v>127253.14</v>
      </c>
      <c r="Z397">
        <v>44538.6</v>
      </c>
      <c r="AA397">
        <v>0.35</v>
      </c>
      <c r="AB397" t="s">
        <v>1295</v>
      </c>
      <c r="AC397" t="s">
        <v>1295</v>
      </c>
      <c r="AD397" t="s">
        <v>48</v>
      </c>
    </row>
    <row r="398" spans="1:30" x14ac:dyDescent="0.35">
      <c r="A398" t="s">
        <v>30</v>
      </c>
      <c r="B398" t="s">
        <v>31</v>
      </c>
      <c r="C398" t="s">
        <v>285</v>
      </c>
      <c r="D398" t="s">
        <v>2133</v>
      </c>
      <c r="E398" t="s">
        <v>2134</v>
      </c>
      <c r="F398" t="s">
        <v>1217</v>
      </c>
      <c r="G398" t="s">
        <v>1218</v>
      </c>
      <c r="H398" t="s">
        <v>1295</v>
      </c>
      <c r="I398" t="s">
        <v>38</v>
      </c>
      <c r="J398" t="s">
        <v>1295</v>
      </c>
      <c r="K398" s="2">
        <v>46277</v>
      </c>
      <c r="L398" s="2">
        <v>46295</v>
      </c>
      <c r="N398" s="2">
        <v>46266</v>
      </c>
      <c r="O398" s="2">
        <v>46631</v>
      </c>
      <c r="P398">
        <v>12</v>
      </c>
      <c r="Q398" t="s">
        <v>65</v>
      </c>
      <c r="R398" t="s">
        <v>41</v>
      </c>
      <c r="S398" t="s">
        <v>182</v>
      </c>
      <c r="T398" t="s">
        <v>97</v>
      </c>
      <c r="U398" t="s">
        <v>56</v>
      </c>
      <c r="V398" t="s">
        <v>98</v>
      </c>
      <c r="W398" t="s">
        <v>90</v>
      </c>
      <c r="X398" t="s">
        <v>158</v>
      </c>
      <c r="Y398">
        <v>207558.83</v>
      </c>
      <c r="Z398">
        <v>72645.59</v>
      </c>
      <c r="AA398">
        <v>0.35</v>
      </c>
      <c r="AB398" t="s">
        <v>1295</v>
      </c>
      <c r="AC398" t="s">
        <v>1295</v>
      </c>
      <c r="AD398" t="s">
        <v>48</v>
      </c>
    </row>
    <row r="399" spans="1:30" x14ac:dyDescent="0.35">
      <c r="A399" t="s">
        <v>30</v>
      </c>
      <c r="B399" t="s">
        <v>31</v>
      </c>
      <c r="C399" t="s">
        <v>285</v>
      </c>
      <c r="D399" t="s">
        <v>2135</v>
      </c>
      <c r="E399" t="s">
        <v>2136</v>
      </c>
      <c r="F399" t="s">
        <v>2137</v>
      </c>
      <c r="G399" t="s">
        <v>2138</v>
      </c>
      <c r="H399" t="s">
        <v>1295</v>
      </c>
      <c r="I399" t="s">
        <v>117</v>
      </c>
      <c r="J399" t="s">
        <v>1295</v>
      </c>
      <c r="K399" s="2">
        <v>46267</v>
      </c>
      <c r="L399" s="2">
        <v>46295</v>
      </c>
      <c r="N399" s="2">
        <v>46266</v>
      </c>
      <c r="O399" s="2">
        <v>46631</v>
      </c>
      <c r="P399">
        <v>12</v>
      </c>
      <c r="Q399" t="s">
        <v>40</v>
      </c>
      <c r="R399" t="s">
        <v>88</v>
      </c>
      <c r="S399" t="s">
        <v>130</v>
      </c>
      <c r="T399" t="s">
        <v>131</v>
      </c>
      <c r="U399" t="s">
        <v>56</v>
      </c>
      <c r="V399" t="s">
        <v>57</v>
      </c>
      <c r="W399" t="s">
        <v>132</v>
      </c>
      <c r="X399" t="s">
        <v>68</v>
      </c>
      <c r="Y399">
        <v>184323.58</v>
      </c>
      <c r="Z399">
        <v>119810.33</v>
      </c>
      <c r="AA399">
        <v>0.65</v>
      </c>
      <c r="AB399" t="s">
        <v>1295</v>
      </c>
      <c r="AC399" t="s">
        <v>1295</v>
      </c>
      <c r="AD399" t="s">
        <v>48</v>
      </c>
    </row>
    <row r="400" spans="1:30" x14ac:dyDescent="0.35">
      <c r="A400" t="s">
        <v>30</v>
      </c>
      <c r="B400" t="s">
        <v>31</v>
      </c>
      <c r="C400" t="s">
        <v>285</v>
      </c>
      <c r="D400" t="s">
        <v>2139</v>
      </c>
      <c r="E400" t="s">
        <v>2140</v>
      </c>
      <c r="F400" t="s">
        <v>2141</v>
      </c>
      <c r="G400" t="s">
        <v>2142</v>
      </c>
      <c r="H400" t="s">
        <v>1295</v>
      </c>
      <c r="I400" t="s">
        <v>117</v>
      </c>
      <c r="J400" t="s">
        <v>1295</v>
      </c>
      <c r="K400" s="2">
        <v>46269</v>
      </c>
      <c r="L400" s="2">
        <v>46295</v>
      </c>
      <c r="N400" s="2">
        <v>46266</v>
      </c>
      <c r="O400" s="2">
        <v>46631</v>
      </c>
      <c r="P400">
        <v>12</v>
      </c>
      <c r="Q400" t="s">
        <v>104</v>
      </c>
      <c r="R400" t="s">
        <v>53</v>
      </c>
      <c r="S400" t="s">
        <v>140</v>
      </c>
      <c r="T400" t="s">
        <v>97</v>
      </c>
      <c r="U400" t="s">
        <v>44</v>
      </c>
      <c r="V400" t="s">
        <v>67</v>
      </c>
      <c r="W400" t="s">
        <v>150</v>
      </c>
      <c r="X400" t="s">
        <v>68</v>
      </c>
      <c r="Y400">
        <v>186370.45</v>
      </c>
      <c r="Z400">
        <v>121140.79</v>
      </c>
      <c r="AA400">
        <v>0.65</v>
      </c>
      <c r="AB400" t="s">
        <v>1295</v>
      </c>
      <c r="AC400" t="s">
        <v>1295</v>
      </c>
      <c r="AD400" t="s">
        <v>48</v>
      </c>
    </row>
    <row r="401" spans="1:30" x14ac:dyDescent="0.35">
      <c r="A401" t="s">
        <v>30</v>
      </c>
      <c r="B401" t="s">
        <v>31</v>
      </c>
      <c r="C401" t="s">
        <v>285</v>
      </c>
      <c r="D401" t="s">
        <v>2143</v>
      </c>
      <c r="E401" t="s">
        <v>2144</v>
      </c>
      <c r="F401" t="s">
        <v>2145</v>
      </c>
      <c r="G401" t="s">
        <v>2146</v>
      </c>
      <c r="H401" t="s">
        <v>1302</v>
      </c>
      <c r="I401" t="s">
        <v>111</v>
      </c>
      <c r="J401" t="s">
        <v>39</v>
      </c>
      <c r="K401" s="2">
        <v>46274</v>
      </c>
      <c r="L401" s="2">
        <v>46295</v>
      </c>
      <c r="N401" s="2">
        <v>46266</v>
      </c>
      <c r="O401" s="2">
        <v>46631</v>
      </c>
      <c r="P401">
        <v>12</v>
      </c>
      <c r="Q401" t="s">
        <v>40</v>
      </c>
      <c r="R401" t="s">
        <v>53</v>
      </c>
      <c r="S401" t="s">
        <v>80</v>
      </c>
      <c r="T401" t="s">
        <v>43</v>
      </c>
      <c r="U401" t="s">
        <v>44</v>
      </c>
      <c r="V401" t="s">
        <v>138</v>
      </c>
      <c r="W401" t="s">
        <v>136</v>
      </c>
      <c r="X401" t="s">
        <v>68</v>
      </c>
      <c r="Y401">
        <v>146313.60000000001</v>
      </c>
      <c r="Z401">
        <v>117050.88</v>
      </c>
      <c r="AA401">
        <v>0.8</v>
      </c>
      <c r="AB401" t="s">
        <v>39</v>
      </c>
      <c r="AC401" t="s">
        <v>39</v>
      </c>
      <c r="AD401" t="s">
        <v>48</v>
      </c>
    </row>
    <row r="402" spans="1:30" x14ac:dyDescent="0.35">
      <c r="A402" t="s">
        <v>30</v>
      </c>
      <c r="B402" t="s">
        <v>31</v>
      </c>
      <c r="C402" t="s">
        <v>285</v>
      </c>
      <c r="D402" t="s">
        <v>2147</v>
      </c>
      <c r="E402" t="s">
        <v>2148</v>
      </c>
      <c r="F402" t="s">
        <v>154</v>
      </c>
      <c r="G402" t="s">
        <v>155</v>
      </c>
      <c r="H402" t="s">
        <v>1302</v>
      </c>
      <c r="I402" t="s">
        <v>111</v>
      </c>
      <c r="J402" t="s">
        <v>39</v>
      </c>
      <c r="K402" s="2">
        <v>46275</v>
      </c>
      <c r="L402" s="2">
        <v>46295</v>
      </c>
      <c r="N402" s="2">
        <v>46266</v>
      </c>
      <c r="O402" s="2">
        <v>46997</v>
      </c>
      <c r="P402">
        <v>24</v>
      </c>
      <c r="Q402" t="s">
        <v>65</v>
      </c>
      <c r="R402" t="s">
        <v>53</v>
      </c>
      <c r="S402" t="s">
        <v>73</v>
      </c>
      <c r="T402" t="s">
        <v>43</v>
      </c>
      <c r="U402" t="s">
        <v>44</v>
      </c>
      <c r="V402" t="s">
        <v>74</v>
      </c>
      <c r="W402" t="s">
        <v>132</v>
      </c>
      <c r="X402" t="s">
        <v>143</v>
      </c>
      <c r="Y402">
        <v>101403.99</v>
      </c>
      <c r="Z402">
        <v>81123.19</v>
      </c>
      <c r="AA402">
        <v>0.8</v>
      </c>
      <c r="AB402" t="s">
        <v>39</v>
      </c>
      <c r="AC402" t="s">
        <v>39</v>
      </c>
      <c r="AD402" t="s">
        <v>48</v>
      </c>
    </row>
    <row r="403" spans="1:30" x14ac:dyDescent="0.35">
      <c r="A403" t="s">
        <v>30</v>
      </c>
      <c r="B403" t="s">
        <v>31</v>
      </c>
      <c r="C403" t="s">
        <v>285</v>
      </c>
      <c r="D403" t="s">
        <v>2149</v>
      </c>
      <c r="E403" t="s">
        <v>2150</v>
      </c>
      <c r="F403" t="s">
        <v>965</v>
      </c>
      <c r="G403" t="s">
        <v>966</v>
      </c>
      <c r="H403" t="s">
        <v>1302</v>
      </c>
      <c r="I403" t="s">
        <v>38</v>
      </c>
      <c r="J403" t="s">
        <v>39</v>
      </c>
      <c r="K403" s="2">
        <v>46272</v>
      </c>
      <c r="L403" s="2">
        <v>46295</v>
      </c>
      <c r="N403" s="2">
        <v>46266</v>
      </c>
      <c r="O403" s="2">
        <v>46631</v>
      </c>
      <c r="P403">
        <v>12</v>
      </c>
      <c r="Q403" t="s">
        <v>65</v>
      </c>
      <c r="R403" t="s">
        <v>53</v>
      </c>
      <c r="S403" t="s">
        <v>42</v>
      </c>
      <c r="T403" t="s">
        <v>43</v>
      </c>
      <c r="U403" t="s">
        <v>106</v>
      </c>
      <c r="V403" t="s">
        <v>217</v>
      </c>
      <c r="W403" t="s">
        <v>132</v>
      </c>
      <c r="X403" t="s">
        <v>91</v>
      </c>
      <c r="Y403">
        <v>134643.41</v>
      </c>
      <c r="Z403">
        <v>87518.22</v>
      </c>
      <c r="AA403">
        <v>0.65</v>
      </c>
      <c r="AB403" t="s">
        <v>39</v>
      </c>
      <c r="AC403" t="s">
        <v>39</v>
      </c>
      <c r="AD403" t="s">
        <v>48</v>
      </c>
    </row>
    <row r="404" spans="1:30" x14ac:dyDescent="0.35">
      <c r="A404" t="s">
        <v>30</v>
      </c>
      <c r="B404" t="s">
        <v>31</v>
      </c>
      <c r="C404" t="s">
        <v>348</v>
      </c>
      <c r="D404" t="s">
        <v>349</v>
      </c>
      <c r="E404" t="s">
        <v>350</v>
      </c>
      <c r="F404" t="s">
        <v>351</v>
      </c>
      <c r="G404" t="s">
        <v>352</v>
      </c>
      <c r="H404" t="s">
        <v>37</v>
      </c>
      <c r="I404" t="s">
        <v>64</v>
      </c>
      <c r="J404" t="s">
        <v>39</v>
      </c>
      <c r="K404" s="2">
        <v>46305</v>
      </c>
      <c r="L404" s="2">
        <v>46326</v>
      </c>
      <c r="N404" s="2">
        <v>46296</v>
      </c>
      <c r="O404" s="2">
        <v>46661</v>
      </c>
      <c r="P404">
        <v>12</v>
      </c>
      <c r="Q404" t="s">
        <v>104</v>
      </c>
      <c r="R404" t="s">
        <v>53</v>
      </c>
      <c r="S404" t="s">
        <v>162</v>
      </c>
      <c r="T404" t="s">
        <v>43</v>
      </c>
      <c r="U404" t="s">
        <v>106</v>
      </c>
      <c r="V404" t="s">
        <v>217</v>
      </c>
      <c r="W404" t="s">
        <v>142</v>
      </c>
      <c r="X404" t="s">
        <v>158</v>
      </c>
      <c r="Y404">
        <v>153532.01</v>
      </c>
      <c r="Z404">
        <v>53736.2</v>
      </c>
      <c r="AA404">
        <v>0.35</v>
      </c>
      <c r="AB404" t="s">
        <v>39</v>
      </c>
      <c r="AC404" t="s">
        <v>39</v>
      </c>
      <c r="AD404" t="s">
        <v>48</v>
      </c>
    </row>
    <row r="405" spans="1:30" x14ac:dyDescent="0.35">
      <c r="A405" t="s">
        <v>30</v>
      </c>
      <c r="B405" t="s">
        <v>31</v>
      </c>
      <c r="C405" t="s">
        <v>348</v>
      </c>
      <c r="D405" t="s">
        <v>353</v>
      </c>
      <c r="E405" t="s">
        <v>354</v>
      </c>
      <c r="F405" t="s">
        <v>355</v>
      </c>
      <c r="G405" t="s">
        <v>356</v>
      </c>
      <c r="H405" t="s">
        <v>37</v>
      </c>
      <c r="I405" t="s">
        <v>103</v>
      </c>
      <c r="J405" t="s">
        <v>39</v>
      </c>
      <c r="K405" s="2">
        <v>46296</v>
      </c>
      <c r="L405" s="2">
        <v>46326</v>
      </c>
      <c r="N405" s="2">
        <v>46296</v>
      </c>
      <c r="O405" s="2">
        <v>46661</v>
      </c>
      <c r="P405">
        <v>12</v>
      </c>
      <c r="Q405" t="s">
        <v>104</v>
      </c>
      <c r="R405" t="s">
        <v>41</v>
      </c>
      <c r="S405" t="s">
        <v>66</v>
      </c>
      <c r="T405" t="s">
        <v>55</v>
      </c>
      <c r="U405" t="s">
        <v>44</v>
      </c>
      <c r="V405" t="s">
        <v>138</v>
      </c>
      <c r="W405" t="s">
        <v>136</v>
      </c>
      <c r="X405" t="s">
        <v>125</v>
      </c>
      <c r="Y405">
        <v>169463.16</v>
      </c>
      <c r="Z405">
        <v>110151.05</v>
      </c>
      <c r="AA405">
        <v>0.65</v>
      </c>
      <c r="AB405" t="s">
        <v>39</v>
      </c>
      <c r="AC405" t="s">
        <v>39</v>
      </c>
      <c r="AD405" t="s">
        <v>48</v>
      </c>
    </row>
    <row r="406" spans="1:30" x14ac:dyDescent="0.35">
      <c r="A406" t="s">
        <v>30</v>
      </c>
      <c r="B406" t="s">
        <v>31</v>
      </c>
      <c r="C406" t="s">
        <v>348</v>
      </c>
      <c r="D406" t="s">
        <v>357</v>
      </c>
      <c r="E406" t="s">
        <v>358</v>
      </c>
      <c r="F406" t="s">
        <v>359</v>
      </c>
      <c r="G406" t="s">
        <v>360</v>
      </c>
      <c r="H406" t="s">
        <v>37</v>
      </c>
      <c r="I406" t="s">
        <v>64</v>
      </c>
      <c r="J406" t="s">
        <v>39</v>
      </c>
      <c r="K406" s="2">
        <v>46299</v>
      </c>
      <c r="L406" s="2">
        <v>46326</v>
      </c>
      <c r="N406" s="2">
        <v>46296</v>
      </c>
      <c r="O406" s="2">
        <v>47392</v>
      </c>
      <c r="P406">
        <v>36</v>
      </c>
      <c r="Q406" t="s">
        <v>104</v>
      </c>
      <c r="R406" t="s">
        <v>53</v>
      </c>
      <c r="S406" t="s">
        <v>118</v>
      </c>
      <c r="T406" t="s">
        <v>97</v>
      </c>
      <c r="U406" t="s">
        <v>56</v>
      </c>
      <c r="V406" t="s">
        <v>144</v>
      </c>
      <c r="W406" t="s">
        <v>142</v>
      </c>
      <c r="X406" t="s">
        <v>91</v>
      </c>
      <c r="Y406">
        <v>161158.88</v>
      </c>
      <c r="Z406">
        <v>104753.27</v>
      </c>
      <c r="AA406">
        <v>0.65</v>
      </c>
      <c r="AB406" t="s">
        <v>39</v>
      </c>
      <c r="AC406" t="s">
        <v>39</v>
      </c>
      <c r="AD406" t="s">
        <v>48</v>
      </c>
    </row>
    <row r="407" spans="1:30" x14ac:dyDescent="0.35">
      <c r="A407" t="s">
        <v>30</v>
      </c>
      <c r="B407" t="s">
        <v>31</v>
      </c>
      <c r="C407" t="s">
        <v>348</v>
      </c>
      <c r="D407" t="s">
        <v>361</v>
      </c>
      <c r="E407" t="s">
        <v>362</v>
      </c>
      <c r="F407" t="s">
        <v>363</v>
      </c>
      <c r="G407" t="s">
        <v>364</v>
      </c>
      <c r="H407" t="s">
        <v>37</v>
      </c>
      <c r="I407" t="s">
        <v>117</v>
      </c>
      <c r="J407" t="s">
        <v>39</v>
      </c>
      <c r="K407" s="2">
        <v>46302</v>
      </c>
      <c r="L407" s="2">
        <v>46326</v>
      </c>
      <c r="N407" s="2">
        <v>46296</v>
      </c>
      <c r="O407" s="2">
        <v>46661</v>
      </c>
      <c r="P407">
        <v>12</v>
      </c>
      <c r="Q407" t="s">
        <v>65</v>
      </c>
      <c r="R407" t="s">
        <v>41</v>
      </c>
      <c r="S407" t="s">
        <v>280</v>
      </c>
      <c r="T407" t="s">
        <v>43</v>
      </c>
      <c r="U407" t="s">
        <v>56</v>
      </c>
      <c r="V407" t="s">
        <v>144</v>
      </c>
      <c r="W407" t="s">
        <v>161</v>
      </c>
      <c r="X407" t="s">
        <v>47</v>
      </c>
      <c r="Y407">
        <v>156452.69</v>
      </c>
      <c r="Z407">
        <v>54758.44</v>
      </c>
      <c r="AA407">
        <v>0.35</v>
      </c>
      <c r="AB407" t="s">
        <v>39</v>
      </c>
      <c r="AC407" t="s">
        <v>39</v>
      </c>
      <c r="AD407" t="s">
        <v>48</v>
      </c>
    </row>
    <row r="408" spans="1:30" x14ac:dyDescent="0.35">
      <c r="A408" t="s">
        <v>30</v>
      </c>
      <c r="B408" t="s">
        <v>31</v>
      </c>
      <c r="C408" t="s">
        <v>348</v>
      </c>
      <c r="D408" t="s">
        <v>365</v>
      </c>
      <c r="E408" t="s">
        <v>366</v>
      </c>
      <c r="F408" t="s">
        <v>367</v>
      </c>
      <c r="G408" t="s">
        <v>368</v>
      </c>
      <c r="H408" t="s">
        <v>37</v>
      </c>
      <c r="I408" t="s">
        <v>117</v>
      </c>
      <c r="J408" t="s">
        <v>39</v>
      </c>
      <c r="K408" s="2">
        <v>46301</v>
      </c>
      <c r="L408" s="2">
        <v>46326</v>
      </c>
      <c r="N408" s="2">
        <v>46296</v>
      </c>
      <c r="O408" s="2">
        <v>46661</v>
      </c>
      <c r="P408">
        <v>12</v>
      </c>
      <c r="Q408" t="s">
        <v>40</v>
      </c>
      <c r="R408" t="s">
        <v>53</v>
      </c>
      <c r="S408" t="s">
        <v>105</v>
      </c>
      <c r="T408" t="s">
        <v>55</v>
      </c>
      <c r="U408" t="s">
        <v>106</v>
      </c>
      <c r="V408" t="s">
        <v>98</v>
      </c>
      <c r="W408" t="s">
        <v>120</v>
      </c>
      <c r="X408" t="s">
        <v>143</v>
      </c>
      <c r="Y408">
        <v>166642.29</v>
      </c>
      <c r="Z408">
        <v>108317.49</v>
      </c>
      <c r="AA408">
        <v>0.65</v>
      </c>
      <c r="AB408" t="s">
        <v>39</v>
      </c>
      <c r="AC408" t="s">
        <v>39</v>
      </c>
      <c r="AD408" t="s">
        <v>48</v>
      </c>
    </row>
    <row r="409" spans="1:30" x14ac:dyDescent="0.35">
      <c r="A409" t="s">
        <v>30</v>
      </c>
      <c r="B409" t="s">
        <v>31</v>
      </c>
      <c r="C409" t="s">
        <v>348</v>
      </c>
      <c r="D409" t="s">
        <v>369</v>
      </c>
      <c r="E409" t="s">
        <v>370</v>
      </c>
      <c r="F409" t="s">
        <v>371</v>
      </c>
      <c r="G409" t="s">
        <v>372</v>
      </c>
      <c r="H409" t="s">
        <v>37</v>
      </c>
      <c r="I409" t="s">
        <v>103</v>
      </c>
      <c r="J409" t="s">
        <v>39</v>
      </c>
      <c r="K409" s="2">
        <v>46298</v>
      </c>
      <c r="L409" s="2">
        <v>46326</v>
      </c>
      <c r="N409" s="2">
        <v>46296</v>
      </c>
      <c r="O409" s="2">
        <v>46661</v>
      </c>
      <c r="P409">
        <v>12</v>
      </c>
      <c r="Q409" t="s">
        <v>65</v>
      </c>
      <c r="R409" t="s">
        <v>88</v>
      </c>
      <c r="S409" t="s">
        <v>54</v>
      </c>
      <c r="T409" t="s">
        <v>55</v>
      </c>
      <c r="U409" t="s">
        <v>56</v>
      </c>
      <c r="V409" t="s">
        <v>98</v>
      </c>
      <c r="W409" t="s">
        <v>142</v>
      </c>
      <c r="X409" t="s">
        <v>158</v>
      </c>
      <c r="Y409">
        <v>152583.51999999999</v>
      </c>
      <c r="Z409">
        <v>76291.759999999995</v>
      </c>
      <c r="AA409">
        <v>0.5</v>
      </c>
      <c r="AB409" t="s">
        <v>39</v>
      </c>
      <c r="AC409" t="s">
        <v>39</v>
      </c>
      <c r="AD409" t="s">
        <v>48</v>
      </c>
    </row>
    <row r="410" spans="1:30" x14ac:dyDescent="0.35">
      <c r="A410" t="s">
        <v>30</v>
      </c>
      <c r="B410" t="s">
        <v>31</v>
      </c>
      <c r="C410" t="s">
        <v>348</v>
      </c>
      <c r="D410" t="s">
        <v>373</v>
      </c>
      <c r="E410" t="s">
        <v>374</v>
      </c>
      <c r="F410" t="s">
        <v>375</v>
      </c>
      <c r="G410" t="s">
        <v>376</v>
      </c>
      <c r="H410" t="s">
        <v>37</v>
      </c>
      <c r="I410" t="s">
        <v>117</v>
      </c>
      <c r="J410" t="s">
        <v>39</v>
      </c>
      <c r="K410" s="2">
        <v>46303</v>
      </c>
      <c r="L410" s="2">
        <v>46326</v>
      </c>
      <c r="N410" s="2">
        <v>46296</v>
      </c>
      <c r="O410" s="2">
        <v>46661</v>
      </c>
      <c r="P410">
        <v>12</v>
      </c>
      <c r="Q410" t="s">
        <v>65</v>
      </c>
      <c r="R410" t="s">
        <v>88</v>
      </c>
      <c r="S410" t="s">
        <v>96</v>
      </c>
      <c r="T410" t="s">
        <v>97</v>
      </c>
      <c r="U410" t="s">
        <v>56</v>
      </c>
      <c r="V410" t="s">
        <v>217</v>
      </c>
      <c r="W410" t="s">
        <v>136</v>
      </c>
      <c r="X410" t="s">
        <v>125</v>
      </c>
      <c r="Y410">
        <v>125518.16</v>
      </c>
      <c r="Z410">
        <v>62759.08</v>
      </c>
      <c r="AA410">
        <v>0.5</v>
      </c>
      <c r="AB410" t="s">
        <v>39</v>
      </c>
      <c r="AC410" t="s">
        <v>39</v>
      </c>
      <c r="AD410" t="s">
        <v>48</v>
      </c>
    </row>
    <row r="411" spans="1:30" x14ac:dyDescent="0.35">
      <c r="A411" t="s">
        <v>30</v>
      </c>
      <c r="B411" t="s">
        <v>31</v>
      </c>
      <c r="C411" t="s">
        <v>348</v>
      </c>
      <c r="D411" t="s">
        <v>377</v>
      </c>
      <c r="E411" t="s">
        <v>378</v>
      </c>
      <c r="F411" t="s">
        <v>379</v>
      </c>
      <c r="G411" t="s">
        <v>380</v>
      </c>
      <c r="H411" t="s">
        <v>37</v>
      </c>
      <c r="I411" t="s">
        <v>103</v>
      </c>
      <c r="J411" t="s">
        <v>39</v>
      </c>
      <c r="K411" s="2">
        <v>46299</v>
      </c>
      <c r="L411" s="2">
        <v>46326</v>
      </c>
      <c r="N411" s="2">
        <v>46296</v>
      </c>
      <c r="O411" s="2">
        <v>47027</v>
      </c>
      <c r="P411">
        <v>24</v>
      </c>
      <c r="Q411" t="s">
        <v>65</v>
      </c>
      <c r="R411" t="s">
        <v>88</v>
      </c>
      <c r="S411" t="s">
        <v>163</v>
      </c>
      <c r="T411" t="s">
        <v>131</v>
      </c>
      <c r="U411" t="s">
        <v>106</v>
      </c>
      <c r="V411" t="s">
        <v>81</v>
      </c>
      <c r="W411" t="s">
        <v>90</v>
      </c>
      <c r="X411" t="s">
        <v>83</v>
      </c>
      <c r="Y411">
        <v>197749.13</v>
      </c>
      <c r="Z411">
        <v>158199.29999999999</v>
      </c>
      <c r="AA411">
        <v>0.8</v>
      </c>
      <c r="AB411" t="s">
        <v>39</v>
      </c>
      <c r="AC411" t="s">
        <v>39</v>
      </c>
      <c r="AD411" t="s">
        <v>48</v>
      </c>
    </row>
    <row r="412" spans="1:30" x14ac:dyDescent="0.35">
      <c r="A412" t="s">
        <v>30</v>
      </c>
      <c r="B412" t="s">
        <v>31</v>
      </c>
      <c r="C412" t="s">
        <v>348</v>
      </c>
      <c r="D412" t="s">
        <v>381</v>
      </c>
      <c r="E412" t="s">
        <v>382</v>
      </c>
      <c r="F412" t="s">
        <v>383</v>
      </c>
      <c r="G412" t="s">
        <v>384</v>
      </c>
      <c r="H412" t="s">
        <v>37</v>
      </c>
      <c r="I412" t="s">
        <v>38</v>
      </c>
      <c r="J412" t="s">
        <v>39</v>
      </c>
      <c r="K412" s="2">
        <v>46309</v>
      </c>
      <c r="L412" s="2">
        <v>46326</v>
      </c>
      <c r="N412" s="2">
        <v>46296</v>
      </c>
      <c r="O412" s="2">
        <v>46661</v>
      </c>
      <c r="P412">
        <v>12</v>
      </c>
      <c r="Q412" t="s">
        <v>40</v>
      </c>
      <c r="R412" t="s">
        <v>41</v>
      </c>
      <c r="S412" t="s">
        <v>130</v>
      </c>
      <c r="T412" t="s">
        <v>131</v>
      </c>
      <c r="U412" t="s">
        <v>56</v>
      </c>
      <c r="V412" t="s">
        <v>119</v>
      </c>
      <c r="W412" t="s">
        <v>161</v>
      </c>
      <c r="X412" t="s">
        <v>158</v>
      </c>
      <c r="Y412">
        <v>113807.24</v>
      </c>
      <c r="Z412">
        <v>39832.53</v>
      </c>
      <c r="AA412">
        <v>0.35</v>
      </c>
      <c r="AB412" t="s">
        <v>39</v>
      </c>
      <c r="AC412" t="s">
        <v>39</v>
      </c>
      <c r="AD412" t="s">
        <v>48</v>
      </c>
    </row>
    <row r="413" spans="1:30" x14ac:dyDescent="0.35">
      <c r="A413" t="s">
        <v>30</v>
      </c>
      <c r="B413" t="s">
        <v>31</v>
      </c>
      <c r="C413" t="s">
        <v>348</v>
      </c>
      <c r="D413" t="s">
        <v>385</v>
      </c>
      <c r="E413" t="s">
        <v>386</v>
      </c>
      <c r="F413" t="s">
        <v>387</v>
      </c>
      <c r="G413" t="s">
        <v>388</v>
      </c>
      <c r="H413" t="s">
        <v>37</v>
      </c>
      <c r="I413" t="s">
        <v>117</v>
      </c>
      <c r="J413" t="s">
        <v>39</v>
      </c>
      <c r="K413" s="2">
        <v>46303</v>
      </c>
      <c r="L413" s="2">
        <v>46326</v>
      </c>
      <c r="N413" s="2">
        <v>46296</v>
      </c>
      <c r="O413" s="2">
        <v>46661</v>
      </c>
      <c r="P413">
        <v>12</v>
      </c>
      <c r="Q413" t="s">
        <v>40</v>
      </c>
      <c r="R413" t="s">
        <v>88</v>
      </c>
      <c r="S413" t="s">
        <v>137</v>
      </c>
      <c r="T413" t="s">
        <v>97</v>
      </c>
      <c r="U413" t="s">
        <v>44</v>
      </c>
      <c r="V413" t="s">
        <v>119</v>
      </c>
      <c r="W413" t="s">
        <v>46</v>
      </c>
      <c r="X413" t="s">
        <v>47</v>
      </c>
      <c r="Y413">
        <v>173400.95999999999</v>
      </c>
      <c r="Z413">
        <v>112710.62</v>
      </c>
      <c r="AA413">
        <v>0.65</v>
      </c>
      <c r="AB413" t="s">
        <v>39</v>
      </c>
      <c r="AC413" t="s">
        <v>39</v>
      </c>
      <c r="AD413" t="s">
        <v>48</v>
      </c>
    </row>
    <row r="414" spans="1:30" x14ac:dyDescent="0.35">
      <c r="A414" t="s">
        <v>30</v>
      </c>
      <c r="B414" t="s">
        <v>31</v>
      </c>
      <c r="C414" t="s">
        <v>348</v>
      </c>
      <c r="D414" t="s">
        <v>389</v>
      </c>
      <c r="E414" t="s">
        <v>390</v>
      </c>
      <c r="F414" t="s">
        <v>391</v>
      </c>
      <c r="G414" t="s">
        <v>392</v>
      </c>
      <c r="H414" t="s">
        <v>37</v>
      </c>
      <c r="I414" t="s">
        <v>38</v>
      </c>
      <c r="J414" t="s">
        <v>39</v>
      </c>
      <c r="K414" s="2">
        <v>46296</v>
      </c>
      <c r="L414" s="2">
        <v>46326</v>
      </c>
      <c r="N414" s="2">
        <v>46296</v>
      </c>
      <c r="O414" s="2">
        <v>47027</v>
      </c>
      <c r="P414">
        <v>24</v>
      </c>
      <c r="Q414" t="s">
        <v>104</v>
      </c>
      <c r="R414" t="s">
        <v>53</v>
      </c>
      <c r="S414" t="s">
        <v>42</v>
      </c>
      <c r="T414" t="s">
        <v>43</v>
      </c>
      <c r="U414" t="s">
        <v>44</v>
      </c>
      <c r="V414" t="s">
        <v>81</v>
      </c>
      <c r="W414" t="s">
        <v>58</v>
      </c>
      <c r="X414" t="s">
        <v>47</v>
      </c>
      <c r="Y414">
        <v>108084.96</v>
      </c>
      <c r="Z414">
        <v>37829.730000000003</v>
      </c>
      <c r="AA414">
        <v>0.35</v>
      </c>
      <c r="AB414" t="s">
        <v>39</v>
      </c>
      <c r="AC414" t="s">
        <v>39</v>
      </c>
      <c r="AD414" t="s">
        <v>48</v>
      </c>
    </row>
    <row r="415" spans="1:30" x14ac:dyDescent="0.35">
      <c r="A415" t="s">
        <v>30</v>
      </c>
      <c r="B415" t="s">
        <v>31</v>
      </c>
      <c r="C415" t="s">
        <v>348</v>
      </c>
      <c r="D415" t="s">
        <v>2151</v>
      </c>
      <c r="E415" t="s">
        <v>2152</v>
      </c>
      <c r="F415" t="s">
        <v>2153</v>
      </c>
      <c r="G415" t="s">
        <v>2154</v>
      </c>
      <c r="H415" t="s">
        <v>1271</v>
      </c>
      <c r="I415" t="s">
        <v>111</v>
      </c>
      <c r="J415" t="s">
        <v>39</v>
      </c>
      <c r="K415" s="2">
        <v>46298</v>
      </c>
      <c r="L415" s="2">
        <v>46326</v>
      </c>
      <c r="N415" s="2">
        <v>46296</v>
      </c>
      <c r="O415" s="2">
        <v>46661</v>
      </c>
      <c r="P415">
        <v>12</v>
      </c>
      <c r="Q415" t="s">
        <v>40</v>
      </c>
      <c r="R415" t="s">
        <v>53</v>
      </c>
      <c r="S415" t="s">
        <v>139</v>
      </c>
      <c r="T415" t="s">
        <v>43</v>
      </c>
      <c r="U415" t="s">
        <v>44</v>
      </c>
      <c r="V415" t="s">
        <v>144</v>
      </c>
      <c r="W415" t="s">
        <v>120</v>
      </c>
      <c r="X415" t="s">
        <v>125</v>
      </c>
      <c r="Y415">
        <v>109551.75</v>
      </c>
      <c r="Z415">
        <v>87641.4</v>
      </c>
      <c r="AA415">
        <v>0.8</v>
      </c>
      <c r="AB415" t="s">
        <v>39</v>
      </c>
      <c r="AC415" t="s">
        <v>39</v>
      </c>
      <c r="AD415" t="s">
        <v>48</v>
      </c>
    </row>
    <row r="416" spans="1:30" x14ac:dyDescent="0.35">
      <c r="A416" t="s">
        <v>30</v>
      </c>
      <c r="B416" t="s">
        <v>31</v>
      </c>
      <c r="C416" t="s">
        <v>348</v>
      </c>
      <c r="D416" t="s">
        <v>2155</v>
      </c>
      <c r="E416" t="s">
        <v>2156</v>
      </c>
      <c r="F416" t="s">
        <v>1153</v>
      </c>
      <c r="G416" t="s">
        <v>1154</v>
      </c>
      <c r="H416" t="s">
        <v>1271</v>
      </c>
      <c r="I416" t="s">
        <v>103</v>
      </c>
      <c r="J416" t="s">
        <v>39</v>
      </c>
      <c r="K416" s="2">
        <v>46306</v>
      </c>
      <c r="L416" s="2">
        <v>46326</v>
      </c>
      <c r="N416" s="2">
        <v>46296</v>
      </c>
      <c r="O416" s="2">
        <v>47027</v>
      </c>
      <c r="P416">
        <v>24</v>
      </c>
      <c r="Q416" t="s">
        <v>40</v>
      </c>
      <c r="R416" t="s">
        <v>41</v>
      </c>
      <c r="S416" t="s">
        <v>80</v>
      </c>
      <c r="T416" t="s">
        <v>43</v>
      </c>
      <c r="U416" t="s">
        <v>44</v>
      </c>
      <c r="V416" t="s">
        <v>119</v>
      </c>
      <c r="W416" t="s">
        <v>90</v>
      </c>
      <c r="X416" t="s">
        <v>83</v>
      </c>
      <c r="Y416">
        <v>156284.94</v>
      </c>
      <c r="Z416">
        <v>54699.73</v>
      </c>
      <c r="AA416">
        <v>0.35</v>
      </c>
      <c r="AB416" t="s">
        <v>39</v>
      </c>
      <c r="AC416" t="s">
        <v>39</v>
      </c>
      <c r="AD416" t="s">
        <v>48</v>
      </c>
    </row>
    <row r="417" spans="1:30" x14ac:dyDescent="0.35">
      <c r="A417" t="s">
        <v>30</v>
      </c>
      <c r="B417" t="s">
        <v>31</v>
      </c>
      <c r="C417" t="s">
        <v>348</v>
      </c>
      <c r="D417" t="s">
        <v>2157</v>
      </c>
      <c r="E417" t="s">
        <v>2158</v>
      </c>
      <c r="F417" t="s">
        <v>971</v>
      </c>
      <c r="G417" t="s">
        <v>972</v>
      </c>
      <c r="H417" t="s">
        <v>1271</v>
      </c>
      <c r="I417" t="s">
        <v>117</v>
      </c>
      <c r="J417" t="s">
        <v>39</v>
      </c>
      <c r="K417" s="2">
        <v>46297</v>
      </c>
      <c r="L417" s="2">
        <v>46326</v>
      </c>
      <c r="N417" s="2">
        <v>46296</v>
      </c>
      <c r="O417" s="2">
        <v>46661</v>
      </c>
      <c r="P417">
        <v>12</v>
      </c>
      <c r="Q417" t="s">
        <v>65</v>
      </c>
      <c r="R417" t="s">
        <v>88</v>
      </c>
      <c r="S417" t="s">
        <v>164</v>
      </c>
      <c r="T417" t="s">
        <v>55</v>
      </c>
      <c r="U417" t="s">
        <v>56</v>
      </c>
      <c r="V417" t="s">
        <v>138</v>
      </c>
      <c r="W417" t="s">
        <v>58</v>
      </c>
      <c r="X417" t="s">
        <v>68</v>
      </c>
      <c r="Y417">
        <v>165496.85</v>
      </c>
      <c r="Z417">
        <v>57923.9</v>
      </c>
      <c r="AA417">
        <v>0.35</v>
      </c>
      <c r="AB417" t="s">
        <v>39</v>
      </c>
      <c r="AC417" t="s">
        <v>39</v>
      </c>
      <c r="AD417" t="s">
        <v>48</v>
      </c>
    </row>
    <row r="418" spans="1:30" x14ac:dyDescent="0.35">
      <c r="A418" t="s">
        <v>30</v>
      </c>
      <c r="B418" t="s">
        <v>31</v>
      </c>
      <c r="C418" t="s">
        <v>348</v>
      </c>
      <c r="D418" t="s">
        <v>2159</v>
      </c>
      <c r="E418" t="s">
        <v>2160</v>
      </c>
      <c r="F418" t="s">
        <v>2161</v>
      </c>
      <c r="G418" t="s">
        <v>2162</v>
      </c>
      <c r="H418" t="s">
        <v>1271</v>
      </c>
      <c r="I418" t="s">
        <v>103</v>
      </c>
      <c r="J418" t="s">
        <v>39</v>
      </c>
      <c r="K418" s="2">
        <v>46299</v>
      </c>
      <c r="L418" s="2">
        <v>46326</v>
      </c>
      <c r="N418" s="2">
        <v>46296</v>
      </c>
      <c r="O418" s="2">
        <v>46661</v>
      </c>
      <c r="P418">
        <v>12</v>
      </c>
      <c r="Q418" t="s">
        <v>40</v>
      </c>
      <c r="R418" t="s">
        <v>41</v>
      </c>
      <c r="S418" t="s">
        <v>80</v>
      </c>
      <c r="T418" t="s">
        <v>43</v>
      </c>
      <c r="U418" t="s">
        <v>44</v>
      </c>
      <c r="V418" t="s">
        <v>144</v>
      </c>
      <c r="W418" t="s">
        <v>120</v>
      </c>
      <c r="X418" t="s">
        <v>83</v>
      </c>
      <c r="Y418">
        <v>96864.320000000007</v>
      </c>
      <c r="Z418">
        <v>62961.81</v>
      </c>
      <c r="AA418">
        <v>0.65</v>
      </c>
      <c r="AB418" t="s">
        <v>39</v>
      </c>
      <c r="AC418" t="s">
        <v>39</v>
      </c>
      <c r="AD418" t="s">
        <v>48</v>
      </c>
    </row>
    <row r="419" spans="1:30" x14ac:dyDescent="0.35">
      <c r="A419" t="s">
        <v>30</v>
      </c>
      <c r="B419" t="s">
        <v>31</v>
      </c>
      <c r="C419" t="s">
        <v>348</v>
      </c>
      <c r="D419" t="s">
        <v>2163</v>
      </c>
      <c r="E419" t="s">
        <v>2164</v>
      </c>
      <c r="F419" t="s">
        <v>505</v>
      </c>
      <c r="G419" t="s">
        <v>506</v>
      </c>
      <c r="H419" t="s">
        <v>1271</v>
      </c>
      <c r="I419" t="s">
        <v>38</v>
      </c>
      <c r="J419" t="s">
        <v>39</v>
      </c>
      <c r="K419" s="2">
        <v>46302</v>
      </c>
      <c r="L419" s="2">
        <v>46326</v>
      </c>
      <c r="N419" s="2">
        <v>46296</v>
      </c>
      <c r="O419" s="2">
        <v>46661</v>
      </c>
      <c r="P419">
        <v>12</v>
      </c>
      <c r="Q419" t="s">
        <v>65</v>
      </c>
      <c r="R419" t="s">
        <v>53</v>
      </c>
      <c r="S419" t="s">
        <v>118</v>
      </c>
      <c r="T419" t="s">
        <v>97</v>
      </c>
      <c r="U419" t="s">
        <v>44</v>
      </c>
      <c r="V419" t="s">
        <v>81</v>
      </c>
      <c r="W419" t="s">
        <v>132</v>
      </c>
      <c r="X419" t="s">
        <v>125</v>
      </c>
      <c r="Y419">
        <v>137017.53</v>
      </c>
      <c r="Z419">
        <v>89061.39</v>
      </c>
      <c r="AA419">
        <v>0.65</v>
      </c>
      <c r="AB419" t="s">
        <v>39</v>
      </c>
      <c r="AC419" t="s">
        <v>39</v>
      </c>
      <c r="AD419" t="s">
        <v>48</v>
      </c>
    </row>
    <row r="420" spans="1:30" x14ac:dyDescent="0.35">
      <c r="A420" t="s">
        <v>30</v>
      </c>
      <c r="B420" t="s">
        <v>31</v>
      </c>
      <c r="C420" t="s">
        <v>348</v>
      </c>
      <c r="D420" t="s">
        <v>2165</v>
      </c>
      <c r="E420" t="s">
        <v>2166</v>
      </c>
      <c r="F420" t="s">
        <v>1041</v>
      </c>
      <c r="G420" t="s">
        <v>1042</v>
      </c>
      <c r="H420" t="s">
        <v>1271</v>
      </c>
      <c r="I420" t="s">
        <v>111</v>
      </c>
      <c r="J420" t="s">
        <v>39</v>
      </c>
      <c r="K420" s="2">
        <v>46306</v>
      </c>
      <c r="L420" s="2">
        <v>46326</v>
      </c>
      <c r="N420" s="2">
        <v>46296</v>
      </c>
      <c r="O420" s="2">
        <v>46661</v>
      </c>
      <c r="P420">
        <v>12</v>
      </c>
      <c r="Q420" t="s">
        <v>40</v>
      </c>
      <c r="R420" t="s">
        <v>53</v>
      </c>
      <c r="S420" t="s">
        <v>164</v>
      </c>
      <c r="T420" t="s">
        <v>55</v>
      </c>
      <c r="U420" t="s">
        <v>44</v>
      </c>
      <c r="V420" t="s">
        <v>98</v>
      </c>
      <c r="W420" t="s">
        <v>75</v>
      </c>
      <c r="X420" t="s">
        <v>143</v>
      </c>
      <c r="Y420">
        <v>190644.95</v>
      </c>
      <c r="Z420">
        <v>123919.22</v>
      </c>
      <c r="AA420">
        <v>0.65</v>
      </c>
      <c r="AB420" t="s">
        <v>39</v>
      </c>
      <c r="AC420" t="s">
        <v>39</v>
      </c>
      <c r="AD420" t="s">
        <v>48</v>
      </c>
    </row>
    <row r="421" spans="1:30" x14ac:dyDescent="0.35">
      <c r="A421" t="s">
        <v>30</v>
      </c>
      <c r="B421" t="s">
        <v>31</v>
      </c>
      <c r="C421" t="s">
        <v>348</v>
      </c>
      <c r="D421" t="s">
        <v>2167</v>
      </c>
      <c r="E421" t="s">
        <v>2168</v>
      </c>
      <c r="F421" t="s">
        <v>2169</v>
      </c>
      <c r="G421" t="s">
        <v>2170</v>
      </c>
      <c r="H421" t="s">
        <v>1271</v>
      </c>
      <c r="I421" t="s">
        <v>117</v>
      </c>
      <c r="J421" t="s">
        <v>39</v>
      </c>
      <c r="K421" s="2">
        <v>46300</v>
      </c>
      <c r="L421" s="2">
        <v>46326</v>
      </c>
      <c r="N421" s="2">
        <v>46296</v>
      </c>
      <c r="O421" s="2">
        <v>46661</v>
      </c>
      <c r="P421">
        <v>12</v>
      </c>
      <c r="Q421" t="s">
        <v>104</v>
      </c>
      <c r="R421" t="s">
        <v>41</v>
      </c>
      <c r="S421" t="s">
        <v>151</v>
      </c>
      <c r="T421" t="s">
        <v>131</v>
      </c>
      <c r="U421" t="s">
        <v>56</v>
      </c>
      <c r="V421" t="s">
        <v>138</v>
      </c>
      <c r="W421" t="s">
        <v>120</v>
      </c>
      <c r="X421" t="s">
        <v>91</v>
      </c>
      <c r="Y421">
        <v>109779.8</v>
      </c>
      <c r="Z421">
        <v>38422.93</v>
      </c>
      <c r="AA421">
        <v>0.35</v>
      </c>
      <c r="AB421" t="s">
        <v>39</v>
      </c>
      <c r="AC421" t="s">
        <v>39</v>
      </c>
      <c r="AD421" t="s">
        <v>48</v>
      </c>
    </row>
    <row r="422" spans="1:30" x14ac:dyDescent="0.35">
      <c r="A422" t="s">
        <v>30</v>
      </c>
      <c r="B422" t="s">
        <v>31</v>
      </c>
      <c r="C422" t="s">
        <v>348</v>
      </c>
      <c r="D422" t="s">
        <v>2171</v>
      </c>
      <c r="E422" t="s">
        <v>2172</v>
      </c>
      <c r="F422" t="s">
        <v>2173</v>
      </c>
      <c r="G422" t="s">
        <v>2174</v>
      </c>
      <c r="H422" t="s">
        <v>1271</v>
      </c>
      <c r="I422" t="s">
        <v>111</v>
      </c>
      <c r="J422" t="s">
        <v>39</v>
      </c>
      <c r="K422" s="2">
        <v>46309</v>
      </c>
      <c r="L422" s="2">
        <v>46326</v>
      </c>
      <c r="N422" s="2">
        <v>46296</v>
      </c>
      <c r="O422" s="2">
        <v>46661</v>
      </c>
      <c r="P422">
        <v>12</v>
      </c>
      <c r="Q422" t="s">
        <v>65</v>
      </c>
      <c r="R422" t="s">
        <v>41</v>
      </c>
      <c r="S422" t="s">
        <v>73</v>
      </c>
      <c r="T422" t="s">
        <v>43</v>
      </c>
      <c r="U422" t="s">
        <v>56</v>
      </c>
      <c r="V422" t="s">
        <v>138</v>
      </c>
      <c r="W422" t="s">
        <v>58</v>
      </c>
      <c r="X422" t="s">
        <v>143</v>
      </c>
      <c r="Y422">
        <v>92481.87</v>
      </c>
      <c r="Z422">
        <v>32368.65</v>
      </c>
      <c r="AA422">
        <v>0.35</v>
      </c>
      <c r="AB422" t="s">
        <v>39</v>
      </c>
      <c r="AC422" t="s">
        <v>39</v>
      </c>
      <c r="AD422" t="s">
        <v>48</v>
      </c>
    </row>
    <row r="423" spans="1:30" x14ac:dyDescent="0.35">
      <c r="A423" t="s">
        <v>30</v>
      </c>
      <c r="B423" t="s">
        <v>31</v>
      </c>
      <c r="C423" t="s">
        <v>348</v>
      </c>
      <c r="D423" t="s">
        <v>2175</v>
      </c>
      <c r="E423" t="s">
        <v>2176</v>
      </c>
      <c r="F423" t="s">
        <v>2177</v>
      </c>
      <c r="G423" t="s">
        <v>2178</v>
      </c>
      <c r="H423" t="s">
        <v>1290</v>
      </c>
      <c r="I423" t="s">
        <v>64</v>
      </c>
      <c r="J423" t="s">
        <v>1290</v>
      </c>
      <c r="K423" s="2">
        <v>46296</v>
      </c>
      <c r="L423" s="2">
        <v>46326</v>
      </c>
      <c r="N423" s="2">
        <v>46296</v>
      </c>
      <c r="O423" s="2">
        <v>46661</v>
      </c>
      <c r="P423">
        <v>12</v>
      </c>
      <c r="Q423" t="s">
        <v>40</v>
      </c>
      <c r="R423" t="s">
        <v>53</v>
      </c>
      <c r="S423" t="s">
        <v>73</v>
      </c>
      <c r="T423" t="s">
        <v>43</v>
      </c>
      <c r="U423" t="s">
        <v>106</v>
      </c>
      <c r="V423" t="s">
        <v>74</v>
      </c>
      <c r="W423" t="s">
        <v>90</v>
      </c>
      <c r="X423" t="s">
        <v>59</v>
      </c>
      <c r="Y423">
        <v>164803.75</v>
      </c>
      <c r="Z423">
        <v>131843</v>
      </c>
      <c r="AA423">
        <v>0.8</v>
      </c>
      <c r="AB423" t="s">
        <v>1290</v>
      </c>
      <c r="AC423" t="s">
        <v>1290</v>
      </c>
      <c r="AD423" t="s">
        <v>48</v>
      </c>
    </row>
    <row r="424" spans="1:30" x14ac:dyDescent="0.35">
      <c r="A424" t="s">
        <v>30</v>
      </c>
      <c r="B424" t="s">
        <v>31</v>
      </c>
      <c r="C424" t="s">
        <v>348</v>
      </c>
      <c r="D424" t="s">
        <v>2179</v>
      </c>
      <c r="E424" t="s">
        <v>2180</v>
      </c>
      <c r="F424" t="s">
        <v>2181</v>
      </c>
      <c r="G424" t="s">
        <v>2182</v>
      </c>
      <c r="H424" t="s">
        <v>1290</v>
      </c>
      <c r="I424" t="s">
        <v>38</v>
      </c>
      <c r="J424" t="s">
        <v>1290</v>
      </c>
      <c r="K424" s="2">
        <v>46302</v>
      </c>
      <c r="L424" s="2">
        <v>46326</v>
      </c>
      <c r="N424" s="2">
        <v>46296</v>
      </c>
      <c r="O424" s="2">
        <v>46661</v>
      </c>
      <c r="P424">
        <v>12</v>
      </c>
      <c r="Q424" t="s">
        <v>104</v>
      </c>
      <c r="R424" t="s">
        <v>53</v>
      </c>
      <c r="S424" t="s">
        <v>164</v>
      </c>
      <c r="T424" t="s">
        <v>55</v>
      </c>
      <c r="U424" t="s">
        <v>56</v>
      </c>
      <c r="V424" t="s">
        <v>98</v>
      </c>
      <c r="W424" t="s">
        <v>120</v>
      </c>
      <c r="X424" t="s">
        <v>83</v>
      </c>
      <c r="Y424">
        <v>144872.16</v>
      </c>
      <c r="Z424">
        <v>72436.08</v>
      </c>
      <c r="AA424">
        <v>0.5</v>
      </c>
      <c r="AB424" t="s">
        <v>1290</v>
      </c>
      <c r="AC424" t="s">
        <v>1290</v>
      </c>
      <c r="AD424" t="s">
        <v>48</v>
      </c>
    </row>
    <row r="425" spans="1:30" x14ac:dyDescent="0.35">
      <c r="A425" t="s">
        <v>30</v>
      </c>
      <c r="B425" t="s">
        <v>31</v>
      </c>
      <c r="C425" t="s">
        <v>348</v>
      </c>
      <c r="D425" t="s">
        <v>2183</v>
      </c>
      <c r="E425" t="s">
        <v>2184</v>
      </c>
      <c r="F425" t="s">
        <v>2185</v>
      </c>
      <c r="G425" t="s">
        <v>2186</v>
      </c>
      <c r="H425" t="s">
        <v>1290</v>
      </c>
      <c r="I425" t="s">
        <v>64</v>
      </c>
      <c r="J425" t="s">
        <v>1290</v>
      </c>
      <c r="K425" s="2">
        <v>46309</v>
      </c>
      <c r="L425" s="2">
        <v>46326</v>
      </c>
      <c r="N425" s="2">
        <v>46296</v>
      </c>
      <c r="O425" s="2">
        <v>47027</v>
      </c>
      <c r="P425">
        <v>24</v>
      </c>
      <c r="Q425" t="s">
        <v>40</v>
      </c>
      <c r="R425" t="s">
        <v>41</v>
      </c>
      <c r="S425" t="s">
        <v>137</v>
      </c>
      <c r="T425" t="s">
        <v>97</v>
      </c>
      <c r="U425" t="s">
        <v>44</v>
      </c>
      <c r="V425" t="s">
        <v>217</v>
      </c>
      <c r="W425" t="s">
        <v>150</v>
      </c>
      <c r="X425" t="s">
        <v>125</v>
      </c>
      <c r="Y425">
        <v>130003.08</v>
      </c>
      <c r="Z425">
        <v>65001.54</v>
      </c>
      <c r="AA425">
        <v>0.5</v>
      </c>
      <c r="AB425" t="s">
        <v>1290</v>
      </c>
      <c r="AC425" t="s">
        <v>1290</v>
      </c>
      <c r="AD425" t="s">
        <v>48</v>
      </c>
    </row>
    <row r="426" spans="1:30" x14ac:dyDescent="0.35">
      <c r="A426" t="s">
        <v>30</v>
      </c>
      <c r="B426" t="s">
        <v>31</v>
      </c>
      <c r="C426" t="s">
        <v>348</v>
      </c>
      <c r="D426" t="s">
        <v>2187</v>
      </c>
      <c r="E426" t="s">
        <v>2188</v>
      </c>
      <c r="F426" t="s">
        <v>2189</v>
      </c>
      <c r="G426" t="s">
        <v>2190</v>
      </c>
      <c r="H426" t="s">
        <v>1295</v>
      </c>
      <c r="I426" t="s">
        <v>64</v>
      </c>
      <c r="J426" t="s">
        <v>1295</v>
      </c>
      <c r="K426" s="2">
        <v>46297</v>
      </c>
      <c r="L426" s="2">
        <v>46326</v>
      </c>
      <c r="N426" s="2">
        <v>46296</v>
      </c>
      <c r="O426" s="2">
        <v>46661</v>
      </c>
      <c r="P426">
        <v>12</v>
      </c>
      <c r="Q426" t="s">
        <v>104</v>
      </c>
      <c r="R426" t="s">
        <v>41</v>
      </c>
      <c r="S426" t="s">
        <v>130</v>
      </c>
      <c r="T426" t="s">
        <v>131</v>
      </c>
      <c r="U426" t="s">
        <v>44</v>
      </c>
      <c r="V426" t="s">
        <v>45</v>
      </c>
      <c r="W426" t="s">
        <v>58</v>
      </c>
      <c r="X426" t="s">
        <v>125</v>
      </c>
      <c r="Y426">
        <v>189221.59</v>
      </c>
      <c r="Z426">
        <v>151377.26999999999</v>
      </c>
      <c r="AA426">
        <v>0.8</v>
      </c>
      <c r="AB426" t="s">
        <v>1295</v>
      </c>
      <c r="AC426" t="s">
        <v>1295</v>
      </c>
      <c r="AD426" t="s">
        <v>48</v>
      </c>
    </row>
    <row r="427" spans="1:30" x14ac:dyDescent="0.35">
      <c r="A427" t="s">
        <v>30</v>
      </c>
      <c r="B427" t="s">
        <v>31</v>
      </c>
      <c r="C427" t="s">
        <v>348</v>
      </c>
      <c r="D427" t="s">
        <v>2191</v>
      </c>
      <c r="E427" t="s">
        <v>2192</v>
      </c>
      <c r="F427" t="s">
        <v>2193</v>
      </c>
      <c r="G427" t="s">
        <v>2194</v>
      </c>
      <c r="H427" t="s">
        <v>1295</v>
      </c>
      <c r="I427" t="s">
        <v>38</v>
      </c>
      <c r="J427" t="s">
        <v>1295</v>
      </c>
      <c r="K427" s="2">
        <v>46301</v>
      </c>
      <c r="L427" s="2">
        <v>46326</v>
      </c>
      <c r="N427" s="2">
        <v>46296</v>
      </c>
      <c r="O427" s="2">
        <v>46661</v>
      </c>
      <c r="P427">
        <v>12</v>
      </c>
      <c r="Q427" t="s">
        <v>104</v>
      </c>
      <c r="R427" t="s">
        <v>41</v>
      </c>
      <c r="S427" t="s">
        <v>139</v>
      </c>
      <c r="T427" t="s">
        <v>43</v>
      </c>
      <c r="U427" t="s">
        <v>44</v>
      </c>
      <c r="V427" t="s">
        <v>57</v>
      </c>
      <c r="W427" t="s">
        <v>46</v>
      </c>
      <c r="X427" t="s">
        <v>47</v>
      </c>
      <c r="Y427">
        <v>205464.52</v>
      </c>
      <c r="Z427">
        <v>102732.26</v>
      </c>
      <c r="AA427">
        <v>0.5</v>
      </c>
      <c r="AB427" t="s">
        <v>1295</v>
      </c>
      <c r="AC427" t="s">
        <v>1295</v>
      </c>
      <c r="AD427" t="s">
        <v>48</v>
      </c>
    </row>
    <row r="428" spans="1:30" x14ac:dyDescent="0.35">
      <c r="A428" t="s">
        <v>30</v>
      </c>
      <c r="B428" t="s">
        <v>31</v>
      </c>
      <c r="C428" t="s">
        <v>348</v>
      </c>
      <c r="D428" t="s">
        <v>2195</v>
      </c>
      <c r="E428" t="s">
        <v>2196</v>
      </c>
      <c r="F428" t="s">
        <v>939</v>
      </c>
      <c r="G428" t="s">
        <v>940</v>
      </c>
      <c r="H428" t="s">
        <v>1295</v>
      </c>
      <c r="I428" t="s">
        <v>111</v>
      </c>
      <c r="J428" t="s">
        <v>1295</v>
      </c>
      <c r="K428" s="2">
        <v>46299</v>
      </c>
      <c r="L428" s="2">
        <v>46326</v>
      </c>
      <c r="N428" s="2">
        <v>46296</v>
      </c>
      <c r="O428" s="2">
        <v>46661</v>
      </c>
      <c r="P428">
        <v>12</v>
      </c>
      <c r="Q428" t="s">
        <v>104</v>
      </c>
      <c r="R428" t="s">
        <v>41</v>
      </c>
      <c r="S428" t="s">
        <v>112</v>
      </c>
      <c r="T428" t="s">
        <v>55</v>
      </c>
      <c r="U428" t="s">
        <v>56</v>
      </c>
      <c r="V428" t="s">
        <v>217</v>
      </c>
      <c r="W428" t="s">
        <v>132</v>
      </c>
      <c r="X428" t="s">
        <v>68</v>
      </c>
      <c r="Y428">
        <v>199515.88</v>
      </c>
      <c r="Z428">
        <v>129685.32</v>
      </c>
      <c r="AA428">
        <v>0.65</v>
      </c>
      <c r="AB428" t="s">
        <v>1295</v>
      </c>
      <c r="AC428" t="s">
        <v>1295</v>
      </c>
      <c r="AD428" t="s">
        <v>48</v>
      </c>
    </row>
    <row r="429" spans="1:30" x14ac:dyDescent="0.35">
      <c r="A429" t="s">
        <v>30</v>
      </c>
      <c r="B429" t="s">
        <v>31</v>
      </c>
      <c r="C429" t="s">
        <v>348</v>
      </c>
      <c r="D429" t="s">
        <v>2197</v>
      </c>
      <c r="E429" t="s">
        <v>2198</v>
      </c>
      <c r="F429" t="s">
        <v>2199</v>
      </c>
      <c r="G429" t="s">
        <v>2200</v>
      </c>
      <c r="H429" t="s">
        <v>1295</v>
      </c>
      <c r="I429" t="s">
        <v>117</v>
      </c>
      <c r="J429" t="s">
        <v>1295</v>
      </c>
      <c r="K429" s="2">
        <v>46307</v>
      </c>
      <c r="L429" s="2">
        <v>46326</v>
      </c>
      <c r="N429" s="2">
        <v>46296</v>
      </c>
      <c r="O429" s="2">
        <v>46661</v>
      </c>
      <c r="P429">
        <v>12</v>
      </c>
      <c r="Q429" t="s">
        <v>65</v>
      </c>
      <c r="R429" t="s">
        <v>53</v>
      </c>
      <c r="S429" t="s">
        <v>139</v>
      </c>
      <c r="T429" t="s">
        <v>43</v>
      </c>
      <c r="U429" t="s">
        <v>56</v>
      </c>
      <c r="V429" t="s">
        <v>81</v>
      </c>
      <c r="W429" t="s">
        <v>120</v>
      </c>
      <c r="X429" t="s">
        <v>59</v>
      </c>
      <c r="Y429">
        <v>113401.01</v>
      </c>
      <c r="Z429">
        <v>56700.51</v>
      </c>
      <c r="AA429">
        <v>0.5</v>
      </c>
      <c r="AB429" t="s">
        <v>1295</v>
      </c>
      <c r="AC429" t="s">
        <v>1295</v>
      </c>
      <c r="AD429" t="s">
        <v>48</v>
      </c>
    </row>
    <row r="430" spans="1:30" x14ac:dyDescent="0.35">
      <c r="A430" t="s">
        <v>30</v>
      </c>
      <c r="B430" t="s">
        <v>31</v>
      </c>
      <c r="C430" t="s">
        <v>348</v>
      </c>
      <c r="D430" t="s">
        <v>2201</v>
      </c>
      <c r="E430" t="s">
        <v>2202</v>
      </c>
      <c r="F430" t="s">
        <v>2203</v>
      </c>
      <c r="G430" t="s">
        <v>2204</v>
      </c>
      <c r="H430" t="s">
        <v>1302</v>
      </c>
      <c r="I430" t="s">
        <v>117</v>
      </c>
      <c r="J430" t="s">
        <v>39</v>
      </c>
      <c r="K430" s="2">
        <v>46297</v>
      </c>
      <c r="L430" s="2">
        <v>46326</v>
      </c>
      <c r="N430" s="2">
        <v>46296</v>
      </c>
      <c r="O430" s="2">
        <v>47027</v>
      </c>
      <c r="P430">
        <v>24</v>
      </c>
      <c r="Q430" t="s">
        <v>65</v>
      </c>
      <c r="R430" t="s">
        <v>41</v>
      </c>
      <c r="S430" t="s">
        <v>164</v>
      </c>
      <c r="T430" t="s">
        <v>55</v>
      </c>
      <c r="U430" t="s">
        <v>44</v>
      </c>
      <c r="V430" t="s">
        <v>57</v>
      </c>
      <c r="W430" t="s">
        <v>120</v>
      </c>
      <c r="X430" t="s">
        <v>47</v>
      </c>
      <c r="Y430">
        <v>122047.08</v>
      </c>
      <c r="Z430">
        <v>97637.67</v>
      </c>
      <c r="AA430">
        <v>0.8</v>
      </c>
      <c r="AB430" t="s">
        <v>39</v>
      </c>
      <c r="AC430" t="s">
        <v>39</v>
      </c>
      <c r="AD430" t="s">
        <v>48</v>
      </c>
    </row>
    <row r="431" spans="1:30" x14ac:dyDescent="0.35">
      <c r="A431" t="s">
        <v>30</v>
      </c>
      <c r="B431" t="s">
        <v>31</v>
      </c>
      <c r="C431" t="s">
        <v>348</v>
      </c>
      <c r="D431" t="s">
        <v>2205</v>
      </c>
      <c r="E431" t="s">
        <v>2206</v>
      </c>
      <c r="F431" t="s">
        <v>519</v>
      </c>
      <c r="G431" t="s">
        <v>520</v>
      </c>
      <c r="H431" t="s">
        <v>1302</v>
      </c>
      <c r="I431" t="s">
        <v>38</v>
      </c>
      <c r="J431" t="s">
        <v>39</v>
      </c>
      <c r="K431" s="2">
        <v>46298</v>
      </c>
      <c r="L431" s="2">
        <v>46326</v>
      </c>
      <c r="N431" s="2">
        <v>46296</v>
      </c>
      <c r="O431" s="2">
        <v>47027</v>
      </c>
      <c r="P431">
        <v>24</v>
      </c>
      <c r="Q431" t="s">
        <v>104</v>
      </c>
      <c r="R431" t="s">
        <v>88</v>
      </c>
      <c r="S431" t="s">
        <v>66</v>
      </c>
      <c r="T431" t="s">
        <v>55</v>
      </c>
      <c r="U431" t="s">
        <v>44</v>
      </c>
      <c r="V431" t="s">
        <v>67</v>
      </c>
      <c r="W431" t="s">
        <v>161</v>
      </c>
      <c r="X431" t="s">
        <v>143</v>
      </c>
      <c r="Y431">
        <v>111632.57</v>
      </c>
      <c r="Z431">
        <v>39071.4</v>
      </c>
      <c r="AA431">
        <v>0.35</v>
      </c>
      <c r="AB431" t="s">
        <v>39</v>
      </c>
      <c r="AC431" t="s">
        <v>39</v>
      </c>
      <c r="AD431" t="s">
        <v>48</v>
      </c>
    </row>
    <row r="432" spans="1:30" x14ac:dyDescent="0.35">
      <c r="A432" t="s">
        <v>30</v>
      </c>
      <c r="B432" t="s">
        <v>31</v>
      </c>
      <c r="C432" t="s">
        <v>348</v>
      </c>
      <c r="D432" t="s">
        <v>2207</v>
      </c>
      <c r="E432" t="s">
        <v>2208</v>
      </c>
      <c r="F432" t="s">
        <v>2209</v>
      </c>
      <c r="G432" t="s">
        <v>2210</v>
      </c>
      <c r="H432" t="s">
        <v>1302</v>
      </c>
      <c r="I432" t="s">
        <v>117</v>
      </c>
      <c r="J432" t="s">
        <v>39</v>
      </c>
      <c r="K432" s="2">
        <v>46297</v>
      </c>
      <c r="L432" s="2">
        <v>46326</v>
      </c>
      <c r="N432" s="2">
        <v>46296</v>
      </c>
      <c r="O432" s="2">
        <v>46661</v>
      </c>
      <c r="P432">
        <v>12</v>
      </c>
      <c r="Q432" t="s">
        <v>65</v>
      </c>
      <c r="R432" t="s">
        <v>88</v>
      </c>
      <c r="S432" t="s">
        <v>135</v>
      </c>
      <c r="T432" t="s">
        <v>131</v>
      </c>
      <c r="U432" t="s">
        <v>56</v>
      </c>
      <c r="V432" t="s">
        <v>74</v>
      </c>
      <c r="W432" t="s">
        <v>58</v>
      </c>
      <c r="X432" t="s">
        <v>83</v>
      </c>
      <c r="Y432">
        <v>157446.35</v>
      </c>
      <c r="Z432">
        <v>102340.13</v>
      </c>
      <c r="AA432">
        <v>0.65</v>
      </c>
      <c r="AB432" t="s">
        <v>39</v>
      </c>
      <c r="AC432" t="s">
        <v>39</v>
      </c>
      <c r="AD432" t="s">
        <v>48</v>
      </c>
    </row>
    <row r="433" spans="1:30" x14ac:dyDescent="0.35">
      <c r="A433" t="s">
        <v>30</v>
      </c>
      <c r="B433" t="s">
        <v>31</v>
      </c>
      <c r="C433" t="s">
        <v>399</v>
      </c>
      <c r="D433" t="s">
        <v>400</v>
      </c>
      <c r="E433" t="s">
        <v>401</v>
      </c>
      <c r="F433" t="s">
        <v>402</v>
      </c>
      <c r="G433" t="s">
        <v>403</v>
      </c>
      <c r="H433" t="s">
        <v>37</v>
      </c>
      <c r="I433" t="s">
        <v>111</v>
      </c>
      <c r="J433" t="s">
        <v>39</v>
      </c>
      <c r="K433" s="2">
        <v>46331</v>
      </c>
      <c r="L433" s="2">
        <v>46356</v>
      </c>
      <c r="N433" s="2">
        <v>46327</v>
      </c>
      <c r="O433" s="2">
        <v>46692</v>
      </c>
      <c r="P433">
        <v>12</v>
      </c>
      <c r="Q433" t="s">
        <v>40</v>
      </c>
      <c r="R433" t="s">
        <v>88</v>
      </c>
      <c r="S433" t="s">
        <v>140</v>
      </c>
      <c r="T433" t="s">
        <v>97</v>
      </c>
      <c r="U433" t="s">
        <v>56</v>
      </c>
      <c r="V433" t="s">
        <v>67</v>
      </c>
      <c r="W433" t="s">
        <v>120</v>
      </c>
      <c r="X433" t="s">
        <v>83</v>
      </c>
      <c r="Y433">
        <v>157516.76</v>
      </c>
      <c r="Z433">
        <v>78758.38</v>
      </c>
      <c r="AA433">
        <v>0.5</v>
      </c>
      <c r="AB433" t="s">
        <v>39</v>
      </c>
      <c r="AC433" t="s">
        <v>39</v>
      </c>
      <c r="AD433" t="s">
        <v>48</v>
      </c>
    </row>
    <row r="434" spans="1:30" x14ac:dyDescent="0.35">
      <c r="A434" t="s">
        <v>30</v>
      </c>
      <c r="B434" t="s">
        <v>31</v>
      </c>
      <c r="C434" t="s">
        <v>399</v>
      </c>
      <c r="D434" t="s">
        <v>404</v>
      </c>
      <c r="E434" t="s">
        <v>405</v>
      </c>
      <c r="F434" t="s">
        <v>406</v>
      </c>
      <c r="G434" t="s">
        <v>407</v>
      </c>
      <c r="H434" t="s">
        <v>37</v>
      </c>
      <c r="I434" t="s">
        <v>38</v>
      </c>
      <c r="J434" t="s">
        <v>39</v>
      </c>
      <c r="K434" s="2">
        <v>46331</v>
      </c>
      <c r="L434" s="2">
        <v>46356</v>
      </c>
      <c r="N434" s="2">
        <v>46327</v>
      </c>
      <c r="O434" s="2">
        <v>46692</v>
      </c>
      <c r="P434">
        <v>12</v>
      </c>
      <c r="Q434" t="s">
        <v>65</v>
      </c>
      <c r="R434" t="s">
        <v>88</v>
      </c>
      <c r="S434" t="s">
        <v>164</v>
      </c>
      <c r="T434" t="s">
        <v>55</v>
      </c>
      <c r="U434" t="s">
        <v>44</v>
      </c>
      <c r="V434" t="s">
        <v>57</v>
      </c>
      <c r="W434" t="s">
        <v>58</v>
      </c>
      <c r="X434" t="s">
        <v>47</v>
      </c>
      <c r="Y434">
        <v>121578.2</v>
      </c>
      <c r="Z434">
        <v>60789.1</v>
      </c>
      <c r="AA434">
        <v>0.5</v>
      </c>
      <c r="AB434" t="s">
        <v>39</v>
      </c>
      <c r="AC434" t="s">
        <v>39</v>
      </c>
      <c r="AD434" t="s">
        <v>48</v>
      </c>
    </row>
    <row r="435" spans="1:30" x14ac:dyDescent="0.35">
      <c r="A435" t="s">
        <v>30</v>
      </c>
      <c r="B435" t="s">
        <v>31</v>
      </c>
      <c r="C435" t="s">
        <v>399</v>
      </c>
      <c r="D435" t="s">
        <v>408</v>
      </c>
      <c r="E435" t="s">
        <v>409</v>
      </c>
      <c r="F435" t="s">
        <v>410</v>
      </c>
      <c r="G435" t="s">
        <v>411</v>
      </c>
      <c r="H435" t="s">
        <v>37</v>
      </c>
      <c r="I435" t="s">
        <v>103</v>
      </c>
      <c r="J435" t="s">
        <v>39</v>
      </c>
      <c r="K435" s="2">
        <v>46333</v>
      </c>
      <c r="L435" s="2">
        <v>46356</v>
      </c>
      <c r="N435" s="2">
        <v>46327</v>
      </c>
      <c r="O435" s="2">
        <v>46692</v>
      </c>
      <c r="P435">
        <v>12</v>
      </c>
      <c r="Q435" t="s">
        <v>65</v>
      </c>
      <c r="R435" t="s">
        <v>88</v>
      </c>
      <c r="S435" t="s">
        <v>162</v>
      </c>
      <c r="T435" t="s">
        <v>43</v>
      </c>
      <c r="U435" t="s">
        <v>56</v>
      </c>
      <c r="V435" t="s">
        <v>217</v>
      </c>
      <c r="W435" t="s">
        <v>82</v>
      </c>
      <c r="X435" t="s">
        <v>59</v>
      </c>
      <c r="Y435">
        <v>181236.39</v>
      </c>
      <c r="Z435">
        <v>63432.74</v>
      </c>
      <c r="AA435">
        <v>0.35</v>
      </c>
      <c r="AB435" t="s">
        <v>39</v>
      </c>
      <c r="AC435" t="s">
        <v>39</v>
      </c>
      <c r="AD435" t="s">
        <v>48</v>
      </c>
    </row>
    <row r="436" spans="1:30" x14ac:dyDescent="0.35">
      <c r="A436" t="s">
        <v>30</v>
      </c>
      <c r="B436" t="s">
        <v>31</v>
      </c>
      <c r="C436" t="s">
        <v>399</v>
      </c>
      <c r="D436" t="s">
        <v>412</v>
      </c>
      <c r="E436" t="s">
        <v>413</v>
      </c>
      <c r="F436" t="s">
        <v>414</v>
      </c>
      <c r="G436" t="s">
        <v>415</v>
      </c>
      <c r="H436" t="s">
        <v>37</v>
      </c>
      <c r="I436" t="s">
        <v>103</v>
      </c>
      <c r="J436" t="s">
        <v>39</v>
      </c>
      <c r="K436" s="2">
        <v>46334</v>
      </c>
      <c r="L436" s="2">
        <v>46356</v>
      </c>
      <c r="N436" s="2">
        <v>46327</v>
      </c>
      <c r="O436" s="2">
        <v>46692</v>
      </c>
      <c r="P436">
        <v>12</v>
      </c>
      <c r="Q436" t="s">
        <v>104</v>
      </c>
      <c r="R436" t="s">
        <v>53</v>
      </c>
      <c r="S436" t="s">
        <v>42</v>
      </c>
      <c r="T436" t="s">
        <v>43</v>
      </c>
      <c r="U436" t="s">
        <v>56</v>
      </c>
      <c r="V436" t="s">
        <v>144</v>
      </c>
      <c r="W436" t="s">
        <v>82</v>
      </c>
      <c r="X436" t="s">
        <v>143</v>
      </c>
      <c r="Y436">
        <v>180631.2</v>
      </c>
      <c r="Z436">
        <v>63220.92</v>
      </c>
      <c r="AA436">
        <v>0.35</v>
      </c>
      <c r="AB436" t="s">
        <v>39</v>
      </c>
      <c r="AC436" t="s">
        <v>39</v>
      </c>
      <c r="AD436" t="s">
        <v>48</v>
      </c>
    </row>
    <row r="437" spans="1:30" x14ac:dyDescent="0.35">
      <c r="A437" t="s">
        <v>30</v>
      </c>
      <c r="B437" t="s">
        <v>31</v>
      </c>
      <c r="C437" t="s">
        <v>399</v>
      </c>
      <c r="D437" t="s">
        <v>416</v>
      </c>
      <c r="E437" t="s">
        <v>417</v>
      </c>
      <c r="F437" t="s">
        <v>418</v>
      </c>
      <c r="G437" t="s">
        <v>419</v>
      </c>
      <c r="H437" t="s">
        <v>37</v>
      </c>
      <c r="I437" t="s">
        <v>103</v>
      </c>
      <c r="J437" t="s">
        <v>39</v>
      </c>
      <c r="K437" s="2">
        <v>46327</v>
      </c>
      <c r="L437" s="2">
        <v>46356</v>
      </c>
      <c r="N437" s="2">
        <v>46327</v>
      </c>
      <c r="O437" s="2">
        <v>46692</v>
      </c>
      <c r="P437">
        <v>12</v>
      </c>
      <c r="Q437" t="s">
        <v>104</v>
      </c>
      <c r="R437" t="s">
        <v>88</v>
      </c>
      <c r="S437" t="s">
        <v>182</v>
      </c>
      <c r="T437" t="s">
        <v>97</v>
      </c>
      <c r="U437" t="s">
        <v>44</v>
      </c>
      <c r="V437" t="s">
        <v>67</v>
      </c>
      <c r="W437" t="s">
        <v>46</v>
      </c>
      <c r="X437" t="s">
        <v>83</v>
      </c>
      <c r="Y437">
        <v>165744.04</v>
      </c>
      <c r="Z437">
        <v>132595.24</v>
      </c>
      <c r="AA437">
        <v>0.8</v>
      </c>
      <c r="AB437" t="s">
        <v>39</v>
      </c>
      <c r="AC437" t="s">
        <v>39</v>
      </c>
      <c r="AD437" t="s">
        <v>48</v>
      </c>
    </row>
    <row r="438" spans="1:30" x14ac:dyDescent="0.35">
      <c r="A438" t="s">
        <v>30</v>
      </c>
      <c r="B438" t="s">
        <v>31</v>
      </c>
      <c r="C438" t="s">
        <v>399</v>
      </c>
      <c r="D438" t="s">
        <v>420</v>
      </c>
      <c r="E438" t="s">
        <v>421</v>
      </c>
      <c r="F438" t="s">
        <v>422</v>
      </c>
      <c r="G438" t="s">
        <v>423</v>
      </c>
      <c r="H438" t="s">
        <v>37</v>
      </c>
      <c r="I438" t="s">
        <v>117</v>
      </c>
      <c r="J438" t="s">
        <v>39</v>
      </c>
      <c r="K438" s="2">
        <v>46339</v>
      </c>
      <c r="L438" s="2">
        <v>46356</v>
      </c>
      <c r="N438" s="2">
        <v>46327</v>
      </c>
      <c r="O438" s="2">
        <v>47423</v>
      </c>
      <c r="P438">
        <v>36</v>
      </c>
      <c r="Q438" t="s">
        <v>40</v>
      </c>
      <c r="R438" t="s">
        <v>88</v>
      </c>
      <c r="S438" t="s">
        <v>80</v>
      </c>
      <c r="T438" t="s">
        <v>43</v>
      </c>
      <c r="U438" t="s">
        <v>44</v>
      </c>
      <c r="V438" t="s">
        <v>74</v>
      </c>
      <c r="W438" t="s">
        <v>132</v>
      </c>
      <c r="X438" t="s">
        <v>91</v>
      </c>
      <c r="Y438">
        <v>111309.64</v>
      </c>
      <c r="Z438">
        <v>38958.370000000003</v>
      </c>
      <c r="AA438">
        <v>0.35</v>
      </c>
      <c r="AB438" t="s">
        <v>39</v>
      </c>
      <c r="AC438" t="s">
        <v>39</v>
      </c>
      <c r="AD438" t="s">
        <v>48</v>
      </c>
    </row>
    <row r="439" spans="1:30" x14ac:dyDescent="0.35">
      <c r="A439" t="s">
        <v>30</v>
      </c>
      <c r="B439" t="s">
        <v>31</v>
      </c>
      <c r="C439" t="s">
        <v>399</v>
      </c>
      <c r="D439" t="s">
        <v>424</v>
      </c>
      <c r="E439" t="s">
        <v>425</v>
      </c>
      <c r="F439" t="s">
        <v>426</v>
      </c>
      <c r="G439" t="s">
        <v>427</v>
      </c>
      <c r="H439" t="s">
        <v>37</v>
      </c>
      <c r="I439" t="s">
        <v>64</v>
      </c>
      <c r="J439" t="s">
        <v>39</v>
      </c>
      <c r="K439" s="2">
        <v>46341</v>
      </c>
      <c r="L439" s="2">
        <v>46356</v>
      </c>
      <c r="N439" s="2">
        <v>46327</v>
      </c>
      <c r="O439" s="2">
        <v>47058</v>
      </c>
      <c r="P439">
        <v>24</v>
      </c>
      <c r="Q439" t="s">
        <v>65</v>
      </c>
      <c r="R439" t="s">
        <v>88</v>
      </c>
      <c r="S439" t="s">
        <v>151</v>
      </c>
      <c r="T439" t="s">
        <v>131</v>
      </c>
      <c r="U439" t="s">
        <v>44</v>
      </c>
      <c r="V439" t="s">
        <v>138</v>
      </c>
      <c r="W439" t="s">
        <v>132</v>
      </c>
      <c r="X439" t="s">
        <v>68</v>
      </c>
      <c r="Y439">
        <v>132723.91</v>
      </c>
      <c r="Z439">
        <v>86270.54</v>
      </c>
      <c r="AA439">
        <v>0.65</v>
      </c>
      <c r="AB439" t="s">
        <v>39</v>
      </c>
      <c r="AC439" t="s">
        <v>39</v>
      </c>
      <c r="AD439" t="s">
        <v>48</v>
      </c>
    </row>
    <row r="440" spans="1:30" x14ac:dyDescent="0.35">
      <c r="A440" t="s">
        <v>30</v>
      </c>
      <c r="B440" t="s">
        <v>31</v>
      </c>
      <c r="C440" t="s">
        <v>399</v>
      </c>
      <c r="D440" t="s">
        <v>428</v>
      </c>
      <c r="E440" t="s">
        <v>429</v>
      </c>
      <c r="F440" t="s">
        <v>430</v>
      </c>
      <c r="G440" t="s">
        <v>431</v>
      </c>
      <c r="H440" t="s">
        <v>37</v>
      </c>
      <c r="I440" t="s">
        <v>38</v>
      </c>
      <c r="J440" t="s">
        <v>39</v>
      </c>
      <c r="K440" s="2">
        <v>46334</v>
      </c>
      <c r="L440" s="2">
        <v>46356</v>
      </c>
      <c r="N440" s="2">
        <v>46327</v>
      </c>
      <c r="O440" s="2">
        <v>46692</v>
      </c>
      <c r="P440">
        <v>12</v>
      </c>
      <c r="Q440" t="s">
        <v>65</v>
      </c>
      <c r="R440" t="s">
        <v>41</v>
      </c>
      <c r="S440" t="s">
        <v>135</v>
      </c>
      <c r="T440" t="s">
        <v>131</v>
      </c>
      <c r="U440" t="s">
        <v>106</v>
      </c>
      <c r="V440" t="s">
        <v>45</v>
      </c>
      <c r="W440" t="s">
        <v>75</v>
      </c>
      <c r="X440" t="s">
        <v>143</v>
      </c>
      <c r="Y440">
        <v>178636.31</v>
      </c>
      <c r="Z440">
        <v>62522.71</v>
      </c>
      <c r="AA440">
        <v>0.35</v>
      </c>
      <c r="AB440" t="s">
        <v>39</v>
      </c>
      <c r="AC440" t="s">
        <v>39</v>
      </c>
      <c r="AD440" t="s">
        <v>48</v>
      </c>
    </row>
    <row r="441" spans="1:30" x14ac:dyDescent="0.35">
      <c r="A441" t="s">
        <v>30</v>
      </c>
      <c r="B441" t="s">
        <v>31</v>
      </c>
      <c r="C441" t="s">
        <v>399</v>
      </c>
      <c r="D441" t="s">
        <v>432</v>
      </c>
      <c r="E441" t="s">
        <v>433</v>
      </c>
      <c r="F441" t="s">
        <v>434</v>
      </c>
      <c r="G441" t="s">
        <v>435</v>
      </c>
      <c r="H441" t="s">
        <v>37</v>
      </c>
      <c r="I441" t="s">
        <v>117</v>
      </c>
      <c r="J441" t="s">
        <v>39</v>
      </c>
      <c r="K441" s="2">
        <v>46329</v>
      </c>
      <c r="L441" s="2">
        <v>46356</v>
      </c>
      <c r="N441" s="2">
        <v>46327</v>
      </c>
      <c r="O441" s="2">
        <v>47058</v>
      </c>
      <c r="P441">
        <v>24</v>
      </c>
      <c r="Q441" t="s">
        <v>104</v>
      </c>
      <c r="R441" t="s">
        <v>88</v>
      </c>
      <c r="S441" t="s">
        <v>280</v>
      </c>
      <c r="T441" t="s">
        <v>43</v>
      </c>
      <c r="U441" t="s">
        <v>44</v>
      </c>
      <c r="V441" t="s">
        <v>217</v>
      </c>
      <c r="W441" t="s">
        <v>46</v>
      </c>
      <c r="X441" t="s">
        <v>68</v>
      </c>
      <c r="Y441">
        <v>105602.51</v>
      </c>
      <c r="Z441">
        <v>36960.879999999997</v>
      </c>
      <c r="AA441">
        <v>0.35</v>
      </c>
      <c r="AB441" t="s">
        <v>39</v>
      </c>
      <c r="AC441" t="s">
        <v>39</v>
      </c>
      <c r="AD441" t="s">
        <v>48</v>
      </c>
    </row>
    <row r="442" spans="1:30" x14ac:dyDescent="0.35">
      <c r="A442" t="s">
        <v>30</v>
      </c>
      <c r="B442" t="s">
        <v>31</v>
      </c>
      <c r="C442" t="s">
        <v>399</v>
      </c>
      <c r="D442" t="s">
        <v>436</v>
      </c>
      <c r="E442" t="s">
        <v>437</v>
      </c>
      <c r="F442" t="s">
        <v>438</v>
      </c>
      <c r="G442" t="s">
        <v>439</v>
      </c>
      <c r="H442" t="s">
        <v>37</v>
      </c>
      <c r="I442" t="s">
        <v>117</v>
      </c>
      <c r="J442" t="s">
        <v>39</v>
      </c>
      <c r="K442" s="2">
        <v>46330</v>
      </c>
      <c r="L442" s="2">
        <v>46356</v>
      </c>
      <c r="N442" s="2">
        <v>46327</v>
      </c>
      <c r="O442" s="2">
        <v>46692</v>
      </c>
      <c r="P442">
        <v>12</v>
      </c>
      <c r="Q442" t="s">
        <v>104</v>
      </c>
      <c r="R442" t="s">
        <v>53</v>
      </c>
      <c r="S442" t="s">
        <v>137</v>
      </c>
      <c r="T442" t="s">
        <v>97</v>
      </c>
      <c r="U442" t="s">
        <v>44</v>
      </c>
      <c r="V442" t="s">
        <v>45</v>
      </c>
      <c r="W442" t="s">
        <v>150</v>
      </c>
      <c r="X442" t="s">
        <v>59</v>
      </c>
      <c r="Y442">
        <v>164970.76</v>
      </c>
      <c r="Z442">
        <v>131976.60999999999</v>
      </c>
      <c r="AA442">
        <v>0.8</v>
      </c>
      <c r="AB442" t="s">
        <v>39</v>
      </c>
      <c r="AC442" t="s">
        <v>39</v>
      </c>
      <c r="AD442" t="s">
        <v>48</v>
      </c>
    </row>
    <row r="443" spans="1:30" x14ac:dyDescent="0.35">
      <c r="A443" t="s">
        <v>30</v>
      </c>
      <c r="B443" t="s">
        <v>31</v>
      </c>
      <c r="C443" t="s">
        <v>399</v>
      </c>
      <c r="D443" t="s">
        <v>440</v>
      </c>
      <c r="E443" t="s">
        <v>441</v>
      </c>
      <c r="F443" t="s">
        <v>442</v>
      </c>
      <c r="G443" t="s">
        <v>443</v>
      </c>
      <c r="H443" t="s">
        <v>37</v>
      </c>
      <c r="I443" t="s">
        <v>103</v>
      </c>
      <c r="J443" t="s">
        <v>39</v>
      </c>
      <c r="K443" s="2">
        <v>46329</v>
      </c>
      <c r="L443" s="2">
        <v>46356</v>
      </c>
      <c r="N443" s="2">
        <v>46327</v>
      </c>
      <c r="O443" s="2">
        <v>47423</v>
      </c>
      <c r="P443">
        <v>36</v>
      </c>
      <c r="Q443" t="s">
        <v>40</v>
      </c>
      <c r="R443" t="s">
        <v>53</v>
      </c>
      <c r="S443" t="s">
        <v>135</v>
      </c>
      <c r="T443" t="s">
        <v>131</v>
      </c>
      <c r="U443" t="s">
        <v>44</v>
      </c>
      <c r="V443" t="s">
        <v>81</v>
      </c>
      <c r="W443" t="s">
        <v>132</v>
      </c>
      <c r="X443" t="s">
        <v>158</v>
      </c>
      <c r="Y443">
        <v>152732.28</v>
      </c>
      <c r="Z443">
        <v>76366.14</v>
      </c>
      <c r="AA443">
        <v>0.5</v>
      </c>
      <c r="AB443" t="s">
        <v>39</v>
      </c>
      <c r="AC443" t="s">
        <v>39</v>
      </c>
      <c r="AD443" t="s">
        <v>48</v>
      </c>
    </row>
    <row r="444" spans="1:30" x14ac:dyDescent="0.35">
      <c r="A444" t="s">
        <v>30</v>
      </c>
      <c r="B444" t="s">
        <v>31</v>
      </c>
      <c r="C444" t="s">
        <v>399</v>
      </c>
      <c r="D444" t="s">
        <v>2211</v>
      </c>
      <c r="E444" t="s">
        <v>2212</v>
      </c>
      <c r="F444" t="s">
        <v>1265</v>
      </c>
      <c r="G444" t="s">
        <v>1266</v>
      </c>
      <c r="H444" t="s">
        <v>1271</v>
      </c>
      <c r="I444" t="s">
        <v>103</v>
      </c>
      <c r="J444" t="s">
        <v>39</v>
      </c>
      <c r="K444" s="2">
        <v>46339</v>
      </c>
      <c r="L444" s="2">
        <v>46356</v>
      </c>
      <c r="N444" s="2">
        <v>46327</v>
      </c>
      <c r="O444" s="2">
        <v>47058</v>
      </c>
      <c r="P444">
        <v>24</v>
      </c>
      <c r="Q444" t="s">
        <v>104</v>
      </c>
      <c r="R444" t="s">
        <v>88</v>
      </c>
      <c r="S444" t="s">
        <v>222</v>
      </c>
      <c r="T444" t="s">
        <v>97</v>
      </c>
      <c r="U444" t="s">
        <v>56</v>
      </c>
      <c r="V444" t="s">
        <v>74</v>
      </c>
      <c r="W444" t="s">
        <v>142</v>
      </c>
      <c r="X444" t="s">
        <v>59</v>
      </c>
      <c r="Y444">
        <v>147926.29999999999</v>
      </c>
      <c r="Z444">
        <v>96152.1</v>
      </c>
      <c r="AA444">
        <v>0.65</v>
      </c>
      <c r="AB444" t="s">
        <v>39</v>
      </c>
      <c r="AC444" t="s">
        <v>39</v>
      </c>
      <c r="AD444" t="s">
        <v>48</v>
      </c>
    </row>
    <row r="445" spans="1:30" x14ac:dyDescent="0.35">
      <c r="A445" t="s">
        <v>30</v>
      </c>
      <c r="B445" t="s">
        <v>31</v>
      </c>
      <c r="C445" t="s">
        <v>399</v>
      </c>
      <c r="D445" t="s">
        <v>2213</v>
      </c>
      <c r="E445" t="s">
        <v>2214</v>
      </c>
      <c r="F445" t="s">
        <v>278</v>
      </c>
      <c r="G445" t="s">
        <v>279</v>
      </c>
      <c r="H445" t="s">
        <v>1271</v>
      </c>
      <c r="I445" t="s">
        <v>64</v>
      </c>
      <c r="J445" t="s">
        <v>39</v>
      </c>
      <c r="K445" s="2">
        <v>46329</v>
      </c>
      <c r="L445" s="2">
        <v>46356</v>
      </c>
      <c r="N445" s="2">
        <v>46327</v>
      </c>
      <c r="O445" s="2">
        <v>46692</v>
      </c>
      <c r="P445">
        <v>12</v>
      </c>
      <c r="Q445" t="s">
        <v>40</v>
      </c>
      <c r="R445" t="s">
        <v>88</v>
      </c>
      <c r="S445" t="s">
        <v>162</v>
      </c>
      <c r="T445" t="s">
        <v>43</v>
      </c>
      <c r="U445" t="s">
        <v>44</v>
      </c>
      <c r="V445" t="s">
        <v>45</v>
      </c>
      <c r="W445" t="s">
        <v>161</v>
      </c>
      <c r="X445" t="s">
        <v>59</v>
      </c>
      <c r="Y445">
        <v>122975.82</v>
      </c>
      <c r="Z445">
        <v>61487.91</v>
      </c>
      <c r="AA445">
        <v>0.5</v>
      </c>
      <c r="AB445" t="s">
        <v>39</v>
      </c>
      <c r="AC445" t="s">
        <v>39</v>
      </c>
      <c r="AD445" t="s">
        <v>48</v>
      </c>
    </row>
    <row r="446" spans="1:30" x14ac:dyDescent="0.35">
      <c r="A446" t="s">
        <v>30</v>
      </c>
      <c r="B446" t="s">
        <v>31</v>
      </c>
      <c r="C446" t="s">
        <v>399</v>
      </c>
      <c r="D446" t="s">
        <v>2215</v>
      </c>
      <c r="E446" t="s">
        <v>2216</v>
      </c>
      <c r="F446" t="s">
        <v>2217</v>
      </c>
      <c r="G446" t="s">
        <v>2218</v>
      </c>
      <c r="H446" t="s">
        <v>1271</v>
      </c>
      <c r="I446" t="s">
        <v>111</v>
      </c>
      <c r="J446" t="s">
        <v>39</v>
      </c>
      <c r="K446" s="2">
        <v>46338</v>
      </c>
      <c r="L446" s="2">
        <v>46356</v>
      </c>
      <c r="N446" s="2">
        <v>46327</v>
      </c>
      <c r="O446" s="2">
        <v>46692</v>
      </c>
      <c r="P446">
        <v>12</v>
      </c>
      <c r="Q446" t="s">
        <v>40</v>
      </c>
      <c r="R446" t="s">
        <v>53</v>
      </c>
      <c r="S446" t="s">
        <v>135</v>
      </c>
      <c r="T446" t="s">
        <v>131</v>
      </c>
      <c r="U446" t="s">
        <v>56</v>
      </c>
      <c r="V446" t="s">
        <v>57</v>
      </c>
      <c r="W446" t="s">
        <v>46</v>
      </c>
      <c r="X446" t="s">
        <v>59</v>
      </c>
      <c r="Y446">
        <v>173133.66</v>
      </c>
      <c r="Z446">
        <v>86566.83</v>
      </c>
      <c r="AA446">
        <v>0.5</v>
      </c>
      <c r="AB446" t="s">
        <v>39</v>
      </c>
      <c r="AC446" t="s">
        <v>39</v>
      </c>
      <c r="AD446" t="s">
        <v>48</v>
      </c>
    </row>
    <row r="447" spans="1:30" x14ac:dyDescent="0.35">
      <c r="A447" t="s">
        <v>30</v>
      </c>
      <c r="B447" t="s">
        <v>31</v>
      </c>
      <c r="C447" t="s">
        <v>399</v>
      </c>
      <c r="D447" t="s">
        <v>2219</v>
      </c>
      <c r="E447" t="s">
        <v>2220</v>
      </c>
      <c r="F447" t="s">
        <v>2221</v>
      </c>
      <c r="G447" t="s">
        <v>2222</v>
      </c>
      <c r="H447" t="s">
        <v>1271</v>
      </c>
      <c r="I447" t="s">
        <v>103</v>
      </c>
      <c r="J447" t="s">
        <v>39</v>
      </c>
      <c r="K447" s="2">
        <v>46329</v>
      </c>
      <c r="L447" s="2">
        <v>46356</v>
      </c>
      <c r="N447" s="2">
        <v>46327</v>
      </c>
      <c r="O447" s="2">
        <v>47058</v>
      </c>
      <c r="P447">
        <v>24</v>
      </c>
      <c r="Q447" t="s">
        <v>40</v>
      </c>
      <c r="R447" t="s">
        <v>53</v>
      </c>
      <c r="S447" t="s">
        <v>141</v>
      </c>
      <c r="T447" t="s">
        <v>131</v>
      </c>
      <c r="U447" t="s">
        <v>56</v>
      </c>
      <c r="V447" t="s">
        <v>138</v>
      </c>
      <c r="W447" t="s">
        <v>142</v>
      </c>
      <c r="X447" t="s">
        <v>91</v>
      </c>
      <c r="Y447">
        <v>95043.65</v>
      </c>
      <c r="Z447">
        <v>76034.92</v>
      </c>
      <c r="AA447">
        <v>0.8</v>
      </c>
      <c r="AB447" t="s">
        <v>39</v>
      </c>
      <c r="AC447" t="s">
        <v>39</v>
      </c>
      <c r="AD447" t="s">
        <v>48</v>
      </c>
    </row>
    <row r="448" spans="1:30" x14ac:dyDescent="0.35">
      <c r="A448" t="s">
        <v>30</v>
      </c>
      <c r="B448" t="s">
        <v>31</v>
      </c>
      <c r="C448" t="s">
        <v>399</v>
      </c>
      <c r="D448" t="s">
        <v>2223</v>
      </c>
      <c r="E448" t="s">
        <v>2224</v>
      </c>
      <c r="F448" t="s">
        <v>2225</v>
      </c>
      <c r="G448" t="s">
        <v>2226</v>
      </c>
      <c r="H448" t="s">
        <v>1271</v>
      </c>
      <c r="I448" t="s">
        <v>64</v>
      </c>
      <c r="J448" t="s">
        <v>39</v>
      </c>
      <c r="K448" s="2">
        <v>46329</v>
      </c>
      <c r="L448" s="2">
        <v>46356</v>
      </c>
      <c r="N448" s="2">
        <v>46327</v>
      </c>
      <c r="O448" s="2">
        <v>47423</v>
      </c>
      <c r="P448">
        <v>36</v>
      </c>
      <c r="Q448" t="s">
        <v>40</v>
      </c>
      <c r="R448" t="s">
        <v>53</v>
      </c>
      <c r="S448" t="s">
        <v>151</v>
      </c>
      <c r="T448" t="s">
        <v>131</v>
      </c>
      <c r="U448" t="s">
        <v>106</v>
      </c>
      <c r="V448" t="s">
        <v>144</v>
      </c>
      <c r="W448" t="s">
        <v>75</v>
      </c>
      <c r="X448" t="s">
        <v>143</v>
      </c>
      <c r="Y448">
        <v>154607.51</v>
      </c>
      <c r="Z448">
        <v>123686.01</v>
      </c>
      <c r="AA448">
        <v>0.8</v>
      </c>
      <c r="AB448" t="s">
        <v>39</v>
      </c>
      <c r="AC448" t="s">
        <v>39</v>
      </c>
      <c r="AD448" t="s">
        <v>48</v>
      </c>
    </row>
    <row r="449" spans="1:30" x14ac:dyDescent="0.35">
      <c r="A449" t="s">
        <v>30</v>
      </c>
      <c r="B449" t="s">
        <v>31</v>
      </c>
      <c r="C449" t="s">
        <v>399</v>
      </c>
      <c r="D449" t="s">
        <v>2227</v>
      </c>
      <c r="E449" t="s">
        <v>2228</v>
      </c>
      <c r="F449" t="s">
        <v>929</v>
      </c>
      <c r="G449" t="s">
        <v>930</v>
      </c>
      <c r="H449" t="s">
        <v>1271</v>
      </c>
      <c r="I449" t="s">
        <v>64</v>
      </c>
      <c r="J449" t="s">
        <v>39</v>
      </c>
      <c r="K449" s="2">
        <v>46336</v>
      </c>
      <c r="L449" s="2">
        <v>46356</v>
      </c>
      <c r="N449" s="2">
        <v>46327</v>
      </c>
      <c r="O449" s="2">
        <v>46692</v>
      </c>
      <c r="P449">
        <v>12</v>
      </c>
      <c r="Q449" t="s">
        <v>40</v>
      </c>
      <c r="R449" t="s">
        <v>88</v>
      </c>
      <c r="S449" t="s">
        <v>112</v>
      </c>
      <c r="T449" t="s">
        <v>55</v>
      </c>
      <c r="U449" t="s">
        <v>106</v>
      </c>
      <c r="V449" t="s">
        <v>119</v>
      </c>
      <c r="W449" t="s">
        <v>46</v>
      </c>
      <c r="X449" t="s">
        <v>47</v>
      </c>
      <c r="Y449">
        <v>145448.45000000001</v>
      </c>
      <c r="Z449">
        <v>50906.96</v>
      </c>
      <c r="AA449">
        <v>0.35</v>
      </c>
      <c r="AB449" t="s">
        <v>39</v>
      </c>
      <c r="AC449" t="s">
        <v>39</v>
      </c>
      <c r="AD449" t="s">
        <v>48</v>
      </c>
    </row>
    <row r="450" spans="1:30" x14ac:dyDescent="0.35">
      <c r="A450" t="s">
        <v>30</v>
      </c>
      <c r="B450" t="s">
        <v>31</v>
      </c>
      <c r="C450" t="s">
        <v>399</v>
      </c>
      <c r="D450" t="s">
        <v>2229</v>
      </c>
      <c r="E450" t="s">
        <v>2230</v>
      </c>
      <c r="F450" t="s">
        <v>1617</v>
      </c>
      <c r="G450" t="s">
        <v>1618</v>
      </c>
      <c r="H450" t="s">
        <v>1271</v>
      </c>
      <c r="I450" t="s">
        <v>117</v>
      </c>
      <c r="J450" t="s">
        <v>39</v>
      </c>
      <c r="K450" s="2">
        <v>46327</v>
      </c>
      <c r="L450" s="2">
        <v>46356</v>
      </c>
      <c r="N450" s="2">
        <v>46327</v>
      </c>
      <c r="O450" s="2">
        <v>46692</v>
      </c>
      <c r="P450">
        <v>12</v>
      </c>
      <c r="Q450" t="s">
        <v>104</v>
      </c>
      <c r="R450" t="s">
        <v>53</v>
      </c>
      <c r="S450" t="s">
        <v>135</v>
      </c>
      <c r="T450" t="s">
        <v>131</v>
      </c>
      <c r="U450" t="s">
        <v>44</v>
      </c>
      <c r="V450" t="s">
        <v>144</v>
      </c>
      <c r="W450" t="s">
        <v>82</v>
      </c>
      <c r="X450" t="s">
        <v>91</v>
      </c>
      <c r="Y450">
        <v>143096.60999999999</v>
      </c>
      <c r="Z450">
        <v>71548.31</v>
      </c>
      <c r="AA450">
        <v>0.5</v>
      </c>
      <c r="AB450" t="s">
        <v>39</v>
      </c>
      <c r="AC450" t="s">
        <v>39</v>
      </c>
      <c r="AD450" t="s">
        <v>48</v>
      </c>
    </row>
    <row r="451" spans="1:30" x14ac:dyDescent="0.35">
      <c r="A451" t="s">
        <v>30</v>
      </c>
      <c r="B451" t="s">
        <v>31</v>
      </c>
      <c r="C451" t="s">
        <v>399</v>
      </c>
      <c r="D451" t="s">
        <v>2231</v>
      </c>
      <c r="E451" t="s">
        <v>2232</v>
      </c>
      <c r="F451" t="s">
        <v>2233</v>
      </c>
      <c r="G451" t="s">
        <v>2234</v>
      </c>
      <c r="H451" t="s">
        <v>1290</v>
      </c>
      <c r="I451" t="s">
        <v>64</v>
      </c>
      <c r="J451" t="s">
        <v>1290</v>
      </c>
      <c r="K451" s="2">
        <v>46327</v>
      </c>
      <c r="L451" s="2">
        <v>46356</v>
      </c>
      <c r="N451" s="2">
        <v>46327</v>
      </c>
      <c r="O451" s="2">
        <v>46692</v>
      </c>
      <c r="P451">
        <v>12</v>
      </c>
      <c r="Q451" t="s">
        <v>104</v>
      </c>
      <c r="R451" t="s">
        <v>41</v>
      </c>
      <c r="S451" t="s">
        <v>130</v>
      </c>
      <c r="T451" t="s">
        <v>131</v>
      </c>
      <c r="U451" t="s">
        <v>44</v>
      </c>
      <c r="V451" t="s">
        <v>217</v>
      </c>
      <c r="W451" t="s">
        <v>75</v>
      </c>
      <c r="X451" t="s">
        <v>83</v>
      </c>
      <c r="Y451">
        <v>134286.87</v>
      </c>
      <c r="Z451">
        <v>67143.429999999993</v>
      </c>
      <c r="AA451">
        <v>0.5</v>
      </c>
      <c r="AB451" t="s">
        <v>1290</v>
      </c>
      <c r="AC451" t="s">
        <v>1290</v>
      </c>
      <c r="AD451" t="s">
        <v>48</v>
      </c>
    </row>
    <row r="452" spans="1:30" x14ac:dyDescent="0.35">
      <c r="A452" t="s">
        <v>30</v>
      </c>
      <c r="B452" t="s">
        <v>31</v>
      </c>
      <c r="C452" t="s">
        <v>399</v>
      </c>
      <c r="D452" t="s">
        <v>2235</v>
      </c>
      <c r="E452" t="s">
        <v>2236</v>
      </c>
      <c r="F452" t="s">
        <v>1163</v>
      </c>
      <c r="G452" t="s">
        <v>1164</v>
      </c>
      <c r="H452" t="s">
        <v>1290</v>
      </c>
      <c r="I452" t="s">
        <v>117</v>
      </c>
      <c r="J452" t="s">
        <v>1290</v>
      </c>
      <c r="K452" s="2">
        <v>46331</v>
      </c>
      <c r="L452" s="2">
        <v>46356</v>
      </c>
      <c r="N452" s="2">
        <v>46327</v>
      </c>
      <c r="O452" s="2">
        <v>47058</v>
      </c>
      <c r="P452">
        <v>24</v>
      </c>
      <c r="Q452" t="s">
        <v>104</v>
      </c>
      <c r="R452" t="s">
        <v>88</v>
      </c>
      <c r="S452" t="s">
        <v>149</v>
      </c>
      <c r="T452" t="s">
        <v>131</v>
      </c>
      <c r="U452" t="s">
        <v>44</v>
      </c>
      <c r="V452" t="s">
        <v>98</v>
      </c>
      <c r="W452" t="s">
        <v>161</v>
      </c>
      <c r="X452" t="s">
        <v>91</v>
      </c>
      <c r="Y452">
        <v>160653.89000000001</v>
      </c>
      <c r="Z452">
        <v>56228.86</v>
      </c>
      <c r="AA452">
        <v>0.35</v>
      </c>
      <c r="AB452" t="s">
        <v>1290</v>
      </c>
      <c r="AC452" t="s">
        <v>1290</v>
      </c>
      <c r="AD452" t="s">
        <v>48</v>
      </c>
    </row>
    <row r="453" spans="1:30" x14ac:dyDescent="0.35">
      <c r="A453" t="s">
        <v>30</v>
      </c>
      <c r="B453" t="s">
        <v>31</v>
      </c>
      <c r="C453" t="s">
        <v>399</v>
      </c>
      <c r="D453" t="s">
        <v>2237</v>
      </c>
      <c r="E453" t="s">
        <v>2238</v>
      </c>
      <c r="F453" t="s">
        <v>801</v>
      </c>
      <c r="G453" t="s">
        <v>802</v>
      </c>
      <c r="H453" t="s">
        <v>1290</v>
      </c>
      <c r="I453" t="s">
        <v>64</v>
      </c>
      <c r="J453" t="s">
        <v>1290</v>
      </c>
      <c r="K453" s="2">
        <v>46337</v>
      </c>
      <c r="L453" s="2">
        <v>46356</v>
      </c>
      <c r="N453" s="2">
        <v>46327</v>
      </c>
      <c r="O453" s="2">
        <v>47058</v>
      </c>
      <c r="P453">
        <v>24</v>
      </c>
      <c r="Q453" t="s">
        <v>40</v>
      </c>
      <c r="R453" t="s">
        <v>88</v>
      </c>
      <c r="S453" t="s">
        <v>96</v>
      </c>
      <c r="T453" t="s">
        <v>97</v>
      </c>
      <c r="U453" t="s">
        <v>44</v>
      </c>
      <c r="V453" t="s">
        <v>81</v>
      </c>
      <c r="W453" t="s">
        <v>46</v>
      </c>
      <c r="X453" t="s">
        <v>47</v>
      </c>
      <c r="Y453">
        <v>146031.24</v>
      </c>
      <c r="Z453">
        <v>94920.3</v>
      </c>
      <c r="AA453">
        <v>0.65</v>
      </c>
      <c r="AB453" t="s">
        <v>1290</v>
      </c>
      <c r="AC453" t="s">
        <v>1290</v>
      </c>
      <c r="AD453" t="s">
        <v>48</v>
      </c>
    </row>
    <row r="454" spans="1:30" x14ac:dyDescent="0.35">
      <c r="A454" t="s">
        <v>30</v>
      </c>
      <c r="B454" t="s">
        <v>31</v>
      </c>
      <c r="C454" t="s">
        <v>399</v>
      </c>
      <c r="D454" t="s">
        <v>2239</v>
      </c>
      <c r="E454" t="s">
        <v>2240</v>
      </c>
      <c r="F454" t="s">
        <v>823</v>
      </c>
      <c r="G454" t="s">
        <v>824</v>
      </c>
      <c r="H454" t="s">
        <v>1295</v>
      </c>
      <c r="I454" t="s">
        <v>64</v>
      </c>
      <c r="J454" t="s">
        <v>1295</v>
      </c>
      <c r="K454" s="2">
        <v>46340</v>
      </c>
      <c r="L454" s="2">
        <v>46356</v>
      </c>
      <c r="N454" s="2">
        <v>46327</v>
      </c>
      <c r="O454" s="2">
        <v>46692</v>
      </c>
      <c r="P454">
        <v>12</v>
      </c>
      <c r="Q454" t="s">
        <v>104</v>
      </c>
      <c r="R454" t="s">
        <v>41</v>
      </c>
      <c r="S454" t="s">
        <v>182</v>
      </c>
      <c r="T454" t="s">
        <v>97</v>
      </c>
      <c r="U454" t="s">
        <v>44</v>
      </c>
      <c r="V454" t="s">
        <v>144</v>
      </c>
      <c r="W454" t="s">
        <v>142</v>
      </c>
      <c r="X454" t="s">
        <v>143</v>
      </c>
      <c r="Y454">
        <v>174784.71</v>
      </c>
      <c r="Z454">
        <v>139827.76999999999</v>
      </c>
      <c r="AA454">
        <v>0.8</v>
      </c>
      <c r="AB454" t="s">
        <v>1295</v>
      </c>
      <c r="AC454" t="s">
        <v>1295</v>
      </c>
      <c r="AD454" t="s">
        <v>48</v>
      </c>
    </row>
    <row r="455" spans="1:30" x14ac:dyDescent="0.35">
      <c r="A455" t="s">
        <v>30</v>
      </c>
      <c r="B455" t="s">
        <v>31</v>
      </c>
      <c r="C455" t="s">
        <v>399</v>
      </c>
      <c r="D455" t="s">
        <v>2241</v>
      </c>
      <c r="E455" t="s">
        <v>2242</v>
      </c>
      <c r="F455" t="s">
        <v>1293</v>
      </c>
      <c r="G455" t="s">
        <v>1294</v>
      </c>
      <c r="H455" t="s">
        <v>1295</v>
      </c>
      <c r="I455" t="s">
        <v>103</v>
      </c>
      <c r="J455" t="s">
        <v>1295</v>
      </c>
      <c r="K455" s="2">
        <v>46332</v>
      </c>
      <c r="L455" s="2">
        <v>46356</v>
      </c>
      <c r="N455" s="2">
        <v>46327</v>
      </c>
      <c r="O455" s="2">
        <v>47058</v>
      </c>
      <c r="P455">
        <v>24</v>
      </c>
      <c r="Q455" t="s">
        <v>104</v>
      </c>
      <c r="R455" t="s">
        <v>41</v>
      </c>
      <c r="S455" t="s">
        <v>141</v>
      </c>
      <c r="T455" t="s">
        <v>131</v>
      </c>
      <c r="U455" t="s">
        <v>106</v>
      </c>
      <c r="V455" t="s">
        <v>81</v>
      </c>
      <c r="W455" t="s">
        <v>46</v>
      </c>
      <c r="X455" t="s">
        <v>68</v>
      </c>
      <c r="Y455">
        <v>190522.39</v>
      </c>
      <c r="Z455">
        <v>66682.84</v>
      </c>
      <c r="AA455">
        <v>0.35</v>
      </c>
      <c r="AB455" t="s">
        <v>1295</v>
      </c>
      <c r="AC455" t="s">
        <v>1295</v>
      </c>
      <c r="AD455" t="s">
        <v>48</v>
      </c>
    </row>
    <row r="456" spans="1:30" x14ac:dyDescent="0.35">
      <c r="A456" t="s">
        <v>30</v>
      </c>
      <c r="B456" t="s">
        <v>31</v>
      </c>
      <c r="C456" t="s">
        <v>399</v>
      </c>
      <c r="D456" t="s">
        <v>2243</v>
      </c>
      <c r="E456" t="s">
        <v>2244</v>
      </c>
      <c r="F456" t="s">
        <v>1521</v>
      </c>
      <c r="G456" t="s">
        <v>1522</v>
      </c>
      <c r="H456" t="s">
        <v>1295</v>
      </c>
      <c r="I456" t="s">
        <v>103</v>
      </c>
      <c r="J456" t="s">
        <v>1295</v>
      </c>
      <c r="K456" s="2">
        <v>46337</v>
      </c>
      <c r="L456" s="2">
        <v>46356</v>
      </c>
      <c r="N456" s="2">
        <v>46327</v>
      </c>
      <c r="O456" s="2">
        <v>47058</v>
      </c>
      <c r="P456">
        <v>24</v>
      </c>
      <c r="Q456" t="s">
        <v>65</v>
      </c>
      <c r="R456" t="s">
        <v>88</v>
      </c>
      <c r="S456" t="s">
        <v>130</v>
      </c>
      <c r="T456" t="s">
        <v>131</v>
      </c>
      <c r="U456" t="s">
        <v>44</v>
      </c>
      <c r="V456" t="s">
        <v>217</v>
      </c>
      <c r="W456" t="s">
        <v>82</v>
      </c>
      <c r="X456" t="s">
        <v>125</v>
      </c>
      <c r="Y456">
        <v>148760.23000000001</v>
      </c>
      <c r="Z456">
        <v>52066.080000000002</v>
      </c>
      <c r="AA456">
        <v>0.35</v>
      </c>
      <c r="AB456" t="s">
        <v>1295</v>
      </c>
      <c r="AC456" t="s">
        <v>1295</v>
      </c>
      <c r="AD456" t="s">
        <v>48</v>
      </c>
    </row>
    <row r="457" spans="1:30" x14ac:dyDescent="0.35">
      <c r="A457" t="s">
        <v>30</v>
      </c>
      <c r="B457" t="s">
        <v>31</v>
      </c>
      <c r="C457" t="s">
        <v>399</v>
      </c>
      <c r="D457" t="s">
        <v>2245</v>
      </c>
      <c r="E457" t="s">
        <v>2246</v>
      </c>
      <c r="F457" t="s">
        <v>2247</v>
      </c>
      <c r="G457" t="s">
        <v>2248</v>
      </c>
      <c r="H457" t="s">
        <v>1295</v>
      </c>
      <c r="I457" t="s">
        <v>103</v>
      </c>
      <c r="J457" t="s">
        <v>1295</v>
      </c>
      <c r="K457" s="2">
        <v>46327</v>
      </c>
      <c r="L457" s="2">
        <v>46356</v>
      </c>
      <c r="N457" s="2">
        <v>46327</v>
      </c>
      <c r="O457" s="2">
        <v>46692</v>
      </c>
      <c r="P457">
        <v>12</v>
      </c>
      <c r="Q457" t="s">
        <v>40</v>
      </c>
      <c r="R457" t="s">
        <v>88</v>
      </c>
      <c r="S457" t="s">
        <v>135</v>
      </c>
      <c r="T457" t="s">
        <v>131</v>
      </c>
      <c r="U457" t="s">
        <v>106</v>
      </c>
      <c r="V457" t="s">
        <v>45</v>
      </c>
      <c r="W457" t="s">
        <v>82</v>
      </c>
      <c r="X457" t="s">
        <v>125</v>
      </c>
      <c r="Y457">
        <v>204854.67</v>
      </c>
      <c r="Z457">
        <v>102427.33</v>
      </c>
      <c r="AA457">
        <v>0.5</v>
      </c>
      <c r="AB457" t="s">
        <v>1295</v>
      </c>
      <c r="AC457" t="s">
        <v>1295</v>
      </c>
      <c r="AD457" t="s">
        <v>48</v>
      </c>
    </row>
    <row r="458" spans="1:30" x14ac:dyDescent="0.35">
      <c r="A458" t="s">
        <v>30</v>
      </c>
      <c r="B458" t="s">
        <v>31</v>
      </c>
      <c r="C458" t="s">
        <v>399</v>
      </c>
      <c r="D458" t="s">
        <v>2249</v>
      </c>
      <c r="E458" t="s">
        <v>2250</v>
      </c>
      <c r="F458" t="s">
        <v>2251</v>
      </c>
      <c r="G458" t="s">
        <v>2252</v>
      </c>
      <c r="H458" t="s">
        <v>1302</v>
      </c>
      <c r="I458" t="s">
        <v>117</v>
      </c>
      <c r="J458" t="s">
        <v>39</v>
      </c>
      <c r="K458" s="2">
        <v>46331</v>
      </c>
      <c r="L458" s="2">
        <v>46356</v>
      </c>
      <c r="N458" s="2">
        <v>46327</v>
      </c>
      <c r="O458" s="2">
        <v>46692</v>
      </c>
      <c r="P458">
        <v>12</v>
      </c>
      <c r="Q458" t="s">
        <v>40</v>
      </c>
      <c r="R458" t="s">
        <v>41</v>
      </c>
      <c r="S458" t="s">
        <v>135</v>
      </c>
      <c r="T458" t="s">
        <v>131</v>
      </c>
      <c r="U458" t="s">
        <v>44</v>
      </c>
      <c r="V458" t="s">
        <v>81</v>
      </c>
      <c r="W458" t="s">
        <v>132</v>
      </c>
      <c r="X458" t="s">
        <v>158</v>
      </c>
      <c r="Y458">
        <v>170712.74</v>
      </c>
      <c r="Z458">
        <v>85356.37</v>
      </c>
      <c r="AA458">
        <v>0.5</v>
      </c>
      <c r="AB458" t="s">
        <v>39</v>
      </c>
      <c r="AC458" t="s">
        <v>39</v>
      </c>
      <c r="AD458" t="s">
        <v>48</v>
      </c>
    </row>
    <row r="459" spans="1:30" x14ac:dyDescent="0.35">
      <c r="A459" t="s">
        <v>30</v>
      </c>
      <c r="B459" t="s">
        <v>31</v>
      </c>
      <c r="C459" t="s">
        <v>399</v>
      </c>
      <c r="D459" t="s">
        <v>2253</v>
      </c>
      <c r="E459" t="s">
        <v>2254</v>
      </c>
      <c r="F459" t="s">
        <v>2255</v>
      </c>
      <c r="G459" t="s">
        <v>2256</v>
      </c>
      <c r="H459" t="s">
        <v>1302</v>
      </c>
      <c r="I459" t="s">
        <v>103</v>
      </c>
      <c r="J459" t="s">
        <v>39</v>
      </c>
      <c r="K459" s="2">
        <v>46334</v>
      </c>
      <c r="L459" s="2">
        <v>46356</v>
      </c>
      <c r="N459" s="2">
        <v>46327</v>
      </c>
      <c r="O459" s="2">
        <v>47423</v>
      </c>
      <c r="P459">
        <v>36</v>
      </c>
      <c r="Q459" t="s">
        <v>40</v>
      </c>
      <c r="R459" t="s">
        <v>53</v>
      </c>
      <c r="S459" t="s">
        <v>164</v>
      </c>
      <c r="T459" t="s">
        <v>55</v>
      </c>
      <c r="U459" t="s">
        <v>106</v>
      </c>
      <c r="V459" t="s">
        <v>144</v>
      </c>
      <c r="W459" t="s">
        <v>136</v>
      </c>
      <c r="X459" t="s">
        <v>143</v>
      </c>
      <c r="Y459">
        <v>122294.02</v>
      </c>
      <c r="Z459">
        <v>42802.91</v>
      </c>
      <c r="AA459">
        <v>0.35</v>
      </c>
      <c r="AB459" t="s">
        <v>39</v>
      </c>
      <c r="AC459" t="s">
        <v>39</v>
      </c>
      <c r="AD459" t="s">
        <v>48</v>
      </c>
    </row>
    <row r="460" spans="1:30" x14ac:dyDescent="0.35">
      <c r="A460" t="s">
        <v>30</v>
      </c>
      <c r="B460" t="s">
        <v>31</v>
      </c>
      <c r="C460" t="s">
        <v>399</v>
      </c>
      <c r="D460" t="s">
        <v>2257</v>
      </c>
      <c r="E460" t="s">
        <v>2258</v>
      </c>
      <c r="F460" t="s">
        <v>2259</v>
      </c>
      <c r="G460" t="s">
        <v>2260</v>
      </c>
      <c r="H460" t="s">
        <v>1302</v>
      </c>
      <c r="I460" t="s">
        <v>103</v>
      </c>
      <c r="J460" t="s">
        <v>39</v>
      </c>
      <c r="K460" s="2">
        <v>46340</v>
      </c>
      <c r="L460" s="2">
        <v>46356</v>
      </c>
      <c r="N460" s="2">
        <v>46327</v>
      </c>
      <c r="O460" s="2">
        <v>46692</v>
      </c>
      <c r="P460">
        <v>12</v>
      </c>
      <c r="Q460" t="s">
        <v>40</v>
      </c>
      <c r="R460" t="s">
        <v>41</v>
      </c>
      <c r="S460" t="s">
        <v>140</v>
      </c>
      <c r="T460" t="s">
        <v>97</v>
      </c>
      <c r="U460" t="s">
        <v>44</v>
      </c>
      <c r="V460" t="s">
        <v>98</v>
      </c>
      <c r="W460" t="s">
        <v>142</v>
      </c>
      <c r="X460" t="s">
        <v>59</v>
      </c>
      <c r="Y460">
        <v>106885.24</v>
      </c>
      <c r="Z460">
        <v>37409.83</v>
      </c>
      <c r="AA460">
        <v>0.35</v>
      </c>
      <c r="AB460" t="s">
        <v>39</v>
      </c>
      <c r="AC460" t="s">
        <v>39</v>
      </c>
      <c r="AD460" t="s">
        <v>48</v>
      </c>
    </row>
    <row r="461" spans="1:30" x14ac:dyDescent="0.35">
      <c r="A461" t="s">
        <v>30</v>
      </c>
      <c r="B461" t="s">
        <v>31</v>
      </c>
      <c r="C461" t="s">
        <v>454</v>
      </c>
      <c r="D461" t="s">
        <v>455</v>
      </c>
      <c r="E461" t="s">
        <v>456</v>
      </c>
      <c r="F461" t="s">
        <v>457</v>
      </c>
      <c r="G461" t="s">
        <v>458</v>
      </c>
      <c r="H461" t="s">
        <v>37</v>
      </c>
      <c r="I461" t="s">
        <v>117</v>
      </c>
      <c r="J461" t="s">
        <v>39</v>
      </c>
      <c r="K461" s="2">
        <v>46363</v>
      </c>
      <c r="L461" s="2">
        <v>46387</v>
      </c>
      <c r="N461" s="2">
        <v>46357</v>
      </c>
      <c r="O461" s="2">
        <v>46722</v>
      </c>
      <c r="P461">
        <v>12</v>
      </c>
      <c r="Q461" t="s">
        <v>104</v>
      </c>
      <c r="R461" t="s">
        <v>41</v>
      </c>
      <c r="S461" t="s">
        <v>149</v>
      </c>
      <c r="T461" t="s">
        <v>131</v>
      </c>
      <c r="U461" t="s">
        <v>56</v>
      </c>
      <c r="V461" t="s">
        <v>144</v>
      </c>
      <c r="W461" t="s">
        <v>161</v>
      </c>
      <c r="X461" t="s">
        <v>83</v>
      </c>
      <c r="Y461">
        <v>176508.88</v>
      </c>
      <c r="Z461">
        <v>88254.44</v>
      </c>
      <c r="AA461">
        <v>0.5</v>
      </c>
      <c r="AB461" t="s">
        <v>39</v>
      </c>
      <c r="AC461" t="s">
        <v>39</v>
      </c>
      <c r="AD461" t="s">
        <v>48</v>
      </c>
    </row>
    <row r="462" spans="1:30" x14ac:dyDescent="0.35">
      <c r="A462" t="s">
        <v>30</v>
      </c>
      <c r="B462" t="s">
        <v>31</v>
      </c>
      <c r="C462" t="s">
        <v>454</v>
      </c>
      <c r="D462" t="s">
        <v>459</v>
      </c>
      <c r="E462" t="s">
        <v>460</v>
      </c>
      <c r="F462" t="s">
        <v>461</v>
      </c>
      <c r="G462" t="s">
        <v>462</v>
      </c>
      <c r="H462" t="s">
        <v>37</v>
      </c>
      <c r="I462" t="s">
        <v>103</v>
      </c>
      <c r="J462" t="s">
        <v>39</v>
      </c>
      <c r="K462" s="2">
        <v>46359</v>
      </c>
      <c r="L462" s="2">
        <v>46387</v>
      </c>
      <c r="N462" s="2">
        <v>46357</v>
      </c>
      <c r="O462" s="2">
        <v>46722</v>
      </c>
      <c r="P462">
        <v>12</v>
      </c>
      <c r="Q462" t="s">
        <v>40</v>
      </c>
      <c r="R462" t="s">
        <v>88</v>
      </c>
      <c r="S462" t="s">
        <v>182</v>
      </c>
      <c r="T462" t="s">
        <v>97</v>
      </c>
      <c r="U462" t="s">
        <v>106</v>
      </c>
      <c r="V462" t="s">
        <v>81</v>
      </c>
      <c r="W462" t="s">
        <v>142</v>
      </c>
      <c r="X462" t="s">
        <v>158</v>
      </c>
      <c r="Y462">
        <v>182288.52</v>
      </c>
      <c r="Z462">
        <v>145830.82</v>
      </c>
      <c r="AA462">
        <v>0.8</v>
      </c>
      <c r="AB462" t="s">
        <v>39</v>
      </c>
      <c r="AC462" t="s">
        <v>39</v>
      </c>
      <c r="AD462" t="s">
        <v>48</v>
      </c>
    </row>
    <row r="463" spans="1:30" x14ac:dyDescent="0.35">
      <c r="A463" t="s">
        <v>30</v>
      </c>
      <c r="B463" t="s">
        <v>31</v>
      </c>
      <c r="C463" t="s">
        <v>454</v>
      </c>
      <c r="D463" t="s">
        <v>463</v>
      </c>
      <c r="E463" t="s">
        <v>464</v>
      </c>
      <c r="F463" t="s">
        <v>465</v>
      </c>
      <c r="G463" t="s">
        <v>466</v>
      </c>
      <c r="H463" t="s">
        <v>37</v>
      </c>
      <c r="I463" t="s">
        <v>38</v>
      </c>
      <c r="J463" t="s">
        <v>39</v>
      </c>
      <c r="K463" s="2">
        <v>46371</v>
      </c>
      <c r="L463" s="2">
        <v>46387</v>
      </c>
      <c r="N463" s="2">
        <v>46357</v>
      </c>
      <c r="O463" s="2">
        <v>47453</v>
      </c>
      <c r="P463">
        <v>36</v>
      </c>
      <c r="Q463" t="s">
        <v>65</v>
      </c>
      <c r="R463" t="s">
        <v>88</v>
      </c>
      <c r="S463" t="s">
        <v>141</v>
      </c>
      <c r="T463" t="s">
        <v>131</v>
      </c>
      <c r="U463" t="s">
        <v>56</v>
      </c>
      <c r="V463" t="s">
        <v>98</v>
      </c>
      <c r="W463" t="s">
        <v>120</v>
      </c>
      <c r="X463" t="s">
        <v>91</v>
      </c>
      <c r="Y463">
        <v>213872.22</v>
      </c>
      <c r="Z463">
        <v>171097.78</v>
      </c>
      <c r="AA463">
        <v>0.8</v>
      </c>
      <c r="AB463" t="s">
        <v>39</v>
      </c>
      <c r="AC463" t="s">
        <v>39</v>
      </c>
      <c r="AD463" t="s">
        <v>48</v>
      </c>
    </row>
    <row r="464" spans="1:30" x14ac:dyDescent="0.35">
      <c r="A464" t="s">
        <v>30</v>
      </c>
      <c r="B464" t="s">
        <v>31</v>
      </c>
      <c r="C464" t="s">
        <v>454</v>
      </c>
      <c r="D464" t="s">
        <v>467</v>
      </c>
      <c r="E464" t="s">
        <v>468</v>
      </c>
      <c r="F464" t="s">
        <v>469</v>
      </c>
      <c r="G464" t="s">
        <v>470</v>
      </c>
      <c r="H464" t="s">
        <v>37</v>
      </c>
      <c r="I464" t="s">
        <v>64</v>
      </c>
      <c r="J464" t="s">
        <v>39</v>
      </c>
      <c r="K464" s="2">
        <v>46359</v>
      </c>
      <c r="L464" s="2">
        <v>46387</v>
      </c>
      <c r="N464" s="2">
        <v>46357</v>
      </c>
      <c r="O464" s="2">
        <v>46722</v>
      </c>
      <c r="P464">
        <v>12</v>
      </c>
      <c r="Q464" t="s">
        <v>104</v>
      </c>
      <c r="R464" t="s">
        <v>41</v>
      </c>
      <c r="S464" t="s">
        <v>130</v>
      </c>
      <c r="T464" t="s">
        <v>131</v>
      </c>
      <c r="U464" t="s">
        <v>44</v>
      </c>
      <c r="V464" t="s">
        <v>138</v>
      </c>
      <c r="W464" t="s">
        <v>142</v>
      </c>
      <c r="X464" t="s">
        <v>83</v>
      </c>
      <c r="Y464">
        <v>140343.15</v>
      </c>
      <c r="Z464">
        <v>91223.05</v>
      </c>
      <c r="AA464">
        <v>0.65</v>
      </c>
      <c r="AB464" t="s">
        <v>39</v>
      </c>
      <c r="AC464" t="s">
        <v>39</v>
      </c>
      <c r="AD464" t="s">
        <v>48</v>
      </c>
    </row>
    <row r="465" spans="1:30" x14ac:dyDescent="0.35">
      <c r="A465" t="s">
        <v>30</v>
      </c>
      <c r="B465" t="s">
        <v>31</v>
      </c>
      <c r="C465" t="s">
        <v>454</v>
      </c>
      <c r="D465" t="s">
        <v>471</v>
      </c>
      <c r="E465" t="s">
        <v>472</v>
      </c>
      <c r="F465" t="s">
        <v>473</v>
      </c>
      <c r="G465" t="s">
        <v>474</v>
      </c>
      <c r="H465" t="s">
        <v>37</v>
      </c>
      <c r="I465" t="s">
        <v>117</v>
      </c>
      <c r="J465" t="s">
        <v>39</v>
      </c>
      <c r="K465" s="2">
        <v>46361</v>
      </c>
      <c r="L465" s="2">
        <v>46387</v>
      </c>
      <c r="N465" s="2">
        <v>46357</v>
      </c>
      <c r="O465" s="2">
        <v>46722</v>
      </c>
      <c r="P465">
        <v>12</v>
      </c>
      <c r="Q465" t="s">
        <v>40</v>
      </c>
      <c r="R465" t="s">
        <v>53</v>
      </c>
      <c r="S465" t="s">
        <v>89</v>
      </c>
      <c r="T465" t="s">
        <v>55</v>
      </c>
      <c r="U465" t="s">
        <v>106</v>
      </c>
      <c r="V465" t="s">
        <v>138</v>
      </c>
      <c r="W465" t="s">
        <v>142</v>
      </c>
      <c r="X465" t="s">
        <v>59</v>
      </c>
      <c r="Y465">
        <v>109072.66</v>
      </c>
      <c r="Z465">
        <v>38175.43</v>
      </c>
      <c r="AA465">
        <v>0.35</v>
      </c>
      <c r="AB465" t="s">
        <v>39</v>
      </c>
      <c r="AC465" t="s">
        <v>39</v>
      </c>
      <c r="AD465" t="s">
        <v>48</v>
      </c>
    </row>
    <row r="466" spans="1:30" x14ac:dyDescent="0.35">
      <c r="A466" t="s">
        <v>30</v>
      </c>
      <c r="B466" t="s">
        <v>31</v>
      </c>
      <c r="C466" t="s">
        <v>454</v>
      </c>
      <c r="D466" t="s">
        <v>475</v>
      </c>
      <c r="E466" t="s">
        <v>476</v>
      </c>
      <c r="F466" t="s">
        <v>477</v>
      </c>
      <c r="G466" t="s">
        <v>478</v>
      </c>
      <c r="H466" t="s">
        <v>37</v>
      </c>
      <c r="I466" t="s">
        <v>64</v>
      </c>
      <c r="J466" t="s">
        <v>39</v>
      </c>
      <c r="K466" s="2">
        <v>46367</v>
      </c>
      <c r="L466" s="2">
        <v>46387</v>
      </c>
      <c r="N466" s="2">
        <v>46357</v>
      </c>
      <c r="O466" s="2">
        <v>46722</v>
      </c>
      <c r="P466">
        <v>12</v>
      </c>
      <c r="Q466" t="s">
        <v>40</v>
      </c>
      <c r="R466" t="s">
        <v>41</v>
      </c>
      <c r="S466" t="s">
        <v>140</v>
      </c>
      <c r="T466" t="s">
        <v>97</v>
      </c>
      <c r="U466" t="s">
        <v>44</v>
      </c>
      <c r="V466" t="s">
        <v>81</v>
      </c>
      <c r="W466" t="s">
        <v>58</v>
      </c>
      <c r="X466" t="s">
        <v>143</v>
      </c>
      <c r="Y466">
        <v>136679.01999999999</v>
      </c>
      <c r="Z466">
        <v>47837.66</v>
      </c>
      <c r="AA466">
        <v>0.35</v>
      </c>
      <c r="AB466" t="s">
        <v>39</v>
      </c>
      <c r="AC466" t="s">
        <v>39</v>
      </c>
      <c r="AD466" t="s">
        <v>48</v>
      </c>
    </row>
    <row r="467" spans="1:30" x14ac:dyDescent="0.35">
      <c r="A467" t="s">
        <v>30</v>
      </c>
      <c r="B467" t="s">
        <v>31</v>
      </c>
      <c r="C467" t="s">
        <v>454</v>
      </c>
      <c r="D467" t="s">
        <v>479</v>
      </c>
      <c r="E467" t="s">
        <v>480</v>
      </c>
      <c r="F467" t="s">
        <v>481</v>
      </c>
      <c r="G467" t="s">
        <v>482</v>
      </c>
      <c r="H467" t="s">
        <v>37</v>
      </c>
      <c r="I467" t="s">
        <v>64</v>
      </c>
      <c r="J467" t="s">
        <v>39</v>
      </c>
      <c r="K467" s="2">
        <v>46371</v>
      </c>
      <c r="L467" s="2">
        <v>46387</v>
      </c>
      <c r="N467" s="2">
        <v>46357</v>
      </c>
      <c r="O467" s="2">
        <v>46722</v>
      </c>
      <c r="P467">
        <v>12</v>
      </c>
      <c r="Q467" t="s">
        <v>104</v>
      </c>
      <c r="R467" t="s">
        <v>41</v>
      </c>
      <c r="S467" t="s">
        <v>66</v>
      </c>
      <c r="T467" t="s">
        <v>55</v>
      </c>
      <c r="U467" t="s">
        <v>44</v>
      </c>
      <c r="V467" t="s">
        <v>119</v>
      </c>
      <c r="W467" t="s">
        <v>120</v>
      </c>
      <c r="X467" t="s">
        <v>59</v>
      </c>
      <c r="Y467">
        <v>157719.06</v>
      </c>
      <c r="Z467">
        <v>126175.25</v>
      </c>
      <c r="AA467">
        <v>0.8</v>
      </c>
      <c r="AB467" t="s">
        <v>39</v>
      </c>
      <c r="AC467" t="s">
        <v>39</v>
      </c>
      <c r="AD467" t="s">
        <v>48</v>
      </c>
    </row>
    <row r="468" spans="1:30" x14ac:dyDescent="0.35">
      <c r="A468" t="s">
        <v>30</v>
      </c>
      <c r="B468" t="s">
        <v>31</v>
      </c>
      <c r="C468" t="s">
        <v>454</v>
      </c>
      <c r="D468" t="s">
        <v>483</v>
      </c>
      <c r="E468" t="s">
        <v>484</v>
      </c>
      <c r="F468" t="s">
        <v>485</v>
      </c>
      <c r="G468" t="s">
        <v>486</v>
      </c>
      <c r="H468" t="s">
        <v>37</v>
      </c>
      <c r="I468" t="s">
        <v>64</v>
      </c>
      <c r="J468" t="s">
        <v>39</v>
      </c>
      <c r="K468" s="2">
        <v>46368</v>
      </c>
      <c r="L468" s="2">
        <v>46387</v>
      </c>
      <c r="N468" s="2">
        <v>46357</v>
      </c>
      <c r="O468" s="2">
        <v>47088</v>
      </c>
      <c r="P468">
        <v>24</v>
      </c>
      <c r="Q468" t="s">
        <v>65</v>
      </c>
      <c r="R468" t="s">
        <v>88</v>
      </c>
      <c r="S468" t="s">
        <v>54</v>
      </c>
      <c r="T468" t="s">
        <v>55</v>
      </c>
      <c r="U468" t="s">
        <v>44</v>
      </c>
      <c r="V468" t="s">
        <v>81</v>
      </c>
      <c r="W468" t="s">
        <v>75</v>
      </c>
      <c r="X468" t="s">
        <v>158</v>
      </c>
      <c r="Y468">
        <v>111067.97</v>
      </c>
      <c r="Z468">
        <v>72194.179999999993</v>
      </c>
      <c r="AA468">
        <v>0.65</v>
      </c>
      <c r="AB468" t="s">
        <v>39</v>
      </c>
      <c r="AC468" t="s">
        <v>39</v>
      </c>
      <c r="AD468" t="s">
        <v>48</v>
      </c>
    </row>
    <row r="469" spans="1:30" x14ac:dyDescent="0.35">
      <c r="A469" t="s">
        <v>30</v>
      </c>
      <c r="B469" t="s">
        <v>31</v>
      </c>
      <c r="C469" t="s">
        <v>454</v>
      </c>
      <c r="D469" t="s">
        <v>487</v>
      </c>
      <c r="E469" t="s">
        <v>488</v>
      </c>
      <c r="F469" t="s">
        <v>489</v>
      </c>
      <c r="G469" t="s">
        <v>490</v>
      </c>
      <c r="H469" t="s">
        <v>37</v>
      </c>
      <c r="I469" t="s">
        <v>111</v>
      </c>
      <c r="J469" t="s">
        <v>39</v>
      </c>
      <c r="K469" s="2">
        <v>46368</v>
      </c>
      <c r="L469" s="2">
        <v>46387</v>
      </c>
      <c r="N469" s="2">
        <v>46357</v>
      </c>
      <c r="O469" s="2">
        <v>46722</v>
      </c>
      <c r="P469">
        <v>12</v>
      </c>
      <c r="Q469" t="s">
        <v>104</v>
      </c>
      <c r="R469" t="s">
        <v>53</v>
      </c>
      <c r="S469" t="s">
        <v>80</v>
      </c>
      <c r="T469" t="s">
        <v>43</v>
      </c>
      <c r="U469" t="s">
        <v>56</v>
      </c>
      <c r="V469" t="s">
        <v>144</v>
      </c>
      <c r="W469" t="s">
        <v>75</v>
      </c>
      <c r="X469" t="s">
        <v>143</v>
      </c>
      <c r="Y469">
        <v>118291.14</v>
      </c>
      <c r="Z469">
        <v>41401.9</v>
      </c>
      <c r="AA469">
        <v>0.35</v>
      </c>
      <c r="AB469" t="s">
        <v>39</v>
      </c>
      <c r="AC469" t="s">
        <v>39</v>
      </c>
      <c r="AD469" t="s">
        <v>48</v>
      </c>
    </row>
    <row r="470" spans="1:30" x14ac:dyDescent="0.35">
      <c r="A470" t="s">
        <v>30</v>
      </c>
      <c r="B470" t="s">
        <v>31</v>
      </c>
      <c r="C470" t="s">
        <v>454</v>
      </c>
      <c r="D470" t="s">
        <v>491</v>
      </c>
      <c r="E470" t="s">
        <v>492</v>
      </c>
      <c r="F470" t="s">
        <v>493</v>
      </c>
      <c r="G470" t="s">
        <v>494</v>
      </c>
      <c r="H470" t="s">
        <v>37</v>
      </c>
      <c r="I470" t="s">
        <v>64</v>
      </c>
      <c r="J470" t="s">
        <v>39</v>
      </c>
      <c r="K470" s="2">
        <v>46365</v>
      </c>
      <c r="L470" s="2">
        <v>46387</v>
      </c>
      <c r="N470" s="2">
        <v>46357</v>
      </c>
      <c r="O470" s="2">
        <v>47088</v>
      </c>
      <c r="P470">
        <v>24</v>
      </c>
      <c r="Q470" t="s">
        <v>65</v>
      </c>
      <c r="R470" t="s">
        <v>53</v>
      </c>
      <c r="S470" t="s">
        <v>162</v>
      </c>
      <c r="T470" t="s">
        <v>43</v>
      </c>
      <c r="U470" t="s">
        <v>106</v>
      </c>
      <c r="V470" t="s">
        <v>57</v>
      </c>
      <c r="W470" t="s">
        <v>82</v>
      </c>
      <c r="X470" t="s">
        <v>143</v>
      </c>
      <c r="Y470">
        <v>220036.73</v>
      </c>
      <c r="Z470">
        <v>176029.39</v>
      </c>
      <c r="AA470">
        <v>0.8</v>
      </c>
      <c r="AB470" t="s">
        <v>39</v>
      </c>
      <c r="AC470" t="s">
        <v>39</v>
      </c>
      <c r="AD470" t="s">
        <v>48</v>
      </c>
    </row>
    <row r="471" spans="1:30" x14ac:dyDescent="0.35">
      <c r="A471" t="s">
        <v>30</v>
      </c>
      <c r="B471" t="s">
        <v>31</v>
      </c>
      <c r="C471" t="s">
        <v>454</v>
      </c>
      <c r="D471" t="s">
        <v>495</v>
      </c>
      <c r="E471" t="s">
        <v>496</v>
      </c>
      <c r="F471" t="s">
        <v>497</v>
      </c>
      <c r="G471" t="s">
        <v>498</v>
      </c>
      <c r="H471" t="s">
        <v>37</v>
      </c>
      <c r="I471" t="s">
        <v>103</v>
      </c>
      <c r="J471" t="s">
        <v>39</v>
      </c>
      <c r="K471" s="2">
        <v>46371</v>
      </c>
      <c r="L471" s="2">
        <v>46387</v>
      </c>
      <c r="N471" s="2">
        <v>46357</v>
      </c>
      <c r="O471" s="2">
        <v>47453</v>
      </c>
      <c r="P471">
        <v>36</v>
      </c>
      <c r="Q471" t="s">
        <v>65</v>
      </c>
      <c r="R471" t="s">
        <v>88</v>
      </c>
      <c r="S471" t="s">
        <v>164</v>
      </c>
      <c r="T471" t="s">
        <v>55</v>
      </c>
      <c r="U471" t="s">
        <v>56</v>
      </c>
      <c r="V471" t="s">
        <v>81</v>
      </c>
      <c r="W471" t="s">
        <v>161</v>
      </c>
      <c r="X471" t="s">
        <v>47</v>
      </c>
      <c r="Y471">
        <v>180084.65</v>
      </c>
      <c r="Z471">
        <v>144067.72</v>
      </c>
      <c r="AA471">
        <v>0.8</v>
      </c>
      <c r="AB471" t="s">
        <v>39</v>
      </c>
      <c r="AC471" t="s">
        <v>39</v>
      </c>
      <c r="AD471" t="s">
        <v>48</v>
      </c>
    </row>
    <row r="472" spans="1:30" x14ac:dyDescent="0.35">
      <c r="A472" t="s">
        <v>30</v>
      </c>
      <c r="B472" t="s">
        <v>31</v>
      </c>
      <c r="C472" t="s">
        <v>454</v>
      </c>
      <c r="D472" t="s">
        <v>2261</v>
      </c>
      <c r="E472" t="s">
        <v>2262</v>
      </c>
      <c r="F472" t="s">
        <v>2263</v>
      </c>
      <c r="G472" t="s">
        <v>2264</v>
      </c>
      <c r="H472" t="s">
        <v>1271</v>
      </c>
      <c r="I472" t="s">
        <v>64</v>
      </c>
      <c r="J472" t="s">
        <v>39</v>
      </c>
      <c r="K472" s="2">
        <v>46369</v>
      </c>
      <c r="L472" s="2">
        <v>46387</v>
      </c>
      <c r="N472" s="2">
        <v>46357</v>
      </c>
      <c r="O472" s="2">
        <v>46722</v>
      </c>
      <c r="P472">
        <v>12</v>
      </c>
      <c r="Q472" t="s">
        <v>40</v>
      </c>
      <c r="R472" t="s">
        <v>88</v>
      </c>
      <c r="S472" t="s">
        <v>118</v>
      </c>
      <c r="T472" t="s">
        <v>97</v>
      </c>
      <c r="U472" t="s">
        <v>44</v>
      </c>
      <c r="V472" t="s">
        <v>119</v>
      </c>
      <c r="W472" t="s">
        <v>90</v>
      </c>
      <c r="X472" t="s">
        <v>143</v>
      </c>
      <c r="Y472">
        <v>95172.01</v>
      </c>
      <c r="Z472">
        <v>76137.61</v>
      </c>
      <c r="AA472">
        <v>0.8</v>
      </c>
      <c r="AB472" t="s">
        <v>39</v>
      </c>
      <c r="AC472" t="s">
        <v>39</v>
      </c>
      <c r="AD472" t="s">
        <v>48</v>
      </c>
    </row>
    <row r="473" spans="1:30" x14ac:dyDescent="0.35">
      <c r="A473" t="s">
        <v>30</v>
      </c>
      <c r="B473" t="s">
        <v>31</v>
      </c>
      <c r="C473" t="s">
        <v>454</v>
      </c>
      <c r="D473" t="s">
        <v>2265</v>
      </c>
      <c r="E473" t="s">
        <v>2266</v>
      </c>
      <c r="F473" t="s">
        <v>2267</v>
      </c>
      <c r="G473" t="s">
        <v>2268</v>
      </c>
      <c r="H473" t="s">
        <v>1271</v>
      </c>
      <c r="I473" t="s">
        <v>64</v>
      </c>
      <c r="J473" t="s">
        <v>39</v>
      </c>
      <c r="K473" s="2">
        <v>46367</v>
      </c>
      <c r="L473" s="2">
        <v>46387</v>
      </c>
      <c r="N473" s="2">
        <v>46357</v>
      </c>
      <c r="O473" s="2">
        <v>46722</v>
      </c>
      <c r="P473">
        <v>12</v>
      </c>
      <c r="Q473" t="s">
        <v>104</v>
      </c>
      <c r="R473" t="s">
        <v>41</v>
      </c>
      <c r="S473" t="s">
        <v>137</v>
      </c>
      <c r="T473" t="s">
        <v>97</v>
      </c>
      <c r="U473" t="s">
        <v>44</v>
      </c>
      <c r="V473" t="s">
        <v>74</v>
      </c>
      <c r="W473" t="s">
        <v>136</v>
      </c>
      <c r="X473" t="s">
        <v>47</v>
      </c>
      <c r="Y473">
        <v>145033.25</v>
      </c>
      <c r="Z473">
        <v>94271.61</v>
      </c>
      <c r="AA473">
        <v>0.65</v>
      </c>
      <c r="AB473" t="s">
        <v>39</v>
      </c>
      <c r="AC473" t="s">
        <v>39</v>
      </c>
      <c r="AD473" t="s">
        <v>48</v>
      </c>
    </row>
    <row r="474" spans="1:30" x14ac:dyDescent="0.35">
      <c r="A474" t="s">
        <v>30</v>
      </c>
      <c r="B474" t="s">
        <v>31</v>
      </c>
      <c r="C474" t="s">
        <v>454</v>
      </c>
      <c r="D474" t="s">
        <v>2269</v>
      </c>
      <c r="E474" t="s">
        <v>2270</v>
      </c>
      <c r="F474" t="s">
        <v>2271</v>
      </c>
      <c r="G474" t="s">
        <v>2272</v>
      </c>
      <c r="H474" t="s">
        <v>1271</v>
      </c>
      <c r="I474" t="s">
        <v>111</v>
      </c>
      <c r="J474" t="s">
        <v>39</v>
      </c>
      <c r="K474" s="2">
        <v>46364</v>
      </c>
      <c r="L474" s="2">
        <v>46387</v>
      </c>
      <c r="N474" s="2">
        <v>46357</v>
      </c>
      <c r="O474" s="2">
        <v>46722</v>
      </c>
      <c r="P474">
        <v>12</v>
      </c>
      <c r="Q474" t="s">
        <v>40</v>
      </c>
      <c r="R474" t="s">
        <v>53</v>
      </c>
      <c r="S474" t="s">
        <v>80</v>
      </c>
      <c r="T474" t="s">
        <v>43</v>
      </c>
      <c r="U474" t="s">
        <v>106</v>
      </c>
      <c r="V474" t="s">
        <v>138</v>
      </c>
      <c r="W474" t="s">
        <v>136</v>
      </c>
      <c r="X474" t="s">
        <v>68</v>
      </c>
      <c r="Y474">
        <v>147693.82</v>
      </c>
      <c r="Z474">
        <v>73846.91</v>
      </c>
      <c r="AA474">
        <v>0.5</v>
      </c>
      <c r="AB474" t="s">
        <v>39</v>
      </c>
      <c r="AC474" t="s">
        <v>39</v>
      </c>
      <c r="AD474" t="s">
        <v>48</v>
      </c>
    </row>
    <row r="475" spans="1:30" x14ac:dyDescent="0.35">
      <c r="A475" t="s">
        <v>30</v>
      </c>
      <c r="B475" t="s">
        <v>31</v>
      </c>
      <c r="C475" t="s">
        <v>454</v>
      </c>
      <c r="D475" t="s">
        <v>2273</v>
      </c>
      <c r="E475" t="s">
        <v>2274</v>
      </c>
      <c r="F475" t="s">
        <v>340</v>
      </c>
      <c r="G475" t="s">
        <v>341</v>
      </c>
      <c r="H475" t="s">
        <v>1271</v>
      </c>
      <c r="I475" t="s">
        <v>38</v>
      </c>
      <c r="J475" t="s">
        <v>39</v>
      </c>
      <c r="K475" s="2">
        <v>46366</v>
      </c>
      <c r="L475" s="2">
        <v>46387</v>
      </c>
      <c r="N475" s="2">
        <v>46357</v>
      </c>
      <c r="O475" s="2">
        <v>46722</v>
      </c>
      <c r="P475">
        <v>12</v>
      </c>
      <c r="Q475" t="s">
        <v>65</v>
      </c>
      <c r="R475" t="s">
        <v>53</v>
      </c>
      <c r="S475" t="s">
        <v>112</v>
      </c>
      <c r="T475" t="s">
        <v>55</v>
      </c>
      <c r="U475" t="s">
        <v>56</v>
      </c>
      <c r="V475" t="s">
        <v>81</v>
      </c>
      <c r="W475" t="s">
        <v>136</v>
      </c>
      <c r="X475" t="s">
        <v>68</v>
      </c>
      <c r="Y475">
        <v>140404.57</v>
      </c>
      <c r="Z475">
        <v>70202.28</v>
      </c>
      <c r="AA475">
        <v>0.5</v>
      </c>
      <c r="AB475" t="s">
        <v>39</v>
      </c>
      <c r="AC475" t="s">
        <v>39</v>
      </c>
      <c r="AD475" t="s">
        <v>48</v>
      </c>
    </row>
    <row r="476" spans="1:30" x14ac:dyDescent="0.35">
      <c r="A476" t="s">
        <v>30</v>
      </c>
      <c r="B476" t="s">
        <v>31</v>
      </c>
      <c r="C476" t="s">
        <v>454</v>
      </c>
      <c r="D476" t="s">
        <v>2275</v>
      </c>
      <c r="E476" t="s">
        <v>2276</v>
      </c>
      <c r="F476" t="s">
        <v>2277</v>
      </c>
      <c r="G476" t="s">
        <v>2278</v>
      </c>
      <c r="H476" t="s">
        <v>1271</v>
      </c>
      <c r="I476" t="s">
        <v>111</v>
      </c>
      <c r="J476" t="s">
        <v>39</v>
      </c>
      <c r="K476" s="2">
        <v>46361</v>
      </c>
      <c r="L476" s="2">
        <v>46387</v>
      </c>
      <c r="N476" s="2">
        <v>46357</v>
      </c>
      <c r="O476" s="2">
        <v>46722</v>
      </c>
      <c r="P476">
        <v>12</v>
      </c>
      <c r="Q476" t="s">
        <v>40</v>
      </c>
      <c r="R476" t="s">
        <v>53</v>
      </c>
      <c r="S476" t="s">
        <v>96</v>
      </c>
      <c r="T476" t="s">
        <v>97</v>
      </c>
      <c r="U476" t="s">
        <v>44</v>
      </c>
      <c r="V476" t="s">
        <v>217</v>
      </c>
      <c r="W476" t="s">
        <v>90</v>
      </c>
      <c r="X476" t="s">
        <v>83</v>
      </c>
      <c r="Y476">
        <v>148783.39000000001</v>
      </c>
      <c r="Z476">
        <v>119026.71</v>
      </c>
      <c r="AA476">
        <v>0.8</v>
      </c>
      <c r="AB476" t="s">
        <v>39</v>
      </c>
      <c r="AC476" t="s">
        <v>39</v>
      </c>
      <c r="AD476" t="s">
        <v>48</v>
      </c>
    </row>
    <row r="477" spans="1:30" x14ac:dyDescent="0.35">
      <c r="A477" t="s">
        <v>30</v>
      </c>
      <c r="B477" t="s">
        <v>31</v>
      </c>
      <c r="C477" t="s">
        <v>454</v>
      </c>
      <c r="D477" t="s">
        <v>2279</v>
      </c>
      <c r="E477" t="s">
        <v>2280</v>
      </c>
      <c r="F477" t="s">
        <v>556</v>
      </c>
      <c r="G477" t="s">
        <v>557</v>
      </c>
      <c r="H477" t="s">
        <v>1271</v>
      </c>
      <c r="I477" t="s">
        <v>117</v>
      </c>
      <c r="J477" t="s">
        <v>39</v>
      </c>
      <c r="K477" s="2">
        <v>46360</v>
      </c>
      <c r="L477" s="2">
        <v>46387</v>
      </c>
      <c r="N477" s="2">
        <v>46357</v>
      </c>
      <c r="O477" s="2">
        <v>46722</v>
      </c>
      <c r="P477">
        <v>12</v>
      </c>
      <c r="Q477" t="s">
        <v>40</v>
      </c>
      <c r="R477" t="s">
        <v>53</v>
      </c>
      <c r="S477" t="s">
        <v>105</v>
      </c>
      <c r="T477" t="s">
        <v>55</v>
      </c>
      <c r="U477" t="s">
        <v>44</v>
      </c>
      <c r="V477" t="s">
        <v>98</v>
      </c>
      <c r="W477" t="s">
        <v>136</v>
      </c>
      <c r="X477" t="s">
        <v>143</v>
      </c>
      <c r="Y477">
        <v>97828.38</v>
      </c>
      <c r="Z477">
        <v>48914.19</v>
      </c>
      <c r="AA477">
        <v>0.5</v>
      </c>
      <c r="AB477" t="s">
        <v>39</v>
      </c>
      <c r="AC477" t="s">
        <v>39</v>
      </c>
      <c r="AD477" t="s">
        <v>48</v>
      </c>
    </row>
    <row r="478" spans="1:30" x14ac:dyDescent="0.35">
      <c r="A478" t="s">
        <v>30</v>
      </c>
      <c r="B478" t="s">
        <v>31</v>
      </c>
      <c r="C478" t="s">
        <v>454</v>
      </c>
      <c r="D478" t="s">
        <v>2281</v>
      </c>
      <c r="E478" t="s">
        <v>2282</v>
      </c>
      <c r="F478" t="s">
        <v>452</v>
      </c>
      <c r="G478" t="s">
        <v>453</v>
      </c>
      <c r="H478" t="s">
        <v>1271</v>
      </c>
      <c r="I478" t="s">
        <v>103</v>
      </c>
      <c r="J478" t="s">
        <v>39</v>
      </c>
      <c r="K478" s="2">
        <v>46369</v>
      </c>
      <c r="L478" s="2">
        <v>46387</v>
      </c>
      <c r="N478" s="2">
        <v>46357</v>
      </c>
      <c r="O478" s="2">
        <v>47088</v>
      </c>
      <c r="P478">
        <v>24</v>
      </c>
      <c r="Q478" t="s">
        <v>65</v>
      </c>
      <c r="R478" t="s">
        <v>53</v>
      </c>
      <c r="S478" t="s">
        <v>96</v>
      </c>
      <c r="T478" t="s">
        <v>97</v>
      </c>
      <c r="U478" t="s">
        <v>44</v>
      </c>
      <c r="V478" t="s">
        <v>45</v>
      </c>
      <c r="W478" t="s">
        <v>132</v>
      </c>
      <c r="X478" t="s">
        <v>91</v>
      </c>
      <c r="Y478">
        <v>136878.57</v>
      </c>
      <c r="Z478">
        <v>47907.5</v>
      </c>
      <c r="AA478">
        <v>0.35</v>
      </c>
      <c r="AB478" t="s">
        <v>39</v>
      </c>
      <c r="AC478" t="s">
        <v>39</v>
      </c>
      <c r="AD478" t="s">
        <v>48</v>
      </c>
    </row>
    <row r="479" spans="1:30" x14ac:dyDescent="0.35">
      <c r="A479" t="s">
        <v>30</v>
      </c>
      <c r="B479" t="s">
        <v>31</v>
      </c>
      <c r="C479" t="s">
        <v>454</v>
      </c>
      <c r="D479" t="s">
        <v>2283</v>
      </c>
      <c r="E479" t="s">
        <v>2284</v>
      </c>
      <c r="F479" t="s">
        <v>334</v>
      </c>
      <c r="G479" t="s">
        <v>335</v>
      </c>
      <c r="H479" t="s">
        <v>1271</v>
      </c>
      <c r="I479" t="s">
        <v>117</v>
      </c>
      <c r="J479" t="s">
        <v>39</v>
      </c>
      <c r="K479" s="2">
        <v>46359</v>
      </c>
      <c r="L479" s="2">
        <v>46387</v>
      </c>
      <c r="N479" s="2">
        <v>46357</v>
      </c>
      <c r="O479" s="2">
        <v>46722</v>
      </c>
      <c r="P479">
        <v>12</v>
      </c>
      <c r="Q479" t="s">
        <v>40</v>
      </c>
      <c r="R479" t="s">
        <v>53</v>
      </c>
      <c r="S479" t="s">
        <v>54</v>
      </c>
      <c r="T479" t="s">
        <v>55</v>
      </c>
      <c r="U479" t="s">
        <v>44</v>
      </c>
      <c r="V479" t="s">
        <v>144</v>
      </c>
      <c r="W479" t="s">
        <v>150</v>
      </c>
      <c r="X479" t="s">
        <v>125</v>
      </c>
      <c r="Y479">
        <v>122971.02</v>
      </c>
      <c r="Z479">
        <v>61485.51</v>
      </c>
      <c r="AA479">
        <v>0.5</v>
      </c>
      <c r="AB479" t="s">
        <v>39</v>
      </c>
      <c r="AC479" t="s">
        <v>39</v>
      </c>
      <c r="AD479" t="s">
        <v>48</v>
      </c>
    </row>
    <row r="480" spans="1:30" x14ac:dyDescent="0.35">
      <c r="A480" t="s">
        <v>30</v>
      </c>
      <c r="B480" t="s">
        <v>31</v>
      </c>
      <c r="C480" t="s">
        <v>454</v>
      </c>
      <c r="D480" t="s">
        <v>2285</v>
      </c>
      <c r="E480" t="s">
        <v>2286</v>
      </c>
      <c r="F480" t="s">
        <v>1129</v>
      </c>
      <c r="G480" t="s">
        <v>1130</v>
      </c>
      <c r="H480" t="s">
        <v>1290</v>
      </c>
      <c r="I480" t="s">
        <v>64</v>
      </c>
      <c r="J480" t="s">
        <v>1290</v>
      </c>
      <c r="K480" s="2">
        <v>46368</v>
      </c>
      <c r="L480" s="2">
        <v>46387</v>
      </c>
      <c r="N480" s="2">
        <v>46357</v>
      </c>
      <c r="O480" s="2">
        <v>46722</v>
      </c>
      <c r="P480">
        <v>12</v>
      </c>
      <c r="Q480" t="s">
        <v>40</v>
      </c>
      <c r="R480" t="s">
        <v>53</v>
      </c>
      <c r="S480" t="s">
        <v>141</v>
      </c>
      <c r="T480" t="s">
        <v>131</v>
      </c>
      <c r="U480" t="s">
        <v>56</v>
      </c>
      <c r="V480" t="s">
        <v>119</v>
      </c>
      <c r="W480" t="s">
        <v>161</v>
      </c>
      <c r="X480" t="s">
        <v>47</v>
      </c>
      <c r="Y480">
        <v>113207.7</v>
      </c>
      <c r="Z480">
        <v>56603.85</v>
      </c>
      <c r="AA480">
        <v>0.5</v>
      </c>
      <c r="AB480" t="s">
        <v>1290</v>
      </c>
      <c r="AC480" t="s">
        <v>1290</v>
      </c>
      <c r="AD480" t="s">
        <v>48</v>
      </c>
    </row>
    <row r="481" spans="1:30" x14ac:dyDescent="0.35">
      <c r="A481" t="s">
        <v>30</v>
      </c>
      <c r="B481" t="s">
        <v>31</v>
      </c>
      <c r="C481" t="s">
        <v>454</v>
      </c>
      <c r="D481" t="s">
        <v>2287</v>
      </c>
      <c r="E481" t="s">
        <v>2288</v>
      </c>
      <c r="F481" t="s">
        <v>777</v>
      </c>
      <c r="G481" t="s">
        <v>778</v>
      </c>
      <c r="H481" t="s">
        <v>1290</v>
      </c>
      <c r="I481" t="s">
        <v>38</v>
      </c>
      <c r="J481" t="s">
        <v>1290</v>
      </c>
      <c r="K481" s="2">
        <v>46358</v>
      </c>
      <c r="L481" s="2">
        <v>46387</v>
      </c>
      <c r="N481" s="2">
        <v>46357</v>
      </c>
      <c r="O481" s="2">
        <v>46722</v>
      </c>
      <c r="P481">
        <v>12</v>
      </c>
      <c r="Q481" t="s">
        <v>104</v>
      </c>
      <c r="R481" t="s">
        <v>41</v>
      </c>
      <c r="S481" t="s">
        <v>89</v>
      </c>
      <c r="T481" t="s">
        <v>55</v>
      </c>
      <c r="U481" t="s">
        <v>56</v>
      </c>
      <c r="V481" t="s">
        <v>45</v>
      </c>
      <c r="W481" t="s">
        <v>90</v>
      </c>
      <c r="X481" t="s">
        <v>47</v>
      </c>
      <c r="Y481">
        <v>182165.77</v>
      </c>
      <c r="Z481">
        <v>63758.02</v>
      </c>
      <c r="AA481">
        <v>0.35</v>
      </c>
      <c r="AB481" t="s">
        <v>1290</v>
      </c>
      <c r="AC481" t="s">
        <v>1290</v>
      </c>
      <c r="AD481" t="s">
        <v>48</v>
      </c>
    </row>
    <row r="482" spans="1:30" x14ac:dyDescent="0.35">
      <c r="A482" t="s">
        <v>30</v>
      </c>
      <c r="B482" t="s">
        <v>31</v>
      </c>
      <c r="C482" t="s">
        <v>454</v>
      </c>
      <c r="D482" t="s">
        <v>2289</v>
      </c>
      <c r="E482" t="s">
        <v>2290</v>
      </c>
      <c r="F482" t="s">
        <v>2291</v>
      </c>
      <c r="G482" t="s">
        <v>2292</v>
      </c>
      <c r="H482" t="s">
        <v>1290</v>
      </c>
      <c r="I482" t="s">
        <v>117</v>
      </c>
      <c r="J482" t="s">
        <v>1290</v>
      </c>
      <c r="K482" s="2">
        <v>46362</v>
      </c>
      <c r="L482" s="2">
        <v>46387</v>
      </c>
      <c r="N482" s="2">
        <v>46357</v>
      </c>
      <c r="O482" s="2">
        <v>46722</v>
      </c>
      <c r="P482">
        <v>12</v>
      </c>
      <c r="Q482" t="s">
        <v>104</v>
      </c>
      <c r="R482" t="s">
        <v>53</v>
      </c>
      <c r="S482" t="s">
        <v>222</v>
      </c>
      <c r="T482" t="s">
        <v>97</v>
      </c>
      <c r="U482" t="s">
        <v>44</v>
      </c>
      <c r="V482" t="s">
        <v>144</v>
      </c>
      <c r="W482" t="s">
        <v>90</v>
      </c>
      <c r="X482" t="s">
        <v>68</v>
      </c>
      <c r="Y482">
        <v>179767.53</v>
      </c>
      <c r="Z482">
        <v>89883.77</v>
      </c>
      <c r="AA482">
        <v>0.5</v>
      </c>
      <c r="AB482" t="s">
        <v>1290</v>
      </c>
      <c r="AC482" t="s">
        <v>1290</v>
      </c>
      <c r="AD482" t="s">
        <v>48</v>
      </c>
    </row>
    <row r="483" spans="1:30" x14ac:dyDescent="0.35">
      <c r="A483" t="s">
        <v>30</v>
      </c>
      <c r="B483" t="s">
        <v>31</v>
      </c>
      <c r="C483" t="s">
        <v>454</v>
      </c>
      <c r="D483" t="s">
        <v>2293</v>
      </c>
      <c r="E483" t="s">
        <v>2294</v>
      </c>
      <c r="F483" t="s">
        <v>1211</v>
      </c>
      <c r="G483" t="s">
        <v>1212</v>
      </c>
      <c r="H483" t="s">
        <v>1295</v>
      </c>
      <c r="I483" t="s">
        <v>117</v>
      </c>
      <c r="J483" t="s">
        <v>1295</v>
      </c>
      <c r="K483" s="2">
        <v>46368</v>
      </c>
      <c r="L483" s="2">
        <v>46387</v>
      </c>
      <c r="N483" s="2">
        <v>46357</v>
      </c>
      <c r="O483" s="2">
        <v>46722</v>
      </c>
      <c r="P483">
        <v>12</v>
      </c>
      <c r="Q483" t="s">
        <v>65</v>
      </c>
      <c r="R483" t="s">
        <v>41</v>
      </c>
      <c r="S483" t="s">
        <v>118</v>
      </c>
      <c r="T483" t="s">
        <v>97</v>
      </c>
      <c r="U483" t="s">
        <v>44</v>
      </c>
      <c r="V483" t="s">
        <v>98</v>
      </c>
      <c r="W483" t="s">
        <v>46</v>
      </c>
      <c r="X483" t="s">
        <v>83</v>
      </c>
      <c r="Y483">
        <v>220507.38</v>
      </c>
      <c r="Z483">
        <v>110253.69</v>
      </c>
      <c r="AA483">
        <v>0.5</v>
      </c>
      <c r="AB483" t="s">
        <v>1295</v>
      </c>
      <c r="AC483" t="s">
        <v>1295</v>
      </c>
      <c r="AD483" t="s">
        <v>48</v>
      </c>
    </row>
    <row r="484" spans="1:30" x14ac:dyDescent="0.35">
      <c r="A484" t="s">
        <v>30</v>
      </c>
      <c r="B484" t="s">
        <v>31</v>
      </c>
      <c r="C484" t="s">
        <v>454</v>
      </c>
      <c r="D484" t="s">
        <v>2295</v>
      </c>
      <c r="E484" t="s">
        <v>2296</v>
      </c>
      <c r="F484" t="s">
        <v>2297</v>
      </c>
      <c r="G484" t="s">
        <v>2298</v>
      </c>
      <c r="H484" t="s">
        <v>1295</v>
      </c>
      <c r="I484" t="s">
        <v>117</v>
      </c>
      <c r="J484" t="s">
        <v>1295</v>
      </c>
      <c r="K484" s="2">
        <v>46367</v>
      </c>
      <c r="L484" s="2">
        <v>46387</v>
      </c>
      <c r="N484" s="2">
        <v>46357</v>
      </c>
      <c r="O484" s="2">
        <v>46722</v>
      </c>
      <c r="P484">
        <v>12</v>
      </c>
      <c r="Q484" t="s">
        <v>65</v>
      </c>
      <c r="R484" t="s">
        <v>41</v>
      </c>
      <c r="S484" t="s">
        <v>73</v>
      </c>
      <c r="T484" t="s">
        <v>43</v>
      </c>
      <c r="U484" t="s">
        <v>56</v>
      </c>
      <c r="V484" t="s">
        <v>67</v>
      </c>
      <c r="W484" t="s">
        <v>161</v>
      </c>
      <c r="X484" t="s">
        <v>143</v>
      </c>
      <c r="Y484">
        <v>222667.15</v>
      </c>
      <c r="Z484">
        <v>77933.5</v>
      </c>
      <c r="AA484">
        <v>0.35</v>
      </c>
      <c r="AB484" t="s">
        <v>1295</v>
      </c>
      <c r="AC484" t="s">
        <v>1295</v>
      </c>
      <c r="AD484" t="s">
        <v>48</v>
      </c>
    </row>
    <row r="485" spans="1:30" x14ac:dyDescent="0.35">
      <c r="A485" t="s">
        <v>30</v>
      </c>
      <c r="B485" t="s">
        <v>31</v>
      </c>
      <c r="C485" t="s">
        <v>454</v>
      </c>
      <c r="D485" t="s">
        <v>2299</v>
      </c>
      <c r="E485" t="s">
        <v>2300</v>
      </c>
      <c r="F485" t="s">
        <v>877</v>
      </c>
      <c r="G485" t="s">
        <v>878</v>
      </c>
      <c r="H485" t="s">
        <v>1295</v>
      </c>
      <c r="I485" t="s">
        <v>103</v>
      </c>
      <c r="J485" t="s">
        <v>1295</v>
      </c>
      <c r="K485" s="2">
        <v>46361</v>
      </c>
      <c r="L485" s="2">
        <v>46387</v>
      </c>
      <c r="N485" s="2">
        <v>46357</v>
      </c>
      <c r="O485" s="2">
        <v>46722</v>
      </c>
      <c r="P485">
        <v>12</v>
      </c>
      <c r="Q485" t="s">
        <v>40</v>
      </c>
      <c r="R485" t="s">
        <v>41</v>
      </c>
      <c r="S485" t="s">
        <v>149</v>
      </c>
      <c r="T485" t="s">
        <v>131</v>
      </c>
      <c r="U485" t="s">
        <v>44</v>
      </c>
      <c r="V485" t="s">
        <v>81</v>
      </c>
      <c r="W485" t="s">
        <v>90</v>
      </c>
      <c r="X485" t="s">
        <v>143</v>
      </c>
      <c r="Y485">
        <v>123103.87</v>
      </c>
      <c r="Z485">
        <v>80017.509999999995</v>
      </c>
      <c r="AA485">
        <v>0.65</v>
      </c>
      <c r="AB485" t="s">
        <v>1295</v>
      </c>
      <c r="AC485" t="s">
        <v>1295</v>
      </c>
      <c r="AD485" t="s">
        <v>48</v>
      </c>
    </row>
    <row r="486" spans="1:30" x14ac:dyDescent="0.35">
      <c r="A486" t="s">
        <v>30</v>
      </c>
      <c r="B486" t="s">
        <v>31</v>
      </c>
      <c r="C486" t="s">
        <v>454</v>
      </c>
      <c r="D486" t="s">
        <v>2301</v>
      </c>
      <c r="E486" t="s">
        <v>2302</v>
      </c>
      <c r="F486" t="s">
        <v>1313</v>
      </c>
      <c r="G486" t="s">
        <v>1314</v>
      </c>
      <c r="H486" t="s">
        <v>1295</v>
      </c>
      <c r="I486" t="s">
        <v>117</v>
      </c>
      <c r="J486" t="s">
        <v>1295</v>
      </c>
      <c r="K486" s="2">
        <v>46360</v>
      </c>
      <c r="L486" s="2">
        <v>46387</v>
      </c>
      <c r="N486" s="2">
        <v>46357</v>
      </c>
      <c r="O486" s="2">
        <v>46722</v>
      </c>
      <c r="P486">
        <v>12</v>
      </c>
      <c r="Q486" t="s">
        <v>40</v>
      </c>
      <c r="R486" t="s">
        <v>53</v>
      </c>
      <c r="S486" t="s">
        <v>112</v>
      </c>
      <c r="T486" t="s">
        <v>55</v>
      </c>
      <c r="U486" t="s">
        <v>44</v>
      </c>
      <c r="V486" t="s">
        <v>98</v>
      </c>
      <c r="W486" t="s">
        <v>82</v>
      </c>
      <c r="X486" t="s">
        <v>91</v>
      </c>
      <c r="Y486">
        <v>235845.61</v>
      </c>
      <c r="Z486">
        <v>82545.960000000006</v>
      </c>
      <c r="AA486">
        <v>0.35</v>
      </c>
      <c r="AB486" t="s">
        <v>1295</v>
      </c>
      <c r="AC486" t="s">
        <v>1295</v>
      </c>
      <c r="AD486" t="s">
        <v>48</v>
      </c>
    </row>
    <row r="487" spans="1:30" x14ac:dyDescent="0.35">
      <c r="A487" t="s">
        <v>30</v>
      </c>
      <c r="B487" t="s">
        <v>31</v>
      </c>
      <c r="C487" t="s">
        <v>454</v>
      </c>
      <c r="D487" t="s">
        <v>2303</v>
      </c>
      <c r="E487" t="s">
        <v>2304</v>
      </c>
      <c r="F487" t="s">
        <v>558</v>
      </c>
      <c r="G487" t="s">
        <v>559</v>
      </c>
      <c r="H487" t="s">
        <v>1302</v>
      </c>
      <c r="I487" t="s">
        <v>103</v>
      </c>
      <c r="J487" t="s">
        <v>39</v>
      </c>
      <c r="K487" s="2">
        <v>46370</v>
      </c>
      <c r="L487" s="2">
        <v>46387</v>
      </c>
      <c r="N487" s="2">
        <v>46357</v>
      </c>
      <c r="O487" s="2">
        <v>46722</v>
      </c>
      <c r="P487">
        <v>12</v>
      </c>
      <c r="Q487" t="s">
        <v>40</v>
      </c>
      <c r="R487" t="s">
        <v>88</v>
      </c>
      <c r="S487" t="s">
        <v>112</v>
      </c>
      <c r="T487" t="s">
        <v>55</v>
      </c>
      <c r="U487" t="s">
        <v>106</v>
      </c>
      <c r="V487" t="s">
        <v>74</v>
      </c>
      <c r="W487" t="s">
        <v>90</v>
      </c>
      <c r="X487" t="s">
        <v>125</v>
      </c>
      <c r="Y487">
        <v>117835.17</v>
      </c>
      <c r="Z487">
        <v>94268.14</v>
      </c>
      <c r="AA487">
        <v>0.8</v>
      </c>
      <c r="AB487" t="s">
        <v>39</v>
      </c>
      <c r="AC487" t="s">
        <v>39</v>
      </c>
      <c r="AD487" t="s">
        <v>48</v>
      </c>
    </row>
    <row r="488" spans="1:30" x14ac:dyDescent="0.35">
      <c r="A488" t="s">
        <v>30</v>
      </c>
      <c r="B488" t="s">
        <v>31</v>
      </c>
      <c r="C488" t="s">
        <v>454</v>
      </c>
      <c r="D488" t="s">
        <v>2305</v>
      </c>
      <c r="E488" t="s">
        <v>2306</v>
      </c>
      <c r="F488" t="s">
        <v>2307</v>
      </c>
      <c r="G488" t="s">
        <v>2308</v>
      </c>
      <c r="H488" t="s">
        <v>1302</v>
      </c>
      <c r="I488" t="s">
        <v>103</v>
      </c>
      <c r="J488" t="s">
        <v>39</v>
      </c>
      <c r="K488" s="2">
        <v>46366</v>
      </c>
      <c r="L488" s="2">
        <v>46387</v>
      </c>
      <c r="N488" s="2">
        <v>46357</v>
      </c>
      <c r="O488" s="2">
        <v>46722</v>
      </c>
      <c r="P488">
        <v>12</v>
      </c>
      <c r="Q488" t="s">
        <v>40</v>
      </c>
      <c r="R488" t="s">
        <v>41</v>
      </c>
      <c r="S488" t="s">
        <v>137</v>
      </c>
      <c r="T488" t="s">
        <v>97</v>
      </c>
      <c r="U488" t="s">
        <v>106</v>
      </c>
      <c r="V488" t="s">
        <v>144</v>
      </c>
      <c r="W488" t="s">
        <v>82</v>
      </c>
      <c r="X488" t="s">
        <v>143</v>
      </c>
      <c r="Y488">
        <v>94485.69</v>
      </c>
      <c r="Z488">
        <v>33069.99</v>
      </c>
      <c r="AA488">
        <v>0.35</v>
      </c>
      <c r="AB488" t="s">
        <v>39</v>
      </c>
      <c r="AC488" t="s">
        <v>39</v>
      </c>
      <c r="AD488" t="s">
        <v>48</v>
      </c>
    </row>
    <row r="489" spans="1:30" x14ac:dyDescent="0.35">
      <c r="A489" t="s">
        <v>30</v>
      </c>
      <c r="B489" t="s">
        <v>31</v>
      </c>
      <c r="C489" t="s">
        <v>454</v>
      </c>
      <c r="D489" t="s">
        <v>2309</v>
      </c>
      <c r="E489" t="s">
        <v>2310</v>
      </c>
      <c r="F489" t="s">
        <v>659</v>
      </c>
      <c r="G489" t="s">
        <v>660</v>
      </c>
      <c r="H489" t="s">
        <v>1302</v>
      </c>
      <c r="I489" t="s">
        <v>117</v>
      </c>
      <c r="J489" t="s">
        <v>39</v>
      </c>
      <c r="K489" s="2">
        <v>46371</v>
      </c>
      <c r="L489" s="2">
        <v>46387</v>
      </c>
      <c r="N489" s="2">
        <v>46357</v>
      </c>
      <c r="O489" s="2">
        <v>46722</v>
      </c>
      <c r="P489">
        <v>12</v>
      </c>
      <c r="Q489" t="s">
        <v>104</v>
      </c>
      <c r="R489" t="s">
        <v>53</v>
      </c>
      <c r="S489" t="s">
        <v>162</v>
      </c>
      <c r="T489" t="s">
        <v>43</v>
      </c>
      <c r="U489" t="s">
        <v>44</v>
      </c>
      <c r="V489" t="s">
        <v>74</v>
      </c>
      <c r="W489" t="s">
        <v>142</v>
      </c>
      <c r="X489" t="s">
        <v>91</v>
      </c>
      <c r="Y489">
        <v>98782.44</v>
      </c>
      <c r="Z489">
        <v>49391.22</v>
      </c>
      <c r="AA489">
        <v>0.5</v>
      </c>
      <c r="AB489" t="s">
        <v>39</v>
      </c>
      <c r="AC489" t="s">
        <v>39</v>
      </c>
      <c r="AD489" t="s">
        <v>48</v>
      </c>
    </row>
    <row r="490" spans="1:30" x14ac:dyDescent="0.35">
      <c r="A490" t="s">
        <v>30</v>
      </c>
      <c r="B490" t="s">
        <v>31</v>
      </c>
      <c r="C490" t="s">
        <v>454</v>
      </c>
      <c r="D490" t="s">
        <v>2311</v>
      </c>
      <c r="E490" t="s">
        <v>2312</v>
      </c>
      <c r="F490" t="s">
        <v>2313</v>
      </c>
      <c r="G490" t="s">
        <v>2314</v>
      </c>
      <c r="H490" t="s">
        <v>1302</v>
      </c>
      <c r="I490" t="s">
        <v>117</v>
      </c>
      <c r="J490" t="s">
        <v>39</v>
      </c>
      <c r="K490" s="2">
        <v>46367</v>
      </c>
      <c r="L490" s="2">
        <v>46387</v>
      </c>
      <c r="N490" s="2">
        <v>46357</v>
      </c>
      <c r="O490" s="2">
        <v>46722</v>
      </c>
      <c r="P490">
        <v>12</v>
      </c>
      <c r="Q490" t="s">
        <v>40</v>
      </c>
      <c r="R490" t="s">
        <v>41</v>
      </c>
      <c r="S490" t="s">
        <v>149</v>
      </c>
      <c r="T490" t="s">
        <v>131</v>
      </c>
      <c r="U490" t="s">
        <v>44</v>
      </c>
      <c r="V490" t="s">
        <v>81</v>
      </c>
      <c r="W490" t="s">
        <v>120</v>
      </c>
      <c r="X490" t="s">
        <v>91</v>
      </c>
      <c r="Y490">
        <v>97554.7</v>
      </c>
      <c r="Z490">
        <v>48777.35</v>
      </c>
      <c r="AA490">
        <v>0.5</v>
      </c>
      <c r="AB490" t="s">
        <v>39</v>
      </c>
      <c r="AC490" t="s">
        <v>39</v>
      </c>
      <c r="AD490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E056-392A-4001-B3A8-B1E8A8635C86}">
  <dimension ref="A1:AD295"/>
  <sheetViews>
    <sheetView topLeftCell="R265" workbookViewId="0">
      <selection sqref="A1:AD295"/>
    </sheetView>
  </sheetViews>
  <sheetFormatPr defaultRowHeight="14.5" x14ac:dyDescent="0.35"/>
  <cols>
    <col min="1" max="1" width="35" bestFit="1" customWidth="1"/>
    <col min="2" max="2" width="8" bestFit="1" customWidth="1"/>
    <col min="3" max="3" width="7.453125" bestFit="1" customWidth="1"/>
    <col min="4" max="4" width="16.1796875" bestFit="1" customWidth="1"/>
    <col min="5" max="5" width="42.26953125" bestFit="1" customWidth="1"/>
    <col min="6" max="6" width="10.90625" bestFit="1" customWidth="1"/>
    <col min="7" max="7" width="21.26953125" bestFit="1" customWidth="1"/>
    <col min="8" max="8" width="14.36328125" bestFit="1" customWidth="1"/>
    <col min="9" max="9" width="10.453125" bestFit="1" customWidth="1"/>
    <col min="10" max="10" width="11.08984375" bestFit="1" customWidth="1"/>
    <col min="11" max="11" width="11.54296875" style="2" bestFit="1" customWidth="1"/>
    <col min="12" max="12" width="18.08984375" style="2" bestFit="1" customWidth="1"/>
    <col min="13" max="13" width="15.6328125" style="2" bestFit="1" customWidth="1"/>
    <col min="14" max="14" width="17" bestFit="1" customWidth="1"/>
    <col min="15" max="15" width="16.08984375" bestFit="1" customWidth="1"/>
    <col min="16" max="16" width="19.453125" bestFit="1" customWidth="1"/>
    <col min="17" max="17" width="13.453125" bestFit="1" customWidth="1"/>
    <col min="18" max="18" width="11.08984375" bestFit="1" customWidth="1"/>
    <col min="19" max="19" width="13.6328125" bestFit="1" customWidth="1"/>
    <col min="20" max="20" width="6.81640625" bestFit="1" customWidth="1"/>
    <col min="21" max="21" width="10" bestFit="1" customWidth="1"/>
    <col min="22" max="22" width="18.1796875" bestFit="1" customWidth="1"/>
    <col min="23" max="23" width="17.26953125" bestFit="1" customWidth="1"/>
    <col min="24" max="24" width="13" bestFit="1" customWidth="1"/>
    <col min="25" max="25" width="11.1796875" style="3" bestFit="1" customWidth="1"/>
    <col min="26" max="26" width="11.26953125" style="3" bestFit="1" customWidth="1"/>
    <col min="27" max="27" width="9.26953125" bestFit="1" customWidth="1"/>
    <col min="28" max="28" width="12.08984375" bestFit="1" customWidth="1"/>
    <col min="29" max="29" width="21.08984375" bestFit="1" customWidth="1"/>
    <col min="30" max="30" width="70.26953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 t="s">
        <v>30</v>
      </c>
      <c r="B2" t="s">
        <v>1069</v>
      </c>
      <c r="C2" t="s">
        <v>522</v>
      </c>
      <c r="D2" t="s">
        <v>1070</v>
      </c>
      <c r="E2" t="s">
        <v>1071</v>
      </c>
      <c r="F2" t="s">
        <v>1072</v>
      </c>
      <c r="G2" t="s">
        <v>1073</v>
      </c>
      <c r="H2" t="s">
        <v>37</v>
      </c>
      <c r="I2" t="s">
        <v>39</v>
      </c>
      <c r="J2" t="s">
        <v>39</v>
      </c>
      <c r="K2" s="2">
        <v>46033</v>
      </c>
      <c r="L2" s="2">
        <v>46053</v>
      </c>
      <c r="M2" s="2">
        <v>46053</v>
      </c>
      <c r="N2" s="2">
        <v>46023</v>
      </c>
      <c r="O2" s="2">
        <v>46388</v>
      </c>
      <c r="P2">
        <v>12</v>
      </c>
      <c r="Q2" t="s">
        <v>65</v>
      </c>
      <c r="R2" t="s">
        <v>88</v>
      </c>
      <c r="S2" t="s">
        <v>89</v>
      </c>
      <c r="T2" t="s">
        <v>55</v>
      </c>
      <c r="U2" t="s">
        <v>44</v>
      </c>
      <c r="V2" t="s">
        <v>74</v>
      </c>
      <c r="W2" t="s">
        <v>58</v>
      </c>
      <c r="X2" t="s">
        <v>158</v>
      </c>
      <c r="Y2" s="3">
        <v>145103.84</v>
      </c>
      <c r="Z2" s="3">
        <v>145103.84</v>
      </c>
      <c r="AA2">
        <v>1</v>
      </c>
      <c r="AB2" t="s">
        <v>39</v>
      </c>
      <c r="AC2" t="s">
        <v>39</v>
      </c>
      <c r="AD2" t="s">
        <v>48</v>
      </c>
    </row>
    <row r="3" spans="1:30" x14ac:dyDescent="0.35">
      <c r="A3" s="1" t="s">
        <v>30</v>
      </c>
      <c r="B3" t="s">
        <v>1069</v>
      </c>
      <c r="C3" t="s">
        <v>522</v>
      </c>
      <c r="D3" t="s">
        <v>1074</v>
      </c>
      <c r="E3" t="s">
        <v>553</v>
      </c>
      <c r="F3" t="s">
        <v>554</v>
      </c>
      <c r="G3" t="s">
        <v>555</v>
      </c>
      <c r="H3" t="s">
        <v>37</v>
      </c>
      <c r="I3" t="s">
        <v>39</v>
      </c>
      <c r="J3" t="s">
        <v>39</v>
      </c>
      <c r="K3" s="2">
        <v>46035</v>
      </c>
      <c r="L3" s="2">
        <v>46053</v>
      </c>
      <c r="M3" s="2">
        <v>46053</v>
      </c>
      <c r="N3" s="2">
        <v>46023</v>
      </c>
      <c r="O3" s="2">
        <v>46388</v>
      </c>
      <c r="P3">
        <v>12</v>
      </c>
      <c r="Q3" t="s">
        <v>40</v>
      </c>
      <c r="R3" t="s">
        <v>88</v>
      </c>
      <c r="S3" t="s">
        <v>89</v>
      </c>
      <c r="T3" t="s">
        <v>55</v>
      </c>
      <c r="U3" t="s">
        <v>56</v>
      </c>
      <c r="V3" t="s">
        <v>119</v>
      </c>
      <c r="W3" t="s">
        <v>75</v>
      </c>
      <c r="X3" t="s">
        <v>91</v>
      </c>
      <c r="Y3" s="3">
        <v>131826.26</v>
      </c>
      <c r="Z3" s="3">
        <v>131826.26</v>
      </c>
      <c r="AA3">
        <v>1</v>
      </c>
      <c r="AB3" t="s">
        <v>39</v>
      </c>
      <c r="AC3" t="s">
        <v>39</v>
      </c>
      <c r="AD3" t="s">
        <v>48</v>
      </c>
    </row>
    <row r="4" spans="1:30" x14ac:dyDescent="0.35">
      <c r="A4" s="1" t="s">
        <v>30</v>
      </c>
      <c r="B4" t="s">
        <v>1069</v>
      </c>
      <c r="C4" t="s">
        <v>522</v>
      </c>
      <c r="D4" t="s">
        <v>1075</v>
      </c>
      <c r="E4" t="s">
        <v>1076</v>
      </c>
      <c r="F4" t="s">
        <v>1077</v>
      </c>
      <c r="G4" t="s">
        <v>1078</v>
      </c>
      <c r="H4" t="s">
        <v>37</v>
      </c>
      <c r="I4" t="s">
        <v>39</v>
      </c>
      <c r="J4" t="s">
        <v>39</v>
      </c>
      <c r="K4" s="2">
        <v>46026</v>
      </c>
      <c r="L4" s="2">
        <v>46053</v>
      </c>
      <c r="M4" s="2">
        <v>46053</v>
      </c>
      <c r="N4" s="2">
        <v>46023</v>
      </c>
      <c r="O4" s="2">
        <v>46388</v>
      </c>
      <c r="P4">
        <v>12</v>
      </c>
      <c r="Q4" t="s">
        <v>40</v>
      </c>
      <c r="R4" t="s">
        <v>41</v>
      </c>
      <c r="S4" t="s">
        <v>164</v>
      </c>
      <c r="T4" t="s">
        <v>55</v>
      </c>
      <c r="U4" t="s">
        <v>44</v>
      </c>
      <c r="V4" t="s">
        <v>67</v>
      </c>
      <c r="W4" t="s">
        <v>150</v>
      </c>
      <c r="X4" t="s">
        <v>125</v>
      </c>
      <c r="Y4" s="3">
        <v>180879.68</v>
      </c>
      <c r="Z4" s="3">
        <v>180879.68</v>
      </c>
      <c r="AA4">
        <v>1</v>
      </c>
      <c r="AB4" t="s">
        <v>39</v>
      </c>
      <c r="AC4" t="s">
        <v>39</v>
      </c>
      <c r="AD4" t="s">
        <v>48</v>
      </c>
    </row>
    <row r="5" spans="1:30" x14ac:dyDescent="0.35">
      <c r="A5" s="1" t="s">
        <v>30</v>
      </c>
      <c r="B5" t="s">
        <v>1069</v>
      </c>
      <c r="C5" t="s">
        <v>522</v>
      </c>
      <c r="D5" t="s">
        <v>1079</v>
      </c>
      <c r="E5" t="s">
        <v>1080</v>
      </c>
      <c r="F5" t="s">
        <v>393</v>
      </c>
      <c r="G5" t="s">
        <v>394</v>
      </c>
      <c r="H5" t="s">
        <v>37</v>
      </c>
      <c r="I5" t="s">
        <v>39</v>
      </c>
      <c r="J5" t="s">
        <v>39</v>
      </c>
      <c r="K5" s="2">
        <v>46023</v>
      </c>
      <c r="L5" s="2">
        <v>46053</v>
      </c>
      <c r="M5" s="2">
        <v>46053</v>
      </c>
      <c r="N5" s="2">
        <v>46023</v>
      </c>
      <c r="O5" s="2">
        <v>46753</v>
      </c>
      <c r="P5">
        <v>24</v>
      </c>
      <c r="Q5" t="s">
        <v>104</v>
      </c>
      <c r="R5" t="s">
        <v>88</v>
      </c>
      <c r="S5" t="s">
        <v>66</v>
      </c>
      <c r="T5" t="s">
        <v>55</v>
      </c>
      <c r="U5" t="s">
        <v>44</v>
      </c>
      <c r="V5" t="s">
        <v>138</v>
      </c>
      <c r="W5" t="s">
        <v>142</v>
      </c>
      <c r="X5" t="s">
        <v>83</v>
      </c>
      <c r="Y5" s="3">
        <v>140388.87</v>
      </c>
      <c r="Z5" s="3">
        <v>140388.87</v>
      </c>
      <c r="AA5">
        <v>1</v>
      </c>
      <c r="AB5" t="s">
        <v>39</v>
      </c>
      <c r="AC5" t="s">
        <v>39</v>
      </c>
      <c r="AD5" t="s">
        <v>48</v>
      </c>
    </row>
    <row r="6" spans="1:30" x14ac:dyDescent="0.35">
      <c r="A6" s="1" t="s">
        <v>30</v>
      </c>
      <c r="B6" t="s">
        <v>1069</v>
      </c>
      <c r="C6" t="s">
        <v>522</v>
      </c>
      <c r="D6" t="s">
        <v>1081</v>
      </c>
      <c r="E6" t="s">
        <v>1082</v>
      </c>
      <c r="F6" t="s">
        <v>1083</v>
      </c>
      <c r="G6" t="s">
        <v>1084</v>
      </c>
      <c r="H6" t="s">
        <v>37</v>
      </c>
      <c r="I6" t="s">
        <v>39</v>
      </c>
      <c r="J6" t="s">
        <v>39</v>
      </c>
      <c r="K6" s="2">
        <v>46024</v>
      </c>
      <c r="L6" s="2">
        <v>46053</v>
      </c>
      <c r="M6" s="2">
        <v>46053</v>
      </c>
      <c r="N6" s="2">
        <v>46023</v>
      </c>
      <c r="O6" s="2">
        <v>46388</v>
      </c>
      <c r="P6">
        <v>12</v>
      </c>
      <c r="Q6" t="s">
        <v>65</v>
      </c>
      <c r="R6" t="s">
        <v>88</v>
      </c>
      <c r="S6" t="s">
        <v>222</v>
      </c>
      <c r="T6" t="s">
        <v>97</v>
      </c>
      <c r="U6" t="s">
        <v>44</v>
      </c>
      <c r="V6" t="s">
        <v>138</v>
      </c>
      <c r="W6" t="s">
        <v>75</v>
      </c>
      <c r="X6" t="s">
        <v>59</v>
      </c>
      <c r="Y6" s="3">
        <v>169231.7</v>
      </c>
      <c r="Z6" s="3">
        <v>169231.7</v>
      </c>
      <c r="AA6">
        <v>1</v>
      </c>
      <c r="AB6" t="s">
        <v>39</v>
      </c>
      <c r="AC6" t="s">
        <v>39</v>
      </c>
      <c r="AD6" t="s">
        <v>48</v>
      </c>
    </row>
    <row r="7" spans="1:30" x14ac:dyDescent="0.35">
      <c r="A7" s="1" t="s">
        <v>30</v>
      </c>
      <c r="B7" t="s">
        <v>1069</v>
      </c>
      <c r="C7" t="s">
        <v>522</v>
      </c>
      <c r="D7" t="s">
        <v>1085</v>
      </c>
      <c r="E7" t="s">
        <v>1086</v>
      </c>
      <c r="F7" t="s">
        <v>1087</v>
      </c>
      <c r="G7" t="s">
        <v>1088</v>
      </c>
      <c r="H7" t="s">
        <v>37</v>
      </c>
      <c r="I7" t="s">
        <v>39</v>
      </c>
      <c r="J7" t="s">
        <v>39</v>
      </c>
      <c r="K7" s="2">
        <v>46023</v>
      </c>
      <c r="L7" s="2">
        <v>46053</v>
      </c>
      <c r="M7" s="2">
        <v>46053</v>
      </c>
      <c r="N7" s="2">
        <v>46023</v>
      </c>
      <c r="O7" s="2">
        <v>46388</v>
      </c>
      <c r="P7">
        <v>12</v>
      </c>
      <c r="Q7" t="s">
        <v>104</v>
      </c>
      <c r="R7" t="s">
        <v>88</v>
      </c>
      <c r="S7" t="s">
        <v>130</v>
      </c>
      <c r="T7" t="s">
        <v>131</v>
      </c>
      <c r="U7" t="s">
        <v>56</v>
      </c>
      <c r="V7" t="s">
        <v>98</v>
      </c>
      <c r="W7" t="s">
        <v>161</v>
      </c>
      <c r="X7" t="s">
        <v>125</v>
      </c>
      <c r="Y7" s="3">
        <v>180018.32</v>
      </c>
      <c r="Z7" s="3">
        <v>180018.32</v>
      </c>
      <c r="AA7">
        <v>1</v>
      </c>
      <c r="AB7" t="s">
        <v>39</v>
      </c>
      <c r="AC7" t="s">
        <v>39</v>
      </c>
      <c r="AD7" t="s">
        <v>48</v>
      </c>
    </row>
    <row r="8" spans="1:30" x14ac:dyDescent="0.35">
      <c r="A8" s="1" t="s">
        <v>30</v>
      </c>
      <c r="B8" t="s">
        <v>1069</v>
      </c>
      <c r="C8" t="s">
        <v>522</v>
      </c>
      <c r="D8" t="s">
        <v>1089</v>
      </c>
      <c r="E8" t="s">
        <v>1090</v>
      </c>
      <c r="F8" t="s">
        <v>1091</v>
      </c>
      <c r="G8" t="s">
        <v>1092</v>
      </c>
      <c r="H8" t="s">
        <v>37</v>
      </c>
      <c r="I8" t="s">
        <v>39</v>
      </c>
      <c r="J8" t="s">
        <v>39</v>
      </c>
      <c r="K8" s="2">
        <v>46031</v>
      </c>
      <c r="L8" s="2">
        <v>46053</v>
      </c>
      <c r="M8" s="2">
        <v>46053</v>
      </c>
      <c r="N8" s="2">
        <v>46023</v>
      </c>
      <c r="O8" s="2">
        <v>46388</v>
      </c>
      <c r="P8">
        <v>12</v>
      </c>
      <c r="Q8" t="s">
        <v>65</v>
      </c>
      <c r="R8" t="s">
        <v>41</v>
      </c>
      <c r="S8" t="s">
        <v>222</v>
      </c>
      <c r="T8" t="s">
        <v>97</v>
      </c>
      <c r="U8" t="s">
        <v>44</v>
      </c>
      <c r="V8" t="s">
        <v>81</v>
      </c>
      <c r="W8" t="s">
        <v>132</v>
      </c>
      <c r="X8" t="s">
        <v>68</v>
      </c>
      <c r="Y8" s="3">
        <v>149339.12</v>
      </c>
      <c r="Z8" s="3">
        <v>149339.12</v>
      </c>
      <c r="AA8">
        <v>1</v>
      </c>
      <c r="AB8" t="s">
        <v>39</v>
      </c>
      <c r="AC8" t="s">
        <v>39</v>
      </c>
      <c r="AD8" t="s">
        <v>48</v>
      </c>
    </row>
    <row r="9" spans="1:30" x14ac:dyDescent="0.35">
      <c r="A9" s="1" t="s">
        <v>30</v>
      </c>
      <c r="B9" t="s">
        <v>1069</v>
      </c>
      <c r="C9" t="s">
        <v>522</v>
      </c>
      <c r="D9" t="s">
        <v>1093</v>
      </c>
      <c r="E9" t="s">
        <v>1094</v>
      </c>
      <c r="F9" t="s">
        <v>292</v>
      </c>
      <c r="G9" t="s">
        <v>293</v>
      </c>
      <c r="H9" t="s">
        <v>37</v>
      </c>
      <c r="I9" t="s">
        <v>39</v>
      </c>
      <c r="J9" t="s">
        <v>39</v>
      </c>
      <c r="K9" s="2">
        <v>46033</v>
      </c>
      <c r="L9" s="2">
        <v>46053</v>
      </c>
      <c r="M9" s="2">
        <v>46053</v>
      </c>
      <c r="N9" s="2">
        <v>46023</v>
      </c>
      <c r="O9" s="2">
        <v>46388</v>
      </c>
      <c r="P9">
        <v>12</v>
      </c>
      <c r="Q9" t="s">
        <v>65</v>
      </c>
      <c r="R9" t="s">
        <v>41</v>
      </c>
      <c r="S9" t="s">
        <v>130</v>
      </c>
      <c r="T9" t="s">
        <v>131</v>
      </c>
      <c r="U9" t="s">
        <v>44</v>
      </c>
      <c r="V9" t="s">
        <v>74</v>
      </c>
      <c r="W9" t="s">
        <v>46</v>
      </c>
      <c r="X9" t="s">
        <v>125</v>
      </c>
      <c r="Y9" s="3">
        <v>103212.21</v>
      </c>
      <c r="Z9" s="3">
        <v>103212.21</v>
      </c>
      <c r="AA9">
        <v>1</v>
      </c>
      <c r="AB9" t="s">
        <v>39</v>
      </c>
      <c r="AC9" t="s">
        <v>39</v>
      </c>
      <c r="AD9" t="s">
        <v>48</v>
      </c>
    </row>
    <row r="10" spans="1:30" x14ac:dyDescent="0.35">
      <c r="A10" s="1" t="s">
        <v>30</v>
      </c>
      <c r="B10" t="s">
        <v>1069</v>
      </c>
      <c r="C10" t="s">
        <v>522</v>
      </c>
      <c r="D10" t="s">
        <v>1799</v>
      </c>
      <c r="E10" t="s">
        <v>1800</v>
      </c>
      <c r="F10" t="s">
        <v>344</v>
      </c>
      <c r="G10" t="s">
        <v>345</v>
      </c>
      <c r="H10" t="s">
        <v>1271</v>
      </c>
      <c r="I10" t="s">
        <v>39</v>
      </c>
      <c r="J10" t="s">
        <v>39</v>
      </c>
      <c r="K10" s="2">
        <v>46024</v>
      </c>
      <c r="L10" s="2">
        <v>46053</v>
      </c>
      <c r="M10" s="2">
        <v>46053</v>
      </c>
      <c r="N10" s="2">
        <v>46023</v>
      </c>
      <c r="O10" s="2">
        <v>46388</v>
      </c>
      <c r="P10">
        <v>12</v>
      </c>
      <c r="Q10" t="s">
        <v>65</v>
      </c>
      <c r="R10" t="s">
        <v>41</v>
      </c>
      <c r="S10" t="s">
        <v>182</v>
      </c>
      <c r="T10" t="s">
        <v>97</v>
      </c>
      <c r="U10" t="s">
        <v>44</v>
      </c>
      <c r="V10" t="s">
        <v>57</v>
      </c>
      <c r="W10" t="s">
        <v>132</v>
      </c>
      <c r="X10" t="s">
        <v>83</v>
      </c>
      <c r="Y10" s="3">
        <v>95653.16</v>
      </c>
      <c r="Z10" s="3">
        <v>95653.16</v>
      </c>
      <c r="AA10">
        <v>1</v>
      </c>
      <c r="AB10" t="s">
        <v>39</v>
      </c>
      <c r="AC10" t="s">
        <v>39</v>
      </c>
      <c r="AD10" t="s">
        <v>48</v>
      </c>
    </row>
    <row r="11" spans="1:30" x14ac:dyDescent="0.35">
      <c r="A11" s="1" t="s">
        <v>30</v>
      </c>
      <c r="B11" t="s">
        <v>1069</v>
      </c>
      <c r="C11" t="s">
        <v>522</v>
      </c>
      <c r="D11" t="s">
        <v>1801</v>
      </c>
      <c r="E11" t="s">
        <v>1802</v>
      </c>
      <c r="F11" t="s">
        <v>1803</v>
      </c>
      <c r="G11" t="s">
        <v>1804</v>
      </c>
      <c r="H11" t="s">
        <v>1271</v>
      </c>
      <c r="I11" t="s">
        <v>39</v>
      </c>
      <c r="J11" t="s">
        <v>39</v>
      </c>
      <c r="K11" s="2">
        <v>46027</v>
      </c>
      <c r="L11" s="2">
        <v>46053</v>
      </c>
      <c r="M11" s="2">
        <v>46053</v>
      </c>
      <c r="N11" s="2">
        <v>46023</v>
      </c>
      <c r="O11" s="2">
        <v>46388</v>
      </c>
      <c r="P11">
        <v>12</v>
      </c>
      <c r="Q11" t="s">
        <v>65</v>
      </c>
      <c r="R11" t="s">
        <v>88</v>
      </c>
      <c r="S11" t="s">
        <v>140</v>
      </c>
      <c r="T11" t="s">
        <v>97</v>
      </c>
      <c r="U11" t="s">
        <v>106</v>
      </c>
      <c r="V11" t="s">
        <v>57</v>
      </c>
      <c r="W11" t="s">
        <v>82</v>
      </c>
      <c r="X11" t="s">
        <v>83</v>
      </c>
      <c r="Y11" s="3">
        <v>176441.47</v>
      </c>
      <c r="Z11" s="3">
        <v>176441.47</v>
      </c>
      <c r="AA11">
        <v>1</v>
      </c>
      <c r="AB11" t="s">
        <v>39</v>
      </c>
      <c r="AC11" t="s">
        <v>39</v>
      </c>
      <c r="AD11" t="s">
        <v>48</v>
      </c>
    </row>
    <row r="12" spans="1:30" x14ac:dyDescent="0.35">
      <c r="A12" s="1" t="s">
        <v>30</v>
      </c>
      <c r="B12" t="s">
        <v>1069</v>
      </c>
      <c r="C12" t="s">
        <v>522</v>
      </c>
      <c r="D12" t="s">
        <v>1805</v>
      </c>
      <c r="E12" t="s">
        <v>1806</v>
      </c>
      <c r="F12" t="s">
        <v>330</v>
      </c>
      <c r="G12" t="s">
        <v>331</v>
      </c>
      <c r="H12" t="s">
        <v>1271</v>
      </c>
      <c r="I12" t="s">
        <v>39</v>
      </c>
      <c r="J12" t="s">
        <v>39</v>
      </c>
      <c r="K12" s="2">
        <v>46028</v>
      </c>
      <c r="L12" s="2">
        <v>46053</v>
      </c>
      <c r="M12" s="2">
        <v>46053</v>
      </c>
      <c r="N12" s="2">
        <v>46023</v>
      </c>
      <c r="O12" s="2">
        <v>46388</v>
      </c>
      <c r="P12">
        <v>12</v>
      </c>
      <c r="Q12" t="s">
        <v>104</v>
      </c>
      <c r="R12" t="s">
        <v>88</v>
      </c>
      <c r="S12" t="s">
        <v>80</v>
      </c>
      <c r="T12" t="s">
        <v>43</v>
      </c>
      <c r="U12" t="s">
        <v>56</v>
      </c>
      <c r="V12" t="s">
        <v>144</v>
      </c>
      <c r="W12" t="s">
        <v>46</v>
      </c>
      <c r="X12" t="s">
        <v>125</v>
      </c>
      <c r="Y12" s="3">
        <v>170715.56</v>
      </c>
      <c r="Z12" s="3">
        <v>170715.56</v>
      </c>
      <c r="AA12">
        <v>1</v>
      </c>
      <c r="AB12" t="s">
        <v>39</v>
      </c>
      <c r="AC12" t="s">
        <v>39</v>
      </c>
      <c r="AD12" t="s">
        <v>48</v>
      </c>
    </row>
    <row r="13" spans="1:30" x14ac:dyDescent="0.35">
      <c r="A13" s="1" t="s">
        <v>30</v>
      </c>
      <c r="B13" t="s">
        <v>1069</v>
      </c>
      <c r="C13" t="s">
        <v>522</v>
      </c>
      <c r="D13" t="s">
        <v>1807</v>
      </c>
      <c r="E13" t="s">
        <v>1808</v>
      </c>
      <c r="F13" t="s">
        <v>562</v>
      </c>
      <c r="G13" t="s">
        <v>563</v>
      </c>
      <c r="H13" t="s">
        <v>1271</v>
      </c>
      <c r="I13" t="s">
        <v>39</v>
      </c>
      <c r="J13" t="s">
        <v>39</v>
      </c>
      <c r="K13" s="2">
        <v>46033</v>
      </c>
      <c r="L13" s="2">
        <v>46053</v>
      </c>
      <c r="M13" s="2">
        <v>46053</v>
      </c>
      <c r="N13" s="2">
        <v>46023</v>
      </c>
      <c r="O13" s="2">
        <v>46388</v>
      </c>
      <c r="P13">
        <v>12</v>
      </c>
      <c r="Q13" t="s">
        <v>65</v>
      </c>
      <c r="R13" t="s">
        <v>53</v>
      </c>
      <c r="S13" t="s">
        <v>130</v>
      </c>
      <c r="T13" t="s">
        <v>131</v>
      </c>
      <c r="U13" t="s">
        <v>56</v>
      </c>
      <c r="V13" t="s">
        <v>57</v>
      </c>
      <c r="W13" t="s">
        <v>46</v>
      </c>
      <c r="X13" t="s">
        <v>47</v>
      </c>
      <c r="Y13" s="3">
        <v>109885.47</v>
      </c>
      <c r="Z13" s="3">
        <v>109885.47</v>
      </c>
      <c r="AA13">
        <v>1</v>
      </c>
      <c r="AB13" t="s">
        <v>39</v>
      </c>
      <c r="AC13" t="s">
        <v>39</v>
      </c>
      <c r="AD13" t="s">
        <v>48</v>
      </c>
    </row>
    <row r="14" spans="1:30" x14ac:dyDescent="0.35">
      <c r="A14" s="1" t="s">
        <v>30</v>
      </c>
      <c r="B14" t="s">
        <v>1069</v>
      </c>
      <c r="C14" t="s">
        <v>522</v>
      </c>
      <c r="D14" t="s">
        <v>1809</v>
      </c>
      <c r="E14" t="s">
        <v>1810</v>
      </c>
      <c r="F14" t="s">
        <v>1811</v>
      </c>
      <c r="G14" t="s">
        <v>1812</v>
      </c>
      <c r="H14" t="s">
        <v>1271</v>
      </c>
      <c r="I14" t="s">
        <v>39</v>
      </c>
      <c r="J14" t="s">
        <v>39</v>
      </c>
      <c r="K14" s="2">
        <v>46023</v>
      </c>
      <c r="L14" s="2">
        <v>46053</v>
      </c>
      <c r="M14" s="2">
        <v>46053</v>
      </c>
      <c r="N14" s="2">
        <v>46023</v>
      </c>
      <c r="O14" s="2">
        <v>46388</v>
      </c>
      <c r="P14">
        <v>12</v>
      </c>
      <c r="Q14" t="s">
        <v>65</v>
      </c>
      <c r="R14" t="s">
        <v>88</v>
      </c>
      <c r="S14" t="s">
        <v>163</v>
      </c>
      <c r="T14" t="s">
        <v>131</v>
      </c>
      <c r="U14" t="s">
        <v>44</v>
      </c>
      <c r="V14" t="s">
        <v>138</v>
      </c>
      <c r="W14" t="s">
        <v>142</v>
      </c>
      <c r="X14" t="s">
        <v>59</v>
      </c>
      <c r="Y14" s="3">
        <v>97304.34</v>
      </c>
      <c r="Z14" s="3">
        <v>97304.34</v>
      </c>
      <c r="AA14">
        <v>1</v>
      </c>
      <c r="AB14" t="s">
        <v>39</v>
      </c>
      <c r="AC14" t="s">
        <v>39</v>
      </c>
      <c r="AD14" t="s">
        <v>48</v>
      </c>
    </row>
    <row r="15" spans="1:30" x14ac:dyDescent="0.35">
      <c r="A15" s="1" t="s">
        <v>30</v>
      </c>
      <c r="B15" t="s">
        <v>1069</v>
      </c>
      <c r="C15" t="s">
        <v>522</v>
      </c>
      <c r="D15" t="s">
        <v>1813</v>
      </c>
      <c r="E15" t="s">
        <v>1814</v>
      </c>
      <c r="F15" t="s">
        <v>1815</v>
      </c>
      <c r="G15" t="s">
        <v>1816</v>
      </c>
      <c r="H15" t="s">
        <v>1290</v>
      </c>
      <c r="I15" t="s">
        <v>64</v>
      </c>
      <c r="J15" t="s">
        <v>1290</v>
      </c>
      <c r="K15" s="2">
        <v>46028</v>
      </c>
      <c r="L15" s="2">
        <v>46053</v>
      </c>
      <c r="N15" s="2">
        <v>46023</v>
      </c>
      <c r="O15" s="2">
        <v>46388</v>
      </c>
      <c r="P15">
        <v>12</v>
      </c>
      <c r="Q15" t="s">
        <v>65</v>
      </c>
      <c r="R15" t="s">
        <v>53</v>
      </c>
      <c r="S15" t="s">
        <v>42</v>
      </c>
      <c r="T15" t="s">
        <v>43</v>
      </c>
      <c r="U15" t="s">
        <v>44</v>
      </c>
      <c r="V15" t="s">
        <v>138</v>
      </c>
      <c r="W15" t="s">
        <v>82</v>
      </c>
      <c r="X15" t="s">
        <v>125</v>
      </c>
      <c r="Y15" s="3">
        <v>180000</v>
      </c>
      <c r="Z15" s="3">
        <v>180000</v>
      </c>
      <c r="AA15">
        <v>1</v>
      </c>
      <c r="AB15" t="s">
        <v>1290</v>
      </c>
      <c r="AC15" t="s">
        <v>1290</v>
      </c>
      <c r="AD15" t="s">
        <v>48</v>
      </c>
    </row>
    <row r="16" spans="1:30" x14ac:dyDescent="0.35">
      <c r="A16" s="1" t="s">
        <v>30</v>
      </c>
      <c r="B16" t="s">
        <v>1069</v>
      </c>
      <c r="C16" t="s">
        <v>522</v>
      </c>
      <c r="D16" t="s">
        <v>1817</v>
      </c>
      <c r="E16" t="s">
        <v>1818</v>
      </c>
      <c r="F16" t="s">
        <v>1819</v>
      </c>
      <c r="G16" t="s">
        <v>1820</v>
      </c>
      <c r="H16" t="s">
        <v>1295</v>
      </c>
      <c r="I16" t="s">
        <v>38</v>
      </c>
      <c r="J16" t="s">
        <v>1295</v>
      </c>
      <c r="K16" s="2">
        <v>46035</v>
      </c>
      <c r="L16" s="2">
        <v>46053</v>
      </c>
      <c r="N16" s="2">
        <v>46023</v>
      </c>
      <c r="O16" s="2">
        <v>46388</v>
      </c>
      <c r="P16">
        <v>12</v>
      </c>
      <c r="Q16" t="s">
        <v>65</v>
      </c>
      <c r="R16" t="s">
        <v>41</v>
      </c>
      <c r="S16" t="s">
        <v>140</v>
      </c>
      <c r="T16" t="s">
        <v>97</v>
      </c>
      <c r="U16" t="s">
        <v>56</v>
      </c>
      <c r="V16" t="s">
        <v>57</v>
      </c>
      <c r="W16" t="s">
        <v>150</v>
      </c>
      <c r="X16" t="s">
        <v>47</v>
      </c>
      <c r="Y16" s="3">
        <v>194893.43</v>
      </c>
      <c r="Z16" s="3">
        <v>194893.43</v>
      </c>
      <c r="AA16">
        <v>1</v>
      </c>
      <c r="AB16" t="s">
        <v>1295</v>
      </c>
      <c r="AC16" t="s">
        <v>1295</v>
      </c>
      <c r="AD16" t="s">
        <v>48</v>
      </c>
    </row>
    <row r="17" spans="1:30" x14ac:dyDescent="0.35">
      <c r="A17" s="1" t="s">
        <v>30</v>
      </c>
      <c r="B17" t="s">
        <v>1069</v>
      </c>
      <c r="C17" t="s">
        <v>522</v>
      </c>
      <c r="D17" t="s">
        <v>1821</v>
      </c>
      <c r="E17" t="s">
        <v>1822</v>
      </c>
      <c r="F17" t="s">
        <v>1545</v>
      </c>
      <c r="G17" t="s">
        <v>1546</v>
      </c>
      <c r="H17" t="s">
        <v>1295</v>
      </c>
      <c r="I17" t="s">
        <v>64</v>
      </c>
      <c r="J17" t="s">
        <v>1295</v>
      </c>
      <c r="K17" s="2">
        <v>46031</v>
      </c>
      <c r="L17" s="2">
        <v>46053</v>
      </c>
      <c r="N17" s="2">
        <v>46023</v>
      </c>
      <c r="O17" s="2">
        <v>46388</v>
      </c>
      <c r="P17">
        <v>12</v>
      </c>
      <c r="Q17" t="s">
        <v>40</v>
      </c>
      <c r="R17" t="s">
        <v>41</v>
      </c>
      <c r="S17" t="s">
        <v>66</v>
      </c>
      <c r="T17" t="s">
        <v>55</v>
      </c>
      <c r="U17" t="s">
        <v>44</v>
      </c>
      <c r="V17" t="s">
        <v>144</v>
      </c>
      <c r="W17" t="s">
        <v>150</v>
      </c>
      <c r="X17" t="s">
        <v>125</v>
      </c>
      <c r="Y17" s="3">
        <v>225106.57</v>
      </c>
      <c r="Z17" s="3">
        <v>225106.57</v>
      </c>
      <c r="AA17">
        <v>1</v>
      </c>
      <c r="AB17" t="s">
        <v>1295</v>
      </c>
      <c r="AC17" t="s">
        <v>1295</v>
      </c>
      <c r="AD17" t="s">
        <v>48</v>
      </c>
    </row>
    <row r="18" spans="1:30" x14ac:dyDescent="0.35">
      <c r="A18" s="1" t="s">
        <v>30</v>
      </c>
      <c r="B18" t="s">
        <v>1069</v>
      </c>
      <c r="C18" t="s">
        <v>522</v>
      </c>
      <c r="D18" t="s">
        <v>1823</v>
      </c>
      <c r="E18" t="s">
        <v>1824</v>
      </c>
      <c r="F18" t="s">
        <v>1825</v>
      </c>
      <c r="G18" t="s">
        <v>1826</v>
      </c>
      <c r="H18" t="s">
        <v>1302</v>
      </c>
      <c r="I18" t="s">
        <v>39</v>
      </c>
      <c r="J18" t="s">
        <v>39</v>
      </c>
      <c r="K18" s="2">
        <v>46033</v>
      </c>
      <c r="L18" s="2">
        <v>46053</v>
      </c>
      <c r="M18" s="2">
        <v>46053</v>
      </c>
      <c r="N18" s="2">
        <v>46023</v>
      </c>
      <c r="O18" s="2">
        <v>46753</v>
      </c>
      <c r="P18">
        <v>24</v>
      </c>
      <c r="Q18" t="s">
        <v>65</v>
      </c>
      <c r="R18" t="s">
        <v>53</v>
      </c>
      <c r="S18" t="s">
        <v>135</v>
      </c>
      <c r="T18" t="s">
        <v>131</v>
      </c>
      <c r="U18" t="s">
        <v>56</v>
      </c>
      <c r="V18" t="s">
        <v>45</v>
      </c>
      <c r="W18" t="s">
        <v>75</v>
      </c>
      <c r="X18" t="s">
        <v>143</v>
      </c>
      <c r="Y18" s="3">
        <v>60000</v>
      </c>
      <c r="Z18" s="3">
        <v>60000</v>
      </c>
      <c r="AA18">
        <v>1</v>
      </c>
      <c r="AB18" t="s">
        <v>39</v>
      </c>
      <c r="AC18" t="s">
        <v>39</v>
      </c>
      <c r="AD18" t="s">
        <v>48</v>
      </c>
    </row>
    <row r="19" spans="1:30" x14ac:dyDescent="0.35">
      <c r="A19" s="1" t="s">
        <v>30</v>
      </c>
      <c r="B19" t="s">
        <v>1069</v>
      </c>
      <c r="C19" t="s">
        <v>564</v>
      </c>
      <c r="D19" t="s">
        <v>1097</v>
      </c>
      <c r="E19" t="s">
        <v>1098</v>
      </c>
      <c r="F19" t="s">
        <v>560</v>
      </c>
      <c r="G19" t="s">
        <v>561</v>
      </c>
      <c r="H19" t="s">
        <v>37</v>
      </c>
      <c r="I19" t="s">
        <v>39</v>
      </c>
      <c r="J19" t="s">
        <v>39</v>
      </c>
      <c r="K19" s="2">
        <v>46056</v>
      </c>
      <c r="L19" s="2">
        <v>46081</v>
      </c>
      <c r="M19" s="2">
        <v>46081</v>
      </c>
      <c r="N19" s="2">
        <v>46054</v>
      </c>
      <c r="O19" s="2">
        <v>46419</v>
      </c>
      <c r="P19">
        <v>12</v>
      </c>
      <c r="Q19" t="s">
        <v>104</v>
      </c>
      <c r="R19" t="s">
        <v>41</v>
      </c>
      <c r="S19" t="s">
        <v>149</v>
      </c>
      <c r="T19" t="s">
        <v>131</v>
      </c>
      <c r="U19" t="s">
        <v>44</v>
      </c>
      <c r="V19" t="s">
        <v>138</v>
      </c>
      <c r="W19" t="s">
        <v>132</v>
      </c>
      <c r="X19" t="s">
        <v>158</v>
      </c>
      <c r="Y19" s="3">
        <v>113785.04</v>
      </c>
      <c r="Z19" s="3">
        <v>113785.04</v>
      </c>
      <c r="AA19">
        <v>1</v>
      </c>
      <c r="AB19" t="s">
        <v>39</v>
      </c>
      <c r="AC19" t="s">
        <v>39</v>
      </c>
      <c r="AD19" t="s">
        <v>48</v>
      </c>
    </row>
    <row r="20" spans="1:30" x14ac:dyDescent="0.35">
      <c r="A20" s="1" t="s">
        <v>30</v>
      </c>
      <c r="B20" t="s">
        <v>1069</v>
      </c>
      <c r="C20" t="s">
        <v>564</v>
      </c>
      <c r="D20" t="s">
        <v>1099</v>
      </c>
      <c r="E20" t="s">
        <v>1100</v>
      </c>
      <c r="F20" t="s">
        <v>937</v>
      </c>
      <c r="G20" t="s">
        <v>938</v>
      </c>
      <c r="H20" t="s">
        <v>37</v>
      </c>
      <c r="I20" t="s">
        <v>39</v>
      </c>
      <c r="J20" t="s">
        <v>39</v>
      </c>
      <c r="K20" s="2">
        <v>46058</v>
      </c>
      <c r="L20" s="2">
        <v>46081</v>
      </c>
      <c r="M20" s="2">
        <v>46081</v>
      </c>
      <c r="N20" s="2">
        <v>46054</v>
      </c>
      <c r="O20" s="2">
        <v>46419</v>
      </c>
      <c r="P20">
        <v>12</v>
      </c>
      <c r="Q20" t="s">
        <v>40</v>
      </c>
      <c r="R20" t="s">
        <v>53</v>
      </c>
      <c r="S20" t="s">
        <v>96</v>
      </c>
      <c r="T20" t="s">
        <v>97</v>
      </c>
      <c r="U20" t="s">
        <v>56</v>
      </c>
      <c r="V20" t="s">
        <v>74</v>
      </c>
      <c r="W20" t="s">
        <v>75</v>
      </c>
      <c r="X20" t="s">
        <v>68</v>
      </c>
      <c r="Y20" s="3">
        <v>118003.92</v>
      </c>
      <c r="Z20" s="3">
        <v>118003.92</v>
      </c>
      <c r="AA20">
        <v>1</v>
      </c>
      <c r="AB20" t="s">
        <v>39</v>
      </c>
      <c r="AC20" t="s">
        <v>39</v>
      </c>
      <c r="AD20" t="s">
        <v>48</v>
      </c>
    </row>
    <row r="21" spans="1:30" x14ac:dyDescent="0.35">
      <c r="A21" s="1" t="s">
        <v>30</v>
      </c>
      <c r="B21" t="s">
        <v>1069</v>
      </c>
      <c r="C21" t="s">
        <v>564</v>
      </c>
      <c r="D21" t="s">
        <v>1101</v>
      </c>
      <c r="E21" t="s">
        <v>1102</v>
      </c>
      <c r="F21" t="s">
        <v>1103</v>
      </c>
      <c r="G21" t="s">
        <v>1104</v>
      </c>
      <c r="H21" t="s">
        <v>37</v>
      </c>
      <c r="I21" t="s">
        <v>39</v>
      </c>
      <c r="J21" t="s">
        <v>39</v>
      </c>
      <c r="K21" s="2">
        <v>46064</v>
      </c>
      <c r="L21" s="2">
        <v>46081</v>
      </c>
      <c r="M21" s="2">
        <v>46081</v>
      </c>
      <c r="N21" s="2">
        <v>46054</v>
      </c>
      <c r="O21" s="2">
        <v>46419</v>
      </c>
      <c r="P21">
        <v>12</v>
      </c>
      <c r="Q21" t="s">
        <v>40</v>
      </c>
      <c r="R21" t="s">
        <v>88</v>
      </c>
      <c r="S21" t="s">
        <v>96</v>
      </c>
      <c r="T21" t="s">
        <v>97</v>
      </c>
      <c r="U21" t="s">
        <v>44</v>
      </c>
      <c r="V21" t="s">
        <v>119</v>
      </c>
      <c r="W21" t="s">
        <v>161</v>
      </c>
      <c r="X21" t="s">
        <v>68</v>
      </c>
      <c r="Y21" s="3">
        <v>117099.8</v>
      </c>
      <c r="Z21" s="3">
        <v>117099.8</v>
      </c>
      <c r="AA21">
        <v>1</v>
      </c>
      <c r="AB21" t="s">
        <v>39</v>
      </c>
      <c r="AC21" t="s">
        <v>39</v>
      </c>
      <c r="AD21" t="s">
        <v>48</v>
      </c>
    </row>
    <row r="22" spans="1:30" x14ac:dyDescent="0.35">
      <c r="A22" s="1" t="s">
        <v>30</v>
      </c>
      <c r="B22" t="s">
        <v>1069</v>
      </c>
      <c r="C22" t="s">
        <v>564</v>
      </c>
      <c r="D22" t="s">
        <v>1105</v>
      </c>
      <c r="E22" t="s">
        <v>1106</v>
      </c>
      <c r="F22" t="s">
        <v>1107</v>
      </c>
      <c r="G22" t="s">
        <v>1108</v>
      </c>
      <c r="H22" t="s">
        <v>37</v>
      </c>
      <c r="I22" t="s">
        <v>39</v>
      </c>
      <c r="J22" t="s">
        <v>39</v>
      </c>
      <c r="K22" s="2">
        <v>46066</v>
      </c>
      <c r="L22" s="2">
        <v>46081</v>
      </c>
      <c r="M22" s="2">
        <v>46081</v>
      </c>
      <c r="N22" s="2">
        <v>46054</v>
      </c>
      <c r="O22" s="2">
        <v>46419</v>
      </c>
      <c r="P22">
        <v>12</v>
      </c>
      <c r="Q22" t="s">
        <v>104</v>
      </c>
      <c r="R22" t="s">
        <v>41</v>
      </c>
      <c r="S22" t="s">
        <v>118</v>
      </c>
      <c r="T22" t="s">
        <v>97</v>
      </c>
      <c r="U22" t="s">
        <v>56</v>
      </c>
      <c r="V22" t="s">
        <v>57</v>
      </c>
      <c r="W22" t="s">
        <v>136</v>
      </c>
      <c r="X22" t="s">
        <v>83</v>
      </c>
      <c r="Y22" s="3">
        <v>167662.12</v>
      </c>
      <c r="Z22" s="3">
        <v>167662.12</v>
      </c>
      <c r="AA22">
        <v>1</v>
      </c>
      <c r="AB22" t="s">
        <v>39</v>
      </c>
      <c r="AC22" t="s">
        <v>39</v>
      </c>
      <c r="AD22" t="s">
        <v>48</v>
      </c>
    </row>
    <row r="23" spans="1:30" x14ac:dyDescent="0.35">
      <c r="A23" s="1" t="s">
        <v>30</v>
      </c>
      <c r="B23" t="s">
        <v>1069</v>
      </c>
      <c r="C23" t="s">
        <v>564</v>
      </c>
      <c r="D23" t="s">
        <v>1109</v>
      </c>
      <c r="E23" t="s">
        <v>1110</v>
      </c>
      <c r="F23" t="s">
        <v>1111</v>
      </c>
      <c r="G23" t="s">
        <v>1112</v>
      </c>
      <c r="H23" t="s">
        <v>37</v>
      </c>
      <c r="I23" t="s">
        <v>39</v>
      </c>
      <c r="J23" t="s">
        <v>39</v>
      </c>
      <c r="K23" s="2">
        <v>46058</v>
      </c>
      <c r="L23" s="2">
        <v>46081</v>
      </c>
      <c r="M23" s="2">
        <v>46081</v>
      </c>
      <c r="N23" s="2">
        <v>46054</v>
      </c>
      <c r="O23" s="2">
        <v>46419</v>
      </c>
      <c r="P23">
        <v>12</v>
      </c>
      <c r="Q23" t="s">
        <v>104</v>
      </c>
      <c r="R23" t="s">
        <v>41</v>
      </c>
      <c r="S23" t="s">
        <v>149</v>
      </c>
      <c r="T23" t="s">
        <v>131</v>
      </c>
      <c r="U23" t="s">
        <v>44</v>
      </c>
      <c r="V23" t="s">
        <v>144</v>
      </c>
      <c r="W23" t="s">
        <v>75</v>
      </c>
      <c r="X23" t="s">
        <v>83</v>
      </c>
      <c r="Y23" s="3">
        <v>200047.3</v>
      </c>
      <c r="Z23" s="3">
        <v>200047.3</v>
      </c>
      <c r="AA23">
        <v>1</v>
      </c>
      <c r="AB23" t="s">
        <v>39</v>
      </c>
      <c r="AC23" t="s">
        <v>39</v>
      </c>
      <c r="AD23" t="s">
        <v>48</v>
      </c>
    </row>
    <row r="24" spans="1:30" x14ac:dyDescent="0.35">
      <c r="A24" s="1" t="s">
        <v>30</v>
      </c>
      <c r="B24" t="s">
        <v>1069</v>
      </c>
      <c r="C24" t="s">
        <v>564</v>
      </c>
      <c r="D24" t="s">
        <v>1113</v>
      </c>
      <c r="E24" t="s">
        <v>1114</v>
      </c>
      <c r="F24" t="s">
        <v>1115</v>
      </c>
      <c r="G24" t="s">
        <v>1116</v>
      </c>
      <c r="H24" t="s">
        <v>37</v>
      </c>
      <c r="I24" t="s">
        <v>39</v>
      </c>
      <c r="J24" t="s">
        <v>39</v>
      </c>
      <c r="K24" s="2">
        <v>46067</v>
      </c>
      <c r="L24" s="2">
        <v>46081</v>
      </c>
      <c r="M24" s="2">
        <v>46081</v>
      </c>
      <c r="N24" s="2">
        <v>46054</v>
      </c>
      <c r="O24" s="2">
        <v>46419</v>
      </c>
      <c r="P24">
        <v>12</v>
      </c>
      <c r="Q24" t="s">
        <v>65</v>
      </c>
      <c r="R24" t="s">
        <v>41</v>
      </c>
      <c r="S24" t="s">
        <v>151</v>
      </c>
      <c r="T24" t="s">
        <v>131</v>
      </c>
      <c r="U24" t="s">
        <v>44</v>
      </c>
      <c r="V24" t="s">
        <v>45</v>
      </c>
      <c r="W24" t="s">
        <v>161</v>
      </c>
      <c r="X24" t="s">
        <v>83</v>
      </c>
      <c r="Y24" s="3">
        <v>176111.91</v>
      </c>
      <c r="Z24" s="3">
        <v>176111.91</v>
      </c>
      <c r="AA24">
        <v>1</v>
      </c>
      <c r="AB24" t="s">
        <v>39</v>
      </c>
      <c r="AC24" t="s">
        <v>39</v>
      </c>
      <c r="AD24" t="s">
        <v>48</v>
      </c>
    </row>
    <row r="25" spans="1:30" x14ac:dyDescent="0.35">
      <c r="A25" s="1" t="s">
        <v>30</v>
      </c>
      <c r="B25" t="s">
        <v>1069</v>
      </c>
      <c r="C25" t="s">
        <v>564</v>
      </c>
      <c r="D25" t="s">
        <v>1117</v>
      </c>
      <c r="E25" t="s">
        <v>1118</v>
      </c>
      <c r="F25" t="s">
        <v>943</v>
      </c>
      <c r="G25" t="s">
        <v>944</v>
      </c>
      <c r="H25" t="s">
        <v>37</v>
      </c>
      <c r="I25" t="s">
        <v>39</v>
      </c>
      <c r="J25" t="s">
        <v>39</v>
      </c>
      <c r="K25" s="2">
        <v>46056</v>
      </c>
      <c r="L25" s="2">
        <v>46081</v>
      </c>
      <c r="M25" s="2">
        <v>46081</v>
      </c>
      <c r="N25" s="2">
        <v>46054</v>
      </c>
      <c r="O25" s="2">
        <v>46419</v>
      </c>
      <c r="P25">
        <v>12</v>
      </c>
      <c r="Q25" t="s">
        <v>104</v>
      </c>
      <c r="R25" t="s">
        <v>41</v>
      </c>
      <c r="S25" t="s">
        <v>135</v>
      </c>
      <c r="T25" t="s">
        <v>131</v>
      </c>
      <c r="U25" t="s">
        <v>106</v>
      </c>
      <c r="V25" t="s">
        <v>74</v>
      </c>
      <c r="W25" t="s">
        <v>161</v>
      </c>
      <c r="X25" t="s">
        <v>47</v>
      </c>
      <c r="Y25" s="3">
        <v>130255.09</v>
      </c>
      <c r="Z25" s="3">
        <v>130255.09</v>
      </c>
      <c r="AA25">
        <v>1</v>
      </c>
      <c r="AB25" t="s">
        <v>39</v>
      </c>
      <c r="AC25" t="s">
        <v>39</v>
      </c>
      <c r="AD25" t="s">
        <v>48</v>
      </c>
    </row>
    <row r="26" spans="1:30" x14ac:dyDescent="0.35">
      <c r="A26" s="1" t="s">
        <v>30</v>
      </c>
      <c r="B26" t="s">
        <v>1069</v>
      </c>
      <c r="C26" t="s">
        <v>564</v>
      </c>
      <c r="D26" t="s">
        <v>1119</v>
      </c>
      <c r="E26" t="s">
        <v>1120</v>
      </c>
      <c r="F26" t="s">
        <v>1121</v>
      </c>
      <c r="G26" t="s">
        <v>1122</v>
      </c>
      <c r="H26" t="s">
        <v>37</v>
      </c>
      <c r="I26" t="s">
        <v>39</v>
      </c>
      <c r="J26" t="s">
        <v>39</v>
      </c>
      <c r="K26" s="2">
        <v>46057</v>
      </c>
      <c r="L26" s="2">
        <v>46081</v>
      </c>
      <c r="M26" s="2">
        <v>46081</v>
      </c>
      <c r="N26" s="2">
        <v>46054</v>
      </c>
      <c r="O26" s="2">
        <v>46419</v>
      </c>
      <c r="P26">
        <v>12</v>
      </c>
      <c r="Q26" t="s">
        <v>40</v>
      </c>
      <c r="R26" t="s">
        <v>41</v>
      </c>
      <c r="S26" t="s">
        <v>141</v>
      </c>
      <c r="T26" t="s">
        <v>131</v>
      </c>
      <c r="U26" t="s">
        <v>56</v>
      </c>
      <c r="V26" t="s">
        <v>67</v>
      </c>
      <c r="W26" t="s">
        <v>46</v>
      </c>
      <c r="X26" t="s">
        <v>125</v>
      </c>
      <c r="Y26" s="3">
        <v>184638.96</v>
      </c>
      <c r="Z26" s="3">
        <v>184638.96</v>
      </c>
      <c r="AA26">
        <v>1</v>
      </c>
      <c r="AB26" t="s">
        <v>39</v>
      </c>
      <c r="AC26" t="s">
        <v>39</v>
      </c>
      <c r="AD26" t="s">
        <v>48</v>
      </c>
    </row>
    <row r="27" spans="1:30" x14ac:dyDescent="0.35">
      <c r="A27" s="1" t="s">
        <v>30</v>
      </c>
      <c r="B27" t="s">
        <v>1069</v>
      </c>
      <c r="C27" t="s">
        <v>564</v>
      </c>
      <c r="D27" t="s">
        <v>1123</v>
      </c>
      <c r="E27" t="s">
        <v>1124</v>
      </c>
      <c r="F27" t="s">
        <v>1125</v>
      </c>
      <c r="G27" t="s">
        <v>1126</v>
      </c>
      <c r="H27" t="s">
        <v>37</v>
      </c>
      <c r="I27" t="s">
        <v>39</v>
      </c>
      <c r="J27" t="s">
        <v>39</v>
      </c>
      <c r="K27" s="2">
        <v>46066</v>
      </c>
      <c r="L27" s="2">
        <v>46081</v>
      </c>
      <c r="M27" s="2">
        <v>46081</v>
      </c>
      <c r="N27" s="2">
        <v>46054</v>
      </c>
      <c r="O27" s="2">
        <v>46784</v>
      </c>
      <c r="P27">
        <v>24</v>
      </c>
      <c r="Q27" t="s">
        <v>40</v>
      </c>
      <c r="R27" t="s">
        <v>41</v>
      </c>
      <c r="S27" t="s">
        <v>54</v>
      </c>
      <c r="T27" t="s">
        <v>55</v>
      </c>
      <c r="U27" t="s">
        <v>56</v>
      </c>
      <c r="V27" t="s">
        <v>138</v>
      </c>
      <c r="W27" t="s">
        <v>132</v>
      </c>
      <c r="X27" t="s">
        <v>143</v>
      </c>
      <c r="Y27" s="3">
        <v>142395.84</v>
      </c>
      <c r="Z27" s="3">
        <v>142395.84</v>
      </c>
      <c r="AA27">
        <v>1</v>
      </c>
      <c r="AB27" t="s">
        <v>39</v>
      </c>
      <c r="AC27" t="s">
        <v>39</v>
      </c>
      <c r="AD27" t="s">
        <v>48</v>
      </c>
    </row>
    <row r="28" spans="1:30" x14ac:dyDescent="0.35">
      <c r="A28" s="1" t="s">
        <v>30</v>
      </c>
      <c r="B28" t="s">
        <v>1069</v>
      </c>
      <c r="C28" t="s">
        <v>564</v>
      </c>
      <c r="D28" t="s">
        <v>1827</v>
      </c>
      <c r="E28" t="s">
        <v>1828</v>
      </c>
      <c r="F28" t="s">
        <v>1829</v>
      </c>
      <c r="G28" t="s">
        <v>1830</v>
      </c>
      <c r="H28" t="s">
        <v>1271</v>
      </c>
      <c r="I28" t="s">
        <v>39</v>
      </c>
      <c r="J28" t="s">
        <v>39</v>
      </c>
      <c r="K28" s="2">
        <v>46064</v>
      </c>
      <c r="L28" s="2">
        <v>46081</v>
      </c>
      <c r="M28" s="2">
        <v>46081</v>
      </c>
      <c r="N28" s="2">
        <v>46054</v>
      </c>
      <c r="O28" s="2">
        <v>46784</v>
      </c>
      <c r="P28">
        <v>24</v>
      </c>
      <c r="Q28" t="s">
        <v>104</v>
      </c>
      <c r="R28" t="s">
        <v>41</v>
      </c>
      <c r="S28" t="s">
        <v>280</v>
      </c>
      <c r="T28" t="s">
        <v>43</v>
      </c>
      <c r="U28" t="s">
        <v>56</v>
      </c>
      <c r="V28" t="s">
        <v>119</v>
      </c>
      <c r="W28" t="s">
        <v>150</v>
      </c>
      <c r="X28" t="s">
        <v>83</v>
      </c>
      <c r="Y28" s="3">
        <v>122309.52</v>
      </c>
      <c r="Z28" s="3">
        <v>122309.52</v>
      </c>
      <c r="AA28">
        <v>1</v>
      </c>
      <c r="AB28" t="s">
        <v>39</v>
      </c>
      <c r="AC28" t="s">
        <v>39</v>
      </c>
      <c r="AD28" t="s">
        <v>48</v>
      </c>
    </row>
    <row r="29" spans="1:30" x14ac:dyDescent="0.35">
      <c r="A29" s="1" t="s">
        <v>30</v>
      </c>
      <c r="B29" t="s">
        <v>1069</v>
      </c>
      <c r="C29" t="s">
        <v>564</v>
      </c>
      <c r="D29" t="s">
        <v>1831</v>
      </c>
      <c r="E29" t="s">
        <v>1832</v>
      </c>
      <c r="F29" t="s">
        <v>328</v>
      </c>
      <c r="G29" t="s">
        <v>329</v>
      </c>
      <c r="H29" t="s">
        <v>1271</v>
      </c>
      <c r="I29" t="s">
        <v>39</v>
      </c>
      <c r="J29" t="s">
        <v>39</v>
      </c>
      <c r="K29" s="2">
        <v>46059</v>
      </c>
      <c r="L29" s="2">
        <v>46081</v>
      </c>
      <c r="M29" s="2">
        <v>46081</v>
      </c>
      <c r="N29" s="2">
        <v>46054</v>
      </c>
      <c r="O29" s="2">
        <v>46419</v>
      </c>
      <c r="P29">
        <v>12</v>
      </c>
      <c r="Q29" t="s">
        <v>40</v>
      </c>
      <c r="R29" t="s">
        <v>53</v>
      </c>
      <c r="S29" t="s">
        <v>149</v>
      </c>
      <c r="T29" t="s">
        <v>131</v>
      </c>
      <c r="U29" t="s">
        <v>56</v>
      </c>
      <c r="V29" t="s">
        <v>74</v>
      </c>
      <c r="W29" t="s">
        <v>132</v>
      </c>
      <c r="X29" t="s">
        <v>68</v>
      </c>
      <c r="Y29" s="3">
        <v>154974.37</v>
      </c>
      <c r="Z29" s="3">
        <v>154974.37</v>
      </c>
      <c r="AA29">
        <v>1</v>
      </c>
      <c r="AB29" t="s">
        <v>39</v>
      </c>
      <c r="AC29" t="s">
        <v>39</v>
      </c>
      <c r="AD29" t="s">
        <v>48</v>
      </c>
    </row>
    <row r="30" spans="1:30" x14ac:dyDescent="0.35">
      <c r="A30" s="1" t="s">
        <v>30</v>
      </c>
      <c r="B30" t="s">
        <v>1069</v>
      </c>
      <c r="C30" t="s">
        <v>564</v>
      </c>
      <c r="D30" t="s">
        <v>1833</v>
      </c>
      <c r="E30" t="s">
        <v>1834</v>
      </c>
      <c r="F30" t="s">
        <v>1167</v>
      </c>
      <c r="G30" t="s">
        <v>1168</v>
      </c>
      <c r="H30" t="s">
        <v>1271</v>
      </c>
      <c r="I30" t="s">
        <v>39</v>
      </c>
      <c r="J30" t="s">
        <v>39</v>
      </c>
      <c r="K30" s="2">
        <v>46056</v>
      </c>
      <c r="L30" s="2">
        <v>46081</v>
      </c>
      <c r="M30" s="2">
        <v>46081</v>
      </c>
      <c r="N30" s="2">
        <v>46054</v>
      </c>
      <c r="O30" s="2">
        <v>46419</v>
      </c>
      <c r="P30">
        <v>12</v>
      </c>
      <c r="Q30" t="s">
        <v>65</v>
      </c>
      <c r="R30" t="s">
        <v>53</v>
      </c>
      <c r="S30" t="s">
        <v>105</v>
      </c>
      <c r="T30" t="s">
        <v>55</v>
      </c>
      <c r="U30" t="s">
        <v>44</v>
      </c>
      <c r="V30" t="s">
        <v>217</v>
      </c>
      <c r="W30" t="s">
        <v>150</v>
      </c>
      <c r="X30" t="s">
        <v>158</v>
      </c>
      <c r="Y30" s="3">
        <v>108564.17</v>
      </c>
      <c r="Z30" s="3">
        <v>108564.17</v>
      </c>
      <c r="AA30">
        <v>1</v>
      </c>
      <c r="AB30" t="s">
        <v>39</v>
      </c>
      <c r="AC30" t="s">
        <v>39</v>
      </c>
      <c r="AD30" t="s">
        <v>48</v>
      </c>
    </row>
    <row r="31" spans="1:30" x14ac:dyDescent="0.35">
      <c r="A31" s="1" t="s">
        <v>30</v>
      </c>
      <c r="B31" t="s">
        <v>1069</v>
      </c>
      <c r="C31" t="s">
        <v>564</v>
      </c>
      <c r="D31" t="s">
        <v>1835</v>
      </c>
      <c r="E31" t="s">
        <v>1836</v>
      </c>
      <c r="F31" t="s">
        <v>1837</v>
      </c>
      <c r="G31" t="s">
        <v>1838</v>
      </c>
      <c r="H31" t="s">
        <v>1271</v>
      </c>
      <c r="I31" t="s">
        <v>39</v>
      </c>
      <c r="J31" t="s">
        <v>39</v>
      </c>
      <c r="K31" s="2">
        <v>46062</v>
      </c>
      <c r="L31" s="2">
        <v>46081</v>
      </c>
      <c r="M31" s="2">
        <v>46081</v>
      </c>
      <c r="N31" s="2">
        <v>46054</v>
      </c>
      <c r="O31" s="2">
        <v>46419</v>
      </c>
      <c r="P31">
        <v>12</v>
      </c>
      <c r="Q31" t="s">
        <v>104</v>
      </c>
      <c r="R31" t="s">
        <v>41</v>
      </c>
      <c r="S31" t="s">
        <v>222</v>
      </c>
      <c r="T31" t="s">
        <v>97</v>
      </c>
      <c r="U31" t="s">
        <v>56</v>
      </c>
      <c r="V31" t="s">
        <v>81</v>
      </c>
      <c r="W31" t="s">
        <v>142</v>
      </c>
      <c r="X31" t="s">
        <v>68</v>
      </c>
      <c r="Y31" s="3">
        <v>205885.08</v>
      </c>
      <c r="Z31" s="3">
        <v>205885.08</v>
      </c>
      <c r="AA31">
        <v>1</v>
      </c>
      <c r="AB31" t="s">
        <v>39</v>
      </c>
      <c r="AC31" t="s">
        <v>39</v>
      </c>
      <c r="AD31" t="s">
        <v>48</v>
      </c>
    </row>
    <row r="32" spans="1:30" x14ac:dyDescent="0.35">
      <c r="A32" s="1" t="s">
        <v>30</v>
      </c>
      <c r="B32" t="s">
        <v>1069</v>
      </c>
      <c r="C32" t="s">
        <v>564</v>
      </c>
      <c r="D32" t="s">
        <v>1839</v>
      </c>
      <c r="E32" t="s">
        <v>1840</v>
      </c>
      <c r="F32" t="s">
        <v>1841</v>
      </c>
      <c r="G32" t="s">
        <v>1842</v>
      </c>
      <c r="H32" t="s">
        <v>1271</v>
      </c>
      <c r="I32" t="s">
        <v>39</v>
      </c>
      <c r="J32" t="s">
        <v>39</v>
      </c>
      <c r="K32" s="2">
        <v>46067</v>
      </c>
      <c r="L32" s="2">
        <v>46081</v>
      </c>
      <c r="M32" s="2">
        <v>46081</v>
      </c>
      <c r="N32" s="2">
        <v>46054</v>
      </c>
      <c r="O32" s="2">
        <v>46419</v>
      </c>
      <c r="P32">
        <v>12</v>
      </c>
      <c r="Q32" t="s">
        <v>40</v>
      </c>
      <c r="R32" t="s">
        <v>41</v>
      </c>
      <c r="S32" t="s">
        <v>135</v>
      </c>
      <c r="T32" t="s">
        <v>131</v>
      </c>
      <c r="U32" t="s">
        <v>56</v>
      </c>
      <c r="V32" t="s">
        <v>74</v>
      </c>
      <c r="W32" t="s">
        <v>46</v>
      </c>
      <c r="X32" t="s">
        <v>158</v>
      </c>
      <c r="Y32" s="3">
        <v>128266.87</v>
      </c>
      <c r="Z32" s="3">
        <v>128266.87</v>
      </c>
      <c r="AA32">
        <v>1</v>
      </c>
      <c r="AB32" t="s">
        <v>39</v>
      </c>
      <c r="AC32" t="s">
        <v>39</v>
      </c>
      <c r="AD32" t="s">
        <v>48</v>
      </c>
    </row>
    <row r="33" spans="1:30" x14ac:dyDescent="0.35">
      <c r="A33" s="1" t="s">
        <v>30</v>
      </c>
      <c r="B33" t="s">
        <v>1069</v>
      </c>
      <c r="C33" t="s">
        <v>564</v>
      </c>
      <c r="D33" t="s">
        <v>1843</v>
      </c>
      <c r="E33" t="s">
        <v>1844</v>
      </c>
      <c r="F33" t="s">
        <v>638</v>
      </c>
      <c r="G33" t="s">
        <v>639</v>
      </c>
      <c r="H33" t="s">
        <v>1290</v>
      </c>
      <c r="I33" t="s">
        <v>38</v>
      </c>
      <c r="J33" t="s">
        <v>1290</v>
      </c>
      <c r="K33" s="2">
        <v>46060</v>
      </c>
      <c r="L33" s="2">
        <v>46081</v>
      </c>
      <c r="N33" s="2">
        <v>46054</v>
      </c>
      <c r="O33" s="2">
        <v>46419</v>
      </c>
      <c r="P33">
        <v>12</v>
      </c>
      <c r="Q33" t="s">
        <v>65</v>
      </c>
      <c r="R33" t="s">
        <v>41</v>
      </c>
      <c r="S33" t="s">
        <v>66</v>
      </c>
      <c r="T33" t="s">
        <v>55</v>
      </c>
      <c r="U33" t="s">
        <v>106</v>
      </c>
      <c r="V33" t="s">
        <v>67</v>
      </c>
      <c r="W33" t="s">
        <v>46</v>
      </c>
      <c r="X33" t="s">
        <v>83</v>
      </c>
      <c r="Y33" s="3">
        <v>195000</v>
      </c>
      <c r="Z33" s="3">
        <v>195000</v>
      </c>
      <c r="AA33">
        <v>1</v>
      </c>
      <c r="AB33" t="s">
        <v>1290</v>
      </c>
      <c r="AC33" t="s">
        <v>1290</v>
      </c>
      <c r="AD33" t="s">
        <v>48</v>
      </c>
    </row>
    <row r="34" spans="1:30" x14ac:dyDescent="0.35">
      <c r="A34" s="1" t="s">
        <v>30</v>
      </c>
      <c r="B34" t="s">
        <v>1069</v>
      </c>
      <c r="C34" t="s">
        <v>564</v>
      </c>
      <c r="D34" t="s">
        <v>1845</v>
      </c>
      <c r="E34" t="s">
        <v>1846</v>
      </c>
      <c r="F34" t="s">
        <v>1847</v>
      </c>
      <c r="G34" t="s">
        <v>1848</v>
      </c>
      <c r="H34" t="s">
        <v>1295</v>
      </c>
      <c r="I34" t="s">
        <v>64</v>
      </c>
      <c r="J34" t="s">
        <v>1295</v>
      </c>
      <c r="K34" s="2">
        <v>46066</v>
      </c>
      <c r="L34" s="2">
        <v>46081</v>
      </c>
      <c r="N34" s="2">
        <v>46054</v>
      </c>
      <c r="O34" s="2">
        <v>46784</v>
      </c>
      <c r="P34">
        <v>24</v>
      </c>
      <c r="Q34" t="s">
        <v>65</v>
      </c>
      <c r="R34" t="s">
        <v>88</v>
      </c>
      <c r="S34" t="s">
        <v>73</v>
      </c>
      <c r="T34" t="s">
        <v>43</v>
      </c>
      <c r="U34" t="s">
        <v>106</v>
      </c>
      <c r="V34" t="s">
        <v>98</v>
      </c>
      <c r="W34" t="s">
        <v>150</v>
      </c>
      <c r="X34" t="s">
        <v>47</v>
      </c>
      <c r="Y34" s="3">
        <v>169354.22</v>
      </c>
      <c r="Z34" s="3">
        <v>169354.22</v>
      </c>
      <c r="AA34">
        <v>1</v>
      </c>
      <c r="AB34" t="s">
        <v>1295</v>
      </c>
      <c r="AC34" t="s">
        <v>1295</v>
      </c>
      <c r="AD34" t="s">
        <v>48</v>
      </c>
    </row>
    <row r="35" spans="1:30" x14ac:dyDescent="0.35">
      <c r="A35" s="1" t="s">
        <v>30</v>
      </c>
      <c r="B35" t="s">
        <v>1069</v>
      </c>
      <c r="C35" t="s">
        <v>564</v>
      </c>
      <c r="D35" t="s">
        <v>1849</v>
      </c>
      <c r="E35" t="s">
        <v>1850</v>
      </c>
      <c r="F35" t="s">
        <v>551</v>
      </c>
      <c r="G35" t="s">
        <v>552</v>
      </c>
      <c r="H35" t="s">
        <v>1295</v>
      </c>
      <c r="I35" t="s">
        <v>111</v>
      </c>
      <c r="J35" t="s">
        <v>1295</v>
      </c>
      <c r="K35" s="2">
        <v>46065</v>
      </c>
      <c r="L35" s="2">
        <v>46081</v>
      </c>
      <c r="N35" s="2">
        <v>46054</v>
      </c>
      <c r="O35" s="2">
        <v>46784</v>
      </c>
      <c r="P35">
        <v>24</v>
      </c>
      <c r="Q35" t="s">
        <v>104</v>
      </c>
      <c r="R35" t="s">
        <v>88</v>
      </c>
      <c r="S35" t="s">
        <v>222</v>
      </c>
      <c r="T35" t="s">
        <v>97</v>
      </c>
      <c r="U35" t="s">
        <v>56</v>
      </c>
      <c r="V35" t="s">
        <v>57</v>
      </c>
      <c r="W35" t="s">
        <v>46</v>
      </c>
      <c r="X35" t="s">
        <v>158</v>
      </c>
      <c r="Y35" s="3">
        <v>265645.78000000003</v>
      </c>
      <c r="Z35" s="3">
        <v>265645.78000000003</v>
      </c>
      <c r="AA35">
        <v>1</v>
      </c>
      <c r="AB35" t="s">
        <v>1295</v>
      </c>
      <c r="AC35" t="s">
        <v>1295</v>
      </c>
      <c r="AD35" t="s">
        <v>48</v>
      </c>
    </row>
    <row r="36" spans="1:30" x14ac:dyDescent="0.35">
      <c r="A36" s="1" t="s">
        <v>30</v>
      </c>
      <c r="B36" t="s">
        <v>1069</v>
      </c>
      <c r="C36" t="s">
        <v>564</v>
      </c>
      <c r="D36" t="s">
        <v>1851</v>
      </c>
      <c r="E36" t="s">
        <v>1852</v>
      </c>
      <c r="F36" t="s">
        <v>827</v>
      </c>
      <c r="G36" t="s">
        <v>828</v>
      </c>
      <c r="H36" t="s">
        <v>1302</v>
      </c>
      <c r="I36" t="s">
        <v>39</v>
      </c>
      <c r="J36" t="s">
        <v>39</v>
      </c>
      <c r="K36" s="2">
        <v>46060</v>
      </c>
      <c r="L36" s="2">
        <v>46081</v>
      </c>
      <c r="M36" s="2">
        <v>46081</v>
      </c>
      <c r="N36" s="2">
        <v>46054</v>
      </c>
      <c r="O36" s="2">
        <v>46419</v>
      </c>
      <c r="P36">
        <v>12</v>
      </c>
      <c r="Q36" t="s">
        <v>104</v>
      </c>
      <c r="R36" t="s">
        <v>53</v>
      </c>
      <c r="S36" t="s">
        <v>137</v>
      </c>
      <c r="T36" t="s">
        <v>97</v>
      </c>
      <c r="U36" t="s">
        <v>44</v>
      </c>
      <c r="V36" t="s">
        <v>217</v>
      </c>
      <c r="W36" t="s">
        <v>46</v>
      </c>
      <c r="X36" t="s">
        <v>125</v>
      </c>
      <c r="Y36" s="3">
        <v>65000</v>
      </c>
      <c r="Z36" s="3">
        <v>65000</v>
      </c>
      <c r="AA36">
        <v>1</v>
      </c>
      <c r="AB36" t="s">
        <v>39</v>
      </c>
      <c r="AC36" t="s">
        <v>39</v>
      </c>
      <c r="AD36" t="s">
        <v>48</v>
      </c>
    </row>
    <row r="37" spans="1:30" x14ac:dyDescent="0.35">
      <c r="A37" s="1" t="s">
        <v>30</v>
      </c>
      <c r="B37" t="s">
        <v>1069</v>
      </c>
      <c r="C37" t="s">
        <v>599</v>
      </c>
      <c r="D37" t="s">
        <v>1131</v>
      </c>
      <c r="E37" t="s">
        <v>1132</v>
      </c>
      <c r="F37" t="s">
        <v>1133</v>
      </c>
      <c r="G37" t="s">
        <v>1134</v>
      </c>
      <c r="H37" t="s">
        <v>37</v>
      </c>
      <c r="I37" t="s">
        <v>39</v>
      </c>
      <c r="J37" t="s">
        <v>39</v>
      </c>
      <c r="K37" s="2">
        <v>46084</v>
      </c>
      <c r="L37" s="2">
        <v>46112</v>
      </c>
      <c r="M37" s="2">
        <v>46112</v>
      </c>
      <c r="N37" s="2">
        <v>46082</v>
      </c>
      <c r="O37" s="2">
        <v>46447</v>
      </c>
      <c r="P37">
        <v>12</v>
      </c>
      <c r="Q37" t="s">
        <v>40</v>
      </c>
      <c r="R37" t="s">
        <v>88</v>
      </c>
      <c r="S37" t="s">
        <v>89</v>
      </c>
      <c r="T37" t="s">
        <v>55</v>
      </c>
      <c r="U37" t="s">
        <v>44</v>
      </c>
      <c r="V37" t="s">
        <v>45</v>
      </c>
      <c r="W37" t="s">
        <v>136</v>
      </c>
      <c r="X37" t="s">
        <v>125</v>
      </c>
      <c r="Y37" s="3">
        <v>86537.93</v>
      </c>
      <c r="Z37" s="3">
        <v>86537.93</v>
      </c>
      <c r="AA37">
        <v>1</v>
      </c>
      <c r="AB37" t="s">
        <v>39</v>
      </c>
      <c r="AC37" t="s">
        <v>39</v>
      </c>
      <c r="AD37" t="s">
        <v>48</v>
      </c>
    </row>
    <row r="38" spans="1:30" x14ac:dyDescent="0.35">
      <c r="A38" s="1" t="s">
        <v>30</v>
      </c>
      <c r="B38" t="s">
        <v>1069</v>
      </c>
      <c r="C38" t="s">
        <v>599</v>
      </c>
      <c r="D38" t="s">
        <v>1135</v>
      </c>
      <c r="E38" t="s">
        <v>1136</v>
      </c>
      <c r="F38" t="s">
        <v>1137</v>
      </c>
      <c r="G38" t="s">
        <v>1138</v>
      </c>
      <c r="H38" t="s">
        <v>37</v>
      </c>
      <c r="I38" t="s">
        <v>39</v>
      </c>
      <c r="J38" t="s">
        <v>39</v>
      </c>
      <c r="K38" s="2">
        <v>46093</v>
      </c>
      <c r="L38" s="2">
        <v>46112</v>
      </c>
      <c r="M38" s="2">
        <v>46112</v>
      </c>
      <c r="N38" s="2">
        <v>46082</v>
      </c>
      <c r="O38" s="2">
        <v>46447</v>
      </c>
      <c r="P38">
        <v>12</v>
      </c>
      <c r="Q38" t="s">
        <v>40</v>
      </c>
      <c r="R38" t="s">
        <v>53</v>
      </c>
      <c r="S38" t="s">
        <v>96</v>
      </c>
      <c r="T38" t="s">
        <v>97</v>
      </c>
      <c r="U38" t="s">
        <v>56</v>
      </c>
      <c r="V38" t="s">
        <v>67</v>
      </c>
      <c r="W38" t="s">
        <v>142</v>
      </c>
      <c r="X38" t="s">
        <v>91</v>
      </c>
      <c r="Y38" s="3">
        <v>169583.82</v>
      </c>
      <c r="Z38" s="3">
        <v>169583.82</v>
      </c>
      <c r="AA38">
        <v>1</v>
      </c>
      <c r="AB38" t="s">
        <v>39</v>
      </c>
      <c r="AC38" t="s">
        <v>39</v>
      </c>
      <c r="AD38" t="s">
        <v>48</v>
      </c>
    </row>
    <row r="39" spans="1:30" x14ac:dyDescent="0.35">
      <c r="A39" s="1" t="s">
        <v>30</v>
      </c>
      <c r="B39" t="s">
        <v>1069</v>
      </c>
      <c r="C39" t="s">
        <v>599</v>
      </c>
      <c r="D39" t="s">
        <v>1139</v>
      </c>
      <c r="E39" t="s">
        <v>1140</v>
      </c>
      <c r="F39" t="s">
        <v>1095</v>
      </c>
      <c r="G39" t="s">
        <v>1096</v>
      </c>
      <c r="H39" t="s">
        <v>37</v>
      </c>
      <c r="I39" t="s">
        <v>39</v>
      </c>
      <c r="J39" t="s">
        <v>39</v>
      </c>
      <c r="K39" s="2">
        <v>46094</v>
      </c>
      <c r="L39" s="2">
        <v>46112</v>
      </c>
      <c r="M39" s="2">
        <v>46112</v>
      </c>
      <c r="N39" s="2">
        <v>46082</v>
      </c>
      <c r="O39" s="2">
        <v>46447</v>
      </c>
      <c r="P39">
        <v>12</v>
      </c>
      <c r="Q39" t="s">
        <v>104</v>
      </c>
      <c r="R39" t="s">
        <v>53</v>
      </c>
      <c r="S39" t="s">
        <v>140</v>
      </c>
      <c r="T39" t="s">
        <v>97</v>
      </c>
      <c r="U39" t="s">
        <v>56</v>
      </c>
      <c r="V39" t="s">
        <v>144</v>
      </c>
      <c r="W39" t="s">
        <v>136</v>
      </c>
      <c r="X39" t="s">
        <v>68</v>
      </c>
      <c r="Y39" s="3">
        <v>182770.53</v>
      </c>
      <c r="Z39" s="3">
        <v>182770.53</v>
      </c>
      <c r="AA39">
        <v>1</v>
      </c>
      <c r="AB39" t="s">
        <v>39</v>
      </c>
      <c r="AC39" t="s">
        <v>39</v>
      </c>
      <c r="AD39" t="s">
        <v>48</v>
      </c>
    </row>
    <row r="40" spans="1:30" x14ac:dyDescent="0.35">
      <c r="A40" s="1" t="s">
        <v>30</v>
      </c>
      <c r="B40" t="s">
        <v>1069</v>
      </c>
      <c r="C40" t="s">
        <v>599</v>
      </c>
      <c r="D40" t="s">
        <v>1141</v>
      </c>
      <c r="E40" t="s">
        <v>1142</v>
      </c>
      <c r="F40" t="s">
        <v>643</v>
      </c>
      <c r="G40" t="s">
        <v>644</v>
      </c>
      <c r="H40" t="s">
        <v>37</v>
      </c>
      <c r="I40" t="s">
        <v>39</v>
      </c>
      <c r="J40" t="s">
        <v>39</v>
      </c>
      <c r="K40" s="2">
        <v>46086</v>
      </c>
      <c r="L40" s="2">
        <v>46112</v>
      </c>
      <c r="M40" s="2">
        <v>46112</v>
      </c>
      <c r="N40" s="2">
        <v>46082</v>
      </c>
      <c r="O40" s="2">
        <v>46447</v>
      </c>
      <c r="P40">
        <v>12</v>
      </c>
      <c r="Q40" t="s">
        <v>104</v>
      </c>
      <c r="R40" t="s">
        <v>88</v>
      </c>
      <c r="S40" t="s">
        <v>280</v>
      </c>
      <c r="T40" t="s">
        <v>43</v>
      </c>
      <c r="U40" t="s">
        <v>44</v>
      </c>
      <c r="V40" t="s">
        <v>98</v>
      </c>
      <c r="W40" t="s">
        <v>132</v>
      </c>
      <c r="X40" t="s">
        <v>91</v>
      </c>
      <c r="Y40" s="3">
        <v>117728.69</v>
      </c>
      <c r="Z40" s="3">
        <v>117728.69</v>
      </c>
      <c r="AA40">
        <v>1</v>
      </c>
      <c r="AB40" t="s">
        <v>39</v>
      </c>
      <c r="AC40" t="s">
        <v>39</v>
      </c>
      <c r="AD40" t="s">
        <v>48</v>
      </c>
    </row>
    <row r="41" spans="1:30" x14ac:dyDescent="0.35">
      <c r="A41" s="1" t="s">
        <v>30</v>
      </c>
      <c r="B41" t="s">
        <v>1069</v>
      </c>
      <c r="C41" t="s">
        <v>599</v>
      </c>
      <c r="D41" t="s">
        <v>1143</v>
      </c>
      <c r="E41" t="s">
        <v>1144</v>
      </c>
      <c r="F41" t="s">
        <v>1145</v>
      </c>
      <c r="G41" t="s">
        <v>1146</v>
      </c>
      <c r="H41" t="s">
        <v>37</v>
      </c>
      <c r="I41" t="s">
        <v>39</v>
      </c>
      <c r="J41" t="s">
        <v>39</v>
      </c>
      <c r="K41" s="2">
        <v>46091</v>
      </c>
      <c r="L41" s="2">
        <v>46112</v>
      </c>
      <c r="M41" s="2">
        <v>46112</v>
      </c>
      <c r="N41" s="2">
        <v>46082</v>
      </c>
      <c r="O41" s="2">
        <v>46447</v>
      </c>
      <c r="P41">
        <v>12</v>
      </c>
      <c r="Q41" t="s">
        <v>65</v>
      </c>
      <c r="R41" t="s">
        <v>53</v>
      </c>
      <c r="S41" t="s">
        <v>164</v>
      </c>
      <c r="T41" t="s">
        <v>55</v>
      </c>
      <c r="U41" t="s">
        <v>44</v>
      </c>
      <c r="V41" t="s">
        <v>119</v>
      </c>
      <c r="W41" t="s">
        <v>142</v>
      </c>
      <c r="X41" t="s">
        <v>59</v>
      </c>
      <c r="Y41" s="3">
        <v>184652.51</v>
      </c>
      <c r="Z41" s="3">
        <v>184652.51</v>
      </c>
      <c r="AA41">
        <v>1</v>
      </c>
      <c r="AB41" t="s">
        <v>39</v>
      </c>
      <c r="AC41" t="s">
        <v>39</v>
      </c>
      <c r="AD41" t="s">
        <v>48</v>
      </c>
    </row>
    <row r="42" spans="1:30" x14ac:dyDescent="0.35">
      <c r="A42" s="1" t="s">
        <v>30</v>
      </c>
      <c r="B42" t="s">
        <v>1069</v>
      </c>
      <c r="C42" t="s">
        <v>599</v>
      </c>
      <c r="D42" t="s">
        <v>1147</v>
      </c>
      <c r="E42" t="s">
        <v>1148</v>
      </c>
      <c r="F42" t="s">
        <v>1149</v>
      </c>
      <c r="G42" t="s">
        <v>1150</v>
      </c>
      <c r="H42" t="s">
        <v>37</v>
      </c>
      <c r="I42" t="s">
        <v>39</v>
      </c>
      <c r="J42" t="s">
        <v>39</v>
      </c>
      <c r="K42" s="2">
        <v>46096</v>
      </c>
      <c r="L42" s="2">
        <v>46112</v>
      </c>
      <c r="M42" s="2">
        <v>46112</v>
      </c>
      <c r="N42" s="2">
        <v>46082</v>
      </c>
      <c r="O42" s="2">
        <v>46447</v>
      </c>
      <c r="P42">
        <v>12</v>
      </c>
      <c r="Q42" t="s">
        <v>65</v>
      </c>
      <c r="R42" t="s">
        <v>41</v>
      </c>
      <c r="S42" t="s">
        <v>140</v>
      </c>
      <c r="T42" t="s">
        <v>97</v>
      </c>
      <c r="U42" t="s">
        <v>44</v>
      </c>
      <c r="V42" t="s">
        <v>144</v>
      </c>
      <c r="W42" t="s">
        <v>136</v>
      </c>
      <c r="X42" t="s">
        <v>143</v>
      </c>
      <c r="Y42" s="3">
        <v>147819.98000000001</v>
      </c>
      <c r="Z42" s="3">
        <v>147819.98000000001</v>
      </c>
      <c r="AA42">
        <v>1</v>
      </c>
      <c r="AB42" t="s">
        <v>39</v>
      </c>
      <c r="AC42" t="s">
        <v>39</v>
      </c>
      <c r="AD42" t="s">
        <v>48</v>
      </c>
    </row>
    <row r="43" spans="1:30" x14ac:dyDescent="0.35">
      <c r="A43" s="1" t="s">
        <v>30</v>
      </c>
      <c r="B43" t="s">
        <v>1069</v>
      </c>
      <c r="C43" t="s">
        <v>599</v>
      </c>
      <c r="D43" t="s">
        <v>1151</v>
      </c>
      <c r="E43" t="s">
        <v>1152</v>
      </c>
      <c r="F43" t="s">
        <v>1153</v>
      </c>
      <c r="G43" t="s">
        <v>1154</v>
      </c>
      <c r="H43" t="s">
        <v>37</v>
      </c>
      <c r="I43" t="s">
        <v>39</v>
      </c>
      <c r="J43" t="s">
        <v>39</v>
      </c>
      <c r="K43" s="2">
        <v>46084</v>
      </c>
      <c r="L43" s="2">
        <v>46112</v>
      </c>
      <c r="M43" s="2">
        <v>46112</v>
      </c>
      <c r="N43" s="2">
        <v>46082</v>
      </c>
      <c r="O43" s="2">
        <v>46813</v>
      </c>
      <c r="P43">
        <v>24</v>
      </c>
      <c r="Q43" t="s">
        <v>40</v>
      </c>
      <c r="R43" t="s">
        <v>41</v>
      </c>
      <c r="S43" t="s">
        <v>80</v>
      </c>
      <c r="T43" t="s">
        <v>43</v>
      </c>
      <c r="U43" t="s">
        <v>44</v>
      </c>
      <c r="V43" t="s">
        <v>119</v>
      </c>
      <c r="W43" t="s">
        <v>142</v>
      </c>
      <c r="X43" t="s">
        <v>83</v>
      </c>
      <c r="Y43" s="3">
        <v>120874.17</v>
      </c>
      <c r="Z43" s="3">
        <v>120874.17</v>
      </c>
      <c r="AA43">
        <v>1</v>
      </c>
      <c r="AB43" t="s">
        <v>39</v>
      </c>
      <c r="AC43" t="s">
        <v>39</v>
      </c>
      <c r="AD43" t="s">
        <v>48</v>
      </c>
    </row>
    <row r="44" spans="1:30" x14ac:dyDescent="0.35">
      <c r="A44" s="1" t="s">
        <v>30</v>
      </c>
      <c r="B44" t="s">
        <v>1069</v>
      </c>
      <c r="C44" t="s">
        <v>599</v>
      </c>
      <c r="D44" t="s">
        <v>1155</v>
      </c>
      <c r="E44" t="s">
        <v>1156</v>
      </c>
      <c r="F44" t="s">
        <v>1157</v>
      </c>
      <c r="G44" t="s">
        <v>1158</v>
      </c>
      <c r="H44" t="s">
        <v>37</v>
      </c>
      <c r="I44" t="s">
        <v>39</v>
      </c>
      <c r="J44" t="s">
        <v>39</v>
      </c>
      <c r="K44" s="2">
        <v>46094</v>
      </c>
      <c r="L44" s="2">
        <v>46112</v>
      </c>
      <c r="M44" s="2">
        <v>46112</v>
      </c>
      <c r="N44" s="2">
        <v>46082</v>
      </c>
      <c r="O44" s="2">
        <v>46447</v>
      </c>
      <c r="P44">
        <v>12</v>
      </c>
      <c r="Q44" t="s">
        <v>104</v>
      </c>
      <c r="R44" t="s">
        <v>53</v>
      </c>
      <c r="S44" t="s">
        <v>151</v>
      </c>
      <c r="T44" t="s">
        <v>131</v>
      </c>
      <c r="U44" t="s">
        <v>56</v>
      </c>
      <c r="V44" t="s">
        <v>119</v>
      </c>
      <c r="W44" t="s">
        <v>90</v>
      </c>
      <c r="X44" t="s">
        <v>68</v>
      </c>
      <c r="Y44" s="3">
        <v>161269.16</v>
      </c>
      <c r="Z44" s="3">
        <v>161269.16</v>
      </c>
      <c r="AA44">
        <v>1</v>
      </c>
      <c r="AB44" t="s">
        <v>39</v>
      </c>
      <c r="AC44" t="s">
        <v>39</v>
      </c>
      <c r="AD44" t="s">
        <v>48</v>
      </c>
    </row>
    <row r="45" spans="1:30" x14ac:dyDescent="0.35">
      <c r="A45" s="1" t="s">
        <v>30</v>
      </c>
      <c r="B45" t="s">
        <v>1069</v>
      </c>
      <c r="C45" t="s">
        <v>599</v>
      </c>
      <c r="D45" t="s">
        <v>1159</v>
      </c>
      <c r="E45" t="s">
        <v>1160</v>
      </c>
      <c r="F45" t="s">
        <v>517</v>
      </c>
      <c r="G45" t="s">
        <v>518</v>
      </c>
      <c r="H45" t="s">
        <v>37</v>
      </c>
      <c r="I45" t="s">
        <v>39</v>
      </c>
      <c r="J45" t="s">
        <v>39</v>
      </c>
      <c r="K45" s="2">
        <v>46083</v>
      </c>
      <c r="L45" s="2">
        <v>46112</v>
      </c>
      <c r="M45" s="2">
        <v>46112</v>
      </c>
      <c r="N45" s="2">
        <v>46082</v>
      </c>
      <c r="O45" s="2">
        <v>46447</v>
      </c>
      <c r="P45">
        <v>12</v>
      </c>
      <c r="Q45" t="s">
        <v>40</v>
      </c>
      <c r="R45" t="s">
        <v>88</v>
      </c>
      <c r="S45" t="s">
        <v>112</v>
      </c>
      <c r="T45" t="s">
        <v>55</v>
      </c>
      <c r="U45" t="s">
        <v>56</v>
      </c>
      <c r="V45" t="s">
        <v>81</v>
      </c>
      <c r="W45" t="s">
        <v>132</v>
      </c>
      <c r="X45" t="s">
        <v>91</v>
      </c>
      <c r="Y45" s="3">
        <v>172269.33</v>
      </c>
      <c r="Z45" s="3">
        <v>172269.33</v>
      </c>
      <c r="AA45">
        <v>1</v>
      </c>
      <c r="AB45" t="s">
        <v>39</v>
      </c>
      <c r="AC45" t="s">
        <v>39</v>
      </c>
      <c r="AD45" t="s">
        <v>48</v>
      </c>
    </row>
    <row r="46" spans="1:30" x14ac:dyDescent="0.35">
      <c r="A46" s="1" t="s">
        <v>30</v>
      </c>
      <c r="B46" t="s">
        <v>1069</v>
      </c>
      <c r="C46" t="s">
        <v>599</v>
      </c>
      <c r="D46" t="s">
        <v>1161</v>
      </c>
      <c r="E46" t="s">
        <v>1162</v>
      </c>
      <c r="F46" t="s">
        <v>891</v>
      </c>
      <c r="G46" t="s">
        <v>892</v>
      </c>
      <c r="H46" t="s">
        <v>37</v>
      </c>
      <c r="I46" t="s">
        <v>39</v>
      </c>
      <c r="J46" t="s">
        <v>39</v>
      </c>
      <c r="K46" s="2">
        <v>46083</v>
      </c>
      <c r="L46" s="2">
        <v>46112</v>
      </c>
      <c r="M46" s="2">
        <v>46112</v>
      </c>
      <c r="N46" s="2">
        <v>46082</v>
      </c>
      <c r="O46" s="2">
        <v>46447</v>
      </c>
      <c r="P46">
        <v>12</v>
      </c>
      <c r="Q46" t="s">
        <v>104</v>
      </c>
      <c r="R46" t="s">
        <v>41</v>
      </c>
      <c r="S46" t="s">
        <v>141</v>
      </c>
      <c r="T46" t="s">
        <v>131</v>
      </c>
      <c r="U46" t="s">
        <v>44</v>
      </c>
      <c r="V46" t="s">
        <v>67</v>
      </c>
      <c r="W46" t="s">
        <v>82</v>
      </c>
      <c r="X46" t="s">
        <v>158</v>
      </c>
      <c r="Y46" s="3">
        <v>156493.88</v>
      </c>
      <c r="Z46" s="3">
        <v>156493.88</v>
      </c>
      <c r="AA46">
        <v>1</v>
      </c>
      <c r="AB46" t="s">
        <v>39</v>
      </c>
      <c r="AC46" t="s">
        <v>39</v>
      </c>
      <c r="AD46" t="s">
        <v>48</v>
      </c>
    </row>
    <row r="47" spans="1:30" x14ac:dyDescent="0.35">
      <c r="A47" s="1" t="s">
        <v>30</v>
      </c>
      <c r="B47" t="s">
        <v>1069</v>
      </c>
      <c r="C47" t="s">
        <v>599</v>
      </c>
      <c r="D47" t="s">
        <v>1853</v>
      </c>
      <c r="E47" t="s">
        <v>1854</v>
      </c>
      <c r="F47" t="s">
        <v>147</v>
      </c>
      <c r="G47" t="s">
        <v>148</v>
      </c>
      <c r="H47" t="s">
        <v>1271</v>
      </c>
      <c r="I47" t="s">
        <v>39</v>
      </c>
      <c r="J47" t="s">
        <v>39</v>
      </c>
      <c r="K47" s="2">
        <v>46095</v>
      </c>
      <c r="L47" s="2">
        <v>46112</v>
      </c>
      <c r="M47" s="2">
        <v>46112</v>
      </c>
      <c r="N47" s="2">
        <v>46082</v>
      </c>
      <c r="O47" s="2">
        <v>46447</v>
      </c>
      <c r="P47">
        <v>12</v>
      </c>
      <c r="Q47" t="s">
        <v>104</v>
      </c>
      <c r="R47" t="s">
        <v>53</v>
      </c>
      <c r="S47" t="s">
        <v>139</v>
      </c>
      <c r="T47" t="s">
        <v>43</v>
      </c>
      <c r="U47" t="s">
        <v>44</v>
      </c>
      <c r="V47" t="s">
        <v>67</v>
      </c>
      <c r="W47" t="s">
        <v>150</v>
      </c>
      <c r="X47" t="s">
        <v>47</v>
      </c>
      <c r="Y47" s="3">
        <v>154932.94</v>
      </c>
      <c r="Z47" s="3">
        <v>154932.94</v>
      </c>
      <c r="AA47">
        <v>1</v>
      </c>
      <c r="AB47" t="s">
        <v>39</v>
      </c>
      <c r="AC47" t="s">
        <v>39</v>
      </c>
      <c r="AD47" t="s">
        <v>48</v>
      </c>
    </row>
    <row r="48" spans="1:30" x14ac:dyDescent="0.35">
      <c r="A48" s="1" t="s">
        <v>30</v>
      </c>
      <c r="B48" t="s">
        <v>1069</v>
      </c>
      <c r="C48" t="s">
        <v>599</v>
      </c>
      <c r="D48" t="s">
        <v>1855</v>
      </c>
      <c r="E48" t="s">
        <v>1856</v>
      </c>
      <c r="F48" t="s">
        <v>159</v>
      </c>
      <c r="G48" t="s">
        <v>160</v>
      </c>
      <c r="H48" t="s">
        <v>1271</v>
      </c>
      <c r="I48" t="s">
        <v>39</v>
      </c>
      <c r="J48" t="s">
        <v>39</v>
      </c>
      <c r="K48" s="2">
        <v>46086</v>
      </c>
      <c r="L48" s="2">
        <v>46112</v>
      </c>
      <c r="M48" s="2">
        <v>46112</v>
      </c>
      <c r="N48" s="2">
        <v>46082</v>
      </c>
      <c r="O48" s="2">
        <v>46447</v>
      </c>
      <c r="P48">
        <v>12</v>
      </c>
      <c r="Q48" t="s">
        <v>40</v>
      </c>
      <c r="R48" t="s">
        <v>88</v>
      </c>
      <c r="S48" t="s">
        <v>96</v>
      </c>
      <c r="T48" t="s">
        <v>97</v>
      </c>
      <c r="U48" t="s">
        <v>56</v>
      </c>
      <c r="V48" t="s">
        <v>57</v>
      </c>
      <c r="W48" t="s">
        <v>75</v>
      </c>
      <c r="X48" t="s">
        <v>143</v>
      </c>
      <c r="Y48" s="3">
        <v>93337.29</v>
      </c>
      <c r="Z48" s="3">
        <v>93337.29</v>
      </c>
      <c r="AA48">
        <v>1</v>
      </c>
      <c r="AB48" t="s">
        <v>39</v>
      </c>
      <c r="AC48" t="s">
        <v>39</v>
      </c>
      <c r="AD48" t="s">
        <v>48</v>
      </c>
    </row>
    <row r="49" spans="1:30" x14ac:dyDescent="0.35">
      <c r="A49" s="1" t="s">
        <v>30</v>
      </c>
      <c r="B49" t="s">
        <v>1069</v>
      </c>
      <c r="C49" t="s">
        <v>599</v>
      </c>
      <c r="D49" t="s">
        <v>1857</v>
      </c>
      <c r="E49" t="s">
        <v>1858</v>
      </c>
      <c r="F49" t="s">
        <v>1859</v>
      </c>
      <c r="G49" t="s">
        <v>1860</v>
      </c>
      <c r="H49" t="s">
        <v>1271</v>
      </c>
      <c r="I49" t="s">
        <v>39</v>
      </c>
      <c r="J49" t="s">
        <v>39</v>
      </c>
      <c r="K49" s="2">
        <v>46084</v>
      </c>
      <c r="L49" s="2">
        <v>46112</v>
      </c>
      <c r="M49" s="2">
        <v>46112</v>
      </c>
      <c r="N49" s="2">
        <v>46082</v>
      </c>
      <c r="O49" s="2">
        <v>46447</v>
      </c>
      <c r="P49">
        <v>12</v>
      </c>
      <c r="Q49" t="s">
        <v>65</v>
      </c>
      <c r="R49" t="s">
        <v>88</v>
      </c>
      <c r="S49" t="s">
        <v>54</v>
      </c>
      <c r="T49" t="s">
        <v>55</v>
      </c>
      <c r="U49" t="s">
        <v>44</v>
      </c>
      <c r="V49" t="s">
        <v>81</v>
      </c>
      <c r="W49" t="s">
        <v>136</v>
      </c>
      <c r="X49" t="s">
        <v>83</v>
      </c>
      <c r="Y49" s="3">
        <v>180335.07</v>
      </c>
      <c r="Z49" s="3">
        <v>180335.07</v>
      </c>
      <c r="AA49">
        <v>1</v>
      </c>
      <c r="AB49" t="s">
        <v>39</v>
      </c>
      <c r="AC49" t="s">
        <v>39</v>
      </c>
      <c r="AD49" t="s">
        <v>48</v>
      </c>
    </row>
    <row r="50" spans="1:30" x14ac:dyDescent="0.35">
      <c r="A50" s="1" t="s">
        <v>30</v>
      </c>
      <c r="B50" t="s">
        <v>1069</v>
      </c>
      <c r="C50" t="s">
        <v>599</v>
      </c>
      <c r="D50" t="s">
        <v>1861</v>
      </c>
      <c r="E50" t="s">
        <v>1862</v>
      </c>
      <c r="F50" t="s">
        <v>1219</v>
      </c>
      <c r="G50" t="s">
        <v>1220</v>
      </c>
      <c r="H50" t="s">
        <v>1271</v>
      </c>
      <c r="I50" t="s">
        <v>39</v>
      </c>
      <c r="J50" t="s">
        <v>39</v>
      </c>
      <c r="K50" s="2">
        <v>46085</v>
      </c>
      <c r="L50" s="2">
        <v>46112</v>
      </c>
      <c r="M50" s="2">
        <v>46112</v>
      </c>
      <c r="N50" s="2">
        <v>46082</v>
      </c>
      <c r="O50" s="2">
        <v>46447</v>
      </c>
      <c r="P50">
        <v>12</v>
      </c>
      <c r="Q50" t="s">
        <v>65</v>
      </c>
      <c r="R50" t="s">
        <v>53</v>
      </c>
      <c r="S50" t="s">
        <v>118</v>
      </c>
      <c r="T50" t="s">
        <v>97</v>
      </c>
      <c r="U50" t="s">
        <v>44</v>
      </c>
      <c r="V50" t="s">
        <v>217</v>
      </c>
      <c r="W50" t="s">
        <v>150</v>
      </c>
      <c r="X50" t="s">
        <v>91</v>
      </c>
      <c r="Y50" s="3">
        <v>153748.63</v>
      </c>
      <c r="Z50" s="3">
        <v>153748.63</v>
      </c>
      <c r="AA50">
        <v>1</v>
      </c>
      <c r="AB50" t="s">
        <v>39</v>
      </c>
      <c r="AC50" t="s">
        <v>39</v>
      </c>
      <c r="AD50" t="s">
        <v>48</v>
      </c>
    </row>
    <row r="51" spans="1:30" x14ac:dyDescent="0.35">
      <c r="A51" s="1" t="s">
        <v>30</v>
      </c>
      <c r="B51" t="s">
        <v>1069</v>
      </c>
      <c r="C51" t="s">
        <v>599</v>
      </c>
      <c r="D51" t="s">
        <v>1863</v>
      </c>
      <c r="E51" t="s">
        <v>1864</v>
      </c>
      <c r="F51" t="s">
        <v>1825</v>
      </c>
      <c r="G51" t="s">
        <v>1826</v>
      </c>
      <c r="H51" t="s">
        <v>1271</v>
      </c>
      <c r="I51" t="s">
        <v>39</v>
      </c>
      <c r="J51" t="s">
        <v>39</v>
      </c>
      <c r="K51" s="2">
        <v>46086</v>
      </c>
      <c r="L51" s="2">
        <v>46112</v>
      </c>
      <c r="M51" s="2">
        <v>46112</v>
      </c>
      <c r="N51" s="2">
        <v>46082</v>
      </c>
      <c r="O51" s="2">
        <v>46447</v>
      </c>
      <c r="P51">
        <v>12</v>
      </c>
      <c r="Q51" t="s">
        <v>65</v>
      </c>
      <c r="R51" t="s">
        <v>41</v>
      </c>
      <c r="S51" t="s">
        <v>135</v>
      </c>
      <c r="T51" t="s">
        <v>131</v>
      </c>
      <c r="U51" t="s">
        <v>56</v>
      </c>
      <c r="V51" t="s">
        <v>45</v>
      </c>
      <c r="W51" t="s">
        <v>132</v>
      </c>
      <c r="X51" t="s">
        <v>59</v>
      </c>
      <c r="Y51" s="3">
        <v>91876.96</v>
      </c>
      <c r="Z51" s="3">
        <v>91876.96</v>
      </c>
      <c r="AA51">
        <v>1</v>
      </c>
      <c r="AB51" t="s">
        <v>39</v>
      </c>
      <c r="AC51" t="s">
        <v>39</v>
      </c>
      <c r="AD51" t="s">
        <v>48</v>
      </c>
    </row>
    <row r="52" spans="1:30" x14ac:dyDescent="0.35">
      <c r="A52" s="1" t="s">
        <v>30</v>
      </c>
      <c r="B52" t="s">
        <v>1069</v>
      </c>
      <c r="C52" t="s">
        <v>599</v>
      </c>
      <c r="D52" t="s">
        <v>1865</v>
      </c>
      <c r="E52" t="s">
        <v>1866</v>
      </c>
      <c r="F52" t="s">
        <v>513</v>
      </c>
      <c r="G52" t="s">
        <v>514</v>
      </c>
      <c r="H52" t="s">
        <v>1271</v>
      </c>
      <c r="I52" t="s">
        <v>39</v>
      </c>
      <c r="J52" t="s">
        <v>39</v>
      </c>
      <c r="K52" s="2">
        <v>46093</v>
      </c>
      <c r="L52" s="2">
        <v>46112</v>
      </c>
      <c r="M52" s="2">
        <v>46112</v>
      </c>
      <c r="N52" s="2">
        <v>46082</v>
      </c>
      <c r="O52" s="2">
        <v>46813</v>
      </c>
      <c r="P52">
        <v>24</v>
      </c>
      <c r="Q52" t="s">
        <v>104</v>
      </c>
      <c r="R52" t="s">
        <v>53</v>
      </c>
      <c r="S52" t="s">
        <v>137</v>
      </c>
      <c r="T52" t="s">
        <v>97</v>
      </c>
      <c r="U52" t="s">
        <v>44</v>
      </c>
      <c r="V52" t="s">
        <v>57</v>
      </c>
      <c r="W52" t="s">
        <v>82</v>
      </c>
      <c r="X52" t="s">
        <v>47</v>
      </c>
      <c r="Y52" s="3">
        <v>105769.11</v>
      </c>
      <c r="Z52" s="3">
        <v>105769.11</v>
      </c>
      <c r="AA52">
        <v>1</v>
      </c>
      <c r="AB52" t="s">
        <v>39</v>
      </c>
      <c r="AC52" t="s">
        <v>39</v>
      </c>
      <c r="AD52" t="s">
        <v>48</v>
      </c>
    </row>
    <row r="53" spans="1:30" x14ac:dyDescent="0.35">
      <c r="A53" s="1" t="s">
        <v>30</v>
      </c>
      <c r="B53" t="s">
        <v>1069</v>
      </c>
      <c r="C53" t="s">
        <v>599</v>
      </c>
      <c r="D53" t="s">
        <v>1867</v>
      </c>
      <c r="E53" t="s">
        <v>1868</v>
      </c>
      <c r="F53" t="s">
        <v>597</v>
      </c>
      <c r="G53" t="s">
        <v>598</v>
      </c>
      <c r="H53" t="s">
        <v>1290</v>
      </c>
      <c r="I53" t="s">
        <v>111</v>
      </c>
      <c r="J53" t="s">
        <v>1290</v>
      </c>
      <c r="K53" s="2">
        <v>46094</v>
      </c>
      <c r="L53" s="2">
        <v>46112</v>
      </c>
      <c r="N53" s="2">
        <v>46082</v>
      </c>
      <c r="O53" s="2">
        <v>46447</v>
      </c>
      <c r="P53">
        <v>12</v>
      </c>
      <c r="Q53" t="s">
        <v>65</v>
      </c>
      <c r="R53" t="s">
        <v>53</v>
      </c>
      <c r="S53" t="s">
        <v>163</v>
      </c>
      <c r="T53" t="s">
        <v>131</v>
      </c>
      <c r="U53" t="s">
        <v>44</v>
      </c>
      <c r="V53" t="s">
        <v>144</v>
      </c>
      <c r="W53" t="s">
        <v>46</v>
      </c>
      <c r="X53" t="s">
        <v>59</v>
      </c>
      <c r="Y53" s="3">
        <v>210000</v>
      </c>
      <c r="Z53" s="3">
        <v>210000</v>
      </c>
      <c r="AA53">
        <v>1</v>
      </c>
      <c r="AB53" t="s">
        <v>1290</v>
      </c>
      <c r="AC53" t="s">
        <v>1290</v>
      </c>
      <c r="AD53" t="s">
        <v>48</v>
      </c>
    </row>
    <row r="54" spans="1:30" x14ac:dyDescent="0.35">
      <c r="A54" s="1" t="s">
        <v>30</v>
      </c>
      <c r="B54" t="s">
        <v>1069</v>
      </c>
      <c r="C54" t="s">
        <v>599</v>
      </c>
      <c r="D54" t="s">
        <v>1869</v>
      </c>
      <c r="E54" t="s">
        <v>1870</v>
      </c>
      <c r="F54" t="s">
        <v>156</v>
      </c>
      <c r="G54" t="s">
        <v>157</v>
      </c>
      <c r="H54" t="s">
        <v>1295</v>
      </c>
      <c r="I54" t="s">
        <v>103</v>
      </c>
      <c r="J54" t="s">
        <v>1295</v>
      </c>
      <c r="K54" s="2">
        <v>46095</v>
      </c>
      <c r="L54" s="2">
        <v>46112</v>
      </c>
      <c r="N54" s="2">
        <v>46082</v>
      </c>
      <c r="O54" s="2">
        <v>47178</v>
      </c>
      <c r="P54">
        <v>36</v>
      </c>
      <c r="Q54" t="s">
        <v>40</v>
      </c>
      <c r="R54" t="s">
        <v>41</v>
      </c>
      <c r="S54" t="s">
        <v>135</v>
      </c>
      <c r="T54" t="s">
        <v>131</v>
      </c>
      <c r="U54" t="s">
        <v>56</v>
      </c>
      <c r="V54" t="s">
        <v>74</v>
      </c>
      <c r="W54" t="s">
        <v>75</v>
      </c>
      <c r="X54" t="s">
        <v>59</v>
      </c>
      <c r="Y54" s="3">
        <v>233054.59</v>
      </c>
      <c r="Z54" s="3">
        <v>233054.59</v>
      </c>
      <c r="AA54">
        <v>1</v>
      </c>
      <c r="AB54" t="s">
        <v>1295</v>
      </c>
      <c r="AC54" t="s">
        <v>1295</v>
      </c>
      <c r="AD54" t="s">
        <v>48</v>
      </c>
    </row>
    <row r="55" spans="1:30" x14ac:dyDescent="0.35">
      <c r="A55" s="1" t="s">
        <v>30</v>
      </c>
      <c r="B55" t="s">
        <v>1069</v>
      </c>
      <c r="C55" t="s">
        <v>599</v>
      </c>
      <c r="D55" t="s">
        <v>1871</v>
      </c>
      <c r="E55" t="s">
        <v>1872</v>
      </c>
      <c r="F55" t="s">
        <v>1873</v>
      </c>
      <c r="G55" t="s">
        <v>1874</v>
      </c>
      <c r="H55" t="s">
        <v>1295</v>
      </c>
      <c r="I55" t="s">
        <v>111</v>
      </c>
      <c r="J55" t="s">
        <v>1295</v>
      </c>
      <c r="K55" s="2">
        <v>46085</v>
      </c>
      <c r="L55" s="2">
        <v>46112</v>
      </c>
      <c r="N55" s="2">
        <v>46082</v>
      </c>
      <c r="O55" s="2">
        <v>46813</v>
      </c>
      <c r="P55">
        <v>24</v>
      </c>
      <c r="Q55" t="s">
        <v>104</v>
      </c>
      <c r="R55" t="s">
        <v>88</v>
      </c>
      <c r="S55" t="s">
        <v>139</v>
      </c>
      <c r="T55" t="s">
        <v>43</v>
      </c>
      <c r="U55" t="s">
        <v>44</v>
      </c>
      <c r="V55" t="s">
        <v>138</v>
      </c>
      <c r="W55" t="s">
        <v>132</v>
      </c>
      <c r="X55" t="s">
        <v>143</v>
      </c>
      <c r="Y55" s="3">
        <v>216945.41</v>
      </c>
      <c r="Z55" s="3">
        <v>216945.41</v>
      </c>
      <c r="AA55">
        <v>1</v>
      </c>
      <c r="AB55" t="s">
        <v>1295</v>
      </c>
      <c r="AC55" t="s">
        <v>1295</v>
      </c>
      <c r="AD55" t="s">
        <v>48</v>
      </c>
    </row>
    <row r="56" spans="1:30" x14ac:dyDescent="0.35">
      <c r="A56" s="1" t="s">
        <v>30</v>
      </c>
      <c r="B56" t="s">
        <v>1069</v>
      </c>
      <c r="C56" t="s">
        <v>599</v>
      </c>
      <c r="D56" t="s">
        <v>1875</v>
      </c>
      <c r="E56" t="s">
        <v>1876</v>
      </c>
      <c r="F56" t="s">
        <v>1877</v>
      </c>
      <c r="G56" t="s">
        <v>1878</v>
      </c>
      <c r="H56" t="s">
        <v>1302</v>
      </c>
      <c r="I56" t="s">
        <v>39</v>
      </c>
      <c r="J56" t="s">
        <v>39</v>
      </c>
      <c r="K56" s="2">
        <v>46095</v>
      </c>
      <c r="L56" s="2">
        <v>46112</v>
      </c>
      <c r="M56" s="2">
        <v>46112</v>
      </c>
      <c r="N56" s="2">
        <v>46082</v>
      </c>
      <c r="O56" s="2">
        <v>46447</v>
      </c>
      <c r="P56">
        <v>12</v>
      </c>
      <c r="Q56" t="s">
        <v>40</v>
      </c>
      <c r="R56" t="s">
        <v>41</v>
      </c>
      <c r="S56" t="s">
        <v>112</v>
      </c>
      <c r="T56" t="s">
        <v>55</v>
      </c>
      <c r="U56" t="s">
        <v>56</v>
      </c>
      <c r="V56" t="s">
        <v>74</v>
      </c>
      <c r="W56" t="s">
        <v>136</v>
      </c>
      <c r="X56" t="s">
        <v>83</v>
      </c>
      <c r="Y56" s="3">
        <v>70000</v>
      </c>
      <c r="Z56" s="3">
        <v>70000</v>
      </c>
      <c r="AA56">
        <v>1</v>
      </c>
      <c r="AB56" t="s">
        <v>39</v>
      </c>
      <c r="AC56" t="s">
        <v>39</v>
      </c>
      <c r="AD56" t="s">
        <v>48</v>
      </c>
    </row>
    <row r="57" spans="1:30" x14ac:dyDescent="0.35">
      <c r="A57" s="1" t="s">
        <v>30</v>
      </c>
      <c r="B57" t="s">
        <v>1069</v>
      </c>
      <c r="C57" t="s">
        <v>640</v>
      </c>
      <c r="D57" t="s">
        <v>1171</v>
      </c>
      <c r="E57" t="s">
        <v>1172</v>
      </c>
      <c r="F57" t="s">
        <v>1173</v>
      </c>
      <c r="G57" t="s">
        <v>1174</v>
      </c>
      <c r="H57" t="s">
        <v>37</v>
      </c>
      <c r="I57" t="s">
        <v>39</v>
      </c>
      <c r="J57" t="s">
        <v>39</v>
      </c>
      <c r="K57" s="2">
        <v>46124</v>
      </c>
      <c r="L57" s="2">
        <v>46142</v>
      </c>
      <c r="M57" s="2">
        <v>46142</v>
      </c>
      <c r="N57" s="2">
        <v>46113</v>
      </c>
      <c r="O57" s="2">
        <v>46478</v>
      </c>
      <c r="P57">
        <v>12</v>
      </c>
      <c r="Q57" t="s">
        <v>65</v>
      </c>
      <c r="R57" t="s">
        <v>88</v>
      </c>
      <c r="S57" t="s">
        <v>163</v>
      </c>
      <c r="T57" t="s">
        <v>131</v>
      </c>
      <c r="U57" t="s">
        <v>44</v>
      </c>
      <c r="V57" t="s">
        <v>57</v>
      </c>
      <c r="W57" t="s">
        <v>142</v>
      </c>
      <c r="X57" t="s">
        <v>59</v>
      </c>
      <c r="Y57" s="3">
        <v>103090.21</v>
      </c>
      <c r="Z57" s="3">
        <v>103090.21</v>
      </c>
      <c r="AA57">
        <v>1</v>
      </c>
      <c r="AB57" t="s">
        <v>39</v>
      </c>
      <c r="AC57" t="s">
        <v>39</v>
      </c>
      <c r="AD57" t="s">
        <v>48</v>
      </c>
    </row>
    <row r="58" spans="1:30" x14ac:dyDescent="0.35">
      <c r="A58" s="1" t="s">
        <v>30</v>
      </c>
      <c r="B58" t="s">
        <v>1069</v>
      </c>
      <c r="C58" t="s">
        <v>640</v>
      </c>
      <c r="D58" t="s">
        <v>1175</v>
      </c>
      <c r="E58" t="s">
        <v>1176</v>
      </c>
      <c r="F58" t="s">
        <v>831</v>
      </c>
      <c r="G58" t="s">
        <v>832</v>
      </c>
      <c r="H58" t="s">
        <v>37</v>
      </c>
      <c r="I58" t="s">
        <v>39</v>
      </c>
      <c r="J58" t="s">
        <v>39</v>
      </c>
      <c r="K58" s="2">
        <v>46125</v>
      </c>
      <c r="L58" s="2">
        <v>46142</v>
      </c>
      <c r="M58" s="2">
        <v>46142</v>
      </c>
      <c r="N58" s="2">
        <v>46113</v>
      </c>
      <c r="O58" s="2">
        <v>46478</v>
      </c>
      <c r="P58">
        <v>12</v>
      </c>
      <c r="Q58" t="s">
        <v>65</v>
      </c>
      <c r="R58" t="s">
        <v>53</v>
      </c>
      <c r="S58" t="s">
        <v>222</v>
      </c>
      <c r="T58" t="s">
        <v>97</v>
      </c>
      <c r="U58" t="s">
        <v>56</v>
      </c>
      <c r="V58" t="s">
        <v>67</v>
      </c>
      <c r="W58" t="s">
        <v>136</v>
      </c>
      <c r="X58" t="s">
        <v>59</v>
      </c>
      <c r="Y58" s="3">
        <v>211396.16</v>
      </c>
      <c r="Z58" s="3">
        <v>211396.16</v>
      </c>
      <c r="AA58">
        <v>1</v>
      </c>
      <c r="AB58" t="s">
        <v>39</v>
      </c>
      <c r="AC58" t="s">
        <v>39</v>
      </c>
      <c r="AD58" t="s">
        <v>48</v>
      </c>
    </row>
    <row r="59" spans="1:30" x14ac:dyDescent="0.35">
      <c r="A59" s="1" t="s">
        <v>30</v>
      </c>
      <c r="B59" t="s">
        <v>1069</v>
      </c>
      <c r="C59" t="s">
        <v>640</v>
      </c>
      <c r="D59" t="s">
        <v>1177</v>
      </c>
      <c r="E59" t="s">
        <v>1178</v>
      </c>
      <c r="F59" t="s">
        <v>636</v>
      </c>
      <c r="G59" t="s">
        <v>637</v>
      </c>
      <c r="H59" t="s">
        <v>37</v>
      </c>
      <c r="I59" t="s">
        <v>39</v>
      </c>
      <c r="J59" t="s">
        <v>39</v>
      </c>
      <c r="K59" s="2">
        <v>46115</v>
      </c>
      <c r="L59" s="2">
        <v>46142</v>
      </c>
      <c r="M59" s="2">
        <v>46142</v>
      </c>
      <c r="N59" s="2">
        <v>46113</v>
      </c>
      <c r="O59" s="2">
        <v>46478</v>
      </c>
      <c r="P59">
        <v>12</v>
      </c>
      <c r="Q59" t="s">
        <v>65</v>
      </c>
      <c r="R59" t="s">
        <v>88</v>
      </c>
      <c r="S59" t="s">
        <v>280</v>
      </c>
      <c r="T59" t="s">
        <v>43</v>
      </c>
      <c r="U59" t="s">
        <v>56</v>
      </c>
      <c r="V59" t="s">
        <v>98</v>
      </c>
      <c r="W59" t="s">
        <v>58</v>
      </c>
      <c r="X59" t="s">
        <v>83</v>
      </c>
      <c r="Y59" s="3">
        <v>205883.77</v>
      </c>
      <c r="Z59" s="3">
        <v>205883.77</v>
      </c>
      <c r="AA59">
        <v>1</v>
      </c>
      <c r="AB59" t="s">
        <v>39</v>
      </c>
      <c r="AC59" t="s">
        <v>39</v>
      </c>
      <c r="AD59" t="s">
        <v>48</v>
      </c>
    </row>
    <row r="60" spans="1:30" x14ac:dyDescent="0.35">
      <c r="A60" s="1" t="s">
        <v>30</v>
      </c>
      <c r="B60" t="s">
        <v>1069</v>
      </c>
      <c r="C60" t="s">
        <v>640</v>
      </c>
      <c r="D60" t="s">
        <v>1179</v>
      </c>
      <c r="E60" t="s">
        <v>1180</v>
      </c>
      <c r="F60" t="s">
        <v>1181</v>
      </c>
      <c r="G60" t="s">
        <v>1182</v>
      </c>
      <c r="H60" t="s">
        <v>37</v>
      </c>
      <c r="I60" t="s">
        <v>39</v>
      </c>
      <c r="J60" t="s">
        <v>39</v>
      </c>
      <c r="K60" s="2">
        <v>46124</v>
      </c>
      <c r="L60" s="2">
        <v>46142</v>
      </c>
      <c r="M60" s="2">
        <v>46142</v>
      </c>
      <c r="N60" s="2">
        <v>46113</v>
      </c>
      <c r="O60" s="2">
        <v>46478</v>
      </c>
      <c r="P60">
        <v>12</v>
      </c>
      <c r="Q60" t="s">
        <v>40</v>
      </c>
      <c r="R60" t="s">
        <v>53</v>
      </c>
      <c r="S60" t="s">
        <v>112</v>
      </c>
      <c r="T60" t="s">
        <v>55</v>
      </c>
      <c r="U60" t="s">
        <v>56</v>
      </c>
      <c r="V60" t="s">
        <v>144</v>
      </c>
      <c r="W60" t="s">
        <v>132</v>
      </c>
      <c r="X60" t="s">
        <v>59</v>
      </c>
      <c r="Y60" s="3">
        <v>138271.04000000001</v>
      </c>
      <c r="Z60" s="3">
        <v>138271.04000000001</v>
      </c>
      <c r="AA60">
        <v>1</v>
      </c>
      <c r="AB60" t="s">
        <v>39</v>
      </c>
      <c r="AC60" t="s">
        <v>39</v>
      </c>
      <c r="AD60" t="s">
        <v>48</v>
      </c>
    </row>
    <row r="61" spans="1:30" x14ac:dyDescent="0.35">
      <c r="A61" s="1" t="s">
        <v>30</v>
      </c>
      <c r="B61" t="s">
        <v>1069</v>
      </c>
      <c r="C61" t="s">
        <v>640</v>
      </c>
      <c r="D61" t="s">
        <v>1183</v>
      </c>
      <c r="E61" t="s">
        <v>1184</v>
      </c>
      <c r="F61" t="s">
        <v>1185</v>
      </c>
      <c r="G61" t="s">
        <v>1186</v>
      </c>
      <c r="H61" t="s">
        <v>37</v>
      </c>
      <c r="I61" t="s">
        <v>39</v>
      </c>
      <c r="J61" t="s">
        <v>39</v>
      </c>
      <c r="K61" s="2">
        <v>46127</v>
      </c>
      <c r="L61" s="2">
        <v>46142</v>
      </c>
      <c r="M61" s="2">
        <v>46142</v>
      </c>
      <c r="N61" s="2">
        <v>46113</v>
      </c>
      <c r="O61" s="2">
        <v>46478</v>
      </c>
      <c r="P61">
        <v>12</v>
      </c>
      <c r="Q61" t="s">
        <v>104</v>
      </c>
      <c r="R61" t="s">
        <v>88</v>
      </c>
      <c r="S61" t="s">
        <v>164</v>
      </c>
      <c r="T61" t="s">
        <v>55</v>
      </c>
      <c r="U61" t="s">
        <v>56</v>
      </c>
      <c r="V61" t="s">
        <v>81</v>
      </c>
      <c r="W61" t="s">
        <v>75</v>
      </c>
      <c r="X61" t="s">
        <v>143</v>
      </c>
      <c r="Y61" s="3">
        <v>111795.36</v>
      </c>
      <c r="Z61" s="3">
        <v>111795.36</v>
      </c>
      <c r="AA61">
        <v>1</v>
      </c>
      <c r="AB61" t="s">
        <v>39</v>
      </c>
      <c r="AC61" t="s">
        <v>39</v>
      </c>
      <c r="AD61" t="s">
        <v>48</v>
      </c>
    </row>
    <row r="62" spans="1:30" x14ac:dyDescent="0.35">
      <c r="A62" s="1" t="s">
        <v>30</v>
      </c>
      <c r="B62" t="s">
        <v>1069</v>
      </c>
      <c r="C62" t="s">
        <v>640</v>
      </c>
      <c r="D62" t="s">
        <v>1187</v>
      </c>
      <c r="E62" t="s">
        <v>1188</v>
      </c>
      <c r="F62" t="s">
        <v>1189</v>
      </c>
      <c r="G62" t="s">
        <v>1190</v>
      </c>
      <c r="H62" t="s">
        <v>37</v>
      </c>
      <c r="I62" t="s">
        <v>39</v>
      </c>
      <c r="J62" t="s">
        <v>39</v>
      </c>
      <c r="K62" s="2">
        <v>46120</v>
      </c>
      <c r="L62" s="2">
        <v>46142</v>
      </c>
      <c r="M62" s="2">
        <v>46142</v>
      </c>
      <c r="N62" s="2">
        <v>46113</v>
      </c>
      <c r="O62" s="2">
        <v>46478</v>
      </c>
      <c r="P62">
        <v>12</v>
      </c>
      <c r="Q62" t="s">
        <v>65</v>
      </c>
      <c r="R62" t="s">
        <v>88</v>
      </c>
      <c r="S62" t="s">
        <v>89</v>
      </c>
      <c r="T62" t="s">
        <v>55</v>
      </c>
      <c r="U62" t="s">
        <v>56</v>
      </c>
      <c r="V62" t="s">
        <v>98</v>
      </c>
      <c r="W62" t="s">
        <v>161</v>
      </c>
      <c r="X62" t="s">
        <v>125</v>
      </c>
      <c r="Y62" s="3">
        <v>176460.13</v>
      </c>
      <c r="Z62" s="3">
        <v>176460.13</v>
      </c>
      <c r="AA62">
        <v>1</v>
      </c>
      <c r="AB62" t="s">
        <v>39</v>
      </c>
      <c r="AC62" t="s">
        <v>39</v>
      </c>
      <c r="AD62" t="s">
        <v>48</v>
      </c>
    </row>
    <row r="63" spans="1:30" x14ac:dyDescent="0.35">
      <c r="A63" s="1" t="s">
        <v>30</v>
      </c>
      <c r="B63" t="s">
        <v>1069</v>
      </c>
      <c r="C63" t="s">
        <v>640</v>
      </c>
      <c r="D63" t="s">
        <v>1191</v>
      </c>
      <c r="E63" t="s">
        <v>1192</v>
      </c>
      <c r="F63" t="s">
        <v>1193</v>
      </c>
      <c r="G63" t="s">
        <v>1194</v>
      </c>
      <c r="H63" t="s">
        <v>37</v>
      </c>
      <c r="I63" t="s">
        <v>39</v>
      </c>
      <c r="J63" t="s">
        <v>39</v>
      </c>
      <c r="K63" s="2">
        <v>46125</v>
      </c>
      <c r="L63" s="2">
        <v>46142</v>
      </c>
      <c r="M63" s="2">
        <v>46142</v>
      </c>
      <c r="N63" s="2">
        <v>46113</v>
      </c>
      <c r="O63" s="2">
        <v>46478</v>
      </c>
      <c r="P63">
        <v>12</v>
      </c>
      <c r="Q63" t="s">
        <v>104</v>
      </c>
      <c r="R63" t="s">
        <v>41</v>
      </c>
      <c r="S63" t="s">
        <v>137</v>
      </c>
      <c r="T63" t="s">
        <v>97</v>
      </c>
      <c r="U63" t="s">
        <v>106</v>
      </c>
      <c r="V63" t="s">
        <v>45</v>
      </c>
      <c r="W63" t="s">
        <v>136</v>
      </c>
      <c r="X63" t="s">
        <v>125</v>
      </c>
      <c r="Y63" s="3">
        <v>154802.9</v>
      </c>
      <c r="Z63" s="3">
        <v>154802.9</v>
      </c>
      <c r="AA63">
        <v>1</v>
      </c>
      <c r="AB63" t="s">
        <v>39</v>
      </c>
      <c r="AC63" t="s">
        <v>39</v>
      </c>
      <c r="AD63" t="s">
        <v>48</v>
      </c>
    </row>
    <row r="64" spans="1:30" x14ac:dyDescent="0.35">
      <c r="A64" s="1" t="s">
        <v>30</v>
      </c>
      <c r="B64" t="s">
        <v>1069</v>
      </c>
      <c r="C64" t="s">
        <v>640</v>
      </c>
      <c r="D64" t="s">
        <v>1195</v>
      </c>
      <c r="E64" t="s">
        <v>1196</v>
      </c>
      <c r="F64" t="s">
        <v>1197</v>
      </c>
      <c r="G64" t="s">
        <v>1198</v>
      </c>
      <c r="H64" t="s">
        <v>37</v>
      </c>
      <c r="I64" t="s">
        <v>39</v>
      </c>
      <c r="J64" t="s">
        <v>39</v>
      </c>
      <c r="K64" s="2">
        <v>46117</v>
      </c>
      <c r="L64" s="2">
        <v>46142</v>
      </c>
      <c r="M64" s="2">
        <v>46142</v>
      </c>
      <c r="N64" s="2">
        <v>46113</v>
      </c>
      <c r="O64" s="2">
        <v>46478</v>
      </c>
      <c r="P64">
        <v>12</v>
      </c>
      <c r="Q64" t="s">
        <v>104</v>
      </c>
      <c r="R64" t="s">
        <v>88</v>
      </c>
      <c r="S64" t="s">
        <v>66</v>
      </c>
      <c r="T64" t="s">
        <v>55</v>
      </c>
      <c r="U64" t="s">
        <v>44</v>
      </c>
      <c r="V64" t="s">
        <v>138</v>
      </c>
      <c r="W64" t="s">
        <v>161</v>
      </c>
      <c r="X64" t="s">
        <v>47</v>
      </c>
      <c r="Y64" s="3">
        <v>143697.73000000001</v>
      </c>
      <c r="Z64" s="3">
        <v>143697.73000000001</v>
      </c>
      <c r="AA64">
        <v>1</v>
      </c>
      <c r="AB64" t="s">
        <v>39</v>
      </c>
      <c r="AC64" t="s">
        <v>39</v>
      </c>
      <c r="AD64" t="s">
        <v>48</v>
      </c>
    </row>
    <row r="65" spans="1:30" x14ac:dyDescent="0.35">
      <c r="A65" s="1" t="s">
        <v>30</v>
      </c>
      <c r="B65" t="s">
        <v>1069</v>
      </c>
      <c r="C65" t="s">
        <v>640</v>
      </c>
      <c r="D65" t="s">
        <v>1199</v>
      </c>
      <c r="E65" t="s">
        <v>1200</v>
      </c>
      <c r="F65" t="s">
        <v>1201</v>
      </c>
      <c r="G65" t="s">
        <v>1202</v>
      </c>
      <c r="H65" t="s">
        <v>37</v>
      </c>
      <c r="I65" t="s">
        <v>39</v>
      </c>
      <c r="J65" t="s">
        <v>39</v>
      </c>
      <c r="K65" s="2">
        <v>46127</v>
      </c>
      <c r="L65" s="2">
        <v>46142</v>
      </c>
      <c r="M65" s="2">
        <v>46142</v>
      </c>
      <c r="N65" s="2">
        <v>46113</v>
      </c>
      <c r="O65" s="2">
        <v>46478</v>
      </c>
      <c r="P65">
        <v>12</v>
      </c>
      <c r="Q65" t="s">
        <v>65</v>
      </c>
      <c r="R65" t="s">
        <v>41</v>
      </c>
      <c r="S65" t="s">
        <v>118</v>
      </c>
      <c r="T65" t="s">
        <v>97</v>
      </c>
      <c r="U65" t="s">
        <v>106</v>
      </c>
      <c r="V65" t="s">
        <v>74</v>
      </c>
      <c r="W65" t="s">
        <v>75</v>
      </c>
      <c r="X65" t="s">
        <v>91</v>
      </c>
      <c r="Y65" s="3">
        <v>95901.77</v>
      </c>
      <c r="Z65" s="3">
        <v>95901.77</v>
      </c>
      <c r="AA65">
        <v>1</v>
      </c>
      <c r="AB65" t="s">
        <v>39</v>
      </c>
      <c r="AC65" t="s">
        <v>39</v>
      </c>
      <c r="AD65" t="s">
        <v>48</v>
      </c>
    </row>
    <row r="66" spans="1:30" x14ac:dyDescent="0.35">
      <c r="A66" s="1" t="s">
        <v>30</v>
      </c>
      <c r="B66" t="s">
        <v>1069</v>
      </c>
      <c r="C66" t="s">
        <v>640</v>
      </c>
      <c r="D66" t="s">
        <v>1203</v>
      </c>
      <c r="E66" t="s">
        <v>1204</v>
      </c>
      <c r="F66" t="s">
        <v>1205</v>
      </c>
      <c r="G66" t="s">
        <v>1206</v>
      </c>
      <c r="H66" t="s">
        <v>37</v>
      </c>
      <c r="I66" t="s">
        <v>39</v>
      </c>
      <c r="J66" t="s">
        <v>39</v>
      </c>
      <c r="K66" s="2">
        <v>46115</v>
      </c>
      <c r="L66" s="2">
        <v>46142</v>
      </c>
      <c r="M66" s="2">
        <v>46142</v>
      </c>
      <c r="N66" s="2">
        <v>46113</v>
      </c>
      <c r="O66" s="2">
        <v>46478</v>
      </c>
      <c r="P66">
        <v>12</v>
      </c>
      <c r="Q66" t="s">
        <v>104</v>
      </c>
      <c r="R66" t="s">
        <v>41</v>
      </c>
      <c r="S66" t="s">
        <v>42</v>
      </c>
      <c r="T66" t="s">
        <v>43</v>
      </c>
      <c r="U66" t="s">
        <v>106</v>
      </c>
      <c r="V66" t="s">
        <v>217</v>
      </c>
      <c r="W66" t="s">
        <v>142</v>
      </c>
      <c r="X66" t="s">
        <v>158</v>
      </c>
      <c r="Y66" s="3">
        <v>131816.85999999999</v>
      </c>
      <c r="Z66" s="3">
        <v>131816.85999999999</v>
      </c>
      <c r="AA66">
        <v>1</v>
      </c>
      <c r="AB66" t="s">
        <v>39</v>
      </c>
      <c r="AC66" t="s">
        <v>39</v>
      </c>
      <c r="AD66" t="s">
        <v>48</v>
      </c>
    </row>
    <row r="67" spans="1:30" x14ac:dyDescent="0.35">
      <c r="A67" s="1" t="s">
        <v>30</v>
      </c>
      <c r="B67" t="s">
        <v>1069</v>
      </c>
      <c r="C67" t="s">
        <v>640</v>
      </c>
      <c r="D67" t="s">
        <v>1207</v>
      </c>
      <c r="E67" t="s">
        <v>1208</v>
      </c>
      <c r="F67" t="s">
        <v>1209</v>
      </c>
      <c r="G67" t="s">
        <v>1210</v>
      </c>
      <c r="H67" t="s">
        <v>37</v>
      </c>
      <c r="I67" t="s">
        <v>39</v>
      </c>
      <c r="J67" t="s">
        <v>39</v>
      </c>
      <c r="K67" s="2">
        <v>46119</v>
      </c>
      <c r="L67" s="2">
        <v>46142</v>
      </c>
      <c r="M67" s="2">
        <v>46142</v>
      </c>
      <c r="N67" s="2">
        <v>46113</v>
      </c>
      <c r="O67" s="2">
        <v>46478</v>
      </c>
      <c r="P67">
        <v>12</v>
      </c>
      <c r="Q67" t="s">
        <v>104</v>
      </c>
      <c r="R67" t="s">
        <v>53</v>
      </c>
      <c r="S67" t="s">
        <v>141</v>
      </c>
      <c r="T67" t="s">
        <v>131</v>
      </c>
      <c r="U67" t="s">
        <v>44</v>
      </c>
      <c r="V67" t="s">
        <v>144</v>
      </c>
      <c r="W67" t="s">
        <v>90</v>
      </c>
      <c r="X67" t="s">
        <v>143</v>
      </c>
      <c r="Y67" s="3">
        <v>176884.06</v>
      </c>
      <c r="Z67" s="3">
        <v>176884.06</v>
      </c>
      <c r="AA67">
        <v>1</v>
      </c>
      <c r="AB67" t="s">
        <v>39</v>
      </c>
      <c r="AC67" t="s">
        <v>39</v>
      </c>
      <c r="AD67" t="s">
        <v>48</v>
      </c>
    </row>
    <row r="68" spans="1:30" x14ac:dyDescent="0.35">
      <c r="A68" s="1" t="s">
        <v>30</v>
      </c>
      <c r="B68" t="s">
        <v>1069</v>
      </c>
      <c r="C68" t="s">
        <v>640</v>
      </c>
      <c r="D68" t="s">
        <v>1879</v>
      </c>
      <c r="E68" t="s">
        <v>1880</v>
      </c>
      <c r="F68" t="s">
        <v>1881</v>
      </c>
      <c r="G68" t="s">
        <v>1882</v>
      </c>
      <c r="H68" t="s">
        <v>1271</v>
      </c>
      <c r="I68" t="s">
        <v>39</v>
      </c>
      <c r="J68" t="s">
        <v>39</v>
      </c>
      <c r="K68" s="2">
        <v>46122</v>
      </c>
      <c r="L68" s="2">
        <v>46142</v>
      </c>
      <c r="M68" s="2">
        <v>46142</v>
      </c>
      <c r="N68" s="2">
        <v>46113</v>
      </c>
      <c r="O68" s="2">
        <v>46844</v>
      </c>
      <c r="P68">
        <v>24</v>
      </c>
      <c r="Q68" t="s">
        <v>104</v>
      </c>
      <c r="R68" t="s">
        <v>88</v>
      </c>
      <c r="S68" t="s">
        <v>96</v>
      </c>
      <c r="T68" t="s">
        <v>97</v>
      </c>
      <c r="U68" t="s">
        <v>56</v>
      </c>
      <c r="V68" t="s">
        <v>67</v>
      </c>
      <c r="W68" t="s">
        <v>120</v>
      </c>
      <c r="X68" t="s">
        <v>158</v>
      </c>
      <c r="Y68" s="3">
        <v>159871.20000000001</v>
      </c>
      <c r="Z68" s="3">
        <v>159871.20000000001</v>
      </c>
      <c r="AA68">
        <v>1</v>
      </c>
      <c r="AB68" t="s">
        <v>39</v>
      </c>
      <c r="AC68" t="s">
        <v>39</v>
      </c>
      <c r="AD68" t="s">
        <v>48</v>
      </c>
    </row>
    <row r="69" spans="1:30" x14ac:dyDescent="0.35">
      <c r="A69" s="1" t="s">
        <v>30</v>
      </c>
      <c r="B69" t="s">
        <v>1069</v>
      </c>
      <c r="C69" t="s">
        <v>640</v>
      </c>
      <c r="D69" t="s">
        <v>1883</v>
      </c>
      <c r="E69" t="s">
        <v>1884</v>
      </c>
      <c r="F69" t="s">
        <v>242</v>
      </c>
      <c r="G69" t="s">
        <v>243</v>
      </c>
      <c r="H69" t="s">
        <v>1271</v>
      </c>
      <c r="I69" t="s">
        <v>39</v>
      </c>
      <c r="J69" t="s">
        <v>39</v>
      </c>
      <c r="K69" s="2">
        <v>46118</v>
      </c>
      <c r="L69" s="2">
        <v>46142</v>
      </c>
      <c r="M69" s="2">
        <v>46142</v>
      </c>
      <c r="N69" s="2">
        <v>46113</v>
      </c>
      <c r="O69" s="2">
        <v>46478</v>
      </c>
      <c r="P69">
        <v>12</v>
      </c>
      <c r="Q69" t="s">
        <v>40</v>
      </c>
      <c r="R69" t="s">
        <v>53</v>
      </c>
      <c r="S69" t="s">
        <v>182</v>
      </c>
      <c r="T69" t="s">
        <v>97</v>
      </c>
      <c r="U69" t="s">
        <v>44</v>
      </c>
      <c r="V69" t="s">
        <v>138</v>
      </c>
      <c r="W69" t="s">
        <v>58</v>
      </c>
      <c r="X69" t="s">
        <v>47</v>
      </c>
      <c r="Y69" s="3">
        <v>148846.04</v>
      </c>
      <c r="Z69" s="3">
        <v>148846.04</v>
      </c>
      <c r="AA69">
        <v>1</v>
      </c>
      <c r="AB69" t="s">
        <v>39</v>
      </c>
      <c r="AC69" t="s">
        <v>39</v>
      </c>
      <c r="AD69" t="s">
        <v>48</v>
      </c>
    </row>
    <row r="70" spans="1:30" x14ac:dyDescent="0.35">
      <c r="A70" s="1" t="s">
        <v>30</v>
      </c>
      <c r="B70" t="s">
        <v>1069</v>
      </c>
      <c r="C70" t="s">
        <v>640</v>
      </c>
      <c r="D70" t="s">
        <v>1885</v>
      </c>
      <c r="E70" t="s">
        <v>1886</v>
      </c>
      <c r="F70" t="s">
        <v>1549</v>
      </c>
      <c r="G70" t="s">
        <v>1550</v>
      </c>
      <c r="H70" t="s">
        <v>1271</v>
      </c>
      <c r="I70" t="s">
        <v>39</v>
      </c>
      <c r="J70" t="s">
        <v>39</v>
      </c>
      <c r="K70" s="2">
        <v>46123</v>
      </c>
      <c r="L70" s="2">
        <v>46142</v>
      </c>
      <c r="M70" s="2">
        <v>46142</v>
      </c>
      <c r="N70" s="2">
        <v>46113</v>
      </c>
      <c r="O70" s="2">
        <v>46844</v>
      </c>
      <c r="P70">
        <v>24</v>
      </c>
      <c r="Q70" t="s">
        <v>65</v>
      </c>
      <c r="R70" t="s">
        <v>53</v>
      </c>
      <c r="S70" t="s">
        <v>137</v>
      </c>
      <c r="T70" t="s">
        <v>97</v>
      </c>
      <c r="U70" t="s">
        <v>56</v>
      </c>
      <c r="V70" t="s">
        <v>217</v>
      </c>
      <c r="W70" t="s">
        <v>161</v>
      </c>
      <c r="X70" t="s">
        <v>143</v>
      </c>
      <c r="Y70" s="3">
        <v>125397.6</v>
      </c>
      <c r="Z70" s="3">
        <v>125397.6</v>
      </c>
      <c r="AA70">
        <v>1</v>
      </c>
      <c r="AB70" t="s">
        <v>39</v>
      </c>
      <c r="AC70" t="s">
        <v>39</v>
      </c>
      <c r="AD70" t="s">
        <v>48</v>
      </c>
    </row>
    <row r="71" spans="1:30" x14ac:dyDescent="0.35">
      <c r="A71" s="1" t="s">
        <v>30</v>
      </c>
      <c r="B71" t="s">
        <v>1069</v>
      </c>
      <c r="C71" t="s">
        <v>640</v>
      </c>
      <c r="D71" t="s">
        <v>1887</v>
      </c>
      <c r="E71" t="s">
        <v>1888</v>
      </c>
      <c r="F71" t="s">
        <v>180</v>
      </c>
      <c r="G71" t="s">
        <v>181</v>
      </c>
      <c r="H71" t="s">
        <v>1271</v>
      </c>
      <c r="I71" t="s">
        <v>39</v>
      </c>
      <c r="J71" t="s">
        <v>39</v>
      </c>
      <c r="K71" s="2">
        <v>46125</v>
      </c>
      <c r="L71" s="2">
        <v>46142</v>
      </c>
      <c r="M71" s="2">
        <v>46142</v>
      </c>
      <c r="N71" s="2">
        <v>46113</v>
      </c>
      <c r="O71" s="2">
        <v>46478</v>
      </c>
      <c r="P71">
        <v>12</v>
      </c>
      <c r="Q71" t="s">
        <v>40</v>
      </c>
      <c r="R71" t="s">
        <v>53</v>
      </c>
      <c r="S71" t="s">
        <v>182</v>
      </c>
      <c r="T71" t="s">
        <v>97</v>
      </c>
      <c r="U71" t="s">
        <v>106</v>
      </c>
      <c r="V71" t="s">
        <v>138</v>
      </c>
      <c r="W71" t="s">
        <v>120</v>
      </c>
      <c r="X71" t="s">
        <v>125</v>
      </c>
      <c r="Y71" s="3">
        <v>164837.13</v>
      </c>
      <c r="Z71" s="3">
        <v>164837.13</v>
      </c>
      <c r="AA71">
        <v>1</v>
      </c>
      <c r="AB71" t="s">
        <v>39</v>
      </c>
      <c r="AC71" t="s">
        <v>39</v>
      </c>
      <c r="AD71" t="s">
        <v>48</v>
      </c>
    </row>
    <row r="72" spans="1:30" x14ac:dyDescent="0.35">
      <c r="A72" s="1" t="s">
        <v>30</v>
      </c>
      <c r="B72" t="s">
        <v>1069</v>
      </c>
      <c r="C72" t="s">
        <v>640</v>
      </c>
      <c r="D72" t="s">
        <v>1889</v>
      </c>
      <c r="E72" t="s">
        <v>1890</v>
      </c>
      <c r="F72" t="s">
        <v>1409</v>
      </c>
      <c r="G72" t="s">
        <v>1410</v>
      </c>
      <c r="H72" t="s">
        <v>1271</v>
      </c>
      <c r="I72" t="s">
        <v>39</v>
      </c>
      <c r="J72" t="s">
        <v>39</v>
      </c>
      <c r="K72" s="2">
        <v>46115</v>
      </c>
      <c r="L72" s="2">
        <v>46142</v>
      </c>
      <c r="M72" s="2">
        <v>46142</v>
      </c>
      <c r="N72" s="2">
        <v>46113</v>
      </c>
      <c r="O72" s="2">
        <v>46478</v>
      </c>
      <c r="P72">
        <v>12</v>
      </c>
      <c r="Q72" t="s">
        <v>104</v>
      </c>
      <c r="R72" t="s">
        <v>41</v>
      </c>
      <c r="S72" t="s">
        <v>105</v>
      </c>
      <c r="T72" t="s">
        <v>55</v>
      </c>
      <c r="U72" t="s">
        <v>56</v>
      </c>
      <c r="V72" t="s">
        <v>67</v>
      </c>
      <c r="W72" t="s">
        <v>58</v>
      </c>
      <c r="X72" t="s">
        <v>91</v>
      </c>
      <c r="Y72" s="3">
        <v>91436.68</v>
      </c>
      <c r="Z72" s="3">
        <v>91436.68</v>
      </c>
      <c r="AA72">
        <v>1</v>
      </c>
      <c r="AB72" t="s">
        <v>39</v>
      </c>
      <c r="AC72" t="s">
        <v>39</v>
      </c>
      <c r="AD72" t="s">
        <v>48</v>
      </c>
    </row>
    <row r="73" spans="1:30" x14ac:dyDescent="0.35">
      <c r="A73" s="1" t="s">
        <v>30</v>
      </c>
      <c r="B73" t="s">
        <v>1069</v>
      </c>
      <c r="C73" t="s">
        <v>640</v>
      </c>
      <c r="D73" t="s">
        <v>1891</v>
      </c>
      <c r="E73" t="s">
        <v>1892</v>
      </c>
      <c r="F73" t="s">
        <v>1893</v>
      </c>
      <c r="G73" t="s">
        <v>1894</v>
      </c>
      <c r="H73" t="s">
        <v>1271</v>
      </c>
      <c r="I73" t="s">
        <v>39</v>
      </c>
      <c r="J73" t="s">
        <v>39</v>
      </c>
      <c r="K73" s="2">
        <v>46114</v>
      </c>
      <c r="L73" s="2">
        <v>46142</v>
      </c>
      <c r="M73" s="2">
        <v>46142</v>
      </c>
      <c r="N73" s="2">
        <v>46113</v>
      </c>
      <c r="O73" s="2">
        <v>46478</v>
      </c>
      <c r="P73">
        <v>12</v>
      </c>
      <c r="Q73" t="s">
        <v>65</v>
      </c>
      <c r="R73" t="s">
        <v>53</v>
      </c>
      <c r="S73" t="s">
        <v>162</v>
      </c>
      <c r="T73" t="s">
        <v>43</v>
      </c>
      <c r="U73" t="s">
        <v>56</v>
      </c>
      <c r="V73" t="s">
        <v>74</v>
      </c>
      <c r="W73" t="s">
        <v>136</v>
      </c>
      <c r="X73" t="s">
        <v>47</v>
      </c>
      <c r="Y73" s="3">
        <v>159611.34</v>
      </c>
      <c r="Z73" s="3">
        <v>159611.34</v>
      </c>
      <c r="AA73">
        <v>1</v>
      </c>
      <c r="AB73" t="s">
        <v>39</v>
      </c>
      <c r="AC73" t="s">
        <v>39</v>
      </c>
      <c r="AD73" t="s">
        <v>48</v>
      </c>
    </row>
    <row r="74" spans="1:30" x14ac:dyDescent="0.35">
      <c r="A74" s="1" t="s">
        <v>30</v>
      </c>
      <c r="B74" t="s">
        <v>1069</v>
      </c>
      <c r="C74" t="s">
        <v>640</v>
      </c>
      <c r="D74" t="s">
        <v>1895</v>
      </c>
      <c r="E74" t="s">
        <v>1896</v>
      </c>
      <c r="F74" t="s">
        <v>899</v>
      </c>
      <c r="G74" t="s">
        <v>900</v>
      </c>
      <c r="H74" t="s">
        <v>1290</v>
      </c>
      <c r="I74" t="s">
        <v>103</v>
      </c>
      <c r="J74" t="s">
        <v>1290</v>
      </c>
      <c r="K74" s="2">
        <v>46126</v>
      </c>
      <c r="L74" s="2">
        <v>46142</v>
      </c>
      <c r="N74" s="2">
        <v>46113</v>
      </c>
      <c r="O74" s="2">
        <v>46478</v>
      </c>
      <c r="P74">
        <v>12</v>
      </c>
      <c r="Q74" t="s">
        <v>40</v>
      </c>
      <c r="R74" t="s">
        <v>88</v>
      </c>
      <c r="S74" t="s">
        <v>130</v>
      </c>
      <c r="T74" t="s">
        <v>131</v>
      </c>
      <c r="U74" t="s">
        <v>56</v>
      </c>
      <c r="V74" t="s">
        <v>119</v>
      </c>
      <c r="W74" t="s">
        <v>161</v>
      </c>
      <c r="X74" t="s">
        <v>125</v>
      </c>
      <c r="Y74" s="3">
        <v>225000</v>
      </c>
      <c r="Z74" s="3">
        <v>225000</v>
      </c>
      <c r="AA74">
        <v>1</v>
      </c>
      <c r="AB74" t="s">
        <v>1290</v>
      </c>
      <c r="AC74" t="s">
        <v>1290</v>
      </c>
      <c r="AD74" t="s">
        <v>48</v>
      </c>
    </row>
    <row r="75" spans="1:30" x14ac:dyDescent="0.35">
      <c r="A75" s="1" t="s">
        <v>30</v>
      </c>
      <c r="B75" t="s">
        <v>1069</v>
      </c>
      <c r="C75" t="s">
        <v>640</v>
      </c>
      <c r="D75" t="s">
        <v>1897</v>
      </c>
      <c r="E75" t="s">
        <v>1898</v>
      </c>
      <c r="F75" t="s">
        <v>1899</v>
      </c>
      <c r="G75" t="s">
        <v>1900</v>
      </c>
      <c r="H75" t="s">
        <v>1295</v>
      </c>
      <c r="I75" t="s">
        <v>38</v>
      </c>
      <c r="J75" t="s">
        <v>1295</v>
      </c>
      <c r="K75" s="2">
        <v>46126</v>
      </c>
      <c r="L75" s="2">
        <v>46142</v>
      </c>
      <c r="N75" s="2">
        <v>46113</v>
      </c>
      <c r="O75" s="2">
        <v>46478</v>
      </c>
      <c r="P75">
        <v>12</v>
      </c>
      <c r="Q75" t="s">
        <v>65</v>
      </c>
      <c r="R75" t="s">
        <v>88</v>
      </c>
      <c r="S75" t="s">
        <v>164</v>
      </c>
      <c r="T75" t="s">
        <v>55</v>
      </c>
      <c r="U75" t="s">
        <v>56</v>
      </c>
      <c r="V75" t="s">
        <v>81</v>
      </c>
      <c r="W75" t="s">
        <v>82</v>
      </c>
      <c r="X75" t="s">
        <v>158</v>
      </c>
      <c r="Y75" s="3">
        <v>206427</v>
      </c>
      <c r="Z75" s="3">
        <v>206427</v>
      </c>
      <c r="AA75">
        <v>1</v>
      </c>
      <c r="AB75" t="s">
        <v>1295</v>
      </c>
      <c r="AC75" t="s">
        <v>1295</v>
      </c>
      <c r="AD75" t="s">
        <v>48</v>
      </c>
    </row>
    <row r="76" spans="1:30" x14ac:dyDescent="0.35">
      <c r="A76" s="1" t="s">
        <v>30</v>
      </c>
      <c r="B76" t="s">
        <v>1069</v>
      </c>
      <c r="C76" t="s">
        <v>640</v>
      </c>
      <c r="D76" t="s">
        <v>1901</v>
      </c>
      <c r="E76" t="s">
        <v>1902</v>
      </c>
      <c r="F76" t="s">
        <v>1903</v>
      </c>
      <c r="G76" t="s">
        <v>1904</v>
      </c>
      <c r="H76" t="s">
        <v>1295</v>
      </c>
      <c r="I76" t="s">
        <v>103</v>
      </c>
      <c r="J76" t="s">
        <v>1295</v>
      </c>
      <c r="K76" s="2">
        <v>46126</v>
      </c>
      <c r="L76" s="2">
        <v>46142</v>
      </c>
      <c r="N76" s="2">
        <v>46113</v>
      </c>
      <c r="O76" s="2">
        <v>46478</v>
      </c>
      <c r="P76">
        <v>12</v>
      </c>
      <c r="Q76" t="s">
        <v>104</v>
      </c>
      <c r="R76" t="s">
        <v>88</v>
      </c>
      <c r="S76" t="s">
        <v>140</v>
      </c>
      <c r="T76" t="s">
        <v>97</v>
      </c>
      <c r="U76" t="s">
        <v>106</v>
      </c>
      <c r="V76" t="s">
        <v>45</v>
      </c>
      <c r="W76" t="s">
        <v>58</v>
      </c>
      <c r="X76" t="s">
        <v>83</v>
      </c>
      <c r="Y76" s="3">
        <v>263573</v>
      </c>
      <c r="Z76" s="3">
        <v>263573</v>
      </c>
      <c r="AA76">
        <v>1</v>
      </c>
      <c r="AB76" t="s">
        <v>1295</v>
      </c>
      <c r="AC76" t="s">
        <v>1295</v>
      </c>
      <c r="AD76" t="s">
        <v>48</v>
      </c>
    </row>
    <row r="77" spans="1:30" x14ac:dyDescent="0.35">
      <c r="A77" s="1" t="s">
        <v>30</v>
      </c>
      <c r="B77" t="s">
        <v>1069</v>
      </c>
      <c r="C77" t="s">
        <v>640</v>
      </c>
      <c r="D77" t="s">
        <v>1905</v>
      </c>
      <c r="E77" t="s">
        <v>1906</v>
      </c>
      <c r="F77" t="s">
        <v>1907</v>
      </c>
      <c r="G77" t="s">
        <v>1908</v>
      </c>
      <c r="H77" t="s">
        <v>1302</v>
      </c>
      <c r="I77" t="s">
        <v>39</v>
      </c>
      <c r="J77" t="s">
        <v>39</v>
      </c>
      <c r="K77" s="2">
        <v>46126</v>
      </c>
      <c r="L77" s="2">
        <v>46142</v>
      </c>
      <c r="M77" s="2">
        <v>46142</v>
      </c>
      <c r="N77" s="2">
        <v>46113</v>
      </c>
      <c r="O77" s="2">
        <v>46478</v>
      </c>
      <c r="P77">
        <v>12</v>
      </c>
      <c r="Q77" t="s">
        <v>104</v>
      </c>
      <c r="R77" t="s">
        <v>88</v>
      </c>
      <c r="S77" t="s">
        <v>89</v>
      </c>
      <c r="T77" t="s">
        <v>55</v>
      </c>
      <c r="U77" t="s">
        <v>44</v>
      </c>
      <c r="V77" t="s">
        <v>57</v>
      </c>
      <c r="W77" t="s">
        <v>120</v>
      </c>
      <c r="X77" t="s">
        <v>47</v>
      </c>
      <c r="Y77" s="3">
        <v>75000</v>
      </c>
      <c r="Z77" s="3">
        <v>75000</v>
      </c>
      <c r="AA77">
        <v>1</v>
      </c>
      <c r="AB77" t="s">
        <v>39</v>
      </c>
      <c r="AC77" t="s">
        <v>39</v>
      </c>
      <c r="AD77" t="s">
        <v>48</v>
      </c>
    </row>
    <row r="78" spans="1:30" x14ac:dyDescent="0.35">
      <c r="A78" s="1" t="s">
        <v>30</v>
      </c>
      <c r="B78" t="s">
        <v>1069</v>
      </c>
      <c r="C78" t="s">
        <v>691</v>
      </c>
      <c r="D78" t="s">
        <v>1221</v>
      </c>
      <c r="E78" t="s">
        <v>1222</v>
      </c>
      <c r="F78" t="s">
        <v>1223</v>
      </c>
      <c r="G78" t="s">
        <v>1224</v>
      </c>
      <c r="H78" t="s">
        <v>37</v>
      </c>
      <c r="I78" t="s">
        <v>39</v>
      </c>
      <c r="J78" t="s">
        <v>39</v>
      </c>
      <c r="K78" s="2">
        <v>46143</v>
      </c>
      <c r="L78" s="2">
        <v>46173</v>
      </c>
      <c r="M78" s="2">
        <v>46173</v>
      </c>
      <c r="N78" s="2">
        <v>46143</v>
      </c>
      <c r="O78" s="2">
        <v>46874</v>
      </c>
      <c r="P78">
        <v>24</v>
      </c>
      <c r="Q78" t="s">
        <v>104</v>
      </c>
      <c r="R78" t="s">
        <v>53</v>
      </c>
      <c r="S78" t="s">
        <v>162</v>
      </c>
      <c r="T78" t="s">
        <v>43</v>
      </c>
      <c r="U78" t="s">
        <v>56</v>
      </c>
      <c r="V78" t="s">
        <v>57</v>
      </c>
      <c r="W78" t="s">
        <v>120</v>
      </c>
      <c r="X78" t="s">
        <v>158</v>
      </c>
      <c r="Y78" s="3">
        <v>112682.33</v>
      </c>
      <c r="Z78" s="3">
        <v>112682.33</v>
      </c>
      <c r="AA78">
        <v>1</v>
      </c>
      <c r="AB78" t="s">
        <v>39</v>
      </c>
      <c r="AC78" t="s">
        <v>39</v>
      </c>
      <c r="AD78" t="s">
        <v>48</v>
      </c>
    </row>
    <row r="79" spans="1:30" x14ac:dyDescent="0.35">
      <c r="A79" s="1" t="s">
        <v>30</v>
      </c>
      <c r="B79" t="s">
        <v>1069</v>
      </c>
      <c r="C79" t="s">
        <v>691</v>
      </c>
      <c r="D79" t="s">
        <v>1225</v>
      </c>
      <c r="E79" t="s">
        <v>1226</v>
      </c>
      <c r="F79" t="s">
        <v>1227</v>
      </c>
      <c r="G79" t="s">
        <v>1228</v>
      </c>
      <c r="H79" t="s">
        <v>37</v>
      </c>
      <c r="I79" t="s">
        <v>39</v>
      </c>
      <c r="J79" t="s">
        <v>39</v>
      </c>
      <c r="K79" s="2">
        <v>46147</v>
      </c>
      <c r="L79" s="2">
        <v>46173</v>
      </c>
      <c r="M79" s="2">
        <v>46173</v>
      </c>
      <c r="N79" s="2">
        <v>46143</v>
      </c>
      <c r="O79" s="2">
        <v>46508</v>
      </c>
      <c r="P79">
        <v>12</v>
      </c>
      <c r="Q79" t="s">
        <v>40</v>
      </c>
      <c r="R79" t="s">
        <v>53</v>
      </c>
      <c r="S79" t="s">
        <v>139</v>
      </c>
      <c r="T79" t="s">
        <v>43</v>
      </c>
      <c r="U79" t="s">
        <v>106</v>
      </c>
      <c r="V79" t="s">
        <v>57</v>
      </c>
      <c r="W79" t="s">
        <v>142</v>
      </c>
      <c r="X79" t="s">
        <v>68</v>
      </c>
      <c r="Y79" s="3">
        <v>202439.39</v>
      </c>
      <c r="Z79" s="3">
        <v>202439.39</v>
      </c>
      <c r="AA79">
        <v>1</v>
      </c>
      <c r="AB79" t="s">
        <v>39</v>
      </c>
      <c r="AC79" t="s">
        <v>39</v>
      </c>
      <c r="AD79" t="s">
        <v>48</v>
      </c>
    </row>
    <row r="80" spans="1:30" x14ac:dyDescent="0.35">
      <c r="A80" s="1" t="s">
        <v>30</v>
      </c>
      <c r="B80" t="s">
        <v>1069</v>
      </c>
      <c r="C80" t="s">
        <v>691</v>
      </c>
      <c r="D80" t="s">
        <v>1229</v>
      </c>
      <c r="E80" t="s">
        <v>1230</v>
      </c>
      <c r="F80" t="s">
        <v>1231</v>
      </c>
      <c r="G80" t="s">
        <v>1232</v>
      </c>
      <c r="H80" t="s">
        <v>37</v>
      </c>
      <c r="I80" t="s">
        <v>39</v>
      </c>
      <c r="J80" t="s">
        <v>39</v>
      </c>
      <c r="K80" s="2">
        <v>46151</v>
      </c>
      <c r="L80" s="2">
        <v>46173</v>
      </c>
      <c r="M80" s="2">
        <v>46173</v>
      </c>
      <c r="N80" s="2">
        <v>46143</v>
      </c>
      <c r="O80" s="2">
        <v>46508</v>
      </c>
      <c r="P80">
        <v>12</v>
      </c>
      <c r="Q80" t="s">
        <v>40</v>
      </c>
      <c r="R80" t="s">
        <v>88</v>
      </c>
      <c r="S80" t="s">
        <v>137</v>
      </c>
      <c r="T80" t="s">
        <v>97</v>
      </c>
      <c r="U80" t="s">
        <v>106</v>
      </c>
      <c r="V80" t="s">
        <v>67</v>
      </c>
      <c r="W80" t="s">
        <v>150</v>
      </c>
      <c r="X80" t="s">
        <v>158</v>
      </c>
      <c r="Y80" s="3">
        <v>159598.16</v>
      </c>
      <c r="Z80" s="3">
        <v>159598.16</v>
      </c>
      <c r="AA80">
        <v>1</v>
      </c>
      <c r="AB80" t="s">
        <v>39</v>
      </c>
      <c r="AC80" t="s">
        <v>39</v>
      </c>
      <c r="AD80" t="s">
        <v>48</v>
      </c>
    </row>
    <row r="81" spans="1:30" x14ac:dyDescent="0.35">
      <c r="A81" s="1" t="s">
        <v>30</v>
      </c>
      <c r="B81" t="s">
        <v>1069</v>
      </c>
      <c r="C81" t="s">
        <v>691</v>
      </c>
      <c r="D81" t="s">
        <v>1233</v>
      </c>
      <c r="E81" t="s">
        <v>1234</v>
      </c>
      <c r="F81" t="s">
        <v>220</v>
      </c>
      <c r="G81" t="s">
        <v>221</v>
      </c>
      <c r="H81" t="s">
        <v>37</v>
      </c>
      <c r="I81" t="s">
        <v>39</v>
      </c>
      <c r="J81" t="s">
        <v>39</v>
      </c>
      <c r="K81" s="2">
        <v>46154</v>
      </c>
      <c r="L81" s="2">
        <v>46173</v>
      </c>
      <c r="M81" s="2">
        <v>46173</v>
      </c>
      <c r="N81" s="2">
        <v>46143</v>
      </c>
      <c r="O81" s="2">
        <v>46874</v>
      </c>
      <c r="P81">
        <v>24</v>
      </c>
      <c r="Q81" t="s">
        <v>104</v>
      </c>
      <c r="R81" t="s">
        <v>88</v>
      </c>
      <c r="S81" t="s">
        <v>118</v>
      </c>
      <c r="T81" t="s">
        <v>97</v>
      </c>
      <c r="U81" t="s">
        <v>44</v>
      </c>
      <c r="V81" t="s">
        <v>138</v>
      </c>
      <c r="W81" t="s">
        <v>132</v>
      </c>
      <c r="X81" t="s">
        <v>47</v>
      </c>
      <c r="Y81" s="3">
        <v>142055.29</v>
      </c>
      <c r="Z81" s="3">
        <v>142055.29</v>
      </c>
      <c r="AA81">
        <v>1</v>
      </c>
      <c r="AB81" t="s">
        <v>39</v>
      </c>
      <c r="AC81" t="s">
        <v>39</v>
      </c>
      <c r="AD81" t="s">
        <v>48</v>
      </c>
    </row>
    <row r="82" spans="1:30" x14ac:dyDescent="0.35">
      <c r="A82" s="1" t="s">
        <v>30</v>
      </c>
      <c r="B82" t="s">
        <v>1069</v>
      </c>
      <c r="C82" t="s">
        <v>691</v>
      </c>
      <c r="D82" t="s">
        <v>1235</v>
      </c>
      <c r="E82" t="s">
        <v>1236</v>
      </c>
      <c r="F82" t="s">
        <v>1237</v>
      </c>
      <c r="G82" t="s">
        <v>1238</v>
      </c>
      <c r="H82" t="s">
        <v>37</v>
      </c>
      <c r="I82" t="s">
        <v>39</v>
      </c>
      <c r="J82" t="s">
        <v>39</v>
      </c>
      <c r="K82" s="2">
        <v>46146</v>
      </c>
      <c r="L82" s="2">
        <v>46173</v>
      </c>
      <c r="M82" s="2">
        <v>46173</v>
      </c>
      <c r="N82" s="2">
        <v>46143</v>
      </c>
      <c r="O82" s="2">
        <v>46874</v>
      </c>
      <c r="P82">
        <v>24</v>
      </c>
      <c r="Q82" t="s">
        <v>104</v>
      </c>
      <c r="R82" t="s">
        <v>88</v>
      </c>
      <c r="S82" t="s">
        <v>105</v>
      </c>
      <c r="T82" t="s">
        <v>55</v>
      </c>
      <c r="U82" t="s">
        <v>44</v>
      </c>
      <c r="V82" t="s">
        <v>138</v>
      </c>
      <c r="W82" t="s">
        <v>136</v>
      </c>
      <c r="X82" t="s">
        <v>158</v>
      </c>
      <c r="Y82" s="3">
        <v>169771.99</v>
      </c>
      <c r="Z82" s="3">
        <v>169771.99</v>
      </c>
      <c r="AA82">
        <v>1</v>
      </c>
      <c r="AB82" t="s">
        <v>39</v>
      </c>
      <c r="AC82" t="s">
        <v>39</v>
      </c>
      <c r="AD82" t="s">
        <v>48</v>
      </c>
    </row>
    <row r="83" spans="1:30" x14ac:dyDescent="0.35">
      <c r="A83" s="1" t="s">
        <v>30</v>
      </c>
      <c r="B83" t="s">
        <v>1069</v>
      </c>
      <c r="C83" t="s">
        <v>691</v>
      </c>
      <c r="D83" t="s">
        <v>1239</v>
      </c>
      <c r="E83" t="s">
        <v>1240</v>
      </c>
      <c r="F83" t="s">
        <v>1241</v>
      </c>
      <c r="G83" t="s">
        <v>1242</v>
      </c>
      <c r="H83" t="s">
        <v>37</v>
      </c>
      <c r="I83" t="s">
        <v>39</v>
      </c>
      <c r="J83" t="s">
        <v>39</v>
      </c>
      <c r="K83" s="2">
        <v>46148</v>
      </c>
      <c r="L83" s="2">
        <v>46173</v>
      </c>
      <c r="M83" s="2">
        <v>46173</v>
      </c>
      <c r="N83" s="2">
        <v>46143</v>
      </c>
      <c r="O83" s="2">
        <v>46508</v>
      </c>
      <c r="P83">
        <v>12</v>
      </c>
      <c r="Q83" t="s">
        <v>40</v>
      </c>
      <c r="R83" t="s">
        <v>41</v>
      </c>
      <c r="S83" t="s">
        <v>42</v>
      </c>
      <c r="T83" t="s">
        <v>43</v>
      </c>
      <c r="U83" t="s">
        <v>56</v>
      </c>
      <c r="V83" t="s">
        <v>119</v>
      </c>
      <c r="W83" t="s">
        <v>142</v>
      </c>
      <c r="X83" t="s">
        <v>83</v>
      </c>
      <c r="Y83" s="3">
        <v>178002.71</v>
      </c>
      <c r="Z83" s="3">
        <v>178002.71</v>
      </c>
      <c r="AA83">
        <v>1</v>
      </c>
      <c r="AB83" t="s">
        <v>39</v>
      </c>
      <c r="AC83" t="s">
        <v>39</v>
      </c>
      <c r="AD83" t="s">
        <v>48</v>
      </c>
    </row>
    <row r="84" spans="1:30" x14ac:dyDescent="0.35">
      <c r="A84" s="1" t="s">
        <v>30</v>
      </c>
      <c r="B84" t="s">
        <v>1069</v>
      </c>
      <c r="C84" t="s">
        <v>691</v>
      </c>
      <c r="D84" t="s">
        <v>1243</v>
      </c>
      <c r="E84" t="s">
        <v>1244</v>
      </c>
      <c r="F84" t="s">
        <v>1245</v>
      </c>
      <c r="G84" t="s">
        <v>1246</v>
      </c>
      <c r="H84" t="s">
        <v>37</v>
      </c>
      <c r="I84" t="s">
        <v>39</v>
      </c>
      <c r="J84" t="s">
        <v>39</v>
      </c>
      <c r="K84" s="2">
        <v>46151</v>
      </c>
      <c r="L84" s="2">
        <v>46173</v>
      </c>
      <c r="M84" s="2">
        <v>46173</v>
      </c>
      <c r="N84" s="2">
        <v>46143</v>
      </c>
      <c r="O84" s="2">
        <v>47239</v>
      </c>
      <c r="P84">
        <v>36</v>
      </c>
      <c r="Q84" t="s">
        <v>40</v>
      </c>
      <c r="R84" t="s">
        <v>41</v>
      </c>
      <c r="S84" t="s">
        <v>118</v>
      </c>
      <c r="T84" t="s">
        <v>97</v>
      </c>
      <c r="U84" t="s">
        <v>44</v>
      </c>
      <c r="V84" t="s">
        <v>67</v>
      </c>
      <c r="W84" t="s">
        <v>161</v>
      </c>
      <c r="X84" t="s">
        <v>83</v>
      </c>
      <c r="Y84" s="3">
        <v>104387.69</v>
      </c>
      <c r="Z84" s="3">
        <v>104387.69</v>
      </c>
      <c r="AA84">
        <v>1</v>
      </c>
      <c r="AB84" t="s">
        <v>39</v>
      </c>
      <c r="AC84" t="s">
        <v>39</v>
      </c>
      <c r="AD84" t="s">
        <v>48</v>
      </c>
    </row>
    <row r="85" spans="1:30" x14ac:dyDescent="0.35">
      <c r="A85" s="1" t="s">
        <v>30</v>
      </c>
      <c r="B85" t="s">
        <v>1069</v>
      </c>
      <c r="C85" t="s">
        <v>691</v>
      </c>
      <c r="D85" t="s">
        <v>1247</v>
      </c>
      <c r="E85" t="s">
        <v>1248</v>
      </c>
      <c r="F85" t="s">
        <v>1249</v>
      </c>
      <c r="G85" t="s">
        <v>1250</v>
      </c>
      <c r="H85" t="s">
        <v>37</v>
      </c>
      <c r="I85" t="s">
        <v>39</v>
      </c>
      <c r="J85" t="s">
        <v>39</v>
      </c>
      <c r="K85" s="2">
        <v>46152</v>
      </c>
      <c r="L85" s="2">
        <v>46173</v>
      </c>
      <c r="M85" s="2">
        <v>46173</v>
      </c>
      <c r="N85" s="2">
        <v>46143</v>
      </c>
      <c r="O85" s="2">
        <v>46508</v>
      </c>
      <c r="P85">
        <v>12</v>
      </c>
      <c r="Q85" t="s">
        <v>104</v>
      </c>
      <c r="R85" t="s">
        <v>53</v>
      </c>
      <c r="S85" t="s">
        <v>182</v>
      </c>
      <c r="T85" t="s">
        <v>97</v>
      </c>
      <c r="U85" t="s">
        <v>44</v>
      </c>
      <c r="V85" t="s">
        <v>138</v>
      </c>
      <c r="W85" t="s">
        <v>46</v>
      </c>
      <c r="X85" t="s">
        <v>47</v>
      </c>
      <c r="Y85" s="3">
        <v>209948.79</v>
      </c>
      <c r="Z85" s="3">
        <v>209948.79</v>
      </c>
      <c r="AA85">
        <v>1</v>
      </c>
      <c r="AB85" t="s">
        <v>39</v>
      </c>
      <c r="AC85" t="s">
        <v>39</v>
      </c>
      <c r="AD85" t="s">
        <v>48</v>
      </c>
    </row>
    <row r="86" spans="1:30" x14ac:dyDescent="0.35">
      <c r="A86" s="1" t="s">
        <v>30</v>
      </c>
      <c r="B86" t="s">
        <v>1069</v>
      </c>
      <c r="C86" t="s">
        <v>691</v>
      </c>
      <c r="D86" t="s">
        <v>1251</v>
      </c>
      <c r="E86" t="s">
        <v>1252</v>
      </c>
      <c r="F86" t="s">
        <v>1253</v>
      </c>
      <c r="G86" t="s">
        <v>1254</v>
      </c>
      <c r="H86" t="s">
        <v>37</v>
      </c>
      <c r="I86" t="s">
        <v>39</v>
      </c>
      <c r="J86" t="s">
        <v>39</v>
      </c>
      <c r="K86" s="2">
        <v>46144</v>
      </c>
      <c r="L86" s="2">
        <v>46173</v>
      </c>
      <c r="M86" s="2">
        <v>46173</v>
      </c>
      <c r="N86" s="2">
        <v>46143</v>
      </c>
      <c r="O86" s="2">
        <v>46508</v>
      </c>
      <c r="P86">
        <v>12</v>
      </c>
      <c r="Q86" t="s">
        <v>65</v>
      </c>
      <c r="R86" t="s">
        <v>53</v>
      </c>
      <c r="S86" t="s">
        <v>105</v>
      </c>
      <c r="T86" t="s">
        <v>55</v>
      </c>
      <c r="U86" t="s">
        <v>56</v>
      </c>
      <c r="V86" t="s">
        <v>74</v>
      </c>
      <c r="W86" t="s">
        <v>142</v>
      </c>
      <c r="X86" t="s">
        <v>91</v>
      </c>
      <c r="Y86" s="3">
        <v>109768.82</v>
      </c>
      <c r="Z86" s="3">
        <v>109768.82</v>
      </c>
      <c r="AA86">
        <v>1</v>
      </c>
      <c r="AB86" t="s">
        <v>39</v>
      </c>
      <c r="AC86" t="s">
        <v>39</v>
      </c>
      <c r="AD86" t="s">
        <v>48</v>
      </c>
    </row>
    <row r="87" spans="1:30" x14ac:dyDescent="0.35">
      <c r="A87" s="1" t="s">
        <v>30</v>
      </c>
      <c r="B87" t="s">
        <v>1069</v>
      </c>
      <c r="C87" t="s">
        <v>691</v>
      </c>
      <c r="D87" t="s">
        <v>1255</v>
      </c>
      <c r="E87" t="s">
        <v>1256</v>
      </c>
      <c r="F87" t="s">
        <v>1257</v>
      </c>
      <c r="G87" t="s">
        <v>1258</v>
      </c>
      <c r="H87" t="s">
        <v>37</v>
      </c>
      <c r="I87" t="s">
        <v>39</v>
      </c>
      <c r="J87" t="s">
        <v>39</v>
      </c>
      <c r="K87" s="2">
        <v>46148</v>
      </c>
      <c r="L87" s="2">
        <v>46173</v>
      </c>
      <c r="M87" s="2">
        <v>46173</v>
      </c>
      <c r="N87" s="2">
        <v>46143</v>
      </c>
      <c r="O87" s="2">
        <v>46508</v>
      </c>
      <c r="P87">
        <v>12</v>
      </c>
      <c r="Q87" t="s">
        <v>65</v>
      </c>
      <c r="R87" t="s">
        <v>41</v>
      </c>
      <c r="S87" t="s">
        <v>141</v>
      </c>
      <c r="T87" t="s">
        <v>131</v>
      </c>
      <c r="U87" t="s">
        <v>44</v>
      </c>
      <c r="V87" t="s">
        <v>57</v>
      </c>
      <c r="W87" t="s">
        <v>58</v>
      </c>
      <c r="X87" t="s">
        <v>47</v>
      </c>
      <c r="Y87" s="3">
        <v>186557.66</v>
      </c>
      <c r="Z87" s="3">
        <v>186557.66</v>
      </c>
      <c r="AA87">
        <v>1</v>
      </c>
      <c r="AB87" t="s">
        <v>39</v>
      </c>
      <c r="AC87" t="s">
        <v>39</v>
      </c>
      <c r="AD87" t="s">
        <v>48</v>
      </c>
    </row>
    <row r="88" spans="1:30" x14ac:dyDescent="0.35">
      <c r="A88" s="1" t="s">
        <v>30</v>
      </c>
      <c r="B88" t="s">
        <v>1069</v>
      </c>
      <c r="C88" t="s">
        <v>691</v>
      </c>
      <c r="D88" t="s">
        <v>1259</v>
      </c>
      <c r="E88" t="s">
        <v>1260</v>
      </c>
      <c r="F88" t="s">
        <v>1063</v>
      </c>
      <c r="G88" t="s">
        <v>1064</v>
      </c>
      <c r="H88" t="s">
        <v>37</v>
      </c>
      <c r="I88" t="s">
        <v>39</v>
      </c>
      <c r="J88" t="s">
        <v>39</v>
      </c>
      <c r="K88" s="2">
        <v>46143</v>
      </c>
      <c r="L88" s="2">
        <v>46173</v>
      </c>
      <c r="M88" s="2">
        <v>46173</v>
      </c>
      <c r="N88" s="2">
        <v>46143</v>
      </c>
      <c r="O88" s="2">
        <v>46508</v>
      </c>
      <c r="P88">
        <v>12</v>
      </c>
      <c r="Q88" t="s">
        <v>65</v>
      </c>
      <c r="R88" t="s">
        <v>53</v>
      </c>
      <c r="S88" t="s">
        <v>105</v>
      </c>
      <c r="T88" t="s">
        <v>55</v>
      </c>
      <c r="U88" t="s">
        <v>106</v>
      </c>
      <c r="V88" t="s">
        <v>74</v>
      </c>
      <c r="W88" t="s">
        <v>150</v>
      </c>
      <c r="X88" t="s">
        <v>125</v>
      </c>
      <c r="Y88" s="3">
        <v>106023.49</v>
      </c>
      <c r="Z88" s="3">
        <v>106023.49</v>
      </c>
      <c r="AA88">
        <v>1</v>
      </c>
      <c r="AB88" t="s">
        <v>39</v>
      </c>
      <c r="AC88" t="s">
        <v>39</v>
      </c>
      <c r="AD88" t="s">
        <v>48</v>
      </c>
    </row>
    <row r="89" spans="1:30" x14ac:dyDescent="0.35">
      <c r="A89" s="1" t="s">
        <v>30</v>
      </c>
      <c r="B89" t="s">
        <v>1069</v>
      </c>
      <c r="C89" t="s">
        <v>691</v>
      </c>
      <c r="D89" t="s">
        <v>1261</v>
      </c>
      <c r="E89" t="s">
        <v>1262</v>
      </c>
      <c r="F89" t="s">
        <v>1219</v>
      </c>
      <c r="G89" t="s">
        <v>1220</v>
      </c>
      <c r="H89" t="s">
        <v>37</v>
      </c>
      <c r="I89" t="s">
        <v>39</v>
      </c>
      <c r="J89" t="s">
        <v>39</v>
      </c>
      <c r="K89" s="2">
        <v>46150</v>
      </c>
      <c r="L89" s="2">
        <v>46173</v>
      </c>
      <c r="M89" s="2">
        <v>46173</v>
      </c>
      <c r="N89" s="2">
        <v>46143</v>
      </c>
      <c r="O89" s="2">
        <v>46508</v>
      </c>
      <c r="P89">
        <v>12</v>
      </c>
      <c r="Q89" t="s">
        <v>40</v>
      </c>
      <c r="R89" t="s">
        <v>53</v>
      </c>
      <c r="S89" t="s">
        <v>118</v>
      </c>
      <c r="T89" t="s">
        <v>97</v>
      </c>
      <c r="U89" t="s">
        <v>44</v>
      </c>
      <c r="V89" t="s">
        <v>217</v>
      </c>
      <c r="W89" t="s">
        <v>82</v>
      </c>
      <c r="X89" t="s">
        <v>158</v>
      </c>
      <c r="Y89" s="3">
        <v>118763.68</v>
      </c>
      <c r="Z89" s="3">
        <v>118763.68</v>
      </c>
      <c r="AA89">
        <v>1</v>
      </c>
      <c r="AB89" t="s">
        <v>39</v>
      </c>
      <c r="AC89" t="s">
        <v>39</v>
      </c>
      <c r="AD89" t="s">
        <v>48</v>
      </c>
    </row>
    <row r="90" spans="1:30" x14ac:dyDescent="0.35">
      <c r="A90" s="1" t="s">
        <v>30</v>
      </c>
      <c r="B90" t="s">
        <v>1069</v>
      </c>
      <c r="C90" t="s">
        <v>691</v>
      </c>
      <c r="D90" t="s">
        <v>1909</v>
      </c>
      <c r="E90" t="s">
        <v>1910</v>
      </c>
      <c r="F90" t="s">
        <v>274</v>
      </c>
      <c r="G90" t="s">
        <v>275</v>
      </c>
      <c r="H90" t="s">
        <v>1271</v>
      </c>
      <c r="I90" t="s">
        <v>39</v>
      </c>
      <c r="J90" t="s">
        <v>39</v>
      </c>
      <c r="K90" s="2">
        <v>46155</v>
      </c>
      <c r="L90" s="2">
        <v>46173</v>
      </c>
      <c r="M90" s="2">
        <v>46173</v>
      </c>
      <c r="N90" s="2">
        <v>46143</v>
      </c>
      <c r="O90" s="2">
        <v>46508</v>
      </c>
      <c r="P90">
        <v>12</v>
      </c>
      <c r="Q90" t="s">
        <v>104</v>
      </c>
      <c r="R90" t="s">
        <v>88</v>
      </c>
      <c r="S90" t="s">
        <v>118</v>
      </c>
      <c r="T90" t="s">
        <v>97</v>
      </c>
      <c r="U90" t="s">
        <v>56</v>
      </c>
      <c r="V90" t="s">
        <v>144</v>
      </c>
      <c r="W90" t="s">
        <v>46</v>
      </c>
      <c r="X90" t="s">
        <v>91</v>
      </c>
      <c r="Y90" s="3">
        <v>172809.19</v>
      </c>
      <c r="Z90" s="3">
        <v>172809.19</v>
      </c>
      <c r="AA90">
        <v>1</v>
      </c>
      <c r="AB90" t="s">
        <v>39</v>
      </c>
      <c r="AC90" t="s">
        <v>39</v>
      </c>
      <c r="AD90" t="s">
        <v>48</v>
      </c>
    </row>
    <row r="91" spans="1:30" x14ac:dyDescent="0.35">
      <c r="A91" s="1" t="s">
        <v>30</v>
      </c>
      <c r="B91" t="s">
        <v>1069</v>
      </c>
      <c r="C91" t="s">
        <v>691</v>
      </c>
      <c r="D91" t="s">
        <v>1911</v>
      </c>
      <c r="E91" t="s">
        <v>1912</v>
      </c>
      <c r="F91" t="s">
        <v>1913</v>
      </c>
      <c r="G91" t="s">
        <v>1914</v>
      </c>
      <c r="H91" t="s">
        <v>1271</v>
      </c>
      <c r="I91" t="s">
        <v>39</v>
      </c>
      <c r="J91" t="s">
        <v>39</v>
      </c>
      <c r="K91" s="2">
        <v>46146</v>
      </c>
      <c r="L91" s="2">
        <v>46173</v>
      </c>
      <c r="M91" s="2">
        <v>46173</v>
      </c>
      <c r="N91" s="2">
        <v>46143</v>
      </c>
      <c r="O91" s="2">
        <v>46508</v>
      </c>
      <c r="P91">
        <v>12</v>
      </c>
      <c r="Q91" t="s">
        <v>65</v>
      </c>
      <c r="R91" t="s">
        <v>41</v>
      </c>
      <c r="S91" t="s">
        <v>137</v>
      </c>
      <c r="T91" t="s">
        <v>97</v>
      </c>
      <c r="U91" t="s">
        <v>44</v>
      </c>
      <c r="V91" t="s">
        <v>98</v>
      </c>
      <c r="W91" t="s">
        <v>120</v>
      </c>
      <c r="X91" t="s">
        <v>68</v>
      </c>
      <c r="Y91" s="3">
        <v>147390.14000000001</v>
      </c>
      <c r="Z91" s="3">
        <v>147390.14000000001</v>
      </c>
      <c r="AA91">
        <v>1</v>
      </c>
      <c r="AB91" t="s">
        <v>39</v>
      </c>
      <c r="AC91" t="s">
        <v>39</v>
      </c>
      <c r="AD91" t="s">
        <v>48</v>
      </c>
    </row>
    <row r="92" spans="1:30" x14ac:dyDescent="0.35">
      <c r="A92" s="1" t="s">
        <v>30</v>
      </c>
      <c r="B92" t="s">
        <v>1069</v>
      </c>
      <c r="C92" t="s">
        <v>691</v>
      </c>
      <c r="D92" t="s">
        <v>1915</v>
      </c>
      <c r="E92" t="s">
        <v>1916</v>
      </c>
      <c r="F92" t="s">
        <v>1917</v>
      </c>
      <c r="G92" t="s">
        <v>1918</v>
      </c>
      <c r="H92" t="s">
        <v>1271</v>
      </c>
      <c r="I92" t="s">
        <v>39</v>
      </c>
      <c r="J92" t="s">
        <v>39</v>
      </c>
      <c r="K92" s="2">
        <v>46143</v>
      </c>
      <c r="L92" s="2">
        <v>46173</v>
      </c>
      <c r="M92" s="2">
        <v>46173</v>
      </c>
      <c r="N92" s="2">
        <v>46143</v>
      </c>
      <c r="O92" s="2">
        <v>46508</v>
      </c>
      <c r="P92">
        <v>12</v>
      </c>
      <c r="Q92" t="s">
        <v>65</v>
      </c>
      <c r="R92" t="s">
        <v>53</v>
      </c>
      <c r="S92" t="s">
        <v>96</v>
      </c>
      <c r="T92" t="s">
        <v>97</v>
      </c>
      <c r="U92" t="s">
        <v>56</v>
      </c>
      <c r="V92" t="s">
        <v>57</v>
      </c>
      <c r="W92" t="s">
        <v>132</v>
      </c>
      <c r="X92" t="s">
        <v>143</v>
      </c>
      <c r="Y92" s="3">
        <v>124873.22</v>
      </c>
      <c r="Z92" s="3">
        <v>124873.22</v>
      </c>
      <c r="AA92">
        <v>1</v>
      </c>
      <c r="AB92" t="s">
        <v>39</v>
      </c>
      <c r="AC92" t="s">
        <v>39</v>
      </c>
      <c r="AD92" t="s">
        <v>48</v>
      </c>
    </row>
    <row r="93" spans="1:30" x14ac:dyDescent="0.35">
      <c r="A93" s="1" t="s">
        <v>30</v>
      </c>
      <c r="B93" t="s">
        <v>1069</v>
      </c>
      <c r="C93" t="s">
        <v>691</v>
      </c>
      <c r="D93" t="s">
        <v>1919</v>
      </c>
      <c r="E93" t="s">
        <v>1920</v>
      </c>
      <c r="F93" t="s">
        <v>1921</v>
      </c>
      <c r="G93" t="s">
        <v>1922</v>
      </c>
      <c r="H93" t="s">
        <v>1271</v>
      </c>
      <c r="I93" t="s">
        <v>39</v>
      </c>
      <c r="J93" t="s">
        <v>39</v>
      </c>
      <c r="K93" s="2">
        <v>46154</v>
      </c>
      <c r="L93" s="2">
        <v>46173</v>
      </c>
      <c r="M93" s="2">
        <v>46173</v>
      </c>
      <c r="N93" s="2">
        <v>46143</v>
      </c>
      <c r="O93" s="2">
        <v>46874</v>
      </c>
      <c r="P93">
        <v>24</v>
      </c>
      <c r="Q93" t="s">
        <v>65</v>
      </c>
      <c r="R93" t="s">
        <v>53</v>
      </c>
      <c r="S93" t="s">
        <v>54</v>
      </c>
      <c r="T93" t="s">
        <v>55</v>
      </c>
      <c r="U93" t="s">
        <v>106</v>
      </c>
      <c r="V93" t="s">
        <v>57</v>
      </c>
      <c r="W93" t="s">
        <v>132</v>
      </c>
      <c r="X93" t="s">
        <v>125</v>
      </c>
      <c r="Y93" s="3">
        <v>135648.10999999999</v>
      </c>
      <c r="Z93" s="3">
        <v>135648.10999999999</v>
      </c>
      <c r="AA93">
        <v>1</v>
      </c>
      <c r="AB93" t="s">
        <v>39</v>
      </c>
      <c r="AC93" t="s">
        <v>39</v>
      </c>
      <c r="AD93" t="s">
        <v>48</v>
      </c>
    </row>
    <row r="94" spans="1:30" x14ac:dyDescent="0.35">
      <c r="A94" s="1" t="s">
        <v>30</v>
      </c>
      <c r="B94" t="s">
        <v>1069</v>
      </c>
      <c r="C94" t="s">
        <v>691</v>
      </c>
      <c r="D94" t="s">
        <v>1923</v>
      </c>
      <c r="E94" t="s">
        <v>1924</v>
      </c>
      <c r="F94" t="s">
        <v>1925</v>
      </c>
      <c r="G94" t="s">
        <v>1926</v>
      </c>
      <c r="H94" t="s">
        <v>1271</v>
      </c>
      <c r="I94" t="s">
        <v>39</v>
      </c>
      <c r="J94" t="s">
        <v>39</v>
      </c>
      <c r="K94" s="2">
        <v>46157</v>
      </c>
      <c r="L94" s="2">
        <v>46173</v>
      </c>
      <c r="M94" s="2">
        <v>46173</v>
      </c>
      <c r="N94" s="2">
        <v>46143</v>
      </c>
      <c r="O94" s="2">
        <v>46508</v>
      </c>
      <c r="P94">
        <v>12</v>
      </c>
      <c r="Q94" t="s">
        <v>40</v>
      </c>
      <c r="R94" t="s">
        <v>41</v>
      </c>
      <c r="S94" t="s">
        <v>80</v>
      </c>
      <c r="T94" t="s">
        <v>43</v>
      </c>
      <c r="U94" t="s">
        <v>56</v>
      </c>
      <c r="V94" t="s">
        <v>57</v>
      </c>
      <c r="W94" t="s">
        <v>132</v>
      </c>
      <c r="X94" t="s">
        <v>143</v>
      </c>
      <c r="Y94" s="3">
        <v>94670.34</v>
      </c>
      <c r="Z94" s="3">
        <v>94670.34</v>
      </c>
      <c r="AA94">
        <v>1</v>
      </c>
      <c r="AB94" t="s">
        <v>39</v>
      </c>
      <c r="AC94" t="s">
        <v>39</v>
      </c>
      <c r="AD94" t="s">
        <v>48</v>
      </c>
    </row>
    <row r="95" spans="1:30" x14ac:dyDescent="0.35">
      <c r="A95" s="1" t="s">
        <v>30</v>
      </c>
      <c r="B95" t="s">
        <v>1069</v>
      </c>
      <c r="C95" t="s">
        <v>691</v>
      </c>
      <c r="D95" t="s">
        <v>1927</v>
      </c>
      <c r="E95" t="s">
        <v>1928</v>
      </c>
      <c r="F95" t="s">
        <v>1929</v>
      </c>
      <c r="G95" t="s">
        <v>1930</v>
      </c>
      <c r="H95" t="s">
        <v>1271</v>
      </c>
      <c r="I95" t="s">
        <v>39</v>
      </c>
      <c r="J95" t="s">
        <v>39</v>
      </c>
      <c r="K95" s="2">
        <v>46157</v>
      </c>
      <c r="L95" s="2">
        <v>46173</v>
      </c>
      <c r="M95" s="2">
        <v>46173</v>
      </c>
      <c r="N95" s="2">
        <v>46143</v>
      </c>
      <c r="O95" s="2">
        <v>47239</v>
      </c>
      <c r="P95">
        <v>36</v>
      </c>
      <c r="Q95" t="s">
        <v>40</v>
      </c>
      <c r="R95" t="s">
        <v>88</v>
      </c>
      <c r="S95" t="s">
        <v>149</v>
      </c>
      <c r="T95" t="s">
        <v>131</v>
      </c>
      <c r="U95" t="s">
        <v>44</v>
      </c>
      <c r="V95" t="s">
        <v>217</v>
      </c>
      <c r="W95" t="s">
        <v>58</v>
      </c>
      <c r="X95" t="s">
        <v>91</v>
      </c>
      <c r="Y95" s="3">
        <v>129010.35</v>
      </c>
      <c r="Z95" s="3">
        <v>129010.35</v>
      </c>
      <c r="AA95">
        <v>1</v>
      </c>
      <c r="AB95" t="s">
        <v>39</v>
      </c>
      <c r="AC95" t="s">
        <v>39</v>
      </c>
      <c r="AD95" t="s">
        <v>48</v>
      </c>
    </row>
    <row r="96" spans="1:30" x14ac:dyDescent="0.35">
      <c r="A96" s="1" t="s">
        <v>30</v>
      </c>
      <c r="B96" t="s">
        <v>1069</v>
      </c>
      <c r="C96" t="s">
        <v>691</v>
      </c>
      <c r="D96" t="s">
        <v>1931</v>
      </c>
      <c r="E96" t="s">
        <v>1932</v>
      </c>
      <c r="F96" t="s">
        <v>1933</v>
      </c>
      <c r="G96" t="s">
        <v>1934</v>
      </c>
      <c r="H96" t="s">
        <v>1271</v>
      </c>
      <c r="I96" t="s">
        <v>39</v>
      </c>
      <c r="J96" t="s">
        <v>39</v>
      </c>
      <c r="K96" s="2">
        <v>46144</v>
      </c>
      <c r="L96" s="2">
        <v>46173</v>
      </c>
      <c r="M96" s="2">
        <v>46173</v>
      </c>
      <c r="N96" s="2">
        <v>46143</v>
      </c>
      <c r="O96" s="2">
        <v>46508</v>
      </c>
      <c r="P96">
        <v>12</v>
      </c>
      <c r="Q96" t="s">
        <v>65</v>
      </c>
      <c r="R96" t="s">
        <v>88</v>
      </c>
      <c r="S96" t="s">
        <v>73</v>
      </c>
      <c r="T96" t="s">
        <v>43</v>
      </c>
      <c r="U96" t="s">
        <v>44</v>
      </c>
      <c r="V96" t="s">
        <v>138</v>
      </c>
      <c r="W96" t="s">
        <v>161</v>
      </c>
      <c r="X96" t="s">
        <v>68</v>
      </c>
      <c r="Y96" s="3">
        <v>105598.65</v>
      </c>
      <c r="Z96" s="3">
        <v>105598.65</v>
      </c>
      <c r="AA96">
        <v>1</v>
      </c>
      <c r="AB96" t="s">
        <v>39</v>
      </c>
      <c r="AC96" t="s">
        <v>39</v>
      </c>
      <c r="AD96" t="s">
        <v>48</v>
      </c>
    </row>
    <row r="97" spans="1:30" x14ac:dyDescent="0.35">
      <c r="A97" s="1" t="s">
        <v>30</v>
      </c>
      <c r="B97" t="s">
        <v>1069</v>
      </c>
      <c r="C97" t="s">
        <v>691</v>
      </c>
      <c r="D97" t="s">
        <v>1935</v>
      </c>
      <c r="E97" t="s">
        <v>1936</v>
      </c>
      <c r="F97" t="s">
        <v>1241</v>
      </c>
      <c r="G97" t="s">
        <v>1242</v>
      </c>
      <c r="H97" t="s">
        <v>1290</v>
      </c>
      <c r="I97" t="s">
        <v>103</v>
      </c>
      <c r="J97" t="s">
        <v>1290</v>
      </c>
      <c r="K97" s="2">
        <v>46147</v>
      </c>
      <c r="L97" s="2">
        <v>46173</v>
      </c>
      <c r="N97" s="2">
        <v>46143</v>
      </c>
      <c r="O97" s="2">
        <v>46508</v>
      </c>
      <c r="P97">
        <v>12</v>
      </c>
      <c r="Q97" t="s">
        <v>40</v>
      </c>
      <c r="R97" t="s">
        <v>53</v>
      </c>
      <c r="S97" t="s">
        <v>42</v>
      </c>
      <c r="T97" t="s">
        <v>43</v>
      </c>
      <c r="U97" t="s">
        <v>56</v>
      </c>
      <c r="V97" t="s">
        <v>119</v>
      </c>
      <c r="W97" t="s">
        <v>142</v>
      </c>
      <c r="X97" t="s">
        <v>47</v>
      </c>
      <c r="Y97" s="3">
        <v>240000</v>
      </c>
      <c r="Z97" s="3">
        <v>240000</v>
      </c>
      <c r="AA97">
        <v>1</v>
      </c>
      <c r="AB97" t="s">
        <v>1290</v>
      </c>
      <c r="AC97" t="s">
        <v>1290</v>
      </c>
      <c r="AD97" t="s">
        <v>48</v>
      </c>
    </row>
    <row r="98" spans="1:30" x14ac:dyDescent="0.35">
      <c r="A98" s="1" t="s">
        <v>30</v>
      </c>
      <c r="B98" t="s">
        <v>1069</v>
      </c>
      <c r="C98" t="s">
        <v>691</v>
      </c>
      <c r="D98" t="s">
        <v>1937</v>
      </c>
      <c r="E98" t="s">
        <v>1938</v>
      </c>
      <c r="F98" t="s">
        <v>322</v>
      </c>
      <c r="G98" t="s">
        <v>323</v>
      </c>
      <c r="H98" t="s">
        <v>1295</v>
      </c>
      <c r="I98" t="s">
        <v>38</v>
      </c>
      <c r="J98" t="s">
        <v>1295</v>
      </c>
      <c r="K98" s="2">
        <v>46154</v>
      </c>
      <c r="L98" s="2">
        <v>46173</v>
      </c>
      <c r="N98" s="2">
        <v>46143</v>
      </c>
      <c r="O98" s="2">
        <v>46508</v>
      </c>
      <c r="P98">
        <v>12</v>
      </c>
      <c r="Q98" t="s">
        <v>65</v>
      </c>
      <c r="R98" t="s">
        <v>53</v>
      </c>
      <c r="S98" t="s">
        <v>182</v>
      </c>
      <c r="T98" t="s">
        <v>97</v>
      </c>
      <c r="U98" t="s">
        <v>44</v>
      </c>
      <c r="V98" t="s">
        <v>144</v>
      </c>
      <c r="W98" t="s">
        <v>75</v>
      </c>
      <c r="X98" t="s">
        <v>59</v>
      </c>
      <c r="Y98" s="3">
        <v>302110.93</v>
      </c>
      <c r="Z98" s="3">
        <v>302110.93</v>
      </c>
      <c r="AA98">
        <v>1</v>
      </c>
      <c r="AB98" t="s">
        <v>1295</v>
      </c>
      <c r="AC98" t="s">
        <v>1295</v>
      </c>
      <c r="AD98" t="s">
        <v>48</v>
      </c>
    </row>
    <row r="99" spans="1:30" x14ac:dyDescent="0.35">
      <c r="A99" s="1" t="s">
        <v>30</v>
      </c>
      <c r="B99" t="s">
        <v>1069</v>
      </c>
      <c r="C99" t="s">
        <v>691</v>
      </c>
      <c r="D99" t="s">
        <v>1939</v>
      </c>
      <c r="E99" t="s">
        <v>1940</v>
      </c>
      <c r="F99" t="s">
        <v>193</v>
      </c>
      <c r="G99" t="s">
        <v>194</v>
      </c>
      <c r="H99" t="s">
        <v>1295</v>
      </c>
      <c r="I99" t="s">
        <v>111</v>
      </c>
      <c r="J99" t="s">
        <v>1295</v>
      </c>
      <c r="K99" s="2">
        <v>46154</v>
      </c>
      <c r="L99" s="2">
        <v>46173</v>
      </c>
      <c r="N99" s="2">
        <v>46143</v>
      </c>
      <c r="O99" s="2">
        <v>46508</v>
      </c>
      <c r="P99">
        <v>12</v>
      </c>
      <c r="Q99" t="s">
        <v>104</v>
      </c>
      <c r="R99" t="s">
        <v>53</v>
      </c>
      <c r="S99" t="s">
        <v>80</v>
      </c>
      <c r="T99" t="s">
        <v>43</v>
      </c>
      <c r="U99" t="s">
        <v>106</v>
      </c>
      <c r="V99" t="s">
        <v>67</v>
      </c>
      <c r="W99" t="s">
        <v>75</v>
      </c>
      <c r="X99" t="s">
        <v>91</v>
      </c>
      <c r="Y99" s="3">
        <v>187889.07</v>
      </c>
      <c r="Z99" s="3">
        <v>187889.07</v>
      </c>
      <c r="AA99">
        <v>1</v>
      </c>
      <c r="AB99" t="s">
        <v>1295</v>
      </c>
      <c r="AC99" t="s">
        <v>1295</v>
      </c>
      <c r="AD99" t="s">
        <v>48</v>
      </c>
    </row>
    <row r="100" spans="1:30" x14ac:dyDescent="0.35">
      <c r="A100" s="1" t="s">
        <v>30</v>
      </c>
      <c r="B100" t="s">
        <v>1069</v>
      </c>
      <c r="C100" t="s">
        <v>691</v>
      </c>
      <c r="D100" t="s">
        <v>1941</v>
      </c>
      <c r="E100" t="s">
        <v>1942</v>
      </c>
      <c r="F100" t="s">
        <v>1943</v>
      </c>
      <c r="G100" t="s">
        <v>1944</v>
      </c>
      <c r="H100" t="s">
        <v>1302</v>
      </c>
      <c r="I100" t="s">
        <v>39</v>
      </c>
      <c r="J100" t="s">
        <v>39</v>
      </c>
      <c r="K100" s="2">
        <v>46146</v>
      </c>
      <c r="L100" s="2">
        <v>46173</v>
      </c>
      <c r="M100" s="2">
        <v>46173</v>
      </c>
      <c r="N100" s="2">
        <v>46143</v>
      </c>
      <c r="O100" s="2">
        <v>46874</v>
      </c>
      <c r="P100">
        <v>24</v>
      </c>
      <c r="Q100" t="s">
        <v>40</v>
      </c>
      <c r="R100" t="s">
        <v>88</v>
      </c>
      <c r="S100" t="s">
        <v>54</v>
      </c>
      <c r="T100" t="s">
        <v>55</v>
      </c>
      <c r="U100" t="s">
        <v>44</v>
      </c>
      <c r="V100" t="s">
        <v>81</v>
      </c>
      <c r="W100" t="s">
        <v>136</v>
      </c>
      <c r="X100" t="s">
        <v>59</v>
      </c>
      <c r="Y100" s="3">
        <v>80000</v>
      </c>
      <c r="Z100" s="3">
        <v>80000</v>
      </c>
      <c r="AA100">
        <v>1</v>
      </c>
      <c r="AB100" t="s">
        <v>39</v>
      </c>
      <c r="AC100" t="s">
        <v>39</v>
      </c>
      <c r="AD100" t="s">
        <v>48</v>
      </c>
    </row>
    <row r="101" spans="1:30" x14ac:dyDescent="0.35">
      <c r="A101" s="1" t="s">
        <v>30</v>
      </c>
      <c r="B101" t="s">
        <v>31</v>
      </c>
      <c r="C101" t="s">
        <v>32</v>
      </c>
      <c r="D101" t="s">
        <v>33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 t="s">
        <v>39</v>
      </c>
      <c r="K101" s="2">
        <v>46184</v>
      </c>
      <c r="L101" s="2">
        <v>46203</v>
      </c>
      <c r="N101" s="2">
        <v>46174</v>
      </c>
      <c r="O101" s="2">
        <v>46539</v>
      </c>
      <c r="P101">
        <v>12</v>
      </c>
      <c r="Q101" t="s">
        <v>40</v>
      </c>
      <c r="R101" t="s">
        <v>41</v>
      </c>
      <c r="S101" t="s">
        <v>42</v>
      </c>
      <c r="T101" t="s">
        <v>43</v>
      </c>
      <c r="U101" t="s">
        <v>44</v>
      </c>
      <c r="V101" t="s">
        <v>45</v>
      </c>
      <c r="W101" t="s">
        <v>46</v>
      </c>
      <c r="X101" t="s">
        <v>47</v>
      </c>
      <c r="Y101" s="3">
        <v>111678.03</v>
      </c>
      <c r="Z101" s="3">
        <v>39087.31</v>
      </c>
      <c r="AA101">
        <v>0.35</v>
      </c>
      <c r="AB101" t="s">
        <v>39</v>
      </c>
      <c r="AC101" t="s">
        <v>39</v>
      </c>
      <c r="AD101" t="s">
        <v>48</v>
      </c>
    </row>
    <row r="102" spans="1:30" x14ac:dyDescent="0.35">
      <c r="A102" s="1" t="s">
        <v>30</v>
      </c>
      <c r="B102" t="s">
        <v>31</v>
      </c>
      <c r="C102" t="s">
        <v>32</v>
      </c>
      <c r="D102" t="s">
        <v>49</v>
      </c>
      <c r="E102" t="s">
        <v>50</v>
      </c>
      <c r="F102" t="s">
        <v>51</v>
      </c>
      <c r="G102" t="s">
        <v>52</v>
      </c>
      <c r="H102" t="s">
        <v>37</v>
      </c>
      <c r="I102" t="s">
        <v>38</v>
      </c>
      <c r="J102" t="s">
        <v>39</v>
      </c>
      <c r="K102" s="2">
        <v>46184</v>
      </c>
      <c r="L102" s="2">
        <v>46203</v>
      </c>
      <c r="N102" s="2">
        <v>46174</v>
      </c>
      <c r="O102" s="2">
        <v>47270</v>
      </c>
      <c r="P102">
        <v>36</v>
      </c>
      <c r="Q102" t="s">
        <v>40</v>
      </c>
      <c r="R102" t="s">
        <v>53</v>
      </c>
      <c r="S102" t="s">
        <v>54</v>
      </c>
      <c r="T102" t="s">
        <v>55</v>
      </c>
      <c r="U102" t="s">
        <v>56</v>
      </c>
      <c r="V102" t="s">
        <v>57</v>
      </c>
      <c r="W102" t="s">
        <v>58</v>
      </c>
      <c r="X102" t="s">
        <v>59</v>
      </c>
      <c r="Y102" s="3">
        <v>156334.93</v>
      </c>
      <c r="Z102" s="3">
        <v>78167.460000000006</v>
      </c>
      <c r="AA102">
        <v>0.5</v>
      </c>
      <c r="AB102" t="s">
        <v>39</v>
      </c>
      <c r="AC102" t="s">
        <v>39</v>
      </c>
      <c r="AD102" t="s">
        <v>48</v>
      </c>
    </row>
    <row r="103" spans="1:30" x14ac:dyDescent="0.35">
      <c r="A103" s="1" t="s">
        <v>30</v>
      </c>
      <c r="B103" t="s">
        <v>31</v>
      </c>
      <c r="C103" t="s">
        <v>32</v>
      </c>
      <c r="D103" t="s">
        <v>60</v>
      </c>
      <c r="E103" t="s">
        <v>61</v>
      </c>
      <c r="F103" t="s">
        <v>62</v>
      </c>
      <c r="G103" t="s">
        <v>63</v>
      </c>
      <c r="H103" t="s">
        <v>37</v>
      </c>
      <c r="I103" t="s">
        <v>64</v>
      </c>
      <c r="J103" t="s">
        <v>39</v>
      </c>
      <c r="K103" s="2">
        <v>46185</v>
      </c>
      <c r="L103" s="2">
        <v>46203</v>
      </c>
      <c r="N103" s="2">
        <v>46174</v>
      </c>
      <c r="O103" s="2">
        <v>46539</v>
      </c>
      <c r="P103">
        <v>12</v>
      </c>
      <c r="Q103" t="s">
        <v>65</v>
      </c>
      <c r="R103" t="s">
        <v>41</v>
      </c>
      <c r="S103" t="s">
        <v>66</v>
      </c>
      <c r="T103" t="s">
        <v>55</v>
      </c>
      <c r="U103" t="s">
        <v>44</v>
      </c>
      <c r="V103" t="s">
        <v>67</v>
      </c>
      <c r="W103" t="s">
        <v>58</v>
      </c>
      <c r="X103" t="s">
        <v>68</v>
      </c>
      <c r="Y103" s="3">
        <v>154824.72</v>
      </c>
      <c r="Z103" s="3">
        <v>123859.78</v>
      </c>
      <c r="AA103">
        <v>0.8</v>
      </c>
      <c r="AB103" t="s">
        <v>39</v>
      </c>
      <c r="AC103" t="s">
        <v>39</v>
      </c>
      <c r="AD103" t="s">
        <v>48</v>
      </c>
    </row>
    <row r="104" spans="1:30" x14ac:dyDescent="0.35">
      <c r="A104" s="1" t="s">
        <v>30</v>
      </c>
      <c r="B104" t="s">
        <v>31</v>
      </c>
      <c r="C104" t="s">
        <v>32</v>
      </c>
      <c r="D104" t="s">
        <v>69</v>
      </c>
      <c r="E104" t="s">
        <v>70</v>
      </c>
      <c r="F104" t="s">
        <v>71</v>
      </c>
      <c r="G104" t="s">
        <v>72</v>
      </c>
      <c r="H104" t="s">
        <v>37</v>
      </c>
      <c r="I104" t="s">
        <v>64</v>
      </c>
      <c r="J104" t="s">
        <v>39</v>
      </c>
      <c r="K104" s="2">
        <v>46186</v>
      </c>
      <c r="L104" s="2">
        <v>46203</v>
      </c>
      <c r="N104" s="2">
        <v>46174</v>
      </c>
      <c r="O104" s="2">
        <v>47270</v>
      </c>
      <c r="P104">
        <v>36</v>
      </c>
      <c r="Q104" t="s">
        <v>40</v>
      </c>
      <c r="R104" t="s">
        <v>41</v>
      </c>
      <c r="S104" t="s">
        <v>73</v>
      </c>
      <c r="T104" t="s">
        <v>43</v>
      </c>
      <c r="U104" t="s">
        <v>56</v>
      </c>
      <c r="V104" t="s">
        <v>74</v>
      </c>
      <c r="W104" t="s">
        <v>75</v>
      </c>
      <c r="X104" t="s">
        <v>68</v>
      </c>
      <c r="Y104" s="3">
        <v>202499.39</v>
      </c>
      <c r="Z104" s="3">
        <v>161999.51</v>
      </c>
      <c r="AA104">
        <v>0.8</v>
      </c>
      <c r="AB104" t="s">
        <v>39</v>
      </c>
      <c r="AC104" t="s">
        <v>39</v>
      </c>
      <c r="AD104" t="s">
        <v>48</v>
      </c>
    </row>
    <row r="105" spans="1:30" x14ac:dyDescent="0.35">
      <c r="A105" s="1" t="s">
        <v>30</v>
      </c>
      <c r="B105" t="s">
        <v>31</v>
      </c>
      <c r="C105" t="s">
        <v>32</v>
      </c>
      <c r="D105" t="s">
        <v>76</v>
      </c>
      <c r="E105" t="s">
        <v>77</v>
      </c>
      <c r="F105" t="s">
        <v>78</v>
      </c>
      <c r="G105" t="s">
        <v>79</v>
      </c>
      <c r="H105" t="s">
        <v>37</v>
      </c>
      <c r="I105" t="s">
        <v>38</v>
      </c>
      <c r="J105" t="s">
        <v>39</v>
      </c>
      <c r="K105" s="2">
        <v>46184</v>
      </c>
      <c r="L105" s="2">
        <v>46203</v>
      </c>
      <c r="N105" s="2">
        <v>46174</v>
      </c>
      <c r="O105" s="2">
        <v>46539</v>
      </c>
      <c r="P105">
        <v>12</v>
      </c>
      <c r="Q105" t="s">
        <v>65</v>
      </c>
      <c r="R105" t="s">
        <v>53</v>
      </c>
      <c r="S105" t="s">
        <v>80</v>
      </c>
      <c r="T105" t="s">
        <v>43</v>
      </c>
      <c r="U105" t="s">
        <v>44</v>
      </c>
      <c r="V105" t="s">
        <v>81</v>
      </c>
      <c r="W105" t="s">
        <v>82</v>
      </c>
      <c r="X105" t="s">
        <v>83</v>
      </c>
      <c r="Y105" s="3">
        <v>166528.62</v>
      </c>
      <c r="Z105" s="3">
        <v>108243.6</v>
      </c>
      <c r="AA105">
        <v>0.65</v>
      </c>
      <c r="AB105" t="s">
        <v>39</v>
      </c>
      <c r="AC105" t="s">
        <v>39</v>
      </c>
      <c r="AD105" t="s">
        <v>48</v>
      </c>
    </row>
    <row r="106" spans="1:30" x14ac:dyDescent="0.35">
      <c r="A106" s="1" t="s">
        <v>30</v>
      </c>
      <c r="B106" t="s">
        <v>31</v>
      </c>
      <c r="C106" t="s">
        <v>32</v>
      </c>
      <c r="D106" t="s">
        <v>84</v>
      </c>
      <c r="E106" t="s">
        <v>85</v>
      </c>
      <c r="F106" t="s">
        <v>86</v>
      </c>
      <c r="G106" t="s">
        <v>87</v>
      </c>
      <c r="H106" t="s">
        <v>37</v>
      </c>
      <c r="I106" t="s">
        <v>38</v>
      </c>
      <c r="J106" t="s">
        <v>39</v>
      </c>
      <c r="K106" s="2">
        <v>46181</v>
      </c>
      <c r="L106" s="2">
        <v>46203</v>
      </c>
      <c r="N106" s="2">
        <v>46174</v>
      </c>
      <c r="O106" s="2">
        <v>46905</v>
      </c>
      <c r="P106">
        <v>24</v>
      </c>
      <c r="Q106" t="s">
        <v>65</v>
      </c>
      <c r="R106" t="s">
        <v>88</v>
      </c>
      <c r="S106" t="s">
        <v>89</v>
      </c>
      <c r="T106" t="s">
        <v>55</v>
      </c>
      <c r="U106" t="s">
        <v>44</v>
      </c>
      <c r="V106" t="s">
        <v>57</v>
      </c>
      <c r="W106" t="s">
        <v>90</v>
      </c>
      <c r="X106" t="s">
        <v>91</v>
      </c>
      <c r="Y106" s="3">
        <v>137783.81</v>
      </c>
      <c r="Z106" s="3">
        <v>89559.48</v>
      </c>
      <c r="AA106">
        <v>0.65</v>
      </c>
      <c r="AB106" t="s">
        <v>39</v>
      </c>
      <c r="AC106" t="s">
        <v>39</v>
      </c>
      <c r="AD106" t="s">
        <v>48</v>
      </c>
    </row>
    <row r="107" spans="1:30" x14ac:dyDescent="0.35">
      <c r="A107" s="1" t="s">
        <v>30</v>
      </c>
      <c r="B107" t="s">
        <v>31</v>
      </c>
      <c r="C107" t="s">
        <v>32</v>
      </c>
      <c r="D107" t="s">
        <v>92</v>
      </c>
      <c r="E107" t="s">
        <v>93</v>
      </c>
      <c r="F107" t="s">
        <v>94</v>
      </c>
      <c r="G107" t="s">
        <v>95</v>
      </c>
      <c r="H107" t="s">
        <v>37</v>
      </c>
      <c r="I107" t="s">
        <v>64</v>
      </c>
      <c r="J107" t="s">
        <v>39</v>
      </c>
      <c r="K107" s="2">
        <v>46174</v>
      </c>
      <c r="L107" s="2">
        <v>46203</v>
      </c>
      <c r="N107" s="2">
        <v>46174</v>
      </c>
      <c r="O107" s="2">
        <v>46905</v>
      </c>
      <c r="P107">
        <v>24</v>
      </c>
      <c r="Q107" t="s">
        <v>40</v>
      </c>
      <c r="R107" t="s">
        <v>41</v>
      </c>
      <c r="S107" t="s">
        <v>96</v>
      </c>
      <c r="T107" t="s">
        <v>97</v>
      </c>
      <c r="U107" t="s">
        <v>56</v>
      </c>
      <c r="V107" t="s">
        <v>98</v>
      </c>
      <c r="W107" t="s">
        <v>82</v>
      </c>
      <c r="X107" t="s">
        <v>47</v>
      </c>
      <c r="Y107" s="3">
        <v>105328.37</v>
      </c>
      <c r="Z107" s="3">
        <v>68463.44</v>
      </c>
      <c r="AA107">
        <v>0.65</v>
      </c>
      <c r="AB107" t="s">
        <v>39</v>
      </c>
      <c r="AC107" t="s">
        <v>39</v>
      </c>
      <c r="AD107" t="s">
        <v>48</v>
      </c>
    </row>
    <row r="108" spans="1:30" x14ac:dyDescent="0.35">
      <c r="A108" s="1" t="s">
        <v>30</v>
      </c>
      <c r="B108" t="s">
        <v>31</v>
      </c>
      <c r="C108" t="s">
        <v>32</v>
      </c>
      <c r="D108" t="s">
        <v>99</v>
      </c>
      <c r="E108" t="s">
        <v>100</v>
      </c>
      <c r="F108" t="s">
        <v>101</v>
      </c>
      <c r="G108" t="s">
        <v>102</v>
      </c>
      <c r="H108" t="s">
        <v>37</v>
      </c>
      <c r="I108" t="s">
        <v>103</v>
      </c>
      <c r="J108" t="s">
        <v>39</v>
      </c>
      <c r="K108" s="2">
        <v>46175</v>
      </c>
      <c r="L108" s="2">
        <v>46203</v>
      </c>
      <c r="N108" s="2">
        <v>46174</v>
      </c>
      <c r="O108" s="2">
        <v>46539</v>
      </c>
      <c r="P108">
        <v>12</v>
      </c>
      <c r="Q108" t="s">
        <v>104</v>
      </c>
      <c r="R108" t="s">
        <v>41</v>
      </c>
      <c r="S108" t="s">
        <v>105</v>
      </c>
      <c r="T108" t="s">
        <v>55</v>
      </c>
      <c r="U108" t="s">
        <v>106</v>
      </c>
      <c r="V108" t="s">
        <v>81</v>
      </c>
      <c r="W108" t="s">
        <v>46</v>
      </c>
      <c r="X108" t="s">
        <v>91</v>
      </c>
      <c r="Y108" s="3">
        <v>165730.74</v>
      </c>
      <c r="Z108" s="3">
        <v>82865.37</v>
      </c>
      <c r="AA108">
        <v>0.5</v>
      </c>
      <c r="AB108" t="s">
        <v>39</v>
      </c>
      <c r="AC108" t="s">
        <v>39</v>
      </c>
      <c r="AD108" t="s">
        <v>48</v>
      </c>
    </row>
    <row r="109" spans="1:30" x14ac:dyDescent="0.35">
      <c r="A109" s="1" t="s">
        <v>30</v>
      </c>
      <c r="B109" t="s">
        <v>31</v>
      </c>
      <c r="C109" t="s">
        <v>32</v>
      </c>
      <c r="D109" t="s">
        <v>107</v>
      </c>
      <c r="E109" t="s">
        <v>108</v>
      </c>
      <c r="F109" t="s">
        <v>109</v>
      </c>
      <c r="G109" t="s">
        <v>110</v>
      </c>
      <c r="H109" t="s">
        <v>37</v>
      </c>
      <c r="I109" t="s">
        <v>111</v>
      </c>
      <c r="J109" t="s">
        <v>39</v>
      </c>
      <c r="K109" s="2">
        <v>46179</v>
      </c>
      <c r="L109" s="2">
        <v>46203</v>
      </c>
      <c r="N109" s="2">
        <v>46174</v>
      </c>
      <c r="O109" s="2">
        <v>46905</v>
      </c>
      <c r="P109">
        <v>24</v>
      </c>
      <c r="Q109" t="s">
        <v>65</v>
      </c>
      <c r="R109" t="s">
        <v>41</v>
      </c>
      <c r="S109" t="s">
        <v>112</v>
      </c>
      <c r="T109" t="s">
        <v>55</v>
      </c>
      <c r="U109" t="s">
        <v>56</v>
      </c>
      <c r="V109" t="s">
        <v>81</v>
      </c>
      <c r="W109" t="s">
        <v>46</v>
      </c>
      <c r="X109" t="s">
        <v>47</v>
      </c>
      <c r="Y109" s="3">
        <v>115097.51</v>
      </c>
      <c r="Z109" s="3">
        <v>74813.38</v>
      </c>
      <c r="AA109">
        <v>0.65</v>
      </c>
      <c r="AB109" t="s">
        <v>39</v>
      </c>
      <c r="AC109" t="s">
        <v>39</v>
      </c>
      <c r="AD109" t="s">
        <v>48</v>
      </c>
    </row>
    <row r="110" spans="1:30" x14ac:dyDescent="0.35">
      <c r="A110" s="1" t="s">
        <v>30</v>
      </c>
      <c r="B110" t="s">
        <v>31</v>
      </c>
      <c r="C110" t="s">
        <v>32</v>
      </c>
      <c r="D110" t="s">
        <v>113</v>
      </c>
      <c r="E110" t="s">
        <v>114</v>
      </c>
      <c r="F110" t="s">
        <v>115</v>
      </c>
      <c r="G110" t="s">
        <v>116</v>
      </c>
      <c r="H110" t="s">
        <v>37</v>
      </c>
      <c r="I110" t="s">
        <v>117</v>
      </c>
      <c r="J110" t="s">
        <v>39</v>
      </c>
      <c r="K110" s="2">
        <v>46181</v>
      </c>
      <c r="L110" s="2">
        <v>46203</v>
      </c>
      <c r="N110" s="2">
        <v>46174</v>
      </c>
      <c r="O110" s="2">
        <v>47270</v>
      </c>
      <c r="P110">
        <v>36</v>
      </c>
      <c r="Q110" t="s">
        <v>104</v>
      </c>
      <c r="R110" t="s">
        <v>88</v>
      </c>
      <c r="S110" t="s">
        <v>118</v>
      </c>
      <c r="T110" t="s">
        <v>97</v>
      </c>
      <c r="U110" t="s">
        <v>106</v>
      </c>
      <c r="V110" t="s">
        <v>119</v>
      </c>
      <c r="W110" t="s">
        <v>120</v>
      </c>
      <c r="X110" t="s">
        <v>91</v>
      </c>
      <c r="Y110" s="3">
        <v>100863.24</v>
      </c>
      <c r="Z110" s="3">
        <v>50431.62</v>
      </c>
      <c r="AA110">
        <v>0.5</v>
      </c>
      <c r="AB110" t="s">
        <v>39</v>
      </c>
      <c r="AC110" t="s">
        <v>39</v>
      </c>
      <c r="AD110" t="s">
        <v>48</v>
      </c>
    </row>
    <row r="111" spans="1:30" x14ac:dyDescent="0.35">
      <c r="A111" s="1" t="s">
        <v>30</v>
      </c>
      <c r="B111" t="s">
        <v>31</v>
      </c>
      <c r="C111" t="s">
        <v>32</v>
      </c>
      <c r="D111" t="s">
        <v>121</v>
      </c>
      <c r="E111" t="s">
        <v>122</v>
      </c>
      <c r="F111" t="s">
        <v>123</v>
      </c>
      <c r="G111" t="s">
        <v>124</v>
      </c>
      <c r="H111" t="s">
        <v>37</v>
      </c>
      <c r="I111" t="s">
        <v>64</v>
      </c>
      <c r="J111" t="s">
        <v>39</v>
      </c>
      <c r="K111" s="2">
        <v>46179</v>
      </c>
      <c r="L111" s="2">
        <v>46203</v>
      </c>
      <c r="N111" s="2">
        <v>46174</v>
      </c>
      <c r="O111" s="2">
        <v>46905</v>
      </c>
      <c r="P111">
        <v>24</v>
      </c>
      <c r="Q111" t="s">
        <v>65</v>
      </c>
      <c r="R111" t="s">
        <v>53</v>
      </c>
      <c r="S111" t="s">
        <v>42</v>
      </c>
      <c r="T111" t="s">
        <v>43</v>
      </c>
      <c r="U111" t="s">
        <v>56</v>
      </c>
      <c r="V111" t="s">
        <v>45</v>
      </c>
      <c r="W111" t="s">
        <v>75</v>
      </c>
      <c r="X111" t="s">
        <v>125</v>
      </c>
      <c r="Y111" s="3">
        <v>212753.1</v>
      </c>
      <c r="Z111" s="3">
        <v>106376.55</v>
      </c>
      <c r="AA111">
        <v>0.5</v>
      </c>
      <c r="AB111" t="s">
        <v>39</v>
      </c>
      <c r="AC111" t="s">
        <v>39</v>
      </c>
      <c r="AD111" t="s">
        <v>48</v>
      </c>
    </row>
    <row r="112" spans="1:30" x14ac:dyDescent="0.35">
      <c r="A112" s="1" t="s">
        <v>30</v>
      </c>
      <c r="B112" t="s">
        <v>31</v>
      </c>
      <c r="C112" t="s">
        <v>32</v>
      </c>
      <c r="D112" t="s">
        <v>126</v>
      </c>
      <c r="E112" t="s">
        <v>127</v>
      </c>
      <c r="F112" t="s">
        <v>128</v>
      </c>
      <c r="G112" t="s">
        <v>129</v>
      </c>
      <c r="H112" t="s">
        <v>37</v>
      </c>
      <c r="I112" t="s">
        <v>103</v>
      </c>
      <c r="J112" t="s">
        <v>39</v>
      </c>
      <c r="K112" s="2">
        <v>46177</v>
      </c>
      <c r="L112" s="2">
        <v>46203</v>
      </c>
      <c r="N112" s="2">
        <v>46174</v>
      </c>
      <c r="O112" s="2">
        <v>46539</v>
      </c>
      <c r="P112">
        <v>12</v>
      </c>
      <c r="Q112" t="s">
        <v>40</v>
      </c>
      <c r="R112" t="s">
        <v>88</v>
      </c>
      <c r="S112" t="s">
        <v>42</v>
      </c>
      <c r="T112" t="s">
        <v>43</v>
      </c>
      <c r="U112" t="s">
        <v>106</v>
      </c>
      <c r="V112" t="s">
        <v>81</v>
      </c>
      <c r="W112" t="s">
        <v>82</v>
      </c>
      <c r="X112" t="s">
        <v>91</v>
      </c>
      <c r="Y112" s="3">
        <v>213366.54</v>
      </c>
      <c r="Z112" s="3">
        <v>138688.25</v>
      </c>
      <c r="AA112">
        <v>0.65</v>
      </c>
      <c r="AB112" t="s">
        <v>39</v>
      </c>
      <c r="AC112" t="s">
        <v>39</v>
      </c>
      <c r="AD112" t="s">
        <v>48</v>
      </c>
    </row>
    <row r="113" spans="1:30" x14ac:dyDescent="0.35">
      <c r="A113" s="1" t="s">
        <v>30</v>
      </c>
      <c r="B113" t="s">
        <v>31</v>
      </c>
      <c r="C113" t="s">
        <v>32</v>
      </c>
      <c r="D113" t="s">
        <v>1945</v>
      </c>
      <c r="E113" t="s">
        <v>1946</v>
      </c>
      <c r="F113" t="s">
        <v>1947</v>
      </c>
      <c r="G113" t="s">
        <v>1948</v>
      </c>
      <c r="H113" t="s">
        <v>1271</v>
      </c>
      <c r="I113" t="s">
        <v>38</v>
      </c>
      <c r="J113" t="s">
        <v>39</v>
      </c>
      <c r="K113" s="2">
        <v>46180</v>
      </c>
      <c r="L113" s="2">
        <v>46203</v>
      </c>
      <c r="N113" s="2">
        <v>46174</v>
      </c>
      <c r="O113" s="2">
        <v>46539</v>
      </c>
      <c r="P113">
        <v>12</v>
      </c>
      <c r="Q113" t="s">
        <v>65</v>
      </c>
      <c r="R113" t="s">
        <v>41</v>
      </c>
      <c r="S113" t="s">
        <v>80</v>
      </c>
      <c r="T113" t="s">
        <v>43</v>
      </c>
      <c r="U113" t="s">
        <v>44</v>
      </c>
      <c r="V113" t="s">
        <v>98</v>
      </c>
      <c r="W113" t="s">
        <v>90</v>
      </c>
      <c r="X113" t="s">
        <v>59</v>
      </c>
      <c r="Y113" s="3">
        <v>104671.2</v>
      </c>
      <c r="Z113" s="3">
        <v>68036.28</v>
      </c>
      <c r="AA113">
        <v>0.65</v>
      </c>
      <c r="AB113" t="s">
        <v>39</v>
      </c>
      <c r="AC113" t="s">
        <v>39</v>
      </c>
      <c r="AD113" t="s">
        <v>48</v>
      </c>
    </row>
    <row r="114" spans="1:30" x14ac:dyDescent="0.35">
      <c r="A114" s="1" t="s">
        <v>30</v>
      </c>
      <c r="B114" t="s">
        <v>31</v>
      </c>
      <c r="C114" t="s">
        <v>32</v>
      </c>
      <c r="D114" t="s">
        <v>1949</v>
      </c>
      <c r="E114" t="s">
        <v>1950</v>
      </c>
      <c r="F114" t="s">
        <v>1951</v>
      </c>
      <c r="G114" t="s">
        <v>1952</v>
      </c>
      <c r="H114" t="s">
        <v>1271</v>
      </c>
      <c r="I114" t="s">
        <v>38</v>
      </c>
      <c r="J114" t="s">
        <v>39</v>
      </c>
      <c r="K114" s="2">
        <v>46183</v>
      </c>
      <c r="L114" s="2">
        <v>46203</v>
      </c>
      <c r="N114" s="2">
        <v>46174</v>
      </c>
      <c r="O114" s="2">
        <v>46539</v>
      </c>
      <c r="P114">
        <v>12</v>
      </c>
      <c r="Q114" t="s">
        <v>65</v>
      </c>
      <c r="R114" t="s">
        <v>53</v>
      </c>
      <c r="S114" t="s">
        <v>66</v>
      </c>
      <c r="T114" t="s">
        <v>55</v>
      </c>
      <c r="U114" t="s">
        <v>44</v>
      </c>
      <c r="V114" t="s">
        <v>98</v>
      </c>
      <c r="W114" t="s">
        <v>136</v>
      </c>
      <c r="X114" t="s">
        <v>143</v>
      </c>
      <c r="Y114" s="3">
        <v>159274.68</v>
      </c>
      <c r="Z114" s="3">
        <v>127419.75</v>
      </c>
      <c r="AA114">
        <v>0.8</v>
      </c>
      <c r="AB114" t="s">
        <v>39</v>
      </c>
      <c r="AC114" t="s">
        <v>39</v>
      </c>
      <c r="AD114" t="s">
        <v>48</v>
      </c>
    </row>
    <row r="115" spans="1:30" x14ac:dyDescent="0.35">
      <c r="A115" s="1" t="s">
        <v>30</v>
      </c>
      <c r="B115" t="s">
        <v>31</v>
      </c>
      <c r="C115" t="s">
        <v>32</v>
      </c>
      <c r="D115" t="s">
        <v>1953</v>
      </c>
      <c r="E115" t="s">
        <v>1954</v>
      </c>
      <c r="F115" t="s">
        <v>1955</v>
      </c>
      <c r="G115" t="s">
        <v>1956</v>
      </c>
      <c r="H115" t="s">
        <v>1271</v>
      </c>
      <c r="I115" t="s">
        <v>38</v>
      </c>
      <c r="J115" t="s">
        <v>39</v>
      </c>
      <c r="K115" s="2">
        <v>46177</v>
      </c>
      <c r="L115" s="2">
        <v>46203</v>
      </c>
      <c r="N115" s="2">
        <v>46174</v>
      </c>
      <c r="O115" s="2">
        <v>46539</v>
      </c>
      <c r="P115">
        <v>12</v>
      </c>
      <c r="Q115" t="s">
        <v>104</v>
      </c>
      <c r="R115" t="s">
        <v>41</v>
      </c>
      <c r="S115" t="s">
        <v>89</v>
      </c>
      <c r="T115" t="s">
        <v>55</v>
      </c>
      <c r="U115" t="s">
        <v>56</v>
      </c>
      <c r="V115" t="s">
        <v>74</v>
      </c>
      <c r="W115" t="s">
        <v>90</v>
      </c>
      <c r="X115" t="s">
        <v>91</v>
      </c>
      <c r="Y115" s="3">
        <v>82643.94</v>
      </c>
      <c r="Z115" s="3">
        <v>28925.38</v>
      </c>
      <c r="AA115">
        <v>0.35</v>
      </c>
      <c r="AB115" t="s">
        <v>39</v>
      </c>
      <c r="AC115" t="s">
        <v>39</v>
      </c>
      <c r="AD115" t="s">
        <v>48</v>
      </c>
    </row>
    <row r="116" spans="1:30" x14ac:dyDescent="0.35">
      <c r="A116" s="1" t="s">
        <v>30</v>
      </c>
      <c r="B116" t="s">
        <v>31</v>
      </c>
      <c r="C116" t="s">
        <v>32</v>
      </c>
      <c r="D116" t="s">
        <v>1957</v>
      </c>
      <c r="E116" t="s">
        <v>1958</v>
      </c>
      <c r="F116" t="s">
        <v>1959</v>
      </c>
      <c r="G116" t="s">
        <v>1960</v>
      </c>
      <c r="H116" t="s">
        <v>1271</v>
      </c>
      <c r="I116" t="s">
        <v>103</v>
      </c>
      <c r="J116" t="s">
        <v>39</v>
      </c>
      <c r="K116" s="2">
        <v>46185</v>
      </c>
      <c r="L116" s="2">
        <v>46203</v>
      </c>
      <c r="N116" s="2">
        <v>46174</v>
      </c>
      <c r="O116" s="2">
        <v>46905</v>
      </c>
      <c r="P116">
        <v>24</v>
      </c>
      <c r="Q116" t="s">
        <v>104</v>
      </c>
      <c r="R116" t="s">
        <v>88</v>
      </c>
      <c r="S116" t="s">
        <v>164</v>
      </c>
      <c r="T116" t="s">
        <v>55</v>
      </c>
      <c r="U116" t="s">
        <v>56</v>
      </c>
      <c r="V116" t="s">
        <v>119</v>
      </c>
      <c r="W116" t="s">
        <v>120</v>
      </c>
      <c r="X116" t="s">
        <v>143</v>
      </c>
      <c r="Y116" s="3">
        <v>148946.04</v>
      </c>
      <c r="Z116" s="3">
        <v>119156.83</v>
      </c>
      <c r="AA116">
        <v>0.8</v>
      </c>
      <c r="AB116" t="s">
        <v>39</v>
      </c>
      <c r="AC116" t="s">
        <v>39</v>
      </c>
      <c r="AD116" t="s">
        <v>48</v>
      </c>
    </row>
    <row r="117" spans="1:30" x14ac:dyDescent="0.35">
      <c r="A117" s="1" t="s">
        <v>30</v>
      </c>
      <c r="B117" t="s">
        <v>31</v>
      </c>
      <c r="C117" t="s">
        <v>32</v>
      </c>
      <c r="D117" t="s">
        <v>1961</v>
      </c>
      <c r="E117" t="s">
        <v>1962</v>
      </c>
      <c r="F117" t="s">
        <v>1963</v>
      </c>
      <c r="G117" t="s">
        <v>1964</v>
      </c>
      <c r="H117" t="s">
        <v>1271</v>
      </c>
      <c r="I117" t="s">
        <v>111</v>
      </c>
      <c r="J117" t="s">
        <v>39</v>
      </c>
      <c r="K117" s="2">
        <v>46179</v>
      </c>
      <c r="L117" s="2">
        <v>46203</v>
      </c>
      <c r="N117" s="2">
        <v>46174</v>
      </c>
      <c r="O117" s="2">
        <v>46539</v>
      </c>
      <c r="P117">
        <v>12</v>
      </c>
      <c r="Q117" t="s">
        <v>40</v>
      </c>
      <c r="R117" t="s">
        <v>53</v>
      </c>
      <c r="S117" t="s">
        <v>162</v>
      </c>
      <c r="T117" t="s">
        <v>43</v>
      </c>
      <c r="U117" t="s">
        <v>106</v>
      </c>
      <c r="V117" t="s">
        <v>217</v>
      </c>
      <c r="W117" t="s">
        <v>46</v>
      </c>
      <c r="X117" t="s">
        <v>91</v>
      </c>
      <c r="Y117" s="3">
        <v>151560.75</v>
      </c>
      <c r="Z117" s="3">
        <v>98514.49</v>
      </c>
      <c r="AA117">
        <v>0.65</v>
      </c>
      <c r="AB117" t="s">
        <v>39</v>
      </c>
      <c r="AC117" t="s">
        <v>39</v>
      </c>
      <c r="AD117" t="s">
        <v>48</v>
      </c>
    </row>
    <row r="118" spans="1:30" x14ac:dyDescent="0.35">
      <c r="A118" s="1" t="s">
        <v>30</v>
      </c>
      <c r="B118" t="s">
        <v>31</v>
      </c>
      <c r="C118" t="s">
        <v>32</v>
      </c>
      <c r="D118" t="s">
        <v>1965</v>
      </c>
      <c r="E118" t="s">
        <v>1966</v>
      </c>
      <c r="F118" t="s">
        <v>1967</v>
      </c>
      <c r="G118" t="s">
        <v>1968</v>
      </c>
      <c r="H118" t="s">
        <v>1271</v>
      </c>
      <c r="I118" t="s">
        <v>117</v>
      </c>
      <c r="J118" t="s">
        <v>39</v>
      </c>
      <c r="K118" s="2">
        <v>46188</v>
      </c>
      <c r="L118" s="2">
        <v>46203</v>
      </c>
      <c r="N118" s="2">
        <v>46174</v>
      </c>
      <c r="O118" s="2">
        <v>47270</v>
      </c>
      <c r="P118">
        <v>36</v>
      </c>
      <c r="Q118" t="s">
        <v>65</v>
      </c>
      <c r="R118" t="s">
        <v>53</v>
      </c>
      <c r="S118" t="s">
        <v>130</v>
      </c>
      <c r="T118" t="s">
        <v>131</v>
      </c>
      <c r="U118" t="s">
        <v>56</v>
      </c>
      <c r="V118" t="s">
        <v>119</v>
      </c>
      <c r="W118" t="s">
        <v>142</v>
      </c>
      <c r="X118" t="s">
        <v>143</v>
      </c>
      <c r="Y118" s="3">
        <v>176519.85</v>
      </c>
      <c r="Z118" s="3">
        <v>61781.95</v>
      </c>
      <c r="AA118">
        <v>0.35</v>
      </c>
      <c r="AB118" t="s">
        <v>39</v>
      </c>
      <c r="AC118" t="s">
        <v>39</v>
      </c>
      <c r="AD118" t="s">
        <v>48</v>
      </c>
    </row>
    <row r="119" spans="1:30" x14ac:dyDescent="0.35">
      <c r="A119" s="1" t="s">
        <v>30</v>
      </c>
      <c r="B119" t="s">
        <v>31</v>
      </c>
      <c r="C119" t="s">
        <v>32</v>
      </c>
      <c r="D119" t="s">
        <v>1969</v>
      </c>
      <c r="E119" t="s">
        <v>1970</v>
      </c>
      <c r="F119" t="s">
        <v>397</v>
      </c>
      <c r="G119" t="s">
        <v>398</v>
      </c>
      <c r="H119" t="s">
        <v>1271</v>
      </c>
      <c r="I119" t="s">
        <v>64</v>
      </c>
      <c r="J119" t="s">
        <v>39</v>
      </c>
      <c r="K119" s="2">
        <v>46175</v>
      </c>
      <c r="L119" s="2">
        <v>46203</v>
      </c>
      <c r="N119" s="2">
        <v>46174</v>
      </c>
      <c r="O119" s="2">
        <v>47270</v>
      </c>
      <c r="P119">
        <v>36</v>
      </c>
      <c r="Q119" t="s">
        <v>40</v>
      </c>
      <c r="R119" t="s">
        <v>88</v>
      </c>
      <c r="S119" t="s">
        <v>182</v>
      </c>
      <c r="T119" t="s">
        <v>97</v>
      </c>
      <c r="U119" t="s">
        <v>44</v>
      </c>
      <c r="V119" t="s">
        <v>67</v>
      </c>
      <c r="W119" t="s">
        <v>132</v>
      </c>
      <c r="X119" t="s">
        <v>68</v>
      </c>
      <c r="Y119" s="3">
        <v>117201.53</v>
      </c>
      <c r="Z119" s="3">
        <v>76181</v>
      </c>
      <c r="AA119">
        <v>0.65</v>
      </c>
      <c r="AB119" t="s">
        <v>39</v>
      </c>
      <c r="AC119" t="s">
        <v>39</v>
      </c>
      <c r="AD119" t="s">
        <v>48</v>
      </c>
    </row>
    <row r="120" spans="1:30" x14ac:dyDescent="0.35">
      <c r="A120" s="1" t="s">
        <v>30</v>
      </c>
      <c r="B120" t="s">
        <v>31</v>
      </c>
      <c r="C120" t="s">
        <v>32</v>
      </c>
      <c r="D120" t="s">
        <v>1971</v>
      </c>
      <c r="E120" t="s">
        <v>1972</v>
      </c>
      <c r="F120" t="s">
        <v>1973</v>
      </c>
      <c r="G120" t="s">
        <v>1974</v>
      </c>
      <c r="H120" t="s">
        <v>1290</v>
      </c>
      <c r="I120" t="s">
        <v>64</v>
      </c>
      <c r="J120" t="s">
        <v>1290</v>
      </c>
      <c r="K120" s="2">
        <v>46180</v>
      </c>
      <c r="L120" s="2">
        <v>46203</v>
      </c>
      <c r="N120" s="2">
        <v>46174</v>
      </c>
      <c r="O120" s="2">
        <v>46539</v>
      </c>
      <c r="P120">
        <v>12</v>
      </c>
      <c r="Q120" t="s">
        <v>40</v>
      </c>
      <c r="R120" t="s">
        <v>53</v>
      </c>
      <c r="S120" t="s">
        <v>140</v>
      </c>
      <c r="T120" t="s">
        <v>97</v>
      </c>
      <c r="U120" t="s">
        <v>44</v>
      </c>
      <c r="V120" t="s">
        <v>81</v>
      </c>
      <c r="W120" t="s">
        <v>90</v>
      </c>
      <c r="X120" t="s">
        <v>68</v>
      </c>
      <c r="Y120" s="3">
        <v>153926.46</v>
      </c>
      <c r="Z120" s="3">
        <v>53874.26</v>
      </c>
      <c r="AA120">
        <v>0.35</v>
      </c>
      <c r="AB120" t="s">
        <v>1290</v>
      </c>
      <c r="AC120" t="s">
        <v>1290</v>
      </c>
      <c r="AD120" t="s">
        <v>48</v>
      </c>
    </row>
    <row r="121" spans="1:30" x14ac:dyDescent="0.35">
      <c r="A121" s="1" t="s">
        <v>30</v>
      </c>
      <c r="B121" t="s">
        <v>31</v>
      </c>
      <c r="C121" t="s">
        <v>32</v>
      </c>
      <c r="D121" t="s">
        <v>1975</v>
      </c>
      <c r="E121" t="s">
        <v>1976</v>
      </c>
      <c r="F121" t="s">
        <v>1977</v>
      </c>
      <c r="G121" t="s">
        <v>1978</v>
      </c>
      <c r="H121" t="s">
        <v>1290</v>
      </c>
      <c r="I121" t="s">
        <v>38</v>
      </c>
      <c r="J121" t="s">
        <v>1290</v>
      </c>
      <c r="K121" s="2">
        <v>46182</v>
      </c>
      <c r="L121" s="2">
        <v>46203</v>
      </c>
      <c r="N121" s="2">
        <v>46174</v>
      </c>
      <c r="O121" s="2">
        <v>46905</v>
      </c>
      <c r="P121">
        <v>24</v>
      </c>
      <c r="Q121" t="s">
        <v>104</v>
      </c>
      <c r="R121" t="s">
        <v>41</v>
      </c>
      <c r="S121" t="s">
        <v>163</v>
      </c>
      <c r="T121" t="s">
        <v>131</v>
      </c>
      <c r="U121" t="s">
        <v>44</v>
      </c>
      <c r="V121" t="s">
        <v>144</v>
      </c>
      <c r="W121" t="s">
        <v>150</v>
      </c>
      <c r="X121" t="s">
        <v>59</v>
      </c>
      <c r="Y121" s="3">
        <v>168950.54</v>
      </c>
      <c r="Z121" s="3">
        <v>109817.85</v>
      </c>
      <c r="AA121">
        <v>0.65</v>
      </c>
      <c r="AB121" t="s">
        <v>1290</v>
      </c>
      <c r="AC121" t="s">
        <v>1290</v>
      </c>
      <c r="AD121" t="s">
        <v>48</v>
      </c>
    </row>
    <row r="122" spans="1:30" x14ac:dyDescent="0.35">
      <c r="A122" s="1" t="s">
        <v>30</v>
      </c>
      <c r="B122" t="s">
        <v>31</v>
      </c>
      <c r="C122" t="s">
        <v>32</v>
      </c>
      <c r="D122" t="s">
        <v>1979</v>
      </c>
      <c r="E122" t="s">
        <v>1980</v>
      </c>
      <c r="F122" t="s">
        <v>1981</v>
      </c>
      <c r="G122" t="s">
        <v>1982</v>
      </c>
      <c r="H122" t="s">
        <v>1295</v>
      </c>
      <c r="I122" t="s">
        <v>111</v>
      </c>
      <c r="J122" t="s">
        <v>1295</v>
      </c>
      <c r="K122" s="2">
        <v>46183</v>
      </c>
      <c r="L122" s="2">
        <v>46203</v>
      </c>
      <c r="N122" s="2">
        <v>46174</v>
      </c>
      <c r="O122" s="2">
        <v>46539</v>
      </c>
      <c r="P122">
        <v>12</v>
      </c>
      <c r="Q122" t="s">
        <v>104</v>
      </c>
      <c r="R122" t="s">
        <v>41</v>
      </c>
      <c r="S122" t="s">
        <v>89</v>
      </c>
      <c r="T122" t="s">
        <v>55</v>
      </c>
      <c r="U122" t="s">
        <v>56</v>
      </c>
      <c r="V122" t="s">
        <v>74</v>
      </c>
      <c r="W122" t="s">
        <v>120</v>
      </c>
      <c r="X122" t="s">
        <v>91</v>
      </c>
      <c r="Y122" s="3">
        <v>147174.07</v>
      </c>
      <c r="Z122" s="3">
        <v>73587.03</v>
      </c>
      <c r="AA122">
        <v>0.5</v>
      </c>
      <c r="AB122" t="s">
        <v>1295</v>
      </c>
      <c r="AC122" t="s">
        <v>1295</v>
      </c>
      <c r="AD122" t="s">
        <v>48</v>
      </c>
    </row>
    <row r="123" spans="1:30" x14ac:dyDescent="0.35">
      <c r="A123" s="1" t="s">
        <v>30</v>
      </c>
      <c r="B123" t="s">
        <v>31</v>
      </c>
      <c r="C123" t="s">
        <v>32</v>
      </c>
      <c r="D123" t="s">
        <v>1983</v>
      </c>
      <c r="E123" t="s">
        <v>1984</v>
      </c>
      <c r="F123" t="s">
        <v>1985</v>
      </c>
      <c r="G123" t="s">
        <v>1986</v>
      </c>
      <c r="H123" t="s">
        <v>1295</v>
      </c>
      <c r="I123" t="s">
        <v>117</v>
      </c>
      <c r="J123" t="s">
        <v>1295</v>
      </c>
      <c r="K123" s="2">
        <v>46177</v>
      </c>
      <c r="L123" s="2">
        <v>46203</v>
      </c>
      <c r="N123" s="2">
        <v>46174</v>
      </c>
      <c r="O123" s="2">
        <v>46539</v>
      </c>
      <c r="P123">
        <v>12</v>
      </c>
      <c r="Q123" t="s">
        <v>65</v>
      </c>
      <c r="R123" t="s">
        <v>41</v>
      </c>
      <c r="S123" t="s">
        <v>105</v>
      </c>
      <c r="T123" t="s">
        <v>55</v>
      </c>
      <c r="U123" t="s">
        <v>106</v>
      </c>
      <c r="V123" t="s">
        <v>138</v>
      </c>
      <c r="W123" t="s">
        <v>120</v>
      </c>
      <c r="X123" t="s">
        <v>59</v>
      </c>
      <c r="Y123" s="3">
        <v>255474.56</v>
      </c>
      <c r="Z123" s="3">
        <v>127737.28</v>
      </c>
      <c r="AA123">
        <v>0.5</v>
      </c>
      <c r="AB123" t="s">
        <v>1295</v>
      </c>
      <c r="AC123" t="s">
        <v>1295</v>
      </c>
      <c r="AD123" t="s">
        <v>48</v>
      </c>
    </row>
    <row r="124" spans="1:30" x14ac:dyDescent="0.35">
      <c r="A124" s="1" t="s">
        <v>30</v>
      </c>
      <c r="B124" t="s">
        <v>31</v>
      </c>
      <c r="C124" t="s">
        <v>32</v>
      </c>
      <c r="D124" t="s">
        <v>1987</v>
      </c>
      <c r="E124" t="s">
        <v>1988</v>
      </c>
      <c r="F124" t="s">
        <v>452</v>
      </c>
      <c r="G124" t="s">
        <v>453</v>
      </c>
      <c r="H124" t="s">
        <v>1295</v>
      </c>
      <c r="I124" t="s">
        <v>117</v>
      </c>
      <c r="J124" t="s">
        <v>1295</v>
      </c>
      <c r="K124" s="2">
        <v>46185</v>
      </c>
      <c r="L124" s="2">
        <v>46203</v>
      </c>
      <c r="N124" s="2">
        <v>46174</v>
      </c>
      <c r="O124" s="2">
        <v>46539</v>
      </c>
      <c r="P124">
        <v>12</v>
      </c>
      <c r="Q124" t="s">
        <v>40</v>
      </c>
      <c r="R124" t="s">
        <v>41</v>
      </c>
      <c r="S124" t="s">
        <v>96</v>
      </c>
      <c r="T124" t="s">
        <v>97</v>
      </c>
      <c r="U124" t="s">
        <v>44</v>
      </c>
      <c r="V124" t="s">
        <v>45</v>
      </c>
      <c r="W124" t="s">
        <v>136</v>
      </c>
      <c r="X124" t="s">
        <v>91</v>
      </c>
      <c r="Y124" s="3">
        <v>127608.38</v>
      </c>
      <c r="Z124" s="3">
        <v>44662.93</v>
      </c>
      <c r="AA124">
        <v>0.35</v>
      </c>
      <c r="AB124" t="s">
        <v>1295</v>
      </c>
      <c r="AC124" t="s">
        <v>1295</v>
      </c>
      <c r="AD124" t="s">
        <v>48</v>
      </c>
    </row>
    <row r="125" spans="1:30" x14ac:dyDescent="0.35">
      <c r="A125" s="1" t="s">
        <v>30</v>
      </c>
      <c r="B125" t="s">
        <v>31</v>
      </c>
      <c r="C125" t="s">
        <v>32</v>
      </c>
      <c r="D125" t="s">
        <v>1989</v>
      </c>
      <c r="E125" t="s">
        <v>1990</v>
      </c>
      <c r="F125" t="s">
        <v>1991</v>
      </c>
      <c r="G125" t="s">
        <v>1992</v>
      </c>
      <c r="H125" t="s">
        <v>1302</v>
      </c>
      <c r="I125" t="s">
        <v>117</v>
      </c>
      <c r="J125" t="s">
        <v>39</v>
      </c>
      <c r="K125" s="2">
        <v>46177</v>
      </c>
      <c r="L125" s="2">
        <v>46203</v>
      </c>
      <c r="N125" s="2">
        <v>46174</v>
      </c>
      <c r="O125" s="2">
        <v>46539</v>
      </c>
      <c r="P125">
        <v>12</v>
      </c>
      <c r="Q125" t="s">
        <v>65</v>
      </c>
      <c r="R125" t="s">
        <v>53</v>
      </c>
      <c r="S125" t="s">
        <v>130</v>
      </c>
      <c r="T125" t="s">
        <v>131</v>
      </c>
      <c r="U125" t="s">
        <v>44</v>
      </c>
      <c r="V125" t="s">
        <v>45</v>
      </c>
      <c r="W125" t="s">
        <v>90</v>
      </c>
      <c r="X125" t="s">
        <v>91</v>
      </c>
      <c r="Y125" s="3">
        <v>150000</v>
      </c>
      <c r="Z125" s="3">
        <v>120000</v>
      </c>
      <c r="AA125">
        <v>0.8</v>
      </c>
      <c r="AB125" t="s">
        <v>39</v>
      </c>
      <c r="AC125" t="s">
        <v>39</v>
      </c>
      <c r="AD125" t="s">
        <v>48</v>
      </c>
    </row>
    <row r="126" spans="1:30" x14ac:dyDescent="0.35">
      <c r="A126" s="1" t="s">
        <v>30</v>
      </c>
      <c r="B126" t="s">
        <v>31</v>
      </c>
      <c r="C126" t="s">
        <v>165</v>
      </c>
      <c r="D126" t="s">
        <v>166</v>
      </c>
      <c r="E126" t="s">
        <v>167</v>
      </c>
      <c r="F126" t="s">
        <v>168</v>
      </c>
      <c r="G126" t="s">
        <v>169</v>
      </c>
      <c r="H126" t="s">
        <v>37</v>
      </c>
      <c r="I126" t="s">
        <v>103</v>
      </c>
      <c r="J126" t="s">
        <v>39</v>
      </c>
      <c r="K126" s="2">
        <v>46214</v>
      </c>
      <c r="L126" s="2">
        <v>46234</v>
      </c>
      <c r="N126" s="2">
        <v>46204</v>
      </c>
      <c r="O126" s="2">
        <v>46935</v>
      </c>
      <c r="P126">
        <v>24</v>
      </c>
      <c r="Q126" t="s">
        <v>65</v>
      </c>
      <c r="R126" t="s">
        <v>53</v>
      </c>
      <c r="S126" t="s">
        <v>130</v>
      </c>
      <c r="T126" t="s">
        <v>131</v>
      </c>
      <c r="U126" t="s">
        <v>56</v>
      </c>
      <c r="V126" t="s">
        <v>138</v>
      </c>
      <c r="W126" t="s">
        <v>136</v>
      </c>
      <c r="X126" t="s">
        <v>158</v>
      </c>
      <c r="Y126" s="3">
        <v>158383.28</v>
      </c>
      <c r="Z126" s="3">
        <v>126706.62</v>
      </c>
      <c r="AA126">
        <v>0.8</v>
      </c>
      <c r="AB126" t="s">
        <v>39</v>
      </c>
      <c r="AC126" t="s">
        <v>39</v>
      </c>
      <c r="AD126" t="s">
        <v>48</v>
      </c>
    </row>
    <row r="127" spans="1:30" x14ac:dyDescent="0.35">
      <c r="A127" s="1" t="s">
        <v>30</v>
      </c>
      <c r="B127" t="s">
        <v>31</v>
      </c>
      <c r="C127" t="s">
        <v>165</v>
      </c>
      <c r="D127" t="s">
        <v>170</v>
      </c>
      <c r="E127" t="s">
        <v>171</v>
      </c>
      <c r="F127" t="s">
        <v>172</v>
      </c>
      <c r="G127" t="s">
        <v>173</v>
      </c>
      <c r="H127" t="s">
        <v>37</v>
      </c>
      <c r="I127" t="s">
        <v>117</v>
      </c>
      <c r="J127" t="s">
        <v>39</v>
      </c>
      <c r="K127" s="2">
        <v>46207</v>
      </c>
      <c r="L127" s="2">
        <v>46234</v>
      </c>
      <c r="N127" s="2">
        <v>46204</v>
      </c>
      <c r="O127" s="2">
        <v>46569</v>
      </c>
      <c r="P127">
        <v>12</v>
      </c>
      <c r="Q127" t="s">
        <v>40</v>
      </c>
      <c r="R127" t="s">
        <v>53</v>
      </c>
      <c r="S127" t="s">
        <v>149</v>
      </c>
      <c r="T127" t="s">
        <v>131</v>
      </c>
      <c r="U127" t="s">
        <v>56</v>
      </c>
      <c r="V127" t="s">
        <v>67</v>
      </c>
      <c r="W127" t="s">
        <v>161</v>
      </c>
      <c r="X127" t="s">
        <v>59</v>
      </c>
      <c r="Y127" s="3">
        <v>172918.63</v>
      </c>
      <c r="Z127" s="3">
        <v>112397.11</v>
      </c>
      <c r="AA127">
        <v>0.65</v>
      </c>
      <c r="AB127" t="s">
        <v>39</v>
      </c>
      <c r="AC127" t="s">
        <v>39</v>
      </c>
      <c r="AD127" t="s">
        <v>48</v>
      </c>
    </row>
    <row r="128" spans="1:30" x14ac:dyDescent="0.35">
      <c r="A128" s="1" t="s">
        <v>30</v>
      </c>
      <c r="B128" t="s">
        <v>31</v>
      </c>
      <c r="C128" t="s">
        <v>165</v>
      </c>
      <c r="D128" t="s">
        <v>174</v>
      </c>
      <c r="E128" t="s">
        <v>175</v>
      </c>
      <c r="F128" t="s">
        <v>176</v>
      </c>
      <c r="G128" t="s">
        <v>177</v>
      </c>
      <c r="H128" t="s">
        <v>37</v>
      </c>
      <c r="I128" t="s">
        <v>111</v>
      </c>
      <c r="J128" t="s">
        <v>39</v>
      </c>
      <c r="K128" s="2">
        <v>46212</v>
      </c>
      <c r="L128" s="2">
        <v>46234</v>
      </c>
      <c r="N128" s="2">
        <v>46204</v>
      </c>
      <c r="O128" s="2">
        <v>46935</v>
      </c>
      <c r="P128">
        <v>24</v>
      </c>
      <c r="Q128" t="s">
        <v>65</v>
      </c>
      <c r="R128" t="s">
        <v>88</v>
      </c>
      <c r="S128" t="s">
        <v>151</v>
      </c>
      <c r="T128" t="s">
        <v>131</v>
      </c>
      <c r="U128" t="s">
        <v>56</v>
      </c>
      <c r="V128" t="s">
        <v>98</v>
      </c>
      <c r="W128" t="s">
        <v>120</v>
      </c>
      <c r="X128" t="s">
        <v>59</v>
      </c>
      <c r="Y128" s="3">
        <v>131102.01999999999</v>
      </c>
      <c r="Z128" s="3">
        <v>104881.61</v>
      </c>
      <c r="AA128">
        <v>0.8</v>
      </c>
      <c r="AB128" t="s">
        <v>39</v>
      </c>
      <c r="AC128" t="s">
        <v>39</v>
      </c>
      <c r="AD128" t="s">
        <v>48</v>
      </c>
    </row>
    <row r="129" spans="1:30" x14ac:dyDescent="0.35">
      <c r="A129" s="1" t="s">
        <v>30</v>
      </c>
      <c r="B129" t="s">
        <v>31</v>
      </c>
      <c r="C129" t="s">
        <v>165</v>
      </c>
      <c r="D129" t="s">
        <v>178</v>
      </c>
      <c r="E129" t="s">
        <v>179</v>
      </c>
      <c r="F129" t="s">
        <v>180</v>
      </c>
      <c r="G129" t="s">
        <v>181</v>
      </c>
      <c r="H129" t="s">
        <v>37</v>
      </c>
      <c r="I129" t="s">
        <v>103</v>
      </c>
      <c r="J129" t="s">
        <v>39</v>
      </c>
      <c r="K129" s="2">
        <v>46208</v>
      </c>
      <c r="L129" s="2">
        <v>46234</v>
      </c>
      <c r="N129" s="2">
        <v>46204</v>
      </c>
      <c r="O129" s="2">
        <v>46569</v>
      </c>
      <c r="P129">
        <v>12</v>
      </c>
      <c r="Q129" t="s">
        <v>40</v>
      </c>
      <c r="R129" t="s">
        <v>41</v>
      </c>
      <c r="S129" t="s">
        <v>182</v>
      </c>
      <c r="T129" t="s">
        <v>97</v>
      </c>
      <c r="U129" t="s">
        <v>106</v>
      </c>
      <c r="V129" t="s">
        <v>138</v>
      </c>
      <c r="W129" t="s">
        <v>150</v>
      </c>
      <c r="X129" t="s">
        <v>83</v>
      </c>
      <c r="Y129" s="3">
        <v>175446.02</v>
      </c>
      <c r="Z129" s="3">
        <v>140356.82</v>
      </c>
      <c r="AA129">
        <v>0.8</v>
      </c>
      <c r="AB129" t="s">
        <v>39</v>
      </c>
      <c r="AC129" t="s">
        <v>39</v>
      </c>
      <c r="AD129" t="s">
        <v>48</v>
      </c>
    </row>
    <row r="130" spans="1:30" x14ac:dyDescent="0.35">
      <c r="A130" s="1" t="s">
        <v>30</v>
      </c>
      <c r="B130" t="s">
        <v>31</v>
      </c>
      <c r="C130" t="s">
        <v>165</v>
      </c>
      <c r="D130" t="s">
        <v>183</v>
      </c>
      <c r="E130" t="s">
        <v>184</v>
      </c>
      <c r="F130" t="s">
        <v>185</v>
      </c>
      <c r="G130" t="s">
        <v>186</v>
      </c>
      <c r="H130" t="s">
        <v>37</v>
      </c>
      <c r="I130" t="s">
        <v>117</v>
      </c>
      <c r="J130" t="s">
        <v>39</v>
      </c>
      <c r="K130" s="2">
        <v>46204</v>
      </c>
      <c r="L130" s="2">
        <v>46234</v>
      </c>
      <c r="N130" s="2">
        <v>46204</v>
      </c>
      <c r="O130" s="2">
        <v>46935</v>
      </c>
      <c r="P130">
        <v>24</v>
      </c>
      <c r="Q130" t="s">
        <v>40</v>
      </c>
      <c r="R130" t="s">
        <v>88</v>
      </c>
      <c r="S130" t="s">
        <v>139</v>
      </c>
      <c r="T130" t="s">
        <v>43</v>
      </c>
      <c r="U130" t="s">
        <v>44</v>
      </c>
      <c r="V130" t="s">
        <v>81</v>
      </c>
      <c r="W130" t="s">
        <v>46</v>
      </c>
      <c r="X130" t="s">
        <v>91</v>
      </c>
      <c r="Y130" s="3">
        <v>167679.29999999999</v>
      </c>
      <c r="Z130" s="3">
        <v>58687.76</v>
      </c>
      <c r="AA130">
        <v>0.35</v>
      </c>
      <c r="AB130" t="s">
        <v>39</v>
      </c>
      <c r="AC130" t="s">
        <v>39</v>
      </c>
      <c r="AD130" t="s">
        <v>48</v>
      </c>
    </row>
    <row r="131" spans="1:30" x14ac:dyDescent="0.35">
      <c r="A131" s="1" t="s">
        <v>30</v>
      </c>
      <c r="B131" t="s">
        <v>31</v>
      </c>
      <c r="C131" t="s">
        <v>165</v>
      </c>
      <c r="D131" t="s">
        <v>187</v>
      </c>
      <c r="E131" t="s">
        <v>188</v>
      </c>
      <c r="F131" t="s">
        <v>189</v>
      </c>
      <c r="G131" t="s">
        <v>190</v>
      </c>
      <c r="H131" t="s">
        <v>37</v>
      </c>
      <c r="I131" t="s">
        <v>64</v>
      </c>
      <c r="J131" t="s">
        <v>39</v>
      </c>
      <c r="K131" s="2">
        <v>46207</v>
      </c>
      <c r="L131" s="2">
        <v>46234</v>
      </c>
      <c r="N131" s="2">
        <v>46204</v>
      </c>
      <c r="O131" s="2">
        <v>46569</v>
      </c>
      <c r="P131">
        <v>12</v>
      </c>
      <c r="Q131" t="s">
        <v>40</v>
      </c>
      <c r="R131" t="s">
        <v>53</v>
      </c>
      <c r="S131" t="s">
        <v>135</v>
      </c>
      <c r="T131" t="s">
        <v>131</v>
      </c>
      <c r="U131" t="s">
        <v>44</v>
      </c>
      <c r="V131" t="s">
        <v>119</v>
      </c>
      <c r="W131" t="s">
        <v>142</v>
      </c>
      <c r="X131" t="s">
        <v>143</v>
      </c>
      <c r="Y131" s="3">
        <v>130201.07</v>
      </c>
      <c r="Z131" s="3">
        <v>104160.85</v>
      </c>
      <c r="AA131">
        <v>0.8</v>
      </c>
      <c r="AB131" t="s">
        <v>39</v>
      </c>
      <c r="AC131" t="s">
        <v>39</v>
      </c>
      <c r="AD131" t="s">
        <v>48</v>
      </c>
    </row>
    <row r="132" spans="1:30" x14ac:dyDescent="0.35">
      <c r="A132" s="1" t="s">
        <v>30</v>
      </c>
      <c r="B132" t="s">
        <v>31</v>
      </c>
      <c r="C132" t="s">
        <v>165</v>
      </c>
      <c r="D132" t="s">
        <v>191</v>
      </c>
      <c r="E132" t="s">
        <v>192</v>
      </c>
      <c r="F132" t="s">
        <v>193</v>
      </c>
      <c r="G132" t="s">
        <v>194</v>
      </c>
      <c r="H132" t="s">
        <v>37</v>
      </c>
      <c r="I132" t="s">
        <v>38</v>
      </c>
      <c r="J132" t="s">
        <v>39</v>
      </c>
      <c r="K132" s="2">
        <v>46205</v>
      </c>
      <c r="L132" s="2">
        <v>46234</v>
      </c>
      <c r="N132" s="2">
        <v>46204</v>
      </c>
      <c r="O132" s="2">
        <v>46569</v>
      </c>
      <c r="P132">
        <v>12</v>
      </c>
      <c r="Q132" t="s">
        <v>65</v>
      </c>
      <c r="R132" t="s">
        <v>41</v>
      </c>
      <c r="S132" t="s">
        <v>80</v>
      </c>
      <c r="T132" t="s">
        <v>43</v>
      </c>
      <c r="U132" t="s">
        <v>106</v>
      </c>
      <c r="V132" t="s">
        <v>67</v>
      </c>
      <c r="W132" t="s">
        <v>136</v>
      </c>
      <c r="X132" t="s">
        <v>47</v>
      </c>
      <c r="Y132" s="3">
        <v>174502.06</v>
      </c>
      <c r="Z132" s="3">
        <v>87251.03</v>
      </c>
      <c r="AA132">
        <v>0.5</v>
      </c>
      <c r="AB132" t="s">
        <v>39</v>
      </c>
      <c r="AC132" t="s">
        <v>39</v>
      </c>
      <c r="AD132" t="s">
        <v>48</v>
      </c>
    </row>
    <row r="133" spans="1:30" x14ac:dyDescent="0.35">
      <c r="A133" s="1" t="s">
        <v>30</v>
      </c>
      <c r="B133" t="s">
        <v>31</v>
      </c>
      <c r="C133" t="s">
        <v>165</v>
      </c>
      <c r="D133" t="s">
        <v>195</v>
      </c>
      <c r="E133" t="s">
        <v>196</v>
      </c>
      <c r="F133" t="s">
        <v>197</v>
      </c>
      <c r="G133" t="s">
        <v>198</v>
      </c>
      <c r="H133" t="s">
        <v>37</v>
      </c>
      <c r="I133" t="s">
        <v>38</v>
      </c>
      <c r="J133" t="s">
        <v>39</v>
      </c>
      <c r="K133" s="2">
        <v>46214</v>
      </c>
      <c r="L133" s="2">
        <v>46234</v>
      </c>
      <c r="N133" s="2">
        <v>46204</v>
      </c>
      <c r="O133" s="2">
        <v>46569</v>
      </c>
      <c r="P133">
        <v>12</v>
      </c>
      <c r="Q133" t="s">
        <v>104</v>
      </c>
      <c r="R133" t="s">
        <v>88</v>
      </c>
      <c r="S133" t="s">
        <v>118</v>
      </c>
      <c r="T133" t="s">
        <v>97</v>
      </c>
      <c r="U133" t="s">
        <v>44</v>
      </c>
      <c r="V133" t="s">
        <v>98</v>
      </c>
      <c r="W133" t="s">
        <v>142</v>
      </c>
      <c r="X133" t="s">
        <v>91</v>
      </c>
      <c r="Y133" s="3">
        <v>168029.58</v>
      </c>
      <c r="Z133" s="3">
        <v>58810.35</v>
      </c>
      <c r="AA133">
        <v>0.35</v>
      </c>
      <c r="AB133" t="s">
        <v>39</v>
      </c>
      <c r="AC133" t="s">
        <v>39</v>
      </c>
      <c r="AD133" t="s">
        <v>48</v>
      </c>
    </row>
    <row r="134" spans="1:30" x14ac:dyDescent="0.35">
      <c r="A134" s="1" t="s">
        <v>30</v>
      </c>
      <c r="B134" t="s">
        <v>31</v>
      </c>
      <c r="C134" t="s">
        <v>165</v>
      </c>
      <c r="D134" t="s">
        <v>199</v>
      </c>
      <c r="E134" t="s">
        <v>200</v>
      </c>
      <c r="F134" t="s">
        <v>201</v>
      </c>
      <c r="G134" t="s">
        <v>202</v>
      </c>
      <c r="H134" t="s">
        <v>37</v>
      </c>
      <c r="I134" t="s">
        <v>117</v>
      </c>
      <c r="J134" t="s">
        <v>39</v>
      </c>
      <c r="K134" s="2">
        <v>46214</v>
      </c>
      <c r="L134" s="2">
        <v>46234</v>
      </c>
      <c r="N134" s="2">
        <v>46204</v>
      </c>
      <c r="O134" s="2">
        <v>46569</v>
      </c>
      <c r="P134">
        <v>12</v>
      </c>
      <c r="Q134" t="s">
        <v>40</v>
      </c>
      <c r="R134" t="s">
        <v>53</v>
      </c>
      <c r="S134" t="s">
        <v>73</v>
      </c>
      <c r="T134" t="s">
        <v>43</v>
      </c>
      <c r="U134" t="s">
        <v>44</v>
      </c>
      <c r="V134" t="s">
        <v>119</v>
      </c>
      <c r="W134" t="s">
        <v>136</v>
      </c>
      <c r="X134" t="s">
        <v>158</v>
      </c>
      <c r="Y134" s="3">
        <v>149244.96</v>
      </c>
      <c r="Z134" s="3">
        <v>97009.22</v>
      </c>
      <c r="AA134">
        <v>0.65</v>
      </c>
      <c r="AB134" t="s">
        <v>39</v>
      </c>
      <c r="AC134" t="s">
        <v>39</v>
      </c>
      <c r="AD134" t="s">
        <v>48</v>
      </c>
    </row>
    <row r="135" spans="1:30" x14ac:dyDescent="0.35">
      <c r="A135" s="1" t="s">
        <v>30</v>
      </c>
      <c r="B135" t="s">
        <v>31</v>
      </c>
      <c r="C135" t="s">
        <v>165</v>
      </c>
      <c r="D135" t="s">
        <v>203</v>
      </c>
      <c r="E135" t="s">
        <v>204</v>
      </c>
      <c r="F135" t="s">
        <v>205</v>
      </c>
      <c r="G135" t="s">
        <v>206</v>
      </c>
      <c r="H135" t="s">
        <v>37</v>
      </c>
      <c r="I135" t="s">
        <v>117</v>
      </c>
      <c r="J135" t="s">
        <v>39</v>
      </c>
      <c r="K135" s="2">
        <v>46206</v>
      </c>
      <c r="L135" s="2">
        <v>46234</v>
      </c>
      <c r="N135" s="2">
        <v>46204</v>
      </c>
      <c r="O135" s="2">
        <v>46569</v>
      </c>
      <c r="P135">
        <v>12</v>
      </c>
      <c r="Q135" t="s">
        <v>104</v>
      </c>
      <c r="R135" t="s">
        <v>41</v>
      </c>
      <c r="S135" t="s">
        <v>73</v>
      </c>
      <c r="T135" t="s">
        <v>43</v>
      </c>
      <c r="U135" t="s">
        <v>106</v>
      </c>
      <c r="V135" t="s">
        <v>67</v>
      </c>
      <c r="W135" t="s">
        <v>75</v>
      </c>
      <c r="X135" t="s">
        <v>125</v>
      </c>
      <c r="Y135" s="3">
        <v>175066.31</v>
      </c>
      <c r="Z135" s="3">
        <v>140053.04999999999</v>
      </c>
      <c r="AA135">
        <v>0.8</v>
      </c>
      <c r="AB135" t="s">
        <v>39</v>
      </c>
      <c r="AC135" t="s">
        <v>39</v>
      </c>
      <c r="AD135" t="s">
        <v>48</v>
      </c>
    </row>
    <row r="136" spans="1:30" x14ac:dyDescent="0.35">
      <c r="A136" s="1" t="s">
        <v>30</v>
      </c>
      <c r="B136" t="s">
        <v>31</v>
      </c>
      <c r="C136" t="s">
        <v>165</v>
      </c>
      <c r="D136" t="s">
        <v>207</v>
      </c>
      <c r="E136" t="s">
        <v>208</v>
      </c>
      <c r="F136" t="s">
        <v>209</v>
      </c>
      <c r="G136" t="s">
        <v>210</v>
      </c>
      <c r="H136" t="s">
        <v>37</v>
      </c>
      <c r="I136" t="s">
        <v>38</v>
      </c>
      <c r="J136" t="s">
        <v>39</v>
      </c>
      <c r="K136" s="2">
        <v>46210</v>
      </c>
      <c r="L136" s="2">
        <v>46234</v>
      </c>
      <c r="N136" s="2">
        <v>46204</v>
      </c>
      <c r="O136" s="2">
        <v>46569</v>
      </c>
      <c r="P136">
        <v>12</v>
      </c>
      <c r="Q136" t="s">
        <v>104</v>
      </c>
      <c r="R136" t="s">
        <v>41</v>
      </c>
      <c r="S136" t="s">
        <v>118</v>
      </c>
      <c r="T136" t="s">
        <v>97</v>
      </c>
      <c r="U136" t="s">
        <v>106</v>
      </c>
      <c r="V136" t="s">
        <v>57</v>
      </c>
      <c r="W136" t="s">
        <v>82</v>
      </c>
      <c r="X136" t="s">
        <v>125</v>
      </c>
      <c r="Y136" s="3">
        <v>155654.14000000001</v>
      </c>
      <c r="Z136" s="3">
        <v>54478.95</v>
      </c>
      <c r="AA136">
        <v>0.35</v>
      </c>
      <c r="AB136" t="s">
        <v>39</v>
      </c>
      <c r="AC136" t="s">
        <v>39</v>
      </c>
      <c r="AD136" t="s">
        <v>48</v>
      </c>
    </row>
    <row r="137" spans="1:30" x14ac:dyDescent="0.35">
      <c r="A137" s="1" t="s">
        <v>30</v>
      </c>
      <c r="B137" t="s">
        <v>31</v>
      </c>
      <c r="C137" t="s">
        <v>165</v>
      </c>
      <c r="D137" t="s">
        <v>211</v>
      </c>
      <c r="E137" t="s">
        <v>212</v>
      </c>
      <c r="F137" t="s">
        <v>213</v>
      </c>
      <c r="G137" t="s">
        <v>214</v>
      </c>
      <c r="H137" t="s">
        <v>37</v>
      </c>
      <c r="I137" t="s">
        <v>64</v>
      </c>
      <c r="J137" t="s">
        <v>39</v>
      </c>
      <c r="K137" s="2">
        <v>46213</v>
      </c>
      <c r="L137" s="2">
        <v>46234</v>
      </c>
      <c r="N137" s="2">
        <v>46204</v>
      </c>
      <c r="O137" s="2">
        <v>46569</v>
      </c>
      <c r="P137">
        <v>12</v>
      </c>
      <c r="Q137" t="s">
        <v>65</v>
      </c>
      <c r="R137" t="s">
        <v>88</v>
      </c>
      <c r="S137" t="s">
        <v>105</v>
      </c>
      <c r="T137" t="s">
        <v>55</v>
      </c>
      <c r="U137" t="s">
        <v>56</v>
      </c>
      <c r="V137" t="s">
        <v>138</v>
      </c>
      <c r="W137" t="s">
        <v>132</v>
      </c>
      <c r="X137" t="s">
        <v>47</v>
      </c>
      <c r="Y137" s="3">
        <v>108487.62</v>
      </c>
      <c r="Z137" s="3">
        <v>70516.95</v>
      </c>
      <c r="AA137">
        <v>0.65</v>
      </c>
      <c r="AB137" t="s">
        <v>39</v>
      </c>
      <c r="AC137" t="s">
        <v>39</v>
      </c>
      <c r="AD137" t="s">
        <v>48</v>
      </c>
    </row>
    <row r="138" spans="1:30" x14ac:dyDescent="0.35">
      <c r="A138" s="1" t="s">
        <v>30</v>
      </c>
      <c r="B138" t="s">
        <v>31</v>
      </c>
      <c r="C138" t="s">
        <v>165</v>
      </c>
      <c r="D138" t="s">
        <v>1993</v>
      </c>
      <c r="E138" t="s">
        <v>1994</v>
      </c>
      <c r="F138" t="s">
        <v>1995</v>
      </c>
      <c r="G138" t="s">
        <v>1996</v>
      </c>
      <c r="H138" t="s">
        <v>1271</v>
      </c>
      <c r="I138" t="s">
        <v>38</v>
      </c>
      <c r="J138" t="s">
        <v>39</v>
      </c>
      <c r="K138" s="2">
        <v>46214</v>
      </c>
      <c r="L138" s="2">
        <v>46234</v>
      </c>
      <c r="N138" s="2">
        <v>46204</v>
      </c>
      <c r="O138" s="2">
        <v>46569</v>
      </c>
      <c r="P138">
        <v>12</v>
      </c>
      <c r="Q138" t="s">
        <v>65</v>
      </c>
      <c r="R138" t="s">
        <v>53</v>
      </c>
      <c r="S138" t="s">
        <v>139</v>
      </c>
      <c r="T138" t="s">
        <v>43</v>
      </c>
      <c r="U138" t="s">
        <v>44</v>
      </c>
      <c r="V138" t="s">
        <v>144</v>
      </c>
      <c r="W138" t="s">
        <v>46</v>
      </c>
      <c r="X138" t="s">
        <v>125</v>
      </c>
      <c r="Y138" s="3">
        <v>142078.19</v>
      </c>
      <c r="Z138" s="3">
        <v>49727.37</v>
      </c>
      <c r="AA138">
        <v>0.35</v>
      </c>
      <c r="AB138" t="s">
        <v>39</v>
      </c>
      <c r="AC138" t="s">
        <v>39</v>
      </c>
      <c r="AD138" t="s">
        <v>48</v>
      </c>
    </row>
    <row r="139" spans="1:30" x14ac:dyDescent="0.35">
      <c r="A139" s="1" t="s">
        <v>30</v>
      </c>
      <c r="B139" t="s">
        <v>31</v>
      </c>
      <c r="C139" t="s">
        <v>165</v>
      </c>
      <c r="D139" t="s">
        <v>1997</v>
      </c>
      <c r="E139" t="s">
        <v>1998</v>
      </c>
      <c r="F139" t="s">
        <v>346</v>
      </c>
      <c r="G139" t="s">
        <v>347</v>
      </c>
      <c r="H139" t="s">
        <v>1271</v>
      </c>
      <c r="I139" t="s">
        <v>64</v>
      </c>
      <c r="J139" t="s">
        <v>39</v>
      </c>
      <c r="K139" s="2">
        <v>46215</v>
      </c>
      <c r="L139" s="2">
        <v>46234</v>
      </c>
      <c r="N139" s="2">
        <v>46204</v>
      </c>
      <c r="O139" s="2">
        <v>46569</v>
      </c>
      <c r="P139">
        <v>12</v>
      </c>
      <c r="Q139" t="s">
        <v>40</v>
      </c>
      <c r="R139" t="s">
        <v>88</v>
      </c>
      <c r="S139" t="s">
        <v>140</v>
      </c>
      <c r="T139" t="s">
        <v>97</v>
      </c>
      <c r="U139" t="s">
        <v>56</v>
      </c>
      <c r="V139" t="s">
        <v>217</v>
      </c>
      <c r="W139" t="s">
        <v>90</v>
      </c>
      <c r="X139" t="s">
        <v>59</v>
      </c>
      <c r="Y139" s="3">
        <v>125184.84</v>
      </c>
      <c r="Z139" s="3">
        <v>81370.149999999994</v>
      </c>
      <c r="AA139">
        <v>0.65</v>
      </c>
      <c r="AB139" t="s">
        <v>39</v>
      </c>
      <c r="AC139" t="s">
        <v>39</v>
      </c>
      <c r="AD139" t="s">
        <v>48</v>
      </c>
    </row>
    <row r="140" spans="1:30" x14ac:dyDescent="0.35">
      <c r="A140" s="1" t="s">
        <v>30</v>
      </c>
      <c r="B140" t="s">
        <v>31</v>
      </c>
      <c r="C140" t="s">
        <v>165</v>
      </c>
      <c r="D140" t="s">
        <v>1999</v>
      </c>
      <c r="E140" t="s">
        <v>2000</v>
      </c>
      <c r="F140" t="s">
        <v>931</v>
      </c>
      <c r="G140" t="s">
        <v>932</v>
      </c>
      <c r="H140" t="s">
        <v>1271</v>
      </c>
      <c r="I140" t="s">
        <v>38</v>
      </c>
      <c r="J140" t="s">
        <v>39</v>
      </c>
      <c r="K140" s="2">
        <v>46205</v>
      </c>
      <c r="L140" s="2">
        <v>46234</v>
      </c>
      <c r="N140" s="2">
        <v>46204</v>
      </c>
      <c r="O140" s="2">
        <v>46569</v>
      </c>
      <c r="P140">
        <v>12</v>
      </c>
      <c r="Q140" t="s">
        <v>65</v>
      </c>
      <c r="R140" t="s">
        <v>53</v>
      </c>
      <c r="S140" t="s">
        <v>162</v>
      </c>
      <c r="T140" t="s">
        <v>43</v>
      </c>
      <c r="U140" t="s">
        <v>56</v>
      </c>
      <c r="V140" t="s">
        <v>144</v>
      </c>
      <c r="W140" t="s">
        <v>136</v>
      </c>
      <c r="X140" t="s">
        <v>59</v>
      </c>
      <c r="Y140" s="3">
        <v>146170.85</v>
      </c>
      <c r="Z140" s="3">
        <v>73085.429999999993</v>
      </c>
      <c r="AA140">
        <v>0.5</v>
      </c>
      <c r="AB140" t="s">
        <v>39</v>
      </c>
      <c r="AC140" t="s">
        <v>39</v>
      </c>
      <c r="AD140" t="s">
        <v>48</v>
      </c>
    </row>
    <row r="141" spans="1:30" x14ac:dyDescent="0.35">
      <c r="A141" s="1" t="s">
        <v>30</v>
      </c>
      <c r="B141" t="s">
        <v>31</v>
      </c>
      <c r="C141" t="s">
        <v>165</v>
      </c>
      <c r="D141" t="s">
        <v>2001</v>
      </c>
      <c r="E141" t="s">
        <v>2002</v>
      </c>
      <c r="F141" t="s">
        <v>758</v>
      </c>
      <c r="G141" t="s">
        <v>759</v>
      </c>
      <c r="H141" t="s">
        <v>1271</v>
      </c>
      <c r="I141" t="s">
        <v>64</v>
      </c>
      <c r="J141" t="s">
        <v>39</v>
      </c>
      <c r="K141" s="2">
        <v>46215</v>
      </c>
      <c r="L141" s="2">
        <v>46234</v>
      </c>
      <c r="N141" s="2">
        <v>46204</v>
      </c>
      <c r="O141" s="2">
        <v>46569</v>
      </c>
      <c r="P141">
        <v>12</v>
      </c>
      <c r="Q141" t="s">
        <v>104</v>
      </c>
      <c r="R141" t="s">
        <v>88</v>
      </c>
      <c r="S141" t="s">
        <v>135</v>
      </c>
      <c r="T141" t="s">
        <v>131</v>
      </c>
      <c r="U141" t="s">
        <v>56</v>
      </c>
      <c r="V141" t="s">
        <v>57</v>
      </c>
      <c r="W141" t="s">
        <v>132</v>
      </c>
      <c r="X141" t="s">
        <v>47</v>
      </c>
      <c r="Y141" s="3">
        <v>127081.11</v>
      </c>
      <c r="Z141" s="3">
        <v>82602.720000000001</v>
      </c>
      <c r="AA141">
        <v>0.65</v>
      </c>
      <c r="AB141" t="s">
        <v>39</v>
      </c>
      <c r="AC141" t="s">
        <v>39</v>
      </c>
      <c r="AD141" t="s">
        <v>48</v>
      </c>
    </row>
    <row r="142" spans="1:30" x14ac:dyDescent="0.35">
      <c r="A142" s="1" t="s">
        <v>30</v>
      </c>
      <c r="B142" t="s">
        <v>31</v>
      </c>
      <c r="C142" t="s">
        <v>165</v>
      </c>
      <c r="D142" t="s">
        <v>2003</v>
      </c>
      <c r="E142" t="s">
        <v>2004</v>
      </c>
      <c r="F142" t="s">
        <v>2005</v>
      </c>
      <c r="G142" t="s">
        <v>2006</v>
      </c>
      <c r="H142" t="s">
        <v>1271</v>
      </c>
      <c r="I142" t="s">
        <v>64</v>
      </c>
      <c r="J142" t="s">
        <v>39</v>
      </c>
      <c r="K142" s="2">
        <v>46217</v>
      </c>
      <c r="L142" s="2">
        <v>46234</v>
      </c>
      <c r="N142" s="2">
        <v>46204</v>
      </c>
      <c r="O142" s="2">
        <v>46935</v>
      </c>
      <c r="P142">
        <v>24</v>
      </c>
      <c r="Q142" t="s">
        <v>104</v>
      </c>
      <c r="R142" t="s">
        <v>53</v>
      </c>
      <c r="S142" t="s">
        <v>105</v>
      </c>
      <c r="T142" t="s">
        <v>55</v>
      </c>
      <c r="U142" t="s">
        <v>44</v>
      </c>
      <c r="V142" t="s">
        <v>144</v>
      </c>
      <c r="W142" t="s">
        <v>161</v>
      </c>
      <c r="X142" t="s">
        <v>158</v>
      </c>
      <c r="Y142" s="3">
        <v>204915.41</v>
      </c>
      <c r="Z142" s="3">
        <v>163932.32999999999</v>
      </c>
      <c r="AA142">
        <v>0.8</v>
      </c>
      <c r="AB142" t="s">
        <v>39</v>
      </c>
      <c r="AC142" t="s">
        <v>39</v>
      </c>
      <c r="AD142" t="s">
        <v>48</v>
      </c>
    </row>
    <row r="143" spans="1:30" x14ac:dyDescent="0.35">
      <c r="A143" s="1" t="s">
        <v>30</v>
      </c>
      <c r="B143" t="s">
        <v>31</v>
      </c>
      <c r="C143" t="s">
        <v>165</v>
      </c>
      <c r="D143" t="s">
        <v>2007</v>
      </c>
      <c r="E143" t="s">
        <v>2008</v>
      </c>
      <c r="F143" t="s">
        <v>2009</v>
      </c>
      <c r="G143" t="s">
        <v>2010</v>
      </c>
      <c r="H143" t="s">
        <v>1271</v>
      </c>
      <c r="I143" t="s">
        <v>103</v>
      </c>
      <c r="J143" t="s">
        <v>39</v>
      </c>
      <c r="K143" s="2">
        <v>46204</v>
      </c>
      <c r="L143" s="2">
        <v>46234</v>
      </c>
      <c r="N143" s="2">
        <v>46204</v>
      </c>
      <c r="O143" s="2">
        <v>46569</v>
      </c>
      <c r="P143">
        <v>12</v>
      </c>
      <c r="Q143" t="s">
        <v>40</v>
      </c>
      <c r="R143" t="s">
        <v>88</v>
      </c>
      <c r="S143" t="s">
        <v>139</v>
      </c>
      <c r="T143" t="s">
        <v>43</v>
      </c>
      <c r="U143" t="s">
        <v>44</v>
      </c>
      <c r="V143" t="s">
        <v>144</v>
      </c>
      <c r="W143" t="s">
        <v>58</v>
      </c>
      <c r="X143" t="s">
        <v>68</v>
      </c>
      <c r="Y143" s="3">
        <v>145700.43</v>
      </c>
      <c r="Z143" s="3">
        <v>50995.15</v>
      </c>
      <c r="AA143">
        <v>0.35</v>
      </c>
      <c r="AB143" t="s">
        <v>39</v>
      </c>
      <c r="AC143" t="s">
        <v>39</v>
      </c>
      <c r="AD143" t="s">
        <v>48</v>
      </c>
    </row>
    <row r="144" spans="1:30" x14ac:dyDescent="0.35">
      <c r="A144" s="1" t="s">
        <v>30</v>
      </c>
      <c r="B144" t="s">
        <v>31</v>
      </c>
      <c r="C144" t="s">
        <v>165</v>
      </c>
      <c r="D144" t="s">
        <v>2011</v>
      </c>
      <c r="E144" t="s">
        <v>2012</v>
      </c>
      <c r="F144" t="s">
        <v>2013</v>
      </c>
      <c r="G144" t="s">
        <v>2014</v>
      </c>
      <c r="H144" t="s">
        <v>1271</v>
      </c>
      <c r="I144" t="s">
        <v>38</v>
      </c>
      <c r="J144" t="s">
        <v>39</v>
      </c>
      <c r="K144" s="2">
        <v>46212</v>
      </c>
      <c r="L144" s="2">
        <v>46234</v>
      </c>
      <c r="N144" s="2">
        <v>46204</v>
      </c>
      <c r="O144" s="2">
        <v>46569</v>
      </c>
      <c r="P144">
        <v>12</v>
      </c>
      <c r="Q144" t="s">
        <v>65</v>
      </c>
      <c r="R144" t="s">
        <v>88</v>
      </c>
      <c r="S144" t="s">
        <v>163</v>
      </c>
      <c r="T144" t="s">
        <v>131</v>
      </c>
      <c r="U144" t="s">
        <v>56</v>
      </c>
      <c r="V144" t="s">
        <v>81</v>
      </c>
      <c r="W144" t="s">
        <v>58</v>
      </c>
      <c r="X144" t="s">
        <v>143</v>
      </c>
      <c r="Y144" s="3">
        <v>104066.16</v>
      </c>
      <c r="Z144" s="3">
        <v>83252.929999999993</v>
      </c>
      <c r="AA144">
        <v>0.8</v>
      </c>
      <c r="AB144" t="s">
        <v>39</v>
      </c>
      <c r="AC144" t="s">
        <v>39</v>
      </c>
      <c r="AD144" t="s">
        <v>48</v>
      </c>
    </row>
    <row r="145" spans="1:30" x14ac:dyDescent="0.35">
      <c r="A145" s="1" t="s">
        <v>30</v>
      </c>
      <c r="B145" t="s">
        <v>31</v>
      </c>
      <c r="C145" t="s">
        <v>165</v>
      </c>
      <c r="D145" t="s">
        <v>2015</v>
      </c>
      <c r="E145" t="s">
        <v>2016</v>
      </c>
      <c r="F145" t="s">
        <v>2017</v>
      </c>
      <c r="G145" t="s">
        <v>2018</v>
      </c>
      <c r="H145" t="s">
        <v>1290</v>
      </c>
      <c r="I145" t="s">
        <v>117</v>
      </c>
      <c r="J145" t="s">
        <v>1290</v>
      </c>
      <c r="K145" s="2">
        <v>46210</v>
      </c>
      <c r="L145" s="2">
        <v>46234</v>
      </c>
      <c r="N145" s="2">
        <v>46204</v>
      </c>
      <c r="O145" s="2">
        <v>46569</v>
      </c>
      <c r="P145">
        <v>12</v>
      </c>
      <c r="Q145" t="s">
        <v>104</v>
      </c>
      <c r="R145" t="s">
        <v>53</v>
      </c>
      <c r="S145" t="s">
        <v>280</v>
      </c>
      <c r="T145" t="s">
        <v>43</v>
      </c>
      <c r="U145" t="s">
        <v>44</v>
      </c>
      <c r="V145" t="s">
        <v>45</v>
      </c>
      <c r="W145" t="s">
        <v>150</v>
      </c>
      <c r="X145" t="s">
        <v>125</v>
      </c>
      <c r="Y145" s="3">
        <v>197195.85</v>
      </c>
      <c r="Z145" s="3">
        <v>157756.68</v>
      </c>
      <c r="AA145">
        <v>0.8</v>
      </c>
      <c r="AB145" t="s">
        <v>1290</v>
      </c>
      <c r="AC145" t="s">
        <v>1290</v>
      </c>
      <c r="AD145" t="s">
        <v>48</v>
      </c>
    </row>
    <row r="146" spans="1:30" x14ac:dyDescent="0.35">
      <c r="A146" s="1" t="s">
        <v>30</v>
      </c>
      <c r="B146" t="s">
        <v>31</v>
      </c>
      <c r="C146" t="s">
        <v>165</v>
      </c>
      <c r="D146" t="s">
        <v>2019</v>
      </c>
      <c r="E146" t="s">
        <v>2020</v>
      </c>
      <c r="F146" t="s">
        <v>1061</v>
      </c>
      <c r="G146" t="s">
        <v>1062</v>
      </c>
      <c r="H146" t="s">
        <v>1290</v>
      </c>
      <c r="I146" t="s">
        <v>111</v>
      </c>
      <c r="J146" t="s">
        <v>1290</v>
      </c>
      <c r="K146" s="2">
        <v>46212</v>
      </c>
      <c r="L146" s="2">
        <v>46234</v>
      </c>
      <c r="N146" s="2">
        <v>46204</v>
      </c>
      <c r="O146" s="2">
        <v>46935</v>
      </c>
      <c r="P146">
        <v>24</v>
      </c>
      <c r="Q146" t="s">
        <v>104</v>
      </c>
      <c r="R146" t="s">
        <v>53</v>
      </c>
      <c r="S146" t="s">
        <v>118</v>
      </c>
      <c r="T146" t="s">
        <v>97</v>
      </c>
      <c r="U146" t="s">
        <v>44</v>
      </c>
      <c r="V146" t="s">
        <v>144</v>
      </c>
      <c r="W146" t="s">
        <v>142</v>
      </c>
      <c r="X146" t="s">
        <v>91</v>
      </c>
      <c r="Y146" s="3">
        <v>173925.15</v>
      </c>
      <c r="Z146" s="3">
        <v>60873.8</v>
      </c>
      <c r="AA146">
        <v>0.35</v>
      </c>
      <c r="AB146" t="s">
        <v>1290</v>
      </c>
      <c r="AC146" t="s">
        <v>1290</v>
      </c>
      <c r="AD146" t="s">
        <v>48</v>
      </c>
    </row>
    <row r="147" spans="1:30" x14ac:dyDescent="0.35">
      <c r="A147" s="1" t="s">
        <v>30</v>
      </c>
      <c r="B147" t="s">
        <v>31</v>
      </c>
      <c r="C147" t="s">
        <v>165</v>
      </c>
      <c r="D147" t="s">
        <v>2021</v>
      </c>
      <c r="E147" t="s">
        <v>2022</v>
      </c>
      <c r="F147" t="s">
        <v>2023</v>
      </c>
      <c r="G147" t="s">
        <v>2024</v>
      </c>
      <c r="H147" t="s">
        <v>1295</v>
      </c>
      <c r="I147" t="s">
        <v>38</v>
      </c>
      <c r="J147" t="s">
        <v>1295</v>
      </c>
      <c r="K147" s="2">
        <v>46211</v>
      </c>
      <c r="L147" s="2">
        <v>46234</v>
      </c>
      <c r="N147" s="2">
        <v>46204</v>
      </c>
      <c r="O147" s="2">
        <v>46569</v>
      </c>
      <c r="P147">
        <v>12</v>
      </c>
      <c r="Q147" t="s">
        <v>40</v>
      </c>
      <c r="R147" t="s">
        <v>41</v>
      </c>
      <c r="S147" t="s">
        <v>162</v>
      </c>
      <c r="T147" t="s">
        <v>43</v>
      </c>
      <c r="U147" t="s">
        <v>44</v>
      </c>
      <c r="V147" t="s">
        <v>98</v>
      </c>
      <c r="W147" t="s">
        <v>75</v>
      </c>
      <c r="X147" t="s">
        <v>59</v>
      </c>
      <c r="Y147" s="3">
        <v>229209.51</v>
      </c>
      <c r="Z147" s="3">
        <v>183367.61</v>
      </c>
      <c r="AA147">
        <v>0.8</v>
      </c>
      <c r="AB147" t="s">
        <v>1295</v>
      </c>
      <c r="AC147" t="s">
        <v>1295</v>
      </c>
      <c r="AD147" t="s">
        <v>48</v>
      </c>
    </row>
    <row r="148" spans="1:30" x14ac:dyDescent="0.35">
      <c r="A148" s="1" t="s">
        <v>30</v>
      </c>
      <c r="B148" t="s">
        <v>31</v>
      </c>
      <c r="C148" t="s">
        <v>165</v>
      </c>
      <c r="D148" t="s">
        <v>2025</v>
      </c>
      <c r="E148" t="s">
        <v>2026</v>
      </c>
      <c r="F148" t="s">
        <v>2027</v>
      </c>
      <c r="G148" t="s">
        <v>2028</v>
      </c>
      <c r="H148" t="s">
        <v>1295</v>
      </c>
      <c r="I148" t="s">
        <v>38</v>
      </c>
      <c r="J148" t="s">
        <v>1295</v>
      </c>
      <c r="K148" s="2">
        <v>46205</v>
      </c>
      <c r="L148" s="2">
        <v>46234</v>
      </c>
      <c r="N148" s="2">
        <v>46204</v>
      </c>
      <c r="O148" s="2">
        <v>46569</v>
      </c>
      <c r="P148">
        <v>12</v>
      </c>
      <c r="Q148" t="s">
        <v>40</v>
      </c>
      <c r="R148" t="s">
        <v>53</v>
      </c>
      <c r="S148" t="s">
        <v>164</v>
      </c>
      <c r="T148" t="s">
        <v>55</v>
      </c>
      <c r="U148" t="s">
        <v>56</v>
      </c>
      <c r="V148" t="s">
        <v>81</v>
      </c>
      <c r="W148" t="s">
        <v>120</v>
      </c>
      <c r="X148" t="s">
        <v>143</v>
      </c>
      <c r="Y148" s="3">
        <v>161372.31</v>
      </c>
      <c r="Z148" s="3">
        <v>56480.31</v>
      </c>
      <c r="AA148">
        <v>0.35</v>
      </c>
      <c r="AB148" t="s">
        <v>1295</v>
      </c>
      <c r="AC148" t="s">
        <v>1295</v>
      </c>
      <c r="AD148" t="s">
        <v>48</v>
      </c>
    </row>
    <row r="149" spans="1:30" x14ac:dyDescent="0.35">
      <c r="A149" s="1" t="s">
        <v>30</v>
      </c>
      <c r="B149" t="s">
        <v>31</v>
      </c>
      <c r="C149" t="s">
        <v>165</v>
      </c>
      <c r="D149" t="s">
        <v>2029</v>
      </c>
      <c r="E149" t="s">
        <v>2030</v>
      </c>
      <c r="F149" t="s">
        <v>2031</v>
      </c>
      <c r="G149" t="s">
        <v>2032</v>
      </c>
      <c r="H149" t="s">
        <v>1295</v>
      </c>
      <c r="I149" t="s">
        <v>64</v>
      </c>
      <c r="J149" t="s">
        <v>1295</v>
      </c>
      <c r="K149" s="2">
        <v>46209</v>
      </c>
      <c r="L149" s="2">
        <v>46234</v>
      </c>
      <c r="N149" s="2">
        <v>46204</v>
      </c>
      <c r="O149" s="2">
        <v>46935</v>
      </c>
      <c r="P149">
        <v>24</v>
      </c>
      <c r="Q149" t="s">
        <v>40</v>
      </c>
      <c r="R149" t="s">
        <v>53</v>
      </c>
      <c r="S149" t="s">
        <v>139</v>
      </c>
      <c r="T149" t="s">
        <v>43</v>
      </c>
      <c r="U149" t="s">
        <v>56</v>
      </c>
      <c r="V149" t="s">
        <v>98</v>
      </c>
      <c r="W149" t="s">
        <v>120</v>
      </c>
      <c r="X149" t="s">
        <v>125</v>
      </c>
      <c r="Y149" s="3">
        <v>221981.19</v>
      </c>
      <c r="Z149" s="3">
        <v>177584.95</v>
      </c>
      <c r="AA149">
        <v>0.8</v>
      </c>
      <c r="AB149" t="s">
        <v>1295</v>
      </c>
      <c r="AC149" t="s">
        <v>1295</v>
      </c>
      <c r="AD149" t="s">
        <v>48</v>
      </c>
    </row>
    <row r="150" spans="1:30" x14ac:dyDescent="0.35">
      <c r="A150" s="1" t="s">
        <v>30</v>
      </c>
      <c r="B150" t="s">
        <v>31</v>
      </c>
      <c r="C150" t="s">
        <v>165</v>
      </c>
      <c r="D150" t="s">
        <v>2033</v>
      </c>
      <c r="E150" t="s">
        <v>2034</v>
      </c>
      <c r="F150" t="s">
        <v>732</v>
      </c>
      <c r="G150" t="s">
        <v>733</v>
      </c>
      <c r="H150" t="s">
        <v>1302</v>
      </c>
      <c r="I150" t="s">
        <v>38</v>
      </c>
      <c r="J150" t="s">
        <v>39</v>
      </c>
      <c r="K150" s="2">
        <v>46207</v>
      </c>
      <c r="L150" s="2">
        <v>46234</v>
      </c>
      <c r="N150" s="2">
        <v>46204</v>
      </c>
      <c r="O150" s="2">
        <v>46569</v>
      </c>
      <c r="P150">
        <v>12</v>
      </c>
      <c r="Q150" t="s">
        <v>40</v>
      </c>
      <c r="R150" t="s">
        <v>53</v>
      </c>
      <c r="S150" t="s">
        <v>182</v>
      </c>
      <c r="T150" t="s">
        <v>97</v>
      </c>
      <c r="U150" t="s">
        <v>56</v>
      </c>
      <c r="V150" t="s">
        <v>119</v>
      </c>
      <c r="W150" t="s">
        <v>150</v>
      </c>
      <c r="X150" t="s">
        <v>68</v>
      </c>
      <c r="Y150" s="3">
        <v>94078.91</v>
      </c>
      <c r="Z150" s="3">
        <v>47039.46</v>
      </c>
      <c r="AA150">
        <v>0.5</v>
      </c>
      <c r="AB150" t="s">
        <v>39</v>
      </c>
      <c r="AC150" t="s">
        <v>39</v>
      </c>
      <c r="AD150" t="s">
        <v>48</v>
      </c>
    </row>
    <row r="151" spans="1:30" x14ac:dyDescent="0.35">
      <c r="A151" s="1" t="s">
        <v>30</v>
      </c>
      <c r="B151" t="s">
        <v>31</v>
      </c>
      <c r="C151" t="s">
        <v>165</v>
      </c>
      <c r="D151" t="s">
        <v>2035</v>
      </c>
      <c r="E151" t="s">
        <v>2036</v>
      </c>
      <c r="F151" t="s">
        <v>499</v>
      </c>
      <c r="G151" t="s">
        <v>500</v>
      </c>
      <c r="H151" t="s">
        <v>1302</v>
      </c>
      <c r="I151" t="s">
        <v>111</v>
      </c>
      <c r="J151" t="s">
        <v>39</v>
      </c>
      <c r="K151" s="2">
        <v>46218</v>
      </c>
      <c r="L151" s="2">
        <v>46234</v>
      </c>
      <c r="N151" s="2">
        <v>46204</v>
      </c>
      <c r="O151" s="2">
        <v>46569</v>
      </c>
      <c r="P151">
        <v>12</v>
      </c>
      <c r="Q151" t="s">
        <v>65</v>
      </c>
      <c r="R151" t="s">
        <v>88</v>
      </c>
      <c r="S151" t="s">
        <v>80</v>
      </c>
      <c r="T151" t="s">
        <v>43</v>
      </c>
      <c r="U151" t="s">
        <v>56</v>
      </c>
      <c r="V151" t="s">
        <v>74</v>
      </c>
      <c r="W151" t="s">
        <v>142</v>
      </c>
      <c r="X151" t="s">
        <v>83</v>
      </c>
      <c r="Y151" s="3">
        <v>109720.21</v>
      </c>
      <c r="Z151" s="3">
        <v>87776.17</v>
      </c>
      <c r="AA151">
        <v>0.8</v>
      </c>
      <c r="AB151" t="s">
        <v>39</v>
      </c>
      <c r="AC151" t="s">
        <v>39</v>
      </c>
      <c r="AD151" t="s">
        <v>48</v>
      </c>
    </row>
    <row r="152" spans="1:30" x14ac:dyDescent="0.35">
      <c r="A152" s="1" t="s">
        <v>30</v>
      </c>
      <c r="B152" t="s">
        <v>31</v>
      </c>
      <c r="C152" t="s">
        <v>165</v>
      </c>
      <c r="D152" t="s">
        <v>2037</v>
      </c>
      <c r="E152" t="s">
        <v>2038</v>
      </c>
      <c r="F152" t="s">
        <v>145</v>
      </c>
      <c r="G152" t="s">
        <v>146</v>
      </c>
      <c r="H152" t="s">
        <v>1302</v>
      </c>
      <c r="I152" t="s">
        <v>38</v>
      </c>
      <c r="J152" t="s">
        <v>39</v>
      </c>
      <c r="K152" s="2">
        <v>46206</v>
      </c>
      <c r="L152" s="2">
        <v>46234</v>
      </c>
      <c r="N152" s="2">
        <v>46204</v>
      </c>
      <c r="O152" s="2">
        <v>46569</v>
      </c>
      <c r="P152">
        <v>12</v>
      </c>
      <c r="Q152" t="s">
        <v>40</v>
      </c>
      <c r="R152" t="s">
        <v>53</v>
      </c>
      <c r="S152" t="s">
        <v>130</v>
      </c>
      <c r="T152" t="s">
        <v>131</v>
      </c>
      <c r="U152" t="s">
        <v>56</v>
      </c>
      <c r="V152" t="s">
        <v>119</v>
      </c>
      <c r="W152" t="s">
        <v>161</v>
      </c>
      <c r="X152" t="s">
        <v>158</v>
      </c>
      <c r="Y152" s="3">
        <v>103678.88</v>
      </c>
      <c r="Z152" s="3">
        <v>67391.27</v>
      </c>
      <c r="AA152">
        <v>0.65</v>
      </c>
      <c r="AB152" t="s">
        <v>39</v>
      </c>
      <c r="AC152" t="s">
        <v>39</v>
      </c>
      <c r="AD152" t="s">
        <v>48</v>
      </c>
    </row>
    <row r="153" spans="1:30" x14ac:dyDescent="0.35">
      <c r="A153" s="1" t="s">
        <v>30</v>
      </c>
      <c r="B153" t="s">
        <v>31</v>
      </c>
      <c r="C153" t="s">
        <v>231</v>
      </c>
      <c r="D153" t="s">
        <v>232</v>
      </c>
      <c r="E153" t="s">
        <v>233</v>
      </c>
      <c r="F153" t="s">
        <v>234</v>
      </c>
      <c r="G153" t="s">
        <v>235</v>
      </c>
      <c r="H153" t="s">
        <v>37</v>
      </c>
      <c r="I153" t="s">
        <v>64</v>
      </c>
      <c r="J153" t="s">
        <v>39</v>
      </c>
      <c r="K153" s="2">
        <v>46236</v>
      </c>
      <c r="L153" s="2">
        <v>46265</v>
      </c>
      <c r="N153" s="2">
        <v>46235</v>
      </c>
      <c r="O153" s="2">
        <v>46600</v>
      </c>
      <c r="P153">
        <v>12</v>
      </c>
      <c r="Q153" t="s">
        <v>40</v>
      </c>
      <c r="R153" t="s">
        <v>88</v>
      </c>
      <c r="S153" t="s">
        <v>54</v>
      </c>
      <c r="T153" t="s">
        <v>55</v>
      </c>
      <c r="U153" t="s">
        <v>44</v>
      </c>
      <c r="V153" t="s">
        <v>119</v>
      </c>
      <c r="W153" t="s">
        <v>132</v>
      </c>
      <c r="X153" t="s">
        <v>125</v>
      </c>
      <c r="Y153" s="3">
        <v>172320.74</v>
      </c>
      <c r="Z153" s="3">
        <v>86160.37</v>
      </c>
      <c r="AA153">
        <v>0.5</v>
      </c>
      <c r="AB153" t="s">
        <v>39</v>
      </c>
      <c r="AC153" t="s">
        <v>39</v>
      </c>
      <c r="AD153" t="s">
        <v>48</v>
      </c>
    </row>
    <row r="154" spans="1:30" x14ac:dyDescent="0.35">
      <c r="A154" s="1" t="s">
        <v>30</v>
      </c>
      <c r="B154" t="s">
        <v>31</v>
      </c>
      <c r="C154" t="s">
        <v>231</v>
      </c>
      <c r="D154" t="s">
        <v>236</v>
      </c>
      <c r="E154" t="s">
        <v>237</v>
      </c>
      <c r="F154" t="s">
        <v>238</v>
      </c>
      <c r="G154" t="s">
        <v>239</v>
      </c>
      <c r="H154" t="s">
        <v>37</v>
      </c>
      <c r="I154" t="s">
        <v>38</v>
      </c>
      <c r="J154" t="s">
        <v>39</v>
      </c>
      <c r="K154" s="2">
        <v>46238</v>
      </c>
      <c r="L154" s="2">
        <v>46265</v>
      </c>
      <c r="N154" s="2">
        <v>46235</v>
      </c>
      <c r="O154" s="2">
        <v>46600</v>
      </c>
      <c r="P154">
        <v>12</v>
      </c>
      <c r="Q154" t="s">
        <v>40</v>
      </c>
      <c r="R154" t="s">
        <v>41</v>
      </c>
      <c r="S154" t="s">
        <v>163</v>
      </c>
      <c r="T154" t="s">
        <v>131</v>
      </c>
      <c r="U154" t="s">
        <v>106</v>
      </c>
      <c r="V154" t="s">
        <v>45</v>
      </c>
      <c r="W154" t="s">
        <v>75</v>
      </c>
      <c r="X154" t="s">
        <v>47</v>
      </c>
      <c r="Y154" s="3">
        <v>165454.65</v>
      </c>
      <c r="Z154" s="3">
        <v>57909.13</v>
      </c>
      <c r="AA154">
        <v>0.35</v>
      </c>
      <c r="AB154" t="s">
        <v>39</v>
      </c>
      <c r="AC154" t="s">
        <v>39</v>
      </c>
      <c r="AD154" t="s">
        <v>48</v>
      </c>
    </row>
    <row r="155" spans="1:30" x14ac:dyDescent="0.35">
      <c r="A155" s="1" t="s">
        <v>30</v>
      </c>
      <c r="B155" t="s">
        <v>31</v>
      </c>
      <c r="C155" t="s">
        <v>231</v>
      </c>
      <c r="D155" t="s">
        <v>240</v>
      </c>
      <c r="E155" t="s">
        <v>241</v>
      </c>
      <c r="F155" t="s">
        <v>242</v>
      </c>
      <c r="G155" t="s">
        <v>243</v>
      </c>
      <c r="H155" t="s">
        <v>37</v>
      </c>
      <c r="I155" t="s">
        <v>64</v>
      </c>
      <c r="J155" t="s">
        <v>39</v>
      </c>
      <c r="K155" s="2">
        <v>46244</v>
      </c>
      <c r="L155" s="2">
        <v>46265</v>
      </c>
      <c r="N155" s="2">
        <v>46235</v>
      </c>
      <c r="O155" s="2">
        <v>46600</v>
      </c>
      <c r="P155">
        <v>12</v>
      </c>
      <c r="Q155" t="s">
        <v>104</v>
      </c>
      <c r="R155" t="s">
        <v>53</v>
      </c>
      <c r="S155" t="s">
        <v>182</v>
      </c>
      <c r="T155" t="s">
        <v>97</v>
      </c>
      <c r="U155" t="s">
        <v>44</v>
      </c>
      <c r="V155" t="s">
        <v>138</v>
      </c>
      <c r="W155" t="s">
        <v>46</v>
      </c>
      <c r="X155" t="s">
        <v>68</v>
      </c>
      <c r="Y155" s="3">
        <v>162374.47</v>
      </c>
      <c r="Z155" s="3">
        <v>105543.41</v>
      </c>
      <c r="AA155">
        <v>0.65</v>
      </c>
      <c r="AB155" t="s">
        <v>39</v>
      </c>
      <c r="AC155" t="s">
        <v>39</v>
      </c>
      <c r="AD155" t="s">
        <v>48</v>
      </c>
    </row>
    <row r="156" spans="1:30" x14ac:dyDescent="0.35">
      <c r="A156" s="1" t="s">
        <v>30</v>
      </c>
      <c r="B156" t="s">
        <v>31</v>
      </c>
      <c r="C156" t="s">
        <v>231</v>
      </c>
      <c r="D156" t="s">
        <v>244</v>
      </c>
      <c r="E156" t="s">
        <v>245</v>
      </c>
      <c r="F156" t="s">
        <v>246</v>
      </c>
      <c r="G156" t="s">
        <v>247</v>
      </c>
      <c r="H156" t="s">
        <v>37</v>
      </c>
      <c r="I156" t="s">
        <v>111</v>
      </c>
      <c r="J156" t="s">
        <v>39</v>
      </c>
      <c r="K156" s="2">
        <v>46236</v>
      </c>
      <c r="L156" s="2">
        <v>46265</v>
      </c>
      <c r="N156" s="2">
        <v>46235</v>
      </c>
      <c r="O156" s="2">
        <v>46600</v>
      </c>
      <c r="P156">
        <v>12</v>
      </c>
      <c r="Q156" t="s">
        <v>104</v>
      </c>
      <c r="R156" t="s">
        <v>88</v>
      </c>
      <c r="S156" t="s">
        <v>140</v>
      </c>
      <c r="T156" t="s">
        <v>97</v>
      </c>
      <c r="U156" t="s">
        <v>44</v>
      </c>
      <c r="V156" t="s">
        <v>119</v>
      </c>
      <c r="W156" t="s">
        <v>150</v>
      </c>
      <c r="X156" t="s">
        <v>125</v>
      </c>
      <c r="Y156" s="3">
        <v>186366.45</v>
      </c>
      <c r="Z156" s="3">
        <v>121138.19</v>
      </c>
      <c r="AA156">
        <v>0.65</v>
      </c>
      <c r="AB156" t="s">
        <v>39</v>
      </c>
      <c r="AC156" t="s">
        <v>39</v>
      </c>
      <c r="AD156" t="s">
        <v>48</v>
      </c>
    </row>
    <row r="157" spans="1:30" x14ac:dyDescent="0.35">
      <c r="A157" s="1" t="s">
        <v>30</v>
      </c>
      <c r="B157" t="s">
        <v>31</v>
      </c>
      <c r="C157" t="s">
        <v>231</v>
      </c>
      <c r="D157" t="s">
        <v>248</v>
      </c>
      <c r="E157" t="s">
        <v>249</v>
      </c>
      <c r="F157" t="s">
        <v>250</v>
      </c>
      <c r="G157" t="s">
        <v>251</v>
      </c>
      <c r="H157" t="s">
        <v>37</v>
      </c>
      <c r="I157" t="s">
        <v>111</v>
      </c>
      <c r="J157" t="s">
        <v>39</v>
      </c>
      <c r="K157" s="2">
        <v>46242</v>
      </c>
      <c r="L157" s="2">
        <v>46265</v>
      </c>
      <c r="N157" s="2">
        <v>46235</v>
      </c>
      <c r="O157" s="2">
        <v>46966</v>
      </c>
      <c r="P157">
        <v>24</v>
      </c>
      <c r="Q157" t="s">
        <v>40</v>
      </c>
      <c r="R157" t="s">
        <v>41</v>
      </c>
      <c r="S157" t="s">
        <v>112</v>
      </c>
      <c r="T157" t="s">
        <v>55</v>
      </c>
      <c r="U157" t="s">
        <v>44</v>
      </c>
      <c r="V157" t="s">
        <v>138</v>
      </c>
      <c r="W157" t="s">
        <v>136</v>
      </c>
      <c r="X157" t="s">
        <v>158</v>
      </c>
      <c r="Y157" s="3">
        <v>116348.49</v>
      </c>
      <c r="Z157" s="3">
        <v>40721.97</v>
      </c>
      <c r="AA157">
        <v>0.35</v>
      </c>
      <c r="AB157" t="s">
        <v>39</v>
      </c>
      <c r="AC157" t="s">
        <v>39</v>
      </c>
      <c r="AD157" t="s">
        <v>48</v>
      </c>
    </row>
    <row r="158" spans="1:30" x14ac:dyDescent="0.35">
      <c r="A158" s="1" t="s">
        <v>30</v>
      </c>
      <c r="B158" t="s">
        <v>31</v>
      </c>
      <c r="C158" t="s">
        <v>231</v>
      </c>
      <c r="D158" t="s">
        <v>252</v>
      </c>
      <c r="E158" t="s">
        <v>253</v>
      </c>
      <c r="F158" t="s">
        <v>254</v>
      </c>
      <c r="G158" t="s">
        <v>255</v>
      </c>
      <c r="H158" t="s">
        <v>37</v>
      </c>
      <c r="I158" t="s">
        <v>111</v>
      </c>
      <c r="J158" t="s">
        <v>39</v>
      </c>
      <c r="K158" s="2">
        <v>46246</v>
      </c>
      <c r="L158" s="2">
        <v>46265</v>
      </c>
      <c r="N158" s="2">
        <v>46235</v>
      </c>
      <c r="O158" s="2">
        <v>46966</v>
      </c>
      <c r="P158">
        <v>24</v>
      </c>
      <c r="Q158" t="s">
        <v>104</v>
      </c>
      <c r="R158" t="s">
        <v>88</v>
      </c>
      <c r="S158" t="s">
        <v>182</v>
      </c>
      <c r="T158" t="s">
        <v>97</v>
      </c>
      <c r="U158" t="s">
        <v>44</v>
      </c>
      <c r="V158" t="s">
        <v>74</v>
      </c>
      <c r="W158" t="s">
        <v>120</v>
      </c>
      <c r="X158" t="s">
        <v>83</v>
      </c>
      <c r="Y158" s="3">
        <v>226159.12</v>
      </c>
      <c r="Z158" s="3">
        <v>113079.56</v>
      </c>
      <c r="AA158">
        <v>0.5</v>
      </c>
      <c r="AB158" t="s">
        <v>39</v>
      </c>
      <c r="AC158" t="s">
        <v>39</v>
      </c>
      <c r="AD158" t="s">
        <v>48</v>
      </c>
    </row>
    <row r="159" spans="1:30" x14ac:dyDescent="0.35">
      <c r="A159" s="1" t="s">
        <v>30</v>
      </c>
      <c r="B159" t="s">
        <v>31</v>
      </c>
      <c r="C159" t="s">
        <v>231</v>
      </c>
      <c r="D159" t="s">
        <v>256</v>
      </c>
      <c r="E159" t="s">
        <v>257</v>
      </c>
      <c r="F159" t="s">
        <v>258</v>
      </c>
      <c r="G159" t="s">
        <v>259</v>
      </c>
      <c r="H159" t="s">
        <v>37</v>
      </c>
      <c r="I159" t="s">
        <v>64</v>
      </c>
      <c r="J159" t="s">
        <v>39</v>
      </c>
      <c r="K159" s="2">
        <v>46238</v>
      </c>
      <c r="L159" s="2">
        <v>46265</v>
      </c>
      <c r="N159" s="2">
        <v>46235</v>
      </c>
      <c r="O159" s="2">
        <v>46600</v>
      </c>
      <c r="P159">
        <v>12</v>
      </c>
      <c r="Q159" t="s">
        <v>40</v>
      </c>
      <c r="R159" t="s">
        <v>41</v>
      </c>
      <c r="S159" t="s">
        <v>42</v>
      </c>
      <c r="T159" t="s">
        <v>43</v>
      </c>
      <c r="U159" t="s">
        <v>106</v>
      </c>
      <c r="V159" t="s">
        <v>67</v>
      </c>
      <c r="W159" t="s">
        <v>82</v>
      </c>
      <c r="X159" t="s">
        <v>47</v>
      </c>
      <c r="Y159" s="3">
        <v>122832.71</v>
      </c>
      <c r="Z159" s="3">
        <v>98266.17</v>
      </c>
      <c r="AA159">
        <v>0.8</v>
      </c>
      <c r="AB159" t="s">
        <v>39</v>
      </c>
      <c r="AC159" t="s">
        <v>39</v>
      </c>
      <c r="AD159" t="s">
        <v>48</v>
      </c>
    </row>
    <row r="160" spans="1:30" x14ac:dyDescent="0.35">
      <c r="A160" s="1" t="s">
        <v>30</v>
      </c>
      <c r="B160" t="s">
        <v>31</v>
      </c>
      <c r="C160" t="s">
        <v>231</v>
      </c>
      <c r="D160" t="s">
        <v>260</v>
      </c>
      <c r="E160" t="s">
        <v>261</v>
      </c>
      <c r="F160" t="s">
        <v>262</v>
      </c>
      <c r="G160" t="s">
        <v>263</v>
      </c>
      <c r="H160" t="s">
        <v>37</v>
      </c>
      <c r="I160" t="s">
        <v>103</v>
      </c>
      <c r="J160" t="s">
        <v>39</v>
      </c>
      <c r="K160" s="2">
        <v>46247</v>
      </c>
      <c r="L160" s="2">
        <v>46265</v>
      </c>
      <c r="N160" s="2">
        <v>46235</v>
      </c>
      <c r="O160" s="2">
        <v>46600</v>
      </c>
      <c r="P160">
        <v>12</v>
      </c>
      <c r="Q160" t="s">
        <v>65</v>
      </c>
      <c r="R160" t="s">
        <v>88</v>
      </c>
      <c r="S160" t="s">
        <v>222</v>
      </c>
      <c r="T160" t="s">
        <v>97</v>
      </c>
      <c r="U160" t="s">
        <v>106</v>
      </c>
      <c r="V160" t="s">
        <v>119</v>
      </c>
      <c r="W160" t="s">
        <v>132</v>
      </c>
      <c r="X160" t="s">
        <v>91</v>
      </c>
      <c r="Y160" s="3">
        <v>113628.37</v>
      </c>
      <c r="Z160" s="3">
        <v>90902.69</v>
      </c>
      <c r="AA160">
        <v>0.8</v>
      </c>
      <c r="AB160" t="s">
        <v>39</v>
      </c>
      <c r="AC160" t="s">
        <v>39</v>
      </c>
      <c r="AD160" t="s">
        <v>48</v>
      </c>
    </row>
    <row r="161" spans="1:30" x14ac:dyDescent="0.35">
      <c r="A161" s="1" t="s">
        <v>30</v>
      </c>
      <c r="B161" t="s">
        <v>31</v>
      </c>
      <c r="C161" t="s">
        <v>231</v>
      </c>
      <c r="D161" t="s">
        <v>264</v>
      </c>
      <c r="E161" t="s">
        <v>265</v>
      </c>
      <c r="F161" t="s">
        <v>266</v>
      </c>
      <c r="G161" t="s">
        <v>267</v>
      </c>
      <c r="H161" t="s">
        <v>37</v>
      </c>
      <c r="I161" t="s">
        <v>111</v>
      </c>
      <c r="J161" t="s">
        <v>39</v>
      </c>
      <c r="K161" s="2">
        <v>46249</v>
      </c>
      <c r="L161" s="2">
        <v>46265</v>
      </c>
      <c r="N161" s="2">
        <v>46235</v>
      </c>
      <c r="O161" s="2">
        <v>46600</v>
      </c>
      <c r="P161">
        <v>12</v>
      </c>
      <c r="Q161" t="s">
        <v>40</v>
      </c>
      <c r="R161" t="s">
        <v>88</v>
      </c>
      <c r="S161" t="s">
        <v>182</v>
      </c>
      <c r="T161" t="s">
        <v>97</v>
      </c>
      <c r="U161" t="s">
        <v>56</v>
      </c>
      <c r="V161" t="s">
        <v>144</v>
      </c>
      <c r="W161" t="s">
        <v>46</v>
      </c>
      <c r="X161" t="s">
        <v>143</v>
      </c>
      <c r="Y161" s="3">
        <v>192857.55</v>
      </c>
      <c r="Z161" s="3">
        <v>125357.41</v>
      </c>
      <c r="AA161">
        <v>0.65</v>
      </c>
      <c r="AB161" t="s">
        <v>39</v>
      </c>
      <c r="AC161" t="s">
        <v>39</v>
      </c>
      <c r="AD161" t="s">
        <v>48</v>
      </c>
    </row>
    <row r="162" spans="1:30" x14ac:dyDescent="0.35">
      <c r="A162" s="1" t="s">
        <v>30</v>
      </c>
      <c r="B162" t="s">
        <v>31</v>
      </c>
      <c r="C162" t="s">
        <v>231</v>
      </c>
      <c r="D162" t="s">
        <v>268</v>
      </c>
      <c r="E162" t="s">
        <v>269</v>
      </c>
      <c r="F162" t="s">
        <v>270</v>
      </c>
      <c r="G162" t="s">
        <v>271</v>
      </c>
      <c r="H162" t="s">
        <v>37</v>
      </c>
      <c r="I162" t="s">
        <v>64</v>
      </c>
      <c r="J162" t="s">
        <v>39</v>
      </c>
      <c r="K162" s="2">
        <v>46243</v>
      </c>
      <c r="L162" s="2">
        <v>46265</v>
      </c>
      <c r="N162" s="2">
        <v>46235</v>
      </c>
      <c r="O162" s="2">
        <v>46966</v>
      </c>
      <c r="P162">
        <v>24</v>
      </c>
      <c r="Q162" t="s">
        <v>104</v>
      </c>
      <c r="R162" t="s">
        <v>88</v>
      </c>
      <c r="S162" t="s">
        <v>135</v>
      </c>
      <c r="T162" t="s">
        <v>131</v>
      </c>
      <c r="U162" t="s">
        <v>44</v>
      </c>
      <c r="V162" t="s">
        <v>144</v>
      </c>
      <c r="W162" t="s">
        <v>90</v>
      </c>
      <c r="X162" t="s">
        <v>125</v>
      </c>
      <c r="Y162" s="3">
        <v>175403.49</v>
      </c>
      <c r="Z162" s="3">
        <v>87701.74</v>
      </c>
      <c r="AA162">
        <v>0.5</v>
      </c>
      <c r="AB162" t="s">
        <v>39</v>
      </c>
      <c r="AC162" t="s">
        <v>39</v>
      </c>
      <c r="AD162" t="s">
        <v>48</v>
      </c>
    </row>
    <row r="163" spans="1:30" x14ac:dyDescent="0.35">
      <c r="A163" s="1" t="s">
        <v>30</v>
      </c>
      <c r="B163" t="s">
        <v>31</v>
      </c>
      <c r="C163" t="s">
        <v>231</v>
      </c>
      <c r="D163" t="s">
        <v>272</v>
      </c>
      <c r="E163" t="s">
        <v>273</v>
      </c>
      <c r="F163" t="s">
        <v>215</v>
      </c>
      <c r="G163" t="s">
        <v>216</v>
      </c>
      <c r="H163" t="s">
        <v>37</v>
      </c>
      <c r="I163" t="s">
        <v>111</v>
      </c>
      <c r="J163" t="s">
        <v>39</v>
      </c>
      <c r="K163" s="2">
        <v>46245</v>
      </c>
      <c r="L163" s="2">
        <v>46265</v>
      </c>
      <c r="N163" s="2">
        <v>46235</v>
      </c>
      <c r="O163" s="2">
        <v>46966</v>
      </c>
      <c r="P163">
        <v>24</v>
      </c>
      <c r="Q163" t="s">
        <v>65</v>
      </c>
      <c r="R163" t="s">
        <v>53</v>
      </c>
      <c r="S163" t="s">
        <v>162</v>
      </c>
      <c r="T163" t="s">
        <v>43</v>
      </c>
      <c r="U163" t="s">
        <v>44</v>
      </c>
      <c r="V163" t="s">
        <v>81</v>
      </c>
      <c r="W163" t="s">
        <v>75</v>
      </c>
      <c r="X163" t="s">
        <v>143</v>
      </c>
      <c r="Y163" s="3">
        <v>116731.98</v>
      </c>
      <c r="Z163" s="3">
        <v>75875.78</v>
      </c>
      <c r="AA163">
        <v>0.65</v>
      </c>
      <c r="AB163" t="s">
        <v>39</v>
      </c>
      <c r="AC163" t="s">
        <v>39</v>
      </c>
      <c r="AD163" t="s">
        <v>48</v>
      </c>
    </row>
    <row r="164" spans="1:30" x14ac:dyDescent="0.35">
      <c r="A164" s="1" t="s">
        <v>30</v>
      </c>
      <c r="B164" t="s">
        <v>31</v>
      </c>
      <c r="C164" t="s">
        <v>231</v>
      </c>
      <c r="D164" t="s">
        <v>2039</v>
      </c>
      <c r="E164" t="s">
        <v>2040</v>
      </c>
      <c r="F164" t="s">
        <v>2041</v>
      </c>
      <c r="G164" t="s">
        <v>2042</v>
      </c>
      <c r="H164" t="s">
        <v>1271</v>
      </c>
      <c r="I164" t="s">
        <v>103</v>
      </c>
      <c r="J164" t="s">
        <v>39</v>
      </c>
      <c r="K164" s="2">
        <v>46241</v>
      </c>
      <c r="L164" s="2">
        <v>46265</v>
      </c>
      <c r="N164" s="2">
        <v>46235</v>
      </c>
      <c r="O164" s="2">
        <v>46600</v>
      </c>
      <c r="P164">
        <v>12</v>
      </c>
      <c r="Q164" t="s">
        <v>65</v>
      </c>
      <c r="R164" t="s">
        <v>88</v>
      </c>
      <c r="S164" t="s">
        <v>140</v>
      </c>
      <c r="T164" t="s">
        <v>97</v>
      </c>
      <c r="U164" t="s">
        <v>56</v>
      </c>
      <c r="V164" t="s">
        <v>57</v>
      </c>
      <c r="W164" t="s">
        <v>142</v>
      </c>
      <c r="X164" t="s">
        <v>59</v>
      </c>
      <c r="Y164" s="3">
        <v>142301.45000000001</v>
      </c>
      <c r="Z164" s="3">
        <v>113841.16</v>
      </c>
      <c r="AA164">
        <v>0.8</v>
      </c>
      <c r="AB164" t="s">
        <v>39</v>
      </c>
      <c r="AC164" t="s">
        <v>39</v>
      </c>
      <c r="AD164" t="s">
        <v>48</v>
      </c>
    </row>
    <row r="165" spans="1:30" x14ac:dyDescent="0.35">
      <c r="A165" s="1" t="s">
        <v>30</v>
      </c>
      <c r="B165" t="s">
        <v>31</v>
      </c>
      <c r="C165" t="s">
        <v>231</v>
      </c>
      <c r="D165" t="s">
        <v>2043</v>
      </c>
      <c r="E165" t="s">
        <v>2044</v>
      </c>
      <c r="F165" t="s">
        <v>1127</v>
      </c>
      <c r="G165" t="s">
        <v>1128</v>
      </c>
      <c r="H165" t="s">
        <v>1271</v>
      </c>
      <c r="I165" t="s">
        <v>111</v>
      </c>
      <c r="J165" t="s">
        <v>39</v>
      </c>
      <c r="K165" s="2">
        <v>46245</v>
      </c>
      <c r="L165" s="2">
        <v>46265</v>
      </c>
      <c r="N165" s="2">
        <v>46235</v>
      </c>
      <c r="O165" s="2">
        <v>46600</v>
      </c>
      <c r="P165">
        <v>12</v>
      </c>
      <c r="Q165" t="s">
        <v>104</v>
      </c>
      <c r="R165" t="s">
        <v>88</v>
      </c>
      <c r="S165" t="s">
        <v>139</v>
      </c>
      <c r="T165" t="s">
        <v>43</v>
      </c>
      <c r="U165" t="s">
        <v>56</v>
      </c>
      <c r="V165" t="s">
        <v>45</v>
      </c>
      <c r="W165" t="s">
        <v>142</v>
      </c>
      <c r="X165" t="s">
        <v>83</v>
      </c>
      <c r="Y165" s="3">
        <v>125389.53</v>
      </c>
      <c r="Z165" s="3">
        <v>43886.33</v>
      </c>
      <c r="AA165">
        <v>0.35</v>
      </c>
      <c r="AB165" t="s">
        <v>39</v>
      </c>
      <c r="AC165" t="s">
        <v>39</v>
      </c>
      <c r="AD165" t="s">
        <v>48</v>
      </c>
    </row>
    <row r="166" spans="1:30" x14ac:dyDescent="0.35">
      <c r="A166" s="1" t="s">
        <v>30</v>
      </c>
      <c r="B166" t="s">
        <v>31</v>
      </c>
      <c r="C166" t="s">
        <v>231</v>
      </c>
      <c r="D166" t="s">
        <v>2045</v>
      </c>
      <c r="E166" t="s">
        <v>2046</v>
      </c>
      <c r="F166" t="s">
        <v>2047</v>
      </c>
      <c r="G166" t="s">
        <v>2048</v>
      </c>
      <c r="H166" t="s">
        <v>1271</v>
      </c>
      <c r="I166" t="s">
        <v>64</v>
      </c>
      <c r="J166" t="s">
        <v>39</v>
      </c>
      <c r="K166" s="2">
        <v>46239</v>
      </c>
      <c r="L166" s="2">
        <v>46265</v>
      </c>
      <c r="N166" s="2">
        <v>46235</v>
      </c>
      <c r="O166" s="2">
        <v>46966</v>
      </c>
      <c r="P166">
        <v>24</v>
      </c>
      <c r="Q166" t="s">
        <v>40</v>
      </c>
      <c r="R166" t="s">
        <v>53</v>
      </c>
      <c r="S166" t="s">
        <v>141</v>
      </c>
      <c r="T166" t="s">
        <v>131</v>
      </c>
      <c r="U166" t="s">
        <v>44</v>
      </c>
      <c r="V166" t="s">
        <v>217</v>
      </c>
      <c r="W166" t="s">
        <v>82</v>
      </c>
      <c r="X166" t="s">
        <v>59</v>
      </c>
      <c r="Y166" s="3">
        <v>91725.45</v>
      </c>
      <c r="Z166" s="3">
        <v>45862.73</v>
      </c>
      <c r="AA166">
        <v>0.5</v>
      </c>
      <c r="AB166" t="s">
        <v>39</v>
      </c>
      <c r="AC166" t="s">
        <v>39</v>
      </c>
      <c r="AD166" t="s">
        <v>48</v>
      </c>
    </row>
    <row r="167" spans="1:30" x14ac:dyDescent="0.35">
      <c r="A167" s="1" t="s">
        <v>30</v>
      </c>
      <c r="B167" t="s">
        <v>31</v>
      </c>
      <c r="C167" t="s">
        <v>231</v>
      </c>
      <c r="D167" t="s">
        <v>2049</v>
      </c>
      <c r="E167" t="s">
        <v>2050</v>
      </c>
      <c r="F167" t="s">
        <v>2051</v>
      </c>
      <c r="G167" t="s">
        <v>2052</v>
      </c>
      <c r="H167" t="s">
        <v>1271</v>
      </c>
      <c r="I167" t="s">
        <v>117</v>
      </c>
      <c r="J167" t="s">
        <v>39</v>
      </c>
      <c r="K167" s="2">
        <v>46242</v>
      </c>
      <c r="L167" s="2">
        <v>46265</v>
      </c>
      <c r="N167" s="2">
        <v>46235</v>
      </c>
      <c r="O167" s="2">
        <v>46600</v>
      </c>
      <c r="P167">
        <v>12</v>
      </c>
      <c r="Q167" t="s">
        <v>65</v>
      </c>
      <c r="R167" t="s">
        <v>53</v>
      </c>
      <c r="S167" t="s">
        <v>139</v>
      </c>
      <c r="T167" t="s">
        <v>43</v>
      </c>
      <c r="U167" t="s">
        <v>56</v>
      </c>
      <c r="V167" t="s">
        <v>81</v>
      </c>
      <c r="W167" t="s">
        <v>58</v>
      </c>
      <c r="X167" t="s">
        <v>143</v>
      </c>
      <c r="Y167" s="3">
        <v>165352.47</v>
      </c>
      <c r="Z167" s="3">
        <v>107479.11</v>
      </c>
      <c r="AA167">
        <v>0.65</v>
      </c>
      <c r="AB167" t="s">
        <v>39</v>
      </c>
      <c r="AC167" t="s">
        <v>39</v>
      </c>
      <c r="AD167" t="s">
        <v>48</v>
      </c>
    </row>
    <row r="168" spans="1:30" x14ac:dyDescent="0.35">
      <c r="A168" s="1" t="s">
        <v>30</v>
      </c>
      <c r="B168" t="s">
        <v>31</v>
      </c>
      <c r="C168" t="s">
        <v>231</v>
      </c>
      <c r="D168" t="s">
        <v>2053</v>
      </c>
      <c r="E168" t="s">
        <v>2054</v>
      </c>
      <c r="F168" t="s">
        <v>1687</v>
      </c>
      <c r="G168" t="s">
        <v>1688</v>
      </c>
      <c r="H168" t="s">
        <v>1271</v>
      </c>
      <c r="I168" t="s">
        <v>111</v>
      </c>
      <c r="J168" t="s">
        <v>39</v>
      </c>
      <c r="K168" s="2">
        <v>46245</v>
      </c>
      <c r="L168" s="2">
        <v>46265</v>
      </c>
      <c r="N168" s="2">
        <v>46235</v>
      </c>
      <c r="O168" s="2">
        <v>46600</v>
      </c>
      <c r="P168">
        <v>12</v>
      </c>
      <c r="Q168" t="s">
        <v>40</v>
      </c>
      <c r="R168" t="s">
        <v>88</v>
      </c>
      <c r="S168" t="s">
        <v>135</v>
      </c>
      <c r="T168" t="s">
        <v>131</v>
      </c>
      <c r="U168" t="s">
        <v>56</v>
      </c>
      <c r="V168" t="s">
        <v>144</v>
      </c>
      <c r="W168" t="s">
        <v>46</v>
      </c>
      <c r="X168" t="s">
        <v>47</v>
      </c>
      <c r="Y168" s="3">
        <v>136086.51</v>
      </c>
      <c r="Z168" s="3">
        <v>108869.2</v>
      </c>
      <c r="AA168">
        <v>0.8</v>
      </c>
      <c r="AB168" t="s">
        <v>39</v>
      </c>
      <c r="AC168" t="s">
        <v>39</v>
      </c>
      <c r="AD168" t="s">
        <v>48</v>
      </c>
    </row>
    <row r="169" spans="1:30" x14ac:dyDescent="0.35">
      <c r="A169" s="1" t="s">
        <v>30</v>
      </c>
      <c r="B169" t="s">
        <v>31</v>
      </c>
      <c r="C169" t="s">
        <v>231</v>
      </c>
      <c r="D169" t="s">
        <v>2055</v>
      </c>
      <c r="E169" t="s">
        <v>2056</v>
      </c>
      <c r="F169" t="s">
        <v>2057</v>
      </c>
      <c r="G169" t="s">
        <v>2058</v>
      </c>
      <c r="H169" t="s">
        <v>1271</v>
      </c>
      <c r="I169" t="s">
        <v>111</v>
      </c>
      <c r="J169" t="s">
        <v>39</v>
      </c>
      <c r="K169" s="2">
        <v>46242</v>
      </c>
      <c r="L169" s="2">
        <v>46265</v>
      </c>
      <c r="N169" s="2">
        <v>46235</v>
      </c>
      <c r="O169" s="2">
        <v>46600</v>
      </c>
      <c r="P169">
        <v>12</v>
      </c>
      <c r="Q169" t="s">
        <v>65</v>
      </c>
      <c r="R169" t="s">
        <v>41</v>
      </c>
      <c r="S169" t="s">
        <v>112</v>
      </c>
      <c r="T169" t="s">
        <v>55</v>
      </c>
      <c r="U169" t="s">
        <v>56</v>
      </c>
      <c r="V169" t="s">
        <v>138</v>
      </c>
      <c r="W169" t="s">
        <v>90</v>
      </c>
      <c r="X169" t="s">
        <v>158</v>
      </c>
      <c r="Y169" s="3">
        <v>152156.85</v>
      </c>
      <c r="Z169" s="3">
        <v>53254.9</v>
      </c>
      <c r="AA169">
        <v>0.35</v>
      </c>
      <c r="AB169" t="s">
        <v>39</v>
      </c>
      <c r="AC169" t="s">
        <v>39</v>
      </c>
      <c r="AD169" t="s">
        <v>48</v>
      </c>
    </row>
    <row r="170" spans="1:30" x14ac:dyDescent="0.35">
      <c r="A170" s="1" t="s">
        <v>30</v>
      </c>
      <c r="B170" t="s">
        <v>31</v>
      </c>
      <c r="C170" t="s">
        <v>231</v>
      </c>
      <c r="D170" t="s">
        <v>2059</v>
      </c>
      <c r="E170" t="s">
        <v>2060</v>
      </c>
      <c r="F170" t="s">
        <v>2061</v>
      </c>
      <c r="G170" t="s">
        <v>2062</v>
      </c>
      <c r="H170" t="s">
        <v>1271</v>
      </c>
      <c r="I170" t="s">
        <v>117</v>
      </c>
      <c r="J170" t="s">
        <v>39</v>
      </c>
      <c r="K170" s="2">
        <v>46242</v>
      </c>
      <c r="L170" s="2">
        <v>46265</v>
      </c>
      <c r="N170" s="2">
        <v>46235</v>
      </c>
      <c r="O170" s="2">
        <v>46600</v>
      </c>
      <c r="P170">
        <v>12</v>
      </c>
      <c r="Q170" t="s">
        <v>65</v>
      </c>
      <c r="R170" t="s">
        <v>88</v>
      </c>
      <c r="S170" t="s">
        <v>141</v>
      </c>
      <c r="T170" t="s">
        <v>131</v>
      </c>
      <c r="U170" t="s">
        <v>44</v>
      </c>
      <c r="V170" t="s">
        <v>74</v>
      </c>
      <c r="W170" t="s">
        <v>46</v>
      </c>
      <c r="X170" t="s">
        <v>83</v>
      </c>
      <c r="Y170" s="3">
        <v>136954.01</v>
      </c>
      <c r="Z170" s="3">
        <v>89020.11</v>
      </c>
      <c r="AA170">
        <v>0.65</v>
      </c>
      <c r="AB170" t="s">
        <v>39</v>
      </c>
      <c r="AC170" t="s">
        <v>39</v>
      </c>
      <c r="AD170" t="s">
        <v>48</v>
      </c>
    </row>
    <row r="171" spans="1:30" x14ac:dyDescent="0.35">
      <c r="A171" s="1" t="s">
        <v>30</v>
      </c>
      <c r="B171" t="s">
        <v>31</v>
      </c>
      <c r="C171" t="s">
        <v>231</v>
      </c>
      <c r="D171" t="s">
        <v>2063</v>
      </c>
      <c r="E171" t="s">
        <v>2064</v>
      </c>
      <c r="F171" t="s">
        <v>685</v>
      </c>
      <c r="G171" t="s">
        <v>686</v>
      </c>
      <c r="H171" t="s">
        <v>1271</v>
      </c>
      <c r="I171" t="s">
        <v>64</v>
      </c>
      <c r="J171" t="s">
        <v>39</v>
      </c>
      <c r="K171" s="2">
        <v>46243</v>
      </c>
      <c r="L171" s="2">
        <v>46265</v>
      </c>
      <c r="N171" s="2">
        <v>46235</v>
      </c>
      <c r="O171" s="2">
        <v>46600</v>
      </c>
      <c r="P171">
        <v>12</v>
      </c>
      <c r="Q171" t="s">
        <v>104</v>
      </c>
      <c r="R171" t="s">
        <v>41</v>
      </c>
      <c r="S171" t="s">
        <v>141</v>
      </c>
      <c r="T171" t="s">
        <v>131</v>
      </c>
      <c r="U171" t="s">
        <v>56</v>
      </c>
      <c r="V171" t="s">
        <v>217</v>
      </c>
      <c r="W171" t="s">
        <v>136</v>
      </c>
      <c r="X171" t="s">
        <v>158</v>
      </c>
      <c r="Y171" s="3">
        <v>77080.73</v>
      </c>
      <c r="Z171" s="3">
        <v>50102.48</v>
      </c>
      <c r="AA171">
        <v>0.65</v>
      </c>
      <c r="AB171" t="s">
        <v>39</v>
      </c>
      <c r="AC171" t="s">
        <v>39</v>
      </c>
      <c r="AD171" t="s">
        <v>48</v>
      </c>
    </row>
    <row r="172" spans="1:30" x14ac:dyDescent="0.35">
      <c r="A172" s="1" t="s">
        <v>30</v>
      </c>
      <c r="B172" t="s">
        <v>31</v>
      </c>
      <c r="C172" t="s">
        <v>231</v>
      </c>
      <c r="D172" t="s">
        <v>2065</v>
      </c>
      <c r="E172" t="s">
        <v>2066</v>
      </c>
      <c r="F172" t="s">
        <v>2067</v>
      </c>
      <c r="G172" t="s">
        <v>2068</v>
      </c>
      <c r="H172" t="s">
        <v>1290</v>
      </c>
      <c r="I172" t="s">
        <v>117</v>
      </c>
      <c r="J172" t="s">
        <v>1290</v>
      </c>
      <c r="K172" s="2">
        <v>46247</v>
      </c>
      <c r="L172" s="2">
        <v>46265</v>
      </c>
      <c r="N172" s="2">
        <v>46235</v>
      </c>
      <c r="O172" s="2">
        <v>46966</v>
      </c>
      <c r="P172">
        <v>24</v>
      </c>
      <c r="Q172" t="s">
        <v>40</v>
      </c>
      <c r="R172" t="s">
        <v>88</v>
      </c>
      <c r="S172" t="s">
        <v>141</v>
      </c>
      <c r="T172" t="s">
        <v>131</v>
      </c>
      <c r="U172" t="s">
        <v>44</v>
      </c>
      <c r="V172" t="s">
        <v>67</v>
      </c>
      <c r="W172" t="s">
        <v>150</v>
      </c>
      <c r="X172" t="s">
        <v>125</v>
      </c>
      <c r="Y172" s="3">
        <v>116550.9</v>
      </c>
      <c r="Z172" s="3">
        <v>75758.080000000002</v>
      </c>
      <c r="AA172">
        <v>0.65</v>
      </c>
      <c r="AB172" t="s">
        <v>1290</v>
      </c>
      <c r="AC172" t="s">
        <v>1290</v>
      </c>
      <c r="AD172" t="s">
        <v>48</v>
      </c>
    </row>
    <row r="173" spans="1:30" x14ac:dyDescent="0.35">
      <c r="A173" s="1" t="s">
        <v>30</v>
      </c>
      <c r="B173" t="s">
        <v>31</v>
      </c>
      <c r="C173" t="s">
        <v>231</v>
      </c>
      <c r="D173" t="s">
        <v>2069</v>
      </c>
      <c r="E173" t="s">
        <v>2070</v>
      </c>
      <c r="F173" t="s">
        <v>2071</v>
      </c>
      <c r="G173" t="s">
        <v>2072</v>
      </c>
      <c r="H173" t="s">
        <v>1290</v>
      </c>
      <c r="I173" t="s">
        <v>38</v>
      </c>
      <c r="J173" t="s">
        <v>1290</v>
      </c>
      <c r="K173" s="2">
        <v>46248</v>
      </c>
      <c r="L173" s="2">
        <v>46265</v>
      </c>
      <c r="N173" s="2">
        <v>46235</v>
      </c>
      <c r="O173" s="2">
        <v>46600</v>
      </c>
      <c r="P173">
        <v>12</v>
      </c>
      <c r="Q173" t="s">
        <v>65</v>
      </c>
      <c r="R173" t="s">
        <v>88</v>
      </c>
      <c r="S173" t="s">
        <v>222</v>
      </c>
      <c r="T173" t="s">
        <v>97</v>
      </c>
      <c r="U173" t="s">
        <v>44</v>
      </c>
      <c r="V173" t="s">
        <v>98</v>
      </c>
      <c r="W173" t="s">
        <v>90</v>
      </c>
      <c r="X173" t="s">
        <v>59</v>
      </c>
      <c r="Y173" s="3">
        <v>112233.14</v>
      </c>
      <c r="Z173" s="3">
        <v>72951.539999999994</v>
      </c>
      <c r="AA173">
        <v>0.65</v>
      </c>
      <c r="AB173" t="s">
        <v>1290</v>
      </c>
      <c r="AC173" t="s">
        <v>1290</v>
      </c>
      <c r="AD173" t="s">
        <v>48</v>
      </c>
    </row>
    <row r="174" spans="1:30" x14ac:dyDescent="0.35">
      <c r="A174" s="1" t="s">
        <v>30</v>
      </c>
      <c r="B174" t="s">
        <v>31</v>
      </c>
      <c r="C174" t="s">
        <v>231</v>
      </c>
      <c r="D174" t="s">
        <v>2073</v>
      </c>
      <c r="E174" t="s">
        <v>2074</v>
      </c>
      <c r="F174" t="s">
        <v>879</v>
      </c>
      <c r="G174" t="s">
        <v>880</v>
      </c>
      <c r="H174" t="s">
        <v>1290</v>
      </c>
      <c r="I174" t="s">
        <v>103</v>
      </c>
      <c r="J174" t="s">
        <v>1290</v>
      </c>
      <c r="K174" s="2">
        <v>46244</v>
      </c>
      <c r="L174" s="2">
        <v>46265</v>
      </c>
      <c r="N174" s="2">
        <v>46235</v>
      </c>
      <c r="O174" s="2">
        <v>46600</v>
      </c>
      <c r="P174">
        <v>12</v>
      </c>
      <c r="Q174" t="s">
        <v>104</v>
      </c>
      <c r="R174" t="s">
        <v>41</v>
      </c>
      <c r="S174" t="s">
        <v>222</v>
      </c>
      <c r="T174" t="s">
        <v>97</v>
      </c>
      <c r="U174" t="s">
        <v>56</v>
      </c>
      <c r="V174" t="s">
        <v>217</v>
      </c>
      <c r="W174" t="s">
        <v>161</v>
      </c>
      <c r="X174" t="s">
        <v>68</v>
      </c>
      <c r="Y174" s="3">
        <v>173645.96</v>
      </c>
      <c r="Z174" s="3">
        <v>138916.76999999999</v>
      </c>
      <c r="AA174">
        <v>0.8</v>
      </c>
      <c r="AB174" t="s">
        <v>1290</v>
      </c>
      <c r="AC174" t="s">
        <v>1290</v>
      </c>
      <c r="AD174" t="s">
        <v>48</v>
      </c>
    </row>
    <row r="175" spans="1:30" x14ac:dyDescent="0.35">
      <c r="A175" s="1" t="s">
        <v>30</v>
      </c>
      <c r="B175" t="s">
        <v>31</v>
      </c>
      <c r="C175" t="s">
        <v>231</v>
      </c>
      <c r="D175" t="s">
        <v>2075</v>
      </c>
      <c r="E175" t="s">
        <v>2076</v>
      </c>
      <c r="F175" t="s">
        <v>2077</v>
      </c>
      <c r="G175" t="s">
        <v>2078</v>
      </c>
      <c r="H175" t="s">
        <v>1295</v>
      </c>
      <c r="I175" t="s">
        <v>111</v>
      </c>
      <c r="J175" t="s">
        <v>1295</v>
      </c>
      <c r="K175" s="2">
        <v>46243</v>
      </c>
      <c r="L175" s="2">
        <v>46265</v>
      </c>
      <c r="N175" s="2">
        <v>46235</v>
      </c>
      <c r="O175" s="2">
        <v>46600</v>
      </c>
      <c r="P175">
        <v>12</v>
      </c>
      <c r="Q175" t="s">
        <v>40</v>
      </c>
      <c r="R175" t="s">
        <v>41</v>
      </c>
      <c r="S175" t="s">
        <v>89</v>
      </c>
      <c r="T175" t="s">
        <v>55</v>
      </c>
      <c r="U175" t="s">
        <v>44</v>
      </c>
      <c r="V175" t="s">
        <v>217</v>
      </c>
      <c r="W175" t="s">
        <v>82</v>
      </c>
      <c r="X175" t="s">
        <v>91</v>
      </c>
      <c r="Y175" s="3">
        <v>192570.26</v>
      </c>
      <c r="Z175" s="3">
        <v>125170.67</v>
      </c>
      <c r="AA175">
        <v>0.65</v>
      </c>
      <c r="AB175" t="s">
        <v>1295</v>
      </c>
      <c r="AC175" t="s">
        <v>1295</v>
      </c>
      <c r="AD175" t="s">
        <v>48</v>
      </c>
    </row>
    <row r="176" spans="1:30" x14ac:dyDescent="0.35">
      <c r="A176" s="1" t="s">
        <v>30</v>
      </c>
      <c r="B176" t="s">
        <v>31</v>
      </c>
      <c r="C176" t="s">
        <v>231</v>
      </c>
      <c r="D176" t="s">
        <v>2079</v>
      </c>
      <c r="E176" t="s">
        <v>2080</v>
      </c>
      <c r="F176" t="s">
        <v>2081</v>
      </c>
      <c r="G176" t="s">
        <v>2082</v>
      </c>
      <c r="H176" t="s">
        <v>1295</v>
      </c>
      <c r="I176" t="s">
        <v>117</v>
      </c>
      <c r="J176" t="s">
        <v>1295</v>
      </c>
      <c r="K176" s="2">
        <v>46236</v>
      </c>
      <c r="L176" s="2">
        <v>46265</v>
      </c>
      <c r="N176" s="2">
        <v>46235</v>
      </c>
      <c r="O176" s="2">
        <v>46600</v>
      </c>
      <c r="P176">
        <v>12</v>
      </c>
      <c r="Q176" t="s">
        <v>40</v>
      </c>
      <c r="R176" t="s">
        <v>88</v>
      </c>
      <c r="S176" t="s">
        <v>105</v>
      </c>
      <c r="T176" t="s">
        <v>55</v>
      </c>
      <c r="U176" t="s">
        <v>44</v>
      </c>
      <c r="V176" t="s">
        <v>119</v>
      </c>
      <c r="W176" t="s">
        <v>90</v>
      </c>
      <c r="X176" t="s">
        <v>158</v>
      </c>
      <c r="Y176" s="3">
        <v>251268.85</v>
      </c>
      <c r="Z176" s="3">
        <v>163324.75</v>
      </c>
      <c r="AA176">
        <v>0.65</v>
      </c>
      <c r="AB176" t="s">
        <v>1295</v>
      </c>
      <c r="AC176" t="s">
        <v>1295</v>
      </c>
      <c r="AD176" t="s">
        <v>48</v>
      </c>
    </row>
    <row r="177" spans="1:30" x14ac:dyDescent="0.35">
      <c r="A177" s="1" t="s">
        <v>30</v>
      </c>
      <c r="B177" t="s">
        <v>31</v>
      </c>
      <c r="C177" t="s">
        <v>231</v>
      </c>
      <c r="D177" t="s">
        <v>2083</v>
      </c>
      <c r="E177" t="s">
        <v>2084</v>
      </c>
      <c r="F177" t="s">
        <v>595</v>
      </c>
      <c r="G177" t="s">
        <v>596</v>
      </c>
      <c r="H177" t="s">
        <v>1295</v>
      </c>
      <c r="I177" t="s">
        <v>38</v>
      </c>
      <c r="J177" t="s">
        <v>1295</v>
      </c>
      <c r="K177" s="2">
        <v>46239</v>
      </c>
      <c r="L177" s="2">
        <v>46265</v>
      </c>
      <c r="N177" s="2">
        <v>46235</v>
      </c>
      <c r="O177" s="2">
        <v>46966</v>
      </c>
      <c r="P177">
        <v>24</v>
      </c>
      <c r="Q177" t="s">
        <v>104</v>
      </c>
      <c r="R177" t="s">
        <v>41</v>
      </c>
      <c r="S177" t="s">
        <v>141</v>
      </c>
      <c r="T177" t="s">
        <v>131</v>
      </c>
      <c r="U177" t="s">
        <v>44</v>
      </c>
      <c r="V177" t="s">
        <v>57</v>
      </c>
      <c r="W177" t="s">
        <v>136</v>
      </c>
      <c r="X177" t="s">
        <v>59</v>
      </c>
      <c r="Y177" s="3">
        <v>218531.89</v>
      </c>
      <c r="Z177" s="3">
        <v>174825.51</v>
      </c>
      <c r="AA177">
        <v>0.8</v>
      </c>
      <c r="AB177" t="s">
        <v>1295</v>
      </c>
      <c r="AC177" t="s">
        <v>1295</v>
      </c>
      <c r="AD177" t="s">
        <v>48</v>
      </c>
    </row>
    <row r="178" spans="1:30" x14ac:dyDescent="0.35">
      <c r="A178" s="1" t="s">
        <v>30</v>
      </c>
      <c r="B178" t="s">
        <v>31</v>
      </c>
      <c r="C178" t="s">
        <v>231</v>
      </c>
      <c r="D178" t="s">
        <v>2085</v>
      </c>
      <c r="E178" t="s">
        <v>2086</v>
      </c>
      <c r="F178" t="s">
        <v>1263</v>
      </c>
      <c r="G178" t="s">
        <v>1264</v>
      </c>
      <c r="H178" t="s">
        <v>1302</v>
      </c>
      <c r="I178" t="s">
        <v>117</v>
      </c>
      <c r="J178" t="s">
        <v>39</v>
      </c>
      <c r="K178" s="2">
        <v>46243</v>
      </c>
      <c r="L178" s="2">
        <v>46265</v>
      </c>
      <c r="N178" s="2">
        <v>46235</v>
      </c>
      <c r="O178" s="2">
        <v>46600</v>
      </c>
      <c r="P178">
        <v>12</v>
      </c>
      <c r="Q178" t="s">
        <v>65</v>
      </c>
      <c r="R178" t="s">
        <v>88</v>
      </c>
      <c r="S178" t="s">
        <v>163</v>
      </c>
      <c r="T178" t="s">
        <v>131</v>
      </c>
      <c r="U178" t="s">
        <v>56</v>
      </c>
      <c r="V178" t="s">
        <v>74</v>
      </c>
      <c r="W178" t="s">
        <v>58</v>
      </c>
      <c r="X178" t="s">
        <v>143</v>
      </c>
      <c r="Y178" s="3">
        <v>106652.24</v>
      </c>
      <c r="Z178" s="3">
        <v>85321.79</v>
      </c>
      <c r="AA178">
        <v>0.8</v>
      </c>
      <c r="AB178" t="s">
        <v>39</v>
      </c>
      <c r="AC178" t="s">
        <v>39</v>
      </c>
      <c r="AD178" t="s">
        <v>48</v>
      </c>
    </row>
    <row r="179" spans="1:30" x14ac:dyDescent="0.35">
      <c r="A179" s="1" t="s">
        <v>30</v>
      </c>
      <c r="B179" t="s">
        <v>31</v>
      </c>
      <c r="C179" t="s">
        <v>231</v>
      </c>
      <c r="D179" t="s">
        <v>2087</v>
      </c>
      <c r="E179" t="s">
        <v>2088</v>
      </c>
      <c r="F179" t="s">
        <v>2089</v>
      </c>
      <c r="G179" t="s">
        <v>2090</v>
      </c>
      <c r="H179" t="s">
        <v>1302</v>
      </c>
      <c r="I179" t="s">
        <v>103</v>
      </c>
      <c r="J179" t="s">
        <v>39</v>
      </c>
      <c r="K179" s="2">
        <v>46245</v>
      </c>
      <c r="L179" s="2">
        <v>46265</v>
      </c>
      <c r="N179" s="2">
        <v>46235</v>
      </c>
      <c r="O179" s="2">
        <v>46600</v>
      </c>
      <c r="P179">
        <v>12</v>
      </c>
      <c r="Q179" t="s">
        <v>104</v>
      </c>
      <c r="R179" t="s">
        <v>41</v>
      </c>
      <c r="S179" t="s">
        <v>73</v>
      </c>
      <c r="T179" t="s">
        <v>43</v>
      </c>
      <c r="U179" t="s">
        <v>56</v>
      </c>
      <c r="V179" t="s">
        <v>98</v>
      </c>
      <c r="W179" t="s">
        <v>142</v>
      </c>
      <c r="X179" t="s">
        <v>68</v>
      </c>
      <c r="Y179" s="3">
        <v>94488.47</v>
      </c>
      <c r="Z179" s="3">
        <v>61417.5</v>
      </c>
      <c r="AA179">
        <v>0.65</v>
      </c>
      <c r="AB179" t="s">
        <v>39</v>
      </c>
      <c r="AC179" t="s">
        <v>39</v>
      </c>
      <c r="AD179" t="s">
        <v>48</v>
      </c>
    </row>
    <row r="180" spans="1:30" x14ac:dyDescent="0.35">
      <c r="A180" s="1" t="s">
        <v>30</v>
      </c>
      <c r="B180" t="s">
        <v>31</v>
      </c>
      <c r="C180" t="s">
        <v>231</v>
      </c>
      <c r="D180" t="s">
        <v>2091</v>
      </c>
      <c r="E180" t="s">
        <v>2092</v>
      </c>
      <c r="F180" t="s">
        <v>2093</v>
      </c>
      <c r="G180" t="s">
        <v>2094</v>
      </c>
      <c r="H180" t="s">
        <v>1302</v>
      </c>
      <c r="I180" t="s">
        <v>117</v>
      </c>
      <c r="J180" t="s">
        <v>39</v>
      </c>
      <c r="K180" s="2">
        <v>46244</v>
      </c>
      <c r="L180" s="2">
        <v>46265</v>
      </c>
      <c r="N180" s="2">
        <v>46235</v>
      </c>
      <c r="O180" s="2">
        <v>46600</v>
      </c>
      <c r="P180">
        <v>12</v>
      </c>
      <c r="Q180" t="s">
        <v>40</v>
      </c>
      <c r="R180" t="s">
        <v>41</v>
      </c>
      <c r="S180" t="s">
        <v>80</v>
      </c>
      <c r="T180" t="s">
        <v>43</v>
      </c>
      <c r="U180" t="s">
        <v>44</v>
      </c>
      <c r="V180" t="s">
        <v>138</v>
      </c>
      <c r="W180" t="s">
        <v>142</v>
      </c>
      <c r="X180" t="s">
        <v>83</v>
      </c>
      <c r="Y180" s="3">
        <v>172362.29</v>
      </c>
      <c r="Z180" s="3">
        <v>112035.49</v>
      </c>
      <c r="AA180">
        <v>0.65</v>
      </c>
      <c r="AB180" t="s">
        <v>39</v>
      </c>
      <c r="AC180" t="s">
        <v>39</v>
      </c>
      <c r="AD180" t="s">
        <v>48</v>
      </c>
    </row>
    <row r="181" spans="1:30" x14ac:dyDescent="0.35">
      <c r="A181" s="1" t="s">
        <v>30</v>
      </c>
      <c r="B181" t="s">
        <v>31</v>
      </c>
      <c r="C181" t="s">
        <v>285</v>
      </c>
      <c r="D181" t="s">
        <v>286</v>
      </c>
      <c r="E181" t="s">
        <v>287</v>
      </c>
      <c r="F181" t="s">
        <v>288</v>
      </c>
      <c r="G181" t="s">
        <v>289</v>
      </c>
      <c r="H181" t="s">
        <v>37</v>
      </c>
      <c r="I181" t="s">
        <v>103</v>
      </c>
      <c r="J181" t="s">
        <v>39</v>
      </c>
      <c r="K181" s="2">
        <v>46272</v>
      </c>
      <c r="L181" s="2">
        <v>46295</v>
      </c>
      <c r="N181" s="2">
        <v>46266</v>
      </c>
      <c r="O181" s="2">
        <v>46631</v>
      </c>
      <c r="P181">
        <v>12</v>
      </c>
      <c r="Q181" t="s">
        <v>104</v>
      </c>
      <c r="R181" t="s">
        <v>53</v>
      </c>
      <c r="S181" t="s">
        <v>73</v>
      </c>
      <c r="T181" t="s">
        <v>43</v>
      </c>
      <c r="U181" t="s">
        <v>56</v>
      </c>
      <c r="V181" t="s">
        <v>57</v>
      </c>
      <c r="W181" t="s">
        <v>136</v>
      </c>
      <c r="X181" t="s">
        <v>125</v>
      </c>
      <c r="Y181" s="3">
        <v>159878.59</v>
      </c>
      <c r="Z181" s="3">
        <v>79939.3</v>
      </c>
      <c r="AA181">
        <v>0.5</v>
      </c>
      <c r="AB181" t="s">
        <v>39</v>
      </c>
      <c r="AC181" t="s">
        <v>39</v>
      </c>
      <c r="AD181" t="s">
        <v>48</v>
      </c>
    </row>
    <row r="182" spans="1:30" x14ac:dyDescent="0.35">
      <c r="A182" s="1" t="s">
        <v>30</v>
      </c>
      <c r="B182" t="s">
        <v>31</v>
      </c>
      <c r="C182" t="s">
        <v>285</v>
      </c>
      <c r="D182" t="s">
        <v>290</v>
      </c>
      <c r="E182" t="s">
        <v>291</v>
      </c>
      <c r="F182" t="s">
        <v>292</v>
      </c>
      <c r="G182" t="s">
        <v>293</v>
      </c>
      <c r="H182" t="s">
        <v>37</v>
      </c>
      <c r="I182" t="s">
        <v>111</v>
      </c>
      <c r="J182" t="s">
        <v>39</v>
      </c>
      <c r="K182" s="2">
        <v>46266</v>
      </c>
      <c r="L182" s="2">
        <v>46295</v>
      </c>
      <c r="N182" s="2">
        <v>46266</v>
      </c>
      <c r="O182" s="2">
        <v>46631</v>
      </c>
      <c r="P182">
        <v>12</v>
      </c>
      <c r="Q182" t="s">
        <v>65</v>
      </c>
      <c r="R182" t="s">
        <v>53</v>
      </c>
      <c r="S182" t="s">
        <v>130</v>
      </c>
      <c r="T182" t="s">
        <v>131</v>
      </c>
      <c r="U182" t="s">
        <v>44</v>
      </c>
      <c r="V182" t="s">
        <v>74</v>
      </c>
      <c r="W182" t="s">
        <v>82</v>
      </c>
      <c r="X182" t="s">
        <v>47</v>
      </c>
      <c r="Y182" s="3">
        <v>169347.33</v>
      </c>
      <c r="Z182" s="3">
        <v>84673.67</v>
      </c>
      <c r="AA182">
        <v>0.5</v>
      </c>
      <c r="AB182" t="s">
        <v>39</v>
      </c>
      <c r="AC182" t="s">
        <v>39</v>
      </c>
      <c r="AD182" t="s">
        <v>48</v>
      </c>
    </row>
    <row r="183" spans="1:30" x14ac:dyDescent="0.35">
      <c r="A183" s="1" t="s">
        <v>30</v>
      </c>
      <c r="B183" t="s">
        <v>31</v>
      </c>
      <c r="C183" t="s">
        <v>285</v>
      </c>
      <c r="D183" t="s">
        <v>294</v>
      </c>
      <c r="E183" t="s">
        <v>295</v>
      </c>
      <c r="F183" t="s">
        <v>296</v>
      </c>
      <c r="G183" t="s">
        <v>297</v>
      </c>
      <c r="H183" t="s">
        <v>37</v>
      </c>
      <c r="I183" t="s">
        <v>103</v>
      </c>
      <c r="J183" t="s">
        <v>39</v>
      </c>
      <c r="K183" s="2">
        <v>46271</v>
      </c>
      <c r="L183" s="2">
        <v>46295</v>
      </c>
      <c r="N183" s="2">
        <v>46266</v>
      </c>
      <c r="O183" s="2">
        <v>46631</v>
      </c>
      <c r="P183">
        <v>12</v>
      </c>
      <c r="Q183" t="s">
        <v>104</v>
      </c>
      <c r="R183" t="s">
        <v>88</v>
      </c>
      <c r="S183" t="s">
        <v>137</v>
      </c>
      <c r="T183" t="s">
        <v>97</v>
      </c>
      <c r="U183" t="s">
        <v>56</v>
      </c>
      <c r="V183" t="s">
        <v>98</v>
      </c>
      <c r="W183" t="s">
        <v>142</v>
      </c>
      <c r="X183" t="s">
        <v>47</v>
      </c>
      <c r="Y183" s="3">
        <v>127601.09</v>
      </c>
      <c r="Z183" s="3">
        <v>63800.55</v>
      </c>
      <c r="AA183">
        <v>0.5</v>
      </c>
      <c r="AB183" t="s">
        <v>39</v>
      </c>
      <c r="AC183" t="s">
        <v>39</v>
      </c>
      <c r="AD183" t="s">
        <v>48</v>
      </c>
    </row>
    <row r="184" spans="1:30" x14ac:dyDescent="0.35">
      <c r="A184" s="1" t="s">
        <v>30</v>
      </c>
      <c r="B184" t="s">
        <v>31</v>
      </c>
      <c r="C184" t="s">
        <v>285</v>
      </c>
      <c r="D184" t="s">
        <v>298</v>
      </c>
      <c r="E184" t="s">
        <v>299</v>
      </c>
      <c r="F184" t="s">
        <v>215</v>
      </c>
      <c r="G184" t="s">
        <v>216</v>
      </c>
      <c r="H184" t="s">
        <v>37</v>
      </c>
      <c r="I184" t="s">
        <v>111</v>
      </c>
      <c r="J184" t="s">
        <v>39</v>
      </c>
      <c r="K184" s="2">
        <v>46268</v>
      </c>
      <c r="L184" s="2">
        <v>46295</v>
      </c>
      <c r="N184" s="2">
        <v>46266</v>
      </c>
      <c r="O184" s="2">
        <v>46997</v>
      </c>
      <c r="P184">
        <v>24</v>
      </c>
      <c r="Q184" t="s">
        <v>40</v>
      </c>
      <c r="R184" t="s">
        <v>53</v>
      </c>
      <c r="S184" t="s">
        <v>162</v>
      </c>
      <c r="T184" t="s">
        <v>43</v>
      </c>
      <c r="U184" t="s">
        <v>44</v>
      </c>
      <c r="V184" t="s">
        <v>81</v>
      </c>
      <c r="W184" t="s">
        <v>136</v>
      </c>
      <c r="X184" t="s">
        <v>143</v>
      </c>
      <c r="Y184" s="3">
        <v>133323.22</v>
      </c>
      <c r="Z184" s="3">
        <v>66661.61</v>
      </c>
      <c r="AA184">
        <v>0.5</v>
      </c>
      <c r="AB184" t="s">
        <v>39</v>
      </c>
      <c r="AC184" t="s">
        <v>39</v>
      </c>
      <c r="AD184" t="s">
        <v>48</v>
      </c>
    </row>
    <row r="185" spans="1:30" x14ac:dyDescent="0.35">
      <c r="A185" s="1" t="s">
        <v>30</v>
      </c>
      <c r="B185" t="s">
        <v>31</v>
      </c>
      <c r="C185" t="s">
        <v>285</v>
      </c>
      <c r="D185" t="s">
        <v>300</v>
      </c>
      <c r="E185" t="s">
        <v>301</v>
      </c>
      <c r="F185" t="s">
        <v>302</v>
      </c>
      <c r="G185" t="s">
        <v>303</v>
      </c>
      <c r="H185" t="s">
        <v>37</v>
      </c>
      <c r="I185" t="s">
        <v>103</v>
      </c>
      <c r="J185" t="s">
        <v>39</v>
      </c>
      <c r="K185" s="2">
        <v>46268</v>
      </c>
      <c r="L185" s="2">
        <v>46295</v>
      </c>
      <c r="N185" s="2">
        <v>46266</v>
      </c>
      <c r="O185" s="2">
        <v>46997</v>
      </c>
      <c r="P185">
        <v>24</v>
      </c>
      <c r="Q185" t="s">
        <v>40</v>
      </c>
      <c r="R185" t="s">
        <v>88</v>
      </c>
      <c r="S185" t="s">
        <v>130</v>
      </c>
      <c r="T185" t="s">
        <v>131</v>
      </c>
      <c r="U185" t="s">
        <v>44</v>
      </c>
      <c r="V185" t="s">
        <v>81</v>
      </c>
      <c r="W185" t="s">
        <v>58</v>
      </c>
      <c r="X185" t="s">
        <v>59</v>
      </c>
      <c r="Y185" s="3">
        <v>217333.42</v>
      </c>
      <c r="Z185" s="3">
        <v>141266.72</v>
      </c>
      <c r="AA185">
        <v>0.65</v>
      </c>
      <c r="AB185" t="s">
        <v>39</v>
      </c>
      <c r="AC185" t="s">
        <v>39</v>
      </c>
      <c r="AD185" t="s">
        <v>48</v>
      </c>
    </row>
    <row r="186" spans="1:30" x14ac:dyDescent="0.35">
      <c r="A186" s="1" t="s">
        <v>30</v>
      </c>
      <c r="B186" t="s">
        <v>31</v>
      </c>
      <c r="C186" t="s">
        <v>285</v>
      </c>
      <c r="D186" t="s">
        <v>304</v>
      </c>
      <c r="E186" t="s">
        <v>305</v>
      </c>
      <c r="F186" t="s">
        <v>306</v>
      </c>
      <c r="G186" t="s">
        <v>307</v>
      </c>
      <c r="H186" t="s">
        <v>37</v>
      </c>
      <c r="I186" t="s">
        <v>103</v>
      </c>
      <c r="J186" t="s">
        <v>39</v>
      </c>
      <c r="K186" s="2">
        <v>46279</v>
      </c>
      <c r="L186" s="2">
        <v>46295</v>
      </c>
      <c r="N186" s="2">
        <v>46266</v>
      </c>
      <c r="O186" s="2">
        <v>46631</v>
      </c>
      <c r="P186">
        <v>12</v>
      </c>
      <c r="Q186" t="s">
        <v>40</v>
      </c>
      <c r="R186" t="s">
        <v>88</v>
      </c>
      <c r="S186" t="s">
        <v>89</v>
      </c>
      <c r="T186" t="s">
        <v>55</v>
      </c>
      <c r="U186" t="s">
        <v>44</v>
      </c>
      <c r="V186" t="s">
        <v>138</v>
      </c>
      <c r="W186" t="s">
        <v>120</v>
      </c>
      <c r="X186" t="s">
        <v>83</v>
      </c>
      <c r="Y186" s="3">
        <v>195935.06</v>
      </c>
      <c r="Z186" s="3">
        <v>68577.27</v>
      </c>
      <c r="AA186">
        <v>0.35</v>
      </c>
      <c r="AB186" t="s">
        <v>39</v>
      </c>
      <c r="AC186" t="s">
        <v>39</v>
      </c>
      <c r="AD186" t="s">
        <v>48</v>
      </c>
    </row>
    <row r="187" spans="1:30" x14ac:dyDescent="0.35">
      <c r="A187" s="1" t="s">
        <v>30</v>
      </c>
      <c r="B187" t="s">
        <v>31</v>
      </c>
      <c r="C187" t="s">
        <v>285</v>
      </c>
      <c r="D187" t="s">
        <v>308</v>
      </c>
      <c r="E187" t="s">
        <v>309</v>
      </c>
      <c r="F187" t="s">
        <v>310</v>
      </c>
      <c r="G187" t="s">
        <v>311</v>
      </c>
      <c r="H187" t="s">
        <v>37</v>
      </c>
      <c r="I187" t="s">
        <v>117</v>
      </c>
      <c r="J187" t="s">
        <v>39</v>
      </c>
      <c r="K187" s="2">
        <v>46278</v>
      </c>
      <c r="L187" s="2">
        <v>46295</v>
      </c>
      <c r="N187" s="2">
        <v>46266</v>
      </c>
      <c r="O187" s="2">
        <v>46631</v>
      </c>
      <c r="P187">
        <v>12</v>
      </c>
      <c r="Q187" t="s">
        <v>104</v>
      </c>
      <c r="R187" t="s">
        <v>53</v>
      </c>
      <c r="S187" t="s">
        <v>42</v>
      </c>
      <c r="T187" t="s">
        <v>43</v>
      </c>
      <c r="U187" t="s">
        <v>44</v>
      </c>
      <c r="V187" t="s">
        <v>98</v>
      </c>
      <c r="W187" t="s">
        <v>136</v>
      </c>
      <c r="X187" t="s">
        <v>91</v>
      </c>
      <c r="Y187" s="3">
        <v>120172.97</v>
      </c>
      <c r="Z187" s="3">
        <v>60086.48</v>
      </c>
      <c r="AA187">
        <v>0.5</v>
      </c>
      <c r="AB187" t="s">
        <v>39</v>
      </c>
      <c r="AC187" t="s">
        <v>39</v>
      </c>
      <c r="AD187" t="s">
        <v>48</v>
      </c>
    </row>
    <row r="188" spans="1:30" x14ac:dyDescent="0.35">
      <c r="A188" s="1" t="s">
        <v>30</v>
      </c>
      <c r="B188" t="s">
        <v>31</v>
      </c>
      <c r="C188" t="s">
        <v>285</v>
      </c>
      <c r="D188" t="s">
        <v>312</v>
      </c>
      <c r="E188" t="s">
        <v>313</v>
      </c>
      <c r="F188" t="s">
        <v>314</v>
      </c>
      <c r="G188" t="s">
        <v>315</v>
      </c>
      <c r="H188" t="s">
        <v>37</v>
      </c>
      <c r="I188" t="s">
        <v>103</v>
      </c>
      <c r="J188" t="s">
        <v>39</v>
      </c>
      <c r="K188" s="2">
        <v>46270</v>
      </c>
      <c r="L188" s="2">
        <v>46295</v>
      </c>
      <c r="N188" s="2">
        <v>46266</v>
      </c>
      <c r="O188" s="2">
        <v>46631</v>
      </c>
      <c r="P188">
        <v>12</v>
      </c>
      <c r="Q188" t="s">
        <v>65</v>
      </c>
      <c r="R188" t="s">
        <v>41</v>
      </c>
      <c r="S188" t="s">
        <v>280</v>
      </c>
      <c r="T188" t="s">
        <v>43</v>
      </c>
      <c r="U188" t="s">
        <v>56</v>
      </c>
      <c r="V188" t="s">
        <v>74</v>
      </c>
      <c r="W188" t="s">
        <v>161</v>
      </c>
      <c r="X188" t="s">
        <v>83</v>
      </c>
      <c r="Y188" s="3">
        <v>106941.29</v>
      </c>
      <c r="Z188" s="3">
        <v>37429.449999999997</v>
      </c>
      <c r="AA188">
        <v>0.35</v>
      </c>
      <c r="AB188" t="s">
        <v>39</v>
      </c>
      <c r="AC188" t="s">
        <v>39</v>
      </c>
      <c r="AD188" t="s">
        <v>48</v>
      </c>
    </row>
    <row r="189" spans="1:30" x14ac:dyDescent="0.35">
      <c r="A189" s="1" t="s">
        <v>30</v>
      </c>
      <c r="B189" t="s">
        <v>31</v>
      </c>
      <c r="C189" t="s">
        <v>285</v>
      </c>
      <c r="D189" t="s">
        <v>316</v>
      </c>
      <c r="E189" t="s">
        <v>317</v>
      </c>
      <c r="F189" t="s">
        <v>318</v>
      </c>
      <c r="G189" t="s">
        <v>319</v>
      </c>
      <c r="H189" t="s">
        <v>37</v>
      </c>
      <c r="I189" t="s">
        <v>103</v>
      </c>
      <c r="J189" t="s">
        <v>39</v>
      </c>
      <c r="K189" s="2">
        <v>46276</v>
      </c>
      <c r="L189" s="2">
        <v>46295</v>
      </c>
      <c r="N189" s="2">
        <v>46266</v>
      </c>
      <c r="O189" s="2">
        <v>46631</v>
      </c>
      <c r="P189">
        <v>12</v>
      </c>
      <c r="Q189" t="s">
        <v>40</v>
      </c>
      <c r="R189" t="s">
        <v>88</v>
      </c>
      <c r="S189" t="s">
        <v>135</v>
      </c>
      <c r="T189" t="s">
        <v>131</v>
      </c>
      <c r="U189" t="s">
        <v>44</v>
      </c>
      <c r="V189" t="s">
        <v>98</v>
      </c>
      <c r="W189" t="s">
        <v>132</v>
      </c>
      <c r="X189" t="s">
        <v>143</v>
      </c>
      <c r="Y189" s="3">
        <v>150172.57999999999</v>
      </c>
      <c r="Z189" s="3">
        <v>75086.289999999994</v>
      </c>
      <c r="AA189">
        <v>0.5</v>
      </c>
      <c r="AB189" t="s">
        <v>39</v>
      </c>
      <c r="AC189" t="s">
        <v>39</v>
      </c>
      <c r="AD189" t="s">
        <v>48</v>
      </c>
    </row>
    <row r="190" spans="1:30" x14ac:dyDescent="0.35">
      <c r="A190" s="1" t="s">
        <v>30</v>
      </c>
      <c r="B190" t="s">
        <v>31</v>
      </c>
      <c r="C190" t="s">
        <v>285</v>
      </c>
      <c r="D190" t="s">
        <v>320</v>
      </c>
      <c r="E190" t="s">
        <v>321</v>
      </c>
      <c r="F190" t="s">
        <v>322</v>
      </c>
      <c r="G190" t="s">
        <v>323</v>
      </c>
      <c r="H190" t="s">
        <v>37</v>
      </c>
      <c r="I190" t="s">
        <v>111</v>
      </c>
      <c r="J190" t="s">
        <v>39</v>
      </c>
      <c r="K190" s="2">
        <v>46278</v>
      </c>
      <c r="L190" s="2">
        <v>46295</v>
      </c>
      <c r="N190" s="2">
        <v>46266</v>
      </c>
      <c r="O190" s="2">
        <v>46631</v>
      </c>
      <c r="P190">
        <v>12</v>
      </c>
      <c r="Q190" t="s">
        <v>40</v>
      </c>
      <c r="R190" t="s">
        <v>41</v>
      </c>
      <c r="S190" t="s">
        <v>182</v>
      </c>
      <c r="T190" t="s">
        <v>97</v>
      </c>
      <c r="U190" t="s">
        <v>44</v>
      </c>
      <c r="V190" t="s">
        <v>144</v>
      </c>
      <c r="W190" t="s">
        <v>82</v>
      </c>
      <c r="X190" t="s">
        <v>91</v>
      </c>
      <c r="Y190" s="3">
        <v>203743.55</v>
      </c>
      <c r="Z190" s="3">
        <v>71310.240000000005</v>
      </c>
      <c r="AA190">
        <v>0.35</v>
      </c>
      <c r="AB190" t="s">
        <v>39</v>
      </c>
      <c r="AC190" t="s">
        <v>39</v>
      </c>
      <c r="AD190" t="s">
        <v>48</v>
      </c>
    </row>
    <row r="191" spans="1:30" x14ac:dyDescent="0.35">
      <c r="A191" s="1" t="s">
        <v>30</v>
      </c>
      <c r="B191" t="s">
        <v>31</v>
      </c>
      <c r="C191" t="s">
        <v>285</v>
      </c>
      <c r="D191" t="s">
        <v>324</v>
      </c>
      <c r="E191" t="s">
        <v>325</v>
      </c>
      <c r="F191" t="s">
        <v>326</v>
      </c>
      <c r="G191" t="s">
        <v>327</v>
      </c>
      <c r="H191" t="s">
        <v>37</v>
      </c>
      <c r="I191" t="s">
        <v>64</v>
      </c>
      <c r="J191" t="s">
        <v>39</v>
      </c>
      <c r="K191" s="2">
        <v>46276</v>
      </c>
      <c r="L191" s="2">
        <v>46295</v>
      </c>
      <c r="N191" s="2">
        <v>46266</v>
      </c>
      <c r="O191" s="2">
        <v>46631</v>
      </c>
      <c r="P191">
        <v>12</v>
      </c>
      <c r="Q191" t="s">
        <v>40</v>
      </c>
      <c r="R191" t="s">
        <v>41</v>
      </c>
      <c r="S191" t="s">
        <v>182</v>
      </c>
      <c r="T191" t="s">
        <v>97</v>
      </c>
      <c r="U191" t="s">
        <v>56</v>
      </c>
      <c r="V191" t="s">
        <v>98</v>
      </c>
      <c r="W191" t="s">
        <v>142</v>
      </c>
      <c r="X191" t="s">
        <v>47</v>
      </c>
      <c r="Y191" s="3">
        <v>180660.9</v>
      </c>
      <c r="Z191" s="3">
        <v>117429.59</v>
      </c>
      <c r="AA191">
        <v>0.65</v>
      </c>
      <c r="AB191" t="s">
        <v>39</v>
      </c>
      <c r="AC191" t="s">
        <v>39</v>
      </c>
      <c r="AD191" t="s">
        <v>48</v>
      </c>
    </row>
    <row r="192" spans="1:30" x14ac:dyDescent="0.35">
      <c r="A192" s="1" t="s">
        <v>30</v>
      </c>
      <c r="B192" t="s">
        <v>31</v>
      </c>
      <c r="C192" t="s">
        <v>285</v>
      </c>
      <c r="D192" t="s">
        <v>2095</v>
      </c>
      <c r="E192" t="s">
        <v>2096</v>
      </c>
      <c r="F192" t="s">
        <v>2097</v>
      </c>
      <c r="G192" t="s">
        <v>2098</v>
      </c>
      <c r="H192" t="s">
        <v>1271</v>
      </c>
      <c r="I192" t="s">
        <v>38</v>
      </c>
      <c r="J192" t="s">
        <v>39</v>
      </c>
      <c r="K192" s="2">
        <v>46269</v>
      </c>
      <c r="L192" s="2">
        <v>46295</v>
      </c>
      <c r="N192" s="2">
        <v>46266</v>
      </c>
      <c r="O192" s="2">
        <v>46997</v>
      </c>
      <c r="P192">
        <v>24</v>
      </c>
      <c r="Q192" t="s">
        <v>40</v>
      </c>
      <c r="R192" t="s">
        <v>88</v>
      </c>
      <c r="S192" t="s">
        <v>96</v>
      </c>
      <c r="T192" t="s">
        <v>97</v>
      </c>
      <c r="U192" t="s">
        <v>106</v>
      </c>
      <c r="V192" t="s">
        <v>217</v>
      </c>
      <c r="W192" t="s">
        <v>142</v>
      </c>
      <c r="X192" t="s">
        <v>125</v>
      </c>
      <c r="Y192" s="3">
        <v>140793.68</v>
      </c>
      <c r="Z192" s="3">
        <v>49277.79</v>
      </c>
      <c r="AA192">
        <v>0.35</v>
      </c>
      <c r="AB192" t="s">
        <v>39</v>
      </c>
      <c r="AC192" t="s">
        <v>39</v>
      </c>
      <c r="AD192" t="s">
        <v>48</v>
      </c>
    </row>
    <row r="193" spans="1:30" x14ac:dyDescent="0.35">
      <c r="A193" s="1" t="s">
        <v>30</v>
      </c>
      <c r="B193" t="s">
        <v>31</v>
      </c>
      <c r="C193" t="s">
        <v>285</v>
      </c>
      <c r="D193" t="s">
        <v>2099</v>
      </c>
      <c r="E193" t="s">
        <v>2100</v>
      </c>
      <c r="F193" t="s">
        <v>2101</v>
      </c>
      <c r="G193" t="s">
        <v>2102</v>
      </c>
      <c r="H193" t="s">
        <v>1271</v>
      </c>
      <c r="I193" t="s">
        <v>103</v>
      </c>
      <c r="J193" t="s">
        <v>39</v>
      </c>
      <c r="K193" s="2">
        <v>46276</v>
      </c>
      <c r="L193" s="2">
        <v>46295</v>
      </c>
      <c r="N193" s="2">
        <v>46266</v>
      </c>
      <c r="O193" s="2">
        <v>46997</v>
      </c>
      <c r="P193">
        <v>24</v>
      </c>
      <c r="Q193" t="s">
        <v>40</v>
      </c>
      <c r="R193" t="s">
        <v>53</v>
      </c>
      <c r="S193" t="s">
        <v>137</v>
      </c>
      <c r="T193" t="s">
        <v>97</v>
      </c>
      <c r="U193" t="s">
        <v>56</v>
      </c>
      <c r="V193" t="s">
        <v>57</v>
      </c>
      <c r="W193" t="s">
        <v>90</v>
      </c>
      <c r="X193" t="s">
        <v>143</v>
      </c>
      <c r="Y193" s="3">
        <v>90700.33</v>
      </c>
      <c r="Z193" s="3">
        <v>58955.21</v>
      </c>
      <c r="AA193">
        <v>0.65</v>
      </c>
      <c r="AB193" t="s">
        <v>39</v>
      </c>
      <c r="AC193" t="s">
        <v>39</v>
      </c>
      <c r="AD193" t="s">
        <v>48</v>
      </c>
    </row>
    <row r="194" spans="1:30" x14ac:dyDescent="0.35">
      <c r="A194" s="1" t="s">
        <v>30</v>
      </c>
      <c r="B194" t="s">
        <v>31</v>
      </c>
      <c r="C194" t="s">
        <v>285</v>
      </c>
      <c r="D194" t="s">
        <v>2103</v>
      </c>
      <c r="E194" t="s">
        <v>2104</v>
      </c>
      <c r="F194" t="s">
        <v>1019</v>
      </c>
      <c r="G194" t="s">
        <v>1020</v>
      </c>
      <c r="H194" t="s">
        <v>1271</v>
      </c>
      <c r="I194" t="s">
        <v>64</v>
      </c>
      <c r="J194" t="s">
        <v>39</v>
      </c>
      <c r="K194" s="2">
        <v>46278</v>
      </c>
      <c r="L194" s="2">
        <v>46295</v>
      </c>
      <c r="N194" s="2">
        <v>46266</v>
      </c>
      <c r="O194" s="2">
        <v>46997</v>
      </c>
      <c r="P194">
        <v>24</v>
      </c>
      <c r="Q194" t="s">
        <v>104</v>
      </c>
      <c r="R194" t="s">
        <v>41</v>
      </c>
      <c r="S194" t="s">
        <v>151</v>
      </c>
      <c r="T194" t="s">
        <v>131</v>
      </c>
      <c r="U194" t="s">
        <v>56</v>
      </c>
      <c r="V194" t="s">
        <v>45</v>
      </c>
      <c r="W194" t="s">
        <v>132</v>
      </c>
      <c r="X194" t="s">
        <v>59</v>
      </c>
      <c r="Y194" s="3">
        <v>138879.65</v>
      </c>
      <c r="Z194" s="3">
        <v>48607.88</v>
      </c>
      <c r="AA194">
        <v>0.35</v>
      </c>
      <c r="AB194" t="s">
        <v>39</v>
      </c>
      <c r="AC194" t="s">
        <v>39</v>
      </c>
      <c r="AD194" t="s">
        <v>48</v>
      </c>
    </row>
    <row r="195" spans="1:30" x14ac:dyDescent="0.35">
      <c r="A195" s="1" t="s">
        <v>30</v>
      </c>
      <c r="B195" t="s">
        <v>31</v>
      </c>
      <c r="C195" t="s">
        <v>285</v>
      </c>
      <c r="D195" t="s">
        <v>2105</v>
      </c>
      <c r="E195" t="s">
        <v>2106</v>
      </c>
      <c r="F195" t="s">
        <v>2107</v>
      </c>
      <c r="G195" t="s">
        <v>2108</v>
      </c>
      <c r="H195" t="s">
        <v>1271</v>
      </c>
      <c r="I195" t="s">
        <v>38</v>
      </c>
      <c r="J195" t="s">
        <v>39</v>
      </c>
      <c r="K195" s="2">
        <v>46272</v>
      </c>
      <c r="L195" s="2">
        <v>46295</v>
      </c>
      <c r="N195" s="2">
        <v>46266</v>
      </c>
      <c r="O195" s="2">
        <v>46631</v>
      </c>
      <c r="P195">
        <v>12</v>
      </c>
      <c r="Q195" t="s">
        <v>65</v>
      </c>
      <c r="R195" t="s">
        <v>41</v>
      </c>
      <c r="S195" t="s">
        <v>66</v>
      </c>
      <c r="T195" t="s">
        <v>55</v>
      </c>
      <c r="U195" t="s">
        <v>56</v>
      </c>
      <c r="V195" t="s">
        <v>57</v>
      </c>
      <c r="W195" t="s">
        <v>136</v>
      </c>
      <c r="X195" t="s">
        <v>59</v>
      </c>
      <c r="Y195" s="3">
        <v>144858.42000000001</v>
      </c>
      <c r="Z195" s="3">
        <v>50700.45</v>
      </c>
      <c r="AA195">
        <v>0.35</v>
      </c>
      <c r="AB195" t="s">
        <v>39</v>
      </c>
      <c r="AC195" t="s">
        <v>39</v>
      </c>
      <c r="AD195" t="s">
        <v>48</v>
      </c>
    </row>
    <row r="196" spans="1:30" x14ac:dyDescent="0.35">
      <c r="A196" s="1" t="s">
        <v>30</v>
      </c>
      <c r="B196" t="s">
        <v>31</v>
      </c>
      <c r="C196" t="s">
        <v>285</v>
      </c>
      <c r="D196" t="s">
        <v>2109</v>
      </c>
      <c r="E196" t="s">
        <v>2110</v>
      </c>
      <c r="F196" t="s">
        <v>2111</v>
      </c>
      <c r="G196" t="s">
        <v>2112</v>
      </c>
      <c r="H196" t="s">
        <v>1271</v>
      </c>
      <c r="I196" t="s">
        <v>103</v>
      </c>
      <c r="J196" t="s">
        <v>39</v>
      </c>
      <c r="K196" s="2">
        <v>46272</v>
      </c>
      <c r="L196" s="2">
        <v>46295</v>
      </c>
      <c r="N196" s="2">
        <v>46266</v>
      </c>
      <c r="O196" s="2">
        <v>46631</v>
      </c>
      <c r="P196">
        <v>12</v>
      </c>
      <c r="Q196" t="s">
        <v>65</v>
      </c>
      <c r="R196" t="s">
        <v>41</v>
      </c>
      <c r="S196" t="s">
        <v>42</v>
      </c>
      <c r="T196" t="s">
        <v>43</v>
      </c>
      <c r="U196" t="s">
        <v>44</v>
      </c>
      <c r="V196" t="s">
        <v>57</v>
      </c>
      <c r="W196" t="s">
        <v>120</v>
      </c>
      <c r="X196" t="s">
        <v>47</v>
      </c>
      <c r="Y196" s="3">
        <v>146964.03</v>
      </c>
      <c r="Z196" s="3">
        <v>95526.62</v>
      </c>
      <c r="AA196">
        <v>0.65</v>
      </c>
      <c r="AB196" t="s">
        <v>39</v>
      </c>
      <c r="AC196" t="s">
        <v>39</v>
      </c>
      <c r="AD196" t="s">
        <v>48</v>
      </c>
    </row>
    <row r="197" spans="1:30" x14ac:dyDescent="0.35">
      <c r="A197" s="1" t="s">
        <v>30</v>
      </c>
      <c r="B197" t="s">
        <v>31</v>
      </c>
      <c r="C197" t="s">
        <v>285</v>
      </c>
      <c r="D197" t="s">
        <v>2113</v>
      </c>
      <c r="E197" t="s">
        <v>2114</v>
      </c>
      <c r="F197" t="s">
        <v>1917</v>
      </c>
      <c r="G197" t="s">
        <v>1918</v>
      </c>
      <c r="H197" t="s">
        <v>1271</v>
      </c>
      <c r="I197" t="s">
        <v>117</v>
      </c>
      <c r="J197" t="s">
        <v>39</v>
      </c>
      <c r="K197" s="2">
        <v>46274</v>
      </c>
      <c r="L197" s="2">
        <v>46295</v>
      </c>
      <c r="N197" s="2">
        <v>46266</v>
      </c>
      <c r="O197" s="2">
        <v>46631</v>
      </c>
      <c r="P197">
        <v>12</v>
      </c>
      <c r="Q197" t="s">
        <v>104</v>
      </c>
      <c r="R197" t="s">
        <v>88</v>
      </c>
      <c r="S197" t="s">
        <v>96</v>
      </c>
      <c r="T197" t="s">
        <v>97</v>
      </c>
      <c r="U197" t="s">
        <v>56</v>
      </c>
      <c r="V197" t="s">
        <v>57</v>
      </c>
      <c r="W197" t="s">
        <v>150</v>
      </c>
      <c r="X197" t="s">
        <v>125</v>
      </c>
      <c r="Y197" s="3">
        <v>131614.1</v>
      </c>
      <c r="Z197" s="3">
        <v>85549.17</v>
      </c>
      <c r="AA197">
        <v>0.65</v>
      </c>
      <c r="AB197" t="s">
        <v>39</v>
      </c>
      <c r="AC197" t="s">
        <v>39</v>
      </c>
      <c r="AD197" t="s">
        <v>48</v>
      </c>
    </row>
    <row r="198" spans="1:30" x14ac:dyDescent="0.35">
      <c r="A198" s="1" t="s">
        <v>30</v>
      </c>
      <c r="B198" t="s">
        <v>31</v>
      </c>
      <c r="C198" t="s">
        <v>285</v>
      </c>
      <c r="D198" t="s">
        <v>2115</v>
      </c>
      <c r="E198" t="s">
        <v>2116</v>
      </c>
      <c r="F198" t="s">
        <v>2117</v>
      </c>
      <c r="G198" t="s">
        <v>2118</v>
      </c>
      <c r="H198" t="s">
        <v>1271</v>
      </c>
      <c r="I198" t="s">
        <v>38</v>
      </c>
      <c r="J198" t="s">
        <v>39</v>
      </c>
      <c r="K198" s="2">
        <v>46274</v>
      </c>
      <c r="L198" s="2">
        <v>46295</v>
      </c>
      <c r="N198" s="2">
        <v>46266</v>
      </c>
      <c r="O198" s="2">
        <v>47362</v>
      </c>
      <c r="P198">
        <v>36</v>
      </c>
      <c r="Q198" t="s">
        <v>40</v>
      </c>
      <c r="R198" t="s">
        <v>41</v>
      </c>
      <c r="S198" t="s">
        <v>135</v>
      </c>
      <c r="T198" t="s">
        <v>131</v>
      </c>
      <c r="U198" t="s">
        <v>44</v>
      </c>
      <c r="V198" t="s">
        <v>67</v>
      </c>
      <c r="W198" t="s">
        <v>161</v>
      </c>
      <c r="X198" t="s">
        <v>91</v>
      </c>
      <c r="Y198" s="3">
        <v>128402.78</v>
      </c>
      <c r="Z198" s="3">
        <v>102722.23</v>
      </c>
      <c r="AA198">
        <v>0.8</v>
      </c>
      <c r="AB198" t="s">
        <v>39</v>
      </c>
      <c r="AC198" t="s">
        <v>39</v>
      </c>
      <c r="AD198" t="s">
        <v>48</v>
      </c>
    </row>
    <row r="199" spans="1:30" x14ac:dyDescent="0.35">
      <c r="A199" s="1" t="s">
        <v>30</v>
      </c>
      <c r="B199" t="s">
        <v>31</v>
      </c>
      <c r="C199" t="s">
        <v>285</v>
      </c>
      <c r="D199" t="s">
        <v>2119</v>
      </c>
      <c r="E199" t="s">
        <v>2120</v>
      </c>
      <c r="F199" t="s">
        <v>220</v>
      </c>
      <c r="G199" t="s">
        <v>221</v>
      </c>
      <c r="H199" t="s">
        <v>1290</v>
      </c>
      <c r="I199" t="s">
        <v>111</v>
      </c>
      <c r="J199" t="s">
        <v>1290</v>
      </c>
      <c r="K199" s="2">
        <v>46270</v>
      </c>
      <c r="L199" s="2">
        <v>46295</v>
      </c>
      <c r="N199" s="2">
        <v>46266</v>
      </c>
      <c r="O199" s="2">
        <v>46631</v>
      </c>
      <c r="P199">
        <v>12</v>
      </c>
      <c r="Q199" t="s">
        <v>104</v>
      </c>
      <c r="R199" t="s">
        <v>88</v>
      </c>
      <c r="S199" t="s">
        <v>118</v>
      </c>
      <c r="T199" t="s">
        <v>97</v>
      </c>
      <c r="U199" t="s">
        <v>44</v>
      </c>
      <c r="V199" t="s">
        <v>138</v>
      </c>
      <c r="W199" t="s">
        <v>132</v>
      </c>
      <c r="X199" t="s">
        <v>125</v>
      </c>
      <c r="Y199" s="3">
        <v>128049.27</v>
      </c>
      <c r="Z199" s="3">
        <v>44817.25</v>
      </c>
      <c r="AA199">
        <v>0.35</v>
      </c>
      <c r="AB199" t="s">
        <v>1290</v>
      </c>
      <c r="AC199" t="s">
        <v>1290</v>
      </c>
      <c r="AD199" t="s">
        <v>48</v>
      </c>
    </row>
    <row r="200" spans="1:30" x14ac:dyDescent="0.35">
      <c r="A200" s="1" t="s">
        <v>30</v>
      </c>
      <c r="B200" t="s">
        <v>31</v>
      </c>
      <c r="C200" t="s">
        <v>285</v>
      </c>
      <c r="D200" t="s">
        <v>2121</v>
      </c>
      <c r="E200" t="s">
        <v>2122</v>
      </c>
      <c r="F200" t="s">
        <v>2123</v>
      </c>
      <c r="G200" t="s">
        <v>2124</v>
      </c>
      <c r="H200" t="s">
        <v>1290</v>
      </c>
      <c r="I200" t="s">
        <v>38</v>
      </c>
      <c r="J200" t="s">
        <v>1290</v>
      </c>
      <c r="K200" s="2">
        <v>46278</v>
      </c>
      <c r="L200" s="2">
        <v>46295</v>
      </c>
      <c r="N200" s="2">
        <v>46266</v>
      </c>
      <c r="O200" s="2">
        <v>46631</v>
      </c>
      <c r="P200">
        <v>12</v>
      </c>
      <c r="Q200" t="s">
        <v>40</v>
      </c>
      <c r="R200" t="s">
        <v>53</v>
      </c>
      <c r="S200" t="s">
        <v>89</v>
      </c>
      <c r="T200" t="s">
        <v>55</v>
      </c>
      <c r="U200" t="s">
        <v>44</v>
      </c>
      <c r="V200" t="s">
        <v>81</v>
      </c>
      <c r="W200" t="s">
        <v>142</v>
      </c>
      <c r="X200" t="s">
        <v>83</v>
      </c>
      <c r="Y200" s="3">
        <v>143354.60999999999</v>
      </c>
      <c r="Z200" s="3">
        <v>114683.69</v>
      </c>
      <c r="AA200">
        <v>0.8</v>
      </c>
      <c r="AB200" t="s">
        <v>1290</v>
      </c>
      <c r="AC200" t="s">
        <v>1290</v>
      </c>
      <c r="AD200" t="s">
        <v>48</v>
      </c>
    </row>
    <row r="201" spans="1:30" x14ac:dyDescent="0.35">
      <c r="A201" s="1" t="s">
        <v>30</v>
      </c>
      <c r="B201" t="s">
        <v>31</v>
      </c>
      <c r="C201" t="s">
        <v>285</v>
      </c>
      <c r="D201" t="s">
        <v>2125</v>
      </c>
      <c r="E201" t="s">
        <v>2126</v>
      </c>
      <c r="F201" t="s">
        <v>2127</v>
      </c>
      <c r="G201" t="s">
        <v>2128</v>
      </c>
      <c r="H201" t="s">
        <v>1290</v>
      </c>
      <c r="I201" t="s">
        <v>117</v>
      </c>
      <c r="J201" t="s">
        <v>1290</v>
      </c>
      <c r="K201" s="2">
        <v>46278</v>
      </c>
      <c r="L201" s="2">
        <v>46295</v>
      </c>
      <c r="N201" s="2">
        <v>46266</v>
      </c>
      <c r="O201" s="2">
        <v>46631</v>
      </c>
      <c r="P201">
        <v>12</v>
      </c>
      <c r="Q201" t="s">
        <v>40</v>
      </c>
      <c r="R201" t="s">
        <v>41</v>
      </c>
      <c r="S201" t="s">
        <v>149</v>
      </c>
      <c r="T201" t="s">
        <v>131</v>
      </c>
      <c r="U201" t="s">
        <v>44</v>
      </c>
      <c r="V201" t="s">
        <v>98</v>
      </c>
      <c r="W201" t="s">
        <v>132</v>
      </c>
      <c r="X201" t="s">
        <v>143</v>
      </c>
      <c r="Y201" s="3">
        <v>152632.10999999999</v>
      </c>
      <c r="Z201" s="3">
        <v>99210.87</v>
      </c>
      <c r="AA201">
        <v>0.65</v>
      </c>
      <c r="AB201" t="s">
        <v>1290</v>
      </c>
      <c r="AC201" t="s">
        <v>1290</v>
      </c>
      <c r="AD201" t="s">
        <v>48</v>
      </c>
    </row>
    <row r="202" spans="1:30" x14ac:dyDescent="0.35">
      <c r="A202" s="1" t="s">
        <v>30</v>
      </c>
      <c r="B202" t="s">
        <v>31</v>
      </c>
      <c r="C202" t="s">
        <v>285</v>
      </c>
      <c r="D202" t="s">
        <v>2129</v>
      </c>
      <c r="E202" t="s">
        <v>2130</v>
      </c>
      <c r="F202" t="s">
        <v>2131</v>
      </c>
      <c r="G202" t="s">
        <v>2132</v>
      </c>
      <c r="H202" t="s">
        <v>1295</v>
      </c>
      <c r="I202" t="s">
        <v>103</v>
      </c>
      <c r="J202" t="s">
        <v>1295</v>
      </c>
      <c r="K202" s="2">
        <v>46270</v>
      </c>
      <c r="L202" s="2">
        <v>46295</v>
      </c>
      <c r="N202" s="2">
        <v>46266</v>
      </c>
      <c r="O202" s="2">
        <v>46631</v>
      </c>
      <c r="P202">
        <v>12</v>
      </c>
      <c r="Q202" t="s">
        <v>40</v>
      </c>
      <c r="R202" t="s">
        <v>53</v>
      </c>
      <c r="S202" t="s">
        <v>164</v>
      </c>
      <c r="T202" t="s">
        <v>55</v>
      </c>
      <c r="U202" t="s">
        <v>44</v>
      </c>
      <c r="V202" t="s">
        <v>119</v>
      </c>
      <c r="W202" t="s">
        <v>82</v>
      </c>
      <c r="X202" t="s">
        <v>143</v>
      </c>
      <c r="Y202" s="3">
        <v>127253.14</v>
      </c>
      <c r="Z202" s="3">
        <v>44538.6</v>
      </c>
      <c r="AA202">
        <v>0.35</v>
      </c>
      <c r="AB202" t="s">
        <v>1295</v>
      </c>
      <c r="AC202" t="s">
        <v>1295</v>
      </c>
      <c r="AD202" t="s">
        <v>48</v>
      </c>
    </row>
    <row r="203" spans="1:30" x14ac:dyDescent="0.35">
      <c r="A203" s="1" t="s">
        <v>30</v>
      </c>
      <c r="B203" t="s">
        <v>31</v>
      </c>
      <c r="C203" t="s">
        <v>285</v>
      </c>
      <c r="D203" t="s">
        <v>2133</v>
      </c>
      <c r="E203" t="s">
        <v>2134</v>
      </c>
      <c r="F203" t="s">
        <v>1217</v>
      </c>
      <c r="G203" t="s">
        <v>1218</v>
      </c>
      <c r="H203" t="s">
        <v>1295</v>
      </c>
      <c r="I203" t="s">
        <v>38</v>
      </c>
      <c r="J203" t="s">
        <v>1295</v>
      </c>
      <c r="K203" s="2">
        <v>46277</v>
      </c>
      <c r="L203" s="2">
        <v>46295</v>
      </c>
      <c r="N203" s="2">
        <v>46266</v>
      </c>
      <c r="O203" s="2">
        <v>46631</v>
      </c>
      <c r="P203">
        <v>12</v>
      </c>
      <c r="Q203" t="s">
        <v>65</v>
      </c>
      <c r="R203" t="s">
        <v>41</v>
      </c>
      <c r="S203" t="s">
        <v>182</v>
      </c>
      <c r="T203" t="s">
        <v>97</v>
      </c>
      <c r="U203" t="s">
        <v>56</v>
      </c>
      <c r="V203" t="s">
        <v>98</v>
      </c>
      <c r="W203" t="s">
        <v>90</v>
      </c>
      <c r="X203" t="s">
        <v>158</v>
      </c>
      <c r="Y203" s="3">
        <v>207558.83</v>
      </c>
      <c r="Z203" s="3">
        <v>72645.59</v>
      </c>
      <c r="AA203">
        <v>0.35</v>
      </c>
      <c r="AB203" t="s">
        <v>1295</v>
      </c>
      <c r="AC203" t="s">
        <v>1295</v>
      </c>
      <c r="AD203" t="s">
        <v>48</v>
      </c>
    </row>
    <row r="204" spans="1:30" x14ac:dyDescent="0.35">
      <c r="A204" s="1" t="s">
        <v>30</v>
      </c>
      <c r="B204" t="s">
        <v>31</v>
      </c>
      <c r="C204" t="s">
        <v>285</v>
      </c>
      <c r="D204" t="s">
        <v>2135</v>
      </c>
      <c r="E204" t="s">
        <v>2136</v>
      </c>
      <c r="F204" t="s">
        <v>2137</v>
      </c>
      <c r="G204" t="s">
        <v>2138</v>
      </c>
      <c r="H204" t="s">
        <v>1295</v>
      </c>
      <c r="I204" t="s">
        <v>117</v>
      </c>
      <c r="J204" t="s">
        <v>1295</v>
      </c>
      <c r="K204" s="2">
        <v>46267</v>
      </c>
      <c r="L204" s="2">
        <v>46295</v>
      </c>
      <c r="N204" s="2">
        <v>46266</v>
      </c>
      <c r="O204" s="2">
        <v>46631</v>
      </c>
      <c r="P204">
        <v>12</v>
      </c>
      <c r="Q204" t="s">
        <v>40</v>
      </c>
      <c r="R204" t="s">
        <v>88</v>
      </c>
      <c r="S204" t="s">
        <v>130</v>
      </c>
      <c r="T204" t="s">
        <v>131</v>
      </c>
      <c r="U204" t="s">
        <v>56</v>
      </c>
      <c r="V204" t="s">
        <v>57</v>
      </c>
      <c r="W204" t="s">
        <v>132</v>
      </c>
      <c r="X204" t="s">
        <v>68</v>
      </c>
      <c r="Y204" s="3">
        <v>184323.58</v>
      </c>
      <c r="Z204" s="3">
        <v>119810.33</v>
      </c>
      <c r="AA204">
        <v>0.65</v>
      </c>
      <c r="AB204" t="s">
        <v>1295</v>
      </c>
      <c r="AC204" t="s">
        <v>1295</v>
      </c>
      <c r="AD204" t="s">
        <v>48</v>
      </c>
    </row>
    <row r="205" spans="1:30" x14ac:dyDescent="0.35">
      <c r="A205" s="1" t="s">
        <v>30</v>
      </c>
      <c r="B205" t="s">
        <v>31</v>
      </c>
      <c r="C205" t="s">
        <v>285</v>
      </c>
      <c r="D205" t="s">
        <v>2139</v>
      </c>
      <c r="E205" t="s">
        <v>2140</v>
      </c>
      <c r="F205" t="s">
        <v>2141</v>
      </c>
      <c r="G205" t="s">
        <v>2142</v>
      </c>
      <c r="H205" t="s">
        <v>1295</v>
      </c>
      <c r="I205" t="s">
        <v>117</v>
      </c>
      <c r="J205" t="s">
        <v>1295</v>
      </c>
      <c r="K205" s="2">
        <v>46269</v>
      </c>
      <c r="L205" s="2">
        <v>46295</v>
      </c>
      <c r="N205" s="2">
        <v>46266</v>
      </c>
      <c r="O205" s="2">
        <v>46631</v>
      </c>
      <c r="P205">
        <v>12</v>
      </c>
      <c r="Q205" t="s">
        <v>104</v>
      </c>
      <c r="R205" t="s">
        <v>53</v>
      </c>
      <c r="S205" t="s">
        <v>140</v>
      </c>
      <c r="T205" t="s">
        <v>97</v>
      </c>
      <c r="U205" t="s">
        <v>44</v>
      </c>
      <c r="V205" t="s">
        <v>67</v>
      </c>
      <c r="W205" t="s">
        <v>150</v>
      </c>
      <c r="X205" t="s">
        <v>68</v>
      </c>
      <c r="Y205" s="3">
        <v>186370.45</v>
      </c>
      <c r="Z205" s="3">
        <v>121140.79</v>
      </c>
      <c r="AA205">
        <v>0.65</v>
      </c>
      <c r="AB205" t="s">
        <v>1295</v>
      </c>
      <c r="AC205" t="s">
        <v>1295</v>
      </c>
      <c r="AD205" t="s">
        <v>48</v>
      </c>
    </row>
    <row r="206" spans="1:30" x14ac:dyDescent="0.35">
      <c r="A206" s="1" t="s">
        <v>30</v>
      </c>
      <c r="B206" t="s">
        <v>31</v>
      </c>
      <c r="C206" t="s">
        <v>285</v>
      </c>
      <c r="D206" t="s">
        <v>2143</v>
      </c>
      <c r="E206" t="s">
        <v>2144</v>
      </c>
      <c r="F206" t="s">
        <v>2145</v>
      </c>
      <c r="G206" t="s">
        <v>2146</v>
      </c>
      <c r="H206" t="s">
        <v>1302</v>
      </c>
      <c r="I206" t="s">
        <v>111</v>
      </c>
      <c r="J206" t="s">
        <v>39</v>
      </c>
      <c r="K206" s="2">
        <v>46274</v>
      </c>
      <c r="L206" s="2">
        <v>46295</v>
      </c>
      <c r="N206" s="2">
        <v>46266</v>
      </c>
      <c r="O206" s="2">
        <v>46631</v>
      </c>
      <c r="P206">
        <v>12</v>
      </c>
      <c r="Q206" t="s">
        <v>40</v>
      </c>
      <c r="R206" t="s">
        <v>53</v>
      </c>
      <c r="S206" t="s">
        <v>80</v>
      </c>
      <c r="T206" t="s">
        <v>43</v>
      </c>
      <c r="U206" t="s">
        <v>44</v>
      </c>
      <c r="V206" t="s">
        <v>138</v>
      </c>
      <c r="W206" t="s">
        <v>136</v>
      </c>
      <c r="X206" t="s">
        <v>68</v>
      </c>
      <c r="Y206" s="3">
        <v>146313.60000000001</v>
      </c>
      <c r="Z206" s="3">
        <v>117050.88</v>
      </c>
      <c r="AA206">
        <v>0.8</v>
      </c>
      <c r="AB206" t="s">
        <v>39</v>
      </c>
      <c r="AC206" t="s">
        <v>39</v>
      </c>
      <c r="AD206" t="s">
        <v>48</v>
      </c>
    </row>
    <row r="207" spans="1:30" x14ac:dyDescent="0.35">
      <c r="A207" s="1" t="s">
        <v>30</v>
      </c>
      <c r="B207" t="s">
        <v>31</v>
      </c>
      <c r="C207" t="s">
        <v>285</v>
      </c>
      <c r="D207" t="s">
        <v>2147</v>
      </c>
      <c r="E207" t="s">
        <v>2148</v>
      </c>
      <c r="F207" t="s">
        <v>154</v>
      </c>
      <c r="G207" t="s">
        <v>155</v>
      </c>
      <c r="H207" t="s">
        <v>1302</v>
      </c>
      <c r="I207" t="s">
        <v>111</v>
      </c>
      <c r="J207" t="s">
        <v>39</v>
      </c>
      <c r="K207" s="2">
        <v>46275</v>
      </c>
      <c r="L207" s="2">
        <v>46295</v>
      </c>
      <c r="N207" s="2">
        <v>46266</v>
      </c>
      <c r="O207" s="2">
        <v>46997</v>
      </c>
      <c r="P207">
        <v>24</v>
      </c>
      <c r="Q207" t="s">
        <v>65</v>
      </c>
      <c r="R207" t="s">
        <v>53</v>
      </c>
      <c r="S207" t="s">
        <v>73</v>
      </c>
      <c r="T207" t="s">
        <v>43</v>
      </c>
      <c r="U207" t="s">
        <v>44</v>
      </c>
      <c r="V207" t="s">
        <v>74</v>
      </c>
      <c r="W207" t="s">
        <v>132</v>
      </c>
      <c r="X207" t="s">
        <v>143</v>
      </c>
      <c r="Y207" s="3">
        <v>101403.99</v>
      </c>
      <c r="Z207" s="3">
        <v>81123.19</v>
      </c>
      <c r="AA207">
        <v>0.8</v>
      </c>
      <c r="AB207" t="s">
        <v>39</v>
      </c>
      <c r="AC207" t="s">
        <v>39</v>
      </c>
      <c r="AD207" t="s">
        <v>48</v>
      </c>
    </row>
    <row r="208" spans="1:30" x14ac:dyDescent="0.35">
      <c r="A208" s="1" t="s">
        <v>30</v>
      </c>
      <c r="B208" t="s">
        <v>31</v>
      </c>
      <c r="C208" t="s">
        <v>285</v>
      </c>
      <c r="D208" t="s">
        <v>2149</v>
      </c>
      <c r="E208" t="s">
        <v>2150</v>
      </c>
      <c r="F208" t="s">
        <v>965</v>
      </c>
      <c r="G208" t="s">
        <v>966</v>
      </c>
      <c r="H208" t="s">
        <v>1302</v>
      </c>
      <c r="I208" t="s">
        <v>38</v>
      </c>
      <c r="J208" t="s">
        <v>39</v>
      </c>
      <c r="K208" s="2">
        <v>46272</v>
      </c>
      <c r="L208" s="2">
        <v>46295</v>
      </c>
      <c r="N208" s="2">
        <v>46266</v>
      </c>
      <c r="O208" s="2">
        <v>46631</v>
      </c>
      <c r="P208">
        <v>12</v>
      </c>
      <c r="Q208" t="s">
        <v>65</v>
      </c>
      <c r="R208" t="s">
        <v>53</v>
      </c>
      <c r="S208" t="s">
        <v>42</v>
      </c>
      <c r="T208" t="s">
        <v>43</v>
      </c>
      <c r="U208" t="s">
        <v>106</v>
      </c>
      <c r="V208" t="s">
        <v>217</v>
      </c>
      <c r="W208" t="s">
        <v>132</v>
      </c>
      <c r="X208" t="s">
        <v>91</v>
      </c>
      <c r="Y208" s="3">
        <v>134643.41</v>
      </c>
      <c r="Z208" s="3">
        <v>87518.22</v>
      </c>
      <c r="AA208">
        <v>0.65</v>
      </c>
      <c r="AB208" t="s">
        <v>39</v>
      </c>
      <c r="AC208" t="s">
        <v>39</v>
      </c>
      <c r="AD208" t="s">
        <v>48</v>
      </c>
    </row>
    <row r="209" spans="1:30" x14ac:dyDescent="0.35">
      <c r="A209" s="1" t="s">
        <v>30</v>
      </c>
      <c r="B209" t="s">
        <v>31</v>
      </c>
      <c r="C209" t="s">
        <v>348</v>
      </c>
      <c r="D209" t="s">
        <v>349</v>
      </c>
      <c r="E209" t="s">
        <v>350</v>
      </c>
      <c r="F209" t="s">
        <v>351</v>
      </c>
      <c r="G209" t="s">
        <v>352</v>
      </c>
      <c r="H209" t="s">
        <v>37</v>
      </c>
      <c r="I209" t="s">
        <v>64</v>
      </c>
      <c r="J209" t="s">
        <v>39</v>
      </c>
      <c r="K209" s="2">
        <v>46305</v>
      </c>
      <c r="L209" s="2">
        <v>46326</v>
      </c>
      <c r="N209" s="2">
        <v>46296</v>
      </c>
      <c r="O209" s="2">
        <v>46661</v>
      </c>
      <c r="P209">
        <v>12</v>
      </c>
      <c r="Q209" t="s">
        <v>104</v>
      </c>
      <c r="R209" t="s">
        <v>53</v>
      </c>
      <c r="S209" t="s">
        <v>162</v>
      </c>
      <c r="T209" t="s">
        <v>43</v>
      </c>
      <c r="U209" t="s">
        <v>106</v>
      </c>
      <c r="V209" t="s">
        <v>217</v>
      </c>
      <c r="W209" t="s">
        <v>142</v>
      </c>
      <c r="X209" t="s">
        <v>158</v>
      </c>
      <c r="Y209" s="3">
        <v>153532.01</v>
      </c>
      <c r="Z209" s="3">
        <v>53736.2</v>
      </c>
      <c r="AA209">
        <v>0.35</v>
      </c>
      <c r="AB209" t="s">
        <v>39</v>
      </c>
      <c r="AC209" t="s">
        <v>39</v>
      </c>
      <c r="AD209" t="s">
        <v>48</v>
      </c>
    </row>
    <row r="210" spans="1:30" x14ac:dyDescent="0.35">
      <c r="A210" s="1" t="s">
        <v>30</v>
      </c>
      <c r="B210" t="s">
        <v>31</v>
      </c>
      <c r="C210" t="s">
        <v>348</v>
      </c>
      <c r="D210" t="s">
        <v>353</v>
      </c>
      <c r="E210" t="s">
        <v>354</v>
      </c>
      <c r="F210" t="s">
        <v>355</v>
      </c>
      <c r="G210" t="s">
        <v>356</v>
      </c>
      <c r="H210" t="s">
        <v>37</v>
      </c>
      <c r="I210" t="s">
        <v>103</v>
      </c>
      <c r="J210" t="s">
        <v>39</v>
      </c>
      <c r="K210" s="2">
        <v>46296</v>
      </c>
      <c r="L210" s="2">
        <v>46326</v>
      </c>
      <c r="N210" s="2">
        <v>46296</v>
      </c>
      <c r="O210" s="2">
        <v>46661</v>
      </c>
      <c r="P210">
        <v>12</v>
      </c>
      <c r="Q210" t="s">
        <v>104</v>
      </c>
      <c r="R210" t="s">
        <v>41</v>
      </c>
      <c r="S210" t="s">
        <v>66</v>
      </c>
      <c r="T210" t="s">
        <v>55</v>
      </c>
      <c r="U210" t="s">
        <v>44</v>
      </c>
      <c r="V210" t="s">
        <v>138</v>
      </c>
      <c r="W210" t="s">
        <v>136</v>
      </c>
      <c r="X210" t="s">
        <v>125</v>
      </c>
      <c r="Y210" s="3">
        <v>169463.16</v>
      </c>
      <c r="Z210" s="3">
        <v>110151.05</v>
      </c>
      <c r="AA210">
        <v>0.65</v>
      </c>
      <c r="AB210" t="s">
        <v>39</v>
      </c>
      <c r="AC210" t="s">
        <v>39</v>
      </c>
      <c r="AD210" t="s">
        <v>48</v>
      </c>
    </row>
    <row r="211" spans="1:30" x14ac:dyDescent="0.35">
      <c r="A211" s="1" t="s">
        <v>30</v>
      </c>
      <c r="B211" t="s">
        <v>31</v>
      </c>
      <c r="C211" t="s">
        <v>348</v>
      </c>
      <c r="D211" t="s">
        <v>357</v>
      </c>
      <c r="E211" t="s">
        <v>358</v>
      </c>
      <c r="F211" t="s">
        <v>359</v>
      </c>
      <c r="G211" t="s">
        <v>360</v>
      </c>
      <c r="H211" t="s">
        <v>37</v>
      </c>
      <c r="I211" t="s">
        <v>64</v>
      </c>
      <c r="J211" t="s">
        <v>39</v>
      </c>
      <c r="K211" s="2">
        <v>46299</v>
      </c>
      <c r="L211" s="2">
        <v>46326</v>
      </c>
      <c r="N211" s="2">
        <v>46296</v>
      </c>
      <c r="O211" s="2">
        <v>47392</v>
      </c>
      <c r="P211">
        <v>36</v>
      </c>
      <c r="Q211" t="s">
        <v>104</v>
      </c>
      <c r="R211" t="s">
        <v>53</v>
      </c>
      <c r="S211" t="s">
        <v>118</v>
      </c>
      <c r="T211" t="s">
        <v>97</v>
      </c>
      <c r="U211" t="s">
        <v>56</v>
      </c>
      <c r="V211" t="s">
        <v>144</v>
      </c>
      <c r="W211" t="s">
        <v>142</v>
      </c>
      <c r="X211" t="s">
        <v>91</v>
      </c>
      <c r="Y211" s="3">
        <v>161158.88</v>
      </c>
      <c r="Z211" s="3">
        <v>104753.27</v>
      </c>
      <c r="AA211">
        <v>0.65</v>
      </c>
      <c r="AB211" t="s">
        <v>39</v>
      </c>
      <c r="AC211" t="s">
        <v>39</v>
      </c>
      <c r="AD211" t="s">
        <v>48</v>
      </c>
    </row>
    <row r="212" spans="1:30" x14ac:dyDescent="0.35">
      <c r="A212" s="1" t="s">
        <v>30</v>
      </c>
      <c r="B212" t="s">
        <v>31</v>
      </c>
      <c r="C212" t="s">
        <v>348</v>
      </c>
      <c r="D212" t="s">
        <v>361</v>
      </c>
      <c r="E212" t="s">
        <v>362</v>
      </c>
      <c r="F212" t="s">
        <v>363</v>
      </c>
      <c r="G212" t="s">
        <v>364</v>
      </c>
      <c r="H212" t="s">
        <v>37</v>
      </c>
      <c r="I212" t="s">
        <v>117</v>
      </c>
      <c r="J212" t="s">
        <v>39</v>
      </c>
      <c r="K212" s="2">
        <v>46302</v>
      </c>
      <c r="L212" s="2">
        <v>46326</v>
      </c>
      <c r="N212" s="2">
        <v>46296</v>
      </c>
      <c r="O212" s="2">
        <v>46661</v>
      </c>
      <c r="P212">
        <v>12</v>
      </c>
      <c r="Q212" t="s">
        <v>65</v>
      </c>
      <c r="R212" t="s">
        <v>41</v>
      </c>
      <c r="S212" t="s">
        <v>280</v>
      </c>
      <c r="T212" t="s">
        <v>43</v>
      </c>
      <c r="U212" t="s">
        <v>56</v>
      </c>
      <c r="V212" t="s">
        <v>144</v>
      </c>
      <c r="W212" t="s">
        <v>161</v>
      </c>
      <c r="X212" t="s">
        <v>47</v>
      </c>
      <c r="Y212" s="3">
        <v>156452.69</v>
      </c>
      <c r="Z212" s="3">
        <v>54758.44</v>
      </c>
      <c r="AA212">
        <v>0.35</v>
      </c>
      <c r="AB212" t="s">
        <v>39</v>
      </c>
      <c r="AC212" t="s">
        <v>39</v>
      </c>
      <c r="AD212" t="s">
        <v>48</v>
      </c>
    </row>
    <row r="213" spans="1:30" x14ac:dyDescent="0.35">
      <c r="A213" s="1" t="s">
        <v>30</v>
      </c>
      <c r="B213" t="s">
        <v>31</v>
      </c>
      <c r="C213" t="s">
        <v>348</v>
      </c>
      <c r="D213" t="s">
        <v>365</v>
      </c>
      <c r="E213" t="s">
        <v>366</v>
      </c>
      <c r="F213" t="s">
        <v>367</v>
      </c>
      <c r="G213" t="s">
        <v>368</v>
      </c>
      <c r="H213" t="s">
        <v>37</v>
      </c>
      <c r="I213" t="s">
        <v>117</v>
      </c>
      <c r="J213" t="s">
        <v>39</v>
      </c>
      <c r="K213" s="2">
        <v>46301</v>
      </c>
      <c r="L213" s="2">
        <v>46326</v>
      </c>
      <c r="N213" s="2">
        <v>46296</v>
      </c>
      <c r="O213" s="2">
        <v>46661</v>
      </c>
      <c r="P213">
        <v>12</v>
      </c>
      <c r="Q213" t="s">
        <v>40</v>
      </c>
      <c r="R213" t="s">
        <v>53</v>
      </c>
      <c r="S213" t="s">
        <v>105</v>
      </c>
      <c r="T213" t="s">
        <v>55</v>
      </c>
      <c r="U213" t="s">
        <v>106</v>
      </c>
      <c r="V213" t="s">
        <v>98</v>
      </c>
      <c r="W213" t="s">
        <v>120</v>
      </c>
      <c r="X213" t="s">
        <v>143</v>
      </c>
      <c r="Y213" s="3">
        <v>166642.29</v>
      </c>
      <c r="Z213" s="3">
        <v>108317.49</v>
      </c>
      <c r="AA213">
        <v>0.65</v>
      </c>
      <c r="AB213" t="s">
        <v>39</v>
      </c>
      <c r="AC213" t="s">
        <v>39</v>
      </c>
      <c r="AD213" t="s">
        <v>48</v>
      </c>
    </row>
    <row r="214" spans="1:30" x14ac:dyDescent="0.35">
      <c r="A214" s="1" t="s">
        <v>30</v>
      </c>
      <c r="B214" t="s">
        <v>31</v>
      </c>
      <c r="C214" t="s">
        <v>348</v>
      </c>
      <c r="D214" t="s">
        <v>369</v>
      </c>
      <c r="E214" t="s">
        <v>370</v>
      </c>
      <c r="F214" t="s">
        <v>371</v>
      </c>
      <c r="G214" t="s">
        <v>372</v>
      </c>
      <c r="H214" t="s">
        <v>37</v>
      </c>
      <c r="I214" t="s">
        <v>103</v>
      </c>
      <c r="J214" t="s">
        <v>39</v>
      </c>
      <c r="K214" s="2">
        <v>46298</v>
      </c>
      <c r="L214" s="2">
        <v>46326</v>
      </c>
      <c r="N214" s="2">
        <v>46296</v>
      </c>
      <c r="O214" s="2">
        <v>46661</v>
      </c>
      <c r="P214">
        <v>12</v>
      </c>
      <c r="Q214" t="s">
        <v>65</v>
      </c>
      <c r="R214" t="s">
        <v>88</v>
      </c>
      <c r="S214" t="s">
        <v>54</v>
      </c>
      <c r="T214" t="s">
        <v>55</v>
      </c>
      <c r="U214" t="s">
        <v>56</v>
      </c>
      <c r="V214" t="s">
        <v>98</v>
      </c>
      <c r="W214" t="s">
        <v>142</v>
      </c>
      <c r="X214" t="s">
        <v>158</v>
      </c>
      <c r="Y214" s="3">
        <v>152583.51999999999</v>
      </c>
      <c r="Z214" s="3">
        <v>76291.759999999995</v>
      </c>
      <c r="AA214">
        <v>0.5</v>
      </c>
      <c r="AB214" t="s">
        <v>39</v>
      </c>
      <c r="AC214" t="s">
        <v>39</v>
      </c>
      <c r="AD214" t="s">
        <v>48</v>
      </c>
    </row>
    <row r="215" spans="1:30" x14ac:dyDescent="0.35">
      <c r="A215" s="1" t="s">
        <v>30</v>
      </c>
      <c r="B215" t="s">
        <v>31</v>
      </c>
      <c r="C215" t="s">
        <v>348</v>
      </c>
      <c r="D215" t="s">
        <v>373</v>
      </c>
      <c r="E215" t="s">
        <v>374</v>
      </c>
      <c r="F215" t="s">
        <v>375</v>
      </c>
      <c r="G215" t="s">
        <v>376</v>
      </c>
      <c r="H215" t="s">
        <v>37</v>
      </c>
      <c r="I215" t="s">
        <v>117</v>
      </c>
      <c r="J215" t="s">
        <v>39</v>
      </c>
      <c r="K215" s="2">
        <v>46303</v>
      </c>
      <c r="L215" s="2">
        <v>46326</v>
      </c>
      <c r="N215" s="2">
        <v>46296</v>
      </c>
      <c r="O215" s="2">
        <v>46661</v>
      </c>
      <c r="P215">
        <v>12</v>
      </c>
      <c r="Q215" t="s">
        <v>65</v>
      </c>
      <c r="R215" t="s">
        <v>88</v>
      </c>
      <c r="S215" t="s">
        <v>96</v>
      </c>
      <c r="T215" t="s">
        <v>97</v>
      </c>
      <c r="U215" t="s">
        <v>56</v>
      </c>
      <c r="V215" t="s">
        <v>217</v>
      </c>
      <c r="W215" t="s">
        <v>136</v>
      </c>
      <c r="X215" t="s">
        <v>125</v>
      </c>
      <c r="Y215" s="3">
        <v>125518.16</v>
      </c>
      <c r="Z215" s="3">
        <v>62759.08</v>
      </c>
      <c r="AA215">
        <v>0.5</v>
      </c>
      <c r="AB215" t="s">
        <v>39</v>
      </c>
      <c r="AC215" t="s">
        <v>39</v>
      </c>
      <c r="AD215" t="s">
        <v>48</v>
      </c>
    </row>
    <row r="216" spans="1:30" x14ac:dyDescent="0.35">
      <c r="A216" s="1" t="s">
        <v>30</v>
      </c>
      <c r="B216" t="s">
        <v>31</v>
      </c>
      <c r="C216" t="s">
        <v>348</v>
      </c>
      <c r="D216" t="s">
        <v>377</v>
      </c>
      <c r="E216" t="s">
        <v>378</v>
      </c>
      <c r="F216" t="s">
        <v>379</v>
      </c>
      <c r="G216" t="s">
        <v>380</v>
      </c>
      <c r="H216" t="s">
        <v>37</v>
      </c>
      <c r="I216" t="s">
        <v>103</v>
      </c>
      <c r="J216" t="s">
        <v>39</v>
      </c>
      <c r="K216" s="2">
        <v>46299</v>
      </c>
      <c r="L216" s="2">
        <v>46326</v>
      </c>
      <c r="N216" s="2">
        <v>46296</v>
      </c>
      <c r="O216" s="2">
        <v>47027</v>
      </c>
      <c r="P216">
        <v>24</v>
      </c>
      <c r="Q216" t="s">
        <v>65</v>
      </c>
      <c r="R216" t="s">
        <v>88</v>
      </c>
      <c r="S216" t="s">
        <v>163</v>
      </c>
      <c r="T216" t="s">
        <v>131</v>
      </c>
      <c r="U216" t="s">
        <v>106</v>
      </c>
      <c r="V216" t="s">
        <v>81</v>
      </c>
      <c r="W216" t="s">
        <v>90</v>
      </c>
      <c r="X216" t="s">
        <v>83</v>
      </c>
      <c r="Y216" s="3">
        <v>197749.13</v>
      </c>
      <c r="Z216" s="3">
        <v>158199.29999999999</v>
      </c>
      <c r="AA216">
        <v>0.8</v>
      </c>
      <c r="AB216" t="s">
        <v>39</v>
      </c>
      <c r="AC216" t="s">
        <v>39</v>
      </c>
      <c r="AD216" t="s">
        <v>48</v>
      </c>
    </row>
    <row r="217" spans="1:30" x14ac:dyDescent="0.35">
      <c r="A217" s="1" t="s">
        <v>30</v>
      </c>
      <c r="B217" t="s">
        <v>31</v>
      </c>
      <c r="C217" t="s">
        <v>348</v>
      </c>
      <c r="D217" t="s">
        <v>381</v>
      </c>
      <c r="E217" t="s">
        <v>382</v>
      </c>
      <c r="F217" t="s">
        <v>383</v>
      </c>
      <c r="G217" t="s">
        <v>384</v>
      </c>
      <c r="H217" t="s">
        <v>37</v>
      </c>
      <c r="I217" t="s">
        <v>38</v>
      </c>
      <c r="J217" t="s">
        <v>39</v>
      </c>
      <c r="K217" s="2">
        <v>46309</v>
      </c>
      <c r="L217" s="2">
        <v>46326</v>
      </c>
      <c r="N217" s="2">
        <v>46296</v>
      </c>
      <c r="O217" s="2">
        <v>46661</v>
      </c>
      <c r="P217">
        <v>12</v>
      </c>
      <c r="Q217" t="s">
        <v>40</v>
      </c>
      <c r="R217" t="s">
        <v>41</v>
      </c>
      <c r="S217" t="s">
        <v>130</v>
      </c>
      <c r="T217" t="s">
        <v>131</v>
      </c>
      <c r="U217" t="s">
        <v>56</v>
      </c>
      <c r="V217" t="s">
        <v>119</v>
      </c>
      <c r="W217" t="s">
        <v>161</v>
      </c>
      <c r="X217" t="s">
        <v>158</v>
      </c>
      <c r="Y217" s="3">
        <v>113807.24</v>
      </c>
      <c r="Z217" s="3">
        <v>39832.53</v>
      </c>
      <c r="AA217">
        <v>0.35</v>
      </c>
      <c r="AB217" t="s">
        <v>39</v>
      </c>
      <c r="AC217" t="s">
        <v>39</v>
      </c>
      <c r="AD217" t="s">
        <v>48</v>
      </c>
    </row>
    <row r="218" spans="1:30" x14ac:dyDescent="0.35">
      <c r="A218" s="1" t="s">
        <v>30</v>
      </c>
      <c r="B218" t="s">
        <v>31</v>
      </c>
      <c r="C218" t="s">
        <v>348</v>
      </c>
      <c r="D218" t="s">
        <v>385</v>
      </c>
      <c r="E218" t="s">
        <v>386</v>
      </c>
      <c r="F218" t="s">
        <v>387</v>
      </c>
      <c r="G218" t="s">
        <v>388</v>
      </c>
      <c r="H218" t="s">
        <v>37</v>
      </c>
      <c r="I218" t="s">
        <v>117</v>
      </c>
      <c r="J218" t="s">
        <v>39</v>
      </c>
      <c r="K218" s="2">
        <v>46303</v>
      </c>
      <c r="L218" s="2">
        <v>46326</v>
      </c>
      <c r="N218" s="2">
        <v>46296</v>
      </c>
      <c r="O218" s="2">
        <v>46661</v>
      </c>
      <c r="P218">
        <v>12</v>
      </c>
      <c r="Q218" t="s">
        <v>40</v>
      </c>
      <c r="R218" t="s">
        <v>88</v>
      </c>
      <c r="S218" t="s">
        <v>137</v>
      </c>
      <c r="T218" t="s">
        <v>97</v>
      </c>
      <c r="U218" t="s">
        <v>44</v>
      </c>
      <c r="V218" t="s">
        <v>119</v>
      </c>
      <c r="W218" t="s">
        <v>46</v>
      </c>
      <c r="X218" t="s">
        <v>47</v>
      </c>
      <c r="Y218" s="3">
        <v>173400.95999999999</v>
      </c>
      <c r="Z218" s="3">
        <v>112710.62</v>
      </c>
      <c r="AA218">
        <v>0.65</v>
      </c>
      <c r="AB218" t="s">
        <v>39</v>
      </c>
      <c r="AC218" t="s">
        <v>39</v>
      </c>
      <c r="AD218" t="s">
        <v>48</v>
      </c>
    </row>
    <row r="219" spans="1:30" x14ac:dyDescent="0.35">
      <c r="A219" s="1" t="s">
        <v>30</v>
      </c>
      <c r="B219" t="s">
        <v>31</v>
      </c>
      <c r="C219" t="s">
        <v>348</v>
      </c>
      <c r="D219" t="s">
        <v>389</v>
      </c>
      <c r="E219" t="s">
        <v>390</v>
      </c>
      <c r="F219" t="s">
        <v>391</v>
      </c>
      <c r="G219" t="s">
        <v>392</v>
      </c>
      <c r="H219" t="s">
        <v>37</v>
      </c>
      <c r="I219" t="s">
        <v>38</v>
      </c>
      <c r="J219" t="s">
        <v>39</v>
      </c>
      <c r="K219" s="2">
        <v>46296</v>
      </c>
      <c r="L219" s="2">
        <v>46326</v>
      </c>
      <c r="N219" s="2">
        <v>46296</v>
      </c>
      <c r="O219" s="2">
        <v>47027</v>
      </c>
      <c r="P219">
        <v>24</v>
      </c>
      <c r="Q219" t="s">
        <v>104</v>
      </c>
      <c r="R219" t="s">
        <v>53</v>
      </c>
      <c r="S219" t="s">
        <v>42</v>
      </c>
      <c r="T219" t="s">
        <v>43</v>
      </c>
      <c r="U219" t="s">
        <v>44</v>
      </c>
      <c r="V219" t="s">
        <v>81</v>
      </c>
      <c r="W219" t="s">
        <v>58</v>
      </c>
      <c r="X219" t="s">
        <v>47</v>
      </c>
      <c r="Y219" s="3">
        <v>108084.96</v>
      </c>
      <c r="Z219" s="3">
        <v>37829.730000000003</v>
      </c>
      <c r="AA219">
        <v>0.35</v>
      </c>
      <c r="AB219" t="s">
        <v>39</v>
      </c>
      <c r="AC219" t="s">
        <v>39</v>
      </c>
      <c r="AD219" t="s">
        <v>48</v>
      </c>
    </row>
    <row r="220" spans="1:30" x14ac:dyDescent="0.35">
      <c r="A220" s="1" t="s">
        <v>30</v>
      </c>
      <c r="B220" t="s">
        <v>31</v>
      </c>
      <c r="C220" t="s">
        <v>348</v>
      </c>
      <c r="D220" t="s">
        <v>2151</v>
      </c>
      <c r="E220" t="s">
        <v>2152</v>
      </c>
      <c r="F220" t="s">
        <v>2153</v>
      </c>
      <c r="G220" t="s">
        <v>2154</v>
      </c>
      <c r="H220" t="s">
        <v>1271</v>
      </c>
      <c r="I220" t="s">
        <v>111</v>
      </c>
      <c r="J220" t="s">
        <v>39</v>
      </c>
      <c r="K220" s="2">
        <v>46298</v>
      </c>
      <c r="L220" s="2">
        <v>46326</v>
      </c>
      <c r="N220" s="2">
        <v>46296</v>
      </c>
      <c r="O220" s="2">
        <v>46661</v>
      </c>
      <c r="P220">
        <v>12</v>
      </c>
      <c r="Q220" t="s">
        <v>40</v>
      </c>
      <c r="R220" t="s">
        <v>53</v>
      </c>
      <c r="S220" t="s">
        <v>139</v>
      </c>
      <c r="T220" t="s">
        <v>43</v>
      </c>
      <c r="U220" t="s">
        <v>44</v>
      </c>
      <c r="V220" t="s">
        <v>144</v>
      </c>
      <c r="W220" t="s">
        <v>120</v>
      </c>
      <c r="X220" t="s">
        <v>125</v>
      </c>
      <c r="Y220" s="3">
        <v>109551.75</v>
      </c>
      <c r="Z220" s="3">
        <v>87641.4</v>
      </c>
      <c r="AA220">
        <v>0.8</v>
      </c>
      <c r="AB220" t="s">
        <v>39</v>
      </c>
      <c r="AC220" t="s">
        <v>39</v>
      </c>
      <c r="AD220" t="s">
        <v>48</v>
      </c>
    </row>
    <row r="221" spans="1:30" x14ac:dyDescent="0.35">
      <c r="A221" s="1" t="s">
        <v>30</v>
      </c>
      <c r="B221" t="s">
        <v>31</v>
      </c>
      <c r="C221" t="s">
        <v>348</v>
      </c>
      <c r="D221" t="s">
        <v>2155</v>
      </c>
      <c r="E221" t="s">
        <v>2156</v>
      </c>
      <c r="F221" t="s">
        <v>1153</v>
      </c>
      <c r="G221" t="s">
        <v>1154</v>
      </c>
      <c r="H221" t="s">
        <v>1271</v>
      </c>
      <c r="I221" t="s">
        <v>103</v>
      </c>
      <c r="J221" t="s">
        <v>39</v>
      </c>
      <c r="K221" s="2">
        <v>46306</v>
      </c>
      <c r="L221" s="2">
        <v>46326</v>
      </c>
      <c r="N221" s="2">
        <v>46296</v>
      </c>
      <c r="O221" s="2">
        <v>47027</v>
      </c>
      <c r="P221">
        <v>24</v>
      </c>
      <c r="Q221" t="s">
        <v>40</v>
      </c>
      <c r="R221" t="s">
        <v>41</v>
      </c>
      <c r="S221" t="s">
        <v>80</v>
      </c>
      <c r="T221" t="s">
        <v>43</v>
      </c>
      <c r="U221" t="s">
        <v>44</v>
      </c>
      <c r="V221" t="s">
        <v>119</v>
      </c>
      <c r="W221" t="s">
        <v>90</v>
      </c>
      <c r="X221" t="s">
        <v>83</v>
      </c>
      <c r="Y221" s="3">
        <v>156284.94</v>
      </c>
      <c r="Z221" s="3">
        <v>54699.73</v>
      </c>
      <c r="AA221">
        <v>0.35</v>
      </c>
      <c r="AB221" t="s">
        <v>39</v>
      </c>
      <c r="AC221" t="s">
        <v>39</v>
      </c>
      <c r="AD221" t="s">
        <v>48</v>
      </c>
    </row>
    <row r="222" spans="1:30" x14ac:dyDescent="0.35">
      <c r="A222" s="1" t="s">
        <v>30</v>
      </c>
      <c r="B222" t="s">
        <v>31</v>
      </c>
      <c r="C222" t="s">
        <v>348</v>
      </c>
      <c r="D222" t="s">
        <v>2157</v>
      </c>
      <c r="E222" t="s">
        <v>2158</v>
      </c>
      <c r="F222" t="s">
        <v>971</v>
      </c>
      <c r="G222" t="s">
        <v>972</v>
      </c>
      <c r="H222" t="s">
        <v>1271</v>
      </c>
      <c r="I222" t="s">
        <v>117</v>
      </c>
      <c r="J222" t="s">
        <v>39</v>
      </c>
      <c r="K222" s="2">
        <v>46297</v>
      </c>
      <c r="L222" s="2">
        <v>46326</v>
      </c>
      <c r="N222" s="2">
        <v>46296</v>
      </c>
      <c r="O222" s="2">
        <v>46661</v>
      </c>
      <c r="P222">
        <v>12</v>
      </c>
      <c r="Q222" t="s">
        <v>65</v>
      </c>
      <c r="R222" t="s">
        <v>88</v>
      </c>
      <c r="S222" t="s">
        <v>164</v>
      </c>
      <c r="T222" t="s">
        <v>55</v>
      </c>
      <c r="U222" t="s">
        <v>56</v>
      </c>
      <c r="V222" t="s">
        <v>138</v>
      </c>
      <c r="W222" t="s">
        <v>58</v>
      </c>
      <c r="X222" t="s">
        <v>68</v>
      </c>
      <c r="Y222" s="3">
        <v>165496.85</v>
      </c>
      <c r="Z222" s="3">
        <v>57923.9</v>
      </c>
      <c r="AA222">
        <v>0.35</v>
      </c>
      <c r="AB222" t="s">
        <v>39</v>
      </c>
      <c r="AC222" t="s">
        <v>39</v>
      </c>
      <c r="AD222" t="s">
        <v>48</v>
      </c>
    </row>
    <row r="223" spans="1:30" x14ac:dyDescent="0.35">
      <c r="A223" s="1" t="s">
        <v>30</v>
      </c>
      <c r="B223" t="s">
        <v>31</v>
      </c>
      <c r="C223" t="s">
        <v>348</v>
      </c>
      <c r="D223" t="s">
        <v>2159</v>
      </c>
      <c r="E223" t="s">
        <v>2160</v>
      </c>
      <c r="F223" t="s">
        <v>2161</v>
      </c>
      <c r="G223" t="s">
        <v>2162</v>
      </c>
      <c r="H223" t="s">
        <v>1271</v>
      </c>
      <c r="I223" t="s">
        <v>103</v>
      </c>
      <c r="J223" t="s">
        <v>39</v>
      </c>
      <c r="K223" s="2">
        <v>46299</v>
      </c>
      <c r="L223" s="2">
        <v>46326</v>
      </c>
      <c r="N223" s="2">
        <v>46296</v>
      </c>
      <c r="O223" s="2">
        <v>46661</v>
      </c>
      <c r="P223">
        <v>12</v>
      </c>
      <c r="Q223" t="s">
        <v>40</v>
      </c>
      <c r="R223" t="s">
        <v>41</v>
      </c>
      <c r="S223" t="s">
        <v>80</v>
      </c>
      <c r="T223" t="s">
        <v>43</v>
      </c>
      <c r="U223" t="s">
        <v>44</v>
      </c>
      <c r="V223" t="s">
        <v>144</v>
      </c>
      <c r="W223" t="s">
        <v>120</v>
      </c>
      <c r="X223" t="s">
        <v>83</v>
      </c>
      <c r="Y223" s="3">
        <v>96864.320000000007</v>
      </c>
      <c r="Z223" s="3">
        <v>62961.81</v>
      </c>
      <c r="AA223">
        <v>0.65</v>
      </c>
      <c r="AB223" t="s">
        <v>39</v>
      </c>
      <c r="AC223" t="s">
        <v>39</v>
      </c>
      <c r="AD223" t="s">
        <v>48</v>
      </c>
    </row>
    <row r="224" spans="1:30" x14ac:dyDescent="0.35">
      <c r="A224" s="1" t="s">
        <v>30</v>
      </c>
      <c r="B224" t="s">
        <v>31</v>
      </c>
      <c r="C224" t="s">
        <v>348</v>
      </c>
      <c r="D224" t="s">
        <v>2163</v>
      </c>
      <c r="E224" t="s">
        <v>2164</v>
      </c>
      <c r="F224" t="s">
        <v>505</v>
      </c>
      <c r="G224" t="s">
        <v>506</v>
      </c>
      <c r="H224" t="s">
        <v>1271</v>
      </c>
      <c r="I224" t="s">
        <v>38</v>
      </c>
      <c r="J224" t="s">
        <v>39</v>
      </c>
      <c r="K224" s="2">
        <v>46302</v>
      </c>
      <c r="L224" s="2">
        <v>46326</v>
      </c>
      <c r="N224" s="2">
        <v>46296</v>
      </c>
      <c r="O224" s="2">
        <v>46661</v>
      </c>
      <c r="P224">
        <v>12</v>
      </c>
      <c r="Q224" t="s">
        <v>65</v>
      </c>
      <c r="R224" t="s">
        <v>53</v>
      </c>
      <c r="S224" t="s">
        <v>118</v>
      </c>
      <c r="T224" t="s">
        <v>97</v>
      </c>
      <c r="U224" t="s">
        <v>44</v>
      </c>
      <c r="V224" t="s">
        <v>81</v>
      </c>
      <c r="W224" t="s">
        <v>132</v>
      </c>
      <c r="X224" t="s">
        <v>125</v>
      </c>
      <c r="Y224" s="3">
        <v>137017.53</v>
      </c>
      <c r="Z224" s="3">
        <v>89061.39</v>
      </c>
      <c r="AA224">
        <v>0.65</v>
      </c>
      <c r="AB224" t="s">
        <v>39</v>
      </c>
      <c r="AC224" t="s">
        <v>39</v>
      </c>
      <c r="AD224" t="s">
        <v>48</v>
      </c>
    </row>
    <row r="225" spans="1:30" x14ac:dyDescent="0.35">
      <c r="A225" s="1" t="s">
        <v>30</v>
      </c>
      <c r="B225" t="s">
        <v>31</v>
      </c>
      <c r="C225" t="s">
        <v>348</v>
      </c>
      <c r="D225" t="s">
        <v>2165</v>
      </c>
      <c r="E225" t="s">
        <v>2166</v>
      </c>
      <c r="F225" t="s">
        <v>1041</v>
      </c>
      <c r="G225" t="s">
        <v>1042</v>
      </c>
      <c r="H225" t="s">
        <v>1271</v>
      </c>
      <c r="I225" t="s">
        <v>111</v>
      </c>
      <c r="J225" t="s">
        <v>39</v>
      </c>
      <c r="K225" s="2">
        <v>46306</v>
      </c>
      <c r="L225" s="2">
        <v>46326</v>
      </c>
      <c r="N225" s="2">
        <v>46296</v>
      </c>
      <c r="O225" s="2">
        <v>46661</v>
      </c>
      <c r="P225">
        <v>12</v>
      </c>
      <c r="Q225" t="s">
        <v>40</v>
      </c>
      <c r="R225" t="s">
        <v>53</v>
      </c>
      <c r="S225" t="s">
        <v>164</v>
      </c>
      <c r="T225" t="s">
        <v>55</v>
      </c>
      <c r="U225" t="s">
        <v>44</v>
      </c>
      <c r="V225" t="s">
        <v>98</v>
      </c>
      <c r="W225" t="s">
        <v>75</v>
      </c>
      <c r="X225" t="s">
        <v>143</v>
      </c>
      <c r="Y225" s="3">
        <v>190644.95</v>
      </c>
      <c r="Z225" s="3">
        <v>123919.22</v>
      </c>
      <c r="AA225">
        <v>0.65</v>
      </c>
      <c r="AB225" t="s">
        <v>39</v>
      </c>
      <c r="AC225" t="s">
        <v>39</v>
      </c>
      <c r="AD225" t="s">
        <v>48</v>
      </c>
    </row>
    <row r="226" spans="1:30" x14ac:dyDescent="0.35">
      <c r="A226" s="1" t="s">
        <v>30</v>
      </c>
      <c r="B226" t="s">
        <v>31</v>
      </c>
      <c r="C226" t="s">
        <v>348</v>
      </c>
      <c r="D226" t="s">
        <v>2167</v>
      </c>
      <c r="E226" t="s">
        <v>2168</v>
      </c>
      <c r="F226" t="s">
        <v>2169</v>
      </c>
      <c r="G226" t="s">
        <v>2170</v>
      </c>
      <c r="H226" t="s">
        <v>1271</v>
      </c>
      <c r="I226" t="s">
        <v>117</v>
      </c>
      <c r="J226" t="s">
        <v>39</v>
      </c>
      <c r="K226" s="2">
        <v>46300</v>
      </c>
      <c r="L226" s="2">
        <v>46326</v>
      </c>
      <c r="N226" s="2">
        <v>46296</v>
      </c>
      <c r="O226" s="2">
        <v>46661</v>
      </c>
      <c r="P226">
        <v>12</v>
      </c>
      <c r="Q226" t="s">
        <v>104</v>
      </c>
      <c r="R226" t="s">
        <v>41</v>
      </c>
      <c r="S226" t="s">
        <v>151</v>
      </c>
      <c r="T226" t="s">
        <v>131</v>
      </c>
      <c r="U226" t="s">
        <v>56</v>
      </c>
      <c r="V226" t="s">
        <v>138</v>
      </c>
      <c r="W226" t="s">
        <v>120</v>
      </c>
      <c r="X226" t="s">
        <v>91</v>
      </c>
      <c r="Y226" s="3">
        <v>109779.8</v>
      </c>
      <c r="Z226" s="3">
        <v>38422.93</v>
      </c>
      <c r="AA226">
        <v>0.35</v>
      </c>
      <c r="AB226" t="s">
        <v>39</v>
      </c>
      <c r="AC226" t="s">
        <v>39</v>
      </c>
      <c r="AD226" t="s">
        <v>48</v>
      </c>
    </row>
    <row r="227" spans="1:30" x14ac:dyDescent="0.35">
      <c r="A227" t="s">
        <v>30</v>
      </c>
      <c r="B227" t="s">
        <v>31</v>
      </c>
      <c r="C227" t="s">
        <v>348</v>
      </c>
      <c r="D227" t="s">
        <v>2171</v>
      </c>
      <c r="E227" t="s">
        <v>2172</v>
      </c>
      <c r="F227" t="s">
        <v>2173</v>
      </c>
      <c r="G227" t="s">
        <v>2174</v>
      </c>
      <c r="H227" t="s">
        <v>1271</v>
      </c>
      <c r="I227" t="s">
        <v>111</v>
      </c>
      <c r="J227" t="s">
        <v>39</v>
      </c>
      <c r="K227" s="2">
        <v>46309</v>
      </c>
      <c r="L227" s="2">
        <v>46326</v>
      </c>
      <c r="N227">
        <v>46296</v>
      </c>
      <c r="O227">
        <v>46661</v>
      </c>
      <c r="P227">
        <v>12</v>
      </c>
      <c r="Q227" t="s">
        <v>65</v>
      </c>
      <c r="R227" t="s">
        <v>41</v>
      </c>
      <c r="S227" t="s">
        <v>73</v>
      </c>
      <c r="T227" t="s">
        <v>43</v>
      </c>
      <c r="U227" t="s">
        <v>56</v>
      </c>
      <c r="V227" t="s">
        <v>138</v>
      </c>
      <c r="W227" t="s">
        <v>58</v>
      </c>
      <c r="X227" t="s">
        <v>143</v>
      </c>
      <c r="Y227" s="3">
        <v>92481.87</v>
      </c>
      <c r="Z227" s="3">
        <v>32368.65</v>
      </c>
      <c r="AA227">
        <v>0.35</v>
      </c>
      <c r="AB227" t="s">
        <v>39</v>
      </c>
      <c r="AC227" t="s">
        <v>39</v>
      </c>
      <c r="AD227" t="s">
        <v>48</v>
      </c>
    </row>
    <row r="228" spans="1:30" x14ac:dyDescent="0.35">
      <c r="A228" t="s">
        <v>30</v>
      </c>
      <c r="B228" t="s">
        <v>31</v>
      </c>
      <c r="C228" t="s">
        <v>348</v>
      </c>
      <c r="D228" t="s">
        <v>2175</v>
      </c>
      <c r="E228" t="s">
        <v>2176</v>
      </c>
      <c r="F228" t="s">
        <v>2177</v>
      </c>
      <c r="G228" t="s">
        <v>2178</v>
      </c>
      <c r="H228" t="s">
        <v>1290</v>
      </c>
      <c r="I228" t="s">
        <v>64</v>
      </c>
      <c r="J228" t="s">
        <v>1290</v>
      </c>
      <c r="K228" s="2">
        <v>46296</v>
      </c>
      <c r="L228" s="2">
        <v>46326</v>
      </c>
      <c r="N228">
        <v>46296</v>
      </c>
      <c r="O228">
        <v>46661</v>
      </c>
      <c r="P228">
        <v>12</v>
      </c>
      <c r="Q228" t="s">
        <v>40</v>
      </c>
      <c r="R228" t="s">
        <v>53</v>
      </c>
      <c r="S228" t="s">
        <v>73</v>
      </c>
      <c r="T228" t="s">
        <v>43</v>
      </c>
      <c r="U228" t="s">
        <v>106</v>
      </c>
      <c r="V228" t="s">
        <v>74</v>
      </c>
      <c r="W228" t="s">
        <v>90</v>
      </c>
      <c r="X228" t="s">
        <v>59</v>
      </c>
      <c r="Y228" s="3">
        <v>164803.75</v>
      </c>
      <c r="Z228" s="3">
        <v>131843</v>
      </c>
      <c r="AA228">
        <v>0.8</v>
      </c>
      <c r="AB228" t="s">
        <v>1290</v>
      </c>
      <c r="AC228" t="s">
        <v>1290</v>
      </c>
      <c r="AD228" t="s">
        <v>48</v>
      </c>
    </row>
    <row r="229" spans="1:30" x14ac:dyDescent="0.35">
      <c r="A229" t="s">
        <v>30</v>
      </c>
      <c r="B229" t="s">
        <v>31</v>
      </c>
      <c r="C229" t="s">
        <v>348</v>
      </c>
      <c r="D229" t="s">
        <v>2179</v>
      </c>
      <c r="E229" t="s">
        <v>2180</v>
      </c>
      <c r="F229" t="s">
        <v>2181</v>
      </c>
      <c r="G229" t="s">
        <v>2182</v>
      </c>
      <c r="H229" t="s">
        <v>1290</v>
      </c>
      <c r="I229" t="s">
        <v>38</v>
      </c>
      <c r="J229" t="s">
        <v>1290</v>
      </c>
      <c r="K229" s="2">
        <v>46302</v>
      </c>
      <c r="L229" s="2">
        <v>46326</v>
      </c>
      <c r="N229">
        <v>46296</v>
      </c>
      <c r="O229">
        <v>46661</v>
      </c>
      <c r="P229">
        <v>12</v>
      </c>
      <c r="Q229" t="s">
        <v>104</v>
      </c>
      <c r="R229" t="s">
        <v>53</v>
      </c>
      <c r="S229" t="s">
        <v>164</v>
      </c>
      <c r="T229" t="s">
        <v>55</v>
      </c>
      <c r="U229" t="s">
        <v>56</v>
      </c>
      <c r="V229" t="s">
        <v>98</v>
      </c>
      <c r="W229" t="s">
        <v>120</v>
      </c>
      <c r="X229" t="s">
        <v>83</v>
      </c>
      <c r="Y229" s="3">
        <v>144872.16</v>
      </c>
      <c r="Z229" s="3">
        <v>72436.08</v>
      </c>
      <c r="AA229">
        <v>0.5</v>
      </c>
      <c r="AB229" t="s">
        <v>1290</v>
      </c>
      <c r="AC229" t="s">
        <v>1290</v>
      </c>
      <c r="AD229" t="s">
        <v>48</v>
      </c>
    </row>
    <row r="230" spans="1:30" x14ac:dyDescent="0.35">
      <c r="A230" t="s">
        <v>30</v>
      </c>
      <c r="B230" t="s">
        <v>31</v>
      </c>
      <c r="C230" t="s">
        <v>348</v>
      </c>
      <c r="D230" t="s">
        <v>2183</v>
      </c>
      <c r="E230" t="s">
        <v>2184</v>
      </c>
      <c r="F230" t="s">
        <v>2185</v>
      </c>
      <c r="G230" t="s">
        <v>2186</v>
      </c>
      <c r="H230" t="s">
        <v>1290</v>
      </c>
      <c r="I230" t="s">
        <v>64</v>
      </c>
      <c r="J230" t="s">
        <v>1290</v>
      </c>
      <c r="K230" s="2">
        <v>46309</v>
      </c>
      <c r="L230" s="2">
        <v>46326</v>
      </c>
      <c r="N230">
        <v>46296</v>
      </c>
      <c r="O230">
        <v>47027</v>
      </c>
      <c r="P230">
        <v>24</v>
      </c>
      <c r="Q230" t="s">
        <v>40</v>
      </c>
      <c r="R230" t="s">
        <v>41</v>
      </c>
      <c r="S230" t="s">
        <v>137</v>
      </c>
      <c r="T230" t="s">
        <v>97</v>
      </c>
      <c r="U230" t="s">
        <v>44</v>
      </c>
      <c r="V230" t="s">
        <v>217</v>
      </c>
      <c r="W230" t="s">
        <v>150</v>
      </c>
      <c r="X230" t="s">
        <v>125</v>
      </c>
      <c r="Y230" s="3">
        <v>130003.08</v>
      </c>
      <c r="Z230" s="3">
        <v>65001.54</v>
      </c>
      <c r="AA230">
        <v>0.5</v>
      </c>
      <c r="AB230" t="s">
        <v>1290</v>
      </c>
      <c r="AC230" t="s">
        <v>1290</v>
      </c>
      <c r="AD230" t="s">
        <v>48</v>
      </c>
    </row>
    <row r="231" spans="1:30" x14ac:dyDescent="0.35">
      <c r="A231" t="s">
        <v>30</v>
      </c>
      <c r="B231" t="s">
        <v>31</v>
      </c>
      <c r="C231" t="s">
        <v>348</v>
      </c>
      <c r="D231" t="s">
        <v>2187</v>
      </c>
      <c r="E231" t="s">
        <v>2188</v>
      </c>
      <c r="F231" t="s">
        <v>2189</v>
      </c>
      <c r="G231" t="s">
        <v>2190</v>
      </c>
      <c r="H231" t="s">
        <v>1295</v>
      </c>
      <c r="I231" t="s">
        <v>64</v>
      </c>
      <c r="J231" t="s">
        <v>1295</v>
      </c>
      <c r="K231" s="2">
        <v>46297</v>
      </c>
      <c r="L231" s="2">
        <v>46326</v>
      </c>
      <c r="N231">
        <v>46296</v>
      </c>
      <c r="O231">
        <v>46661</v>
      </c>
      <c r="P231">
        <v>12</v>
      </c>
      <c r="Q231" t="s">
        <v>104</v>
      </c>
      <c r="R231" t="s">
        <v>41</v>
      </c>
      <c r="S231" t="s">
        <v>130</v>
      </c>
      <c r="T231" t="s">
        <v>131</v>
      </c>
      <c r="U231" t="s">
        <v>44</v>
      </c>
      <c r="V231" t="s">
        <v>45</v>
      </c>
      <c r="W231" t="s">
        <v>58</v>
      </c>
      <c r="X231" t="s">
        <v>125</v>
      </c>
      <c r="Y231" s="3">
        <v>189221.59</v>
      </c>
      <c r="Z231" s="3">
        <v>151377.26999999999</v>
      </c>
      <c r="AA231">
        <v>0.8</v>
      </c>
      <c r="AB231" t="s">
        <v>1295</v>
      </c>
      <c r="AC231" t="s">
        <v>1295</v>
      </c>
      <c r="AD231" t="s">
        <v>48</v>
      </c>
    </row>
    <row r="232" spans="1:30" x14ac:dyDescent="0.35">
      <c r="A232" t="s">
        <v>30</v>
      </c>
      <c r="B232" t="s">
        <v>31</v>
      </c>
      <c r="C232" t="s">
        <v>348</v>
      </c>
      <c r="D232" t="s">
        <v>2191</v>
      </c>
      <c r="E232" t="s">
        <v>2192</v>
      </c>
      <c r="F232" t="s">
        <v>2193</v>
      </c>
      <c r="G232" t="s">
        <v>2194</v>
      </c>
      <c r="H232" t="s">
        <v>1295</v>
      </c>
      <c r="I232" t="s">
        <v>38</v>
      </c>
      <c r="J232" t="s">
        <v>1295</v>
      </c>
      <c r="K232" s="2">
        <v>46301</v>
      </c>
      <c r="L232" s="2">
        <v>46326</v>
      </c>
      <c r="N232">
        <v>46296</v>
      </c>
      <c r="O232">
        <v>46661</v>
      </c>
      <c r="P232">
        <v>12</v>
      </c>
      <c r="Q232" t="s">
        <v>104</v>
      </c>
      <c r="R232" t="s">
        <v>41</v>
      </c>
      <c r="S232" t="s">
        <v>139</v>
      </c>
      <c r="T232" t="s">
        <v>43</v>
      </c>
      <c r="U232" t="s">
        <v>44</v>
      </c>
      <c r="V232" t="s">
        <v>57</v>
      </c>
      <c r="W232" t="s">
        <v>46</v>
      </c>
      <c r="X232" t="s">
        <v>47</v>
      </c>
      <c r="Y232" s="3">
        <v>205464.52</v>
      </c>
      <c r="Z232" s="3">
        <v>102732.26</v>
      </c>
      <c r="AA232">
        <v>0.5</v>
      </c>
      <c r="AB232" t="s">
        <v>1295</v>
      </c>
      <c r="AC232" t="s">
        <v>1295</v>
      </c>
      <c r="AD232" t="s">
        <v>48</v>
      </c>
    </row>
    <row r="233" spans="1:30" x14ac:dyDescent="0.35">
      <c r="A233" t="s">
        <v>30</v>
      </c>
      <c r="B233" t="s">
        <v>31</v>
      </c>
      <c r="C233" t="s">
        <v>348</v>
      </c>
      <c r="D233" t="s">
        <v>2195</v>
      </c>
      <c r="E233" t="s">
        <v>2196</v>
      </c>
      <c r="F233" t="s">
        <v>939</v>
      </c>
      <c r="G233" t="s">
        <v>940</v>
      </c>
      <c r="H233" t="s">
        <v>1295</v>
      </c>
      <c r="I233" t="s">
        <v>111</v>
      </c>
      <c r="J233" t="s">
        <v>1295</v>
      </c>
      <c r="K233" s="2">
        <v>46299</v>
      </c>
      <c r="L233" s="2">
        <v>46326</v>
      </c>
      <c r="N233">
        <v>46296</v>
      </c>
      <c r="O233">
        <v>46661</v>
      </c>
      <c r="P233">
        <v>12</v>
      </c>
      <c r="Q233" t="s">
        <v>104</v>
      </c>
      <c r="R233" t="s">
        <v>41</v>
      </c>
      <c r="S233" t="s">
        <v>112</v>
      </c>
      <c r="T233" t="s">
        <v>55</v>
      </c>
      <c r="U233" t="s">
        <v>56</v>
      </c>
      <c r="V233" t="s">
        <v>217</v>
      </c>
      <c r="W233" t="s">
        <v>132</v>
      </c>
      <c r="X233" t="s">
        <v>68</v>
      </c>
      <c r="Y233" s="3">
        <v>199515.88</v>
      </c>
      <c r="Z233" s="3">
        <v>129685.32</v>
      </c>
      <c r="AA233">
        <v>0.65</v>
      </c>
      <c r="AB233" t="s">
        <v>1295</v>
      </c>
      <c r="AC233" t="s">
        <v>1295</v>
      </c>
      <c r="AD233" t="s">
        <v>48</v>
      </c>
    </row>
    <row r="234" spans="1:30" x14ac:dyDescent="0.35">
      <c r="A234" t="s">
        <v>30</v>
      </c>
      <c r="B234" t="s">
        <v>31</v>
      </c>
      <c r="C234" t="s">
        <v>348</v>
      </c>
      <c r="D234" t="s">
        <v>2197</v>
      </c>
      <c r="E234" t="s">
        <v>2198</v>
      </c>
      <c r="F234" t="s">
        <v>2199</v>
      </c>
      <c r="G234" t="s">
        <v>2200</v>
      </c>
      <c r="H234" t="s">
        <v>1295</v>
      </c>
      <c r="I234" t="s">
        <v>117</v>
      </c>
      <c r="J234" t="s">
        <v>1295</v>
      </c>
      <c r="K234" s="2">
        <v>46307</v>
      </c>
      <c r="L234" s="2">
        <v>46326</v>
      </c>
      <c r="N234">
        <v>46296</v>
      </c>
      <c r="O234">
        <v>46661</v>
      </c>
      <c r="P234">
        <v>12</v>
      </c>
      <c r="Q234" t="s">
        <v>65</v>
      </c>
      <c r="R234" t="s">
        <v>53</v>
      </c>
      <c r="S234" t="s">
        <v>139</v>
      </c>
      <c r="T234" t="s">
        <v>43</v>
      </c>
      <c r="U234" t="s">
        <v>56</v>
      </c>
      <c r="V234" t="s">
        <v>81</v>
      </c>
      <c r="W234" t="s">
        <v>120</v>
      </c>
      <c r="X234" t="s">
        <v>59</v>
      </c>
      <c r="Y234" s="3">
        <v>113401.01</v>
      </c>
      <c r="Z234" s="3">
        <v>56700.51</v>
      </c>
      <c r="AA234">
        <v>0.5</v>
      </c>
      <c r="AB234" t="s">
        <v>1295</v>
      </c>
      <c r="AC234" t="s">
        <v>1295</v>
      </c>
      <c r="AD234" t="s">
        <v>48</v>
      </c>
    </row>
    <row r="235" spans="1:30" x14ac:dyDescent="0.35">
      <c r="A235" t="s">
        <v>30</v>
      </c>
      <c r="B235" t="s">
        <v>31</v>
      </c>
      <c r="C235" t="s">
        <v>348</v>
      </c>
      <c r="D235" t="s">
        <v>2201</v>
      </c>
      <c r="E235" t="s">
        <v>2202</v>
      </c>
      <c r="F235" t="s">
        <v>2203</v>
      </c>
      <c r="G235" t="s">
        <v>2204</v>
      </c>
      <c r="H235" t="s">
        <v>1302</v>
      </c>
      <c r="I235" t="s">
        <v>117</v>
      </c>
      <c r="J235" t="s">
        <v>39</v>
      </c>
      <c r="K235" s="2">
        <v>46297</v>
      </c>
      <c r="L235" s="2">
        <v>46326</v>
      </c>
      <c r="N235">
        <v>46296</v>
      </c>
      <c r="O235">
        <v>47027</v>
      </c>
      <c r="P235">
        <v>24</v>
      </c>
      <c r="Q235" t="s">
        <v>65</v>
      </c>
      <c r="R235" t="s">
        <v>41</v>
      </c>
      <c r="S235" t="s">
        <v>164</v>
      </c>
      <c r="T235" t="s">
        <v>55</v>
      </c>
      <c r="U235" t="s">
        <v>44</v>
      </c>
      <c r="V235" t="s">
        <v>57</v>
      </c>
      <c r="W235" t="s">
        <v>120</v>
      </c>
      <c r="X235" t="s">
        <v>47</v>
      </c>
      <c r="Y235" s="3">
        <v>122047.08</v>
      </c>
      <c r="Z235" s="3">
        <v>97637.67</v>
      </c>
      <c r="AA235">
        <v>0.8</v>
      </c>
      <c r="AB235" t="s">
        <v>39</v>
      </c>
      <c r="AC235" t="s">
        <v>39</v>
      </c>
      <c r="AD235" t="s">
        <v>48</v>
      </c>
    </row>
    <row r="236" spans="1:30" x14ac:dyDescent="0.35">
      <c r="A236" t="s">
        <v>30</v>
      </c>
      <c r="B236" t="s">
        <v>31</v>
      </c>
      <c r="C236" t="s">
        <v>348</v>
      </c>
      <c r="D236" t="s">
        <v>2205</v>
      </c>
      <c r="E236" t="s">
        <v>2206</v>
      </c>
      <c r="F236" t="s">
        <v>519</v>
      </c>
      <c r="G236" t="s">
        <v>520</v>
      </c>
      <c r="H236" t="s">
        <v>1302</v>
      </c>
      <c r="I236" t="s">
        <v>38</v>
      </c>
      <c r="J236" t="s">
        <v>39</v>
      </c>
      <c r="K236" s="2">
        <v>46298</v>
      </c>
      <c r="L236" s="2">
        <v>46326</v>
      </c>
      <c r="N236">
        <v>46296</v>
      </c>
      <c r="O236">
        <v>47027</v>
      </c>
      <c r="P236">
        <v>24</v>
      </c>
      <c r="Q236" t="s">
        <v>104</v>
      </c>
      <c r="R236" t="s">
        <v>88</v>
      </c>
      <c r="S236" t="s">
        <v>66</v>
      </c>
      <c r="T236" t="s">
        <v>55</v>
      </c>
      <c r="U236" t="s">
        <v>44</v>
      </c>
      <c r="V236" t="s">
        <v>67</v>
      </c>
      <c r="W236" t="s">
        <v>161</v>
      </c>
      <c r="X236" t="s">
        <v>143</v>
      </c>
      <c r="Y236" s="3">
        <v>111632.57</v>
      </c>
      <c r="Z236" s="3">
        <v>39071.4</v>
      </c>
      <c r="AA236">
        <v>0.35</v>
      </c>
      <c r="AB236" t="s">
        <v>39</v>
      </c>
      <c r="AC236" t="s">
        <v>39</v>
      </c>
      <c r="AD236" t="s">
        <v>48</v>
      </c>
    </row>
    <row r="237" spans="1:30" x14ac:dyDescent="0.35">
      <c r="A237" t="s">
        <v>30</v>
      </c>
      <c r="B237" t="s">
        <v>31</v>
      </c>
      <c r="C237" t="s">
        <v>348</v>
      </c>
      <c r="D237" t="s">
        <v>2207</v>
      </c>
      <c r="E237" t="s">
        <v>2208</v>
      </c>
      <c r="F237" t="s">
        <v>2209</v>
      </c>
      <c r="G237" t="s">
        <v>2210</v>
      </c>
      <c r="H237" t="s">
        <v>1302</v>
      </c>
      <c r="I237" t="s">
        <v>117</v>
      </c>
      <c r="J237" t="s">
        <v>39</v>
      </c>
      <c r="K237" s="2">
        <v>46297</v>
      </c>
      <c r="L237" s="2">
        <v>46326</v>
      </c>
      <c r="N237">
        <v>46296</v>
      </c>
      <c r="O237">
        <v>46661</v>
      </c>
      <c r="P237">
        <v>12</v>
      </c>
      <c r="Q237" t="s">
        <v>65</v>
      </c>
      <c r="R237" t="s">
        <v>88</v>
      </c>
      <c r="S237" t="s">
        <v>135</v>
      </c>
      <c r="T237" t="s">
        <v>131</v>
      </c>
      <c r="U237" t="s">
        <v>56</v>
      </c>
      <c r="V237" t="s">
        <v>74</v>
      </c>
      <c r="W237" t="s">
        <v>58</v>
      </c>
      <c r="X237" t="s">
        <v>83</v>
      </c>
      <c r="Y237" s="3">
        <v>157446.35</v>
      </c>
      <c r="Z237" s="3">
        <v>102340.13</v>
      </c>
      <c r="AA237">
        <v>0.65</v>
      </c>
      <c r="AB237" t="s">
        <v>39</v>
      </c>
      <c r="AC237" t="s">
        <v>39</v>
      </c>
      <c r="AD237" t="s">
        <v>48</v>
      </c>
    </row>
    <row r="238" spans="1:30" x14ac:dyDescent="0.35">
      <c r="A238" t="s">
        <v>30</v>
      </c>
      <c r="B238" t="s">
        <v>31</v>
      </c>
      <c r="C238" t="s">
        <v>399</v>
      </c>
      <c r="D238" t="s">
        <v>400</v>
      </c>
      <c r="E238" t="s">
        <v>401</v>
      </c>
      <c r="F238" t="s">
        <v>402</v>
      </c>
      <c r="G238" t="s">
        <v>403</v>
      </c>
      <c r="H238" t="s">
        <v>37</v>
      </c>
      <c r="I238" t="s">
        <v>111</v>
      </c>
      <c r="J238" t="s">
        <v>39</v>
      </c>
      <c r="K238" s="2">
        <v>46331</v>
      </c>
      <c r="L238" s="2">
        <v>46356</v>
      </c>
      <c r="N238">
        <v>46327</v>
      </c>
      <c r="O238">
        <v>46692</v>
      </c>
      <c r="P238">
        <v>12</v>
      </c>
      <c r="Q238" t="s">
        <v>40</v>
      </c>
      <c r="R238" t="s">
        <v>88</v>
      </c>
      <c r="S238" t="s">
        <v>140</v>
      </c>
      <c r="T238" t="s">
        <v>97</v>
      </c>
      <c r="U238" t="s">
        <v>56</v>
      </c>
      <c r="V238" t="s">
        <v>67</v>
      </c>
      <c r="W238" t="s">
        <v>120</v>
      </c>
      <c r="X238" t="s">
        <v>83</v>
      </c>
      <c r="Y238" s="3">
        <v>157516.76</v>
      </c>
      <c r="Z238" s="3">
        <v>78758.38</v>
      </c>
      <c r="AA238">
        <v>0.5</v>
      </c>
      <c r="AB238" t="s">
        <v>39</v>
      </c>
      <c r="AC238" t="s">
        <v>39</v>
      </c>
      <c r="AD238" t="s">
        <v>48</v>
      </c>
    </row>
    <row r="239" spans="1:30" x14ac:dyDescent="0.35">
      <c r="A239" t="s">
        <v>30</v>
      </c>
      <c r="B239" t="s">
        <v>31</v>
      </c>
      <c r="C239" t="s">
        <v>399</v>
      </c>
      <c r="D239" t="s">
        <v>404</v>
      </c>
      <c r="E239" t="s">
        <v>405</v>
      </c>
      <c r="F239" t="s">
        <v>406</v>
      </c>
      <c r="G239" t="s">
        <v>407</v>
      </c>
      <c r="H239" t="s">
        <v>37</v>
      </c>
      <c r="I239" t="s">
        <v>38</v>
      </c>
      <c r="J239" t="s">
        <v>39</v>
      </c>
      <c r="K239" s="2">
        <v>46331</v>
      </c>
      <c r="L239" s="2">
        <v>46356</v>
      </c>
      <c r="N239">
        <v>46327</v>
      </c>
      <c r="O239">
        <v>46692</v>
      </c>
      <c r="P239">
        <v>12</v>
      </c>
      <c r="Q239" t="s">
        <v>65</v>
      </c>
      <c r="R239" t="s">
        <v>88</v>
      </c>
      <c r="S239" t="s">
        <v>164</v>
      </c>
      <c r="T239" t="s">
        <v>55</v>
      </c>
      <c r="U239" t="s">
        <v>44</v>
      </c>
      <c r="V239" t="s">
        <v>57</v>
      </c>
      <c r="W239" t="s">
        <v>58</v>
      </c>
      <c r="X239" t="s">
        <v>47</v>
      </c>
      <c r="Y239" s="3">
        <v>121578.2</v>
      </c>
      <c r="Z239" s="3">
        <v>60789.1</v>
      </c>
      <c r="AA239">
        <v>0.5</v>
      </c>
      <c r="AB239" t="s">
        <v>39</v>
      </c>
      <c r="AC239" t="s">
        <v>39</v>
      </c>
      <c r="AD239" t="s">
        <v>48</v>
      </c>
    </row>
    <row r="240" spans="1:30" x14ac:dyDescent="0.35">
      <c r="A240" t="s">
        <v>30</v>
      </c>
      <c r="B240" t="s">
        <v>31</v>
      </c>
      <c r="C240" t="s">
        <v>399</v>
      </c>
      <c r="D240" t="s">
        <v>408</v>
      </c>
      <c r="E240" t="s">
        <v>409</v>
      </c>
      <c r="F240" t="s">
        <v>410</v>
      </c>
      <c r="G240" t="s">
        <v>411</v>
      </c>
      <c r="H240" t="s">
        <v>37</v>
      </c>
      <c r="I240" t="s">
        <v>103</v>
      </c>
      <c r="J240" t="s">
        <v>39</v>
      </c>
      <c r="K240" s="2">
        <v>46333</v>
      </c>
      <c r="L240" s="2">
        <v>46356</v>
      </c>
      <c r="N240">
        <v>46327</v>
      </c>
      <c r="O240">
        <v>46692</v>
      </c>
      <c r="P240">
        <v>12</v>
      </c>
      <c r="Q240" t="s">
        <v>65</v>
      </c>
      <c r="R240" t="s">
        <v>88</v>
      </c>
      <c r="S240" t="s">
        <v>162</v>
      </c>
      <c r="T240" t="s">
        <v>43</v>
      </c>
      <c r="U240" t="s">
        <v>56</v>
      </c>
      <c r="V240" t="s">
        <v>217</v>
      </c>
      <c r="W240" t="s">
        <v>82</v>
      </c>
      <c r="X240" t="s">
        <v>59</v>
      </c>
      <c r="Y240" s="3">
        <v>181236.39</v>
      </c>
      <c r="Z240" s="3">
        <v>63432.74</v>
      </c>
      <c r="AA240">
        <v>0.35</v>
      </c>
      <c r="AB240" t="s">
        <v>39</v>
      </c>
      <c r="AC240" t="s">
        <v>39</v>
      </c>
      <c r="AD240" t="s">
        <v>48</v>
      </c>
    </row>
    <row r="241" spans="1:30" x14ac:dyDescent="0.35">
      <c r="A241" t="s">
        <v>30</v>
      </c>
      <c r="B241" t="s">
        <v>31</v>
      </c>
      <c r="C241" t="s">
        <v>399</v>
      </c>
      <c r="D241" t="s">
        <v>412</v>
      </c>
      <c r="E241" t="s">
        <v>413</v>
      </c>
      <c r="F241" t="s">
        <v>414</v>
      </c>
      <c r="G241" t="s">
        <v>415</v>
      </c>
      <c r="H241" t="s">
        <v>37</v>
      </c>
      <c r="I241" t="s">
        <v>103</v>
      </c>
      <c r="J241" t="s">
        <v>39</v>
      </c>
      <c r="K241" s="2">
        <v>46334</v>
      </c>
      <c r="L241" s="2">
        <v>46356</v>
      </c>
      <c r="N241">
        <v>46327</v>
      </c>
      <c r="O241">
        <v>46692</v>
      </c>
      <c r="P241">
        <v>12</v>
      </c>
      <c r="Q241" t="s">
        <v>104</v>
      </c>
      <c r="R241" t="s">
        <v>53</v>
      </c>
      <c r="S241" t="s">
        <v>42</v>
      </c>
      <c r="T241" t="s">
        <v>43</v>
      </c>
      <c r="U241" t="s">
        <v>56</v>
      </c>
      <c r="V241" t="s">
        <v>144</v>
      </c>
      <c r="W241" t="s">
        <v>82</v>
      </c>
      <c r="X241" t="s">
        <v>143</v>
      </c>
      <c r="Y241" s="3">
        <v>180631.2</v>
      </c>
      <c r="Z241" s="3">
        <v>63220.92</v>
      </c>
      <c r="AA241">
        <v>0.35</v>
      </c>
      <c r="AB241" t="s">
        <v>39</v>
      </c>
      <c r="AC241" t="s">
        <v>39</v>
      </c>
      <c r="AD241" t="s">
        <v>48</v>
      </c>
    </row>
    <row r="242" spans="1:30" x14ac:dyDescent="0.35">
      <c r="A242" t="s">
        <v>30</v>
      </c>
      <c r="B242" t="s">
        <v>31</v>
      </c>
      <c r="C242" t="s">
        <v>399</v>
      </c>
      <c r="D242" t="s">
        <v>416</v>
      </c>
      <c r="E242" t="s">
        <v>417</v>
      </c>
      <c r="F242" t="s">
        <v>418</v>
      </c>
      <c r="G242" t="s">
        <v>419</v>
      </c>
      <c r="H242" t="s">
        <v>37</v>
      </c>
      <c r="I242" t="s">
        <v>103</v>
      </c>
      <c r="J242" t="s">
        <v>39</v>
      </c>
      <c r="K242" s="2">
        <v>46327</v>
      </c>
      <c r="L242" s="2">
        <v>46356</v>
      </c>
      <c r="N242">
        <v>46327</v>
      </c>
      <c r="O242">
        <v>46692</v>
      </c>
      <c r="P242">
        <v>12</v>
      </c>
      <c r="Q242" t="s">
        <v>104</v>
      </c>
      <c r="R242" t="s">
        <v>88</v>
      </c>
      <c r="S242" t="s">
        <v>182</v>
      </c>
      <c r="T242" t="s">
        <v>97</v>
      </c>
      <c r="U242" t="s">
        <v>44</v>
      </c>
      <c r="V242" t="s">
        <v>67</v>
      </c>
      <c r="W242" t="s">
        <v>46</v>
      </c>
      <c r="X242" t="s">
        <v>83</v>
      </c>
      <c r="Y242" s="3">
        <v>165744.04</v>
      </c>
      <c r="Z242" s="3">
        <v>132595.24</v>
      </c>
      <c r="AA242">
        <v>0.8</v>
      </c>
      <c r="AB242" t="s">
        <v>39</v>
      </c>
      <c r="AC242" t="s">
        <v>39</v>
      </c>
      <c r="AD242" t="s">
        <v>48</v>
      </c>
    </row>
    <row r="243" spans="1:30" x14ac:dyDescent="0.35">
      <c r="A243" t="s">
        <v>30</v>
      </c>
      <c r="B243" t="s">
        <v>31</v>
      </c>
      <c r="C243" t="s">
        <v>399</v>
      </c>
      <c r="D243" t="s">
        <v>420</v>
      </c>
      <c r="E243" t="s">
        <v>421</v>
      </c>
      <c r="F243" t="s">
        <v>422</v>
      </c>
      <c r="G243" t="s">
        <v>423</v>
      </c>
      <c r="H243" t="s">
        <v>37</v>
      </c>
      <c r="I243" t="s">
        <v>117</v>
      </c>
      <c r="J243" t="s">
        <v>39</v>
      </c>
      <c r="K243" s="2">
        <v>46339</v>
      </c>
      <c r="L243" s="2">
        <v>46356</v>
      </c>
      <c r="N243">
        <v>46327</v>
      </c>
      <c r="O243">
        <v>47423</v>
      </c>
      <c r="P243">
        <v>36</v>
      </c>
      <c r="Q243" t="s">
        <v>40</v>
      </c>
      <c r="R243" t="s">
        <v>88</v>
      </c>
      <c r="S243" t="s">
        <v>80</v>
      </c>
      <c r="T243" t="s">
        <v>43</v>
      </c>
      <c r="U243" t="s">
        <v>44</v>
      </c>
      <c r="V243" t="s">
        <v>74</v>
      </c>
      <c r="W243" t="s">
        <v>132</v>
      </c>
      <c r="X243" t="s">
        <v>91</v>
      </c>
      <c r="Y243" s="3">
        <v>111309.64</v>
      </c>
      <c r="Z243" s="3">
        <v>38958.370000000003</v>
      </c>
      <c r="AA243">
        <v>0.35</v>
      </c>
      <c r="AB243" t="s">
        <v>39</v>
      </c>
      <c r="AC243" t="s">
        <v>39</v>
      </c>
      <c r="AD243" t="s">
        <v>48</v>
      </c>
    </row>
    <row r="244" spans="1:30" x14ac:dyDescent="0.35">
      <c r="A244" t="s">
        <v>30</v>
      </c>
      <c r="B244" t="s">
        <v>31</v>
      </c>
      <c r="C244" t="s">
        <v>399</v>
      </c>
      <c r="D244" t="s">
        <v>424</v>
      </c>
      <c r="E244" t="s">
        <v>425</v>
      </c>
      <c r="F244" t="s">
        <v>426</v>
      </c>
      <c r="G244" t="s">
        <v>427</v>
      </c>
      <c r="H244" t="s">
        <v>37</v>
      </c>
      <c r="I244" t="s">
        <v>64</v>
      </c>
      <c r="J244" t="s">
        <v>39</v>
      </c>
      <c r="K244" s="2">
        <v>46341</v>
      </c>
      <c r="L244" s="2">
        <v>46356</v>
      </c>
      <c r="N244">
        <v>46327</v>
      </c>
      <c r="O244">
        <v>47058</v>
      </c>
      <c r="P244">
        <v>24</v>
      </c>
      <c r="Q244" t="s">
        <v>65</v>
      </c>
      <c r="R244" t="s">
        <v>88</v>
      </c>
      <c r="S244" t="s">
        <v>151</v>
      </c>
      <c r="T244" t="s">
        <v>131</v>
      </c>
      <c r="U244" t="s">
        <v>44</v>
      </c>
      <c r="V244" t="s">
        <v>138</v>
      </c>
      <c r="W244" t="s">
        <v>132</v>
      </c>
      <c r="X244" t="s">
        <v>68</v>
      </c>
      <c r="Y244" s="3">
        <v>132723.91</v>
      </c>
      <c r="Z244" s="3">
        <v>86270.54</v>
      </c>
      <c r="AA244">
        <v>0.65</v>
      </c>
      <c r="AB244" t="s">
        <v>39</v>
      </c>
      <c r="AC244" t="s">
        <v>39</v>
      </c>
      <c r="AD244" t="s">
        <v>48</v>
      </c>
    </row>
    <row r="245" spans="1:30" x14ac:dyDescent="0.35">
      <c r="A245" t="s">
        <v>30</v>
      </c>
      <c r="B245" t="s">
        <v>31</v>
      </c>
      <c r="C245" t="s">
        <v>399</v>
      </c>
      <c r="D245" t="s">
        <v>428</v>
      </c>
      <c r="E245" t="s">
        <v>429</v>
      </c>
      <c r="F245" t="s">
        <v>430</v>
      </c>
      <c r="G245" t="s">
        <v>431</v>
      </c>
      <c r="H245" t="s">
        <v>37</v>
      </c>
      <c r="I245" t="s">
        <v>38</v>
      </c>
      <c r="J245" t="s">
        <v>39</v>
      </c>
      <c r="K245" s="2">
        <v>46334</v>
      </c>
      <c r="L245" s="2">
        <v>46356</v>
      </c>
      <c r="N245">
        <v>46327</v>
      </c>
      <c r="O245">
        <v>46692</v>
      </c>
      <c r="P245">
        <v>12</v>
      </c>
      <c r="Q245" t="s">
        <v>65</v>
      </c>
      <c r="R245" t="s">
        <v>41</v>
      </c>
      <c r="S245" t="s">
        <v>135</v>
      </c>
      <c r="T245" t="s">
        <v>131</v>
      </c>
      <c r="U245" t="s">
        <v>106</v>
      </c>
      <c r="V245" t="s">
        <v>45</v>
      </c>
      <c r="W245" t="s">
        <v>75</v>
      </c>
      <c r="X245" t="s">
        <v>143</v>
      </c>
      <c r="Y245" s="3">
        <v>178636.31</v>
      </c>
      <c r="Z245" s="3">
        <v>62522.71</v>
      </c>
      <c r="AA245">
        <v>0.35</v>
      </c>
      <c r="AB245" t="s">
        <v>39</v>
      </c>
      <c r="AC245" t="s">
        <v>39</v>
      </c>
      <c r="AD245" t="s">
        <v>48</v>
      </c>
    </row>
    <row r="246" spans="1:30" x14ac:dyDescent="0.35">
      <c r="A246" t="s">
        <v>30</v>
      </c>
      <c r="B246" t="s">
        <v>31</v>
      </c>
      <c r="C246" t="s">
        <v>399</v>
      </c>
      <c r="D246" t="s">
        <v>432</v>
      </c>
      <c r="E246" t="s">
        <v>433</v>
      </c>
      <c r="F246" t="s">
        <v>434</v>
      </c>
      <c r="G246" t="s">
        <v>435</v>
      </c>
      <c r="H246" t="s">
        <v>37</v>
      </c>
      <c r="I246" t="s">
        <v>117</v>
      </c>
      <c r="J246" t="s">
        <v>39</v>
      </c>
      <c r="K246" s="2">
        <v>46329</v>
      </c>
      <c r="L246" s="2">
        <v>46356</v>
      </c>
      <c r="N246">
        <v>46327</v>
      </c>
      <c r="O246">
        <v>47058</v>
      </c>
      <c r="P246">
        <v>24</v>
      </c>
      <c r="Q246" t="s">
        <v>104</v>
      </c>
      <c r="R246" t="s">
        <v>88</v>
      </c>
      <c r="S246" t="s">
        <v>280</v>
      </c>
      <c r="T246" t="s">
        <v>43</v>
      </c>
      <c r="U246" t="s">
        <v>44</v>
      </c>
      <c r="V246" t="s">
        <v>217</v>
      </c>
      <c r="W246" t="s">
        <v>46</v>
      </c>
      <c r="X246" t="s">
        <v>68</v>
      </c>
      <c r="Y246" s="3">
        <v>105602.51</v>
      </c>
      <c r="Z246" s="3">
        <v>36960.879999999997</v>
      </c>
      <c r="AA246">
        <v>0.35</v>
      </c>
      <c r="AB246" t="s">
        <v>39</v>
      </c>
      <c r="AC246" t="s">
        <v>39</v>
      </c>
      <c r="AD246" t="s">
        <v>48</v>
      </c>
    </row>
    <row r="247" spans="1:30" x14ac:dyDescent="0.35">
      <c r="A247" t="s">
        <v>30</v>
      </c>
      <c r="B247" t="s">
        <v>31</v>
      </c>
      <c r="C247" t="s">
        <v>399</v>
      </c>
      <c r="D247" t="s">
        <v>436</v>
      </c>
      <c r="E247" t="s">
        <v>437</v>
      </c>
      <c r="F247" t="s">
        <v>438</v>
      </c>
      <c r="G247" t="s">
        <v>439</v>
      </c>
      <c r="H247" t="s">
        <v>37</v>
      </c>
      <c r="I247" t="s">
        <v>117</v>
      </c>
      <c r="J247" t="s">
        <v>39</v>
      </c>
      <c r="K247" s="2">
        <v>46330</v>
      </c>
      <c r="L247" s="2">
        <v>46356</v>
      </c>
      <c r="N247">
        <v>46327</v>
      </c>
      <c r="O247">
        <v>46692</v>
      </c>
      <c r="P247">
        <v>12</v>
      </c>
      <c r="Q247" t="s">
        <v>104</v>
      </c>
      <c r="R247" t="s">
        <v>53</v>
      </c>
      <c r="S247" t="s">
        <v>137</v>
      </c>
      <c r="T247" t="s">
        <v>97</v>
      </c>
      <c r="U247" t="s">
        <v>44</v>
      </c>
      <c r="V247" t="s">
        <v>45</v>
      </c>
      <c r="W247" t="s">
        <v>150</v>
      </c>
      <c r="X247" t="s">
        <v>59</v>
      </c>
      <c r="Y247" s="3">
        <v>164970.76</v>
      </c>
      <c r="Z247" s="3">
        <v>131976.60999999999</v>
      </c>
      <c r="AA247">
        <v>0.8</v>
      </c>
      <c r="AB247" t="s">
        <v>39</v>
      </c>
      <c r="AC247" t="s">
        <v>39</v>
      </c>
      <c r="AD247" t="s">
        <v>48</v>
      </c>
    </row>
    <row r="248" spans="1:30" x14ac:dyDescent="0.35">
      <c r="A248" t="s">
        <v>30</v>
      </c>
      <c r="B248" t="s">
        <v>31</v>
      </c>
      <c r="C248" t="s">
        <v>399</v>
      </c>
      <c r="D248" t="s">
        <v>440</v>
      </c>
      <c r="E248" t="s">
        <v>441</v>
      </c>
      <c r="F248" t="s">
        <v>442</v>
      </c>
      <c r="G248" t="s">
        <v>443</v>
      </c>
      <c r="H248" t="s">
        <v>37</v>
      </c>
      <c r="I248" t="s">
        <v>103</v>
      </c>
      <c r="J248" t="s">
        <v>39</v>
      </c>
      <c r="K248" s="2">
        <v>46329</v>
      </c>
      <c r="L248" s="2">
        <v>46356</v>
      </c>
      <c r="N248">
        <v>46327</v>
      </c>
      <c r="O248">
        <v>47423</v>
      </c>
      <c r="P248">
        <v>36</v>
      </c>
      <c r="Q248" t="s">
        <v>40</v>
      </c>
      <c r="R248" t="s">
        <v>53</v>
      </c>
      <c r="S248" t="s">
        <v>135</v>
      </c>
      <c r="T248" t="s">
        <v>131</v>
      </c>
      <c r="U248" t="s">
        <v>44</v>
      </c>
      <c r="V248" t="s">
        <v>81</v>
      </c>
      <c r="W248" t="s">
        <v>132</v>
      </c>
      <c r="X248" t="s">
        <v>158</v>
      </c>
      <c r="Y248" s="3">
        <v>152732.28</v>
      </c>
      <c r="Z248" s="3">
        <v>76366.14</v>
      </c>
      <c r="AA248">
        <v>0.5</v>
      </c>
      <c r="AB248" t="s">
        <v>39</v>
      </c>
      <c r="AC248" t="s">
        <v>39</v>
      </c>
      <c r="AD248" t="s">
        <v>48</v>
      </c>
    </row>
    <row r="249" spans="1:30" x14ac:dyDescent="0.35">
      <c r="A249" t="s">
        <v>30</v>
      </c>
      <c r="B249" t="s">
        <v>31</v>
      </c>
      <c r="C249" t="s">
        <v>399</v>
      </c>
      <c r="D249" t="s">
        <v>2211</v>
      </c>
      <c r="E249" t="s">
        <v>2212</v>
      </c>
      <c r="F249" t="s">
        <v>1265</v>
      </c>
      <c r="G249" t="s">
        <v>1266</v>
      </c>
      <c r="H249" t="s">
        <v>1271</v>
      </c>
      <c r="I249" t="s">
        <v>103</v>
      </c>
      <c r="J249" t="s">
        <v>39</v>
      </c>
      <c r="K249" s="2">
        <v>46339</v>
      </c>
      <c r="L249" s="2">
        <v>46356</v>
      </c>
      <c r="N249">
        <v>46327</v>
      </c>
      <c r="O249">
        <v>47058</v>
      </c>
      <c r="P249">
        <v>24</v>
      </c>
      <c r="Q249" t="s">
        <v>104</v>
      </c>
      <c r="R249" t="s">
        <v>88</v>
      </c>
      <c r="S249" t="s">
        <v>222</v>
      </c>
      <c r="T249" t="s">
        <v>97</v>
      </c>
      <c r="U249" t="s">
        <v>56</v>
      </c>
      <c r="V249" t="s">
        <v>74</v>
      </c>
      <c r="W249" t="s">
        <v>142</v>
      </c>
      <c r="X249" t="s">
        <v>59</v>
      </c>
      <c r="Y249" s="3">
        <v>147926.29999999999</v>
      </c>
      <c r="Z249" s="3">
        <v>96152.1</v>
      </c>
      <c r="AA249">
        <v>0.65</v>
      </c>
      <c r="AB249" t="s">
        <v>39</v>
      </c>
      <c r="AC249" t="s">
        <v>39</v>
      </c>
      <c r="AD249" t="s">
        <v>48</v>
      </c>
    </row>
    <row r="250" spans="1:30" x14ac:dyDescent="0.35">
      <c r="A250" t="s">
        <v>30</v>
      </c>
      <c r="B250" t="s">
        <v>31</v>
      </c>
      <c r="C250" t="s">
        <v>399</v>
      </c>
      <c r="D250" t="s">
        <v>2213</v>
      </c>
      <c r="E250" t="s">
        <v>2214</v>
      </c>
      <c r="F250" t="s">
        <v>278</v>
      </c>
      <c r="G250" t="s">
        <v>279</v>
      </c>
      <c r="H250" t="s">
        <v>1271</v>
      </c>
      <c r="I250" t="s">
        <v>64</v>
      </c>
      <c r="J250" t="s">
        <v>39</v>
      </c>
      <c r="K250" s="2">
        <v>46329</v>
      </c>
      <c r="L250" s="2">
        <v>46356</v>
      </c>
      <c r="N250">
        <v>46327</v>
      </c>
      <c r="O250">
        <v>46692</v>
      </c>
      <c r="P250">
        <v>12</v>
      </c>
      <c r="Q250" t="s">
        <v>40</v>
      </c>
      <c r="R250" t="s">
        <v>88</v>
      </c>
      <c r="S250" t="s">
        <v>162</v>
      </c>
      <c r="T250" t="s">
        <v>43</v>
      </c>
      <c r="U250" t="s">
        <v>44</v>
      </c>
      <c r="V250" t="s">
        <v>45</v>
      </c>
      <c r="W250" t="s">
        <v>161</v>
      </c>
      <c r="X250" t="s">
        <v>59</v>
      </c>
      <c r="Y250" s="3">
        <v>122975.82</v>
      </c>
      <c r="Z250" s="3">
        <v>61487.91</v>
      </c>
      <c r="AA250">
        <v>0.5</v>
      </c>
      <c r="AB250" t="s">
        <v>39</v>
      </c>
      <c r="AC250" t="s">
        <v>39</v>
      </c>
      <c r="AD250" t="s">
        <v>48</v>
      </c>
    </row>
    <row r="251" spans="1:30" x14ac:dyDescent="0.35">
      <c r="A251" t="s">
        <v>30</v>
      </c>
      <c r="B251" t="s">
        <v>31</v>
      </c>
      <c r="C251" t="s">
        <v>399</v>
      </c>
      <c r="D251" t="s">
        <v>2215</v>
      </c>
      <c r="E251" t="s">
        <v>2216</v>
      </c>
      <c r="F251" t="s">
        <v>2217</v>
      </c>
      <c r="G251" t="s">
        <v>2218</v>
      </c>
      <c r="H251" t="s">
        <v>1271</v>
      </c>
      <c r="I251" t="s">
        <v>111</v>
      </c>
      <c r="J251" t="s">
        <v>39</v>
      </c>
      <c r="K251" s="2">
        <v>46338</v>
      </c>
      <c r="L251" s="2">
        <v>46356</v>
      </c>
      <c r="N251">
        <v>46327</v>
      </c>
      <c r="O251">
        <v>46692</v>
      </c>
      <c r="P251">
        <v>12</v>
      </c>
      <c r="Q251" t="s">
        <v>40</v>
      </c>
      <c r="R251" t="s">
        <v>53</v>
      </c>
      <c r="S251" t="s">
        <v>135</v>
      </c>
      <c r="T251" t="s">
        <v>131</v>
      </c>
      <c r="U251" t="s">
        <v>56</v>
      </c>
      <c r="V251" t="s">
        <v>57</v>
      </c>
      <c r="W251" t="s">
        <v>46</v>
      </c>
      <c r="X251" t="s">
        <v>59</v>
      </c>
      <c r="Y251" s="3">
        <v>173133.66</v>
      </c>
      <c r="Z251" s="3">
        <v>86566.83</v>
      </c>
      <c r="AA251">
        <v>0.5</v>
      </c>
      <c r="AB251" t="s">
        <v>39</v>
      </c>
      <c r="AC251" t="s">
        <v>39</v>
      </c>
      <c r="AD251" t="s">
        <v>48</v>
      </c>
    </row>
    <row r="252" spans="1:30" x14ac:dyDescent="0.35">
      <c r="A252" t="s">
        <v>30</v>
      </c>
      <c r="B252" t="s">
        <v>31</v>
      </c>
      <c r="C252" t="s">
        <v>399</v>
      </c>
      <c r="D252" t="s">
        <v>2219</v>
      </c>
      <c r="E252" t="s">
        <v>2220</v>
      </c>
      <c r="F252" t="s">
        <v>2221</v>
      </c>
      <c r="G252" t="s">
        <v>2222</v>
      </c>
      <c r="H252" t="s">
        <v>1271</v>
      </c>
      <c r="I252" t="s">
        <v>103</v>
      </c>
      <c r="J252" t="s">
        <v>39</v>
      </c>
      <c r="K252" s="2">
        <v>46329</v>
      </c>
      <c r="L252" s="2">
        <v>46356</v>
      </c>
      <c r="N252">
        <v>46327</v>
      </c>
      <c r="O252">
        <v>47058</v>
      </c>
      <c r="P252">
        <v>24</v>
      </c>
      <c r="Q252" t="s">
        <v>40</v>
      </c>
      <c r="R252" t="s">
        <v>53</v>
      </c>
      <c r="S252" t="s">
        <v>141</v>
      </c>
      <c r="T252" t="s">
        <v>131</v>
      </c>
      <c r="U252" t="s">
        <v>56</v>
      </c>
      <c r="V252" t="s">
        <v>138</v>
      </c>
      <c r="W252" t="s">
        <v>142</v>
      </c>
      <c r="X252" t="s">
        <v>91</v>
      </c>
      <c r="Y252" s="3">
        <v>95043.65</v>
      </c>
      <c r="Z252" s="3">
        <v>76034.92</v>
      </c>
      <c r="AA252">
        <v>0.8</v>
      </c>
      <c r="AB252" t="s">
        <v>39</v>
      </c>
      <c r="AC252" t="s">
        <v>39</v>
      </c>
      <c r="AD252" t="s">
        <v>48</v>
      </c>
    </row>
    <row r="253" spans="1:30" x14ac:dyDescent="0.35">
      <c r="A253" t="s">
        <v>30</v>
      </c>
      <c r="B253" t="s">
        <v>31</v>
      </c>
      <c r="C253" t="s">
        <v>399</v>
      </c>
      <c r="D253" t="s">
        <v>2223</v>
      </c>
      <c r="E253" t="s">
        <v>2224</v>
      </c>
      <c r="F253" t="s">
        <v>2225</v>
      </c>
      <c r="G253" t="s">
        <v>2226</v>
      </c>
      <c r="H253" t="s">
        <v>1271</v>
      </c>
      <c r="I253" t="s">
        <v>64</v>
      </c>
      <c r="J253" t="s">
        <v>39</v>
      </c>
      <c r="K253" s="2">
        <v>46329</v>
      </c>
      <c r="L253" s="2">
        <v>46356</v>
      </c>
      <c r="N253">
        <v>46327</v>
      </c>
      <c r="O253">
        <v>47423</v>
      </c>
      <c r="P253">
        <v>36</v>
      </c>
      <c r="Q253" t="s">
        <v>40</v>
      </c>
      <c r="R253" t="s">
        <v>53</v>
      </c>
      <c r="S253" t="s">
        <v>151</v>
      </c>
      <c r="T253" t="s">
        <v>131</v>
      </c>
      <c r="U253" t="s">
        <v>106</v>
      </c>
      <c r="V253" t="s">
        <v>144</v>
      </c>
      <c r="W253" t="s">
        <v>75</v>
      </c>
      <c r="X253" t="s">
        <v>143</v>
      </c>
      <c r="Y253" s="3">
        <v>154607.51</v>
      </c>
      <c r="Z253" s="3">
        <v>123686.01</v>
      </c>
      <c r="AA253">
        <v>0.8</v>
      </c>
      <c r="AB253" t="s">
        <v>39</v>
      </c>
      <c r="AC253" t="s">
        <v>39</v>
      </c>
      <c r="AD253" t="s">
        <v>48</v>
      </c>
    </row>
    <row r="254" spans="1:30" x14ac:dyDescent="0.35">
      <c r="A254" t="s">
        <v>30</v>
      </c>
      <c r="B254" t="s">
        <v>31</v>
      </c>
      <c r="C254" t="s">
        <v>399</v>
      </c>
      <c r="D254" t="s">
        <v>2227</v>
      </c>
      <c r="E254" t="s">
        <v>2228</v>
      </c>
      <c r="F254" t="s">
        <v>929</v>
      </c>
      <c r="G254" t="s">
        <v>930</v>
      </c>
      <c r="H254" t="s">
        <v>1271</v>
      </c>
      <c r="I254" t="s">
        <v>64</v>
      </c>
      <c r="J254" t="s">
        <v>39</v>
      </c>
      <c r="K254" s="2">
        <v>46336</v>
      </c>
      <c r="L254" s="2">
        <v>46356</v>
      </c>
      <c r="N254">
        <v>46327</v>
      </c>
      <c r="O254">
        <v>46692</v>
      </c>
      <c r="P254">
        <v>12</v>
      </c>
      <c r="Q254" t="s">
        <v>40</v>
      </c>
      <c r="R254" t="s">
        <v>88</v>
      </c>
      <c r="S254" t="s">
        <v>112</v>
      </c>
      <c r="T254" t="s">
        <v>55</v>
      </c>
      <c r="U254" t="s">
        <v>106</v>
      </c>
      <c r="V254" t="s">
        <v>119</v>
      </c>
      <c r="W254" t="s">
        <v>46</v>
      </c>
      <c r="X254" t="s">
        <v>47</v>
      </c>
      <c r="Y254" s="3">
        <v>145448.45000000001</v>
      </c>
      <c r="Z254" s="3">
        <v>50906.96</v>
      </c>
      <c r="AA254">
        <v>0.35</v>
      </c>
      <c r="AB254" t="s">
        <v>39</v>
      </c>
      <c r="AC254" t="s">
        <v>39</v>
      </c>
      <c r="AD254" t="s">
        <v>48</v>
      </c>
    </row>
    <row r="255" spans="1:30" x14ac:dyDescent="0.35">
      <c r="A255" t="s">
        <v>30</v>
      </c>
      <c r="B255" t="s">
        <v>31</v>
      </c>
      <c r="C255" t="s">
        <v>399</v>
      </c>
      <c r="D255" t="s">
        <v>2229</v>
      </c>
      <c r="E255" t="s">
        <v>2230</v>
      </c>
      <c r="F255" t="s">
        <v>1617</v>
      </c>
      <c r="G255" t="s">
        <v>1618</v>
      </c>
      <c r="H255" t="s">
        <v>1271</v>
      </c>
      <c r="I255" t="s">
        <v>117</v>
      </c>
      <c r="J255" t="s">
        <v>39</v>
      </c>
      <c r="K255" s="2">
        <v>46327</v>
      </c>
      <c r="L255" s="2">
        <v>46356</v>
      </c>
      <c r="N255">
        <v>46327</v>
      </c>
      <c r="O255">
        <v>46692</v>
      </c>
      <c r="P255">
        <v>12</v>
      </c>
      <c r="Q255" t="s">
        <v>104</v>
      </c>
      <c r="R255" t="s">
        <v>53</v>
      </c>
      <c r="S255" t="s">
        <v>135</v>
      </c>
      <c r="T255" t="s">
        <v>131</v>
      </c>
      <c r="U255" t="s">
        <v>44</v>
      </c>
      <c r="V255" t="s">
        <v>144</v>
      </c>
      <c r="W255" t="s">
        <v>82</v>
      </c>
      <c r="X255" t="s">
        <v>91</v>
      </c>
      <c r="Y255" s="3">
        <v>143096.60999999999</v>
      </c>
      <c r="Z255" s="3">
        <v>71548.31</v>
      </c>
      <c r="AA255">
        <v>0.5</v>
      </c>
      <c r="AB255" t="s">
        <v>39</v>
      </c>
      <c r="AC255" t="s">
        <v>39</v>
      </c>
      <c r="AD255" t="s">
        <v>48</v>
      </c>
    </row>
    <row r="256" spans="1:30" x14ac:dyDescent="0.35">
      <c r="A256" t="s">
        <v>30</v>
      </c>
      <c r="B256" t="s">
        <v>31</v>
      </c>
      <c r="C256" t="s">
        <v>399</v>
      </c>
      <c r="D256" t="s">
        <v>2231</v>
      </c>
      <c r="E256" t="s">
        <v>2232</v>
      </c>
      <c r="F256" t="s">
        <v>2233</v>
      </c>
      <c r="G256" t="s">
        <v>2234</v>
      </c>
      <c r="H256" t="s">
        <v>1290</v>
      </c>
      <c r="I256" t="s">
        <v>64</v>
      </c>
      <c r="J256" t="s">
        <v>1290</v>
      </c>
      <c r="K256" s="2">
        <v>46327</v>
      </c>
      <c r="L256" s="2">
        <v>46356</v>
      </c>
      <c r="N256">
        <v>46327</v>
      </c>
      <c r="O256">
        <v>46692</v>
      </c>
      <c r="P256">
        <v>12</v>
      </c>
      <c r="Q256" t="s">
        <v>104</v>
      </c>
      <c r="R256" t="s">
        <v>41</v>
      </c>
      <c r="S256" t="s">
        <v>130</v>
      </c>
      <c r="T256" t="s">
        <v>131</v>
      </c>
      <c r="U256" t="s">
        <v>44</v>
      </c>
      <c r="V256" t="s">
        <v>217</v>
      </c>
      <c r="W256" t="s">
        <v>75</v>
      </c>
      <c r="X256" t="s">
        <v>83</v>
      </c>
      <c r="Y256" s="3">
        <v>134286.87</v>
      </c>
      <c r="Z256" s="3">
        <v>67143.429999999993</v>
      </c>
      <c r="AA256">
        <v>0.5</v>
      </c>
      <c r="AB256" t="s">
        <v>1290</v>
      </c>
      <c r="AC256" t="s">
        <v>1290</v>
      </c>
      <c r="AD256" t="s">
        <v>48</v>
      </c>
    </row>
    <row r="257" spans="1:30" x14ac:dyDescent="0.35">
      <c r="A257" t="s">
        <v>30</v>
      </c>
      <c r="B257" t="s">
        <v>31</v>
      </c>
      <c r="C257" t="s">
        <v>399</v>
      </c>
      <c r="D257" t="s">
        <v>2235</v>
      </c>
      <c r="E257" t="s">
        <v>2236</v>
      </c>
      <c r="F257" t="s">
        <v>1163</v>
      </c>
      <c r="G257" t="s">
        <v>1164</v>
      </c>
      <c r="H257" t="s">
        <v>1290</v>
      </c>
      <c r="I257" t="s">
        <v>117</v>
      </c>
      <c r="J257" t="s">
        <v>1290</v>
      </c>
      <c r="K257" s="2">
        <v>46331</v>
      </c>
      <c r="L257" s="2">
        <v>46356</v>
      </c>
      <c r="N257">
        <v>46327</v>
      </c>
      <c r="O257">
        <v>47058</v>
      </c>
      <c r="P257">
        <v>24</v>
      </c>
      <c r="Q257" t="s">
        <v>104</v>
      </c>
      <c r="R257" t="s">
        <v>88</v>
      </c>
      <c r="S257" t="s">
        <v>149</v>
      </c>
      <c r="T257" t="s">
        <v>131</v>
      </c>
      <c r="U257" t="s">
        <v>44</v>
      </c>
      <c r="V257" t="s">
        <v>98</v>
      </c>
      <c r="W257" t="s">
        <v>161</v>
      </c>
      <c r="X257" t="s">
        <v>91</v>
      </c>
      <c r="Y257" s="3">
        <v>160653.89000000001</v>
      </c>
      <c r="Z257" s="3">
        <v>56228.86</v>
      </c>
      <c r="AA257">
        <v>0.35</v>
      </c>
      <c r="AB257" t="s">
        <v>1290</v>
      </c>
      <c r="AC257" t="s">
        <v>1290</v>
      </c>
      <c r="AD257" t="s">
        <v>48</v>
      </c>
    </row>
    <row r="258" spans="1:30" x14ac:dyDescent="0.35">
      <c r="A258" t="s">
        <v>30</v>
      </c>
      <c r="B258" t="s">
        <v>31</v>
      </c>
      <c r="C258" t="s">
        <v>399</v>
      </c>
      <c r="D258" t="s">
        <v>2237</v>
      </c>
      <c r="E258" t="s">
        <v>2238</v>
      </c>
      <c r="F258" t="s">
        <v>801</v>
      </c>
      <c r="G258" t="s">
        <v>802</v>
      </c>
      <c r="H258" t="s">
        <v>1290</v>
      </c>
      <c r="I258" t="s">
        <v>64</v>
      </c>
      <c r="J258" t="s">
        <v>1290</v>
      </c>
      <c r="K258" s="2">
        <v>46337</v>
      </c>
      <c r="L258" s="2">
        <v>46356</v>
      </c>
      <c r="N258">
        <v>46327</v>
      </c>
      <c r="O258">
        <v>47058</v>
      </c>
      <c r="P258">
        <v>24</v>
      </c>
      <c r="Q258" t="s">
        <v>40</v>
      </c>
      <c r="R258" t="s">
        <v>88</v>
      </c>
      <c r="S258" t="s">
        <v>96</v>
      </c>
      <c r="T258" t="s">
        <v>97</v>
      </c>
      <c r="U258" t="s">
        <v>44</v>
      </c>
      <c r="V258" t="s">
        <v>81</v>
      </c>
      <c r="W258" t="s">
        <v>46</v>
      </c>
      <c r="X258" t="s">
        <v>47</v>
      </c>
      <c r="Y258" s="3">
        <v>146031.24</v>
      </c>
      <c r="Z258" s="3">
        <v>94920.3</v>
      </c>
      <c r="AA258">
        <v>0.65</v>
      </c>
      <c r="AB258" t="s">
        <v>1290</v>
      </c>
      <c r="AC258" t="s">
        <v>1290</v>
      </c>
      <c r="AD258" t="s">
        <v>48</v>
      </c>
    </row>
    <row r="259" spans="1:30" x14ac:dyDescent="0.35">
      <c r="A259" t="s">
        <v>30</v>
      </c>
      <c r="B259" t="s">
        <v>31</v>
      </c>
      <c r="C259" t="s">
        <v>399</v>
      </c>
      <c r="D259" t="s">
        <v>2239</v>
      </c>
      <c r="E259" t="s">
        <v>2240</v>
      </c>
      <c r="F259" t="s">
        <v>823</v>
      </c>
      <c r="G259" t="s">
        <v>824</v>
      </c>
      <c r="H259" t="s">
        <v>1295</v>
      </c>
      <c r="I259" t="s">
        <v>64</v>
      </c>
      <c r="J259" t="s">
        <v>1295</v>
      </c>
      <c r="K259" s="2">
        <v>46340</v>
      </c>
      <c r="L259" s="2">
        <v>46356</v>
      </c>
      <c r="N259">
        <v>46327</v>
      </c>
      <c r="O259">
        <v>46692</v>
      </c>
      <c r="P259">
        <v>12</v>
      </c>
      <c r="Q259" t="s">
        <v>104</v>
      </c>
      <c r="R259" t="s">
        <v>41</v>
      </c>
      <c r="S259" t="s">
        <v>182</v>
      </c>
      <c r="T259" t="s">
        <v>97</v>
      </c>
      <c r="U259" t="s">
        <v>44</v>
      </c>
      <c r="V259" t="s">
        <v>144</v>
      </c>
      <c r="W259" t="s">
        <v>142</v>
      </c>
      <c r="X259" t="s">
        <v>143</v>
      </c>
      <c r="Y259" s="3">
        <v>174784.71</v>
      </c>
      <c r="Z259" s="3">
        <v>139827.76999999999</v>
      </c>
      <c r="AA259">
        <v>0.8</v>
      </c>
      <c r="AB259" t="s">
        <v>1295</v>
      </c>
      <c r="AC259" t="s">
        <v>1295</v>
      </c>
      <c r="AD259" t="s">
        <v>48</v>
      </c>
    </row>
    <row r="260" spans="1:30" x14ac:dyDescent="0.35">
      <c r="A260" t="s">
        <v>30</v>
      </c>
      <c r="B260" t="s">
        <v>31</v>
      </c>
      <c r="C260" t="s">
        <v>399</v>
      </c>
      <c r="D260" t="s">
        <v>2241</v>
      </c>
      <c r="E260" t="s">
        <v>2242</v>
      </c>
      <c r="F260" t="s">
        <v>1293</v>
      </c>
      <c r="G260" t="s">
        <v>1294</v>
      </c>
      <c r="H260" t="s">
        <v>1295</v>
      </c>
      <c r="I260" t="s">
        <v>103</v>
      </c>
      <c r="J260" t="s">
        <v>1295</v>
      </c>
      <c r="K260" s="2">
        <v>46332</v>
      </c>
      <c r="L260" s="2">
        <v>46356</v>
      </c>
      <c r="N260">
        <v>46327</v>
      </c>
      <c r="O260">
        <v>47058</v>
      </c>
      <c r="P260">
        <v>24</v>
      </c>
      <c r="Q260" t="s">
        <v>104</v>
      </c>
      <c r="R260" t="s">
        <v>41</v>
      </c>
      <c r="S260" t="s">
        <v>141</v>
      </c>
      <c r="T260" t="s">
        <v>131</v>
      </c>
      <c r="U260" t="s">
        <v>106</v>
      </c>
      <c r="V260" t="s">
        <v>81</v>
      </c>
      <c r="W260" t="s">
        <v>46</v>
      </c>
      <c r="X260" t="s">
        <v>68</v>
      </c>
      <c r="Y260" s="3">
        <v>190522.39</v>
      </c>
      <c r="Z260" s="3">
        <v>66682.84</v>
      </c>
      <c r="AA260">
        <v>0.35</v>
      </c>
      <c r="AB260" t="s">
        <v>1295</v>
      </c>
      <c r="AC260" t="s">
        <v>1295</v>
      </c>
      <c r="AD260" t="s">
        <v>48</v>
      </c>
    </row>
    <row r="261" spans="1:30" x14ac:dyDescent="0.35">
      <c r="A261" t="s">
        <v>30</v>
      </c>
      <c r="B261" t="s">
        <v>31</v>
      </c>
      <c r="C261" t="s">
        <v>399</v>
      </c>
      <c r="D261" t="s">
        <v>2243</v>
      </c>
      <c r="E261" t="s">
        <v>2244</v>
      </c>
      <c r="F261" t="s">
        <v>1521</v>
      </c>
      <c r="G261" t="s">
        <v>1522</v>
      </c>
      <c r="H261" t="s">
        <v>1295</v>
      </c>
      <c r="I261" t="s">
        <v>103</v>
      </c>
      <c r="J261" t="s">
        <v>1295</v>
      </c>
      <c r="K261" s="2">
        <v>46337</v>
      </c>
      <c r="L261" s="2">
        <v>46356</v>
      </c>
      <c r="N261">
        <v>46327</v>
      </c>
      <c r="O261">
        <v>47058</v>
      </c>
      <c r="P261">
        <v>24</v>
      </c>
      <c r="Q261" t="s">
        <v>65</v>
      </c>
      <c r="R261" t="s">
        <v>88</v>
      </c>
      <c r="S261" t="s">
        <v>130</v>
      </c>
      <c r="T261" t="s">
        <v>131</v>
      </c>
      <c r="U261" t="s">
        <v>44</v>
      </c>
      <c r="V261" t="s">
        <v>217</v>
      </c>
      <c r="W261" t="s">
        <v>82</v>
      </c>
      <c r="X261" t="s">
        <v>125</v>
      </c>
      <c r="Y261" s="3">
        <v>148760.23000000001</v>
      </c>
      <c r="Z261" s="3">
        <v>52066.080000000002</v>
      </c>
      <c r="AA261">
        <v>0.35</v>
      </c>
      <c r="AB261" t="s">
        <v>1295</v>
      </c>
      <c r="AC261" t="s">
        <v>1295</v>
      </c>
      <c r="AD261" t="s">
        <v>48</v>
      </c>
    </row>
    <row r="262" spans="1:30" x14ac:dyDescent="0.35">
      <c r="A262" t="s">
        <v>30</v>
      </c>
      <c r="B262" t="s">
        <v>31</v>
      </c>
      <c r="C262" t="s">
        <v>399</v>
      </c>
      <c r="D262" t="s">
        <v>2245</v>
      </c>
      <c r="E262" t="s">
        <v>2246</v>
      </c>
      <c r="F262" t="s">
        <v>2247</v>
      </c>
      <c r="G262" t="s">
        <v>2248</v>
      </c>
      <c r="H262" t="s">
        <v>1295</v>
      </c>
      <c r="I262" t="s">
        <v>103</v>
      </c>
      <c r="J262" t="s">
        <v>1295</v>
      </c>
      <c r="K262" s="2">
        <v>46327</v>
      </c>
      <c r="L262" s="2">
        <v>46356</v>
      </c>
      <c r="N262">
        <v>46327</v>
      </c>
      <c r="O262">
        <v>46692</v>
      </c>
      <c r="P262">
        <v>12</v>
      </c>
      <c r="Q262" t="s">
        <v>40</v>
      </c>
      <c r="R262" t="s">
        <v>88</v>
      </c>
      <c r="S262" t="s">
        <v>135</v>
      </c>
      <c r="T262" t="s">
        <v>131</v>
      </c>
      <c r="U262" t="s">
        <v>106</v>
      </c>
      <c r="V262" t="s">
        <v>45</v>
      </c>
      <c r="W262" t="s">
        <v>82</v>
      </c>
      <c r="X262" t="s">
        <v>125</v>
      </c>
      <c r="Y262" s="3">
        <v>204854.67</v>
      </c>
      <c r="Z262" s="3">
        <v>102427.33</v>
      </c>
      <c r="AA262">
        <v>0.5</v>
      </c>
      <c r="AB262" t="s">
        <v>1295</v>
      </c>
      <c r="AC262" t="s">
        <v>1295</v>
      </c>
      <c r="AD262" t="s">
        <v>48</v>
      </c>
    </row>
    <row r="263" spans="1:30" x14ac:dyDescent="0.35">
      <c r="A263" t="s">
        <v>30</v>
      </c>
      <c r="B263" t="s">
        <v>31</v>
      </c>
      <c r="C263" t="s">
        <v>399</v>
      </c>
      <c r="D263" t="s">
        <v>2249</v>
      </c>
      <c r="E263" t="s">
        <v>2250</v>
      </c>
      <c r="F263" t="s">
        <v>2251</v>
      </c>
      <c r="G263" t="s">
        <v>2252</v>
      </c>
      <c r="H263" t="s">
        <v>1302</v>
      </c>
      <c r="I263" t="s">
        <v>117</v>
      </c>
      <c r="J263" t="s">
        <v>39</v>
      </c>
      <c r="K263" s="2">
        <v>46331</v>
      </c>
      <c r="L263" s="2">
        <v>46356</v>
      </c>
      <c r="N263">
        <v>46327</v>
      </c>
      <c r="O263">
        <v>46692</v>
      </c>
      <c r="P263">
        <v>12</v>
      </c>
      <c r="Q263" t="s">
        <v>40</v>
      </c>
      <c r="R263" t="s">
        <v>41</v>
      </c>
      <c r="S263" t="s">
        <v>135</v>
      </c>
      <c r="T263" t="s">
        <v>131</v>
      </c>
      <c r="U263" t="s">
        <v>44</v>
      </c>
      <c r="V263" t="s">
        <v>81</v>
      </c>
      <c r="W263" t="s">
        <v>132</v>
      </c>
      <c r="X263" t="s">
        <v>158</v>
      </c>
      <c r="Y263" s="3">
        <v>170712.74</v>
      </c>
      <c r="Z263" s="3">
        <v>85356.37</v>
      </c>
      <c r="AA263">
        <v>0.5</v>
      </c>
      <c r="AB263" t="s">
        <v>39</v>
      </c>
      <c r="AC263" t="s">
        <v>39</v>
      </c>
      <c r="AD263" t="s">
        <v>48</v>
      </c>
    </row>
    <row r="264" spans="1:30" x14ac:dyDescent="0.35">
      <c r="A264" t="s">
        <v>30</v>
      </c>
      <c r="B264" t="s">
        <v>31</v>
      </c>
      <c r="C264" t="s">
        <v>399</v>
      </c>
      <c r="D264" t="s">
        <v>2253</v>
      </c>
      <c r="E264" t="s">
        <v>2254</v>
      </c>
      <c r="F264" t="s">
        <v>2255</v>
      </c>
      <c r="G264" t="s">
        <v>2256</v>
      </c>
      <c r="H264" t="s">
        <v>1302</v>
      </c>
      <c r="I264" t="s">
        <v>103</v>
      </c>
      <c r="J264" t="s">
        <v>39</v>
      </c>
      <c r="K264" s="2">
        <v>46334</v>
      </c>
      <c r="L264" s="2">
        <v>46356</v>
      </c>
      <c r="N264">
        <v>46327</v>
      </c>
      <c r="O264">
        <v>47423</v>
      </c>
      <c r="P264">
        <v>36</v>
      </c>
      <c r="Q264" t="s">
        <v>40</v>
      </c>
      <c r="R264" t="s">
        <v>53</v>
      </c>
      <c r="S264" t="s">
        <v>164</v>
      </c>
      <c r="T264" t="s">
        <v>55</v>
      </c>
      <c r="U264" t="s">
        <v>106</v>
      </c>
      <c r="V264" t="s">
        <v>144</v>
      </c>
      <c r="W264" t="s">
        <v>136</v>
      </c>
      <c r="X264" t="s">
        <v>143</v>
      </c>
      <c r="Y264" s="3">
        <v>122294.02</v>
      </c>
      <c r="Z264" s="3">
        <v>42802.91</v>
      </c>
      <c r="AA264">
        <v>0.35</v>
      </c>
      <c r="AB264" t="s">
        <v>39</v>
      </c>
      <c r="AC264" t="s">
        <v>39</v>
      </c>
      <c r="AD264" t="s">
        <v>48</v>
      </c>
    </row>
    <row r="265" spans="1:30" x14ac:dyDescent="0.35">
      <c r="A265" t="s">
        <v>30</v>
      </c>
      <c r="B265" t="s">
        <v>31</v>
      </c>
      <c r="C265" t="s">
        <v>399</v>
      </c>
      <c r="D265" t="s">
        <v>2257</v>
      </c>
      <c r="E265" t="s">
        <v>2258</v>
      </c>
      <c r="F265" t="s">
        <v>2259</v>
      </c>
      <c r="G265" t="s">
        <v>2260</v>
      </c>
      <c r="H265" t="s">
        <v>1302</v>
      </c>
      <c r="I265" t="s">
        <v>103</v>
      </c>
      <c r="J265" t="s">
        <v>39</v>
      </c>
      <c r="K265" s="2">
        <v>46340</v>
      </c>
      <c r="L265" s="2">
        <v>46356</v>
      </c>
      <c r="N265">
        <v>46327</v>
      </c>
      <c r="O265">
        <v>46692</v>
      </c>
      <c r="P265">
        <v>12</v>
      </c>
      <c r="Q265" t="s">
        <v>40</v>
      </c>
      <c r="R265" t="s">
        <v>41</v>
      </c>
      <c r="S265" t="s">
        <v>140</v>
      </c>
      <c r="T265" t="s">
        <v>97</v>
      </c>
      <c r="U265" t="s">
        <v>44</v>
      </c>
      <c r="V265" t="s">
        <v>98</v>
      </c>
      <c r="W265" t="s">
        <v>142</v>
      </c>
      <c r="X265" t="s">
        <v>59</v>
      </c>
      <c r="Y265" s="3">
        <v>106885.24</v>
      </c>
      <c r="Z265" s="3">
        <v>37409.83</v>
      </c>
      <c r="AA265">
        <v>0.35</v>
      </c>
      <c r="AB265" t="s">
        <v>39</v>
      </c>
      <c r="AC265" t="s">
        <v>39</v>
      </c>
      <c r="AD265" t="s">
        <v>48</v>
      </c>
    </row>
    <row r="266" spans="1:30" x14ac:dyDescent="0.35">
      <c r="A266" t="s">
        <v>30</v>
      </c>
      <c r="B266" t="s">
        <v>31</v>
      </c>
      <c r="C266" t="s">
        <v>454</v>
      </c>
      <c r="D266" t="s">
        <v>455</v>
      </c>
      <c r="E266" t="s">
        <v>456</v>
      </c>
      <c r="F266" t="s">
        <v>457</v>
      </c>
      <c r="G266" t="s">
        <v>458</v>
      </c>
      <c r="H266" t="s">
        <v>37</v>
      </c>
      <c r="I266" t="s">
        <v>117</v>
      </c>
      <c r="J266" t="s">
        <v>39</v>
      </c>
      <c r="K266" s="2">
        <v>46363</v>
      </c>
      <c r="L266" s="2">
        <v>46387</v>
      </c>
      <c r="N266">
        <v>46357</v>
      </c>
      <c r="O266">
        <v>46722</v>
      </c>
      <c r="P266">
        <v>12</v>
      </c>
      <c r="Q266" t="s">
        <v>104</v>
      </c>
      <c r="R266" t="s">
        <v>41</v>
      </c>
      <c r="S266" t="s">
        <v>149</v>
      </c>
      <c r="T266" t="s">
        <v>131</v>
      </c>
      <c r="U266" t="s">
        <v>56</v>
      </c>
      <c r="V266" t="s">
        <v>144</v>
      </c>
      <c r="W266" t="s">
        <v>161</v>
      </c>
      <c r="X266" t="s">
        <v>83</v>
      </c>
      <c r="Y266" s="3">
        <v>176508.88</v>
      </c>
      <c r="Z266" s="3">
        <v>88254.44</v>
      </c>
      <c r="AA266">
        <v>0.5</v>
      </c>
      <c r="AB266" t="s">
        <v>39</v>
      </c>
      <c r="AC266" t="s">
        <v>39</v>
      </c>
      <c r="AD266" t="s">
        <v>48</v>
      </c>
    </row>
    <row r="267" spans="1:30" x14ac:dyDescent="0.35">
      <c r="A267" t="s">
        <v>30</v>
      </c>
      <c r="B267" t="s">
        <v>31</v>
      </c>
      <c r="C267" t="s">
        <v>454</v>
      </c>
      <c r="D267" t="s">
        <v>459</v>
      </c>
      <c r="E267" t="s">
        <v>460</v>
      </c>
      <c r="F267" t="s">
        <v>461</v>
      </c>
      <c r="G267" t="s">
        <v>462</v>
      </c>
      <c r="H267" t="s">
        <v>37</v>
      </c>
      <c r="I267" t="s">
        <v>103</v>
      </c>
      <c r="J267" t="s">
        <v>39</v>
      </c>
      <c r="K267" s="2">
        <v>46359</v>
      </c>
      <c r="L267" s="2">
        <v>46387</v>
      </c>
      <c r="N267">
        <v>46357</v>
      </c>
      <c r="O267">
        <v>46722</v>
      </c>
      <c r="P267">
        <v>12</v>
      </c>
      <c r="Q267" t="s">
        <v>40</v>
      </c>
      <c r="R267" t="s">
        <v>88</v>
      </c>
      <c r="S267" t="s">
        <v>182</v>
      </c>
      <c r="T267" t="s">
        <v>97</v>
      </c>
      <c r="U267" t="s">
        <v>106</v>
      </c>
      <c r="V267" t="s">
        <v>81</v>
      </c>
      <c r="W267" t="s">
        <v>142</v>
      </c>
      <c r="X267" t="s">
        <v>158</v>
      </c>
      <c r="Y267" s="3">
        <v>182288.52</v>
      </c>
      <c r="Z267" s="3">
        <v>145830.82</v>
      </c>
      <c r="AA267">
        <v>0.8</v>
      </c>
      <c r="AB267" t="s">
        <v>39</v>
      </c>
      <c r="AC267" t="s">
        <v>39</v>
      </c>
      <c r="AD267" t="s">
        <v>48</v>
      </c>
    </row>
    <row r="268" spans="1:30" x14ac:dyDescent="0.35">
      <c r="A268" t="s">
        <v>30</v>
      </c>
      <c r="B268" t="s">
        <v>31</v>
      </c>
      <c r="C268" t="s">
        <v>454</v>
      </c>
      <c r="D268" t="s">
        <v>463</v>
      </c>
      <c r="E268" t="s">
        <v>464</v>
      </c>
      <c r="F268" t="s">
        <v>465</v>
      </c>
      <c r="G268" t="s">
        <v>466</v>
      </c>
      <c r="H268" t="s">
        <v>37</v>
      </c>
      <c r="I268" t="s">
        <v>38</v>
      </c>
      <c r="J268" t="s">
        <v>39</v>
      </c>
      <c r="K268" s="2">
        <v>46371</v>
      </c>
      <c r="L268" s="2">
        <v>46387</v>
      </c>
      <c r="N268">
        <v>46357</v>
      </c>
      <c r="O268">
        <v>47453</v>
      </c>
      <c r="P268">
        <v>36</v>
      </c>
      <c r="Q268" t="s">
        <v>65</v>
      </c>
      <c r="R268" t="s">
        <v>88</v>
      </c>
      <c r="S268" t="s">
        <v>141</v>
      </c>
      <c r="T268" t="s">
        <v>131</v>
      </c>
      <c r="U268" t="s">
        <v>56</v>
      </c>
      <c r="V268" t="s">
        <v>98</v>
      </c>
      <c r="W268" t="s">
        <v>120</v>
      </c>
      <c r="X268" t="s">
        <v>91</v>
      </c>
      <c r="Y268" s="3">
        <v>213872.22</v>
      </c>
      <c r="Z268" s="3">
        <v>171097.78</v>
      </c>
      <c r="AA268">
        <v>0.8</v>
      </c>
      <c r="AB268" t="s">
        <v>39</v>
      </c>
      <c r="AC268" t="s">
        <v>39</v>
      </c>
      <c r="AD268" t="s">
        <v>48</v>
      </c>
    </row>
    <row r="269" spans="1:30" x14ac:dyDescent="0.35">
      <c r="A269" t="s">
        <v>30</v>
      </c>
      <c r="B269" t="s">
        <v>31</v>
      </c>
      <c r="C269" t="s">
        <v>454</v>
      </c>
      <c r="D269" t="s">
        <v>467</v>
      </c>
      <c r="E269" t="s">
        <v>468</v>
      </c>
      <c r="F269" t="s">
        <v>469</v>
      </c>
      <c r="G269" t="s">
        <v>470</v>
      </c>
      <c r="H269" t="s">
        <v>37</v>
      </c>
      <c r="I269" t="s">
        <v>64</v>
      </c>
      <c r="J269" t="s">
        <v>39</v>
      </c>
      <c r="K269" s="2">
        <v>46359</v>
      </c>
      <c r="L269" s="2">
        <v>46387</v>
      </c>
      <c r="N269">
        <v>46357</v>
      </c>
      <c r="O269">
        <v>46722</v>
      </c>
      <c r="P269">
        <v>12</v>
      </c>
      <c r="Q269" t="s">
        <v>104</v>
      </c>
      <c r="R269" t="s">
        <v>41</v>
      </c>
      <c r="S269" t="s">
        <v>130</v>
      </c>
      <c r="T269" t="s">
        <v>131</v>
      </c>
      <c r="U269" t="s">
        <v>44</v>
      </c>
      <c r="V269" t="s">
        <v>138</v>
      </c>
      <c r="W269" t="s">
        <v>142</v>
      </c>
      <c r="X269" t="s">
        <v>83</v>
      </c>
      <c r="Y269" s="3">
        <v>140343.15</v>
      </c>
      <c r="Z269" s="3">
        <v>91223.05</v>
      </c>
      <c r="AA269">
        <v>0.65</v>
      </c>
      <c r="AB269" t="s">
        <v>39</v>
      </c>
      <c r="AC269" t="s">
        <v>39</v>
      </c>
      <c r="AD269" t="s">
        <v>48</v>
      </c>
    </row>
    <row r="270" spans="1:30" x14ac:dyDescent="0.35">
      <c r="A270" t="s">
        <v>30</v>
      </c>
      <c r="B270" t="s">
        <v>31</v>
      </c>
      <c r="C270" t="s">
        <v>454</v>
      </c>
      <c r="D270" t="s">
        <v>471</v>
      </c>
      <c r="E270" t="s">
        <v>472</v>
      </c>
      <c r="F270" t="s">
        <v>473</v>
      </c>
      <c r="G270" t="s">
        <v>474</v>
      </c>
      <c r="H270" t="s">
        <v>37</v>
      </c>
      <c r="I270" t="s">
        <v>117</v>
      </c>
      <c r="J270" t="s">
        <v>39</v>
      </c>
      <c r="K270" s="2">
        <v>46361</v>
      </c>
      <c r="L270" s="2">
        <v>46387</v>
      </c>
      <c r="N270">
        <v>46357</v>
      </c>
      <c r="O270">
        <v>46722</v>
      </c>
      <c r="P270">
        <v>12</v>
      </c>
      <c r="Q270" t="s">
        <v>40</v>
      </c>
      <c r="R270" t="s">
        <v>53</v>
      </c>
      <c r="S270" t="s">
        <v>89</v>
      </c>
      <c r="T270" t="s">
        <v>55</v>
      </c>
      <c r="U270" t="s">
        <v>106</v>
      </c>
      <c r="V270" t="s">
        <v>138</v>
      </c>
      <c r="W270" t="s">
        <v>142</v>
      </c>
      <c r="X270" t="s">
        <v>59</v>
      </c>
      <c r="Y270" s="3">
        <v>109072.66</v>
      </c>
      <c r="Z270" s="3">
        <v>38175.43</v>
      </c>
      <c r="AA270">
        <v>0.35</v>
      </c>
      <c r="AB270" t="s">
        <v>39</v>
      </c>
      <c r="AC270" t="s">
        <v>39</v>
      </c>
      <c r="AD270" t="s">
        <v>48</v>
      </c>
    </row>
    <row r="271" spans="1:30" x14ac:dyDescent="0.35">
      <c r="A271" t="s">
        <v>30</v>
      </c>
      <c r="B271" t="s">
        <v>31</v>
      </c>
      <c r="C271" t="s">
        <v>454</v>
      </c>
      <c r="D271" t="s">
        <v>475</v>
      </c>
      <c r="E271" t="s">
        <v>476</v>
      </c>
      <c r="F271" t="s">
        <v>477</v>
      </c>
      <c r="G271" t="s">
        <v>478</v>
      </c>
      <c r="H271" t="s">
        <v>37</v>
      </c>
      <c r="I271" t="s">
        <v>64</v>
      </c>
      <c r="J271" t="s">
        <v>39</v>
      </c>
      <c r="K271" s="2">
        <v>46367</v>
      </c>
      <c r="L271" s="2">
        <v>46387</v>
      </c>
      <c r="N271">
        <v>46357</v>
      </c>
      <c r="O271">
        <v>46722</v>
      </c>
      <c r="P271">
        <v>12</v>
      </c>
      <c r="Q271" t="s">
        <v>40</v>
      </c>
      <c r="R271" t="s">
        <v>41</v>
      </c>
      <c r="S271" t="s">
        <v>140</v>
      </c>
      <c r="T271" t="s">
        <v>97</v>
      </c>
      <c r="U271" t="s">
        <v>44</v>
      </c>
      <c r="V271" t="s">
        <v>81</v>
      </c>
      <c r="W271" t="s">
        <v>58</v>
      </c>
      <c r="X271" t="s">
        <v>143</v>
      </c>
      <c r="Y271" s="3">
        <v>136679.01999999999</v>
      </c>
      <c r="Z271" s="3">
        <v>47837.66</v>
      </c>
      <c r="AA271">
        <v>0.35</v>
      </c>
      <c r="AB271" t="s">
        <v>39</v>
      </c>
      <c r="AC271" t="s">
        <v>39</v>
      </c>
      <c r="AD271" t="s">
        <v>48</v>
      </c>
    </row>
    <row r="272" spans="1:30" x14ac:dyDescent="0.35">
      <c r="A272" t="s">
        <v>30</v>
      </c>
      <c r="B272" t="s">
        <v>31</v>
      </c>
      <c r="C272" t="s">
        <v>454</v>
      </c>
      <c r="D272" t="s">
        <v>479</v>
      </c>
      <c r="E272" t="s">
        <v>480</v>
      </c>
      <c r="F272" t="s">
        <v>481</v>
      </c>
      <c r="G272" t="s">
        <v>482</v>
      </c>
      <c r="H272" t="s">
        <v>37</v>
      </c>
      <c r="I272" t="s">
        <v>64</v>
      </c>
      <c r="J272" t="s">
        <v>39</v>
      </c>
      <c r="K272" s="2">
        <v>46371</v>
      </c>
      <c r="L272" s="2">
        <v>46387</v>
      </c>
      <c r="N272">
        <v>46357</v>
      </c>
      <c r="O272">
        <v>46722</v>
      </c>
      <c r="P272">
        <v>12</v>
      </c>
      <c r="Q272" t="s">
        <v>104</v>
      </c>
      <c r="R272" t="s">
        <v>41</v>
      </c>
      <c r="S272" t="s">
        <v>66</v>
      </c>
      <c r="T272" t="s">
        <v>55</v>
      </c>
      <c r="U272" t="s">
        <v>44</v>
      </c>
      <c r="V272" t="s">
        <v>119</v>
      </c>
      <c r="W272" t="s">
        <v>120</v>
      </c>
      <c r="X272" t="s">
        <v>59</v>
      </c>
      <c r="Y272" s="3">
        <v>157719.06</v>
      </c>
      <c r="Z272" s="3">
        <v>126175.25</v>
      </c>
      <c r="AA272">
        <v>0.8</v>
      </c>
      <c r="AB272" t="s">
        <v>39</v>
      </c>
      <c r="AC272" t="s">
        <v>39</v>
      </c>
      <c r="AD272" t="s">
        <v>48</v>
      </c>
    </row>
    <row r="273" spans="1:30" x14ac:dyDescent="0.35">
      <c r="A273" t="s">
        <v>30</v>
      </c>
      <c r="B273" t="s">
        <v>31</v>
      </c>
      <c r="C273" t="s">
        <v>454</v>
      </c>
      <c r="D273" t="s">
        <v>483</v>
      </c>
      <c r="E273" t="s">
        <v>484</v>
      </c>
      <c r="F273" t="s">
        <v>485</v>
      </c>
      <c r="G273" t="s">
        <v>486</v>
      </c>
      <c r="H273" t="s">
        <v>37</v>
      </c>
      <c r="I273" t="s">
        <v>64</v>
      </c>
      <c r="J273" t="s">
        <v>39</v>
      </c>
      <c r="K273" s="2">
        <v>46368</v>
      </c>
      <c r="L273" s="2">
        <v>46387</v>
      </c>
      <c r="N273">
        <v>46357</v>
      </c>
      <c r="O273">
        <v>47088</v>
      </c>
      <c r="P273">
        <v>24</v>
      </c>
      <c r="Q273" t="s">
        <v>65</v>
      </c>
      <c r="R273" t="s">
        <v>88</v>
      </c>
      <c r="S273" t="s">
        <v>54</v>
      </c>
      <c r="T273" t="s">
        <v>55</v>
      </c>
      <c r="U273" t="s">
        <v>44</v>
      </c>
      <c r="V273" t="s">
        <v>81</v>
      </c>
      <c r="W273" t="s">
        <v>75</v>
      </c>
      <c r="X273" t="s">
        <v>158</v>
      </c>
      <c r="Y273" s="3">
        <v>111067.97</v>
      </c>
      <c r="Z273" s="3">
        <v>72194.179999999993</v>
      </c>
      <c r="AA273">
        <v>0.65</v>
      </c>
      <c r="AB273" t="s">
        <v>39</v>
      </c>
      <c r="AC273" t="s">
        <v>39</v>
      </c>
      <c r="AD273" t="s">
        <v>48</v>
      </c>
    </row>
    <row r="274" spans="1:30" x14ac:dyDescent="0.35">
      <c r="A274" t="s">
        <v>30</v>
      </c>
      <c r="B274" t="s">
        <v>31</v>
      </c>
      <c r="C274" t="s">
        <v>454</v>
      </c>
      <c r="D274" t="s">
        <v>487</v>
      </c>
      <c r="E274" t="s">
        <v>488</v>
      </c>
      <c r="F274" t="s">
        <v>489</v>
      </c>
      <c r="G274" t="s">
        <v>490</v>
      </c>
      <c r="H274" t="s">
        <v>37</v>
      </c>
      <c r="I274" t="s">
        <v>111</v>
      </c>
      <c r="J274" t="s">
        <v>39</v>
      </c>
      <c r="K274" s="2">
        <v>46368</v>
      </c>
      <c r="L274" s="2">
        <v>46387</v>
      </c>
      <c r="N274">
        <v>46357</v>
      </c>
      <c r="O274">
        <v>46722</v>
      </c>
      <c r="P274">
        <v>12</v>
      </c>
      <c r="Q274" t="s">
        <v>104</v>
      </c>
      <c r="R274" t="s">
        <v>53</v>
      </c>
      <c r="S274" t="s">
        <v>80</v>
      </c>
      <c r="T274" t="s">
        <v>43</v>
      </c>
      <c r="U274" t="s">
        <v>56</v>
      </c>
      <c r="V274" t="s">
        <v>144</v>
      </c>
      <c r="W274" t="s">
        <v>75</v>
      </c>
      <c r="X274" t="s">
        <v>143</v>
      </c>
      <c r="Y274" s="3">
        <v>118291.14</v>
      </c>
      <c r="Z274" s="3">
        <v>41401.9</v>
      </c>
      <c r="AA274">
        <v>0.35</v>
      </c>
      <c r="AB274" t="s">
        <v>39</v>
      </c>
      <c r="AC274" t="s">
        <v>39</v>
      </c>
      <c r="AD274" t="s">
        <v>48</v>
      </c>
    </row>
    <row r="275" spans="1:30" x14ac:dyDescent="0.35">
      <c r="A275" t="s">
        <v>30</v>
      </c>
      <c r="B275" t="s">
        <v>31</v>
      </c>
      <c r="C275" t="s">
        <v>454</v>
      </c>
      <c r="D275" t="s">
        <v>491</v>
      </c>
      <c r="E275" t="s">
        <v>492</v>
      </c>
      <c r="F275" t="s">
        <v>493</v>
      </c>
      <c r="G275" t="s">
        <v>494</v>
      </c>
      <c r="H275" t="s">
        <v>37</v>
      </c>
      <c r="I275" t="s">
        <v>64</v>
      </c>
      <c r="J275" t="s">
        <v>39</v>
      </c>
      <c r="K275" s="2">
        <v>46365</v>
      </c>
      <c r="L275" s="2">
        <v>46387</v>
      </c>
      <c r="N275">
        <v>46357</v>
      </c>
      <c r="O275">
        <v>47088</v>
      </c>
      <c r="P275">
        <v>24</v>
      </c>
      <c r="Q275" t="s">
        <v>65</v>
      </c>
      <c r="R275" t="s">
        <v>53</v>
      </c>
      <c r="S275" t="s">
        <v>162</v>
      </c>
      <c r="T275" t="s">
        <v>43</v>
      </c>
      <c r="U275" t="s">
        <v>106</v>
      </c>
      <c r="V275" t="s">
        <v>57</v>
      </c>
      <c r="W275" t="s">
        <v>82</v>
      </c>
      <c r="X275" t="s">
        <v>143</v>
      </c>
      <c r="Y275" s="3">
        <v>220036.73</v>
      </c>
      <c r="Z275" s="3">
        <v>176029.39</v>
      </c>
      <c r="AA275">
        <v>0.8</v>
      </c>
      <c r="AB275" t="s">
        <v>39</v>
      </c>
      <c r="AC275" t="s">
        <v>39</v>
      </c>
      <c r="AD275" t="s">
        <v>48</v>
      </c>
    </row>
    <row r="276" spans="1:30" x14ac:dyDescent="0.35">
      <c r="A276" t="s">
        <v>30</v>
      </c>
      <c r="B276" t="s">
        <v>31</v>
      </c>
      <c r="C276" t="s">
        <v>454</v>
      </c>
      <c r="D276" t="s">
        <v>495</v>
      </c>
      <c r="E276" t="s">
        <v>496</v>
      </c>
      <c r="F276" t="s">
        <v>497</v>
      </c>
      <c r="G276" t="s">
        <v>498</v>
      </c>
      <c r="H276" t="s">
        <v>37</v>
      </c>
      <c r="I276" t="s">
        <v>103</v>
      </c>
      <c r="J276" t="s">
        <v>39</v>
      </c>
      <c r="K276" s="2">
        <v>46371</v>
      </c>
      <c r="L276" s="2">
        <v>46387</v>
      </c>
      <c r="N276">
        <v>46357</v>
      </c>
      <c r="O276">
        <v>47453</v>
      </c>
      <c r="P276">
        <v>36</v>
      </c>
      <c r="Q276" t="s">
        <v>65</v>
      </c>
      <c r="R276" t="s">
        <v>88</v>
      </c>
      <c r="S276" t="s">
        <v>164</v>
      </c>
      <c r="T276" t="s">
        <v>55</v>
      </c>
      <c r="U276" t="s">
        <v>56</v>
      </c>
      <c r="V276" t="s">
        <v>81</v>
      </c>
      <c r="W276" t="s">
        <v>161</v>
      </c>
      <c r="X276" t="s">
        <v>47</v>
      </c>
      <c r="Y276" s="3">
        <v>180084.65</v>
      </c>
      <c r="Z276" s="3">
        <v>144067.72</v>
      </c>
      <c r="AA276">
        <v>0.8</v>
      </c>
      <c r="AB276" t="s">
        <v>39</v>
      </c>
      <c r="AC276" t="s">
        <v>39</v>
      </c>
      <c r="AD276" t="s">
        <v>48</v>
      </c>
    </row>
    <row r="277" spans="1:30" x14ac:dyDescent="0.35">
      <c r="A277" t="s">
        <v>30</v>
      </c>
      <c r="B277" t="s">
        <v>31</v>
      </c>
      <c r="C277" t="s">
        <v>454</v>
      </c>
      <c r="D277" t="s">
        <v>2261</v>
      </c>
      <c r="E277" t="s">
        <v>2262</v>
      </c>
      <c r="F277" t="s">
        <v>2263</v>
      </c>
      <c r="G277" t="s">
        <v>2264</v>
      </c>
      <c r="H277" t="s">
        <v>1271</v>
      </c>
      <c r="I277" t="s">
        <v>64</v>
      </c>
      <c r="J277" t="s">
        <v>39</v>
      </c>
      <c r="K277" s="2">
        <v>46369</v>
      </c>
      <c r="L277" s="2">
        <v>46387</v>
      </c>
      <c r="N277">
        <v>46357</v>
      </c>
      <c r="O277">
        <v>46722</v>
      </c>
      <c r="P277">
        <v>12</v>
      </c>
      <c r="Q277" t="s">
        <v>40</v>
      </c>
      <c r="R277" t="s">
        <v>88</v>
      </c>
      <c r="S277" t="s">
        <v>118</v>
      </c>
      <c r="T277" t="s">
        <v>97</v>
      </c>
      <c r="U277" t="s">
        <v>44</v>
      </c>
      <c r="V277" t="s">
        <v>119</v>
      </c>
      <c r="W277" t="s">
        <v>90</v>
      </c>
      <c r="X277" t="s">
        <v>143</v>
      </c>
      <c r="Y277" s="3">
        <v>95172.01</v>
      </c>
      <c r="Z277" s="3">
        <v>76137.61</v>
      </c>
      <c r="AA277">
        <v>0.8</v>
      </c>
      <c r="AB277" t="s">
        <v>39</v>
      </c>
      <c r="AC277" t="s">
        <v>39</v>
      </c>
      <c r="AD277" t="s">
        <v>48</v>
      </c>
    </row>
    <row r="278" spans="1:30" x14ac:dyDescent="0.35">
      <c r="A278" t="s">
        <v>30</v>
      </c>
      <c r="B278" t="s">
        <v>31</v>
      </c>
      <c r="C278" t="s">
        <v>454</v>
      </c>
      <c r="D278" t="s">
        <v>2265</v>
      </c>
      <c r="E278" t="s">
        <v>2266</v>
      </c>
      <c r="F278" t="s">
        <v>2267</v>
      </c>
      <c r="G278" t="s">
        <v>2268</v>
      </c>
      <c r="H278" t="s">
        <v>1271</v>
      </c>
      <c r="I278" t="s">
        <v>64</v>
      </c>
      <c r="J278" t="s">
        <v>39</v>
      </c>
      <c r="K278" s="2">
        <v>46367</v>
      </c>
      <c r="L278" s="2">
        <v>46387</v>
      </c>
      <c r="N278">
        <v>46357</v>
      </c>
      <c r="O278">
        <v>46722</v>
      </c>
      <c r="P278">
        <v>12</v>
      </c>
      <c r="Q278" t="s">
        <v>104</v>
      </c>
      <c r="R278" t="s">
        <v>41</v>
      </c>
      <c r="S278" t="s">
        <v>137</v>
      </c>
      <c r="T278" t="s">
        <v>97</v>
      </c>
      <c r="U278" t="s">
        <v>44</v>
      </c>
      <c r="V278" t="s">
        <v>74</v>
      </c>
      <c r="W278" t="s">
        <v>136</v>
      </c>
      <c r="X278" t="s">
        <v>47</v>
      </c>
      <c r="Y278" s="3">
        <v>145033.25</v>
      </c>
      <c r="Z278" s="3">
        <v>94271.61</v>
      </c>
      <c r="AA278">
        <v>0.65</v>
      </c>
      <c r="AB278" t="s">
        <v>39</v>
      </c>
      <c r="AC278" t="s">
        <v>39</v>
      </c>
      <c r="AD278" t="s">
        <v>48</v>
      </c>
    </row>
    <row r="279" spans="1:30" x14ac:dyDescent="0.35">
      <c r="A279" t="s">
        <v>30</v>
      </c>
      <c r="B279" t="s">
        <v>31</v>
      </c>
      <c r="C279" t="s">
        <v>454</v>
      </c>
      <c r="D279" t="s">
        <v>2269</v>
      </c>
      <c r="E279" t="s">
        <v>2270</v>
      </c>
      <c r="F279" t="s">
        <v>2271</v>
      </c>
      <c r="G279" t="s">
        <v>2272</v>
      </c>
      <c r="H279" t="s">
        <v>1271</v>
      </c>
      <c r="I279" t="s">
        <v>111</v>
      </c>
      <c r="J279" t="s">
        <v>39</v>
      </c>
      <c r="K279" s="2">
        <v>46364</v>
      </c>
      <c r="L279" s="2">
        <v>46387</v>
      </c>
      <c r="N279">
        <v>46357</v>
      </c>
      <c r="O279">
        <v>46722</v>
      </c>
      <c r="P279">
        <v>12</v>
      </c>
      <c r="Q279" t="s">
        <v>40</v>
      </c>
      <c r="R279" t="s">
        <v>53</v>
      </c>
      <c r="S279" t="s">
        <v>80</v>
      </c>
      <c r="T279" t="s">
        <v>43</v>
      </c>
      <c r="U279" t="s">
        <v>106</v>
      </c>
      <c r="V279" t="s">
        <v>138</v>
      </c>
      <c r="W279" t="s">
        <v>136</v>
      </c>
      <c r="X279" t="s">
        <v>68</v>
      </c>
      <c r="Y279" s="3">
        <v>147693.82</v>
      </c>
      <c r="Z279" s="3">
        <v>73846.91</v>
      </c>
      <c r="AA279">
        <v>0.5</v>
      </c>
      <c r="AB279" t="s">
        <v>39</v>
      </c>
      <c r="AC279" t="s">
        <v>39</v>
      </c>
      <c r="AD279" t="s">
        <v>48</v>
      </c>
    </row>
    <row r="280" spans="1:30" x14ac:dyDescent="0.35">
      <c r="A280" t="s">
        <v>30</v>
      </c>
      <c r="B280" t="s">
        <v>31</v>
      </c>
      <c r="C280" t="s">
        <v>454</v>
      </c>
      <c r="D280" t="s">
        <v>2273</v>
      </c>
      <c r="E280" t="s">
        <v>2274</v>
      </c>
      <c r="F280" t="s">
        <v>340</v>
      </c>
      <c r="G280" t="s">
        <v>341</v>
      </c>
      <c r="H280" t="s">
        <v>1271</v>
      </c>
      <c r="I280" t="s">
        <v>38</v>
      </c>
      <c r="J280" t="s">
        <v>39</v>
      </c>
      <c r="K280" s="2">
        <v>46366</v>
      </c>
      <c r="L280" s="2">
        <v>46387</v>
      </c>
      <c r="N280">
        <v>46357</v>
      </c>
      <c r="O280">
        <v>46722</v>
      </c>
      <c r="P280">
        <v>12</v>
      </c>
      <c r="Q280" t="s">
        <v>65</v>
      </c>
      <c r="R280" t="s">
        <v>53</v>
      </c>
      <c r="S280" t="s">
        <v>112</v>
      </c>
      <c r="T280" t="s">
        <v>55</v>
      </c>
      <c r="U280" t="s">
        <v>56</v>
      </c>
      <c r="V280" t="s">
        <v>81</v>
      </c>
      <c r="W280" t="s">
        <v>136</v>
      </c>
      <c r="X280" t="s">
        <v>68</v>
      </c>
      <c r="Y280" s="3">
        <v>140404.57</v>
      </c>
      <c r="Z280" s="3">
        <v>70202.28</v>
      </c>
      <c r="AA280">
        <v>0.5</v>
      </c>
      <c r="AB280" t="s">
        <v>39</v>
      </c>
      <c r="AC280" t="s">
        <v>39</v>
      </c>
      <c r="AD280" t="s">
        <v>48</v>
      </c>
    </row>
    <row r="281" spans="1:30" x14ac:dyDescent="0.35">
      <c r="A281" t="s">
        <v>30</v>
      </c>
      <c r="B281" t="s">
        <v>31</v>
      </c>
      <c r="C281" t="s">
        <v>454</v>
      </c>
      <c r="D281" t="s">
        <v>2275</v>
      </c>
      <c r="E281" t="s">
        <v>2276</v>
      </c>
      <c r="F281" t="s">
        <v>2277</v>
      </c>
      <c r="G281" t="s">
        <v>2278</v>
      </c>
      <c r="H281" t="s">
        <v>1271</v>
      </c>
      <c r="I281" t="s">
        <v>111</v>
      </c>
      <c r="J281" t="s">
        <v>39</v>
      </c>
      <c r="K281" s="2">
        <v>46361</v>
      </c>
      <c r="L281" s="2">
        <v>46387</v>
      </c>
      <c r="N281">
        <v>46357</v>
      </c>
      <c r="O281">
        <v>46722</v>
      </c>
      <c r="P281">
        <v>12</v>
      </c>
      <c r="Q281" t="s">
        <v>40</v>
      </c>
      <c r="R281" t="s">
        <v>53</v>
      </c>
      <c r="S281" t="s">
        <v>96</v>
      </c>
      <c r="T281" t="s">
        <v>97</v>
      </c>
      <c r="U281" t="s">
        <v>44</v>
      </c>
      <c r="V281" t="s">
        <v>217</v>
      </c>
      <c r="W281" t="s">
        <v>90</v>
      </c>
      <c r="X281" t="s">
        <v>83</v>
      </c>
      <c r="Y281" s="3">
        <v>148783.39000000001</v>
      </c>
      <c r="Z281" s="3">
        <v>119026.71</v>
      </c>
      <c r="AA281">
        <v>0.8</v>
      </c>
      <c r="AB281" t="s">
        <v>39</v>
      </c>
      <c r="AC281" t="s">
        <v>39</v>
      </c>
      <c r="AD281" t="s">
        <v>48</v>
      </c>
    </row>
    <row r="282" spans="1:30" x14ac:dyDescent="0.35">
      <c r="A282" t="s">
        <v>30</v>
      </c>
      <c r="B282" t="s">
        <v>31</v>
      </c>
      <c r="C282" t="s">
        <v>454</v>
      </c>
      <c r="D282" t="s">
        <v>2279</v>
      </c>
      <c r="E282" t="s">
        <v>2280</v>
      </c>
      <c r="F282" t="s">
        <v>556</v>
      </c>
      <c r="G282" t="s">
        <v>557</v>
      </c>
      <c r="H282" t="s">
        <v>1271</v>
      </c>
      <c r="I282" t="s">
        <v>117</v>
      </c>
      <c r="J282" t="s">
        <v>39</v>
      </c>
      <c r="K282" s="2">
        <v>46360</v>
      </c>
      <c r="L282" s="2">
        <v>46387</v>
      </c>
      <c r="N282">
        <v>46357</v>
      </c>
      <c r="O282">
        <v>46722</v>
      </c>
      <c r="P282">
        <v>12</v>
      </c>
      <c r="Q282" t="s">
        <v>40</v>
      </c>
      <c r="R282" t="s">
        <v>53</v>
      </c>
      <c r="S282" t="s">
        <v>105</v>
      </c>
      <c r="T282" t="s">
        <v>55</v>
      </c>
      <c r="U282" t="s">
        <v>44</v>
      </c>
      <c r="V282" t="s">
        <v>98</v>
      </c>
      <c r="W282" t="s">
        <v>136</v>
      </c>
      <c r="X282" t="s">
        <v>143</v>
      </c>
      <c r="Y282" s="3">
        <v>97828.38</v>
      </c>
      <c r="Z282" s="3">
        <v>48914.19</v>
      </c>
      <c r="AA282">
        <v>0.5</v>
      </c>
      <c r="AB282" t="s">
        <v>39</v>
      </c>
      <c r="AC282" t="s">
        <v>39</v>
      </c>
      <c r="AD282" t="s">
        <v>48</v>
      </c>
    </row>
    <row r="283" spans="1:30" x14ac:dyDescent="0.35">
      <c r="A283" t="s">
        <v>30</v>
      </c>
      <c r="B283" t="s">
        <v>31</v>
      </c>
      <c r="C283" t="s">
        <v>454</v>
      </c>
      <c r="D283" t="s">
        <v>2281</v>
      </c>
      <c r="E283" t="s">
        <v>2282</v>
      </c>
      <c r="F283" t="s">
        <v>452</v>
      </c>
      <c r="G283" t="s">
        <v>453</v>
      </c>
      <c r="H283" t="s">
        <v>1271</v>
      </c>
      <c r="I283" t="s">
        <v>103</v>
      </c>
      <c r="J283" t="s">
        <v>39</v>
      </c>
      <c r="K283" s="2">
        <v>46369</v>
      </c>
      <c r="L283" s="2">
        <v>46387</v>
      </c>
      <c r="N283">
        <v>46357</v>
      </c>
      <c r="O283">
        <v>47088</v>
      </c>
      <c r="P283">
        <v>24</v>
      </c>
      <c r="Q283" t="s">
        <v>65</v>
      </c>
      <c r="R283" t="s">
        <v>53</v>
      </c>
      <c r="S283" t="s">
        <v>96</v>
      </c>
      <c r="T283" t="s">
        <v>97</v>
      </c>
      <c r="U283" t="s">
        <v>44</v>
      </c>
      <c r="V283" t="s">
        <v>45</v>
      </c>
      <c r="W283" t="s">
        <v>132</v>
      </c>
      <c r="X283" t="s">
        <v>91</v>
      </c>
      <c r="Y283" s="3">
        <v>136878.57</v>
      </c>
      <c r="Z283" s="3">
        <v>47907.5</v>
      </c>
      <c r="AA283">
        <v>0.35</v>
      </c>
      <c r="AB283" t="s">
        <v>39</v>
      </c>
      <c r="AC283" t="s">
        <v>39</v>
      </c>
      <c r="AD283" t="s">
        <v>48</v>
      </c>
    </row>
    <row r="284" spans="1:30" x14ac:dyDescent="0.35">
      <c r="A284" t="s">
        <v>30</v>
      </c>
      <c r="B284" t="s">
        <v>31</v>
      </c>
      <c r="C284" t="s">
        <v>454</v>
      </c>
      <c r="D284" t="s">
        <v>2283</v>
      </c>
      <c r="E284" t="s">
        <v>2284</v>
      </c>
      <c r="F284" t="s">
        <v>334</v>
      </c>
      <c r="G284" t="s">
        <v>335</v>
      </c>
      <c r="H284" t="s">
        <v>1271</v>
      </c>
      <c r="I284" t="s">
        <v>117</v>
      </c>
      <c r="J284" t="s">
        <v>39</v>
      </c>
      <c r="K284" s="2">
        <v>46359</v>
      </c>
      <c r="L284" s="2">
        <v>46387</v>
      </c>
      <c r="N284">
        <v>46357</v>
      </c>
      <c r="O284">
        <v>46722</v>
      </c>
      <c r="P284">
        <v>12</v>
      </c>
      <c r="Q284" t="s">
        <v>40</v>
      </c>
      <c r="R284" t="s">
        <v>53</v>
      </c>
      <c r="S284" t="s">
        <v>54</v>
      </c>
      <c r="T284" t="s">
        <v>55</v>
      </c>
      <c r="U284" t="s">
        <v>44</v>
      </c>
      <c r="V284" t="s">
        <v>144</v>
      </c>
      <c r="W284" t="s">
        <v>150</v>
      </c>
      <c r="X284" t="s">
        <v>125</v>
      </c>
      <c r="Y284" s="3">
        <v>122971.02</v>
      </c>
      <c r="Z284" s="3">
        <v>61485.51</v>
      </c>
      <c r="AA284">
        <v>0.5</v>
      </c>
      <c r="AB284" t="s">
        <v>39</v>
      </c>
      <c r="AC284" t="s">
        <v>39</v>
      </c>
      <c r="AD284" t="s">
        <v>48</v>
      </c>
    </row>
    <row r="285" spans="1:30" x14ac:dyDescent="0.35">
      <c r="A285" t="s">
        <v>30</v>
      </c>
      <c r="B285" t="s">
        <v>31</v>
      </c>
      <c r="C285" t="s">
        <v>454</v>
      </c>
      <c r="D285" t="s">
        <v>2285</v>
      </c>
      <c r="E285" t="s">
        <v>2286</v>
      </c>
      <c r="F285" t="s">
        <v>1129</v>
      </c>
      <c r="G285" t="s">
        <v>1130</v>
      </c>
      <c r="H285" t="s">
        <v>1290</v>
      </c>
      <c r="I285" t="s">
        <v>64</v>
      </c>
      <c r="J285" t="s">
        <v>1290</v>
      </c>
      <c r="K285" s="2">
        <v>46368</v>
      </c>
      <c r="L285" s="2">
        <v>46387</v>
      </c>
      <c r="N285">
        <v>46357</v>
      </c>
      <c r="O285">
        <v>46722</v>
      </c>
      <c r="P285">
        <v>12</v>
      </c>
      <c r="Q285" t="s">
        <v>40</v>
      </c>
      <c r="R285" t="s">
        <v>53</v>
      </c>
      <c r="S285" t="s">
        <v>141</v>
      </c>
      <c r="T285" t="s">
        <v>131</v>
      </c>
      <c r="U285" t="s">
        <v>56</v>
      </c>
      <c r="V285" t="s">
        <v>119</v>
      </c>
      <c r="W285" t="s">
        <v>161</v>
      </c>
      <c r="X285" t="s">
        <v>47</v>
      </c>
      <c r="Y285" s="3">
        <v>113207.7</v>
      </c>
      <c r="Z285" s="3">
        <v>56603.85</v>
      </c>
      <c r="AA285">
        <v>0.5</v>
      </c>
      <c r="AB285" t="s">
        <v>1290</v>
      </c>
      <c r="AC285" t="s">
        <v>1290</v>
      </c>
      <c r="AD285" t="s">
        <v>48</v>
      </c>
    </row>
    <row r="286" spans="1:30" x14ac:dyDescent="0.35">
      <c r="A286" t="s">
        <v>30</v>
      </c>
      <c r="B286" t="s">
        <v>31</v>
      </c>
      <c r="C286" t="s">
        <v>454</v>
      </c>
      <c r="D286" t="s">
        <v>2287</v>
      </c>
      <c r="E286" t="s">
        <v>2288</v>
      </c>
      <c r="F286" t="s">
        <v>777</v>
      </c>
      <c r="G286" t="s">
        <v>778</v>
      </c>
      <c r="H286" t="s">
        <v>1290</v>
      </c>
      <c r="I286" t="s">
        <v>38</v>
      </c>
      <c r="J286" t="s">
        <v>1290</v>
      </c>
      <c r="K286" s="2">
        <v>46358</v>
      </c>
      <c r="L286" s="2">
        <v>46387</v>
      </c>
      <c r="N286">
        <v>46357</v>
      </c>
      <c r="O286">
        <v>46722</v>
      </c>
      <c r="P286">
        <v>12</v>
      </c>
      <c r="Q286" t="s">
        <v>104</v>
      </c>
      <c r="R286" t="s">
        <v>41</v>
      </c>
      <c r="S286" t="s">
        <v>89</v>
      </c>
      <c r="T286" t="s">
        <v>55</v>
      </c>
      <c r="U286" t="s">
        <v>56</v>
      </c>
      <c r="V286" t="s">
        <v>45</v>
      </c>
      <c r="W286" t="s">
        <v>90</v>
      </c>
      <c r="X286" t="s">
        <v>47</v>
      </c>
      <c r="Y286" s="3">
        <v>182165.77</v>
      </c>
      <c r="Z286" s="3">
        <v>63758.02</v>
      </c>
      <c r="AA286">
        <v>0.35</v>
      </c>
      <c r="AB286" t="s">
        <v>1290</v>
      </c>
      <c r="AC286" t="s">
        <v>1290</v>
      </c>
      <c r="AD286" t="s">
        <v>48</v>
      </c>
    </row>
    <row r="287" spans="1:30" x14ac:dyDescent="0.35">
      <c r="A287" t="s">
        <v>30</v>
      </c>
      <c r="B287" t="s">
        <v>31</v>
      </c>
      <c r="C287" t="s">
        <v>454</v>
      </c>
      <c r="D287" t="s">
        <v>2289</v>
      </c>
      <c r="E287" t="s">
        <v>2290</v>
      </c>
      <c r="F287" t="s">
        <v>2291</v>
      </c>
      <c r="G287" t="s">
        <v>2292</v>
      </c>
      <c r="H287" t="s">
        <v>1290</v>
      </c>
      <c r="I287" t="s">
        <v>117</v>
      </c>
      <c r="J287" t="s">
        <v>1290</v>
      </c>
      <c r="K287" s="2">
        <v>46362</v>
      </c>
      <c r="L287" s="2">
        <v>46387</v>
      </c>
      <c r="N287">
        <v>46357</v>
      </c>
      <c r="O287">
        <v>46722</v>
      </c>
      <c r="P287">
        <v>12</v>
      </c>
      <c r="Q287" t="s">
        <v>104</v>
      </c>
      <c r="R287" t="s">
        <v>53</v>
      </c>
      <c r="S287" t="s">
        <v>222</v>
      </c>
      <c r="T287" t="s">
        <v>97</v>
      </c>
      <c r="U287" t="s">
        <v>44</v>
      </c>
      <c r="V287" t="s">
        <v>144</v>
      </c>
      <c r="W287" t="s">
        <v>90</v>
      </c>
      <c r="X287" t="s">
        <v>68</v>
      </c>
      <c r="Y287" s="3">
        <v>179767.53</v>
      </c>
      <c r="Z287" s="3">
        <v>89883.77</v>
      </c>
      <c r="AA287">
        <v>0.5</v>
      </c>
      <c r="AB287" t="s">
        <v>1290</v>
      </c>
      <c r="AC287" t="s">
        <v>1290</v>
      </c>
      <c r="AD287" t="s">
        <v>48</v>
      </c>
    </row>
    <row r="288" spans="1:30" x14ac:dyDescent="0.35">
      <c r="A288" t="s">
        <v>30</v>
      </c>
      <c r="B288" t="s">
        <v>31</v>
      </c>
      <c r="C288" t="s">
        <v>454</v>
      </c>
      <c r="D288" t="s">
        <v>2293</v>
      </c>
      <c r="E288" t="s">
        <v>2294</v>
      </c>
      <c r="F288" t="s">
        <v>1211</v>
      </c>
      <c r="G288" t="s">
        <v>1212</v>
      </c>
      <c r="H288" t="s">
        <v>1295</v>
      </c>
      <c r="I288" t="s">
        <v>117</v>
      </c>
      <c r="J288" t="s">
        <v>1295</v>
      </c>
      <c r="K288" s="2">
        <v>46368</v>
      </c>
      <c r="L288" s="2">
        <v>46387</v>
      </c>
      <c r="N288">
        <v>46357</v>
      </c>
      <c r="O288">
        <v>46722</v>
      </c>
      <c r="P288">
        <v>12</v>
      </c>
      <c r="Q288" t="s">
        <v>65</v>
      </c>
      <c r="R288" t="s">
        <v>41</v>
      </c>
      <c r="S288" t="s">
        <v>118</v>
      </c>
      <c r="T288" t="s">
        <v>97</v>
      </c>
      <c r="U288" t="s">
        <v>44</v>
      </c>
      <c r="V288" t="s">
        <v>98</v>
      </c>
      <c r="W288" t="s">
        <v>46</v>
      </c>
      <c r="X288" t="s">
        <v>83</v>
      </c>
      <c r="Y288" s="3">
        <v>220507.38</v>
      </c>
      <c r="Z288" s="3">
        <v>110253.69</v>
      </c>
      <c r="AA288">
        <v>0.5</v>
      </c>
      <c r="AB288" t="s">
        <v>1295</v>
      </c>
      <c r="AC288" t="s">
        <v>1295</v>
      </c>
      <c r="AD288" t="s">
        <v>48</v>
      </c>
    </row>
    <row r="289" spans="1:30" x14ac:dyDescent="0.35">
      <c r="A289" t="s">
        <v>30</v>
      </c>
      <c r="B289" t="s">
        <v>31</v>
      </c>
      <c r="C289" t="s">
        <v>454</v>
      </c>
      <c r="D289" t="s">
        <v>2295</v>
      </c>
      <c r="E289" t="s">
        <v>2296</v>
      </c>
      <c r="F289" t="s">
        <v>2297</v>
      </c>
      <c r="G289" t="s">
        <v>2298</v>
      </c>
      <c r="H289" t="s">
        <v>1295</v>
      </c>
      <c r="I289" t="s">
        <v>117</v>
      </c>
      <c r="J289" t="s">
        <v>1295</v>
      </c>
      <c r="K289" s="2">
        <v>46367</v>
      </c>
      <c r="L289" s="2">
        <v>46387</v>
      </c>
      <c r="N289">
        <v>46357</v>
      </c>
      <c r="O289">
        <v>46722</v>
      </c>
      <c r="P289">
        <v>12</v>
      </c>
      <c r="Q289" t="s">
        <v>65</v>
      </c>
      <c r="R289" t="s">
        <v>41</v>
      </c>
      <c r="S289" t="s">
        <v>73</v>
      </c>
      <c r="T289" t="s">
        <v>43</v>
      </c>
      <c r="U289" t="s">
        <v>56</v>
      </c>
      <c r="V289" t="s">
        <v>67</v>
      </c>
      <c r="W289" t="s">
        <v>161</v>
      </c>
      <c r="X289" t="s">
        <v>143</v>
      </c>
      <c r="Y289" s="3">
        <v>222667.15</v>
      </c>
      <c r="Z289" s="3">
        <v>77933.5</v>
      </c>
      <c r="AA289">
        <v>0.35</v>
      </c>
      <c r="AB289" t="s">
        <v>1295</v>
      </c>
      <c r="AC289" t="s">
        <v>1295</v>
      </c>
      <c r="AD289" t="s">
        <v>48</v>
      </c>
    </row>
    <row r="290" spans="1:30" x14ac:dyDescent="0.35">
      <c r="A290" t="s">
        <v>30</v>
      </c>
      <c r="B290" t="s">
        <v>31</v>
      </c>
      <c r="C290" t="s">
        <v>454</v>
      </c>
      <c r="D290" t="s">
        <v>2299</v>
      </c>
      <c r="E290" t="s">
        <v>2300</v>
      </c>
      <c r="F290" t="s">
        <v>877</v>
      </c>
      <c r="G290" t="s">
        <v>878</v>
      </c>
      <c r="H290" t="s">
        <v>1295</v>
      </c>
      <c r="I290" t="s">
        <v>103</v>
      </c>
      <c r="J290" t="s">
        <v>1295</v>
      </c>
      <c r="K290" s="2">
        <v>46361</v>
      </c>
      <c r="L290" s="2">
        <v>46387</v>
      </c>
      <c r="N290">
        <v>46357</v>
      </c>
      <c r="O290">
        <v>46722</v>
      </c>
      <c r="P290">
        <v>12</v>
      </c>
      <c r="Q290" t="s">
        <v>40</v>
      </c>
      <c r="R290" t="s">
        <v>41</v>
      </c>
      <c r="S290" t="s">
        <v>149</v>
      </c>
      <c r="T290" t="s">
        <v>131</v>
      </c>
      <c r="U290" t="s">
        <v>44</v>
      </c>
      <c r="V290" t="s">
        <v>81</v>
      </c>
      <c r="W290" t="s">
        <v>90</v>
      </c>
      <c r="X290" t="s">
        <v>143</v>
      </c>
      <c r="Y290" s="3">
        <v>123103.87</v>
      </c>
      <c r="Z290" s="3">
        <v>80017.509999999995</v>
      </c>
      <c r="AA290">
        <v>0.65</v>
      </c>
      <c r="AB290" t="s">
        <v>1295</v>
      </c>
      <c r="AC290" t="s">
        <v>1295</v>
      </c>
      <c r="AD290" t="s">
        <v>48</v>
      </c>
    </row>
    <row r="291" spans="1:30" x14ac:dyDescent="0.35">
      <c r="A291" t="s">
        <v>30</v>
      </c>
      <c r="B291" t="s">
        <v>31</v>
      </c>
      <c r="C291" t="s">
        <v>454</v>
      </c>
      <c r="D291" t="s">
        <v>2301</v>
      </c>
      <c r="E291" t="s">
        <v>2302</v>
      </c>
      <c r="F291" t="s">
        <v>1313</v>
      </c>
      <c r="G291" t="s">
        <v>1314</v>
      </c>
      <c r="H291" t="s">
        <v>1295</v>
      </c>
      <c r="I291" t="s">
        <v>117</v>
      </c>
      <c r="J291" t="s">
        <v>1295</v>
      </c>
      <c r="K291" s="2">
        <v>46360</v>
      </c>
      <c r="L291" s="2">
        <v>46387</v>
      </c>
      <c r="N291">
        <v>46357</v>
      </c>
      <c r="O291">
        <v>46722</v>
      </c>
      <c r="P291">
        <v>12</v>
      </c>
      <c r="Q291" t="s">
        <v>40</v>
      </c>
      <c r="R291" t="s">
        <v>53</v>
      </c>
      <c r="S291" t="s">
        <v>112</v>
      </c>
      <c r="T291" t="s">
        <v>55</v>
      </c>
      <c r="U291" t="s">
        <v>44</v>
      </c>
      <c r="V291" t="s">
        <v>98</v>
      </c>
      <c r="W291" t="s">
        <v>82</v>
      </c>
      <c r="X291" t="s">
        <v>91</v>
      </c>
      <c r="Y291" s="3">
        <v>235845.61</v>
      </c>
      <c r="Z291" s="3">
        <v>82545.960000000006</v>
      </c>
      <c r="AA291">
        <v>0.35</v>
      </c>
      <c r="AB291" t="s">
        <v>1295</v>
      </c>
      <c r="AC291" t="s">
        <v>1295</v>
      </c>
      <c r="AD291" t="s">
        <v>48</v>
      </c>
    </row>
    <row r="292" spans="1:30" x14ac:dyDescent="0.35">
      <c r="A292" t="s">
        <v>30</v>
      </c>
      <c r="B292" t="s">
        <v>31</v>
      </c>
      <c r="C292" t="s">
        <v>454</v>
      </c>
      <c r="D292" t="s">
        <v>2303</v>
      </c>
      <c r="E292" t="s">
        <v>2304</v>
      </c>
      <c r="F292" t="s">
        <v>558</v>
      </c>
      <c r="G292" t="s">
        <v>559</v>
      </c>
      <c r="H292" t="s">
        <v>1302</v>
      </c>
      <c r="I292" t="s">
        <v>103</v>
      </c>
      <c r="J292" t="s">
        <v>39</v>
      </c>
      <c r="K292" s="2">
        <v>46370</v>
      </c>
      <c r="L292" s="2">
        <v>46387</v>
      </c>
      <c r="N292">
        <v>46357</v>
      </c>
      <c r="O292">
        <v>46722</v>
      </c>
      <c r="P292">
        <v>12</v>
      </c>
      <c r="Q292" t="s">
        <v>40</v>
      </c>
      <c r="R292" t="s">
        <v>88</v>
      </c>
      <c r="S292" t="s">
        <v>112</v>
      </c>
      <c r="T292" t="s">
        <v>55</v>
      </c>
      <c r="U292" t="s">
        <v>106</v>
      </c>
      <c r="V292" t="s">
        <v>74</v>
      </c>
      <c r="W292" t="s">
        <v>90</v>
      </c>
      <c r="X292" t="s">
        <v>125</v>
      </c>
      <c r="Y292" s="3">
        <v>117835.17</v>
      </c>
      <c r="Z292" s="3">
        <v>94268.14</v>
      </c>
      <c r="AA292">
        <v>0.8</v>
      </c>
      <c r="AB292" t="s">
        <v>39</v>
      </c>
      <c r="AC292" t="s">
        <v>39</v>
      </c>
      <c r="AD292" t="s">
        <v>48</v>
      </c>
    </row>
    <row r="293" spans="1:30" x14ac:dyDescent="0.35">
      <c r="A293" t="s">
        <v>30</v>
      </c>
      <c r="B293" t="s">
        <v>31</v>
      </c>
      <c r="C293" t="s">
        <v>454</v>
      </c>
      <c r="D293" t="s">
        <v>2305</v>
      </c>
      <c r="E293" t="s">
        <v>2306</v>
      </c>
      <c r="F293" t="s">
        <v>2307</v>
      </c>
      <c r="G293" t="s">
        <v>2308</v>
      </c>
      <c r="H293" t="s">
        <v>1302</v>
      </c>
      <c r="I293" t="s">
        <v>103</v>
      </c>
      <c r="J293" t="s">
        <v>39</v>
      </c>
      <c r="K293" s="2">
        <v>46366</v>
      </c>
      <c r="L293" s="2">
        <v>46387</v>
      </c>
      <c r="N293">
        <v>46357</v>
      </c>
      <c r="O293">
        <v>46722</v>
      </c>
      <c r="P293">
        <v>12</v>
      </c>
      <c r="Q293" t="s">
        <v>40</v>
      </c>
      <c r="R293" t="s">
        <v>41</v>
      </c>
      <c r="S293" t="s">
        <v>137</v>
      </c>
      <c r="T293" t="s">
        <v>97</v>
      </c>
      <c r="U293" t="s">
        <v>106</v>
      </c>
      <c r="V293" t="s">
        <v>144</v>
      </c>
      <c r="W293" t="s">
        <v>82</v>
      </c>
      <c r="X293" t="s">
        <v>143</v>
      </c>
      <c r="Y293" s="3">
        <v>94485.69</v>
      </c>
      <c r="Z293" s="3">
        <v>33069.99</v>
      </c>
      <c r="AA293">
        <v>0.35</v>
      </c>
      <c r="AB293" t="s">
        <v>39</v>
      </c>
      <c r="AC293" t="s">
        <v>39</v>
      </c>
      <c r="AD293" t="s">
        <v>48</v>
      </c>
    </row>
    <row r="294" spans="1:30" x14ac:dyDescent="0.35">
      <c r="A294" t="s">
        <v>30</v>
      </c>
      <c r="B294" t="s">
        <v>31</v>
      </c>
      <c r="C294" t="s">
        <v>454</v>
      </c>
      <c r="D294" t="s">
        <v>2309</v>
      </c>
      <c r="E294" t="s">
        <v>2310</v>
      </c>
      <c r="F294" t="s">
        <v>659</v>
      </c>
      <c r="G294" t="s">
        <v>660</v>
      </c>
      <c r="H294" t="s">
        <v>1302</v>
      </c>
      <c r="I294" t="s">
        <v>117</v>
      </c>
      <c r="J294" t="s">
        <v>39</v>
      </c>
      <c r="K294" s="2">
        <v>46371</v>
      </c>
      <c r="L294" s="2">
        <v>46387</v>
      </c>
      <c r="N294">
        <v>46357</v>
      </c>
      <c r="O294">
        <v>46722</v>
      </c>
      <c r="P294">
        <v>12</v>
      </c>
      <c r="Q294" t="s">
        <v>104</v>
      </c>
      <c r="R294" t="s">
        <v>53</v>
      </c>
      <c r="S294" t="s">
        <v>162</v>
      </c>
      <c r="T294" t="s">
        <v>43</v>
      </c>
      <c r="U294" t="s">
        <v>44</v>
      </c>
      <c r="V294" t="s">
        <v>74</v>
      </c>
      <c r="W294" t="s">
        <v>142</v>
      </c>
      <c r="X294" t="s">
        <v>91</v>
      </c>
      <c r="Y294" s="3">
        <v>98782.44</v>
      </c>
      <c r="Z294" s="3">
        <v>49391.22</v>
      </c>
      <c r="AA294">
        <v>0.5</v>
      </c>
      <c r="AB294" t="s">
        <v>39</v>
      </c>
      <c r="AC294" t="s">
        <v>39</v>
      </c>
      <c r="AD294" t="s">
        <v>48</v>
      </c>
    </row>
    <row r="295" spans="1:30" x14ac:dyDescent="0.35">
      <c r="A295" t="s">
        <v>30</v>
      </c>
      <c r="B295" t="s">
        <v>31</v>
      </c>
      <c r="C295" t="s">
        <v>454</v>
      </c>
      <c r="D295" t="s">
        <v>2311</v>
      </c>
      <c r="E295" t="s">
        <v>2312</v>
      </c>
      <c r="F295" t="s">
        <v>2313</v>
      </c>
      <c r="G295" t="s">
        <v>2314</v>
      </c>
      <c r="H295" t="s">
        <v>1302</v>
      </c>
      <c r="I295" t="s">
        <v>117</v>
      </c>
      <c r="J295" t="s">
        <v>39</v>
      </c>
      <c r="K295" s="2">
        <v>46367</v>
      </c>
      <c r="L295" s="2">
        <v>46387</v>
      </c>
      <c r="N295">
        <v>46357</v>
      </c>
      <c r="O295">
        <v>46722</v>
      </c>
      <c r="P295">
        <v>12</v>
      </c>
      <c r="Q295" t="s">
        <v>40</v>
      </c>
      <c r="R295" t="s">
        <v>41</v>
      </c>
      <c r="S295" t="s">
        <v>149</v>
      </c>
      <c r="T295" t="s">
        <v>131</v>
      </c>
      <c r="U295" t="s">
        <v>44</v>
      </c>
      <c r="V295" t="s">
        <v>81</v>
      </c>
      <c r="W295" t="s">
        <v>120</v>
      </c>
      <c r="X295" t="s">
        <v>91</v>
      </c>
      <c r="Y295" s="3">
        <v>97554.7</v>
      </c>
      <c r="Z295" s="3">
        <v>48777.35</v>
      </c>
      <c r="AA295">
        <v>0.5</v>
      </c>
      <c r="AB295" t="s">
        <v>39</v>
      </c>
      <c r="AC295" t="s">
        <v>39</v>
      </c>
      <c r="AD29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C5B7-DE76-42F8-8AC4-3A2254568A04}">
  <dimension ref="A1:AD349"/>
  <sheetViews>
    <sheetView topLeftCell="X178" workbookViewId="0">
      <selection activeCell="F178" sqref="F1:AO1048576"/>
    </sheetView>
  </sheetViews>
  <sheetFormatPr defaultRowHeight="14.5" x14ac:dyDescent="0.35"/>
  <cols>
    <col min="6" max="6" width="10.90625" bestFit="1" customWidth="1"/>
    <col min="7" max="7" width="21.26953125" bestFit="1" customWidth="1"/>
    <col min="8" max="8" width="14.36328125" bestFit="1" customWidth="1"/>
    <col min="9" max="9" width="10.1796875" bestFit="1" customWidth="1"/>
    <col min="10" max="10" width="11.08984375" bestFit="1" customWidth="1"/>
    <col min="11" max="11" width="11.54296875" bestFit="1" customWidth="1"/>
    <col min="12" max="12" width="18.08984375" bestFit="1" customWidth="1"/>
    <col min="13" max="13" width="15.6328125" bestFit="1" customWidth="1"/>
    <col min="14" max="14" width="17" bestFit="1" customWidth="1"/>
    <col min="15" max="15" width="16.08984375" bestFit="1" customWidth="1"/>
    <col min="16" max="16" width="19.453125" bestFit="1" customWidth="1"/>
    <col min="17" max="17" width="13.453125" bestFit="1" customWidth="1"/>
    <col min="18" max="18" width="11.08984375" bestFit="1" customWidth="1"/>
    <col min="19" max="19" width="13.6328125" bestFit="1" customWidth="1"/>
    <col min="20" max="20" width="6.81640625" bestFit="1" customWidth="1"/>
    <col min="21" max="21" width="10" bestFit="1" customWidth="1"/>
    <col min="22" max="22" width="18.1796875" bestFit="1" customWidth="1"/>
    <col min="23" max="23" width="17.26953125" bestFit="1" customWidth="1"/>
    <col min="24" max="24" width="13" bestFit="1" customWidth="1"/>
    <col min="25" max="25" width="10.08984375" bestFit="1" customWidth="1"/>
    <col min="26" max="26" width="11.1796875" bestFit="1" customWidth="1"/>
    <col min="27" max="27" width="9.26953125" bestFit="1" customWidth="1"/>
    <col min="28" max="28" width="12.08984375" bestFit="1" customWidth="1"/>
    <col min="29" max="29" width="21.08984375" bestFit="1" customWidth="1"/>
    <col min="30" max="30" width="70.26953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s="2">
        <v>46184</v>
      </c>
      <c r="L2" s="2">
        <v>46203</v>
      </c>
      <c r="N2" s="2">
        <v>46174</v>
      </c>
      <c r="O2" s="2">
        <v>46539</v>
      </c>
      <c r="P2">
        <v>12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>
        <v>111678.03</v>
      </c>
      <c r="Z2">
        <v>39087.31</v>
      </c>
      <c r="AA2">
        <v>0.35</v>
      </c>
      <c r="AB2" t="s">
        <v>39</v>
      </c>
      <c r="AC2" t="s">
        <v>39</v>
      </c>
      <c r="AD2" t="s">
        <v>48</v>
      </c>
    </row>
    <row r="3" spans="1:30" x14ac:dyDescent="0.35">
      <c r="A3" s="1" t="s">
        <v>30</v>
      </c>
      <c r="B3" t="s">
        <v>31</v>
      </c>
      <c r="C3" t="s">
        <v>32</v>
      </c>
      <c r="D3" t="s">
        <v>49</v>
      </c>
      <c r="E3" t="s">
        <v>50</v>
      </c>
      <c r="F3" t="s">
        <v>51</v>
      </c>
      <c r="G3" t="s">
        <v>52</v>
      </c>
      <c r="H3" t="s">
        <v>37</v>
      </c>
      <c r="I3" t="s">
        <v>38</v>
      </c>
      <c r="J3" t="s">
        <v>39</v>
      </c>
      <c r="K3" s="2">
        <v>46184</v>
      </c>
      <c r="L3" s="2">
        <v>46203</v>
      </c>
      <c r="N3" s="2">
        <v>46174</v>
      </c>
      <c r="O3" s="2">
        <v>47270</v>
      </c>
      <c r="P3">
        <v>36</v>
      </c>
      <c r="Q3" t="s">
        <v>40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>
        <v>156334.93</v>
      </c>
      <c r="Z3">
        <v>78167.460000000006</v>
      </c>
      <c r="AA3">
        <v>0.5</v>
      </c>
      <c r="AB3" t="s">
        <v>39</v>
      </c>
      <c r="AC3" t="s">
        <v>39</v>
      </c>
      <c r="AD3" t="s">
        <v>48</v>
      </c>
    </row>
    <row r="4" spans="1:30" x14ac:dyDescent="0.35">
      <c r="A4" s="1" t="s">
        <v>30</v>
      </c>
      <c r="B4" t="s">
        <v>31</v>
      </c>
      <c r="C4" t="s">
        <v>32</v>
      </c>
      <c r="D4" t="s">
        <v>60</v>
      </c>
      <c r="E4" t="s">
        <v>61</v>
      </c>
      <c r="F4" t="s">
        <v>62</v>
      </c>
      <c r="G4" t="s">
        <v>63</v>
      </c>
      <c r="H4" t="s">
        <v>37</v>
      </c>
      <c r="I4" t="s">
        <v>64</v>
      </c>
      <c r="J4" t="s">
        <v>39</v>
      </c>
      <c r="K4" s="2">
        <v>46185</v>
      </c>
      <c r="L4" s="2">
        <v>46203</v>
      </c>
      <c r="N4" s="2">
        <v>46174</v>
      </c>
      <c r="O4" s="2">
        <v>46539</v>
      </c>
      <c r="P4">
        <v>12</v>
      </c>
      <c r="Q4" t="s">
        <v>65</v>
      </c>
      <c r="R4" t="s">
        <v>41</v>
      </c>
      <c r="S4" t="s">
        <v>66</v>
      </c>
      <c r="T4" t="s">
        <v>55</v>
      </c>
      <c r="U4" t="s">
        <v>44</v>
      </c>
      <c r="V4" t="s">
        <v>67</v>
      </c>
      <c r="W4" t="s">
        <v>58</v>
      </c>
      <c r="X4" t="s">
        <v>68</v>
      </c>
      <c r="Y4">
        <v>154824.72</v>
      </c>
      <c r="Z4">
        <v>123859.78</v>
      </c>
      <c r="AA4">
        <v>0.8</v>
      </c>
      <c r="AB4" t="s">
        <v>39</v>
      </c>
      <c r="AC4" t="s">
        <v>39</v>
      </c>
      <c r="AD4" t="s">
        <v>48</v>
      </c>
    </row>
    <row r="5" spans="1:30" x14ac:dyDescent="0.35">
      <c r="A5" s="1" t="s">
        <v>30</v>
      </c>
      <c r="B5" t="s">
        <v>31</v>
      </c>
      <c r="C5" t="s">
        <v>32</v>
      </c>
      <c r="D5" t="s">
        <v>69</v>
      </c>
      <c r="E5" t="s">
        <v>70</v>
      </c>
      <c r="F5" t="s">
        <v>71</v>
      </c>
      <c r="G5" t="s">
        <v>72</v>
      </c>
      <c r="H5" t="s">
        <v>37</v>
      </c>
      <c r="I5" t="s">
        <v>64</v>
      </c>
      <c r="J5" t="s">
        <v>39</v>
      </c>
      <c r="K5" s="2">
        <v>46186</v>
      </c>
      <c r="L5" s="2">
        <v>46203</v>
      </c>
      <c r="N5" s="2">
        <v>46174</v>
      </c>
      <c r="O5" s="2">
        <v>47270</v>
      </c>
      <c r="P5">
        <v>36</v>
      </c>
      <c r="Q5" t="s">
        <v>40</v>
      </c>
      <c r="R5" t="s">
        <v>41</v>
      </c>
      <c r="S5" t="s">
        <v>73</v>
      </c>
      <c r="T5" t="s">
        <v>43</v>
      </c>
      <c r="U5" t="s">
        <v>56</v>
      </c>
      <c r="V5" t="s">
        <v>74</v>
      </c>
      <c r="W5" t="s">
        <v>75</v>
      </c>
      <c r="X5" t="s">
        <v>68</v>
      </c>
      <c r="Y5">
        <v>202499.39</v>
      </c>
      <c r="Z5">
        <v>161999.51</v>
      </c>
      <c r="AA5">
        <v>0.8</v>
      </c>
      <c r="AB5" t="s">
        <v>39</v>
      </c>
      <c r="AC5" t="s">
        <v>39</v>
      </c>
      <c r="AD5" t="s">
        <v>48</v>
      </c>
    </row>
    <row r="6" spans="1:30" x14ac:dyDescent="0.35">
      <c r="A6" s="1" t="s">
        <v>30</v>
      </c>
      <c r="B6" t="s">
        <v>31</v>
      </c>
      <c r="C6" t="s">
        <v>32</v>
      </c>
      <c r="D6" t="s">
        <v>76</v>
      </c>
      <c r="E6" t="s">
        <v>77</v>
      </c>
      <c r="F6" t="s">
        <v>78</v>
      </c>
      <c r="G6" t="s">
        <v>79</v>
      </c>
      <c r="H6" t="s">
        <v>37</v>
      </c>
      <c r="I6" t="s">
        <v>38</v>
      </c>
      <c r="J6" t="s">
        <v>39</v>
      </c>
      <c r="K6" s="2">
        <v>46184</v>
      </c>
      <c r="L6" s="2">
        <v>46203</v>
      </c>
      <c r="N6" s="2">
        <v>46174</v>
      </c>
      <c r="O6" s="2">
        <v>46539</v>
      </c>
      <c r="P6">
        <v>12</v>
      </c>
      <c r="Q6" t="s">
        <v>65</v>
      </c>
      <c r="R6" t="s">
        <v>53</v>
      </c>
      <c r="S6" t="s">
        <v>80</v>
      </c>
      <c r="T6" t="s">
        <v>43</v>
      </c>
      <c r="U6" t="s">
        <v>44</v>
      </c>
      <c r="V6" t="s">
        <v>81</v>
      </c>
      <c r="W6" t="s">
        <v>82</v>
      </c>
      <c r="X6" t="s">
        <v>83</v>
      </c>
      <c r="Y6">
        <v>166528.62</v>
      </c>
      <c r="Z6">
        <v>108243.6</v>
      </c>
      <c r="AA6">
        <v>0.65</v>
      </c>
      <c r="AB6" t="s">
        <v>39</v>
      </c>
      <c r="AC6" t="s">
        <v>39</v>
      </c>
      <c r="AD6" t="s">
        <v>48</v>
      </c>
    </row>
    <row r="7" spans="1:30" x14ac:dyDescent="0.35">
      <c r="A7" s="1" t="s">
        <v>30</v>
      </c>
      <c r="B7" t="s">
        <v>31</v>
      </c>
      <c r="C7" t="s">
        <v>32</v>
      </c>
      <c r="D7" t="s">
        <v>84</v>
      </c>
      <c r="E7" t="s">
        <v>85</v>
      </c>
      <c r="F7" t="s">
        <v>86</v>
      </c>
      <c r="G7" t="s">
        <v>87</v>
      </c>
      <c r="H7" t="s">
        <v>37</v>
      </c>
      <c r="I7" t="s">
        <v>38</v>
      </c>
      <c r="J7" t="s">
        <v>39</v>
      </c>
      <c r="K7" s="2">
        <v>46181</v>
      </c>
      <c r="L7" s="2">
        <v>46203</v>
      </c>
      <c r="N7" s="2">
        <v>46174</v>
      </c>
      <c r="O7" s="2">
        <v>46905</v>
      </c>
      <c r="P7">
        <v>24</v>
      </c>
      <c r="Q7" t="s">
        <v>65</v>
      </c>
      <c r="R7" t="s">
        <v>88</v>
      </c>
      <c r="S7" t="s">
        <v>89</v>
      </c>
      <c r="T7" t="s">
        <v>55</v>
      </c>
      <c r="U7" t="s">
        <v>44</v>
      </c>
      <c r="V7" t="s">
        <v>57</v>
      </c>
      <c r="W7" t="s">
        <v>90</v>
      </c>
      <c r="X7" t="s">
        <v>91</v>
      </c>
      <c r="Y7">
        <v>137783.81</v>
      </c>
      <c r="Z7">
        <v>89559.48</v>
      </c>
      <c r="AA7">
        <v>0.65</v>
      </c>
      <c r="AB7" t="s">
        <v>39</v>
      </c>
      <c r="AC7" t="s">
        <v>39</v>
      </c>
      <c r="AD7" t="s">
        <v>48</v>
      </c>
    </row>
    <row r="8" spans="1:30" x14ac:dyDescent="0.35">
      <c r="A8" s="1" t="s">
        <v>30</v>
      </c>
      <c r="B8" t="s">
        <v>31</v>
      </c>
      <c r="C8" t="s">
        <v>32</v>
      </c>
      <c r="D8" t="s">
        <v>92</v>
      </c>
      <c r="E8" t="s">
        <v>93</v>
      </c>
      <c r="F8" t="s">
        <v>94</v>
      </c>
      <c r="G8" t="s">
        <v>95</v>
      </c>
      <c r="H8" t="s">
        <v>37</v>
      </c>
      <c r="I8" t="s">
        <v>64</v>
      </c>
      <c r="J8" t="s">
        <v>39</v>
      </c>
      <c r="K8" s="2">
        <v>46174</v>
      </c>
      <c r="L8" s="2">
        <v>46203</v>
      </c>
      <c r="N8" s="2">
        <v>46174</v>
      </c>
      <c r="O8" s="2">
        <v>46905</v>
      </c>
      <c r="P8">
        <v>24</v>
      </c>
      <c r="Q8" t="s">
        <v>40</v>
      </c>
      <c r="R8" t="s">
        <v>41</v>
      </c>
      <c r="S8" t="s">
        <v>96</v>
      </c>
      <c r="T8" t="s">
        <v>97</v>
      </c>
      <c r="U8" t="s">
        <v>56</v>
      </c>
      <c r="V8" t="s">
        <v>98</v>
      </c>
      <c r="W8" t="s">
        <v>82</v>
      </c>
      <c r="X8" t="s">
        <v>47</v>
      </c>
      <c r="Y8">
        <v>105328.37</v>
      </c>
      <c r="Z8">
        <v>68463.44</v>
      </c>
      <c r="AA8">
        <v>0.65</v>
      </c>
      <c r="AB8" t="s">
        <v>39</v>
      </c>
      <c r="AC8" t="s">
        <v>39</v>
      </c>
      <c r="AD8" t="s">
        <v>48</v>
      </c>
    </row>
    <row r="9" spans="1:30" x14ac:dyDescent="0.35">
      <c r="A9" s="1" t="s">
        <v>30</v>
      </c>
      <c r="B9" t="s">
        <v>31</v>
      </c>
      <c r="C9" t="s">
        <v>32</v>
      </c>
      <c r="D9" t="s">
        <v>99</v>
      </c>
      <c r="E9" t="s">
        <v>100</v>
      </c>
      <c r="F9" t="s">
        <v>101</v>
      </c>
      <c r="G9" t="s">
        <v>102</v>
      </c>
      <c r="H9" t="s">
        <v>37</v>
      </c>
      <c r="I9" t="s">
        <v>103</v>
      </c>
      <c r="J9" t="s">
        <v>39</v>
      </c>
      <c r="K9" s="2">
        <v>46175</v>
      </c>
      <c r="L9" s="2">
        <v>46203</v>
      </c>
      <c r="N9" s="2">
        <v>46174</v>
      </c>
      <c r="O9" s="2">
        <v>46539</v>
      </c>
      <c r="P9">
        <v>12</v>
      </c>
      <c r="Q9" t="s">
        <v>104</v>
      </c>
      <c r="R9" t="s">
        <v>41</v>
      </c>
      <c r="S9" t="s">
        <v>105</v>
      </c>
      <c r="T9" t="s">
        <v>55</v>
      </c>
      <c r="U9" t="s">
        <v>106</v>
      </c>
      <c r="V9" t="s">
        <v>81</v>
      </c>
      <c r="W9" t="s">
        <v>46</v>
      </c>
      <c r="X9" t="s">
        <v>91</v>
      </c>
      <c r="Y9">
        <v>165730.74</v>
      </c>
      <c r="Z9">
        <v>82865.37</v>
      </c>
      <c r="AA9">
        <v>0.5</v>
      </c>
      <c r="AB9" t="s">
        <v>39</v>
      </c>
      <c r="AC9" t="s">
        <v>39</v>
      </c>
      <c r="AD9" t="s">
        <v>48</v>
      </c>
    </row>
    <row r="10" spans="1:30" x14ac:dyDescent="0.35">
      <c r="A10" s="1" t="s">
        <v>30</v>
      </c>
      <c r="B10" t="s">
        <v>31</v>
      </c>
      <c r="C10" t="s">
        <v>32</v>
      </c>
      <c r="D10" t="s">
        <v>107</v>
      </c>
      <c r="E10" t="s">
        <v>108</v>
      </c>
      <c r="F10" t="s">
        <v>109</v>
      </c>
      <c r="G10" t="s">
        <v>110</v>
      </c>
      <c r="H10" t="s">
        <v>37</v>
      </c>
      <c r="I10" t="s">
        <v>111</v>
      </c>
      <c r="J10" t="s">
        <v>39</v>
      </c>
      <c r="K10" s="2">
        <v>46179</v>
      </c>
      <c r="L10" s="2">
        <v>46203</v>
      </c>
      <c r="N10" s="2">
        <v>46174</v>
      </c>
      <c r="O10" s="2">
        <v>46905</v>
      </c>
      <c r="P10">
        <v>24</v>
      </c>
      <c r="Q10" t="s">
        <v>65</v>
      </c>
      <c r="R10" t="s">
        <v>41</v>
      </c>
      <c r="S10" t="s">
        <v>112</v>
      </c>
      <c r="T10" t="s">
        <v>55</v>
      </c>
      <c r="U10" t="s">
        <v>56</v>
      </c>
      <c r="V10" t="s">
        <v>81</v>
      </c>
      <c r="W10" t="s">
        <v>46</v>
      </c>
      <c r="X10" t="s">
        <v>47</v>
      </c>
      <c r="Y10">
        <v>115097.51</v>
      </c>
      <c r="Z10">
        <v>74813.38</v>
      </c>
      <c r="AA10">
        <v>0.65</v>
      </c>
      <c r="AB10" t="s">
        <v>39</v>
      </c>
      <c r="AC10" t="s">
        <v>39</v>
      </c>
      <c r="AD10" t="s">
        <v>48</v>
      </c>
    </row>
    <row r="11" spans="1:30" x14ac:dyDescent="0.35">
      <c r="A11" s="1" t="s">
        <v>30</v>
      </c>
      <c r="B11" t="s">
        <v>31</v>
      </c>
      <c r="C11" t="s">
        <v>32</v>
      </c>
      <c r="D11" t="s">
        <v>113</v>
      </c>
      <c r="E11" t="s">
        <v>114</v>
      </c>
      <c r="F11" t="s">
        <v>115</v>
      </c>
      <c r="G11" t="s">
        <v>116</v>
      </c>
      <c r="H11" t="s">
        <v>37</v>
      </c>
      <c r="I11" t="s">
        <v>117</v>
      </c>
      <c r="J11" t="s">
        <v>39</v>
      </c>
      <c r="K11" s="2">
        <v>46181</v>
      </c>
      <c r="L11" s="2">
        <v>46203</v>
      </c>
      <c r="N11" s="2">
        <v>46174</v>
      </c>
      <c r="O11" s="2">
        <v>47270</v>
      </c>
      <c r="P11">
        <v>36</v>
      </c>
      <c r="Q11" t="s">
        <v>104</v>
      </c>
      <c r="R11" t="s">
        <v>88</v>
      </c>
      <c r="S11" t="s">
        <v>118</v>
      </c>
      <c r="T11" t="s">
        <v>97</v>
      </c>
      <c r="U11" t="s">
        <v>106</v>
      </c>
      <c r="V11" t="s">
        <v>119</v>
      </c>
      <c r="W11" t="s">
        <v>120</v>
      </c>
      <c r="X11" t="s">
        <v>91</v>
      </c>
      <c r="Y11">
        <v>100863.24</v>
      </c>
      <c r="Z11">
        <v>50431.62</v>
      </c>
      <c r="AA11">
        <v>0.5</v>
      </c>
      <c r="AB11" t="s">
        <v>39</v>
      </c>
      <c r="AC11" t="s">
        <v>39</v>
      </c>
      <c r="AD11" t="s">
        <v>48</v>
      </c>
    </row>
    <row r="12" spans="1:30" x14ac:dyDescent="0.35">
      <c r="A12" s="1" t="s">
        <v>30</v>
      </c>
      <c r="B12" t="s">
        <v>31</v>
      </c>
      <c r="C12" t="s">
        <v>32</v>
      </c>
      <c r="D12" t="s">
        <v>121</v>
      </c>
      <c r="E12" t="s">
        <v>122</v>
      </c>
      <c r="F12" t="s">
        <v>123</v>
      </c>
      <c r="G12" t="s">
        <v>124</v>
      </c>
      <c r="H12" t="s">
        <v>37</v>
      </c>
      <c r="I12" t="s">
        <v>64</v>
      </c>
      <c r="J12" t="s">
        <v>39</v>
      </c>
      <c r="K12" s="2">
        <v>46179</v>
      </c>
      <c r="L12" s="2">
        <v>46203</v>
      </c>
      <c r="N12" s="2">
        <v>46174</v>
      </c>
      <c r="O12" s="2">
        <v>46905</v>
      </c>
      <c r="P12">
        <v>24</v>
      </c>
      <c r="Q12" t="s">
        <v>65</v>
      </c>
      <c r="R12" t="s">
        <v>53</v>
      </c>
      <c r="S12" t="s">
        <v>42</v>
      </c>
      <c r="T12" t="s">
        <v>43</v>
      </c>
      <c r="U12" t="s">
        <v>56</v>
      </c>
      <c r="V12" t="s">
        <v>45</v>
      </c>
      <c r="W12" t="s">
        <v>75</v>
      </c>
      <c r="X12" t="s">
        <v>125</v>
      </c>
      <c r="Y12">
        <v>212753.1</v>
      </c>
      <c r="Z12">
        <v>106376.55</v>
      </c>
      <c r="AA12">
        <v>0.5</v>
      </c>
      <c r="AB12" t="s">
        <v>39</v>
      </c>
      <c r="AC12" t="s">
        <v>39</v>
      </c>
      <c r="AD12" t="s">
        <v>48</v>
      </c>
    </row>
    <row r="13" spans="1:30" x14ac:dyDescent="0.35">
      <c r="A13" s="1" t="s">
        <v>30</v>
      </c>
      <c r="B13" t="s">
        <v>31</v>
      </c>
      <c r="C13" t="s">
        <v>32</v>
      </c>
      <c r="D13" t="s">
        <v>126</v>
      </c>
      <c r="E13" t="s">
        <v>127</v>
      </c>
      <c r="F13" t="s">
        <v>128</v>
      </c>
      <c r="G13" t="s">
        <v>129</v>
      </c>
      <c r="H13" t="s">
        <v>37</v>
      </c>
      <c r="I13" t="s">
        <v>103</v>
      </c>
      <c r="J13" t="s">
        <v>39</v>
      </c>
      <c r="K13" s="2">
        <v>46177</v>
      </c>
      <c r="L13" s="2">
        <v>46203</v>
      </c>
      <c r="N13" s="2">
        <v>46174</v>
      </c>
      <c r="O13" s="2">
        <v>46539</v>
      </c>
      <c r="P13">
        <v>12</v>
      </c>
      <c r="Q13" t="s">
        <v>40</v>
      </c>
      <c r="R13" t="s">
        <v>88</v>
      </c>
      <c r="S13" t="s">
        <v>42</v>
      </c>
      <c r="T13" t="s">
        <v>43</v>
      </c>
      <c r="U13" t="s">
        <v>106</v>
      </c>
      <c r="V13" t="s">
        <v>81</v>
      </c>
      <c r="W13" t="s">
        <v>82</v>
      </c>
      <c r="X13" t="s">
        <v>91</v>
      </c>
      <c r="Y13">
        <v>213366.54</v>
      </c>
      <c r="Z13">
        <v>138688.25</v>
      </c>
      <c r="AA13">
        <v>0.65</v>
      </c>
      <c r="AB13" t="s">
        <v>39</v>
      </c>
      <c r="AC13" t="s">
        <v>39</v>
      </c>
      <c r="AD13" t="s">
        <v>48</v>
      </c>
    </row>
    <row r="14" spans="1:30" x14ac:dyDescent="0.35">
      <c r="A14" s="1" t="s">
        <v>30</v>
      </c>
      <c r="B14" t="s">
        <v>31</v>
      </c>
      <c r="C14" t="s">
        <v>32</v>
      </c>
      <c r="D14" t="s">
        <v>1945</v>
      </c>
      <c r="E14" t="s">
        <v>1946</v>
      </c>
      <c r="F14" t="s">
        <v>1947</v>
      </c>
      <c r="G14" t="s">
        <v>1948</v>
      </c>
      <c r="H14" t="s">
        <v>1271</v>
      </c>
      <c r="I14" t="s">
        <v>38</v>
      </c>
      <c r="J14" t="s">
        <v>39</v>
      </c>
      <c r="K14" s="2">
        <v>46180</v>
      </c>
      <c r="L14" s="2">
        <v>46203</v>
      </c>
      <c r="N14" s="2">
        <v>46174</v>
      </c>
      <c r="O14" s="2">
        <v>46539</v>
      </c>
      <c r="P14">
        <v>12</v>
      </c>
      <c r="Q14" t="s">
        <v>65</v>
      </c>
      <c r="R14" t="s">
        <v>41</v>
      </c>
      <c r="S14" t="s">
        <v>80</v>
      </c>
      <c r="T14" t="s">
        <v>43</v>
      </c>
      <c r="U14" t="s">
        <v>44</v>
      </c>
      <c r="V14" t="s">
        <v>98</v>
      </c>
      <c r="W14" t="s">
        <v>90</v>
      </c>
      <c r="X14" t="s">
        <v>59</v>
      </c>
      <c r="Y14">
        <v>104671.2</v>
      </c>
      <c r="Z14">
        <v>68036.28</v>
      </c>
      <c r="AA14">
        <v>0.65</v>
      </c>
      <c r="AB14" t="s">
        <v>39</v>
      </c>
      <c r="AC14" t="s">
        <v>39</v>
      </c>
      <c r="AD14" t="s">
        <v>48</v>
      </c>
    </row>
    <row r="15" spans="1:30" x14ac:dyDescent="0.35">
      <c r="A15" s="1" t="s">
        <v>30</v>
      </c>
      <c r="B15" t="s">
        <v>31</v>
      </c>
      <c r="C15" t="s">
        <v>32</v>
      </c>
      <c r="D15" t="s">
        <v>1949</v>
      </c>
      <c r="E15" t="s">
        <v>1950</v>
      </c>
      <c r="F15" t="s">
        <v>1951</v>
      </c>
      <c r="G15" t="s">
        <v>1952</v>
      </c>
      <c r="H15" t="s">
        <v>1271</v>
      </c>
      <c r="I15" t="s">
        <v>38</v>
      </c>
      <c r="J15" t="s">
        <v>39</v>
      </c>
      <c r="K15" s="2">
        <v>46183</v>
      </c>
      <c r="L15" s="2">
        <v>46203</v>
      </c>
      <c r="N15" s="2">
        <v>46174</v>
      </c>
      <c r="O15" s="2">
        <v>46539</v>
      </c>
      <c r="P15">
        <v>12</v>
      </c>
      <c r="Q15" t="s">
        <v>65</v>
      </c>
      <c r="R15" t="s">
        <v>53</v>
      </c>
      <c r="S15" t="s">
        <v>66</v>
      </c>
      <c r="T15" t="s">
        <v>55</v>
      </c>
      <c r="U15" t="s">
        <v>44</v>
      </c>
      <c r="V15" t="s">
        <v>98</v>
      </c>
      <c r="W15" t="s">
        <v>136</v>
      </c>
      <c r="X15" t="s">
        <v>143</v>
      </c>
      <c r="Y15">
        <v>159274.68</v>
      </c>
      <c r="Z15">
        <v>127419.75</v>
      </c>
      <c r="AA15">
        <v>0.8</v>
      </c>
      <c r="AB15" t="s">
        <v>39</v>
      </c>
      <c r="AC15" t="s">
        <v>39</v>
      </c>
      <c r="AD15" t="s">
        <v>48</v>
      </c>
    </row>
    <row r="16" spans="1:30" x14ac:dyDescent="0.35">
      <c r="A16" s="1" t="s">
        <v>30</v>
      </c>
      <c r="B16" t="s">
        <v>31</v>
      </c>
      <c r="C16" t="s">
        <v>32</v>
      </c>
      <c r="D16" t="s">
        <v>1953</v>
      </c>
      <c r="E16" t="s">
        <v>1954</v>
      </c>
      <c r="F16" t="s">
        <v>1955</v>
      </c>
      <c r="G16" t="s">
        <v>1956</v>
      </c>
      <c r="H16" t="s">
        <v>1271</v>
      </c>
      <c r="I16" t="s">
        <v>38</v>
      </c>
      <c r="J16" t="s">
        <v>39</v>
      </c>
      <c r="K16" s="2">
        <v>46177</v>
      </c>
      <c r="L16" s="2">
        <v>46203</v>
      </c>
      <c r="N16" s="2">
        <v>46174</v>
      </c>
      <c r="O16" s="2">
        <v>46539</v>
      </c>
      <c r="P16">
        <v>12</v>
      </c>
      <c r="Q16" t="s">
        <v>104</v>
      </c>
      <c r="R16" t="s">
        <v>41</v>
      </c>
      <c r="S16" t="s">
        <v>89</v>
      </c>
      <c r="T16" t="s">
        <v>55</v>
      </c>
      <c r="U16" t="s">
        <v>56</v>
      </c>
      <c r="V16" t="s">
        <v>74</v>
      </c>
      <c r="W16" t="s">
        <v>90</v>
      </c>
      <c r="X16" t="s">
        <v>91</v>
      </c>
      <c r="Y16">
        <v>82643.94</v>
      </c>
      <c r="Z16">
        <v>28925.38</v>
      </c>
      <c r="AA16">
        <v>0.35</v>
      </c>
      <c r="AB16" t="s">
        <v>39</v>
      </c>
      <c r="AC16" t="s">
        <v>39</v>
      </c>
      <c r="AD16" t="s">
        <v>48</v>
      </c>
    </row>
    <row r="17" spans="1:30" x14ac:dyDescent="0.35">
      <c r="A17" s="1" t="s">
        <v>30</v>
      </c>
      <c r="B17" t="s">
        <v>31</v>
      </c>
      <c r="C17" t="s">
        <v>32</v>
      </c>
      <c r="D17" t="s">
        <v>1957</v>
      </c>
      <c r="E17" t="s">
        <v>1958</v>
      </c>
      <c r="F17" t="s">
        <v>1959</v>
      </c>
      <c r="G17" t="s">
        <v>1960</v>
      </c>
      <c r="H17" t="s">
        <v>1271</v>
      </c>
      <c r="I17" t="s">
        <v>103</v>
      </c>
      <c r="J17" t="s">
        <v>39</v>
      </c>
      <c r="K17" s="2">
        <v>46185</v>
      </c>
      <c r="L17" s="2">
        <v>46203</v>
      </c>
      <c r="N17" s="2">
        <v>46174</v>
      </c>
      <c r="O17" s="2">
        <v>46905</v>
      </c>
      <c r="P17">
        <v>24</v>
      </c>
      <c r="Q17" t="s">
        <v>104</v>
      </c>
      <c r="R17" t="s">
        <v>88</v>
      </c>
      <c r="S17" t="s">
        <v>164</v>
      </c>
      <c r="T17" t="s">
        <v>55</v>
      </c>
      <c r="U17" t="s">
        <v>56</v>
      </c>
      <c r="V17" t="s">
        <v>119</v>
      </c>
      <c r="W17" t="s">
        <v>120</v>
      </c>
      <c r="X17" t="s">
        <v>143</v>
      </c>
      <c r="Y17">
        <v>148946.04</v>
      </c>
      <c r="Z17">
        <v>119156.83</v>
      </c>
      <c r="AA17">
        <v>0.8</v>
      </c>
      <c r="AB17" t="s">
        <v>39</v>
      </c>
      <c r="AC17" t="s">
        <v>39</v>
      </c>
      <c r="AD17" t="s">
        <v>48</v>
      </c>
    </row>
    <row r="18" spans="1:30" x14ac:dyDescent="0.35">
      <c r="A18" s="1" t="s">
        <v>30</v>
      </c>
      <c r="B18" t="s">
        <v>31</v>
      </c>
      <c r="C18" t="s">
        <v>32</v>
      </c>
      <c r="D18" t="s">
        <v>1961</v>
      </c>
      <c r="E18" t="s">
        <v>1962</v>
      </c>
      <c r="F18" t="s">
        <v>1963</v>
      </c>
      <c r="G18" t="s">
        <v>1964</v>
      </c>
      <c r="H18" t="s">
        <v>1271</v>
      </c>
      <c r="I18" t="s">
        <v>111</v>
      </c>
      <c r="J18" t="s">
        <v>39</v>
      </c>
      <c r="K18" s="2">
        <v>46179</v>
      </c>
      <c r="L18" s="2">
        <v>46203</v>
      </c>
      <c r="N18" s="2">
        <v>46174</v>
      </c>
      <c r="O18" s="2">
        <v>46539</v>
      </c>
      <c r="P18">
        <v>12</v>
      </c>
      <c r="Q18" t="s">
        <v>40</v>
      </c>
      <c r="R18" t="s">
        <v>53</v>
      </c>
      <c r="S18" t="s">
        <v>162</v>
      </c>
      <c r="T18" t="s">
        <v>43</v>
      </c>
      <c r="U18" t="s">
        <v>106</v>
      </c>
      <c r="V18" t="s">
        <v>217</v>
      </c>
      <c r="W18" t="s">
        <v>46</v>
      </c>
      <c r="X18" t="s">
        <v>91</v>
      </c>
      <c r="Y18">
        <v>151560.75</v>
      </c>
      <c r="Z18">
        <v>98514.49</v>
      </c>
      <c r="AA18">
        <v>0.65</v>
      </c>
      <c r="AB18" t="s">
        <v>39</v>
      </c>
      <c r="AC18" t="s">
        <v>39</v>
      </c>
      <c r="AD18" t="s">
        <v>48</v>
      </c>
    </row>
    <row r="19" spans="1:30" x14ac:dyDescent="0.35">
      <c r="A19" s="1" t="s">
        <v>30</v>
      </c>
      <c r="B19" t="s">
        <v>31</v>
      </c>
      <c r="C19" t="s">
        <v>32</v>
      </c>
      <c r="D19" t="s">
        <v>1965</v>
      </c>
      <c r="E19" t="s">
        <v>1966</v>
      </c>
      <c r="F19" t="s">
        <v>1967</v>
      </c>
      <c r="G19" t="s">
        <v>1968</v>
      </c>
      <c r="H19" t="s">
        <v>1271</v>
      </c>
      <c r="I19" t="s">
        <v>117</v>
      </c>
      <c r="J19" t="s">
        <v>39</v>
      </c>
      <c r="K19" s="2">
        <v>46188</v>
      </c>
      <c r="L19" s="2">
        <v>46203</v>
      </c>
      <c r="N19" s="2">
        <v>46174</v>
      </c>
      <c r="O19" s="2">
        <v>47270</v>
      </c>
      <c r="P19">
        <v>36</v>
      </c>
      <c r="Q19" t="s">
        <v>65</v>
      </c>
      <c r="R19" t="s">
        <v>53</v>
      </c>
      <c r="S19" t="s">
        <v>130</v>
      </c>
      <c r="T19" t="s">
        <v>131</v>
      </c>
      <c r="U19" t="s">
        <v>56</v>
      </c>
      <c r="V19" t="s">
        <v>119</v>
      </c>
      <c r="W19" t="s">
        <v>142</v>
      </c>
      <c r="X19" t="s">
        <v>143</v>
      </c>
      <c r="Y19">
        <v>176519.85</v>
      </c>
      <c r="Z19">
        <v>61781.95</v>
      </c>
      <c r="AA19">
        <v>0.35</v>
      </c>
      <c r="AB19" t="s">
        <v>39</v>
      </c>
      <c r="AC19" t="s">
        <v>39</v>
      </c>
      <c r="AD19" t="s">
        <v>48</v>
      </c>
    </row>
    <row r="20" spans="1:30" x14ac:dyDescent="0.35">
      <c r="A20" s="1" t="s">
        <v>30</v>
      </c>
      <c r="B20" t="s">
        <v>31</v>
      </c>
      <c r="C20" t="s">
        <v>32</v>
      </c>
      <c r="D20" t="s">
        <v>1969</v>
      </c>
      <c r="E20" t="s">
        <v>1970</v>
      </c>
      <c r="F20" t="s">
        <v>397</v>
      </c>
      <c r="G20" t="s">
        <v>398</v>
      </c>
      <c r="H20" t="s">
        <v>1271</v>
      </c>
      <c r="I20" t="s">
        <v>64</v>
      </c>
      <c r="J20" t="s">
        <v>39</v>
      </c>
      <c r="K20" s="2">
        <v>46175</v>
      </c>
      <c r="L20" s="2">
        <v>46203</v>
      </c>
      <c r="N20" s="2">
        <v>46174</v>
      </c>
      <c r="O20" s="2">
        <v>47270</v>
      </c>
      <c r="P20">
        <v>36</v>
      </c>
      <c r="Q20" t="s">
        <v>40</v>
      </c>
      <c r="R20" t="s">
        <v>88</v>
      </c>
      <c r="S20" t="s">
        <v>182</v>
      </c>
      <c r="T20" t="s">
        <v>97</v>
      </c>
      <c r="U20" t="s">
        <v>44</v>
      </c>
      <c r="V20" t="s">
        <v>67</v>
      </c>
      <c r="W20" t="s">
        <v>132</v>
      </c>
      <c r="X20" t="s">
        <v>68</v>
      </c>
      <c r="Y20">
        <v>117201.53</v>
      </c>
      <c r="Z20">
        <v>76181</v>
      </c>
      <c r="AA20">
        <v>0.65</v>
      </c>
      <c r="AB20" t="s">
        <v>39</v>
      </c>
      <c r="AC20" t="s">
        <v>39</v>
      </c>
      <c r="AD20" t="s">
        <v>48</v>
      </c>
    </row>
    <row r="21" spans="1:30" x14ac:dyDescent="0.35">
      <c r="A21" s="1" t="s">
        <v>30</v>
      </c>
      <c r="B21" t="s">
        <v>31</v>
      </c>
      <c r="C21" t="s">
        <v>32</v>
      </c>
      <c r="D21" t="s">
        <v>1971</v>
      </c>
      <c r="E21" t="s">
        <v>1972</v>
      </c>
      <c r="F21" t="s">
        <v>1973</v>
      </c>
      <c r="G21" t="s">
        <v>1974</v>
      </c>
      <c r="H21" t="s">
        <v>1290</v>
      </c>
      <c r="I21" t="s">
        <v>64</v>
      </c>
      <c r="J21" t="s">
        <v>1290</v>
      </c>
      <c r="K21" s="2">
        <v>46180</v>
      </c>
      <c r="L21" s="2">
        <v>46203</v>
      </c>
      <c r="N21" s="2">
        <v>46174</v>
      </c>
      <c r="O21" s="2">
        <v>46539</v>
      </c>
      <c r="P21">
        <v>12</v>
      </c>
      <c r="Q21" t="s">
        <v>40</v>
      </c>
      <c r="R21" t="s">
        <v>53</v>
      </c>
      <c r="S21" t="s">
        <v>140</v>
      </c>
      <c r="T21" t="s">
        <v>97</v>
      </c>
      <c r="U21" t="s">
        <v>44</v>
      </c>
      <c r="V21" t="s">
        <v>81</v>
      </c>
      <c r="W21" t="s">
        <v>90</v>
      </c>
      <c r="X21" t="s">
        <v>68</v>
      </c>
      <c r="Y21">
        <v>153926.46</v>
      </c>
      <c r="Z21">
        <v>53874.26</v>
      </c>
      <c r="AA21">
        <v>0.35</v>
      </c>
      <c r="AB21" t="s">
        <v>1290</v>
      </c>
      <c r="AC21" t="s">
        <v>1290</v>
      </c>
      <c r="AD21" t="s">
        <v>48</v>
      </c>
    </row>
    <row r="22" spans="1:30" x14ac:dyDescent="0.35">
      <c r="A22" s="1" t="s">
        <v>30</v>
      </c>
      <c r="B22" t="s">
        <v>31</v>
      </c>
      <c r="C22" t="s">
        <v>32</v>
      </c>
      <c r="D22" t="s">
        <v>1975</v>
      </c>
      <c r="E22" t="s">
        <v>1976</v>
      </c>
      <c r="F22" t="s">
        <v>1977</v>
      </c>
      <c r="G22" t="s">
        <v>1978</v>
      </c>
      <c r="H22" t="s">
        <v>1290</v>
      </c>
      <c r="I22" t="s">
        <v>38</v>
      </c>
      <c r="J22" t="s">
        <v>1290</v>
      </c>
      <c r="K22" s="2">
        <v>46182</v>
      </c>
      <c r="L22" s="2">
        <v>46203</v>
      </c>
      <c r="N22" s="2">
        <v>46174</v>
      </c>
      <c r="O22" s="2">
        <v>46905</v>
      </c>
      <c r="P22">
        <v>24</v>
      </c>
      <c r="Q22" t="s">
        <v>104</v>
      </c>
      <c r="R22" t="s">
        <v>41</v>
      </c>
      <c r="S22" t="s">
        <v>163</v>
      </c>
      <c r="T22" t="s">
        <v>131</v>
      </c>
      <c r="U22" t="s">
        <v>44</v>
      </c>
      <c r="V22" t="s">
        <v>144</v>
      </c>
      <c r="W22" t="s">
        <v>150</v>
      </c>
      <c r="X22" t="s">
        <v>59</v>
      </c>
      <c r="Y22">
        <v>168950.54</v>
      </c>
      <c r="Z22">
        <v>109817.85</v>
      </c>
      <c r="AA22">
        <v>0.65</v>
      </c>
      <c r="AB22" t="s">
        <v>1290</v>
      </c>
      <c r="AC22" t="s">
        <v>1290</v>
      </c>
      <c r="AD22" t="s">
        <v>48</v>
      </c>
    </row>
    <row r="23" spans="1:30" x14ac:dyDescent="0.35">
      <c r="A23" s="1" t="s">
        <v>30</v>
      </c>
      <c r="B23" t="s">
        <v>31</v>
      </c>
      <c r="C23" t="s">
        <v>32</v>
      </c>
      <c r="D23" t="s">
        <v>1979</v>
      </c>
      <c r="E23" t="s">
        <v>1980</v>
      </c>
      <c r="F23" t="s">
        <v>1981</v>
      </c>
      <c r="G23" t="s">
        <v>1982</v>
      </c>
      <c r="H23" t="s">
        <v>1295</v>
      </c>
      <c r="I23" t="s">
        <v>111</v>
      </c>
      <c r="J23" t="s">
        <v>1295</v>
      </c>
      <c r="K23" s="2">
        <v>46183</v>
      </c>
      <c r="L23" s="2">
        <v>46203</v>
      </c>
      <c r="N23" s="2">
        <v>46174</v>
      </c>
      <c r="O23" s="2">
        <v>46539</v>
      </c>
      <c r="P23">
        <v>12</v>
      </c>
      <c r="Q23" t="s">
        <v>104</v>
      </c>
      <c r="R23" t="s">
        <v>41</v>
      </c>
      <c r="S23" t="s">
        <v>89</v>
      </c>
      <c r="T23" t="s">
        <v>55</v>
      </c>
      <c r="U23" t="s">
        <v>56</v>
      </c>
      <c r="V23" t="s">
        <v>74</v>
      </c>
      <c r="W23" t="s">
        <v>120</v>
      </c>
      <c r="X23" t="s">
        <v>91</v>
      </c>
      <c r="Y23">
        <v>147174.07</v>
      </c>
      <c r="Z23">
        <v>73587.03</v>
      </c>
      <c r="AA23">
        <v>0.5</v>
      </c>
      <c r="AB23" t="s">
        <v>1295</v>
      </c>
      <c r="AC23" t="s">
        <v>1295</v>
      </c>
      <c r="AD23" t="s">
        <v>48</v>
      </c>
    </row>
    <row r="24" spans="1:30" x14ac:dyDescent="0.35">
      <c r="A24" s="1" t="s">
        <v>30</v>
      </c>
      <c r="B24" t="s">
        <v>31</v>
      </c>
      <c r="C24" t="s">
        <v>32</v>
      </c>
      <c r="D24" t="s">
        <v>1983</v>
      </c>
      <c r="E24" t="s">
        <v>1984</v>
      </c>
      <c r="F24" t="s">
        <v>1985</v>
      </c>
      <c r="G24" t="s">
        <v>1986</v>
      </c>
      <c r="H24" t="s">
        <v>1295</v>
      </c>
      <c r="I24" t="s">
        <v>117</v>
      </c>
      <c r="J24" t="s">
        <v>1295</v>
      </c>
      <c r="K24" s="2">
        <v>46177</v>
      </c>
      <c r="L24" s="2">
        <v>46203</v>
      </c>
      <c r="N24" s="2">
        <v>46174</v>
      </c>
      <c r="O24" s="2">
        <v>46539</v>
      </c>
      <c r="P24">
        <v>12</v>
      </c>
      <c r="Q24" t="s">
        <v>65</v>
      </c>
      <c r="R24" t="s">
        <v>41</v>
      </c>
      <c r="S24" t="s">
        <v>105</v>
      </c>
      <c r="T24" t="s">
        <v>55</v>
      </c>
      <c r="U24" t="s">
        <v>106</v>
      </c>
      <c r="V24" t="s">
        <v>138</v>
      </c>
      <c r="W24" t="s">
        <v>120</v>
      </c>
      <c r="X24" t="s">
        <v>59</v>
      </c>
      <c r="Y24">
        <v>255474.56</v>
      </c>
      <c r="Z24">
        <v>127737.28</v>
      </c>
      <c r="AA24">
        <v>0.5</v>
      </c>
      <c r="AB24" t="s">
        <v>1295</v>
      </c>
      <c r="AC24" t="s">
        <v>1295</v>
      </c>
      <c r="AD24" t="s">
        <v>48</v>
      </c>
    </row>
    <row r="25" spans="1:30" x14ac:dyDescent="0.35">
      <c r="A25" s="1" t="s">
        <v>30</v>
      </c>
      <c r="B25" t="s">
        <v>31</v>
      </c>
      <c r="C25" t="s">
        <v>32</v>
      </c>
      <c r="D25" t="s">
        <v>1987</v>
      </c>
      <c r="E25" t="s">
        <v>1988</v>
      </c>
      <c r="F25" t="s">
        <v>452</v>
      </c>
      <c r="G25" t="s">
        <v>453</v>
      </c>
      <c r="H25" t="s">
        <v>1295</v>
      </c>
      <c r="I25" t="s">
        <v>117</v>
      </c>
      <c r="J25" t="s">
        <v>1295</v>
      </c>
      <c r="K25" s="2">
        <v>46185</v>
      </c>
      <c r="L25" s="2">
        <v>46203</v>
      </c>
      <c r="N25" s="2">
        <v>46174</v>
      </c>
      <c r="O25" s="2">
        <v>46539</v>
      </c>
      <c r="P25">
        <v>12</v>
      </c>
      <c r="Q25" t="s">
        <v>40</v>
      </c>
      <c r="R25" t="s">
        <v>41</v>
      </c>
      <c r="S25" t="s">
        <v>96</v>
      </c>
      <c r="T25" t="s">
        <v>97</v>
      </c>
      <c r="U25" t="s">
        <v>44</v>
      </c>
      <c r="V25" t="s">
        <v>45</v>
      </c>
      <c r="W25" t="s">
        <v>136</v>
      </c>
      <c r="X25" t="s">
        <v>91</v>
      </c>
      <c r="Y25">
        <v>127608.38</v>
      </c>
      <c r="Z25">
        <v>44662.93</v>
      </c>
      <c r="AA25">
        <v>0.35</v>
      </c>
      <c r="AB25" t="s">
        <v>1295</v>
      </c>
      <c r="AC25" t="s">
        <v>1295</v>
      </c>
      <c r="AD25" t="s">
        <v>48</v>
      </c>
    </row>
    <row r="26" spans="1:30" x14ac:dyDescent="0.35">
      <c r="A26" s="1" t="s">
        <v>30</v>
      </c>
      <c r="B26" t="s">
        <v>31</v>
      </c>
      <c r="C26" t="s">
        <v>32</v>
      </c>
      <c r="D26" t="s">
        <v>1989</v>
      </c>
      <c r="E26" t="s">
        <v>1990</v>
      </c>
      <c r="F26" t="s">
        <v>1991</v>
      </c>
      <c r="G26" t="s">
        <v>1992</v>
      </c>
      <c r="H26" t="s">
        <v>1302</v>
      </c>
      <c r="I26" t="s">
        <v>117</v>
      </c>
      <c r="J26" t="s">
        <v>39</v>
      </c>
      <c r="K26" s="2">
        <v>46177</v>
      </c>
      <c r="L26" s="2">
        <v>46203</v>
      </c>
      <c r="N26" s="2">
        <v>46174</v>
      </c>
      <c r="O26" s="2">
        <v>46539</v>
      </c>
      <c r="P26">
        <v>12</v>
      </c>
      <c r="Q26" t="s">
        <v>65</v>
      </c>
      <c r="R26" t="s">
        <v>53</v>
      </c>
      <c r="S26" t="s">
        <v>130</v>
      </c>
      <c r="T26" t="s">
        <v>131</v>
      </c>
      <c r="U26" t="s">
        <v>44</v>
      </c>
      <c r="V26" t="s">
        <v>45</v>
      </c>
      <c r="W26" t="s">
        <v>90</v>
      </c>
      <c r="X26" t="s">
        <v>91</v>
      </c>
      <c r="Y26">
        <v>150000</v>
      </c>
      <c r="Z26">
        <v>120000</v>
      </c>
      <c r="AA26">
        <v>0.8</v>
      </c>
      <c r="AB26" t="s">
        <v>39</v>
      </c>
      <c r="AC26" t="s">
        <v>39</v>
      </c>
      <c r="AD26" t="s">
        <v>48</v>
      </c>
    </row>
    <row r="27" spans="1:30" x14ac:dyDescent="0.35">
      <c r="A27" s="1" t="s">
        <v>30</v>
      </c>
      <c r="B27" t="s">
        <v>31</v>
      </c>
      <c r="C27" t="s">
        <v>165</v>
      </c>
      <c r="D27" t="s">
        <v>166</v>
      </c>
      <c r="E27" t="s">
        <v>167</v>
      </c>
      <c r="F27" t="s">
        <v>168</v>
      </c>
      <c r="G27" t="s">
        <v>169</v>
      </c>
      <c r="H27" t="s">
        <v>37</v>
      </c>
      <c r="I27" t="s">
        <v>103</v>
      </c>
      <c r="J27" t="s">
        <v>39</v>
      </c>
      <c r="K27" s="2">
        <v>46214</v>
      </c>
      <c r="L27" s="2">
        <v>46234</v>
      </c>
      <c r="N27" s="2">
        <v>46204</v>
      </c>
      <c r="O27" s="2">
        <v>46935</v>
      </c>
      <c r="P27">
        <v>24</v>
      </c>
      <c r="Q27" t="s">
        <v>65</v>
      </c>
      <c r="R27" t="s">
        <v>53</v>
      </c>
      <c r="S27" t="s">
        <v>130</v>
      </c>
      <c r="T27" t="s">
        <v>131</v>
      </c>
      <c r="U27" t="s">
        <v>56</v>
      </c>
      <c r="V27" t="s">
        <v>138</v>
      </c>
      <c r="W27" t="s">
        <v>136</v>
      </c>
      <c r="X27" t="s">
        <v>158</v>
      </c>
      <c r="Y27">
        <v>158383.28</v>
      </c>
      <c r="Z27">
        <v>126706.62</v>
      </c>
      <c r="AA27">
        <v>0.8</v>
      </c>
      <c r="AB27" t="s">
        <v>39</v>
      </c>
      <c r="AC27" t="s">
        <v>39</v>
      </c>
      <c r="AD27" t="s">
        <v>48</v>
      </c>
    </row>
    <row r="28" spans="1:30" x14ac:dyDescent="0.35">
      <c r="A28" s="1" t="s">
        <v>30</v>
      </c>
      <c r="B28" t="s">
        <v>31</v>
      </c>
      <c r="C28" t="s">
        <v>165</v>
      </c>
      <c r="D28" t="s">
        <v>170</v>
      </c>
      <c r="E28" t="s">
        <v>171</v>
      </c>
      <c r="F28" t="s">
        <v>172</v>
      </c>
      <c r="G28" t="s">
        <v>173</v>
      </c>
      <c r="H28" t="s">
        <v>37</v>
      </c>
      <c r="I28" t="s">
        <v>117</v>
      </c>
      <c r="J28" t="s">
        <v>39</v>
      </c>
      <c r="K28" s="2">
        <v>46207</v>
      </c>
      <c r="L28" s="2">
        <v>46234</v>
      </c>
      <c r="N28" s="2">
        <v>46204</v>
      </c>
      <c r="O28" s="2">
        <v>46569</v>
      </c>
      <c r="P28">
        <v>12</v>
      </c>
      <c r="Q28" t="s">
        <v>40</v>
      </c>
      <c r="R28" t="s">
        <v>53</v>
      </c>
      <c r="S28" t="s">
        <v>149</v>
      </c>
      <c r="T28" t="s">
        <v>131</v>
      </c>
      <c r="U28" t="s">
        <v>56</v>
      </c>
      <c r="V28" t="s">
        <v>67</v>
      </c>
      <c r="W28" t="s">
        <v>161</v>
      </c>
      <c r="X28" t="s">
        <v>59</v>
      </c>
      <c r="Y28">
        <v>172918.63</v>
      </c>
      <c r="Z28">
        <v>112397.11</v>
      </c>
      <c r="AA28">
        <v>0.65</v>
      </c>
      <c r="AB28" t="s">
        <v>39</v>
      </c>
      <c r="AC28" t="s">
        <v>39</v>
      </c>
      <c r="AD28" t="s">
        <v>48</v>
      </c>
    </row>
    <row r="29" spans="1:30" x14ac:dyDescent="0.35">
      <c r="A29" s="1" t="s">
        <v>30</v>
      </c>
      <c r="B29" t="s">
        <v>31</v>
      </c>
      <c r="C29" t="s">
        <v>165</v>
      </c>
      <c r="D29" t="s">
        <v>174</v>
      </c>
      <c r="E29" t="s">
        <v>175</v>
      </c>
      <c r="F29" t="s">
        <v>176</v>
      </c>
      <c r="G29" t="s">
        <v>177</v>
      </c>
      <c r="H29" t="s">
        <v>37</v>
      </c>
      <c r="I29" t="s">
        <v>111</v>
      </c>
      <c r="J29" t="s">
        <v>39</v>
      </c>
      <c r="K29" s="2">
        <v>46212</v>
      </c>
      <c r="L29" s="2">
        <v>46234</v>
      </c>
      <c r="N29" s="2">
        <v>46204</v>
      </c>
      <c r="O29" s="2">
        <v>46935</v>
      </c>
      <c r="P29">
        <v>24</v>
      </c>
      <c r="Q29" t="s">
        <v>65</v>
      </c>
      <c r="R29" t="s">
        <v>88</v>
      </c>
      <c r="S29" t="s">
        <v>151</v>
      </c>
      <c r="T29" t="s">
        <v>131</v>
      </c>
      <c r="U29" t="s">
        <v>56</v>
      </c>
      <c r="V29" t="s">
        <v>98</v>
      </c>
      <c r="W29" t="s">
        <v>120</v>
      </c>
      <c r="X29" t="s">
        <v>59</v>
      </c>
      <c r="Y29">
        <v>131102.01999999999</v>
      </c>
      <c r="Z29">
        <v>104881.61</v>
      </c>
      <c r="AA29">
        <v>0.8</v>
      </c>
      <c r="AB29" t="s">
        <v>39</v>
      </c>
      <c r="AC29" t="s">
        <v>39</v>
      </c>
      <c r="AD29" t="s">
        <v>48</v>
      </c>
    </row>
    <row r="30" spans="1:30" x14ac:dyDescent="0.35">
      <c r="A30" s="1" t="s">
        <v>30</v>
      </c>
      <c r="B30" t="s">
        <v>31</v>
      </c>
      <c r="C30" t="s">
        <v>165</v>
      </c>
      <c r="D30" t="s">
        <v>178</v>
      </c>
      <c r="E30" t="s">
        <v>179</v>
      </c>
      <c r="F30" t="s">
        <v>180</v>
      </c>
      <c r="G30" t="s">
        <v>181</v>
      </c>
      <c r="H30" t="s">
        <v>37</v>
      </c>
      <c r="I30" t="s">
        <v>103</v>
      </c>
      <c r="J30" t="s">
        <v>39</v>
      </c>
      <c r="K30" s="2">
        <v>46208</v>
      </c>
      <c r="L30" s="2">
        <v>46234</v>
      </c>
      <c r="N30" s="2">
        <v>46204</v>
      </c>
      <c r="O30" s="2">
        <v>46569</v>
      </c>
      <c r="P30">
        <v>12</v>
      </c>
      <c r="Q30" t="s">
        <v>40</v>
      </c>
      <c r="R30" t="s">
        <v>41</v>
      </c>
      <c r="S30" t="s">
        <v>182</v>
      </c>
      <c r="T30" t="s">
        <v>97</v>
      </c>
      <c r="U30" t="s">
        <v>106</v>
      </c>
      <c r="V30" t="s">
        <v>138</v>
      </c>
      <c r="W30" t="s">
        <v>150</v>
      </c>
      <c r="X30" t="s">
        <v>83</v>
      </c>
      <c r="Y30">
        <v>175446.02</v>
      </c>
      <c r="Z30">
        <v>140356.82</v>
      </c>
      <c r="AA30">
        <v>0.8</v>
      </c>
      <c r="AB30" t="s">
        <v>39</v>
      </c>
      <c r="AC30" t="s">
        <v>39</v>
      </c>
      <c r="AD30" t="s">
        <v>48</v>
      </c>
    </row>
    <row r="31" spans="1:30" x14ac:dyDescent="0.35">
      <c r="A31" s="1" t="s">
        <v>30</v>
      </c>
      <c r="B31" t="s">
        <v>31</v>
      </c>
      <c r="C31" t="s">
        <v>165</v>
      </c>
      <c r="D31" t="s">
        <v>183</v>
      </c>
      <c r="E31" t="s">
        <v>184</v>
      </c>
      <c r="F31" t="s">
        <v>185</v>
      </c>
      <c r="G31" t="s">
        <v>186</v>
      </c>
      <c r="H31" t="s">
        <v>37</v>
      </c>
      <c r="I31" t="s">
        <v>117</v>
      </c>
      <c r="J31" t="s">
        <v>39</v>
      </c>
      <c r="K31" s="2">
        <v>46204</v>
      </c>
      <c r="L31" s="2">
        <v>46234</v>
      </c>
      <c r="N31" s="2">
        <v>46204</v>
      </c>
      <c r="O31" s="2">
        <v>46935</v>
      </c>
      <c r="P31">
        <v>24</v>
      </c>
      <c r="Q31" t="s">
        <v>40</v>
      </c>
      <c r="R31" t="s">
        <v>88</v>
      </c>
      <c r="S31" t="s">
        <v>139</v>
      </c>
      <c r="T31" t="s">
        <v>43</v>
      </c>
      <c r="U31" t="s">
        <v>44</v>
      </c>
      <c r="V31" t="s">
        <v>81</v>
      </c>
      <c r="W31" t="s">
        <v>46</v>
      </c>
      <c r="X31" t="s">
        <v>91</v>
      </c>
      <c r="Y31">
        <v>167679.29999999999</v>
      </c>
      <c r="Z31">
        <v>58687.76</v>
      </c>
      <c r="AA31">
        <v>0.35</v>
      </c>
      <c r="AB31" t="s">
        <v>39</v>
      </c>
      <c r="AC31" t="s">
        <v>39</v>
      </c>
      <c r="AD31" t="s">
        <v>48</v>
      </c>
    </row>
    <row r="32" spans="1:30" x14ac:dyDescent="0.35">
      <c r="A32" s="1" t="s">
        <v>30</v>
      </c>
      <c r="B32" t="s">
        <v>31</v>
      </c>
      <c r="C32" t="s">
        <v>165</v>
      </c>
      <c r="D32" t="s">
        <v>187</v>
      </c>
      <c r="E32" t="s">
        <v>188</v>
      </c>
      <c r="F32" t="s">
        <v>189</v>
      </c>
      <c r="G32" t="s">
        <v>190</v>
      </c>
      <c r="H32" t="s">
        <v>37</v>
      </c>
      <c r="I32" t="s">
        <v>64</v>
      </c>
      <c r="J32" t="s">
        <v>39</v>
      </c>
      <c r="K32" s="2">
        <v>46207</v>
      </c>
      <c r="L32" s="2">
        <v>46234</v>
      </c>
      <c r="N32" s="2">
        <v>46204</v>
      </c>
      <c r="O32" s="2">
        <v>46569</v>
      </c>
      <c r="P32">
        <v>12</v>
      </c>
      <c r="Q32" t="s">
        <v>40</v>
      </c>
      <c r="R32" t="s">
        <v>53</v>
      </c>
      <c r="S32" t="s">
        <v>135</v>
      </c>
      <c r="T32" t="s">
        <v>131</v>
      </c>
      <c r="U32" t="s">
        <v>44</v>
      </c>
      <c r="V32" t="s">
        <v>119</v>
      </c>
      <c r="W32" t="s">
        <v>142</v>
      </c>
      <c r="X32" t="s">
        <v>143</v>
      </c>
      <c r="Y32">
        <v>130201.07</v>
      </c>
      <c r="Z32">
        <v>104160.85</v>
      </c>
      <c r="AA32">
        <v>0.8</v>
      </c>
      <c r="AB32" t="s">
        <v>39</v>
      </c>
      <c r="AC32" t="s">
        <v>39</v>
      </c>
      <c r="AD32" t="s">
        <v>48</v>
      </c>
    </row>
    <row r="33" spans="1:30" x14ac:dyDescent="0.35">
      <c r="A33" s="1" t="s">
        <v>30</v>
      </c>
      <c r="B33" t="s">
        <v>31</v>
      </c>
      <c r="C33" t="s">
        <v>165</v>
      </c>
      <c r="D33" t="s">
        <v>191</v>
      </c>
      <c r="E33" t="s">
        <v>192</v>
      </c>
      <c r="F33" t="s">
        <v>193</v>
      </c>
      <c r="G33" t="s">
        <v>194</v>
      </c>
      <c r="H33" t="s">
        <v>37</v>
      </c>
      <c r="I33" t="s">
        <v>38</v>
      </c>
      <c r="J33" t="s">
        <v>39</v>
      </c>
      <c r="K33" s="2">
        <v>46205</v>
      </c>
      <c r="L33" s="2">
        <v>46234</v>
      </c>
      <c r="N33" s="2">
        <v>46204</v>
      </c>
      <c r="O33" s="2">
        <v>46569</v>
      </c>
      <c r="P33">
        <v>12</v>
      </c>
      <c r="Q33" t="s">
        <v>65</v>
      </c>
      <c r="R33" t="s">
        <v>41</v>
      </c>
      <c r="S33" t="s">
        <v>80</v>
      </c>
      <c r="T33" t="s">
        <v>43</v>
      </c>
      <c r="U33" t="s">
        <v>106</v>
      </c>
      <c r="V33" t="s">
        <v>67</v>
      </c>
      <c r="W33" t="s">
        <v>136</v>
      </c>
      <c r="X33" t="s">
        <v>47</v>
      </c>
      <c r="Y33">
        <v>174502.06</v>
      </c>
      <c r="Z33">
        <v>87251.03</v>
      </c>
      <c r="AA33">
        <v>0.5</v>
      </c>
      <c r="AB33" t="s">
        <v>39</v>
      </c>
      <c r="AC33" t="s">
        <v>39</v>
      </c>
      <c r="AD33" t="s">
        <v>48</v>
      </c>
    </row>
    <row r="34" spans="1:30" x14ac:dyDescent="0.35">
      <c r="A34" s="1" t="s">
        <v>30</v>
      </c>
      <c r="B34" t="s">
        <v>31</v>
      </c>
      <c r="C34" t="s">
        <v>165</v>
      </c>
      <c r="D34" t="s">
        <v>195</v>
      </c>
      <c r="E34" t="s">
        <v>196</v>
      </c>
      <c r="F34" t="s">
        <v>197</v>
      </c>
      <c r="G34" t="s">
        <v>198</v>
      </c>
      <c r="H34" t="s">
        <v>37</v>
      </c>
      <c r="I34" t="s">
        <v>38</v>
      </c>
      <c r="J34" t="s">
        <v>39</v>
      </c>
      <c r="K34" s="2">
        <v>46214</v>
      </c>
      <c r="L34" s="2">
        <v>46234</v>
      </c>
      <c r="N34" s="2">
        <v>46204</v>
      </c>
      <c r="O34" s="2">
        <v>46569</v>
      </c>
      <c r="P34">
        <v>12</v>
      </c>
      <c r="Q34" t="s">
        <v>104</v>
      </c>
      <c r="R34" t="s">
        <v>88</v>
      </c>
      <c r="S34" t="s">
        <v>118</v>
      </c>
      <c r="T34" t="s">
        <v>97</v>
      </c>
      <c r="U34" t="s">
        <v>44</v>
      </c>
      <c r="V34" t="s">
        <v>98</v>
      </c>
      <c r="W34" t="s">
        <v>142</v>
      </c>
      <c r="X34" t="s">
        <v>91</v>
      </c>
      <c r="Y34">
        <v>168029.58</v>
      </c>
      <c r="Z34">
        <v>58810.35</v>
      </c>
      <c r="AA34">
        <v>0.35</v>
      </c>
      <c r="AB34" t="s">
        <v>39</v>
      </c>
      <c r="AC34" t="s">
        <v>39</v>
      </c>
      <c r="AD34" t="s">
        <v>48</v>
      </c>
    </row>
    <row r="35" spans="1:30" x14ac:dyDescent="0.35">
      <c r="A35" s="1" t="s">
        <v>30</v>
      </c>
      <c r="B35" t="s">
        <v>31</v>
      </c>
      <c r="C35" t="s">
        <v>165</v>
      </c>
      <c r="D35" t="s">
        <v>199</v>
      </c>
      <c r="E35" t="s">
        <v>200</v>
      </c>
      <c r="F35" t="s">
        <v>201</v>
      </c>
      <c r="G35" t="s">
        <v>202</v>
      </c>
      <c r="H35" t="s">
        <v>37</v>
      </c>
      <c r="I35" t="s">
        <v>117</v>
      </c>
      <c r="J35" t="s">
        <v>39</v>
      </c>
      <c r="K35" s="2">
        <v>46214</v>
      </c>
      <c r="L35" s="2">
        <v>46234</v>
      </c>
      <c r="N35" s="2">
        <v>46204</v>
      </c>
      <c r="O35" s="2">
        <v>46569</v>
      </c>
      <c r="P35">
        <v>12</v>
      </c>
      <c r="Q35" t="s">
        <v>40</v>
      </c>
      <c r="R35" t="s">
        <v>53</v>
      </c>
      <c r="S35" t="s">
        <v>73</v>
      </c>
      <c r="T35" t="s">
        <v>43</v>
      </c>
      <c r="U35" t="s">
        <v>44</v>
      </c>
      <c r="V35" t="s">
        <v>119</v>
      </c>
      <c r="W35" t="s">
        <v>136</v>
      </c>
      <c r="X35" t="s">
        <v>158</v>
      </c>
      <c r="Y35">
        <v>149244.96</v>
      </c>
      <c r="Z35">
        <v>97009.22</v>
      </c>
      <c r="AA35">
        <v>0.65</v>
      </c>
      <c r="AB35" t="s">
        <v>39</v>
      </c>
      <c r="AC35" t="s">
        <v>39</v>
      </c>
      <c r="AD35" t="s">
        <v>48</v>
      </c>
    </row>
    <row r="36" spans="1:30" x14ac:dyDescent="0.35">
      <c r="A36" s="1" t="s">
        <v>30</v>
      </c>
      <c r="B36" t="s">
        <v>31</v>
      </c>
      <c r="C36" t="s">
        <v>165</v>
      </c>
      <c r="D36" t="s">
        <v>203</v>
      </c>
      <c r="E36" t="s">
        <v>204</v>
      </c>
      <c r="F36" t="s">
        <v>205</v>
      </c>
      <c r="G36" t="s">
        <v>206</v>
      </c>
      <c r="H36" t="s">
        <v>37</v>
      </c>
      <c r="I36" t="s">
        <v>117</v>
      </c>
      <c r="J36" t="s">
        <v>39</v>
      </c>
      <c r="K36" s="2">
        <v>46206</v>
      </c>
      <c r="L36" s="2">
        <v>46234</v>
      </c>
      <c r="N36" s="2">
        <v>46204</v>
      </c>
      <c r="O36" s="2">
        <v>46569</v>
      </c>
      <c r="P36">
        <v>12</v>
      </c>
      <c r="Q36" t="s">
        <v>104</v>
      </c>
      <c r="R36" t="s">
        <v>41</v>
      </c>
      <c r="S36" t="s">
        <v>73</v>
      </c>
      <c r="T36" t="s">
        <v>43</v>
      </c>
      <c r="U36" t="s">
        <v>106</v>
      </c>
      <c r="V36" t="s">
        <v>67</v>
      </c>
      <c r="W36" t="s">
        <v>75</v>
      </c>
      <c r="X36" t="s">
        <v>125</v>
      </c>
      <c r="Y36">
        <v>175066.31</v>
      </c>
      <c r="Z36">
        <v>140053.04999999999</v>
      </c>
      <c r="AA36">
        <v>0.8</v>
      </c>
      <c r="AB36" t="s">
        <v>39</v>
      </c>
      <c r="AC36" t="s">
        <v>39</v>
      </c>
      <c r="AD36" t="s">
        <v>48</v>
      </c>
    </row>
    <row r="37" spans="1:30" x14ac:dyDescent="0.35">
      <c r="A37" s="1" t="s">
        <v>30</v>
      </c>
      <c r="B37" t="s">
        <v>31</v>
      </c>
      <c r="C37" t="s">
        <v>165</v>
      </c>
      <c r="D37" t="s">
        <v>207</v>
      </c>
      <c r="E37" t="s">
        <v>208</v>
      </c>
      <c r="F37" t="s">
        <v>209</v>
      </c>
      <c r="G37" t="s">
        <v>210</v>
      </c>
      <c r="H37" t="s">
        <v>37</v>
      </c>
      <c r="I37" t="s">
        <v>38</v>
      </c>
      <c r="J37" t="s">
        <v>39</v>
      </c>
      <c r="K37" s="2">
        <v>46210</v>
      </c>
      <c r="L37" s="2">
        <v>46234</v>
      </c>
      <c r="N37" s="2">
        <v>46204</v>
      </c>
      <c r="O37" s="2">
        <v>46569</v>
      </c>
      <c r="P37">
        <v>12</v>
      </c>
      <c r="Q37" t="s">
        <v>104</v>
      </c>
      <c r="R37" t="s">
        <v>41</v>
      </c>
      <c r="S37" t="s">
        <v>118</v>
      </c>
      <c r="T37" t="s">
        <v>97</v>
      </c>
      <c r="U37" t="s">
        <v>106</v>
      </c>
      <c r="V37" t="s">
        <v>57</v>
      </c>
      <c r="W37" t="s">
        <v>82</v>
      </c>
      <c r="X37" t="s">
        <v>125</v>
      </c>
      <c r="Y37">
        <v>155654.14000000001</v>
      </c>
      <c r="Z37">
        <v>54478.95</v>
      </c>
      <c r="AA37">
        <v>0.35</v>
      </c>
      <c r="AB37" t="s">
        <v>39</v>
      </c>
      <c r="AC37" t="s">
        <v>39</v>
      </c>
      <c r="AD37" t="s">
        <v>48</v>
      </c>
    </row>
    <row r="38" spans="1:30" x14ac:dyDescent="0.35">
      <c r="A38" s="1" t="s">
        <v>30</v>
      </c>
      <c r="B38" t="s">
        <v>31</v>
      </c>
      <c r="C38" t="s">
        <v>165</v>
      </c>
      <c r="D38" t="s">
        <v>211</v>
      </c>
      <c r="E38" t="s">
        <v>212</v>
      </c>
      <c r="F38" t="s">
        <v>213</v>
      </c>
      <c r="G38" t="s">
        <v>214</v>
      </c>
      <c r="H38" t="s">
        <v>37</v>
      </c>
      <c r="I38" t="s">
        <v>64</v>
      </c>
      <c r="J38" t="s">
        <v>39</v>
      </c>
      <c r="K38" s="2">
        <v>46213</v>
      </c>
      <c r="L38" s="2">
        <v>46234</v>
      </c>
      <c r="N38" s="2">
        <v>46204</v>
      </c>
      <c r="O38" s="2">
        <v>46569</v>
      </c>
      <c r="P38">
        <v>12</v>
      </c>
      <c r="Q38" t="s">
        <v>65</v>
      </c>
      <c r="R38" t="s">
        <v>88</v>
      </c>
      <c r="S38" t="s">
        <v>105</v>
      </c>
      <c r="T38" t="s">
        <v>55</v>
      </c>
      <c r="U38" t="s">
        <v>56</v>
      </c>
      <c r="V38" t="s">
        <v>138</v>
      </c>
      <c r="W38" t="s">
        <v>132</v>
      </c>
      <c r="X38" t="s">
        <v>47</v>
      </c>
      <c r="Y38">
        <v>108487.62</v>
      </c>
      <c r="Z38">
        <v>70516.95</v>
      </c>
      <c r="AA38">
        <v>0.65</v>
      </c>
      <c r="AB38" t="s">
        <v>39</v>
      </c>
      <c r="AC38" t="s">
        <v>39</v>
      </c>
      <c r="AD38" t="s">
        <v>48</v>
      </c>
    </row>
    <row r="39" spans="1:30" x14ac:dyDescent="0.35">
      <c r="A39" s="1" t="s">
        <v>30</v>
      </c>
      <c r="B39" t="s">
        <v>31</v>
      </c>
      <c r="C39" t="s">
        <v>165</v>
      </c>
      <c r="D39" t="s">
        <v>1993</v>
      </c>
      <c r="E39" t="s">
        <v>1994</v>
      </c>
      <c r="F39" t="s">
        <v>1995</v>
      </c>
      <c r="G39" t="s">
        <v>1996</v>
      </c>
      <c r="H39" t="s">
        <v>1271</v>
      </c>
      <c r="I39" t="s">
        <v>38</v>
      </c>
      <c r="J39" t="s">
        <v>39</v>
      </c>
      <c r="K39" s="2">
        <v>46214</v>
      </c>
      <c r="L39" s="2">
        <v>46234</v>
      </c>
      <c r="N39" s="2">
        <v>46204</v>
      </c>
      <c r="O39" s="2">
        <v>46569</v>
      </c>
      <c r="P39">
        <v>12</v>
      </c>
      <c r="Q39" t="s">
        <v>65</v>
      </c>
      <c r="R39" t="s">
        <v>53</v>
      </c>
      <c r="S39" t="s">
        <v>139</v>
      </c>
      <c r="T39" t="s">
        <v>43</v>
      </c>
      <c r="U39" t="s">
        <v>44</v>
      </c>
      <c r="V39" t="s">
        <v>144</v>
      </c>
      <c r="W39" t="s">
        <v>46</v>
      </c>
      <c r="X39" t="s">
        <v>125</v>
      </c>
      <c r="Y39">
        <v>142078.19</v>
      </c>
      <c r="Z39">
        <v>49727.37</v>
      </c>
      <c r="AA39">
        <v>0.35</v>
      </c>
      <c r="AB39" t="s">
        <v>39</v>
      </c>
      <c r="AC39" t="s">
        <v>39</v>
      </c>
      <c r="AD39" t="s">
        <v>48</v>
      </c>
    </row>
    <row r="40" spans="1:30" x14ac:dyDescent="0.35">
      <c r="A40" s="1" t="s">
        <v>30</v>
      </c>
      <c r="B40" t="s">
        <v>31</v>
      </c>
      <c r="C40" t="s">
        <v>165</v>
      </c>
      <c r="D40" t="s">
        <v>1997</v>
      </c>
      <c r="E40" t="s">
        <v>1998</v>
      </c>
      <c r="F40" t="s">
        <v>346</v>
      </c>
      <c r="G40" t="s">
        <v>347</v>
      </c>
      <c r="H40" t="s">
        <v>1271</v>
      </c>
      <c r="I40" t="s">
        <v>64</v>
      </c>
      <c r="J40" t="s">
        <v>39</v>
      </c>
      <c r="K40" s="2">
        <v>46215</v>
      </c>
      <c r="L40" s="2">
        <v>46234</v>
      </c>
      <c r="N40" s="2">
        <v>46204</v>
      </c>
      <c r="O40" s="2">
        <v>46569</v>
      </c>
      <c r="P40">
        <v>12</v>
      </c>
      <c r="Q40" t="s">
        <v>40</v>
      </c>
      <c r="R40" t="s">
        <v>88</v>
      </c>
      <c r="S40" t="s">
        <v>140</v>
      </c>
      <c r="T40" t="s">
        <v>97</v>
      </c>
      <c r="U40" t="s">
        <v>56</v>
      </c>
      <c r="V40" t="s">
        <v>217</v>
      </c>
      <c r="W40" t="s">
        <v>90</v>
      </c>
      <c r="X40" t="s">
        <v>59</v>
      </c>
      <c r="Y40">
        <v>125184.84</v>
      </c>
      <c r="Z40">
        <v>81370.149999999994</v>
      </c>
      <c r="AA40">
        <v>0.65</v>
      </c>
      <c r="AB40" t="s">
        <v>39</v>
      </c>
      <c r="AC40" t="s">
        <v>39</v>
      </c>
      <c r="AD40" t="s">
        <v>48</v>
      </c>
    </row>
    <row r="41" spans="1:30" x14ac:dyDescent="0.35">
      <c r="A41" s="1" t="s">
        <v>30</v>
      </c>
      <c r="B41" t="s">
        <v>31</v>
      </c>
      <c r="C41" t="s">
        <v>165</v>
      </c>
      <c r="D41" t="s">
        <v>1999</v>
      </c>
      <c r="E41" t="s">
        <v>2000</v>
      </c>
      <c r="F41" t="s">
        <v>931</v>
      </c>
      <c r="G41" t="s">
        <v>932</v>
      </c>
      <c r="H41" t="s">
        <v>1271</v>
      </c>
      <c r="I41" t="s">
        <v>38</v>
      </c>
      <c r="J41" t="s">
        <v>39</v>
      </c>
      <c r="K41" s="2">
        <v>46205</v>
      </c>
      <c r="L41" s="2">
        <v>46234</v>
      </c>
      <c r="N41" s="2">
        <v>46204</v>
      </c>
      <c r="O41" s="2">
        <v>46569</v>
      </c>
      <c r="P41">
        <v>12</v>
      </c>
      <c r="Q41" t="s">
        <v>65</v>
      </c>
      <c r="R41" t="s">
        <v>53</v>
      </c>
      <c r="S41" t="s">
        <v>162</v>
      </c>
      <c r="T41" t="s">
        <v>43</v>
      </c>
      <c r="U41" t="s">
        <v>56</v>
      </c>
      <c r="V41" t="s">
        <v>144</v>
      </c>
      <c r="W41" t="s">
        <v>136</v>
      </c>
      <c r="X41" t="s">
        <v>59</v>
      </c>
      <c r="Y41">
        <v>146170.85</v>
      </c>
      <c r="Z41">
        <v>73085.429999999993</v>
      </c>
      <c r="AA41">
        <v>0.5</v>
      </c>
      <c r="AB41" t="s">
        <v>39</v>
      </c>
      <c r="AC41" t="s">
        <v>39</v>
      </c>
      <c r="AD41" t="s">
        <v>48</v>
      </c>
    </row>
    <row r="42" spans="1:30" x14ac:dyDescent="0.35">
      <c r="A42" s="1" t="s">
        <v>30</v>
      </c>
      <c r="B42" t="s">
        <v>31</v>
      </c>
      <c r="C42" t="s">
        <v>165</v>
      </c>
      <c r="D42" t="s">
        <v>2001</v>
      </c>
      <c r="E42" t="s">
        <v>2002</v>
      </c>
      <c r="F42" t="s">
        <v>758</v>
      </c>
      <c r="G42" t="s">
        <v>759</v>
      </c>
      <c r="H42" t="s">
        <v>1271</v>
      </c>
      <c r="I42" t="s">
        <v>64</v>
      </c>
      <c r="J42" t="s">
        <v>39</v>
      </c>
      <c r="K42" s="2">
        <v>46215</v>
      </c>
      <c r="L42" s="2">
        <v>46234</v>
      </c>
      <c r="N42" s="2">
        <v>46204</v>
      </c>
      <c r="O42" s="2">
        <v>46569</v>
      </c>
      <c r="P42">
        <v>12</v>
      </c>
      <c r="Q42" t="s">
        <v>104</v>
      </c>
      <c r="R42" t="s">
        <v>88</v>
      </c>
      <c r="S42" t="s">
        <v>135</v>
      </c>
      <c r="T42" t="s">
        <v>131</v>
      </c>
      <c r="U42" t="s">
        <v>56</v>
      </c>
      <c r="V42" t="s">
        <v>57</v>
      </c>
      <c r="W42" t="s">
        <v>132</v>
      </c>
      <c r="X42" t="s">
        <v>47</v>
      </c>
      <c r="Y42">
        <v>127081.11</v>
      </c>
      <c r="Z42">
        <v>82602.720000000001</v>
      </c>
      <c r="AA42">
        <v>0.65</v>
      </c>
      <c r="AB42" t="s">
        <v>39</v>
      </c>
      <c r="AC42" t="s">
        <v>39</v>
      </c>
      <c r="AD42" t="s">
        <v>48</v>
      </c>
    </row>
    <row r="43" spans="1:30" x14ac:dyDescent="0.35">
      <c r="A43" s="1" t="s">
        <v>30</v>
      </c>
      <c r="B43" t="s">
        <v>31</v>
      </c>
      <c r="C43" t="s">
        <v>165</v>
      </c>
      <c r="D43" t="s">
        <v>2003</v>
      </c>
      <c r="E43" t="s">
        <v>2004</v>
      </c>
      <c r="F43" t="s">
        <v>2005</v>
      </c>
      <c r="G43" t="s">
        <v>2006</v>
      </c>
      <c r="H43" t="s">
        <v>1271</v>
      </c>
      <c r="I43" t="s">
        <v>64</v>
      </c>
      <c r="J43" t="s">
        <v>39</v>
      </c>
      <c r="K43" s="2">
        <v>46217</v>
      </c>
      <c r="L43" s="2">
        <v>46234</v>
      </c>
      <c r="N43" s="2">
        <v>46204</v>
      </c>
      <c r="O43" s="2">
        <v>46935</v>
      </c>
      <c r="P43">
        <v>24</v>
      </c>
      <c r="Q43" t="s">
        <v>104</v>
      </c>
      <c r="R43" t="s">
        <v>53</v>
      </c>
      <c r="S43" t="s">
        <v>105</v>
      </c>
      <c r="T43" t="s">
        <v>55</v>
      </c>
      <c r="U43" t="s">
        <v>44</v>
      </c>
      <c r="V43" t="s">
        <v>144</v>
      </c>
      <c r="W43" t="s">
        <v>161</v>
      </c>
      <c r="X43" t="s">
        <v>158</v>
      </c>
      <c r="Y43">
        <v>204915.41</v>
      </c>
      <c r="Z43">
        <v>163932.32999999999</v>
      </c>
      <c r="AA43">
        <v>0.8</v>
      </c>
      <c r="AB43" t="s">
        <v>39</v>
      </c>
      <c r="AC43" t="s">
        <v>39</v>
      </c>
      <c r="AD43" t="s">
        <v>48</v>
      </c>
    </row>
    <row r="44" spans="1:30" x14ac:dyDescent="0.35">
      <c r="A44" s="1" t="s">
        <v>30</v>
      </c>
      <c r="B44" t="s">
        <v>31</v>
      </c>
      <c r="C44" t="s">
        <v>165</v>
      </c>
      <c r="D44" t="s">
        <v>2007</v>
      </c>
      <c r="E44" t="s">
        <v>2008</v>
      </c>
      <c r="F44" t="s">
        <v>2009</v>
      </c>
      <c r="G44" t="s">
        <v>2010</v>
      </c>
      <c r="H44" t="s">
        <v>1271</v>
      </c>
      <c r="I44" t="s">
        <v>103</v>
      </c>
      <c r="J44" t="s">
        <v>39</v>
      </c>
      <c r="K44" s="2">
        <v>46204</v>
      </c>
      <c r="L44" s="2">
        <v>46234</v>
      </c>
      <c r="N44" s="2">
        <v>46204</v>
      </c>
      <c r="O44" s="2">
        <v>46569</v>
      </c>
      <c r="P44">
        <v>12</v>
      </c>
      <c r="Q44" t="s">
        <v>40</v>
      </c>
      <c r="R44" t="s">
        <v>88</v>
      </c>
      <c r="S44" t="s">
        <v>139</v>
      </c>
      <c r="T44" t="s">
        <v>43</v>
      </c>
      <c r="U44" t="s">
        <v>44</v>
      </c>
      <c r="V44" t="s">
        <v>144</v>
      </c>
      <c r="W44" t="s">
        <v>58</v>
      </c>
      <c r="X44" t="s">
        <v>68</v>
      </c>
      <c r="Y44">
        <v>145700.43</v>
      </c>
      <c r="Z44">
        <v>50995.15</v>
      </c>
      <c r="AA44">
        <v>0.35</v>
      </c>
      <c r="AB44" t="s">
        <v>39</v>
      </c>
      <c r="AC44" t="s">
        <v>39</v>
      </c>
      <c r="AD44" t="s">
        <v>48</v>
      </c>
    </row>
    <row r="45" spans="1:30" x14ac:dyDescent="0.35">
      <c r="A45" s="1" t="s">
        <v>30</v>
      </c>
      <c r="B45" t="s">
        <v>31</v>
      </c>
      <c r="C45" t="s">
        <v>165</v>
      </c>
      <c r="D45" t="s">
        <v>2011</v>
      </c>
      <c r="E45" t="s">
        <v>2012</v>
      </c>
      <c r="F45" t="s">
        <v>2013</v>
      </c>
      <c r="G45" t="s">
        <v>2014</v>
      </c>
      <c r="H45" t="s">
        <v>1271</v>
      </c>
      <c r="I45" t="s">
        <v>38</v>
      </c>
      <c r="J45" t="s">
        <v>39</v>
      </c>
      <c r="K45" s="2">
        <v>46212</v>
      </c>
      <c r="L45" s="2">
        <v>46234</v>
      </c>
      <c r="N45" s="2">
        <v>46204</v>
      </c>
      <c r="O45" s="2">
        <v>46569</v>
      </c>
      <c r="P45">
        <v>12</v>
      </c>
      <c r="Q45" t="s">
        <v>65</v>
      </c>
      <c r="R45" t="s">
        <v>88</v>
      </c>
      <c r="S45" t="s">
        <v>163</v>
      </c>
      <c r="T45" t="s">
        <v>131</v>
      </c>
      <c r="U45" t="s">
        <v>56</v>
      </c>
      <c r="V45" t="s">
        <v>81</v>
      </c>
      <c r="W45" t="s">
        <v>58</v>
      </c>
      <c r="X45" t="s">
        <v>143</v>
      </c>
      <c r="Y45">
        <v>104066.16</v>
      </c>
      <c r="Z45">
        <v>83252.929999999993</v>
      </c>
      <c r="AA45">
        <v>0.8</v>
      </c>
      <c r="AB45" t="s">
        <v>39</v>
      </c>
      <c r="AC45" t="s">
        <v>39</v>
      </c>
      <c r="AD45" t="s">
        <v>48</v>
      </c>
    </row>
    <row r="46" spans="1:30" x14ac:dyDescent="0.35">
      <c r="A46" s="1" t="s">
        <v>30</v>
      </c>
      <c r="B46" t="s">
        <v>31</v>
      </c>
      <c r="C46" t="s">
        <v>165</v>
      </c>
      <c r="D46" t="s">
        <v>2015</v>
      </c>
      <c r="E46" t="s">
        <v>2016</v>
      </c>
      <c r="F46" t="s">
        <v>2017</v>
      </c>
      <c r="G46" t="s">
        <v>2018</v>
      </c>
      <c r="H46" t="s">
        <v>1290</v>
      </c>
      <c r="I46" t="s">
        <v>117</v>
      </c>
      <c r="J46" t="s">
        <v>1290</v>
      </c>
      <c r="K46" s="2">
        <v>46210</v>
      </c>
      <c r="L46" s="2">
        <v>46234</v>
      </c>
      <c r="N46" s="2">
        <v>46204</v>
      </c>
      <c r="O46" s="2">
        <v>46569</v>
      </c>
      <c r="P46">
        <v>12</v>
      </c>
      <c r="Q46" t="s">
        <v>104</v>
      </c>
      <c r="R46" t="s">
        <v>53</v>
      </c>
      <c r="S46" t="s">
        <v>280</v>
      </c>
      <c r="T46" t="s">
        <v>43</v>
      </c>
      <c r="U46" t="s">
        <v>44</v>
      </c>
      <c r="V46" t="s">
        <v>45</v>
      </c>
      <c r="W46" t="s">
        <v>150</v>
      </c>
      <c r="X46" t="s">
        <v>125</v>
      </c>
      <c r="Y46">
        <v>197195.85</v>
      </c>
      <c r="Z46">
        <v>157756.68</v>
      </c>
      <c r="AA46">
        <v>0.8</v>
      </c>
      <c r="AB46" t="s">
        <v>1290</v>
      </c>
      <c r="AC46" t="s">
        <v>1290</v>
      </c>
      <c r="AD46" t="s">
        <v>48</v>
      </c>
    </row>
    <row r="47" spans="1:30" x14ac:dyDescent="0.35">
      <c r="A47" s="1" t="s">
        <v>30</v>
      </c>
      <c r="B47" t="s">
        <v>31</v>
      </c>
      <c r="C47" t="s">
        <v>165</v>
      </c>
      <c r="D47" t="s">
        <v>2019</v>
      </c>
      <c r="E47" t="s">
        <v>2020</v>
      </c>
      <c r="F47" t="s">
        <v>1061</v>
      </c>
      <c r="G47" t="s">
        <v>1062</v>
      </c>
      <c r="H47" t="s">
        <v>1290</v>
      </c>
      <c r="I47" t="s">
        <v>111</v>
      </c>
      <c r="J47" t="s">
        <v>1290</v>
      </c>
      <c r="K47" s="2">
        <v>46212</v>
      </c>
      <c r="L47" s="2">
        <v>46234</v>
      </c>
      <c r="N47" s="2">
        <v>46204</v>
      </c>
      <c r="O47" s="2">
        <v>46935</v>
      </c>
      <c r="P47">
        <v>24</v>
      </c>
      <c r="Q47" t="s">
        <v>104</v>
      </c>
      <c r="R47" t="s">
        <v>53</v>
      </c>
      <c r="S47" t="s">
        <v>118</v>
      </c>
      <c r="T47" t="s">
        <v>97</v>
      </c>
      <c r="U47" t="s">
        <v>44</v>
      </c>
      <c r="V47" t="s">
        <v>144</v>
      </c>
      <c r="W47" t="s">
        <v>142</v>
      </c>
      <c r="X47" t="s">
        <v>91</v>
      </c>
      <c r="Y47">
        <v>173925.15</v>
      </c>
      <c r="Z47">
        <v>60873.8</v>
      </c>
      <c r="AA47">
        <v>0.35</v>
      </c>
      <c r="AB47" t="s">
        <v>1290</v>
      </c>
      <c r="AC47" t="s">
        <v>1290</v>
      </c>
      <c r="AD47" t="s">
        <v>48</v>
      </c>
    </row>
    <row r="48" spans="1:30" x14ac:dyDescent="0.35">
      <c r="A48" s="1" t="s">
        <v>30</v>
      </c>
      <c r="B48" t="s">
        <v>31</v>
      </c>
      <c r="C48" t="s">
        <v>165</v>
      </c>
      <c r="D48" t="s">
        <v>2021</v>
      </c>
      <c r="E48" t="s">
        <v>2022</v>
      </c>
      <c r="F48" t="s">
        <v>2023</v>
      </c>
      <c r="G48" t="s">
        <v>2024</v>
      </c>
      <c r="H48" t="s">
        <v>1295</v>
      </c>
      <c r="I48" t="s">
        <v>38</v>
      </c>
      <c r="J48" t="s">
        <v>1295</v>
      </c>
      <c r="K48" s="2">
        <v>46211</v>
      </c>
      <c r="L48" s="2">
        <v>46234</v>
      </c>
      <c r="N48" s="2">
        <v>46204</v>
      </c>
      <c r="O48" s="2">
        <v>46569</v>
      </c>
      <c r="P48">
        <v>12</v>
      </c>
      <c r="Q48" t="s">
        <v>40</v>
      </c>
      <c r="R48" t="s">
        <v>41</v>
      </c>
      <c r="S48" t="s">
        <v>162</v>
      </c>
      <c r="T48" t="s">
        <v>43</v>
      </c>
      <c r="U48" t="s">
        <v>44</v>
      </c>
      <c r="V48" t="s">
        <v>98</v>
      </c>
      <c r="W48" t="s">
        <v>75</v>
      </c>
      <c r="X48" t="s">
        <v>59</v>
      </c>
      <c r="Y48">
        <v>229209.51</v>
      </c>
      <c r="Z48">
        <v>183367.61</v>
      </c>
      <c r="AA48">
        <v>0.8</v>
      </c>
      <c r="AB48" t="s">
        <v>1295</v>
      </c>
      <c r="AC48" t="s">
        <v>1295</v>
      </c>
      <c r="AD48" t="s">
        <v>48</v>
      </c>
    </row>
    <row r="49" spans="1:30" x14ac:dyDescent="0.35">
      <c r="A49" s="1" t="s">
        <v>30</v>
      </c>
      <c r="B49" t="s">
        <v>31</v>
      </c>
      <c r="C49" t="s">
        <v>165</v>
      </c>
      <c r="D49" t="s">
        <v>2025</v>
      </c>
      <c r="E49" t="s">
        <v>2026</v>
      </c>
      <c r="F49" t="s">
        <v>2027</v>
      </c>
      <c r="G49" t="s">
        <v>2028</v>
      </c>
      <c r="H49" t="s">
        <v>1295</v>
      </c>
      <c r="I49" t="s">
        <v>38</v>
      </c>
      <c r="J49" t="s">
        <v>1295</v>
      </c>
      <c r="K49" s="2">
        <v>46205</v>
      </c>
      <c r="L49" s="2">
        <v>46234</v>
      </c>
      <c r="N49" s="2">
        <v>46204</v>
      </c>
      <c r="O49" s="2">
        <v>46569</v>
      </c>
      <c r="P49">
        <v>12</v>
      </c>
      <c r="Q49" t="s">
        <v>40</v>
      </c>
      <c r="R49" t="s">
        <v>53</v>
      </c>
      <c r="S49" t="s">
        <v>164</v>
      </c>
      <c r="T49" t="s">
        <v>55</v>
      </c>
      <c r="U49" t="s">
        <v>56</v>
      </c>
      <c r="V49" t="s">
        <v>81</v>
      </c>
      <c r="W49" t="s">
        <v>120</v>
      </c>
      <c r="X49" t="s">
        <v>143</v>
      </c>
      <c r="Y49">
        <v>161372.31</v>
      </c>
      <c r="Z49">
        <v>56480.31</v>
      </c>
      <c r="AA49">
        <v>0.35</v>
      </c>
      <c r="AB49" t="s">
        <v>1295</v>
      </c>
      <c r="AC49" t="s">
        <v>1295</v>
      </c>
      <c r="AD49" t="s">
        <v>48</v>
      </c>
    </row>
    <row r="50" spans="1:30" x14ac:dyDescent="0.35">
      <c r="A50" s="1" t="s">
        <v>30</v>
      </c>
      <c r="B50" t="s">
        <v>31</v>
      </c>
      <c r="C50" t="s">
        <v>165</v>
      </c>
      <c r="D50" t="s">
        <v>2029</v>
      </c>
      <c r="E50" t="s">
        <v>2030</v>
      </c>
      <c r="F50" t="s">
        <v>2031</v>
      </c>
      <c r="G50" t="s">
        <v>2032</v>
      </c>
      <c r="H50" t="s">
        <v>1295</v>
      </c>
      <c r="I50" t="s">
        <v>64</v>
      </c>
      <c r="J50" t="s">
        <v>1295</v>
      </c>
      <c r="K50" s="2">
        <v>46209</v>
      </c>
      <c r="L50" s="2">
        <v>46234</v>
      </c>
      <c r="N50" s="2">
        <v>46204</v>
      </c>
      <c r="O50" s="2">
        <v>46935</v>
      </c>
      <c r="P50">
        <v>24</v>
      </c>
      <c r="Q50" t="s">
        <v>40</v>
      </c>
      <c r="R50" t="s">
        <v>53</v>
      </c>
      <c r="S50" t="s">
        <v>139</v>
      </c>
      <c r="T50" t="s">
        <v>43</v>
      </c>
      <c r="U50" t="s">
        <v>56</v>
      </c>
      <c r="V50" t="s">
        <v>98</v>
      </c>
      <c r="W50" t="s">
        <v>120</v>
      </c>
      <c r="X50" t="s">
        <v>125</v>
      </c>
      <c r="Y50">
        <v>221981.19</v>
      </c>
      <c r="Z50">
        <v>177584.95</v>
      </c>
      <c r="AA50">
        <v>0.8</v>
      </c>
      <c r="AB50" t="s">
        <v>1295</v>
      </c>
      <c r="AC50" t="s">
        <v>1295</v>
      </c>
      <c r="AD50" t="s">
        <v>48</v>
      </c>
    </row>
    <row r="51" spans="1:30" x14ac:dyDescent="0.35">
      <c r="A51" s="1" t="s">
        <v>30</v>
      </c>
      <c r="B51" t="s">
        <v>31</v>
      </c>
      <c r="C51" t="s">
        <v>165</v>
      </c>
      <c r="D51" t="s">
        <v>2033</v>
      </c>
      <c r="E51" t="s">
        <v>2034</v>
      </c>
      <c r="F51" t="s">
        <v>732</v>
      </c>
      <c r="G51" t="s">
        <v>733</v>
      </c>
      <c r="H51" t="s">
        <v>1302</v>
      </c>
      <c r="I51" t="s">
        <v>38</v>
      </c>
      <c r="J51" t="s">
        <v>39</v>
      </c>
      <c r="K51" s="2">
        <v>46207</v>
      </c>
      <c r="L51" s="2">
        <v>46234</v>
      </c>
      <c r="N51" s="2">
        <v>46204</v>
      </c>
      <c r="O51" s="2">
        <v>46569</v>
      </c>
      <c r="P51">
        <v>12</v>
      </c>
      <c r="Q51" t="s">
        <v>40</v>
      </c>
      <c r="R51" t="s">
        <v>53</v>
      </c>
      <c r="S51" t="s">
        <v>182</v>
      </c>
      <c r="T51" t="s">
        <v>97</v>
      </c>
      <c r="U51" t="s">
        <v>56</v>
      </c>
      <c r="V51" t="s">
        <v>119</v>
      </c>
      <c r="W51" t="s">
        <v>150</v>
      </c>
      <c r="X51" t="s">
        <v>68</v>
      </c>
      <c r="Y51">
        <v>94078.91</v>
      </c>
      <c r="Z51">
        <v>47039.46</v>
      </c>
      <c r="AA51">
        <v>0.5</v>
      </c>
      <c r="AB51" t="s">
        <v>39</v>
      </c>
      <c r="AC51" t="s">
        <v>39</v>
      </c>
      <c r="AD51" t="s">
        <v>48</v>
      </c>
    </row>
    <row r="52" spans="1:30" x14ac:dyDescent="0.35">
      <c r="A52" s="1" t="s">
        <v>30</v>
      </c>
      <c r="B52" t="s">
        <v>31</v>
      </c>
      <c r="C52" t="s">
        <v>165</v>
      </c>
      <c r="D52" t="s">
        <v>2035</v>
      </c>
      <c r="E52" t="s">
        <v>2036</v>
      </c>
      <c r="F52" t="s">
        <v>499</v>
      </c>
      <c r="G52" t="s">
        <v>500</v>
      </c>
      <c r="H52" t="s">
        <v>1302</v>
      </c>
      <c r="I52" t="s">
        <v>111</v>
      </c>
      <c r="J52" t="s">
        <v>39</v>
      </c>
      <c r="K52" s="2">
        <v>46218</v>
      </c>
      <c r="L52" s="2">
        <v>46234</v>
      </c>
      <c r="N52" s="2">
        <v>46204</v>
      </c>
      <c r="O52" s="2">
        <v>46569</v>
      </c>
      <c r="P52">
        <v>12</v>
      </c>
      <c r="Q52" t="s">
        <v>65</v>
      </c>
      <c r="R52" t="s">
        <v>88</v>
      </c>
      <c r="S52" t="s">
        <v>80</v>
      </c>
      <c r="T52" t="s">
        <v>43</v>
      </c>
      <c r="U52" t="s">
        <v>56</v>
      </c>
      <c r="V52" t="s">
        <v>74</v>
      </c>
      <c r="W52" t="s">
        <v>142</v>
      </c>
      <c r="X52" t="s">
        <v>83</v>
      </c>
      <c r="Y52">
        <v>109720.21</v>
      </c>
      <c r="Z52">
        <v>87776.17</v>
      </c>
      <c r="AA52">
        <v>0.8</v>
      </c>
      <c r="AB52" t="s">
        <v>39</v>
      </c>
      <c r="AC52" t="s">
        <v>39</v>
      </c>
      <c r="AD52" t="s">
        <v>48</v>
      </c>
    </row>
    <row r="53" spans="1:30" x14ac:dyDescent="0.35">
      <c r="A53" s="1" t="s">
        <v>30</v>
      </c>
      <c r="B53" t="s">
        <v>31</v>
      </c>
      <c r="C53" t="s">
        <v>165</v>
      </c>
      <c r="D53" t="s">
        <v>2037</v>
      </c>
      <c r="E53" t="s">
        <v>2038</v>
      </c>
      <c r="F53" t="s">
        <v>145</v>
      </c>
      <c r="G53" t="s">
        <v>146</v>
      </c>
      <c r="H53" t="s">
        <v>1302</v>
      </c>
      <c r="I53" t="s">
        <v>38</v>
      </c>
      <c r="J53" t="s">
        <v>39</v>
      </c>
      <c r="K53" s="2">
        <v>46206</v>
      </c>
      <c r="L53" s="2">
        <v>46234</v>
      </c>
      <c r="N53" s="2">
        <v>46204</v>
      </c>
      <c r="O53" s="2">
        <v>46569</v>
      </c>
      <c r="P53">
        <v>12</v>
      </c>
      <c r="Q53" t="s">
        <v>40</v>
      </c>
      <c r="R53" t="s">
        <v>53</v>
      </c>
      <c r="S53" t="s">
        <v>130</v>
      </c>
      <c r="T53" t="s">
        <v>131</v>
      </c>
      <c r="U53" t="s">
        <v>56</v>
      </c>
      <c r="V53" t="s">
        <v>119</v>
      </c>
      <c r="W53" t="s">
        <v>161</v>
      </c>
      <c r="X53" t="s">
        <v>158</v>
      </c>
      <c r="Y53">
        <v>103678.88</v>
      </c>
      <c r="Z53">
        <v>67391.27</v>
      </c>
      <c r="AA53">
        <v>0.65</v>
      </c>
      <c r="AB53" t="s">
        <v>39</v>
      </c>
      <c r="AC53" t="s">
        <v>39</v>
      </c>
      <c r="AD53" t="s">
        <v>48</v>
      </c>
    </row>
    <row r="54" spans="1:30" x14ac:dyDescent="0.35">
      <c r="A54" s="1" t="s">
        <v>30</v>
      </c>
      <c r="B54" t="s">
        <v>31</v>
      </c>
      <c r="C54" t="s">
        <v>231</v>
      </c>
      <c r="D54" t="s">
        <v>232</v>
      </c>
      <c r="E54" t="s">
        <v>233</v>
      </c>
      <c r="F54" t="s">
        <v>234</v>
      </c>
      <c r="G54" t="s">
        <v>235</v>
      </c>
      <c r="H54" t="s">
        <v>37</v>
      </c>
      <c r="I54" t="s">
        <v>64</v>
      </c>
      <c r="J54" t="s">
        <v>39</v>
      </c>
      <c r="K54" s="2">
        <v>46236</v>
      </c>
      <c r="L54" s="2">
        <v>46265</v>
      </c>
      <c r="N54" s="2">
        <v>46235</v>
      </c>
      <c r="O54" s="2">
        <v>46600</v>
      </c>
      <c r="P54">
        <v>12</v>
      </c>
      <c r="Q54" t="s">
        <v>40</v>
      </c>
      <c r="R54" t="s">
        <v>88</v>
      </c>
      <c r="S54" t="s">
        <v>54</v>
      </c>
      <c r="T54" t="s">
        <v>55</v>
      </c>
      <c r="U54" t="s">
        <v>44</v>
      </c>
      <c r="V54" t="s">
        <v>119</v>
      </c>
      <c r="W54" t="s">
        <v>132</v>
      </c>
      <c r="X54" t="s">
        <v>125</v>
      </c>
      <c r="Y54">
        <v>172320.74</v>
      </c>
      <c r="Z54">
        <v>86160.37</v>
      </c>
      <c r="AA54">
        <v>0.5</v>
      </c>
      <c r="AB54" t="s">
        <v>39</v>
      </c>
      <c r="AC54" t="s">
        <v>39</v>
      </c>
      <c r="AD54" t="s">
        <v>48</v>
      </c>
    </row>
    <row r="55" spans="1:30" x14ac:dyDescent="0.35">
      <c r="A55" s="1" t="s">
        <v>30</v>
      </c>
      <c r="B55" t="s">
        <v>31</v>
      </c>
      <c r="C55" t="s">
        <v>231</v>
      </c>
      <c r="D55" t="s">
        <v>236</v>
      </c>
      <c r="E55" t="s">
        <v>237</v>
      </c>
      <c r="F55" t="s">
        <v>238</v>
      </c>
      <c r="G55" t="s">
        <v>239</v>
      </c>
      <c r="H55" t="s">
        <v>37</v>
      </c>
      <c r="I55" t="s">
        <v>38</v>
      </c>
      <c r="J55" t="s">
        <v>39</v>
      </c>
      <c r="K55" s="2">
        <v>46238</v>
      </c>
      <c r="L55" s="2">
        <v>46265</v>
      </c>
      <c r="N55" s="2">
        <v>46235</v>
      </c>
      <c r="O55" s="2">
        <v>46600</v>
      </c>
      <c r="P55">
        <v>12</v>
      </c>
      <c r="Q55" t="s">
        <v>40</v>
      </c>
      <c r="R55" t="s">
        <v>41</v>
      </c>
      <c r="S55" t="s">
        <v>163</v>
      </c>
      <c r="T55" t="s">
        <v>131</v>
      </c>
      <c r="U55" t="s">
        <v>106</v>
      </c>
      <c r="V55" t="s">
        <v>45</v>
      </c>
      <c r="W55" t="s">
        <v>75</v>
      </c>
      <c r="X55" t="s">
        <v>47</v>
      </c>
      <c r="Y55">
        <v>165454.65</v>
      </c>
      <c r="Z55">
        <v>57909.13</v>
      </c>
      <c r="AA55">
        <v>0.35</v>
      </c>
      <c r="AB55" t="s">
        <v>39</v>
      </c>
      <c r="AC55" t="s">
        <v>39</v>
      </c>
      <c r="AD55" t="s">
        <v>48</v>
      </c>
    </row>
    <row r="56" spans="1:30" x14ac:dyDescent="0.35">
      <c r="A56" s="1" t="s">
        <v>30</v>
      </c>
      <c r="B56" t="s">
        <v>31</v>
      </c>
      <c r="C56" t="s">
        <v>231</v>
      </c>
      <c r="D56" t="s">
        <v>240</v>
      </c>
      <c r="E56" t="s">
        <v>241</v>
      </c>
      <c r="F56" t="s">
        <v>242</v>
      </c>
      <c r="G56" t="s">
        <v>243</v>
      </c>
      <c r="H56" t="s">
        <v>37</v>
      </c>
      <c r="I56" t="s">
        <v>64</v>
      </c>
      <c r="J56" t="s">
        <v>39</v>
      </c>
      <c r="K56" s="2">
        <v>46244</v>
      </c>
      <c r="L56" s="2">
        <v>46265</v>
      </c>
      <c r="N56" s="2">
        <v>46235</v>
      </c>
      <c r="O56" s="2">
        <v>46600</v>
      </c>
      <c r="P56">
        <v>12</v>
      </c>
      <c r="Q56" t="s">
        <v>104</v>
      </c>
      <c r="R56" t="s">
        <v>53</v>
      </c>
      <c r="S56" t="s">
        <v>182</v>
      </c>
      <c r="T56" t="s">
        <v>97</v>
      </c>
      <c r="U56" t="s">
        <v>44</v>
      </c>
      <c r="V56" t="s">
        <v>138</v>
      </c>
      <c r="W56" t="s">
        <v>46</v>
      </c>
      <c r="X56" t="s">
        <v>68</v>
      </c>
      <c r="Y56">
        <v>162374.47</v>
      </c>
      <c r="Z56">
        <v>105543.41</v>
      </c>
      <c r="AA56">
        <v>0.65</v>
      </c>
      <c r="AB56" t="s">
        <v>39</v>
      </c>
      <c r="AC56" t="s">
        <v>39</v>
      </c>
      <c r="AD56" t="s">
        <v>48</v>
      </c>
    </row>
    <row r="57" spans="1:30" x14ac:dyDescent="0.35">
      <c r="A57" s="1" t="s">
        <v>30</v>
      </c>
      <c r="B57" t="s">
        <v>31</v>
      </c>
      <c r="C57" t="s">
        <v>231</v>
      </c>
      <c r="D57" t="s">
        <v>244</v>
      </c>
      <c r="E57" t="s">
        <v>245</v>
      </c>
      <c r="F57" t="s">
        <v>246</v>
      </c>
      <c r="G57" t="s">
        <v>247</v>
      </c>
      <c r="H57" t="s">
        <v>37</v>
      </c>
      <c r="I57" t="s">
        <v>111</v>
      </c>
      <c r="J57" t="s">
        <v>39</v>
      </c>
      <c r="K57" s="2">
        <v>46236</v>
      </c>
      <c r="L57" s="2">
        <v>46265</v>
      </c>
      <c r="N57" s="2">
        <v>46235</v>
      </c>
      <c r="O57" s="2">
        <v>46600</v>
      </c>
      <c r="P57">
        <v>12</v>
      </c>
      <c r="Q57" t="s">
        <v>104</v>
      </c>
      <c r="R57" t="s">
        <v>88</v>
      </c>
      <c r="S57" t="s">
        <v>140</v>
      </c>
      <c r="T57" t="s">
        <v>97</v>
      </c>
      <c r="U57" t="s">
        <v>44</v>
      </c>
      <c r="V57" t="s">
        <v>119</v>
      </c>
      <c r="W57" t="s">
        <v>150</v>
      </c>
      <c r="X57" t="s">
        <v>125</v>
      </c>
      <c r="Y57">
        <v>186366.45</v>
      </c>
      <c r="Z57">
        <v>121138.19</v>
      </c>
      <c r="AA57">
        <v>0.65</v>
      </c>
      <c r="AB57" t="s">
        <v>39</v>
      </c>
      <c r="AC57" t="s">
        <v>39</v>
      </c>
      <c r="AD57" t="s">
        <v>48</v>
      </c>
    </row>
    <row r="58" spans="1:30" x14ac:dyDescent="0.35">
      <c r="A58" s="1" t="s">
        <v>30</v>
      </c>
      <c r="B58" t="s">
        <v>31</v>
      </c>
      <c r="C58" t="s">
        <v>231</v>
      </c>
      <c r="D58" t="s">
        <v>248</v>
      </c>
      <c r="E58" t="s">
        <v>249</v>
      </c>
      <c r="F58" t="s">
        <v>250</v>
      </c>
      <c r="G58" t="s">
        <v>251</v>
      </c>
      <c r="H58" t="s">
        <v>37</v>
      </c>
      <c r="I58" t="s">
        <v>111</v>
      </c>
      <c r="J58" t="s">
        <v>39</v>
      </c>
      <c r="K58" s="2">
        <v>46242</v>
      </c>
      <c r="L58" s="2">
        <v>46265</v>
      </c>
      <c r="N58" s="2">
        <v>46235</v>
      </c>
      <c r="O58" s="2">
        <v>46966</v>
      </c>
      <c r="P58">
        <v>24</v>
      </c>
      <c r="Q58" t="s">
        <v>40</v>
      </c>
      <c r="R58" t="s">
        <v>41</v>
      </c>
      <c r="S58" t="s">
        <v>112</v>
      </c>
      <c r="T58" t="s">
        <v>55</v>
      </c>
      <c r="U58" t="s">
        <v>44</v>
      </c>
      <c r="V58" t="s">
        <v>138</v>
      </c>
      <c r="W58" t="s">
        <v>136</v>
      </c>
      <c r="X58" t="s">
        <v>158</v>
      </c>
      <c r="Y58">
        <v>116348.49</v>
      </c>
      <c r="Z58">
        <v>40721.97</v>
      </c>
      <c r="AA58">
        <v>0.35</v>
      </c>
      <c r="AB58" t="s">
        <v>39</v>
      </c>
      <c r="AC58" t="s">
        <v>39</v>
      </c>
      <c r="AD58" t="s">
        <v>48</v>
      </c>
    </row>
    <row r="59" spans="1:30" x14ac:dyDescent="0.35">
      <c r="A59" s="1" t="s">
        <v>30</v>
      </c>
      <c r="B59" t="s">
        <v>31</v>
      </c>
      <c r="C59" t="s">
        <v>231</v>
      </c>
      <c r="D59" t="s">
        <v>252</v>
      </c>
      <c r="E59" t="s">
        <v>253</v>
      </c>
      <c r="F59" t="s">
        <v>254</v>
      </c>
      <c r="G59" t="s">
        <v>255</v>
      </c>
      <c r="H59" t="s">
        <v>37</v>
      </c>
      <c r="I59" t="s">
        <v>111</v>
      </c>
      <c r="J59" t="s">
        <v>39</v>
      </c>
      <c r="K59" s="2">
        <v>46246</v>
      </c>
      <c r="L59" s="2">
        <v>46265</v>
      </c>
      <c r="N59" s="2">
        <v>46235</v>
      </c>
      <c r="O59" s="2">
        <v>46966</v>
      </c>
      <c r="P59">
        <v>24</v>
      </c>
      <c r="Q59" t="s">
        <v>104</v>
      </c>
      <c r="R59" t="s">
        <v>88</v>
      </c>
      <c r="S59" t="s">
        <v>182</v>
      </c>
      <c r="T59" t="s">
        <v>97</v>
      </c>
      <c r="U59" t="s">
        <v>44</v>
      </c>
      <c r="V59" t="s">
        <v>74</v>
      </c>
      <c r="W59" t="s">
        <v>120</v>
      </c>
      <c r="X59" t="s">
        <v>83</v>
      </c>
      <c r="Y59">
        <v>226159.12</v>
      </c>
      <c r="Z59">
        <v>113079.56</v>
      </c>
      <c r="AA59">
        <v>0.5</v>
      </c>
      <c r="AB59" t="s">
        <v>39</v>
      </c>
      <c r="AC59" t="s">
        <v>39</v>
      </c>
      <c r="AD59" t="s">
        <v>48</v>
      </c>
    </row>
    <row r="60" spans="1:30" x14ac:dyDescent="0.35">
      <c r="A60" s="1" t="s">
        <v>30</v>
      </c>
      <c r="B60" t="s">
        <v>31</v>
      </c>
      <c r="C60" t="s">
        <v>231</v>
      </c>
      <c r="D60" t="s">
        <v>256</v>
      </c>
      <c r="E60" t="s">
        <v>257</v>
      </c>
      <c r="F60" t="s">
        <v>258</v>
      </c>
      <c r="G60" t="s">
        <v>259</v>
      </c>
      <c r="H60" t="s">
        <v>37</v>
      </c>
      <c r="I60" t="s">
        <v>64</v>
      </c>
      <c r="J60" t="s">
        <v>39</v>
      </c>
      <c r="K60" s="2">
        <v>46238</v>
      </c>
      <c r="L60" s="2">
        <v>46265</v>
      </c>
      <c r="N60" s="2">
        <v>46235</v>
      </c>
      <c r="O60" s="2">
        <v>46600</v>
      </c>
      <c r="P60">
        <v>12</v>
      </c>
      <c r="Q60" t="s">
        <v>40</v>
      </c>
      <c r="R60" t="s">
        <v>41</v>
      </c>
      <c r="S60" t="s">
        <v>42</v>
      </c>
      <c r="T60" t="s">
        <v>43</v>
      </c>
      <c r="U60" t="s">
        <v>106</v>
      </c>
      <c r="V60" t="s">
        <v>67</v>
      </c>
      <c r="W60" t="s">
        <v>82</v>
      </c>
      <c r="X60" t="s">
        <v>47</v>
      </c>
      <c r="Y60">
        <v>122832.71</v>
      </c>
      <c r="Z60">
        <v>98266.17</v>
      </c>
      <c r="AA60">
        <v>0.8</v>
      </c>
      <c r="AB60" t="s">
        <v>39</v>
      </c>
      <c r="AC60" t="s">
        <v>39</v>
      </c>
      <c r="AD60" t="s">
        <v>48</v>
      </c>
    </row>
    <row r="61" spans="1:30" x14ac:dyDescent="0.35">
      <c r="A61" s="1" t="s">
        <v>30</v>
      </c>
      <c r="B61" t="s">
        <v>31</v>
      </c>
      <c r="C61" t="s">
        <v>231</v>
      </c>
      <c r="D61" t="s">
        <v>260</v>
      </c>
      <c r="E61" t="s">
        <v>261</v>
      </c>
      <c r="F61" t="s">
        <v>262</v>
      </c>
      <c r="G61" t="s">
        <v>263</v>
      </c>
      <c r="H61" t="s">
        <v>37</v>
      </c>
      <c r="I61" t="s">
        <v>103</v>
      </c>
      <c r="J61" t="s">
        <v>39</v>
      </c>
      <c r="K61" s="2">
        <v>46247</v>
      </c>
      <c r="L61" s="2">
        <v>46265</v>
      </c>
      <c r="N61" s="2">
        <v>46235</v>
      </c>
      <c r="O61" s="2">
        <v>46600</v>
      </c>
      <c r="P61">
        <v>12</v>
      </c>
      <c r="Q61" t="s">
        <v>65</v>
      </c>
      <c r="R61" t="s">
        <v>88</v>
      </c>
      <c r="S61" t="s">
        <v>222</v>
      </c>
      <c r="T61" t="s">
        <v>97</v>
      </c>
      <c r="U61" t="s">
        <v>106</v>
      </c>
      <c r="V61" t="s">
        <v>119</v>
      </c>
      <c r="W61" t="s">
        <v>132</v>
      </c>
      <c r="X61" t="s">
        <v>91</v>
      </c>
      <c r="Y61">
        <v>113628.37</v>
      </c>
      <c r="Z61">
        <v>90902.69</v>
      </c>
      <c r="AA61">
        <v>0.8</v>
      </c>
      <c r="AB61" t="s">
        <v>39</v>
      </c>
      <c r="AC61" t="s">
        <v>39</v>
      </c>
      <c r="AD61" t="s">
        <v>48</v>
      </c>
    </row>
    <row r="62" spans="1:30" x14ac:dyDescent="0.35">
      <c r="A62" s="1" t="s">
        <v>30</v>
      </c>
      <c r="B62" t="s">
        <v>31</v>
      </c>
      <c r="C62" t="s">
        <v>231</v>
      </c>
      <c r="D62" t="s">
        <v>264</v>
      </c>
      <c r="E62" t="s">
        <v>265</v>
      </c>
      <c r="F62" t="s">
        <v>266</v>
      </c>
      <c r="G62" t="s">
        <v>267</v>
      </c>
      <c r="H62" t="s">
        <v>37</v>
      </c>
      <c r="I62" t="s">
        <v>111</v>
      </c>
      <c r="J62" t="s">
        <v>39</v>
      </c>
      <c r="K62" s="2">
        <v>46249</v>
      </c>
      <c r="L62" s="2">
        <v>46265</v>
      </c>
      <c r="N62" s="2">
        <v>46235</v>
      </c>
      <c r="O62" s="2">
        <v>46600</v>
      </c>
      <c r="P62">
        <v>12</v>
      </c>
      <c r="Q62" t="s">
        <v>40</v>
      </c>
      <c r="R62" t="s">
        <v>88</v>
      </c>
      <c r="S62" t="s">
        <v>182</v>
      </c>
      <c r="T62" t="s">
        <v>97</v>
      </c>
      <c r="U62" t="s">
        <v>56</v>
      </c>
      <c r="V62" t="s">
        <v>144</v>
      </c>
      <c r="W62" t="s">
        <v>46</v>
      </c>
      <c r="X62" t="s">
        <v>143</v>
      </c>
      <c r="Y62">
        <v>192857.55</v>
      </c>
      <c r="Z62">
        <v>125357.41</v>
      </c>
      <c r="AA62">
        <v>0.65</v>
      </c>
      <c r="AB62" t="s">
        <v>39</v>
      </c>
      <c r="AC62" t="s">
        <v>39</v>
      </c>
      <c r="AD62" t="s">
        <v>48</v>
      </c>
    </row>
    <row r="63" spans="1:30" x14ac:dyDescent="0.35">
      <c r="A63" s="1" t="s">
        <v>30</v>
      </c>
      <c r="B63" t="s">
        <v>31</v>
      </c>
      <c r="C63" t="s">
        <v>231</v>
      </c>
      <c r="D63" t="s">
        <v>268</v>
      </c>
      <c r="E63" t="s">
        <v>269</v>
      </c>
      <c r="F63" t="s">
        <v>270</v>
      </c>
      <c r="G63" t="s">
        <v>271</v>
      </c>
      <c r="H63" t="s">
        <v>37</v>
      </c>
      <c r="I63" t="s">
        <v>64</v>
      </c>
      <c r="J63" t="s">
        <v>39</v>
      </c>
      <c r="K63" s="2">
        <v>46243</v>
      </c>
      <c r="L63" s="2">
        <v>46265</v>
      </c>
      <c r="N63" s="2">
        <v>46235</v>
      </c>
      <c r="O63" s="2">
        <v>46966</v>
      </c>
      <c r="P63">
        <v>24</v>
      </c>
      <c r="Q63" t="s">
        <v>104</v>
      </c>
      <c r="R63" t="s">
        <v>88</v>
      </c>
      <c r="S63" t="s">
        <v>135</v>
      </c>
      <c r="T63" t="s">
        <v>131</v>
      </c>
      <c r="U63" t="s">
        <v>44</v>
      </c>
      <c r="V63" t="s">
        <v>144</v>
      </c>
      <c r="W63" t="s">
        <v>90</v>
      </c>
      <c r="X63" t="s">
        <v>125</v>
      </c>
      <c r="Y63">
        <v>175403.49</v>
      </c>
      <c r="Z63">
        <v>87701.74</v>
      </c>
      <c r="AA63">
        <v>0.5</v>
      </c>
      <c r="AB63" t="s">
        <v>39</v>
      </c>
      <c r="AC63" t="s">
        <v>39</v>
      </c>
      <c r="AD63" t="s">
        <v>48</v>
      </c>
    </row>
    <row r="64" spans="1:30" x14ac:dyDescent="0.35">
      <c r="A64" s="1" t="s">
        <v>30</v>
      </c>
      <c r="B64" t="s">
        <v>31</v>
      </c>
      <c r="C64" t="s">
        <v>231</v>
      </c>
      <c r="D64" t="s">
        <v>272</v>
      </c>
      <c r="E64" t="s">
        <v>273</v>
      </c>
      <c r="F64" t="s">
        <v>215</v>
      </c>
      <c r="G64" t="s">
        <v>216</v>
      </c>
      <c r="H64" t="s">
        <v>37</v>
      </c>
      <c r="I64" t="s">
        <v>111</v>
      </c>
      <c r="J64" t="s">
        <v>39</v>
      </c>
      <c r="K64" s="2">
        <v>46245</v>
      </c>
      <c r="L64" s="2">
        <v>46265</v>
      </c>
      <c r="N64" s="2">
        <v>46235</v>
      </c>
      <c r="O64" s="2">
        <v>46966</v>
      </c>
      <c r="P64">
        <v>24</v>
      </c>
      <c r="Q64" t="s">
        <v>65</v>
      </c>
      <c r="R64" t="s">
        <v>53</v>
      </c>
      <c r="S64" t="s">
        <v>162</v>
      </c>
      <c r="T64" t="s">
        <v>43</v>
      </c>
      <c r="U64" t="s">
        <v>44</v>
      </c>
      <c r="V64" t="s">
        <v>81</v>
      </c>
      <c r="W64" t="s">
        <v>75</v>
      </c>
      <c r="X64" t="s">
        <v>143</v>
      </c>
      <c r="Y64">
        <v>116731.98</v>
      </c>
      <c r="Z64">
        <v>75875.78</v>
      </c>
      <c r="AA64">
        <v>0.65</v>
      </c>
      <c r="AB64" t="s">
        <v>39</v>
      </c>
      <c r="AC64" t="s">
        <v>39</v>
      </c>
      <c r="AD64" t="s">
        <v>48</v>
      </c>
    </row>
    <row r="65" spans="1:30" x14ac:dyDescent="0.35">
      <c r="A65" s="1" t="s">
        <v>30</v>
      </c>
      <c r="B65" t="s">
        <v>31</v>
      </c>
      <c r="C65" t="s">
        <v>231</v>
      </c>
      <c r="D65" t="s">
        <v>2039</v>
      </c>
      <c r="E65" t="s">
        <v>2040</v>
      </c>
      <c r="F65" t="s">
        <v>2041</v>
      </c>
      <c r="G65" t="s">
        <v>2042</v>
      </c>
      <c r="H65" t="s">
        <v>1271</v>
      </c>
      <c r="I65" t="s">
        <v>103</v>
      </c>
      <c r="J65" t="s">
        <v>39</v>
      </c>
      <c r="K65" s="2">
        <v>46241</v>
      </c>
      <c r="L65" s="2">
        <v>46265</v>
      </c>
      <c r="N65" s="2">
        <v>46235</v>
      </c>
      <c r="O65" s="2">
        <v>46600</v>
      </c>
      <c r="P65">
        <v>12</v>
      </c>
      <c r="Q65" t="s">
        <v>65</v>
      </c>
      <c r="R65" t="s">
        <v>88</v>
      </c>
      <c r="S65" t="s">
        <v>140</v>
      </c>
      <c r="T65" t="s">
        <v>97</v>
      </c>
      <c r="U65" t="s">
        <v>56</v>
      </c>
      <c r="V65" t="s">
        <v>57</v>
      </c>
      <c r="W65" t="s">
        <v>142</v>
      </c>
      <c r="X65" t="s">
        <v>59</v>
      </c>
      <c r="Y65">
        <v>142301.45000000001</v>
      </c>
      <c r="Z65">
        <v>113841.16</v>
      </c>
      <c r="AA65">
        <v>0.8</v>
      </c>
      <c r="AB65" t="s">
        <v>39</v>
      </c>
      <c r="AC65" t="s">
        <v>39</v>
      </c>
      <c r="AD65" t="s">
        <v>48</v>
      </c>
    </row>
    <row r="66" spans="1:30" x14ac:dyDescent="0.35">
      <c r="A66" s="1" t="s">
        <v>30</v>
      </c>
      <c r="B66" t="s">
        <v>31</v>
      </c>
      <c r="C66" t="s">
        <v>231</v>
      </c>
      <c r="D66" t="s">
        <v>2043</v>
      </c>
      <c r="E66" t="s">
        <v>2044</v>
      </c>
      <c r="F66" t="s">
        <v>1127</v>
      </c>
      <c r="G66" t="s">
        <v>1128</v>
      </c>
      <c r="H66" t="s">
        <v>1271</v>
      </c>
      <c r="I66" t="s">
        <v>111</v>
      </c>
      <c r="J66" t="s">
        <v>39</v>
      </c>
      <c r="K66" s="2">
        <v>46245</v>
      </c>
      <c r="L66" s="2">
        <v>46265</v>
      </c>
      <c r="N66" s="2">
        <v>46235</v>
      </c>
      <c r="O66" s="2">
        <v>46600</v>
      </c>
      <c r="P66">
        <v>12</v>
      </c>
      <c r="Q66" t="s">
        <v>104</v>
      </c>
      <c r="R66" t="s">
        <v>88</v>
      </c>
      <c r="S66" t="s">
        <v>139</v>
      </c>
      <c r="T66" t="s">
        <v>43</v>
      </c>
      <c r="U66" t="s">
        <v>56</v>
      </c>
      <c r="V66" t="s">
        <v>45</v>
      </c>
      <c r="W66" t="s">
        <v>142</v>
      </c>
      <c r="X66" t="s">
        <v>83</v>
      </c>
      <c r="Y66">
        <v>125389.53</v>
      </c>
      <c r="Z66">
        <v>43886.33</v>
      </c>
      <c r="AA66">
        <v>0.35</v>
      </c>
      <c r="AB66" t="s">
        <v>39</v>
      </c>
      <c r="AC66" t="s">
        <v>39</v>
      </c>
      <c r="AD66" t="s">
        <v>48</v>
      </c>
    </row>
    <row r="67" spans="1:30" x14ac:dyDescent="0.35">
      <c r="A67" s="1" t="s">
        <v>30</v>
      </c>
      <c r="B67" t="s">
        <v>31</v>
      </c>
      <c r="C67" t="s">
        <v>231</v>
      </c>
      <c r="D67" t="s">
        <v>2045</v>
      </c>
      <c r="E67" t="s">
        <v>2046</v>
      </c>
      <c r="F67" t="s">
        <v>2047</v>
      </c>
      <c r="G67" t="s">
        <v>2048</v>
      </c>
      <c r="H67" t="s">
        <v>1271</v>
      </c>
      <c r="I67" t="s">
        <v>64</v>
      </c>
      <c r="J67" t="s">
        <v>39</v>
      </c>
      <c r="K67" s="2">
        <v>46239</v>
      </c>
      <c r="L67" s="2">
        <v>46265</v>
      </c>
      <c r="N67" s="2">
        <v>46235</v>
      </c>
      <c r="O67" s="2">
        <v>46966</v>
      </c>
      <c r="P67">
        <v>24</v>
      </c>
      <c r="Q67" t="s">
        <v>40</v>
      </c>
      <c r="R67" t="s">
        <v>53</v>
      </c>
      <c r="S67" t="s">
        <v>141</v>
      </c>
      <c r="T67" t="s">
        <v>131</v>
      </c>
      <c r="U67" t="s">
        <v>44</v>
      </c>
      <c r="V67" t="s">
        <v>217</v>
      </c>
      <c r="W67" t="s">
        <v>82</v>
      </c>
      <c r="X67" t="s">
        <v>59</v>
      </c>
      <c r="Y67">
        <v>91725.45</v>
      </c>
      <c r="Z67">
        <v>45862.73</v>
      </c>
      <c r="AA67">
        <v>0.5</v>
      </c>
      <c r="AB67" t="s">
        <v>39</v>
      </c>
      <c r="AC67" t="s">
        <v>39</v>
      </c>
      <c r="AD67" t="s">
        <v>48</v>
      </c>
    </row>
    <row r="68" spans="1:30" x14ac:dyDescent="0.35">
      <c r="A68" s="1" t="s">
        <v>30</v>
      </c>
      <c r="B68" t="s">
        <v>31</v>
      </c>
      <c r="C68" t="s">
        <v>231</v>
      </c>
      <c r="D68" t="s">
        <v>2049</v>
      </c>
      <c r="E68" t="s">
        <v>2050</v>
      </c>
      <c r="F68" t="s">
        <v>2051</v>
      </c>
      <c r="G68" t="s">
        <v>2052</v>
      </c>
      <c r="H68" t="s">
        <v>1271</v>
      </c>
      <c r="I68" t="s">
        <v>117</v>
      </c>
      <c r="J68" t="s">
        <v>39</v>
      </c>
      <c r="K68" s="2">
        <v>46242</v>
      </c>
      <c r="L68" s="2">
        <v>46265</v>
      </c>
      <c r="N68" s="2">
        <v>46235</v>
      </c>
      <c r="O68" s="2">
        <v>46600</v>
      </c>
      <c r="P68">
        <v>12</v>
      </c>
      <c r="Q68" t="s">
        <v>65</v>
      </c>
      <c r="R68" t="s">
        <v>53</v>
      </c>
      <c r="S68" t="s">
        <v>139</v>
      </c>
      <c r="T68" t="s">
        <v>43</v>
      </c>
      <c r="U68" t="s">
        <v>56</v>
      </c>
      <c r="V68" t="s">
        <v>81</v>
      </c>
      <c r="W68" t="s">
        <v>58</v>
      </c>
      <c r="X68" t="s">
        <v>143</v>
      </c>
      <c r="Y68">
        <v>165352.47</v>
      </c>
      <c r="Z68">
        <v>107479.11</v>
      </c>
      <c r="AA68">
        <v>0.65</v>
      </c>
      <c r="AB68" t="s">
        <v>39</v>
      </c>
      <c r="AC68" t="s">
        <v>39</v>
      </c>
      <c r="AD68" t="s">
        <v>48</v>
      </c>
    </row>
    <row r="69" spans="1:30" x14ac:dyDescent="0.35">
      <c r="A69" s="1" t="s">
        <v>30</v>
      </c>
      <c r="B69" t="s">
        <v>31</v>
      </c>
      <c r="C69" t="s">
        <v>231</v>
      </c>
      <c r="D69" t="s">
        <v>2053</v>
      </c>
      <c r="E69" t="s">
        <v>2054</v>
      </c>
      <c r="F69" t="s">
        <v>1687</v>
      </c>
      <c r="G69" t="s">
        <v>1688</v>
      </c>
      <c r="H69" t="s">
        <v>1271</v>
      </c>
      <c r="I69" t="s">
        <v>111</v>
      </c>
      <c r="J69" t="s">
        <v>39</v>
      </c>
      <c r="K69" s="2">
        <v>46245</v>
      </c>
      <c r="L69" s="2">
        <v>46265</v>
      </c>
      <c r="N69" s="2">
        <v>46235</v>
      </c>
      <c r="O69" s="2">
        <v>46600</v>
      </c>
      <c r="P69">
        <v>12</v>
      </c>
      <c r="Q69" t="s">
        <v>40</v>
      </c>
      <c r="R69" t="s">
        <v>88</v>
      </c>
      <c r="S69" t="s">
        <v>135</v>
      </c>
      <c r="T69" t="s">
        <v>131</v>
      </c>
      <c r="U69" t="s">
        <v>56</v>
      </c>
      <c r="V69" t="s">
        <v>144</v>
      </c>
      <c r="W69" t="s">
        <v>46</v>
      </c>
      <c r="X69" t="s">
        <v>47</v>
      </c>
      <c r="Y69">
        <v>136086.51</v>
      </c>
      <c r="Z69">
        <v>108869.2</v>
      </c>
      <c r="AA69">
        <v>0.8</v>
      </c>
      <c r="AB69" t="s">
        <v>39</v>
      </c>
      <c r="AC69" t="s">
        <v>39</v>
      </c>
      <c r="AD69" t="s">
        <v>48</v>
      </c>
    </row>
    <row r="70" spans="1:30" x14ac:dyDescent="0.35">
      <c r="A70" s="1" t="s">
        <v>30</v>
      </c>
      <c r="B70" t="s">
        <v>31</v>
      </c>
      <c r="C70" t="s">
        <v>231</v>
      </c>
      <c r="D70" t="s">
        <v>2055</v>
      </c>
      <c r="E70" t="s">
        <v>2056</v>
      </c>
      <c r="F70" t="s">
        <v>2057</v>
      </c>
      <c r="G70" t="s">
        <v>2058</v>
      </c>
      <c r="H70" t="s">
        <v>1271</v>
      </c>
      <c r="I70" t="s">
        <v>111</v>
      </c>
      <c r="J70" t="s">
        <v>39</v>
      </c>
      <c r="K70" s="2">
        <v>46242</v>
      </c>
      <c r="L70" s="2">
        <v>46265</v>
      </c>
      <c r="N70" s="2">
        <v>46235</v>
      </c>
      <c r="O70" s="2">
        <v>46600</v>
      </c>
      <c r="P70">
        <v>12</v>
      </c>
      <c r="Q70" t="s">
        <v>65</v>
      </c>
      <c r="R70" t="s">
        <v>41</v>
      </c>
      <c r="S70" t="s">
        <v>112</v>
      </c>
      <c r="T70" t="s">
        <v>55</v>
      </c>
      <c r="U70" t="s">
        <v>56</v>
      </c>
      <c r="V70" t="s">
        <v>138</v>
      </c>
      <c r="W70" t="s">
        <v>90</v>
      </c>
      <c r="X70" t="s">
        <v>158</v>
      </c>
      <c r="Y70">
        <v>152156.85</v>
      </c>
      <c r="Z70">
        <v>53254.9</v>
      </c>
      <c r="AA70">
        <v>0.35</v>
      </c>
      <c r="AB70" t="s">
        <v>39</v>
      </c>
      <c r="AC70" t="s">
        <v>39</v>
      </c>
      <c r="AD70" t="s">
        <v>48</v>
      </c>
    </row>
    <row r="71" spans="1:30" x14ac:dyDescent="0.35">
      <c r="A71" s="1" t="s">
        <v>30</v>
      </c>
      <c r="B71" t="s">
        <v>31</v>
      </c>
      <c r="C71" t="s">
        <v>231</v>
      </c>
      <c r="D71" t="s">
        <v>2059</v>
      </c>
      <c r="E71" t="s">
        <v>2060</v>
      </c>
      <c r="F71" t="s">
        <v>2061</v>
      </c>
      <c r="G71" t="s">
        <v>2062</v>
      </c>
      <c r="H71" t="s">
        <v>1271</v>
      </c>
      <c r="I71" t="s">
        <v>117</v>
      </c>
      <c r="J71" t="s">
        <v>39</v>
      </c>
      <c r="K71" s="2">
        <v>46242</v>
      </c>
      <c r="L71" s="2">
        <v>46265</v>
      </c>
      <c r="N71" s="2">
        <v>46235</v>
      </c>
      <c r="O71" s="2">
        <v>46600</v>
      </c>
      <c r="P71">
        <v>12</v>
      </c>
      <c r="Q71" t="s">
        <v>65</v>
      </c>
      <c r="R71" t="s">
        <v>88</v>
      </c>
      <c r="S71" t="s">
        <v>141</v>
      </c>
      <c r="T71" t="s">
        <v>131</v>
      </c>
      <c r="U71" t="s">
        <v>44</v>
      </c>
      <c r="V71" t="s">
        <v>74</v>
      </c>
      <c r="W71" t="s">
        <v>46</v>
      </c>
      <c r="X71" t="s">
        <v>83</v>
      </c>
      <c r="Y71">
        <v>136954.01</v>
      </c>
      <c r="Z71">
        <v>89020.11</v>
      </c>
      <c r="AA71">
        <v>0.65</v>
      </c>
      <c r="AB71" t="s">
        <v>39</v>
      </c>
      <c r="AC71" t="s">
        <v>39</v>
      </c>
      <c r="AD71" t="s">
        <v>48</v>
      </c>
    </row>
    <row r="72" spans="1:30" x14ac:dyDescent="0.35">
      <c r="A72" s="1" t="s">
        <v>30</v>
      </c>
      <c r="B72" t="s">
        <v>31</v>
      </c>
      <c r="C72" t="s">
        <v>231</v>
      </c>
      <c r="D72" t="s">
        <v>2063</v>
      </c>
      <c r="E72" t="s">
        <v>2064</v>
      </c>
      <c r="F72" t="s">
        <v>685</v>
      </c>
      <c r="G72" t="s">
        <v>686</v>
      </c>
      <c r="H72" t="s">
        <v>1271</v>
      </c>
      <c r="I72" t="s">
        <v>64</v>
      </c>
      <c r="J72" t="s">
        <v>39</v>
      </c>
      <c r="K72" s="2">
        <v>46243</v>
      </c>
      <c r="L72" s="2">
        <v>46265</v>
      </c>
      <c r="N72" s="2">
        <v>46235</v>
      </c>
      <c r="O72" s="2">
        <v>46600</v>
      </c>
      <c r="P72">
        <v>12</v>
      </c>
      <c r="Q72" t="s">
        <v>104</v>
      </c>
      <c r="R72" t="s">
        <v>41</v>
      </c>
      <c r="S72" t="s">
        <v>141</v>
      </c>
      <c r="T72" t="s">
        <v>131</v>
      </c>
      <c r="U72" t="s">
        <v>56</v>
      </c>
      <c r="V72" t="s">
        <v>217</v>
      </c>
      <c r="W72" t="s">
        <v>136</v>
      </c>
      <c r="X72" t="s">
        <v>158</v>
      </c>
      <c r="Y72">
        <v>77080.73</v>
      </c>
      <c r="Z72">
        <v>50102.48</v>
      </c>
      <c r="AA72">
        <v>0.65</v>
      </c>
      <c r="AB72" t="s">
        <v>39</v>
      </c>
      <c r="AC72" t="s">
        <v>39</v>
      </c>
      <c r="AD72" t="s">
        <v>48</v>
      </c>
    </row>
    <row r="73" spans="1:30" x14ac:dyDescent="0.35">
      <c r="A73" s="1" t="s">
        <v>30</v>
      </c>
      <c r="B73" t="s">
        <v>31</v>
      </c>
      <c r="C73" t="s">
        <v>231</v>
      </c>
      <c r="D73" t="s">
        <v>2065</v>
      </c>
      <c r="E73" t="s">
        <v>2066</v>
      </c>
      <c r="F73" t="s">
        <v>2067</v>
      </c>
      <c r="G73" t="s">
        <v>2068</v>
      </c>
      <c r="H73" t="s">
        <v>1290</v>
      </c>
      <c r="I73" t="s">
        <v>117</v>
      </c>
      <c r="J73" t="s">
        <v>1290</v>
      </c>
      <c r="K73" s="2">
        <v>46247</v>
      </c>
      <c r="L73" s="2">
        <v>46265</v>
      </c>
      <c r="N73" s="2">
        <v>46235</v>
      </c>
      <c r="O73" s="2">
        <v>46966</v>
      </c>
      <c r="P73">
        <v>24</v>
      </c>
      <c r="Q73" t="s">
        <v>40</v>
      </c>
      <c r="R73" t="s">
        <v>88</v>
      </c>
      <c r="S73" t="s">
        <v>141</v>
      </c>
      <c r="T73" t="s">
        <v>131</v>
      </c>
      <c r="U73" t="s">
        <v>44</v>
      </c>
      <c r="V73" t="s">
        <v>67</v>
      </c>
      <c r="W73" t="s">
        <v>150</v>
      </c>
      <c r="X73" t="s">
        <v>125</v>
      </c>
      <c r="Y73">
        <v>116550.9</v>
      </c>
      <c r="Z73">
        <v>75758.080000000002</v>
      </c>
      <c r="AA73">
        <v>0.65</v>
      </c>
      <c r="AB73" t="s">
        <v>1290</v>
      </c>
      <c r="AC73" t="s">
        <v>1290</v>
      </c>
      <c r="AD73" t="s">
        <v>48</v>
      </c>
    </row>
    <row r="74" spans="1:30" x14ac:dyDescent="0.35">
      <c r="A74" s="1" t="s">
        <v>30</v>
      </c>
      <c r="B74" t="s">
        <v>31</v>
      </c>
      <c r="C74" t="s">
        <v>231</v>
      </c>
      <c r="D74" t="s">
        <v>2069</v>
      </c>
      <c r="E74" t="s">
        <v>2070</v>
      </c>
      <c r="F74" t="s">
        <v>2071</v>
      </c>
      <c r="G74" t="s">
        <v>2072</v>
      </c>
      <c r="H74" t="s">
        <v>1290</v>
      </c>
      <c r="I74" t="s">
        <v>38</v>
      </c>
      <c r="J74" t="s">
        <v>1290</v>
      </c>
      <c r="K74" s="2">
        <v>46248</v>
      </c>
      <c r="L74" s="2">
        <v>46265</v>
      </c>
      <c r="N74" s="2">
        <v>46235</v>
      </c>
      <c r="O74" s="2">
        <v>46600</v>
      </c>
      <c r="P74">
        <v>12</v>
      </c>
      <c r="Q74" t="s">
        <v>65</v>
      </c>
      <c r="R74" t="s">
        <v>88</v>
      </c>
      <c r="S74" t="s">
        <v>222</v>
      </c>
      <c r="T74" t="s">
        <v>97</v>
      </c>
      <c r="U74" t="s">
        <v>44</v>
      </c>
      <c r="V74" t="s">
        <v>98</v>
      </c>
      <c r="W74" t="s">
        <v>90</v>
      </c>
      <c r="X74" t="s">
        <v>59</v>
      </c>
      <c r="Y74">
        <v>112233.14</v>
      </c>
      <c r="Z74">
        <v>72951.539999999994</v>
      </c>
      <c r="AA74">
        <v>0.65</v>
      </c>
      <c r="AB74" t="s">
        <v>1290</v>
      </c>
      <c r="AC74" t="s">
        <v>1290</v>
      </c>
      <c r="AD74" t="s">
        <v>48</v>
      </c>
    </row>
    <row r="75" spans="1:30" x14ac:dyDescent="0.35">
      <c r="A75" s="1" t="s">
        <v>30</v>
      </c>
      <c r="B75" t="s">
        <v>31</v>
      </c>
      <c r="C75" t="s">
        <v>231</v>
      </c>
      <c r="D75" t="s">
        <v>2073</v>
      </c>
      <c r="E75" t="s">
        <v>2074</v>
      </c>
      <c r="F75" t="s">
        <v>879</v>
      </c>
      <c r="G75" t="s">
        <v>880</v>
      </c>
      <c r="H75" t="s">
        <v>1290</v>
      </c>
      <c r="I75" t="s">
        <v>103</v>
      </c>
      <c r="J75" t="s">
        <v>1290</v>
      </c>
      <c r="K75" s="2">
        <v>46244</v>
      </c>
      <c r="L75" s="2">
        <v>46265</v>
      </c>
      <c r="N75" s="2">
        <v>46235</v>
      </c>
      <c r="O75" s="2">
        <v>46600</v>
      </c>
      <c r="P75">
        <v>12</v>
      </c>
      <c r="Q75" t="s">
        <v>104</v>
      </c>
      <c r="R75" t="s">
        <v>41</v>
      </c>
      <c r="S75" t="s">
        <v>222</v>
      </c>
      <c r="T75" t="s">
        <v>97</v>
      </c>
      <c r="U75" t="s">
        <v>56</v>
      </c>
      <c r="V75" t="s">
        <v>217</v>
      </c>
      <c r="W75" t="s">
        <v>161</v>
      </c>
      <c r="X75" t="s">
        <v>68</v>
      </c>
      <c r="Y75">
        <v>173645.96</v>
      </c>
      <c r="Z75">
        <v>138916.76999999999</v>
      </c>
      <c r="AA75">
        <v>0.8</v>
      </c>
      <c r="AB75" t="s">
        <v>1290</v>
      </c>
      <c r="AC75" t="s">
        <v>1290</v>
      </c>
      <c r="AD75" t="s">
        <v>48</v>
      </c>
    </row>
    <row r="76" spans="1:30" x14ac:dyDescent="0.35">
      <c r="A76" s="1" t="s">
        <v>30</v>
      </c>
      <c r="B76" t="s">
        <v>31</v>
      </c>
      <c r="C76" t="s">
        <v>231</v>
      </c>
      <c r="D76" t="s">
        <v>2075</v>
      </c>
      <c r="E76" t="s">
        <v>2076</v>
      </c>
      <c r="F76" t="s">
        <v>2077</v>
      </c>
      <c r="G76" t="s">
        <v>2078</v>
      </c>
      <c r="H76" t="s">
        <v>1295</v>
      </c>
      <c r="I76" t="s">
        <v>111</v>
      </c>
      <c r="J76" t="s">
        <v>1295</v>
      </c>
      <c r="K76" s="2">
        <v>46243</v>
      </c>
      <c r="L76" s="2">
        <v>46265</v>
      </c>
      <c r="N76" s="2">
        <v>46235</v>
      </c>
      <c r="O76" s="2">
        <v>46600</v>
      </c>
      <c r="P76">
        <v>12</v>
      </c>
      <c r="Q76" t="s">
        <v>40</v>
      </c>
      <c r="R76" t="s">
        <v>41</v>
      </c>
      <c r="S76" t="s">
        <v>89</v>
      </c>
      <c r="T76" t="s">
        <v>55</v>
      </c>
      <c r="U76" t="s">
        <v>44</v>
      </c>
      <c r="V76" t="s">
        <v>217</v>
      </c>
      <c r="W76" t="s">
        <v>82</v>
      </c>
      <c r="X76" t="s">
        <v>91</v>
      </c>
      <c r="Y76">
        <v>192570.26</v>
      </c>
      <c r="Z76">
        <v>125170.67</v>
      </c>
      <c r="AA76">
        <v>0.65</v>
      </c>
      <c r="AB76" t="s">
        <v>1295</v>
      </c>
      <c r="AC76" t="s">
        <v>1295</v>
      </c>
      <c r="AD76" t="s">
        <v>48</v>
      </c>
    </row>
    <row r="77" spans="1:30" x14ac:dyDescent="0.35">
      <c r="A77" s="1" t="s">
        <v>30</v>
      </c>
      <c r="B77" t="s">
        <v>31</v>
      </c>
      <c r="C77" t="s">
        <v>231</v>
      </c>
      <c r="D77" t="s">
        <v>2079</v>
      </c>
      <c r="E77" t="s">
        <v>2080</v>
      </c>
      <c r="F77" t="s">
        <v>2081</v>
      </c>
      <c r="G77" t="s">
        <v>2082</v>
      </c>
      <c r="H77" t="s">
        <v>1295</v>
      </c>
      <c r="I77" t="s">
        <v>117</v>
      </c>
      <c r="J77" t="s">
        <v>1295</v>
      </c>
      <c r="K77" s="2">
        <v>46236</v>
      </c>
      <c r="L77" s="2">
        <v>46265</v>
      </c>
      <c r="N77" s="2">
        <v>46235</v>
      </c>
      <c r="O77" s="2">
        <v>46600</v>
      </c>
      <c r="P77">
        <v>12</v>
      </c>
      <c r="Q77" t="s">
        <v>40</v>
      </c>
      <c r="R77" t="s">
        <v>88</v>
      </c>
      <c r="S77" t="s">
        <v>105</v>
      </c>
      <c r="T77" t="s">
        <v>55</v>
      </c>
      <c r="U77" t="s">
        <v>44</v>
      </c>
      <c r="V77" t="s">
        <v>119</v>
      </c>
      <c r="W77" t="s">
        <v>90</v>
      </c>
      <c r="X77" t="s">
        <v>158</v>
      </c>
      <c r="Y77">
        <v>251268.85</v>
      </c>
      <c r="Z77">
        <v>163324.75</v>
      </c>
      <c r="AA77">
        <v>0.65</v>
      </c>
      <c r="AB77" t="s">
        <v>1295</v>
      </c>
      <c r="AC77" t="s">
        <v>1295</v>
      </c>
      <c r="AD77" t="s">
        <v>48</v>
      </c>
    </row>
    <row r="78" spans="1:30" x14ac:dyDescent="0.35">
      <c r="A78" s="1" t="s">
        <v>30</v>
      </c>
      <c r="B78" t="s">
        <v>31</v>
      </c>
      <c r="C78" t="s">
        <v>231</v>
      </c>
      <c r="D78" t="s">
        <v>2083</v>
      </c>
      <c r="E78" t="s">
        <v>2084</v>
      </c>
      <c r="F78" t="s">
        <v>595</v>
      </c>
      <c r="G78" t="s">
        <v>596</v>
      </c>
      <c r="H78" t="s">
        <v>1295</v>
      </c>
      <c r="I78" t="s">
        <v>38</v>
      </c>
      <c r="J78" t="s">
        <v>1295</v>
      </c>
      <c r="K78" s="2">
        <v>46239</v>
      </c>
      <c r="L78" s="2">
        <v>46265</v>
      </c>
      <c r="N78" s="2">
        <v>46235</v>
      </c>
      <c r="O78" s="2">
        <v>46966</v>
      </c>
      <c r="P78">
        <v>24</v>
      </c>
      <c r="Q78" t="s">
        <v>104</v>
      </c>
      <c r="R78" t="s">
        <v>41</v>
      </c>
      <c r="S78" t="s">
        <v>141</v>
      </c>
      <c r="T78" t="s">
        <v>131</v>
      </c>
      <c r="U78" t="s">
        <v>44</v>
      </c>
      <c r="V78" t="s">
        <v>57</v>
      </c>
      <c r="W78" t="s">
        <v>136</v>
      </c>
      <c r="X78" t="s">
        <v>59</v>
      </c>
      <c r="Y78">
        <v>218531.89</v>
      </c>
      <c r="Z78">
        <v>174825.51</v>
      </c>
      <c r="AA78">
        <v>0.8</v>
      </c>
      <c r="AB78" t="s">
        <v>1295</v>
      </c>
      <c r="AC78" t="s">
        <v>1295</v>
      </c>
      <c r="AD78" t="s">
        <v>48</v>
      </c>
    </row>
    <row r="79" spans="1:30" x14ac:dyDescent="0.35">
      <c r="A79" s="1" t="s">
        <v>30</v>
      </c>
      <c r="B79" t="s">
        <v>31</v>
      </c>
      <c r="C79" t="s">
        <v>231</v>
      </c>
      <c r="D79" t="s">
        <v>2085</v>
      </c>
      <c r="E79" t="s">
        <v>2086</v>
      </c>
      <c r="F79" t="s">
        <v>1263</v>
      </c>
      <c r="G79" t="s">
        <v>1264</v>
      </c>
      <c r="H79" t="s">
        <v>1302</v>
      </c>
      <c r="I79" t="s">
        <v>117</v>
      </c>
      <c r="J79" t="s">
        <v>39</v>
      </c>
      <c r="K79" s="2">
        <v>46243</v>
      </c>
      <c r="L79" s="2">
        <v>46265</v>
      </c>
      <c r="N79" s="2">
        <v>46235</v>
      </c>
      <c r="O79" s="2">
        <v>46600</v>
      </c>
      <c r="P79">
        <v>12</v>
      </c>
      <c r="Q79" t="s">
        <v>65</v>
      </c>
      <c r="R79" t="s">
        <v>88</v>
      </c>
      <c r="S79" t="s">
        <v>163</v>
      </c>
      <c r="T79" t="s">
        <v>131</v>
      </c>
      <c r="U79" t="s">
        <v>56</v>
      </c>
      <c r="V79" t="s">
        <v>74</v>
      </c>
      <c r="W79" t="s">
        <v>58</v>
      </c>
      <c r="X79" t="s">
        <v>143</v>
      </c>
      <c r="Y79">
        <v>106652.24</v>
      </c>
      <c r="Z79">
        <v>85321.79</v>
      </c>
      <c r="AA79">
        <v>0.8</v>
      </c>
      <c r="AB79" t="s">
        <v>39</v>
      </c>
      <c r="AC79" t="s">
        <v>39</v>
      </c>
      <c r="AD79" t="s">
        <v>48</v>
      </c>
    </row>
    <row r="80" spans="1:30" x14ac:dyDescent="0.35">
      <c r="A80" s="1" t="s">
        <v>30</v>
      </c>
      <c r="B80" t="s">
        <v>31</v>
      </c>
      <c r="C80" t="s">
        <v>231</v>
      </c>
      <c r="D80" t="s">
        <v>2087</v>
      </c>
      <c r="E80" t="s">
        <v>2088</v>
      </c>
      <c r="F80" t="s">
        <v>2089</v>
      </c>
      <c r="G80" t="s">
        <v>2090</v>
      </c>
      <c r="H80" t="s">
        <v>1302</v>
      </c>
      <c r="I80" t="s">
        <v>103</v>
      </c>
      <c r="J80" t="s">
        <v>39</v>
      </c>
      <c r="K80" s="2">
        <v>46245</v>
      </c>
      <c r="L80" s="2">
        <v>46265</v>
      </c>
      <c r="N80" s="2">
        <v>46235</v>
      </c>
      <c r="O80" s="2">
        <v>46600</v>
      </c>
      <c r="P80">
        <v>12</v>
      </c>
      <c r="Q80" t="s">
        <v>104</v>
      </c>
      <c r="R80" t="s">
        <v>41</v>
      </c>
      <c r="S80" t="s">
        <v>73</v>
      </c>
      <c r="T80" t="s">
        <v>43</v>
      </c>
      <c r="U80" t="s">
        <v>56</v>
      </c>
      <c r="V80" t="s">
        <v>98</v>
      </c>
      <c r="W80" t="s">
        <v>142</v>
      </c>
      <c r="X80" t="s">
        <v>68</v>
      </c>
      <c r="Y80">
        <v>94488.47</v>
      </c>
      <c r="Z80">
        <v>61417.5</v>
      </c>
      <c r="AA80">
        <v>0.65</v>
      </c>
      <c r="AB80" t="s">
        <v>39</v>
      </c>
      <c r="AC80" t="s">
        <v>39</v>
      </c>
      <c r="AD80" t="s">
        <v>48</v>
      </c>
    </row>
    <row r="81" spans="1:30" x14ac:dyDescent="0.35">
      <c r="A81" s="1" t="s">
        <v>30</v>
      </c>
      <c r="B81" t="s">
        <v>31</v>
      </c>
      <c r="C81" t="s">
        <v>231</v>
      </c>
      <c r="D81" t="s">
        <v>2091</v>
      </c>
      <c r="E81" t="s">
        <v>2092</v>
      </c>
      <c r="F81" t="s">
        <v>2093</v>
      </c>
      <c r="G81" t="s">
        <v>2094</v>
      </c>
      <c r="H81" t="s">
        <v>1302</v>
      </c>
      <c r="I81" t="s">
        <v>117</v>
      </c>
      <c r="J81" t="s">
        <v>39</v>
      </c>
      <c r="K81" s="2">
        <v>46244</v>
      </c>
      <c r="L81" s="2">
        <v>46265</v>
      </c>
      <c r="N81" s="2">
        <v>46235</v>
      </c>
      <c r="O81" s="2">
        <v>46600</v>
      </c>
      <c r="P81">
        <v>12</v>
      </c>
      <c r="Q81" t="s">
        <v>40</v>
      </c>
      <c r="R81" t="s">
        <v>41</v>
      </c>
      <c r="S81" t="s">
        <v>80</v>
      </c>
      <c r="T81" t="s">
        <v>43</v>
      </c>
      <c r="U81" t="s">
        <v>44</v>
      </c>
      <c r="V81" t="s">
        <v>138</v>
      </c>
      <c r="W81" t="s">
        <v>142</v>
      </c>
      <c r="X81" t="s">
        <v>83</v>
      </c>
      <c r="Y81">
        <v>172362.29</v>
      </c>
      <c r="Z81">
        <v>112035.49</v>
      </c>
      <c r="AA81">
        <v>0.65</v>
      </c>
      <c r="AB81" t="s">
        <v>39</v>
      </c>
      <c r="AC81" t="s">
        <v>39</v>
      </c>
      <c r="AD81" t="s">
        <v>48</v>
      </c>
    </row>
    <row r="82" spans="1:30" x14ac:dyDescent="0.35">
      <c r="A82" s="1" t="s">
        <v>30</v>
      </c>
      <c r="B82" t="s">
        <v>31</v>
      </c>
      <c r="C82" t="s">
        <v>285</v>
      </c>
      <c r="D82" t="s">
        <v>286</v>
      </c>
      <c r="E82" t="s">
        <v>287</v>
      </c>
      <c r="F82" t="s">
        <v>288</v>
      </c>
      <c r="G82" t="s">
        <v>289</v>
      </c>
      <c r="H82" t="s">
        <v>37</v>
      </c>
      <c r="I82" t="s">
        <v>103</v>
      </c>
      <c r="J82" t="s">
        <v>39</v>
      </c>
      <c r="K82" s="2">
        <v>46272</v>
      </c>
      <c r="L82" s="2">
        <v>46295</v>
      </c>
      <c r="N82" s="2">
        <v>46266</v>
      </c>
      <c r="O82" s="2">
        <v>46631</v>
      </c>
      <c r="P82">
        <v>12</v>
      </c>
      <c r="Q82" t="s">
        <v>104</v>
      </c>
      <c r="R82" t="s">
        <v>53</v>
      </c>
      <c r="S82" t="s">
        <v>73</v>
      </c>
      <c r="T82" t="s">
        <v>43</v>
      </c>
      <c r="U82" t="s">
        <v>56</v>
      </c>
      <c r="V82" t="s">
        <v>57</v>
      </c>
      <c r="W82" t="s">
        <v>136</v>
      </c>
      <c r="X82" t="s">
        <v>125</v>
      </c>
      <c r="Y82">
        <v>159878.59</v>
      </c>
      <c r="Z82">
        <v>79939.3</v>
      </c>
      <c r="AA82">
        <v>0.5</v>
      </c>
      <c r="AB82" t="s">
        <v>39</v>
      </c>
      <c r="AC82" t="s">
        <v>39</v>
      </c>
      <c r="AD82" t="s">
        <v>48</v>
      </c>
    </row>
    <row r="83" spans="1:30" x14ac:dyDescent="0.35">
      <c r="A83" s="1" t="s">
        <v>30</v>
      </c>
      <c r="B83" t="s">
        <v>31</v>
      </c>
      <c r="C83" t="s">
        <v>285</v>
      </c>
      <c r="D83" t="s">
        <v>290</v>
      </c>
      <c r="E83" t="s">
        <v>291</v>
      </c>
      <c r="F83" t="s">
        <v>292</v>
      </c>
      <c r="G83" t="s">
        <v>293</v>
      </c>
      <c r="H83" t="s">
        <v>37</v>
      </c>
      <c r="I83" t="s">
        <v>111</v>
      </c>
      <c r="J83" t="s">
        <v>39</v>
      </c>
      <c r="K83" s="2">
        <v>46266</v>
      </c>
      <c r="L83" s="2">
        <v>46295</v>
      </c>
      <c r="N83" s="2">
        <v>46266</v>
      </c>
      <c r="O83" s="2">
        <v>46631</v>
      </c>
      <c r="P83">
        <v>12</v>
      </c>
      <c r="Q83" t="s">
        <v>65</v>
      </c>
      <c r="R83" t="s">
        <v>53</v>
      </c>
      <c r="S83" t="s">
        <v>130</v>
      </c>
      <c r="T83" t="s">
        <v>131</v>
      </c>
      <c r="U83" t="s">
        <v>44</v>
      </c>
      <c r="V83" t="s">
        <v>74</v>
      </c>
      <c r="W83" t="s">
        <v>82</v>
      </c>
      <c r="X83" t="s">
        <v>47</v>
      </c>
      <c r="Y83">
        <v>169347.33</v>
      </c>
      <c r="Z83">
        <v>84673.67</v>
      </c>
      <c r="AA83">
        <v>0.5</v>
      </c>
      <c r="AB83" t="s">
        <v>39</v>
      </c>
      <c r="AC83" t="s">
        <v>39</v>
      </c>
      <c r="AD83" t="s">
        <v>48</v>
      </c>
    </row>
    <row r="84" spans="1:30" x14ac:dyDescent="0.35">
      <c r="A84" s="1" t="s">
        <v>30</v>
      </c>
      <c r="B84" t="s">
        <v>31</v>
      </c>
      <c r="C84" t="s">
        <v>285</v>
      </c>
      <c r="D84" t="s">
        <v>294</v>
      </c>
      <c r="E84" t="s">
        <v>295</v>
      </c>
      <c r="F84" t="s">
        <v>296</v>
      </c>
      <c r="G84" t="s">
        <v>297</v>
      </c>
      <c r="H84" t="s">
        <v>37</v>
      </c>
      <c r="I84" t="s">
        <v>103</v>
      </c>
      <c r="J84" t="s">
        <v>39</v>
      </c>
      <c r="K84" s="2">
        <v>46271</v>
      </c>
      <c r="L84" s="2">
        <v>46295</v>
      </c>
      <c r="N84" s="2">
        <v>46266</v>
      </c>
      <c r="O84" s="2">
        <v>46631</v>
      </c>
      <c r="P84">
        <v>12</v>
      </c>
      <c r="Q84" t="s">
        <v>104</v>
      </c>
      <c r="R84" t="s">
        <v>88</v>
      </c>
      <c r="S84" t="s">
        <v>137</v>
      </c>
      <c r="T84" t="s">
        <v>97</v>
      </c>
      <c r="U84" t="s">
        <v>56</v>
      </c>
      <c r="V84" t="s">
        <v>98</v>
      </c>
      <c r="W84" t="s">
        <v>142</v>
      </c>
      <c r="X84" t="s">
        <v>47</v>
      </c>
      <c r="Y84">
        <v>127601.09</v>
      </c>
      <c r="Z84">
        <v>63800.55</v>
      </c>
      <c r="AA84">
        <v>0.5</v>
      </c>
      <c r="AB84" t="s">
        <v>39</v>
      </c>
      <c r="AC84" t="s">
        <v>39</v>
      </c>
      <c r="AD84" t="s">
        <v>48</v>
      </c>
    </row>
    <row r="85" spans="1:30" x14ac:dyDescent="0.35">
      <c r="A85" s="1" t="s">
        <v>30</v>
      </c>
      <c r="B85" t="s">
        <v>31</v>
      </c>
      <c r="C85" t="s">
        <v>285</v>
      </c>
      <c r="D85" t="s">
        <v>298</v>
      </c>
      <c r="E85" t="s">
        <v>299</v>
      </c>
      <c r="F85" t="s">
        <v>215</v>
      </c>
      <c r="G85" t="s">
        <v>216</v>
      </c>
      <c r="H85" t="s">
        <v>37</v>
      </c>
      <c r="I85" t="s">
        <v>111</v>
      </c>
      <c r="J85" t="s">
        <v>39</v>
      </c>
      <c r="K85" s="2">
        <v>46268</v>
      </c>
      <c r="L85" s="2">
        <v>46295</v>
      </c>
      <c r="N85" s="2">
        <v>46266</v>
      </c>
      <c r="O85" s="2">
        <v>46997</v>
      </c>
      <c r="P85">
        <v>24</v>
      </c>
      <c r="Q85" t="s">
        <v>40</v>
      </c>
      <c r="R85" t="s">
        <v>53</v>
      </c>
      <c r="S85" t="s">
        <v>162</v>
      </c>
      <c r="T85" t="s">
        <v>43</v>
      </c>
      <c r="U85" t="s">
        <v>44</v>
      </c>
      <c r="V85" t="s">
        <v>81</v>
      </c>
      <c r="W85" t="s">
        <v>136</v>
      </c>
      <c r="X85" t="s">
        <v>143</v>
      </c>
      <c r="Y85">
        <v>133323.22</v>
      </c>
      <c r="Z85">
        <v>66661.61</v>
      </c>
      <c r="AA85">
        <v>0.5</v>
      </c>
      <c r="AB85" t="s">
        <v>39</v>
      </c>
      <c r="AC85" t="s">
        <v>39</v>
      </c>
      <c r="AD85" t="s">
        <v>48</v>
      </c>
    </row>
    <row r="86" spans="1:30" x14ac:dyDescent="0.35">
      <c r="A86" s="1" t="s">
        <v>30</v>
      </c>
      <c r="B86" t="s">
        <v>31</v>
      </c>
      <c r="C86" t="s">
        <v>285</v>
      </c>
      <c r="D86" t="s">
        <v>300</v>
      </c>
      <c r="E86" t="s">
        <v>301</v>
      </c>
      <c r="F86" t="s">
        <v>302</v>
      </c>
      <c r="G86" t="s">
        <v>303</v>
      </c>
      <c r="H86" t="s">
        <v>37</v>
      </c>
      <c r="I86" t="s">
        <v>103</v>
      </c>
      <c r="J86" t="s">
        <v>39</v>
      </c>
      <c r="K86" s="2">
        <v>46268</v>
      </c>
      <c r="L86" s="2">
        <v>46295</v>
      </c>
      <c r="N86" s="2">
        <v>46266</v>
      </c>
      <c r="O86" s="2">
        <v>46997</v>
      </c>
      <c r="P86">
        <v>24</v>
      </c>
      <c r="Q86" t="s">
        <v>40</v>
      </c>
      <c r="R86" t="s">
        <v>88</v>
      </c>
      <c r="S86" t="s">
        <v>130</v>
      </c>
      <c r="T86" t="s">
        <v>131</v>
      </c>
      <c r="U86" t="s">
        <v>44</v>
      </c>
      <c r="V86" t="s">
        <v>81</v>
      </c>
      <c r="W86" t="s">
        <v>58</v>
      </c>
      <c r="X86" t="s">
        <v>59</v>
      </c>
      <c r="Y86">
        <v>217333.42</v>
      </c>
      <c r="Z86">
        <v>141266.72</v>
      </c>
      <c r="AA86">
        <v>0.65</v>
      </c>
      <c r="AB86" t="s">
        <v>39</v>
      </c>
      <c r="AC86" t="s">
        <v>39</v>
      </c>
      <c r="AD86" t="s">
        <v>48</v>
      </c>
    </row>
    <row r="87" spans="1:30" x14ac:dyDescent="0.35">
      <c r="A87" s="1" t="s">
        <v>30</v>
      </c>
      <c r="B87" t="s">
        <v>31</v>
      </c>
      <c r="C87" t="s">
        <v>285</v>
      </c>
      <c r="D87" t="s">
        <v>304</v>
      </c>
      <c r="E87" t="s">
        <v>305</v>
      </c>
      <c r="F87" t="s">
        <v>306</v>
      </c>
      <c r="G87" t="s">
        <v>307</v>
      </c>
      <c r="H87" t="s">
        <v>37</v>
      </c>
      <c r="I87" t="s">
        <v>103</v>
      </c>
      <c r="J87" t="s">
        <v>39</v>
      </c>
      <c r="K87" s="2">
        <v>46279</v>
      </c>
      <c r="L87" s="2">
        <v>46295</v>
      </c>
      <c r="N87" s="2">
        <v>46266</v>
      </c>
      <c r="O87" s="2">
        <v>46631</v>
      </c>
      <c r="P87">
        <v>12</v>
      </c>
      <c r="Q87" t="s">
        <v>40</v>
      </c>
      <c r="R87" t="s">
        <v>88</v>
      </c>
      <c r="S87" t="s">
        <v>89</v>
      </c>
      <c r="T87" t="s">
        <v>55</v>
      </c>
      <c r="U87" t="s">
        <v>44</v>
      </c>
      <c r="V87" t="s">
        <v>138</v>
      </c>
      <c r="W87" t="s">
        <v>120</v>
      </c>
      <c r="X87" t="s">
        <v>83</v>
      </c>
      <c r="Y87">
        <v>195935.06</v>
      </c>
      <c r="Z87">
        <v>68577.27</v>
      </c>
      <c r="AA87">
        <v>0.35</v>
      </c>
      <c r="AB87" t="s">
        <v>39</v>
      </c>
      <c r="AC87" t="s">
        <v>39</v>
      </c>
      <c r="AD87" t="s">
        <v>48</v>
      </c>
    </row>
    <row r="88" spans="1:30" x14ac:dyDescent="0.35">
      <c r="A88" s="1" t="s">
        <v>30</v>
      </c>
      <c r="B88" t="s">
        <v>31</v>
      </c>
      <c r="C88" t="s">
        <v>285</v>
      </c>
      <c r="D88" t="s">
        <v>308</v>
      </c>
      <c r="E88" t="s">
        <v>309</v>
      </c>
      <c r="F88" t="s">
        <v>310</v>
      </c>
      <c r="G88" t="s">
        <v>311</v>
      </c>
      <c r="H88" t="s">
        <v>37</v>
      </c>
      <c r="I88" t="s">
        <v>117</v>
      </c>
      <c r="J88" t="s">
        <v>39</v>
      </c>
      <c r="K88" s="2">
        <v>46278</v>
      </c>
      <c r="L88" s="2">
        <v>46295</v>
      </c>
      <c r="N88" s="2">
        <v>46266</v>
      </c>
      <c r="O88" s="2">
        <v>46631</v>
      </c>
      <c r="P88">
        <v>12</v>
      </c>
      <c r="Q88" t="s">
        <v>104</v>
      </c>
      <c r="R88" t="s">
        <v>53</v>
      </c>
      <c r="S88" t="s">
        <v>42</v>
      </c>
      <c r="T88" t="s">
        <v>43</v>
      </c>
      <c r="U88" t="s">
        <v>44</v>
      </c>
      <c r="V88" t="s">
        <v>98</v>
      </c>
      <c r="W88" t="s">
        <v>136</v>
      </c>
      <c r="X88" t="s">
        <v>91</v>
      </c>
      <c r="Y88">
        <v>120172.97</v>
      </c>
      <c r="Z88">
        <v>60086.48</v>
      </c>
      <c r="AA88">
        <v>0.5</v>
      </c>
      <c r="AB88" t="s">
        <v>39</v>
      </c>
      <c r="AC88" t="s">
        <v>39</v>
      </c>
      <c r="AD88" t="s">
        <v>48</v>
      </c>
    </row>
    <row r="89" spans="1:30" x14ac:dyDescent="0.35">
      <c r="A89" s="1" t="s">
        <v>30</v>
      </c>
      <c r="B89" t="s">
        <v>31</v>
      </c>
      <c r="C89" t="s">
        <v>285</v>
      </c>
      <c r="D89" t="s">
        <v>312</v>
      </c>
      <c r="E89" t="s">
        <v>313</v>
      </c>
      <c r="F89" t="s">
        <v>314</v>
      </c>
      <c r="G89" t="s">
        <v>315</v>
      </c>
      <c r="H89" t="s">
        <v>37</v>
      </c>
      <c r="I89" t="s">
        <v>103</v>
      </c>
      <c r="J89" t="s">
        <v>39</v>
      </c>
      <c r="K89" s="2">
        <v>46270</v>
      </c>
      <c r="L89" s="2">
        <v>46295</v>
      </c>
      <c r="N89" s="2">
        <v>46266</v>
      </c>
      <c r="O89" s="2">
        <v>46631</v>
      </c>
      <c r="P89">
        <v>12</v>
      </c>
      <c r="Q89" t="s">
        <v>65</v>
      </c>
      <c r="R89" t="s">
        <v>41</v>
      </c>
      <c r="S89" t="s">
        <v>280</v>
      </c>
      <c r="T89" t="s">
        <v>43</v>
      </c>
      <c r="U89" t="s">
        <v>56</v>
      </c>
      <c r="V89" t="s">
        <v>74</v>
      </c>
      <c r="W89" t="s">
        <v>161</v>
      </c>
      <c r="X89" t="s">
        <v>83</v>
      </c>
      <c r="Y89">
        <v>106941.29</v>
      </c>
      <c r="Z89">
        <v>37429.449999999997</v>
      </c>
      <c r="AA89">
        <v>0.35</v>
      </c>
      <c r="AB89" t="s">
        <v>39</v>
      </c>
      <c r="AC89" t="s">
        <v>39</v>
      </c>
      <c r="AD89" t="s">
        <v>48</v>
      </c>
    </row>
    <row r="90" spans="1:30" x14ac:dyDescent="0.35">
      <c r="A90" s="1" t="s">
        <v>30</v>
      </c>
      <c r="B90" t="s">
        <v>31</v>
      </c>
      <c r="C90" t="s">
        <v>285</v>
      </c>
      <c r="D90" t="s">
        <v>316</v>
      </c>
      <c r="E90" t="s">
        <v>317</v>
      </c>
      <c r="F90" t="s">
        <v>318</v>
      </c>
      <c r="G90" t="s">
        <v>319</v>
      </c>
      <c r="H90" t="s">
        <v>37</v>
      </c>
      <c r="I90" t="s">
        <v>103</v>
      </c>
      <c r="J90" t="s">
        <v>39</v>
      </c>
      <c r="K90" s="2">
        <v>46276</v>
      </c>
      <c r="L90" s="2">
        <v>46295</v>
      </c>
      <c r="N90" s="2">
        <v>46266</v>
      </c>
      <c r="O90" s="2">
        <v>46631</v>
      </c>
      <c r="P90">
        <v>12</v>
      </c>
      <c r="Q90" t="s">
        <v>40</v>
      </c>
      <c r="R90" t="s">
        <v>88</v>
      </c>
      <c r="S90" t="s">
        <v>135</v>
      </c>
      <c r="T90" t="s">
        <v>131</v>
      </c>
      <c r="U90" t="s">
        <v>44</v>
      </c>
      <c r="V90" t="s">
        <v>98</v>
      </c>
      <c r="W90" t="s">
        <v>132</v>
      </c>
      <c r="X90" t="s">
        <v>143</v>
      </c>
      <c r="Y90">
        <v>150172.57999999999</v>
      </c>
      <c r="Z90">
        <v>75086.289999999994</v>
      </c>
      <c r="AA90">
        <v>0.5</v>
      </c>
      <c r="AB90" t="s">
        <v>39</v>
      </c>
      <c r="AC90" t="s">
        <v>39</v>
      </c>
      <c r="AD90" t="s">
        <v>48</v>
      </c>
    </row>
    <row r="91" spans="1:30" x14ac:dyDescent="0.35">
      <c r="A91" s="1" t="s">
        <v>30</v>
      </c>
      <c r="B91" t="s">
        <v>31</v>
      </c>
      <c r="C91" t="s">
        <v>285</v>
      </c>
      <c r="D91" t="s">
        <v>320</v>
      </c>
      <c r="E91" t="s">
        <v>321</v>
      </c>
      <c r="F91" t="s">
        <v>322</v>
      </c>
      <c r="G91" t="s">
        <v>323</v>
      </c>
      <c r="H91" t="s">
        <v>37</v>
      </c>
      <c r="I91" t="s">
        <v>111</v>
      </c>
      <c r="J91" t="s">
        <v>39</v>
      </c>
      <c r="K91" s="2">
        <v>46278</v>
      </c>
      <c r="L91" s="2">
        <v>46295</v>
      </c>
      <c r="N91" s="2">
        <v>46266</v>
      </c>
      <c r="O91" s="2">
        <v>46631</v>
      </c>
      <c r="P91">
        <v>12</v>
      </c>
      <c r="Q91" t="s">
        <v>40</v>
      </c>
      <c r="R91" t="s">
        <v>41</v>
      </c>
      <c r="S91" t="s">
        <v>182</v>
      </c>
      <c r="T91" t="s">
        <v>97</v>
      </c>
      <c r="U91" t="s">
        <v>44</v>
      </c>
      <c r="V91" t="s">
        <v>144</v>
      </c>
      <c r="W91" t="s">
        <v>82</v>
      </c>
      <c r="X91" t="s">
        <v>91</v>
      </c>
      <c r="Y91">
        <v>203743.55</v>
      </c>
      <c r="Z91">
        <v>71310.240000000005</v>
      </c>
      <c r="AA91">
        <v>0.35</v>
      </c>
      <c r="AB91" t="s">
        <v>39</v>
      </c>
      <c r="AC91" t="s">
        <v>39</v>
      </c>
      <c r="AD91" t="s">
        <v>48</v>
      </c>
    </row>
    <row r="92" spans="1:30" x14ac:dyDescent="0.35">
      <c r="A92" s="1" t="s">
        <v>30</v>
      </c>
      <c r="B92" t="s">
        <v>31</v>
      </c>
      <c r="C92" t="s">
        <v>285</v>
      </c>
      <c r="D92" t="s">
        <v>324</v>
      </c>
      <c r="E92" t="s">
        <v>325</v>
      </c>
      <c r="F92" t="s">
        <v>326</v>
      </c>
      <c r="G92" t="s">
        <v>327</v>
      </c>
      <c r="H92" t="s">
        <v>37</v>
      </c>
      <c r="I92" t="s">
        <v>64</v>
      </c>
      <c r="J92" t="s">
        <v>39</v>
      </c>
      <c r="K92" s="2">
        <v>46276</v>
      </c>
      <c r="L92" s="2">
        <v>46295</v>
      </c>
      <c r="N92" s="2">
        <v>46266</v>
      </c>
      <c r="O92" s="2">
        <v>46631</v>
      </c>
      <c r="P92">
        <v>12</v>
      </c>
      <c r="Q92" t="s">
        <v>40</v>
      </c>
      <c r="R92" t="s">
        <v>41</v>
      </c>
      <c r="S92" t="s">
        <v>182</v>
      </c>
      <c r="T92" t="s">
        <v>97</v>
      </c>
      <c r="U92" t="s">
        <v>56</v>
      </c>
      <c r="V92" t="s">
        <v>98</v>
      </c>
      <c r="W92" t="s">
        <v>142</v>
      </c>
      <c r="X92" t="s">
        <v>47</v>
      </c>
      <c r="Y92">
        <v>180660.9</v>
      </c>
      <c r="Z92">
        <v>117429.59</v>
      </c>
      <c r="AA92">
        <v>0.65</v>
      </c>
      <c r="AB92" t="s">
        <v>39</v>
      </c>
      <c r="AC92" t="s">
        <v>39</v>
      </c>
      <c r="AD92" t="s">
        <v>48</v>
      </c>
    </row>
    <row r="93" spans="1:30" x14ac:dyDescent="0.35">
      <c r="A93" s="1" t="s">
        <v>30</v>
      </c>
      <c r="B93" t="s">
        <v>31</v>
      </c>
      <c r="C93" t="s">
        <v>285</v>
      </c>
      <c r="D93" t="s">
        <v>2095</v>
      </c>
      <c r="E93" t="s">
        <v>2096</v>
      </c>
      <c r="F93" t="s">
        <v>2097</v>
      </c>
      <c r="G93" t="s">
        <v>2098</v>
      </c>
      <c r="H93" t="s">
        <v>1271</v>
      </c>
      <c r="I93" t="s">
        <v>38</v>
      </c>
      <c r="J93" t="s">
        <v>39</v>
      </c>
      <c r="K93" s="2">
        <v>46269</v>
      </c>
      <c r="L93" s="2">
        <v>46295</v>
      </c>
      <c r="N93" s="2">
        <v>46266</v>
      </c>
      <c r="O93" s="2">
        <v>46997</v>
      </c>
      <c r="P93">
        <v>24</v>
      </c>
      <c r="Q93" t="s">
        <v>40</v>
      </c>
      <c r="R93" t="s">
        <v>88</v>
      </c>
      <c r="S93" t="s">
        <v>96</v>
      </c>
      <c r="T93" t="s">
        <v>97</v>
      </c>
      <c r="U93" t="s">
        <v>106</v>
      </c>
      <c r="V93" t="s">
        <v>217</v>
      </c>
      <c r="W93" t="s">
        <v>142</v>
      </c>
      <c r="X93" t="s">
        <v>125</v>
      </c>
      <c r="Y93">
        <v>140793.68</v>
      </c>
      <c r="Z93">
        <v>49277.79</v>
      </c>
      <c r="AA93">
        <v>0.35</v>
      </c>
      <c r="AB93" t="s">
        <v>39</v>
      </c>
      <c r="AC93" t="s">
        <v>39</v>
      </c>
      <c r="AD93" t="s">
        <v>48</v>
      </c>
    </row>
    <row r="94" spans="1:30" x14ac:dyDescent="0.35">
      <c r="A94" s="1" t="s">
        <v>30</v>
      </c>
      <c r="B94" t="s">
        <v>31</v>
      </c>
      <c r="C94" t="s">
        <v>285</v>
      </c>
      <c r="D94" t="s">
        <v>2099</v>
      </c>
      <c r="E94" t="s">
        <v>2100</v>
      </c>
      <c r="F94" t="s">
        <v>2101</v>
      </c>
      <c r="G94" t="s">
        <v>2102</v>
      </c>
      <c r="H94" t="s">
        <v>1271</v>
      </c>
      <c r="I94" t="s">
        <v>103</v>
      </c>
      <c r="J94" t="s">
        <v>39</v>
      </c>
      <c r="K94" s="2">
        <v>46276</v>
      </c>
      <c r="L94" s="2">
        <v>46295</v>
      </c>
      <c r="N94" s="2">
        <v>46266</v>
      </c>
      <c r="O94" s="2">
        <v>46997</v>
      </c>
      <c r="P94">
        <v>24</v>
      </c>
      <c r="Q94" t="s">
        <v>40</v>
      </c>
      <c r="R94" t="s">
        <v>53</v>
      </c>
      <c r="S94" t="s">
        <v>137</v>
      </c>
      <c r="T94" t="s">
        <v>97</v>
      </c>
      <c r="U94" t="s">
        <v>56</v>
      </c>
      <c r="V94" t="s">
        <v>57</v>
      </c>
      <c r="W94" t="s">
        <v>90</v>
      </c>
      <c r="X94" t="s">
        <v>143</v>
      </c>
      <c r="Y94">
        <v>90700.33</v>
      </c>
      <c r="Z94">
        <v>58955.21</v>
      </c>
      <c r="AA94">
        <v>0.65</v>
      </c>
      <c r="AB94" t="s">
        <v>39</v>
      </c>
      <c r="AC94" t="s">
        <v>39</v>
      </c>
      <c r="AD94" t="s">
        <v>48</v>
      </c>
    </row>
    <row r="95" spans="1:30" x14ac:dyDescent="0.35">
      <c r="A95" s="1" t="s">
        <v>30</v>
      </c>
      <c r="B95" t="s">
        <v>31</v>
      </c>
      <c r="C95" t="s">
        <v>285</v>
      </c>
      <c r="D95" t="s">
        <v>2103</v>
      </c>
      <c r="E95" t="s">
        <v>2104</v>
      </c>
      <c r="F95" t="s">
        <v>1019</v>
      </c>
      <c r="G95" t="s">
        <v>1020</v>
      </c>
      <c r="H95" t="s">
        <v>1271</v>
      </c>
      <c r="I95" t="s">
        <v>64</v>
      </c>
      <c r="J95" t="s">
        <v>39</v>
      </c>
      <c r="K95" s="2">
        <v>46278</v>
      </c>
      <c r="L95" s="2">
        <v>46295</v>
      </c>
      <c r="N95" s="2">
        <v>46266</v>
      </c>
      <c r="O95" s="2">
        <v>46997</v>
      </c>
      <c r="P95">
        <v>24</v>
      </c>
      <c r="Q95" t="s">
        <v>104</v>
      </c>
      <c r="R95" t="s">
        <v>41</v>
      </c>
      <c r="S95" t="s">
        <v>151</v>
      </c>
      <c r="T95" t="s">
        <v>131</v>
      </c>
      <c r="U95" t="s">
        <v>56</v>
      </c>
      <c r="V95" t="s">
        <v>45</v>
      </c>
      <c r="W95" t="s">
        <v>132</v>
      </c>
      <c r="X95" t="s">
        <v>59</v>
      </c>
      <c r="Y95">
        <v>138879.65</v>
      </c>
      <c r="Z95">
        <v>48607.88</v>
      </c>
      <c r="AA95">
        <v>0.35</v>
      </c>
      <c r="AB95" t="s">
        <v>39</v>
      </c>
      <c r="AC95" t="s">
        <v>39</v>
      </c>
      <c r="AD95" t="s">
        <v>48</v>
      </c>
    </row>
    <row r="96" spans="1:30" x14ac:dyDescent="0.35">
      <c r="A96" s="1" t="s">
        <v>30</v>
      </c>
      <c r="B96" t="s">
        <v>31</v>
      </c>
      <c r="C96" t="s">
        <v>285</v>
      </c>
      <c r="D96" t="s">
        <v>2105</v>
      </c>
      <c r="E96" t="s">
        <v>2106</v>
      </c>
      <c r="F96" t="s">
        <v>2107</v>
      </c>
      <c r="G96" t="s">
        <v>2108</v>
      </c>
      <c r="H96" t="s">
        <v>1271</v>
      </c>
      <c r="I96" t="s">
        <v>38</v>
      </c>
      <c r="J96" t="s">
        <v>39</v>
      </c>
      <c r="K96" s="2">
        <v>46272</v>
      </c>
      <c r="L96" s="2">
        <v>46295</v>
      </c>
      <c r="N96" s="2">
        <v>46266</v>
      </c>
      <c r="O96" s="2">
        <v>46631</v>
      </c>
      <c r="P96">
        <v>12</v>
      </c>
      <c r="Q96" t="s">
        <v>65</v>
      </c>
      <c r="R96" t="s">
        <v>41</v>
      </c>
      <c r="S96" t="s">
        <v>66</v>
      </c>
      <c r="T96" t="s">
        <v>55</v>
      </c>
      <c r="U96" t="s">
        <v>56</v>
      </c>
      <c r="V96" t="s">
        <v>57</v>
      </c>
      <c r="W96" t="s">
        <v>136</v>
      </c>
      <c r="X96" t="s">
        <v>59</v>
      </c>
      <c r="Y96">
        <v>144858.42000000001</v>
      </c>
      <c r="Z96">
        <v>50700.45</v>
      </c>
      <c r="AA96">
        <v>0.35</v>
      </c>
      <c r="AB96" t="s">
        <v>39</v>
      </c>
      <c r="AC96" t="s">
        <v>39</v>
      </c>
      <c r="AD96" t="s">
        <v>48</v>
      </c>
    </row>
    <row r="97" spans="1:30" x14ac:dyDescent="0.35">
      <c r="A97" s="1" t="s">
        <v>30</v>
      </c>
      <c r="B97" t="s">
        <v>31</v>
      </c>
      <c r="C97" t="s">
        <v>285</v>
      </c>
      <c r="D97" t="s">
        <v>2109</v>
      </c>
      <c r="E97" t="s">
        <v>2110</v>
      </c>
      <c r="F97" t="s">
        <v>2111</v>
      </c>
      <c r="G97" t="s">
        <v>2112</v>
      </c>
      <c r="H97" t="s">
        <v>1271</v>
      </c>
      <c r="I97" t="s">
        <v>103</v>
      </c>
      <c r="J97" t="s">
        <v>39</v>
      </c>
      <c r="K97" s="2">
        <v>46272</v>
      </c>
      <c r="L97" s="2">
        <v>46295</v>
      </c>
      <c r="N97" s="2">
        <v>46266</v>
      </c>
      <c r="O97" s="2">
        <v>46631</v>
      </c>
      <c r="P97">
        <v>12</v>
      </c>
      <c r="Q97" t="s">
        <v>65</v>
      </c>
      <c r="R97" t="s">
        <v>41</v>
      </c>
      <c r="S97" t="s">
        <v>42</v>
      </c>
      <c r="T97" t="s">
        <v>43</v>
      </c>
      <c r="U97" t="s">
        <v>44</v>
      </c>
      <c r="V97" t="s">
        <v>57</v>
      </c>
      <c r="W97" t="s">
        <v>120</v>
      </c>
      <c r="X97" t="s">
        <v>47</v>
      </c>
      <c r="Y97">
        <v>146964.03</v>
      </c>
      <c r="Z97">
        <v>95526.62</v>
      </c>
      <c r="AA97">
        <v>0.65</v>
      </c>
      <c r="AB97" t="s">
        <v>39</v>
      </c>
      <c r="AC97" t="s">
        <v>39</v>
      </c>
      <c r="AD97" t="s">
        <v>48</v>
      </c>
    </row>
    <row r="98" spans="1:30" x14ac:dyDescent="0.35">
      <c r="A98" s="1" t="s">
        <v>30</v>
      </c>
      <c r="B98" t="s">
        <v>31</v>
      </c>
      <c r="C98" t="s">
        <v>285</v>
      </c>
      <c r="D98" t="s">
        <v>2113</v>
      </c>
      <c r="E98" t="s">
        <v>2114</v>
      </c>
      <c r="F98" t="s">
        <v>1917</v>
      </c>
      <c r="G98" t="s">
        <v>1918</v>
      </c>
      <c r="H98" t="s">
        <v>1271</v>
      </c>
      <c r="I98" t="s">
        <v>117</v>
      </c>
      <c r="J98" t="s">
        <v>39</v>
      </c>
      <c r="K98" s="2">
        <v>46274</v>
      </c>
      <c r="L98" s="2">
        <v>46295</v>
      </c>
      <c r="N98" s="2">
        <v>46266</v>
      </c>
      <c r="O98" s="2">
        <v>46631</v>
      </c>
      <c r="P98">
        <v>12</v>
      </c>
      <c r="Q98" t="s">
        <v>104</v>
      </c>
      <c r="R98" t="s">
        <v>88</v>
      </c>
      <c r="S98" t="s">
        <v>96</v>
      </c>
      <c r="T98" t="s">
        <v>97</v>
      </c>
      <c r="U98" t="s">
        <v>56</v>
      </c>
      <c r="V98" t="s">
        <v>57</v>
      </c>
      <c r="W98" t="s">
        <v>150</v>
      </c>
      <c r="X98" t="s">
        <v>125</v>
      </c>
      <c r="Y98">
        <v>131614.1</v>
      </c>
      <c r="Z98">
        <v>85549.17</v>
      </c>
      <c r="AA98">
        <v>0.65</v>
      </c>
      <c r="AB98" t="s">
        <v>39</v>
      </c>
      <c r="AC98" t="s">
        <v>39</v>
      </c>
      <c r="AD98" t="s">
        <v>48</v>
      </c>
    </row>
    <row r="99" spans="1:30" x14ac:dyDescent="0.35">
      <c r="A99" s="1" t="s">
        <v>30</v>
      </c>
      <c r="B99" t="s">
        <v>31</v>
      </c>
      <c r="C99" t="s">
        <v>285</v>
      </c>
      <c r="D99" t="s">
        <v>2115</v>
      </c>
      <c r="E99" t="s">
        <v>2116</v>
      </c>
      <c r="F99" t="s">
        <v>2117</v>
      </c>
      <c r="G99" t="s">
        <v>2118</v>
      </c>
      <c r="H99" t="s">
        <v>1271</v>
      </c>
      <c r="I99" t="s">
        <v>38</v>
      </c>
      <c r="J99" t="s">
        <v>39</v>
      </c>
      <c r="K99" s="2">
        <v>46274</v>
      </c>
      <c r="L99" s="2">
        <v>46295</v>
      </c>
      <c r="N99" s="2">
        <v>46266</v>
      </c>
      <c r="O99" s="2">
        <v>47362</v>
      </c>
      <c r="P99">
        <v>36</v>
      </c>
      <c r="Q99" t="s">
        <v>40</v>
      </c>
      <c r="R99" t="s">
        <v>41</v>
      </c>
      <c r="S99" t="s">
        <v>135</v>
      </c>
      <c r="T99" t="s">
        <v>131</v>
      </c>
      <c r="U99" t="s">
        <v>44</v>
      </c>
      <c r="V99" t="s">
        <v>67</v>
      </c>
      <c r="W99" t="s">
        <v>161</v>
      </c>
      <c r="X99" t="s">
        <v>91</v>
      </c>
      <c r="Y99">
        <v>128402.78</v>
      </c>
      <c r="Z99">
        <v>102722.23</v>
      </c>
      <c r="AA99">
        <v>0.8</v>
      </c>
      <c r="AB99" t="s">
        <v>39</v>
      </c>
      <c r="AC99" t="s">
        <v>39</v>
      </c>
      <c r="AD99" t="s">
        <v>48</v>
      </c>
    </row>
    <row r="100" spans="1:30" x14ac:dyDescent="0.35">
      <c r="A100" s="1" t="s">
        <v>30</v>
      </c>
      <c r="B100" t="s">
        <v>31</v>
      </c>
      <c r="C100" t="s">
        <v>285</v>
      </c>
      <c r="D100" t="s">
        <v>2119</v>
      </c>
      <c r="E100" t="s">
        <v>2120</v>
      </c>
      <c r="F100" t="s">
        <v>220</v>
      </c>
      <c r="G100" t="s">
        <v>221</v>
      </c>
      <c r="H100" t="s">
        <v>1290</v>
      </c>
      <c r="I100" t="s">
        <v>111</v>
      </c>
      <c r="J100" t="s">
        <v>1290</v>
      </c>
      <c r="K100" s="2">
        <v>46270</v>
      </c>
      <c r="L100" s="2">
        <v>46295</v>
      </c>
      <c r="N100" s="2">
        <v>46266</v>
      </c>
      <c r="O100" s="2">
        <v>46631</v>
      </c>
      <c r="P100">
        <v>12</v>
      </c>
      <c r="Q100" t="s">
        <v>104</v>
      </c>
      <c r="R100" t="s">
        <v>88</v>
      </c>
      <c r="S100" t="s">
        <v>118</v>
      </c>
      <c r="T100" t="s">
        <v>97</v>
      </c>
      <c r="U100" t="s">
        <v>44</v>
      </c>
      <c r="V100" t="s">
        <v>138</v>
      </c>
      <c r="W100" t="s">
        <v>132</v>
      </c>
      <c r="X100" t="s">
        <v>125</v>
      </c>
      <c r="Y100">
        <v>128049.27</v>
      </c>
      <c r="Z100">
        <v>44817.25</v>
      </c>
      <c r="AA100">
        <v>0.35</v>
      </c>
      <c r="AB100" t="s">
        <v>1290</v>
      </c>
      <c r="AC100" t="s">
        <v>1290</v>
      </c>
      <c r="AD100" t="s">
        <v>48</v>
      </c>
    </row>
    <row r="101" spans="1:30" x14ac:dyDescent="0.35">
      <c r="A101" s="1" t="s">
        <v>30</v>
      </c>
      <c r="B101" t="s">
        <v>31</v>
      </c>
      <c r="C101" t="s">
        <v>285</v>
      </c>
      <c r="D101" t="s">
        <v>2121</v>
      </c>
      <c r="E101" t="s">
        <v>2122</v>
      </c>
      <c r="F101" t="s">
        <v>2123</v>
      </c>
      <c r="G101" t="s">
        <v>2124</v>
      </c>
      <c r="H101" t="s">
        <v>1290</v>
      </c>
      <c r="I101" t="s">
        <v>38</v>
      </c>
      <c r="J101" t="s">
        <v>1290</v>
      </c>
      <c r="K101" s="2">
        <v>46278</v>
      </c>
      <c r="L101" s="2">
        <v>46295</v>
      </c>
      <c r="N101" s="2">
        <v>46266</v>
      </c>
      <c r="O101" s="2">
        <v>46631</v>
      </c>
      <c r="P101">
        <v>12</v>
      </c>
      <c r="Q101" t="s">
        <v>40</v>
      </c>
      <c r="R101" t="s">
        <v>53</v>
      </c>
      <c r="S101" t="s">
        <v>89</v>
      </c>
      <c r="T101" t="s">
        <v>55</v>
      </c>
      <c r="U101" t="s">
        <v>44</v>
      </c>
      <c r="V101" t="s">
        <v>81</v>
      </c>
      <c r="W101" t="s">
        <v>142</v>
      </c>
      <c r="X101" t="s">
        <v>83</v>
      </c>
      <c r="Y101">
        <v>143354.60999999999</v>
      </c>
      <c r="Z101">
        <v>114683.69</v>
      </c>
      <c r="AA101">
        <v>0.8</v>
      </c>
      <c r="AB101" t="s">
        <v>1290</v>
      </c>
      <c r="AC101" t="s">
        <v>1290</v>
      </c>
      <c r="AD101" t="s">
        <v>48</v>
      </c>
    </row>
    <row r="102" spans="1:30" x14ac:dyDescent="0.35">
      <c r="A102" s="1" t="s">
        <v>30</v>
      </c>
      <c r="B102" t="s">
        <v>31</v>
      </c>
      <c r="C102" t="s">
        <v>285</v>
      </c>
      <c r="D102" t="s">
        <v>2125</v>
      </c>
      <c r="E102" t="s">
        <v>2126</v>
      </c>
      <c r="F102" t="s">
        <v>2127</v>
      </c>
      <c r="G102" t="s">
        <v>2128</v>
      </c>
      <c r="H102" t="s">
        <v>1290</v>
      </c>
      <c r="I102" t="s">
        <v>117</v>
      </c>
      <c r="J102" t="s">
        <v>1290</v>
      </c>
      <c r="K102" s="2">
        <v>46278</v>
      </c>
      <c r="L102" s="2">
        <v>46295</v>
      </c>
      <c r="N102" s="2">
        <v>46266</v>
      </c>
      <c r="O102" s="2">
        <v>46631</v>
      </c>
      <c r="P102">
        <v>12</v>
      </c>
      <c r="Q102" t="s">
        <v>40</v>
      </c>
      <c r="R102" t="s">
        <v>41</v>
      </c>
      <c r="S102" t="s">
        <v>149</v>
      </c>
      <c r="T102" t="s">
        <v>131</v>
      </c>
      <c r="U102" t="s">
        <v>44</v>
      </c>
      <c r="V102" t="s">
        <v>98</v>
      </c>
      <c r="W102" t="s">
        <v>132</v>
      </c>
      <c r="X102" t="s">
        <v>143</v>
      </c>
      <c r="Y102">
        <v>152632.10999999999</v>
      </c>
      <c r="Z102">
        <v>99210.87</v>
      </c>
      <c r="AA102">
        <v>0.65</v>
      </c>
      <c r="AB102" t="s">
        <v>1290</v>
      </c>
      <c r="AC102" t="s">
        <v>1290</v>
      </c>
      <c r="AD102" t="s">
        <v>48</v>
      </c>
    </row>
    <row r="103" spans="1:30" x14ac:dyDescent="0.35">
      <c r="A103" s="1" t="s">
        <v>30</v>
      </c>
      <c r="B103" t="s">
        <v>31</v>
      </c>
      <c r="C103" t="s">
        <v>285</v>
      </c>
      <c r="D103" t="s">
        <v>2129</v>
      </c>
      <c r="E103" t="s">
        <v>2130</v>
      </c>
      <c r="F103" t="s">
        <v>2131</v>
      </c>
      <c r="G103" t="s">
        <v>2132</v>
      </c>
      <c r="H103" t="s">
        <v>1295</v>
      </c>
      <c r="I103" t="s">
        <v>103</v>
      </c>
      <c r="J103" t="s">
        <v>1295</v>
      </c>
      <c r="K103" s="2">
        <v>46270</v>
      </c>
      <c r="L103" s="2">
        <v>46295</v>
      </c>
      <c r="N103" s="2">
        <v>46266</v>
      </c>
      <c r="O103" s="2">
        <v>46631</v>
      </c>
      <c r="P103">
        <v>12</v>
      </c>
      <c r="Q103" t="s">
        <v>40</v>
      </c>
      <c r="R103" t="s">
        <v>53</v>
      </c>
      <c r="S103" t="s">
        <v>164</v>
      </c>
      <c r="T103" t="s">
        <v>55</v>
      </c>
      <c r="U103" t="s">
        <v>44</v>
      </c>
      <c r="V103" t="s">
        <v>119</v>
      </c>
      <c r="W103" t="s">
        <v>82</v>
      </c>
      <c r="X103" t="s">
        <v>143</v>
      </c>
      <c r="Y103">
        <v>127253.14</v>
      </c>
      <c r="Z103">
        <v>44538.6</v>
      </c>
      <c r="AA103">
        <v>0.35</v>
      </c>
      <c r="AB103" t="s">
        <v>1295</v>
      </c>
      <c r="AC103" t="s">
        <v>1295</v>
      </c>
      <c r="AD103" t="s">
        <v>48</v>
      </c>
    </row>
    <row r="104" spans="1:30" x14ac:dyDescent="0.35">
      <c r="A104" s="1" t="s">
        <v>30</v>
      </c>
      <c r="B104" t="s">
        <v>31</v>
      </c>
      <c r="C104" t="s">
        <v>285</v>
      </c>
      <c r="D104" t="s">
        <v>2133</v>
      </c>
      <c r="E104" t="s">
        <v>2134</v>
      </c>
      <c r="F104" t="s">
        <v>1217</v>
      </c>
      <c r="G104" t="s">
        <v>1218</v>
      </c>
      <c r="H104" t="s">
        <v>1295</v>
      </c>
      <c r="I104" t="s">
        <v>38</v>
      </c>
      <c r="J104" t="s">
        <v>1295</v>
      </c>
      <c r="K104" s="2">
        <v>46277</v>
      </c>
      <c r="L104" s="2">
        <v>46295</v>
      </c>
      <c r="N104" s="2">
        <v>46266</v>
      </c>
      <c r="O104" s="2">
        <v>46631</v>
      </c>
      <c r="P104">
        <v>12</v>
      </c>
      <c r="Q104" t="s">
        <v>65</v>
      </c>
      <c r="R104" t="s">
        <v>41</v>
      </c>
      <c r="S104" t="s">
        <v>182</v>
      </c>
      <c r="T104" t="s">
        <v>97</v>
      </c>
      <c r="U104" t="s">
        <v>56</v>
      </c>
      <c r="V104" t="s">
        <v>98</v>
      </c>
      <c r="W104" t="s">
        <v>90</v>
      </c>
      <c r="X104" t="s">
        <v>158</v>
      </c>
      <c r="Y104">
        <v>207558.83</v>
      </c>
      <c r="Z104">
        <v>72645.59</v>
      </c>
      <c r="AA104">
        <v>0.35</v>
      </c>
      <c r="AB104" t="s">
        <v>1295</v>
      </c>
      <c r="AC104" t="s">
        <v>1295</v>
      </c>
      <c r="AD104" t="s">
        <v>48</v>
      </c>
    </row>
    <row r="105" spans="1:30" x14ac:dyDescent="0.35">
      <c r="A105" s="1" t="s">
        <v>30</v>
      </c>
      <c r="B105" t="s">
        <v>31</v>
      </c>
      <c r="C105" t="s">
        <v>285</v>
      </c>
      <c r="D105" t="s">
        <v>2135</v>
      </c>
      <c r="E105" t="s">
        <v>2136</v>
      </c>
      <c r="F105" t="s">
        <v>2137</v>
      </c>
      <c r="G105" t="s">
        <v>2138</v>
      </c>
      <c r="H105" t="s">
        <v>1295</v>
      </c>
      <c r="I105" t="s">
        <v>117</v>
      </c>
      <c r="J105" t="s">
        <v>1295</v>
      </c>
      <c r="K105" s="2">
        <v>46267</v>
      </c>
      <c r="L105" s="2">
        <v>46295</v>
      </c>
      <c r="N105" s="2">
        <v>46266</v>
      </c>
      <c r="O105" s="2">
        <v>46631</v>
      </c>
      <c r="P105">
        <v>12</v>
      </c>
      <c r="Q105" t="s">
        <v>40</v>
      </c>
      <c r="R105" t="s">
        <v>88</v>
      </c>
      <c r="S105" t="s">
        <v>130</v>
      </c>
      <c r="T105" t="s">
        <v>131</v>
      </c>
      <c r="U105" t="s">
        <v>56</v>
      </c>
      <c r="V105" t="s">
        <v>57</v>
      </c>
      <c r="W105" t="s">
        <v>132</v>
      </c>
      <c r="X105" t="s">
        <v>68</v>
      </c>
      <c r="Y105">
        <v>184323.58</v>
      </c>
      <c r="Z105">
        <v>119810.33</v>
      </c>
      <c r="AA105">
        <v>0.65</v>
      </c>
      <c r="AB105" t="s">
        <v>1295</v>
      </c>
      <c r="AC105" t="s">
        <v>1295</v>
      </c>
      <c r="AD105" t="s">
        <v>48</v>
      </c>
    </row>
    <row r="106" spans="1:30" x14ac:dyDescent="0.35">
      <c r="A106" s="1" t="s">
        <v>30</v>
      </c>
      <c r="B106" t="s">
        <v>31</v>
      </c>
      <c r="C106" t="s">
        <v>285</v>
      </c>
      <c r="D106" t="s">
        <v>2139</v>
      </c>
      <c r="E106" t="s">
        <v>2140</v>
      </c>
      <c r="F106" t="s">
        <v>2141</v>
      </c>
      <c r="G106" t="s">
        <v>2142</v>
      </c>
      <c r="H106" t="s">
        <v>1295</v>
      </c>
      <c r="I106" t="s">
        <v>117</v>
      </c>
      <c r="J106" t="s">
        <v>1295</v>
      </c>
      <c r="K106" s="2">
        <v>46269</v>
      </c>
      <c r="L106" s="2">
        <v>46295</v>
      </c>
      <c r="N106" s="2">
        <v>46266</v>
      </c>
      <c r="O106" s="2">
        <v>46631</v>
      </c>
      <c r="P106">
        <v>12</v>
      </c>
      <c r="Q106" t="s">
        <v>104</v>
      </c>
      <c r="R106" t="s">
        <v>53</v>
      </c>
      <c r="S106" t="s">
        <v>140</v>
      </c>
      <c r="T106" t="s">
        <v>97</v>
      </c>
      <c r="U106" t="s">
        <v>44</v>
      </c>
      <c r="V106" t="s">
        <v>67</v>
      </c>
      <c r="W106" t="s">
        <v>150</v>
      </c>
      <c r="X106" t="s">
        <v>68</v>
      </c>
      <c r="Y106">
        <v>186370.45</v>
      </c>
      <c r="Z106">
        <v>121140.79</v>
      </c>
      <c r="AA106">
        <v>0.65</v>
      </c>
      <c r="AB106" t="s">
        <v>1295</v>
      </c>
      <c r="AC106" t="s">
        <v>1295</v>
      </c>
      <c r="AD106" t="s">
        <v>48</v>
      </c>
    </row>
    <row r="107" spans="1:30" x14ac:dyDescent="0.35">
      <c r="A107" s="1" t="s">
        <v>30</v>
      </c>
      <c r="B107" t="s">
        <v>31</v>
      </c>
      <c r="C107" t="s">
        <v>285</v>
      </c>
      <c r="D107" t="s">
        <v>2143</v>
      </c>
      <c r="E107" t="s">
        <v>2144</v>
      </c>
      <c r="F107" t="s">
        <v>2145</v>
      </c>
      <c r="G107" t="s">
        <v>2146</v>
      </c>
      <c r="H107" t="s">
        <v>1302</v>
      </c>
      <c r="I107" t="s">
        <v>111</v>
      </c>
      <c r="J107" t="s">
        <v>39</v>
      </c>
      <c r="K107" s="2">
        <v>46274</v>
      </c>
      <c r="L107" s="2">
        <v>46295</v>
      </c>
      <c r="N107" s="2">
        <v>46266</v>
      </c>
      <c r="O107" s="2">
        <v>46631</v>
      </c>
      <c r="P107">
        <v>12</v>
      </c>
      <c r="Q107" t="s">
        <v>40</v>
      </c>
      <c r="R107" t="s">
        <v>53</v>
      </c>
      <c r="S107" t="s">
        <v>80</v>
      </c>
      <c r="T107" t="s">
        <v>43</v>
      </c>
      <c r="U107" t="s">
        <v>44</v>
      </c>
      <c r="V107" t="s">
        <v>138</v>
      </c>
      <c r="W107" t="s">
        <v>136</v>
      </c>
      <c r="X107" t="s">
        <v>68</v>
      </c>
      <c r="Y107">
        <v>146313.60000000001</v>
      </c>
      <c r="Z107">
        <v>117050.88</v>
      </c>
      <c r="AA107">
        <v>0.8</v>
      </c>
      <c r="AB107" t="s">
        <v>39</v>
      </c>
      <c r="AC107" t="s">
        <v>39</v>
      </c>
      <c r="AD107" t="s">
        <v>48</v>
      </c>
    </row>
    <row r="108" spans="1:30" x14ac:dyDescent="0.35">
      <c r="A108" s="1" t="s">
        <v>30</v>
      </c>
      <c r="B108" t="s">
        <v>31</v>
      </c>
      <c r="C108" t="s">
        <v>285</v>
      </c>
      <c r="D108" t="s">
        <v>2147</v>
      </c>
      <c r="E108" t="s">
        <v>2148</v>
      </c>
      <c r="F108" t="s">
        <v>154</v>
      </c>
      <c r="G108" t="s">
        <v>155</v>
      </c>
      <c r="H108" t="s">
        <v>1302</v>
      </c>
      <c r="I108" t="s">
        <v>111</v>
      </c>
      <c r="J108" t="s">
        <v>39</v>
      </c>
      <c r="K108" s="2">
        <v>46275</v>
      </c>
      <c r="L108" s="2">
        <v>46295</v>
      </c>
      <c r="N108" s="2">
        <v>46266</v>
      </c>
      <c r="O108" s="2">
        <v>46997</v>
      </c>
      <c r="P108">
        <v>24</v>
      </c>
      <c r="Q108" t="s">
        <v>65</v>
      </c>
      <c r="R108" t="s">
        <v>53</v>
      </c>
      <c r="S108" t="s">
        <v>73</v>
      </c>
      <c r="T108" t="s">
        <v>43</v>
      </c>
      <c r="U108" t="s">
        <v>44</v>
      </c>
      <c r="V108" t="s">
        <v>74</v>
      </c>
      <c r="W108" t="s">
        <v>132</v>
      </c>
      <c r="X108" t="s">
        <v>143</v>
      </c>
      <c r="Y108">
        <v>101403.99</v>
      </c>
      <c r="Z108">
        <v>81123.19</v>
      </c>
      <c r="AA108">
        <v>0.8</v>
      </c>
      <c r="AB108" t="s">
        <v>39</v>
      </c>
      <c r="AC108" t="s">
        <v>39</v>
      </c>
      <c r="AD108" t="s">
        <v>48</v>
      </c>
    </row>
    <row r="109" spans="1:30" x14ac:dyDescent="0.35">
      <c r="A109" s="1" t="s">
        <v>30</v>
      </c>
      <c r="B109" t="s">
        <v>31</v>
      </c>
      <c r="C109" t="s">
        <v>285</v>
      </c>
      <c r="D109" t="s">
        <v>2149</v>
      </c>
      <c r="E109" t="s">
        <v>2150</v>
      </c>
      <c r="F109" t="s">
        <v>965</v>
      </c>
      <c r="G109" t="s">
        <v>966</v>
      </c>
      <c r="H109" t="s">
        <v>1302</v>
      </c>
      <c r="I109" t="s">
        <v>38</v>
      </c>
      <c r="J109" t="s">
        <v>39</v>
      </c>
      <c r="K109" s="2">
        <v>46272</v>
      </c>
      <c r="L109" s="2">
        <v>46295</v>
      </c>
      <c r="N109" s="2">
        <v>46266</v>
      </c>
      <c r="O109" s="2">
        <v>46631</v>
      </c>
      <c r="P109">
        <v>12</v>
      </c>
      <c r="Q109" t="s">
        <v>65</v>
      </c>
      <c r="R109" t="s">
        <v>53</v>
      </c>
      <c r="S109" t="s">
        <v>42</v>
      </c>
      <c r="T109" t="s">
        <v>43</v>
      </c>
      <c r="U109" t="s">
        <v>106</v>
      </c>
      <c r="V109" t="s">
        <v>217</v>
      </c>
      <c r="W109" t="s">
        <v>132</v>
      </c>
      <c r="X109" t="s">
        <v>91</v>
      </c>
      <c r="Y109">
        <v>134643.41</v>
      </c>
      <c r="Z109">
        <v>87518.22</v>
      </c>
      <c r="AA109">
        <v>0.65</v>
      </c>
      <c r="AB109" t="s">
        <v>39</v>
      </c>
      <c r="AC109" t="s">
        <v>39</v>
      </c>
      <c r="AD109" t="s">
        <v>48</v>
      </c>
    </row>
    <row r="110" spans="1:30" x14ac:dyDescent="0.35">
      <c r="A110" s="1" t="s">
        <v>30</v>
      </c>
      <c r="B110" t="s">
        <v>31</v>
      </c>
      <c r="C110" t="s">
        <v>348</v>
      </c>
      <c r="D110" t="s">
        <v>349</v>
      </c>
      <c r="E110" t="s">
        <v>350</v>
      </c>
      <c r="F110" t="s">
        <v>351</v>
      </c>
      <c r="G110" t="s">
        <v>352</v>
      </c>
      <c r="H110" t="s">
        <v>37</v>
      </c>
      <c r="I110" t="s">
        <v>64</v>
      </c>
      <c r="J110" t="s">
        <v>39</v>
      </c>
      <c r="K110" s="2">
        <v>46305</v>
      </c>
      <c r="L110" s="2">
        <v>46326</v>
      </c>
      <c r="N110" s="2">
        <v>46296</v>
      </c>
      <c r="O110" s="2">
        <v>46661</v>
      </c>
      <c r="P110">
        <v>12</v>
      </c>
      <c r="Q110" t="s">
        <v>104</v>
      </c>
      <c r="R110" t="s">
        <v>53</v>
      </c>
      <c r="S110" t="s">
        <v>162</v>
      </c>
      <c r="T110" t="s">
        <v>43</v>
      </c>
      <c r="U110" t="s">
        <v>106</v>
      </c>
      <c r="V110" t="s">
        <v>217</v>
      </c>
      <c r="W110" t="s">
        <v>142</v>
      </c>
      <c r="X110" t="s">
        <v>158</v>
      </c>
      <c r="Y110">
        <v>153532.01</v>
      </c>
      <c r="Z110">
        <v>53736.2</v>
      </c>
      <c r="AA110">
        <v>0.35</v>
      </c>
      <c r="AB110" t="s">
        <v>39</v>
      </c>
      <c r="AC110" t="s">
        <v>39</v>
      </c>
      <c r="AD110" t="s">
        <v>48</v>
      </c>
    </row>
    <row r="111" spans="1:30" x14ac:dyDescent="0.35">
      <c r="A111" s="1" t="s">
        <v>30</v>
      </c>
      <c r="B111" t="s">
        <v>31</v>
      </c>
      <c r="C111" t="s">
        <v>348</v>
      </c>
      <c r="D111" t="s">
        <v>353</v>
      </c>
      <c r="E111" t="s">
        <v>354</v>
      </c>
      <c r="F111" t="s">
        <v>355</v>
      </c>
      <c r="G111" t="s">
        <v>356</v>
      </c>
      <c r="H111" t="s">
        <v>37</v>
      </c>
      <c r="I111" t="s">
        <v>103</v>
      </c>
      <c r="J111" t="s">
        <v>39</v>
      </c>
      <c r="K111" s="2">
        <v>46296</v>
      </c>
      <c r="L111" s="2">
        <v>46326</v>
      </c>
      <c r="N111" s="2">
        <v>46296</v>
      </c>
      <c r="O111" s="2">
        <v>46661</v>
      </c>
      <c r="P111">
        <v>12</v>
      </c>
      <c r="Q111" t="s">
        <v>104</v>
      </c>
      <c r="R111" t="s">
        <v>41</v>
      </c>
      <c r="S111" t="s">
        <v>66</v>
      </c>
      <c r="T111" t="s">
        <v>55</v>
      </c>
      <c r="U111" t="s">
        <v>44</v>
      </c>
      <c r="V111" t="s">
        <v>138</v>
      </c>
      <c r="W111" t="s">
        <v>136</v>
      </c>
      <c r="X111" t="s">
        <v>125</v>
      </c>
      <c r="Y111">
        <v>169463.16</v>
      </c>
      <c r="Z111">
        <v>110151.05</v>
      </c>
      <c r="AA111">
        <v>0.65</v>
      </c>
      <c r="AB111" t="s">
        <v>39</v>
      </c>
      <c r="AC111" t="s">
        <v>39</v>
      </c>
      <c r="AD111" t="s">
        <v>48</v>
      </c>
    </row>
    <row r="112" spans="1:30" x14ac:dyDescent="0.35">
      <c r="A112" s="1" t="s">
        <v>30</v>
      </c>
      <c r="B112" t="s">
        <v>31</v>
      </c>
      <c r="C112" t="s">
        <v>348</v>
      </c>
      <c r="D112" t="s">
        <v>357</v>
      </c>
      <c r="E112" t="s">
        <v>358</v>
      </c>
      <c r="F112" t="s">
        <v>359</v>
      </c>
      <c r="G112" t="s">
        <v>360</v>
      </c>
      <c r="H112" t="s">
        <v>37</v>
      </c>
      <c r="I112" t="s">
        <v>64</v>
      </c>
      <c r="J112" t="s">
        <v>39</v>
      </c>
      <c r="K112" s="2">
        <v>46299</v>
      </c>
      <c r="L112" s="2">
        <v>46326</v>
      </c>
      <c r="N112" s="2">
        <v>46296</v>
      </c>
      <c r="O112" s="2">
        <v>47392</v>
      </c>
      <c r="P112">
        <v>36</v>
      </c>
      <c r="Q112" t="s">
        <v>104</v>
      </c>
      <c r="R112" t="s">
        <v>53</v>
      </c>
      <c r="S112" t="s">
        <v>118</v>
      </c>
      <c r="T112" t="s">
        <v>97</v>
      </c>
      <c r="U112" t="s">
        <v>56</v>
      </c>
      <c r="V112" t="s">
        <v>144</v>
      </c>
      <c r="W112" t="s">
        <v>142</v>
      </c>
      <c r="X112" t="s">
        <v>91</v>
      </c>
      <c r="Y112">
        <v>161158.88</v>
      </c>
      <c r="Z112">
        <v>104753.27</v>
      </c>
      <c r="AA112">
        <v>0.65</v>
      </c>
      <c r="AB112" t="s">
        <v>39</v>
      </c>
      <c r="AC112" t="s">
        <v>39</v>
      </c>
      <c r="AD112" t="s">
        <v>48</v>
      </c>
    </row>
    <row r="113" spans="1:30" x14ac:dyDescent="0.35">
      <c r="A113" s="1" t="s">
        <v>30</v>
      </c>
      <c r="B113" t="s">
        <v>31</v>
      </c>
      <c r="C113" t="s">
        <v>348</v>
      </c>
      <c r="D113" t="s">
        <v>361</v>
      </c>
      <c r="E113" t="s">
        <v>362</v>
      </c>
      <c r="F113" t="s">
        <v>363</v>
      </c>
      <c r="G113" t="s">
        <v>364</v>
      </c>
      <c r="H113" t="s">
        <v>37</v>
      </c>
      <c r="I113" t="s">
        <v>117</v>
      </c>
      <c r="J113" t="s">
        <v>39</v>
      </c>
      <c r="K113" s="2">
        <v>46302</v>
      </c>
      <c r="L113" s="2">
        <v>46326</v>
      </c>
      <c r="N113" s="2">
        <v>46296</v>
      </c>
      <c r="O113" s="2">
        <v>46661</v>
      </c>
      <c r="P113">
        <v>12</v>
      </c>
      <c r="Q113" t="s">
        <v>65</v>
      </c>
      <c r="R113" t="s">
        <v>41</v>
      </c>
      <c r="S113" t="s">
        <v>280</v>
      </c>
      <c r="T113" t="s">
        <v>43</v>
      </c>
      <c r="U113" t="s">
        <v>56</v>
      </c>
      <c r="V113" t="s">
        <v>144</v>
      </c>
      <c r="W113" t="s">
        <v>161</v>
      </c>
      <c r="X113" t="s">
        <v>47</v>
      </c>
      <c r="Y113">
        <v>156452.69</v>
      </c>
      <c r="Z113">
        <v>54758.44</v>
      </c>
      <c r="AA113">
        <v>0.35</v>
      </c>
      <c r="AB113" t="s">
        <v>39</v>
      </c>
      <c r="AC113" t="s">
        <v>39</v>
      </c>
      <c r="AD113" t="s">
        <v>48</v>
      </c>
    </row>
    <row r="114" spans="1:30" x14ac:dyDescent="0.35">
      <c r="A114" s="1" t="s">
        <v>30</v>
      </c>
      <c r="B114" t="s">
        <v>31</v>
      </c>
      <c r="C114" t="s">
        <v>348</v>
      </c>
      <c r="D114" t="s">
        <v>365</v>
      </c>
      <c r="E114" t="s">
        <v>366</v>
      </c>
      <c r="F114" t="s">
        <v>367</v>
      </c>
      <c r="G114" t="s">
        <v>368</v>
      </c>
      <c r="H114" t="s">
        <v>37</v>
      </c>
      <c r="I114" t="s">
        <v>117</v>
      </c>
      <c r="J114" t="s">
        <v>39</v>
      </c>
      <c r="K114" s="2">
        <v>46301</v>
      </c>
      <c r="L114" s="2">
        <v>46326</v>
      </c>
      <c r="N114" s="2">
        <v>46296</v>
      </c>
      <c r="O114" s="2">
        <v>46661</v>
      </c>
      <c r="P114">
        <v>12</v>
      </c>
      <c r="Q114" t="s">
        <v>40</v>
      </c>
      <c r="R114" t="s">
        <v>53</v>
      </c>
      <c r="S114" t="s">
        <v>105</v>
      </c>
      <c r="T114" t="s">
        <v>55</v>
      </c>
      <c r="U114" t="s">
        <v>106</v>
      </c>
      <c r="V114" t="s">
        <v>98</v>
      </c>
      <c r="W114" t="s">
        <v>120</v>
      </c>
      <c r="X114" t="s">
        <v>143</v>
      </c>
      <c r="Y114">
        <v>166642.29</v>
      </c>
      <c r="Z114">
        <v>108317.49</v>
      </c>
      <c r="AA114">
        <v>0.65</v>
      </c>
      <c r="AB114" t="s">
        <v>39</v>
      </c>
      <c r="AC114" t="s">
        <v>39</v>
      </c>
      <c r="AD114" t="s">
        <v>48</v>
      </c>
    </row>
    <row r="115" spans="1:30" x14ac:dyDescent="0.35">
      <c r="A115" s="1" t="s">
        <v>30</v>
      </c>
      <c r="B115" t="s">
        <v>31</v>
      </c>
      <c r="C115" t="s">
        <v>348</v>
      </c>
      <c r="D115" t="s">
        <v>369</v>
      </c>
      <c r="E115" t="s">
        <v>370</v>
      </c>
      <c r="F115" t="s">
        <v>371</v>
      </c>
      <c r="G115" t="s">
        <v>372</v>
      </c>
      <c r="H115" t="s">
        <v>37</v>
      </c>
      <c r="I115" t="s">
        <v>103</v>
      </c>
      <c r="J115" t="s">
        <v>39</v>
      </c>
      <c r="K115" s="2">
        <v>46298</v>
      </c>
      <c r="L115" s="2">
        <v>46326</v>
      </c>
      <c r="N115" s="2">
        <v>46296</v>
      </c>
      <c r="O115" s="2">
        <v>46661</v>
      </c>
      <c r="P115">
        <v>12</v>
      </c>
      <c r="Q115" t="s">
        <v>65</v>
      </c>
      <c r="R115" t="s">
        <v>88</v>
      </c>
      <c r="S115" t="s">
        <v>54</v>
      </c>
      <c r="T115" t="s">
        <v>55</v>
      </c>
      <c r="U115" t="s">
        <v>56</v>
      </c>
      <c r="V115" t="s">
        <v>98</v>
      </c>
      <c r="W115" t="s">
        <v>142</v>
      </c>
      <c r="X115" t="s">
        <v>158</v>
      </c>
      <c r="Y115">
        <v>152583.51999999999</v>
      </c>
      <c r="Z115">
        <v>76291.759999999995</v>
      </c>
      <c r="AA115">
        <v>0.5</v>
      </c>
      <c r="AB115" t="s">
        <v>39</v>
      </c>
      <c r="AC115" t="s">
        <v>39</v>
      </c>
      <c r="AD115" t="s">
        <v>48</v>
      </c>
    </row>
    <row r="116" spans="1:30" x14ac:dyDescent="0.35">
      <c r="A116" s="1" t="s">
        <v>30</v>
      </c>
      <c r="B116" t="s">
        <v>31</v>
      </c>
      <c r="C116" t="s">
        <v>348</v>
      </c>
      <c r="D116" t="s">
        <v>373</v>
      </c>
      <c r="E116" t="s">
        <v>374</v>
      </c>
      <c r="F116" t="s">
        <v>375</v>
      </c>
      <c r="G116" t="s">
        <v>376</v>
      </c>
      <c r="H116" t="s">
        <v>37</v>
      </c>
      <c r="I116" t="s">
        <v>117</v>
      </c>
      <c r="J116" t="s">
        <v>39</v>
      </c>
      <c r="K116" s="2">
        <v>46303</v>
      </c>
      <c r="L116" s="2">
        <v>46326</v>
      </c>
      <c r="N116" s="2">
        <v>46296</v>
      </c>
      <c r="O116" s="2">
        <v>46661</v>
      </c>
      <c r="P116">
        <v>12</v>
      </c>
      <c r="Q116" t="s">
        <v>65</v>
      </c>
      <c r="R116" t="s">
        <v>88</v>
      </c>
      <c r="S116" t="s">
        <v>96</v>
      </c>
      <c r="T116" t="s">
        <v>97</v>
      </c>
      <c r="U116" t="s">
        <v>56</v>
      </c>
      <c r="V116" t="s">
        <v>217</v>
      </c>
      <c r="W116" t="s">
        <v>136</v>
      </c>
      <c r="X116" t="s">
        <v>125</v>
      </c>
      <c r="Y116">
        <v>125518.16</v>
      </c>
      <c r="Z116">
        <v>62759.08</v>
      </c>
      <c r="AA116">
        <v>0.5</v>
      </c>
      <c r="AB116" t="s">
        <v>39</v>
      </c>
      <c r="AC116" t="s">
        <v>39</v>
      </c>
      <c r="AD116" t="s">
        <v>48</v>
      </c>
    </row>
    <row r="117" spans="1:30" x14ac:dyDescent="0.35">
      <c r="A117" s="1" t="s">
        <v>30</v>
      </c>
      <c r="B117" t="s">
        <v>31</v>
      </c>
      <c r="C117" t="s">
        <v>348</v>
      </c>
      <c r="D117" t="s">
        <v>377</v>
      </c>
      <c r="E117" t="s">
        <v>378</v>
      </c>
      <c r="F117" t="s">
        <v>379</v>
      </c>
      <c r="G117" t="s">
        <v>380</v>
      </c>
      <c r="H117" t="s">
        <v>37</v>
      </c>
      <c r="I117" t="s">
        <v>103</v>
      </c>
      <c r="J117" t="s">
        <v>39</v>
      </c>
      <c r="K117" s="2">
        <v>46299</v>
      </c>
      <c r="L117" s="2">
        <v>46326</v>
      </c>
      <c r="N117" s="2">
        <v>46296</v>
      </c>
      <c r="O117" s="2">
        <v>47027</v>
      </c>
      <c r="P117">
        <v>24</v>
      </c>
      <c r="Q117" t="s">
        <v>65</v>
      </c>
      <c r="R117" t="s">
        <v>88</v>
      </c>
      <c r="S117" t="s">
        <v>163</v>
      </c>
      <c r="T117" t="s">
        <v>131</v>
      </c>
      <c r="U117" t="s">
        <v>106</v>
      </c>
      <c r="V117" t="s">
        <v>81</v>
      </c>
      <c r="W117" t="s">
        <v>90</v>
      </c>
      <c r="X117" t="s">
        <v>83</v>
      </c>
      <c r="Y117">
        <v>197749.13</v>
      </c>
      <c r="Z117">
        <v>158199.29999999999</v>
      </c>
      <c r="AA117">
        <v>0.8</v>
      </c>
      <c r="AB117" t="s">
        <v>39</v>
      </c>
      <c r="AC117" t="s">
        <v>39</v>
      </c>
      <c r="AD117" t="s">
        <v>48</v>
      </c>
    </row>
    <row r="118" spans="1:30" x14ac:dyDescent="0.35">
      <c r="A118" s="1" t="s">
        <v>30</v>
      </c>
      <c r="B118" t="s">
        <v>31</v>
      </c>
      <c r="C118" t="s">
        <v>348</v>
      </c>
      <c r="D118" t="s">
        <v>381</v>
      </c>
      <c r="E118" t="s">
        <v>382</v>
      </c>
      <c r="F118" t="s">
        <v>383</v>
      </c>
      <c r="G118" t="s">
        <v>384</v>
      </c>
      <c r="H118" t="s">
        <v>37</v>
      </c>
      <c r="I118" t="s">
        <v>38</v>
      </c>
      <c r="J118" t="s">
        <v>39</v>
      </c>
      <c r="K118" s="2">
        <v>46309</v>
      </c>
      <c r="L118" s="2">
        <v>46326</v>
      </c>
      <c r="N118" s="2">
        <v>46296</v>
      </c>
      <c r="O118" s="2">
        <v>46661</v>
      </c>
      <c r="P118">
        <v>12</v>
      </c>
      <c r="Q118" t="s">
        <v>40</v>
      </c>
      <c r="R118" t="s">
        <v>41</v>
      </c>
      <c r="S118" t="s">
        <v>130</v>
      </c>
      <c r="T118" t="s">
        <v>131</v>
      </c>
      <c r="U118" t="s">
        <v>56</v>
      </c>
      <c r="V118" t="s">
        <v>119</v>
      </c>
      <c r="W118" t="s">
        <v>161</v>
      </c>
      <c r="X118" t="s">
        <v>158</v>
      </c>
      <c r="Y118">
        <v>113807.24</v>
      </c>
      <c r="Z118">
        <v>39832.53</v>
      </c>
      <c r="AA118">
        <v>0.35</v>
      </c>
      <c r="AB118" t="s">
        <v>39</v>
      </c>
      <c r="AC118" t="s">
        <v>39</v>
      </c>
      <c r="AD118" t="s">
        <v>48</v>
      </c>
    </row>
    <row r="119" spans="1:30" x14ac:dyDescent="0.35">
      <c r="A119" s="1" t="s">
        <v>30</v>
      </c>
      <c r="B119" t="s">
        <v>31</v>
      </c>
      <c r="C119" t="s">
        <v>348</v>
      </c>
      <c r="D119" t="s">
        <v>385</v>
      </c>
      <c r="E119" t="s">
        <v>386</v>
      </c>
      <c r="F119" t="s">
        <v>387</v>
      </c>
      <c r="G119" t="s">
        <v>388</v>
      </c>
      <c r="H119" t="s">
        <v>37</v>
      </c>
      <c r="I119" t="s">
        <v>117</v>
      </c>
      <c r="J119" t="s">
        <v>39</v>
      </c>
      <c r="K119" s="2">
        <v>46303</v>
      </c>
      <c r="L119" s="2">
        <v>46326</v>
      </c>
      <c r="N119" s="2">
        <v>46296</v>
      </c>
      <c r="O119" s="2">
        <v>46661</v>
      </c>
      <c r="P119">
        <v>12</v>
      </c>
      <c r="Q119" t="s">
        <v>40</v>
      </c>
      <c r="R119" t="s">
        <v>88</v>
      </c>
      <c r="S119" t="s">
        <v>137</v>
      </c>
      <c r="T119" t="s">
        <v>97</v>
      </c>
      <c r="U119" t="s">
        <v>44</v>
      </c>
      <c r="V119" t="s">
        <v>119</v>
      </c>
      <c r="W119" t="s">
        <v>46</v>
      </c>
      <c r="X119" t="s">
        <v>47</v>
      </c>
      <c r="Y119">
        <v>173400.95999999999</v>
      </c>
      <c r="Z119">
        <v>112710.62</v>
      </c>
      <c r="AA119">
        <v>0.65</v>
      </c>
      <c r="AB119" t="s">
        <v>39</v>
      </c>
      <c r="AC119" t="s">
        <v>39</v>
      </c>
      <c r="AD119" t="s">
        <v>48</v>
      </c>
    </row>
    <row r="120" spans="1:30" x14ac:dyDescent="0.35">
      <c r="A120" s="1" t="s">
        <v>30</v>
      </c>
      <c r="B120" t="s">
        <v>31</v>
      </c>
      <c r="C120" t="s">
        <v>348</v>
      </c>
      <c r="D120" t="s">
        <v>389</v>
      </c>
      <c r="E120" t="s">
        <v>390</v>
      </c>
      <c r="F120" t="s">
        <v>391</v>
      </c>
      <c r="G120" t="s">
        <v>392</v>
      </c>
      <c r="H120" t="s">
        <v>37</v>
      </c>
      <c r="I120" t="s">
        <v>38</v>
      </c>
      <c r="J120" t="s">
        <v>39</v>
      </c>
      <c r="K120" s="2">
        <v>46296</v>
      </c>
      <c r="L120" s="2">
        <v>46326</v>
      </c>
      <c r="N120" s="2">
        <v>46296</v>
      </c>
      <c r="O120" s="2">
        <v>47027</v>
      </c>
      <c r="P120">
        <v>24</v>
      </c>
      <c r="Q120" t="s">
        <v>104</v>
      </c>
      <c r="R120" t="s">
        <v>53</v>
      </c>
      <c r="S120" t="s">
        <v>42</v>
      </c>
      <c r="T120" t="s">
        <v>43</v>
      </c>
      <c r="U120" t="s">
        <v>44</v>
      </c>
      <c r="V120" t="s">
        <v>81</v>
      </c>
      <c r="W120" t="s">
        <v>58</v>
      </c>
      <c r="X120" t="s">
        <v>47</v>
      </c>
      <c r="Y120">
        <v>108084.96</v>
      </c>
      <c r="Z120">
        <v>37829.730000000003</v>
      </c>
      <c r="AA120">
        <v>0.35</v>
      </c>
      <c r="AB120" t="s">
        <v>39</v>
      </c>
      <c r="AC120" t="s">
        <v>39</v>
      </c>
      <c r="AD120" t="s">
        <v>48</v>
      </c>
    </row>
    <row r="121" spans="1:30" x14ac:dyDescent="0.35">
      <c r="A121" s="1" t="s">
        <v>30</v>
      </c>
      <c r="B121" t="s">
        <v>31</v>
      </c>
      <c r="C121" t="s">
        <v>348</v>
      </c>
      <c r="D121" t="s">
        <v>2151</v>
      </c>
      <c r="E121" t="s">
        <v>2152</v>
      </c>
      <c r="F121" t="s">
        <v>2153</v>
      </c>
      <c r="G121" t="s">
        <v>2154</v>
      </c>
      <c r="H121" t="s">
        <v>1271</v>
      </c>
      <c r="I121" t="s">
        <v>111</v>
      </c>
      <c r="J121" t="s">
        <v>39</v>
      </c>
      <c r="K121" s="2">
        <v>46298</v>
      </c>
      <c r="L121" s="2">
        <v>46326</v>
      </c>
      <c r="N121" s="2">
        <v>46296</v>
      </c>
      <c r="O121" s="2">
        <v>46661</v>
      </c>
      <c r="P121">
        <v>12</v>
      </c>
      <c r="Q121" t="s">
        <v>40</v>
      </c>
      <c r="R121" t="s">
        <v>53</v>
      </c>
      <c r="S121" t="s">
        <v>139</v>
      </c>
      <c r="T121" t="s">
        <v>43</v>
      </c>
      <c r="U121" t="s">
        <v>44</v>
      </c>
      <c r="V121" t="s">
        <v>144</v>
      </c>
      <c r="W121" t="s">
        <v>120</v>
      </c>
      <c r="X121" t="s">
        <v>125</v>
      </c>
      <c r="Y121">
        <v>109551.75</v>
      </c>
      <c r="Z121">
        <v>87641.4</v>
      </c>
      <c r="AA121">
        <v>0.8</v>
      </c>
      <c r="AB121" t="s">
        <v>39</v>
      </c>
      <c r="AC121" t="s">
        <v>39</v>
      </c>
      <c r="AD121" t="s">
        <v>48</v>
      </c>
    </row>
    <row r="122" spans="1:30" x14ac:dyDescent="0.35">
      <c r="A122" s="1" t="s">
        <v>30</v>
      </c>
      <c r="B122" t="s">
        <v>31</v>
      </c>
      <c r="C122" t="s">
        <v>348</v>
      </c>
      <c r="D122" t="s">
        <v>2155</v>
      </c>
      <c r="E122" t="s">
        <v>2156</v>
      </c>
      <c r="F122" t="s">
        <v>1153</v>
      </c>
      <c r="G122" t="s">
        <v>1154</v>
      </c>
      <c r="H122" t="s">
        <v>1271</v>
      </c>
      <c r="I122" t="s">
        <v>103</v>
      </c>
      <c r="J122" t="s">
        <v>39</v>
      </c>
      <c r="K122" s="2">
        <v>46306</v>
      </c>
      <c r="L122" s="2">
        <v>46326</v>
      </c>
      <c r="N122" s="2">
        <v>46296</v>
      </c>
      <c r="O122" s="2">
        <v>47027</v>
      </c>
      <c r="P122">
        <v>24</v>
      </c>
      <c r="Q122" t="s">
        <v>40</v>
      </c>
      <c r="R122" t="s">
        <v>41</v>
      </c>
      <c r="S122" t="s">
        <v>80</v>
      </c>
      <c r="T122" t="s">
        <v>43</v>
      </c>
      <c r="U122" t="s">
        <v>44</v>
      </c>
      <c r="V122" t="s">
        <v>119</v>
      </c>
      <c r="W122" t="s">
        <v>90</v>
      </c>
      <c r="X122" t="s">
        <v>83</v>
      </c>
      <c r="Y122">
        <v>156284.94</v>
      </c>
      <c r="Z122">
        <v>54699.73</v>
      </c>
      <c r="AA122">
        <v>0.35</v>
      </c>
      <c r="AB122" t="s">
        <v>39</v>
      </c>
      <c r="AC122" t="s">
        <v>39</v>
      </c>
      <c r="AD122" t="s">
        <v>48</v>
      </c>
    </row>
    <row r="123" spans="1:30" x14ac:dyDescent="0.35">
      <c r="A123" s="1" t="s">
        <v>30</v>
      </c>
      <c r="B123" t="s">
        <v>31</v>
      </c>
      <c r="C123" t="s">
        <v>348</v>
      </c>
      <c r="D123" t="s">
        <v>2157</v>
      </c>
      <c r="E123" t="s">
        <v>2158</v>
      </c>
      <c r="F123" t="s">
        <v>971</v>
      </c>
      <c r="G123" t="s">
        <v>972</v>
      </c>
      <c r="H123" t="s">
        <v>1271</v>
      </c>
      <c r="I123" t="s">
        <v>117</v>
      </c>
      <c r="J123" t="s">
        <v>39</v>
      </c>
      <c r="K123" s="2">
        <v>46297</v>
      </c>
      <c r="L123" s="2">
        <v>46326</v>
      </c>
      <c r="N123" s="2">
        <v>46296</v>
      </c>
      <c r="O123" s="2">
        <v>46661</v>
      </c>
      <c r="P123">
        <v>12</v>
      </c>
      <c r="Q123" t="s">
        <v>65</v>
      </c>
      <c r="R123" t="s">
        <v>88</v>
      </c>
      <c r="S123" t="s">
        <v>164</v>
      </c>
      <c r="T123" t="s">
        <v>55</v>
      </c>
      <c r="U123" t="s">
        <v>56</v>
      </c>
      <c r="V123" t="s">
        <v>138</v>
      </c>
      <c r="W123" t="s">
        <v>58</v>
      </c>
      <c r="X123" t="s">
        <v>68</v>
      </c>
      <c r="Y123">
        <v>165496.85</v>
      </c>
      <c r="Z123">
        <v>57923.9</v>
      </c>
      <c r="AA123">
        <v>0.35</v>
      </c>
      <c r="AB123" t="s">
        <v>39</v>
      </c>
      <c r="AC123" t="s">
        <v>39</v>
      </c>
      <c r="AD123" t="s">
        <v>48</v>
      </c>
    </row>
    <row r="124" spans="1:30" x14ac:dyDescent="0.35">
      <c r="A124" s="1" t="s">
        <v>30</v>
      </c>
      <c r="B124" t="s">
        <v>31</v>
      </c>
      <c r="C124" t="s">
        <v>348</v>
      </c>
      <c r="D124" t="s">
        <v>2159</v>
      </c>
      <c r="E124" t="s">
        <v>2160</v>
      </c>
      <c r="F124" t="s">
        <v>2161</v>
      </c>
      <c r="G124" t="s">
        <v>2162</v>
      </c>
      <c r="H124" t="s">
        <v>1271</v>
      </c>
      <c r="I124" t="s">
        <v>103</v>
      </c>
      <c r="J124" t="s">
        <v>39</v>
      </c>
      <c r="K124" s="2">
        <v>46299</v>
      </c>
      <c r="L124" s="2">
        <v>46326</v>
      </c>
      <c r="N124" s="2">
        <v>46296</v>
      </c>
      <c r="O124" s="2">
        <v>46661</v>
      </c>
      <c r="P124">
        <v>12</v>
      </c>
      <c r="Q124" t="s">
        <v>40</v>
      </c>
      <c r="R124" t="s">
        <v>41</v>
      </c>
      <c r="S124" t="s">
        <v>80</v>
      </c>
      <c r="T124" t="s">
        <v>43</v>
      </c>
      <c r="U124" t="s">
        <v>44</v>
      </c>
      <c r="V124" t="s">
        <v>144</v>
      </c>
      <c r="W124" t="s">
        <v>120</v>
      </c>
      <c r="X124" t="s">
        <v>83</v>
      </c>
      <c r="Y124">
        <v>96864.320000000007</v>
      </c>
      <c r="Z124">
        <v>62961.81</v>
      </c>
      <c r="AA124">
        <v>0.65</v>
      </c>
      <c r="AB124" t="s">
        <v>39</v>
      </c>
      <c r="AC124" t="s">
        <v>39</v>
      </c>
      <c r="AD124" t="s">
        <v>48</v>
      </c>
    </row>
    <row r="125" spans="1:30" x14ac:dyDescent="0.35">
      <c r="A125" s="1" t="s">
        <v>30</v>
      </c>
      <c r="B125" t="s">
        <v>31</v>
      </c>
      <c r="C125" t="s">
        <v>348</v>
      </c>
      <c r="D125" t="s">
        <v>2163</v>
      </c>
      <c r="E125" t="s">
        <v>2164</v>
      </c>
      <c r="F125" t="s">
        <v>505</v>
      </c>
      <c r="G125" t="s">
        <v>506</v>
      </c>
      <c r="H125" t="s">
        <v>1271</v>
      </c>
      <c r="I125" t="s">
        <v>38</v>
      </c>
      <c r="J125" t="s">
        <v>39</v>
      </c>
      <c r="K125" s="2">
        <v>46302</v>
      </c>
      <c r="L125" s="2">
        <v>46326</v>
      </c>
      <c r="N125" s="2">
        <v>46296</v>
      </c>
      <c r="O125" s="2">
        <v>46661</v>
      </c>
      <c r="P125">
        <v>12</v>
      </c>
      <c r="Q125" t="s">
        <v>65</v>
      </c>
      <c r="R125" t="s">
        <v>53</v>
      </c>
      <c r="S125" t="s">
        <v>118</v>
      </c>
      <c r="T125" t="s">
        <v>97</v>
      </c>
      <c r="U125" t="s">
        <v>44</v>
      </c>
      <c r="V125" t="s">
        <v>81</v>
      </c>
      <c r="W125" t="s">
        <v>132</v>
      </c>
      <c r="X125" t="s">
        <v>125</v>
      </c>
      <c r="Y125">
        <v>137017.53</v>
      </c>
      <c r="Z125">
        <v>89061.39</v>
      </c>
      <c r="AA125">
        <v>0.65</v>
      </c>
      <c r="AB125" t="s">
        <v>39</v>
      </c>
      <c r="AC125" t="s">
        <v>39</v>
      </c>
      <c r="AD125" t="s">
        <v>48</v>
      </c>
    </row>
    <row r="126" spans="1:30" x14ac:dyDescent="0.35">
      <c r="A126" s="1" t="s">
        <v>30</v>
      </c>
      <c r="B126" t="s">
        <v>31</v>
      </c>
      <c r="C126" t="s">
        <v>348</v>
      </c>
      <c r="D126" t="s">
        <v>2165</v>
      </c>
      <c r="E126" t="s">
        <v>2166</v>
      </c>
      <c r="F126" t="s">
        <v>1041</v>
      </c>
      <c r="G126" t="s">
        <v>1042</v>
      </c>
      <c r="H126" t="s">
        <v>1271</v>
      </c>
      <c r="I126" t="s">
        <v>111</v>
      </c>
      <c r="J126" t="s">
        <v>39</v>
      </c>
      <c r="K126" s="2">
        <v>46306</v>
      </c>
      <c r="L126" s="2">
        <v>46326</v>
      </c>
      <c r="N126" s="2">
        <v>46296</v>
      </c>
      <c r="O126" s="2">
        <v>46661</v>
      </c>
      <c r="P126">
        <v>12</v>
      </c>
      <c r="Q126" t="s">
        <v>40</v>
      </c>
      <c r="R126" t="s">
        <v>53</v>
      </c>
      <c r="S126" t="s">
        <v>164</v>
      </c>
      <c r="T126" t="s">
        <v>55</v>
      </c>
      <c r="U126" t="s">
        <v>44</v>
      </c>
      <c r="V126" t="s">
        <v>98</v>
      </c>
      <c r="W126" t="s">
        <v>75</v>
      </c>
      <c r="X126" t="s">
        <v>143</v>
      </c>
      <c r="Y126">
        <v>190644.95</v>
      </c>
      <c r="Z126">
        <v>123919.22</v>
      </c>
      <c r="AA126">
        <v>0.65</v>
      </c>
      <c r="AB126" t="s">
        <v>39</v>
      </c>
      <c r="AC126" t="s">
        <v>39</v>
      </c>
      <c r="AD126" t="s">
        <v>48</v>
      </c>
    </row>
    <row r="127" spans="1:30" x14ac:dyDescent="0.35">
      <c r="A127" s="1" t="s">
        <v>30</v>
      </c>
      <c r="B127" t="s">
        <v>31</v>
      </c>
      <c r="C127" t="s">
        <v>348</v>
      </c>
      <c r="D127" t="s">
        <v>2167</v>
      </c>
      <c r="E127" t="s">
        <v>2168</v>
      </c>
      <c r="F127" t="s">
        <v>2169</v>
      </c>
      <c r="G127" t="s">
        <v>2170</v>
      </c>
      <c r="H127" t="s">
        <v>1271</v>
      </c>
      <c r="I127" t="s">
        <v>117</v>
      </c>
      <c r="J127" t="s">
        <v>39</v>
      </c>
      <c r="K127" s="2">
        <v>46300</v>
      </c>
      <c r="L127" s="2">
        <v>46326</v>
      </c>
      <c r="N127" s="2">
        <v>46296</v>
      </c>
      <c r="O127" s="2">
        <v>46661</v>
      </c>
      <c r="P127">
        <v>12</v>
      </c>
      <c r="Q127" t="s">
        <v>104</v>
      </c>
      <c r="R127" t="s">
        <v>41</v>
      </c>
      <c r="S127" t="s">
        <v>151</v>
      </c>
      <c r="T127" t="s">
        <v>131</v>
      </c>
      <c r="U127" t="s">
        <v>56</v>
      </c>
      <c r="V127" t="s">
        <v>138</v>
      </c>
      <c r="W127" t="s">
        <v>120</v>
      </c>
      <c r="X127" t="s">
        <v>91</v>
      </c>
      <c r="Y127">
        <v>109779.8</v>
      </c>
      <c r="Z127">
        <v>38422.93</v>
      </c>
      <c r="AA127">
        <v>0.35</v>
      </c>
      <c r="AB127" t="s">
        <v>39</v>
      </c>
      <c r="AC127" t="s">
        <v>39</v>
      </c>
      <c r="AD127" t="s">
        <v>48</v>
      </c>
    </row>
    <row r="128" spans="1:30" x14ac:dyDescent="0.35">
      <c r="A128" s="1" t="s">
        <v>30</v>
      </c>
      <c r="B128" t="s">
        <v>31</v>
      </c>
      <c r="C128" t="s">
        <v>348</v>
      </c>
      <c r="D128" t="s">
        <v>2171</v>
      </c>
      <c r="E128" t="s">
        <v>2172</v>
      </c>
      <c r="F128" t="s">
        <v>2173</v>
      </c>
      <c r="G128" t="s">
        <v>2174</v>
      </c>
      <c r="H128" t="s">
        <v>1271</v>
      </c>
      <c r="I128" t="s">
        <v>111</v>
      </c>
      <c r="J128" t="s">
        <v>39</v>
      </c>
      <c r="K128" s="2">
        <v>46309</v>
      </c>
      <c r="L128" s="2">
        <v>46326</v>
      </c>
      <c r="N128" s="2">
        <v>46296</v>
      </c>
      <c r="O128" s="2">
        <v>46661</v>
      </c>
      <c r="P128">
        <v>12</v>
      </c>
      <c r="Q128" t="s">
        <v>65</v>
      </c>
      <c r="R128" t="s">
        <v>41</v>
      </c>
      <c r="S128" t="s">
        <v>73</v>
      </c>
      <c r="T128" t="s">
        <v>43</v>
      </c>
      <c r="U128" t="s">
        <v>56</v>
      </c>
      <c r="V128" t="s">
        <v>138</v>
      </c>
      <c r="W128" t="s">
        <v>58</v>
      </c>
      <c r="X128" t="s">
        <v>143</v>
      </c>
      <c r="Y128">
        <v>92481.87</v>
      </c>
      <c r="Z128">
        <v>32368.65</v>
      </c>
      <c r="AA128">
        <v>0.35</v>
      </c>
      <c r="AB128" t="s">
        <v>39</v>
      </c>
      <c r="AC128" t="s">
        <v>39</v>
      </c>
      <c r="AD128" t="s">
        <v>48</v>
      </c>
    </row>
    <row r="129" spans="1:30" x14ac:dyDescent="0.35">
      <c r="A129" s="1" t="s">
        <v>30</v>
      </c>
      <c r="B129" t="s">
        <v>31</v>
      </c>
      <c r="C129" t="s">
        <v>348</v>
      </c>
      <c r="D129" t="s">
        <v>2175</v>
      </c>
      <c r="E129" t="s">
        <v>2176</v>
      </c>
      <c r="F129" t="s">
        <v>2177</v>
      </c>
      <c r="G129" t="s">
        <v>2178</v>
      </c>
      <c r="H129" t="s">
        <v>1290</v>
      </c>
      <c r="I129" t="s">
        <v>64</v>
      </c>
      <c r="J129" t="s">
        <v>1290</v>
      </c>
      <c r="K129" s="2">
        <v>46296</v>
      </c>
      <c r="L129" s="2">
        <v>46326</v>
      </c>
      <c r="N129" s="2">
        <v>46296</v>
      </c>
      <c r="O129" s="2">
        <v>46661</v>
      </c>
      <c r="P129">
        <v>12</v>
      </c>
      <c r="Q129" t="s">
        <v>40</v>
      </c>
      <c r="R129" t="s">
        <v>53</v>
      </c>
      <c r="S129" t="s">
        <v>73</v>
      </c>
      <c r="T129" t="s">
        <v>43</v>
      </c>
      <c r="U129" t="s">
        <v>106</v>
      </c>
      <c r="V129" t="s">
        <v>74</v>
      </c>
      <c r="W129" t="s">
        <v>90</v>
      </c>
      <c r="X129" t="s">
        <v>59</v>
      </c>
      <c r="Y129">
        <v>164803.75</v>
      </c>
      <c r="Z129">
        <v>131843</v>
      </c>
      <c r="AA129">
        <v>0.8</v>
      </c>
      <c r="AB129" t="s">
        <v>1290</v>
      </c>
      <c r="AC129" t="s">
        <v>1290</v>
      </c>
      <c r="AD129" t="s">
        <v>48</v>
      </c>
    </row>
    <row r="130" spans="1:30" x14ac:dyDescent="0.35">
      <c r="A130" s="1" t="s">
        <v>30</v>
      </c>
      <c r="B130" t="s">
        <v>31</v>
      </c>
      <c r="C130" t="s">
        <v>348</v>
      </c>
      <c r="D130" t="s">
        <v>2179</v>
      </c>
      <c r="E130" t="s">
        <v>2180</v>
      </c>
      <c r="F130" t="s">
        <v>2181</v>
      </c>
      <c r="G130" t="s">
        <v>2182</v>
      </c>
      <c r="H130" t="s">
        <v>1290</v>
      </c>
      <c r="I130" t="s">
        <v>38</v>
      </c>
      <c r="J130" t="s">
        <v>1290</v>
      </c>
      <c r="K130" s="2">
        <v>46302</v>
      </c>
      <c r="L130" s="2">
        <v>46326</v>
      </c>
      <c r="N130" s="2">
        <v>46296</v>
      </c>
      <c r="O130" s="2">
        <v>46661</v>
      </c>
      <c r="P130">
        <v>12</v>
      </c>
      <c r="Q130" t="s">
        <v>104</v>
      </c>
      <c r="R130" t="s">
        <v>53</v>
      </c>
      <c r="S130" t="s">
        <v>164</v>
      </c>
      <c r="T130" t="s">
        <v>55</v>
      </c>
      <c r="U130" t="s">
        <v>56</v>
      </c>
      <c r="V130" t="s">
        <v>98</v>
      </c>
      <c r="W130" t="s">
        <v>120</v>
      </c>
      <c r="X130" t="s">
        <v>83</v>
      </c>
      <c r="Y130">
        <v>144872.16</v>
      </c>
      <c r="Z130">
        <v>72436.08</v>
      </c>
      <c r="AA130">
        <v>0.5</v>
      </c>
      <c r="AB130" t="s">
        <v>1290</v>
      </c>
      <c r="AC130" t="s">
        <v>1290</v>
      </c>
      <c r="AD130" t="s">
        <v>48</v>
      </c>
    </row>
    <row r="131" spans="1:30" x14ac:dyDescent="0.35">
      <c r="A131" s="1" t="s">
        <v>30</v>
      </c>
      <c r="B131" t="s">
        <v>31</v>
      </c>
      <c r="C131" t="s">
        <v>348</v>
      </c>
      <c r="D131" t="s">
        <v>2183</v>
      </c>
      <c r="E131" t="s">
        <v>2184</v>
      </c>
      <c r="F131" t="s">
        <v>2185</v>
      </c>
      <c r="G131" t="s">
        <v>2186</v>
      </c>
      <c r="H131" t="s">
        <v>1290</v>
      </c>
      <c r="I131" t="s">
        <v>64</v>
      </c>
      <c r="J131" t="s">
        <v>1290</v>
      </c>
      <c r="K131" s="2">
        <v>46309</v>
      </c>
      <c r="L131" s="2">
        <v>46326</v>
      </c>
      <c r="N131" s="2">
        <v>46296</v>
      </c>
      <c r="O131" s="2">
        <v>47027</v>
      </c>
      <c r="P131">
        <v>24</v>
      </c>
      <c r="Q131" t="s">
        <v>40</v>
      </c>
      <c r="R131" t="s">
        <v>41</v>
      </c>
      <c r="S131" t="s">
        <v>137</v>
      </c>
      <c r="T131" t="s">
        <v>97</v>
      </c>
      <c r="U131" t="s">
        <v>44</v>
      </c>
      <c r="V131" t="s">
        <v>217</v>
      </c>
      <c r="W131" t="s">
        <v>150</v>
      </c>
      <c r="X131" t="s">
        <v>125</v>
      </c>
      <c r="Y131">
        <v>130003.08</v>
      </c>
      <c r="Z131">
        <v>65001.54</v>
      </c>
      <c r="AA131">
        <v>0.5</v>
      </c>
      <c r="AB131" t="s">
        <v>1290</v>
      </c>
      <c r="AC131" t="s">
        <v>1290</v>
      </c>
      <c r="AD131" t="s">
        <v>48</v>
      </c>
    </row>
    <row r="132" spans="1:30" x14ac:dyDescent="0.35">
      <c r="A132" s="1" t="s">
        <v>30</v>
      </c>
      <c r="B132" t="s">
        <v>31</v>
      </c>
      <c r="C132" t="s">
        <v>348</v>
      </c>
      <c r="D132" t="s">
        <v>2187</v>
      </c>
      <c r="E132" t="s">
        <v>2188</v>
      </c>
      <c r="F132" t="s">
        <v>2189</v>
      </c>
      <c r="G132" t="s">
        <v>2190</v>
      </c>
      <c r="H132" t="s">
        <v>1295</v>
      </c>
      <c r="I132" t="s">
        <v>64</v>
      </c>
      <c r="J132" t="s">
        <v>1295</v>
      </c>
      <c r="K132" s="2">
        <v>46297</v>
      </c>
      <c r="L132" s="2">
        <v>46326</v>
      </c>
      <c r="N132" s="2">
        <v>46296</v>
      </c>
      <c r="O132" s="2">
        <v>46661</v>
      </c>
      <c r="P132">
        <v>12</v>
      </c>
      <c r="Q132" t="s">
        <v>104</v>
      </c>
      <c r="R132" t="s">
        <v>41</v>
      </c>
      <c r="S132" t="s">
        <v>130</v>
      </c>
      <c r="T132" t="s">
        <v>131</v>
      </c>
      <c r="U132" t="s">
        <v>44</v>
      </c>
      <c r="V132" t="s">
        <v>45</v>
      </c>
      <c r="W132" t="s">
        <v>58</v>
      </c>
      <c r="X132" t="s">
        <v>125</v>
      </c>
      <c r="Y132">
        <v>189221.59</v>
      </c>
      <c r="Z132">
        <v>151377.26999999999</v>
      </c>
      <c r="AA132">
        <v>0.8</v>
      </c>
      <c r="AB132" t="s">
        <v>1295</v>
      </c>
      <c r="AC132" t="s">
        <v>1295</v>
      </c>
      <c r="AD132" t="s">
        <v>48</v>
      </c>
    </row>
    <row r="133" spans="1:30" x14ac:dyDescent="0.35">
      <c r="A133" s="1" t="s">
        <v>30</v>
      </c>
      <c r="B133" t="s">
        <v>31</v>
      </c>
      <c r="C133" t="s">
        <v>348</v>
      </c>
      <c r="D133" t="s">
        <v>2191</v>
      </c>
      <c r="E133" t="s">
        <v>2192</v>
      </c>
      <c r="F133" t="s">
        <v>2193</v>
      </c>
      <c r="G133" t="s">
        <v>2194</v>
      </c>
      <c r="H133" t="s">
        <v>1295</v>
      </c>
      <c r="I133" t="s">
        <v>38</v>
      </c>
      <c r="J133" t="s">
        <v>1295</v>
      </c>
      <c r="K133" s="2">
        <v>46301</v>
      </c>
      <c r="L133" s="2">
        <v>46326</v>
      </c>
      <c r="N133" s="2">
        <v>46296</v>
      </c>
      <c r="O133" s="2">
        <v>46661</v>
      </c>
      <c r="P133">
        <v>12</v>
      </c>
      <c r="Q133" t="s">
        <v>104</v>
      </c>
      <c r="R133" t="s">
        <v>41</v>
      </c>
      <c r="S133" t="s">
        <v>139</v>
      </c>
      <c r="T133" t="s">
        <v>43</v>
      </c>
      <c r="U133" t="s">
        <v>44</v>
      </c>
      <c r="V133" t="s">
        <v>57</v>
      </c>
      <c r="W133" t="s">
        <v>46</v>
      </c>
      <c r="X133" t="s">
        <v>47</v>
      </c>
      <c r="Y133">
        <v>205464.52</v>
      </c>
      <c r="Z133">
        <v>102732.26</v>
      </c>
      <c r="AA133">
        <v>0.5</v>
      </c>
      <c r="AB133" t="s">
        <v>1295</v>
      </c>
      <c r="AC133" t="s">
        <v>1295</v>
      </c>
      <c r="AD133" t="s">
        <v>48</v>
      </c>
    </row>
    <row r="134" spans="1:30" x14ac:dyDescent="0.35">
      <c r="A134" s="1" t="s">
        <v>30</v>
      </c>
      <c r="B134" t="s">
        <v>31</v>
      </c>
      <c r="C134" t="s">
        <v>348</v>
      </c>
      <c r="D134" t="s">
        <v>2195</v>
      </c>
      <c r="E134" t="s">
        <v>2196</v>
      </c>
      <c r="F134" t="s">
        <v>939</v>
      </c>
      <c r="G134" t="s">
        <v>940</v>
      </c>
      <c r="H134" t="s">
        <v>1295</v>
      </c>
      <c r="I134" t="s">
        <v>111</v>
      </c>
      <c r="J134" t="s">
        <v>1295</v>
      </c>
      <c r="K134" s="2">
        <v>46299</v>
      </c>
      <c r="L134" s="2">
        <v>46326</v>
      </c>
      <c r="N134" s="2">
        <v>46296</v>
      </c>
      <c r="O134" s="2">
        <v>46661</v>
      </c>
      <c r="P134">
        <v>12</v>
      </c>
      <c r="Q134" t="s">
        <v>104</v>
      </c>
      <c r="R134" t="s">
        <v>41</v>
      </c>
      <c r="S134" t="s">
        <v>112</v>
      </c>
      <c r="T134" t="s">
        <v>55</v>
      </c>
      <c r="U134" t="s">
        <v>56</v>
      </c>
      <c r="V134" t="s">
        <v>217</v>
      </c>
      <c r="W134" t="s">
        <v>132</v>
      </c>
      <c r="X134" t="s">
        <v>68</v>
      </c>
      <c r="Y134">
        <v>199515.88</v>
      </c>
      <c r="Z134">
        <v>129685.32</v>
      </c>
      <c r="AA134">
        <v>0.65</v>
      </c>
      <c r="AB134" t="s">
        <v>1295</v>
      </c>
      <c r="AC134" t="s">
        <v>1295</v>
      </c>
      <c r="AD134" t="s">
        <v>48</v>
      </c>
    </row>
    <row r="135" spans="1:30" x14ac:dyDescent="0.35">
      <c r="A135" s="1" t="s">
        <v>30</v>
      </c>
      <c r="B135" t="s">
        <v>31</v>
      </c>
      <c r="C135" t="s">
        <v>348</v>
      </c>
      <c r="D135" t="s">
        <v>2197</v>
      </c>
      <c r="E135" t="s">
        <v>2198</v>
      </c>
      <c r="F135" t="s">
        <v>2199</v>
      </c>
      <c r="G135" t="s">
        <v>2200</v>
      </c>
      <c r="H135" t="s">
        <v>1295</v>
      </c>
      <c r="I135" t="s">
        <v>117</v>
      </c>
      <c r="J135" t="s">
        <v>1295</v>
      </c>
      <c r="K135" s="2">
        <v>46307</v>
      </c>
      <c r="L135" s="2">
        <v>46326</v>
      </c>
      <c r="N135" s="2">
        <v>46296</v>
      </c>
      <c r="O135" s="2">
        <v>46661</v>
      </c>
      <c r="P135">
        <v>12</v>
      </c>
      <c r="Q135" t="s">
        <v>65</v>
      </c>
      <c r="R135" t="s">
        <v>53</v>
      </c>
      <c r="S135" t="s">
        <v>139</v>
      </c>
      <c r="T135" t="s">
        <v>43</v>
      </c>
      <c r="U135" t="s">
        <v>56</v>
      </c>
      <c r="V135" t="s">
        <v>81</v>
      </c>
      <c r="W135" t="s">
        <v>120</v>
      </c>
      <c r="X135" t="s">
        <v>59</v>
      </c>
      <c r="Y135">
        <v>113401.01</v>
      </c>
      <c r="Z135">
        <v>56700.51</v>
      </c>
      <c r="AA135">
        <v>0.5</v>
      </c>
      <c r="AB135" t="s">
        <v>1295</v>
      </c>
      <c r="AC135" t="s">
        <v>1295</v>
      </c>
      <c r="AD135" t="s">
        <v>48</v>
      </c>
    </row>
    <row r="136" spans="1:30" x14ac:dyDescent="0.35">
      <c r="A136" s="1" t="s">
        <v>30</v>
      </c>
      <c r="B136" t="s">
        <v>31</v>
      </c>
      <c r="C136" t="s">
        <v>348</v>
      </c>
      <c r="D136" t="s">
        <v>2201</v>
      </c>
      <c r="E136" t="s">
        <v>2202</v>
      </c>
      <c r="F136" t="s">
        <v>2203</v>
      </c>
      <c r="G136" t="s">
        <v>2204</v>
      </c>
      <c r="H136" t="s">
        <v>1302</v>
      </c>
      <c r="I136" t="s">
        <v>117</v>
      </c>
      <c r="J136" t="s">
        <v>39</v>
      </c>
      <c r="K136" s="2">
        <v>46297</v>
      </c>
      <c r="L136" s="2">
        <v>46326</v>
      </c>
      <c r="N136" s="2">
        <v>46296</v>
      </c>
      <c r="O136" s="2">
        <v>47027</v>
      </c>
      <c r="P136">
        <v>24</v>
      </c>
      <c r="Q136" t="s">
        <v>65</v>
      </c>
      <c r="R136" t="s">
        <v>41</v>
      </c>
      <c r="S136" t="s">
        <v>164</v>
      </c>
      <c r="T136" t="s">
        <v>55</v>
      </c>
      <c r="U136" t="s">
        <v>44</v>
      </c>
      <c r="V136" t="s">
        <v>57</v>
      </c>
      <c r="W136" t="s">
        <v>120</v>
      </c>
      <c r="X136" t="s">
        <v>47</v>
      </c>
      <c r="Y136">
        <v>122047.08</v>
      </c>
      <c r="Z136">
        <v>97637.67</v>
      </c>
      <c r="AA136">
        <v>0.8</v>
      </c>
      <c r="AB136" t="s">
        <v>39</v>
      </c>
      <c r="AC136" t="s">
        <v>39</v>
      </c>
      <c r="AD136" t="s">
        <v>48</v>
      </c>
    </row>
    <row r="137" spans="1:30" x14ac:dyDescent="0.35">
      <c r="A137" s="1" t="s">
        <v>30</v>
      </c>
      <c r="B137" t="s">
        <v>31</v>
      </c>
      <c r="C137" t="s">
        <v>348</v>
      </c>
      <c r="D137" t="s">
        <v>2205</v>
      </c>
      <c r="E137" t="s">
        <v>2206</v>
      </c>
      <c r="F137" t="s">
        <v>519</v>
      </c>
      <c r="G137" t="s">
        <v>520</v>
      </c>
      <c r="H137" t="s">
        <v>1302</v>
      </c>
      <c r="I137" t="s">
        <v>38</v>
      </c>
      <c r="J137" t="s">
        <v>39</v>
      </c>
      <c r="K137" s="2">
        <v>46298</v>
      </c>
      <c r="L137" s="2">
        <v>46326</v>
      </c>
      <c r="N137" s="2">
        <v>46296</v>
      </c>
      <c r="O137" s="2">
        <v>47027</v>
      </c>
      <c r="P137">
        <v>24</v>
      </c>
      <c r="Q137" t="s">
        <v>104</v>
      </c>
      <c r="R137" t="s">
        <v>88</v>
      </c>
      <c r="S137" t="s">
        <v>66</v>
      </c>
      <c r="T137" t="s">
        <v>55</v>
      </c>
      <c r="U137" t="s">
        <v>44</v>
      </c>
      <c r="V137" t="s">
        <v>67</v>
      </c>
      <c r="W137" t="s">
        <v>161</v>
      </c>
      <c r="X137" t="s">
        <v>143</v>
      </c>
      <c r="Y137">
        <v>111632.57</v>
      </c>
      <c r="Z137">
        <v>39071.4</v>
      </c>
      <c r="AA137">
        <v>0.35</v>
      </c>
      <c r="AB137" t="s">
        <v>39</v>
      </c>
      <c r="AC137" t="s">
        <v>39</v>
      </c>
      <c r="AD137" t="s">
        <v>48</v>
      </c>
    </row>
    <row r="138" spans="1:30" x14ac:dyDescent="0.35">
      <c r="A138" s="1" t="s">
        <v>30</v>
      </c>
      <c r="B138" t="s">
        <v>31</v>
      </c>
      <c r="C138" t="s">
        <v>348</v>
      </c>
      <c r="D138" t="s">
        <v>2207</v>
      </c>
      <c r="E138" t="s">
        <v>2208</v>
      </c>
      <c r="F138" t="s">
        <v>2209</v>
      </c>
      <c r="G138" t="s">
        <v>2210</v>
      </c>
      <c r="H138" t="s">
        <v>1302</v>
      </c>
      <c r="I138" t="s">
        <v>117</v>
      </c>
      <c r="J138" t="s">
        <v>39</v>
      </c>
      <c r="K138" s="2">
        <v>46297</v>
      </c>
      <c r="L138" s="2">
        <v>46326</v>
      </c>
      <c r="N138" s="2">
        <v>46296</v>
      </c>
      <c r="O138" s="2">
        <v>46661</v>
      </c>
      <c r="P138">
        <v>12</v>
      </c>
      <c r="Q138" t="s">
        <v>65</v>
      </c>
      <c r="R138" t="s">
        <v>88</v>
      </c>
      <c r="S138" t="s">
        <v>135</v>
      </c>
      <c r="T138" t="s">
        <v>131</v>
      </c>
      <c r="U138" t="s">
        <v>56</v>
      </c>
      <c r="V138" t="s">
        <v>74</v>
      </c>
      <c r="W138" t="s">
        <v>58</v>
      </c>
      <c r="X138" t="s">
        <v>83</v>
      </c>
      <c r="Y138">
        <v>157446.35</v>
      </c>
      <c r="Z138">
        <v>102340.13</v>
      </c>
      <c r="AA138">
        <v>0.65</v>
      </c>
      <c r="AB138" t="s">
        <v>39</v>
      </c>
      <c r="AC138" t="s">
        <v>39</v>
      </c>
      <c r="AD138" t="s">
        <v>48</v>
      </c>
    </row>
    <row r="139" spans="1:30" x14ac:dyDescent="0.35">
      <c r="A139" s="1" t="s">
        <v>30</v>
      </c>
      <c r="B139" t="s">
        <v>31</v>
      </c>
      <c r="C139" t="s">
        <v>399</v>
      </c>
      <c r="D139" t="s">
        <v>400</v>
      </c>
      <c r="E139" t="s">
        <v>401</v>
      </c>
      <c r="F139" t="s">
        <v>402</v>
      </c>
      <c r="G139" t="s">
        <v>403</v>
      </c>
      <c r="H139" t="s">
        <v>37</v>
      </c>
      <c r="I139" t="s">
        <v>111</v>
      </c>
      <c r="J139" t="s">
        <v>39</v>
      </c>
      <c r="K139" s="2">
        <v>46331</v>
      </c>
      <c r="L139" s="2">
        <v>46356</v>
      </c>
      <c r="N139" s="2">
        <v>46327</v>
      </c>
      <c r="O139" s="2">
        <v>46692</v>
      </c>
      <c r="P139">
        <v>12</v>
      </c>
      <c r="Q139" t="s">
        <v>40</v>
      </c>
      <c r="R139" t="s">
        <v>88</v>
      </c>
      <c r="S139" t="s">
        <v>140</v>
      </c>
      <c r="T139" t="s">
        <v>97</v>
      </c>
      <c r="U139" t="s">
        <v>56</v>
      </c>
      <c r="V139" t="s">
        <v>67</v>
      </c>
      <c r="W139" t="s">
        <v>120</v>
      </c>
      <c r="X139" t="s">
        <v>83</v>
      </c>
      <c r="Y139">
        <v>157516.76</v>
      </c>
      <c r="Z139">
        <v>78758.38</v>
      </c>
      <c r="AA139">
        <v>0.5</v>
      </c>
      <c r="AB139" t="s">
        <v>39</v>
      </c>
      <c r="AC139" t="s">
        <v>39</v>
      </c>
      <c r="AD139" t="s">
        <v>48</v>
      </c>
    </row>
    <row r="140" spans="1:30" x14ac:dyDescent="0.35">
      <c r="A140" s="1" t="s">
        <v>30</v>
      </c>
      <c r="B140" t="s">
        <v>31</v>
      </c>
      <c r="C140" t="s">
        <v>399</v>
      </c>
      <c r="D140" t="s">
        <v>404</v>
      </c>
      <c r="E140" t="s">
        <v>405</v>
      </c>
      <c r="F140" t="s">
        <v>406</v>
      </c>
      <c r="G140" t="s">
        <v>407</v>
      </c>
      <c r="H140" t="s">
        <v>37</v>
      </c>
      <c r="I140" t="s">
        <v>38</v>
      </c>
      <c r="J140" t="s">
        <v>39</v>
      </c>
      <c r="K140" s="2">
        <v>46331</v>
      </c>
      <c r="L140" s="2">
        <v>46356</v>
      </c>
      <c r="N140" s="2">
        <v>46327</v>
      </c>
      <c r="O140" s="2">
        <v>46692</v>
      </c>
      <c r="P140">
        <v>12</v>
      </c>
      <c r="Q140" t="s">
        <v>65</v>
      </c>
      <c r="R140" t="s">
        <v>88</v>
      </c>
      <c r="S140" t="s">
        <v>164</v>
      </c>
      <c r="T140" t="s">
        <v>55</v>
      </c>
      <c r="U140" t="s">
        <v>44</v>
      </c>
      <c r="V140" t="s">
        <v>57</v>
      </c>
      <c r="W140" t="s">
        <v>58</v>
      </c>
      <c r="X140" t="s">
        <v>47</v>
      </c>
      <c r="Y140">
        <v>121578.2</v>
      </c>
      <c r="Z140">
        <v>60789.1</v>
      </c>
      <c r="AA140">
        <v>0.5</v>
      </c>
      <c r="AB140" t="s">
        <v>39</v>
      </c>
      <c r="AC140" t="s">
        <v>39</v>
      </c>
      <c r="AD140" t="s">
        <v>48</v>
      </c>
    </row>
    <row r="141" spans="1:30" x14ac:dyDescent="0.35">
      <c r="A141" s="1" t="s">
        <v>30</v>
      </c>
      <c r="B141" t="s">
        <v>31</v>
      </c>
      <c r="C141" t="s">
        <v>399</v>
      </c>
      <c r="D141" t="s">
        <v>408</v>
      </c>
      <c r="E141" t="s">
        <v>409</v>
      </c>
      <c r="F141" t="s">
        <v>410</v>
      </c>
      <c r="G141" t="s">
        <v>411</v>
      </c>
      <c r="H141" t="s">
        <v>37</v>
      </c>
      <c r="I141" t="s">
        <v>103</v>
      </c>
      <c r="J141" t="s">
        <v>39</v>
      </c>
      <c r="K141" s="2">
        <v>46333</v>
      </c>
      <c r="L141" s="2">
        <v>46356</v>
      </c>
      <c r="N141" s="2">
        <v>46327</v>
      </c>
      <c r="O141" s="2">
        <v>46692</v>
      </c>
      <c r="P141">
        <v>12</v>
      </c>
      <c r="Q141" t="s">
        <v>65</v>
      </c>
      <c r="R141" t="s">
        <v>88</v>
      </c>
      <c r="S141" t="s">
        <v>162</v>
      </c>
      <c r="T141" t="s">
        <v>43</v>
      </c>
      <c r="U141" t="s">
        <v>56</v>
      </c>
      <c r="V141" t="s">
        <v>217</v>
      </c>
      <c r="W141" t="s">
        <v>82</v>
      </c>
      <c r="X141" t="s">
        <v>59</v>
      </c>
      <c r="Y141">
        <v>181236.39</v>
      </c>
      <c r="Z141">
        <v>63432.74</v>
      </c>
      <c r="AA141">
        <v>0.35</v>
      </c>
      <c r="AB141" t="s">
        <v>39</v>
      </c>
      <c r="AC141" t="s">
        <v>39</v>
      </c>
      <c r="AD141" t="s">
        <v>48</v>
      </c>
    </row>
    <row r="142" spans="1:30" x14ac:dyDescent="0.35">
      <c r="A142" s="1" t="s">
        <v>30</v>
      </c>
      <c r="B142" t="s">
        <v>31</v>
      </c>
      <c r="C142" t="s">
        <v>399</v>
      </c>
      <c r="D142" t="s">
        <v>412</v>
      </c>
      <c r="E142" t="s">
        <v>413</v>
      </c>
      <c r="F142" t="s">
        <v>414</v>
      </c>
      <c r="G142" t="s">
        <v>415</v>
      </c>
      <c r="H142" t="s">
        <v>37</v>
      </c>
      <c r="I142" t="s">
        <v>103</v>
      </c>
      <c r="J142" t="s">
        <v>39</v>
      </c>
      <c r="K142" s="2">
        <v>46334</v>
      </c>
      <c r="L142" s="2">
        <v>46356</v>
      </c>
      <c r="N142" s="2">
        <v>46327</v>
      </c>
      <c r="O142" s="2">
        <v>46692</v>
      </c>
      <c r="P142">
        <v>12</v>
      </c>
      <c r="Q142" t="s">
        <v>104</v>
      </c>
      <c r="R142" t="s">
        <v>53</v>
      </c>
      <c r="S142" t="s">
        <v>42</v>
      </c>
      <c r="T142" t="s">
        <v>43</v>
      </c>
      <c r="U142" t="s">
        <v>56</v>
      </c>
      <c r="V142" t="s">
        <v>144</v>
      </c>
      <c r="W142" t="s">
        <v>82</v>
      </c>
      <c r="X142" t="s">
        <v>143</v>
      </c>
      <c r="Y142">
        <v>180631.2</v>
      </c>
      <c r="Z142">
        <v>63220.92</v>
      </c>
      <c r="AA142">
        <v>0.35</v>
      </c>
      <c r="AB142" t="s">
        <v>39</v>
      </c>
      <c r="AC142" t="s">
        <v>39</v>
      </c>
      <c r="AD142" t="s">
        <v>48</v>
      </c>
    </row>
    <row r="143" spans="1:30" x14ac:dyDescent="0.35">
      <c r="A143" s="1" t="s">
        <v>30</v>
      </c>
      <c r="B143" t="s">
        <v>31</v>
      </c>
      <c r="C143" t="s">
        <v>399</v>
      </c>
      <c r="D143" t="s">
        <v>416</v>
      </c>
      <c r="E143" t="s">
        <v>417</v>
      </c>
      <c r="F143" t="s">
        <v>418</v>
      </c>
      <c r="G143" t="s">
        <v>419</v>
      </c>
      <c r="H143" t="s">
        <v>37</v>
      </c>
      <c r="I143" t="s">
        <v>103</v>
      </c>
      <c r="J143" t="s">
        <v>39</v>
      </c>
      <c r="K143" s="2">
        <v>46327</v>
      </c>
      <c r="L143" s="2">
        <v>46356</v>
      </c>
      <c r="N143" s="2">
        <v>46327</v>
      </c>
      <c r="O143" s="2">
        <v>46692</v>
      </c>
      <c r="P143">
        <v>12</v>
      </c>
      <c r="Q143" t="s">
        <v>104</v>
      </c>
      <c r="R143" t="s">
        <v>88</v>
      </c>
      <c r="S143" t="s">
        <v>182</v>
      </c>
      <c r="T143" t="s">
        <v>97</v>
      </c>
      <c r="U143" t="s">
        <v>44</v>
      </c>
      <c r="V143" t="s">
        <v>67</v>
      </c>
      <c r="W143" t="s">
        <v>46</v>
      </c>
      <c r="X143" t="s">
        <v>83</v>
      </c>
      <c r="Y143">
        <v>165744.04</v>
      </c>
      <c r="Z143">
        <v>132595.24</v>
      </c>
      <c r="AA143">
        <v>0.8</v>
      </c>
      <c r="AB143" t="s">
        <v>39</v>
      </c>
      <c r="AC143" t="s">
        <v>39</v>
      </c>
      <c r="AD143" t="s">
        <v>48</v>
      </c>
    </row>
    <row r="144" spans="1:30" x14ac:dyDescent="0.35">
      <c r="A144" s="1" t="s">
        <v>30</v>
      </c>
      <c r="B144" t="s">
        <v>31</v>
      </c>
      <c r="C144" t="s">
        <v>399</v>
      </c>
      <c r="D144" t="s">
        <v>420</v>
      </c>
      <c r="E144" t="s">
        <v>421</v>
      </c>
      <c r="F144" t="s">
        <v>422</v>
      </c>
      <c r="G144" t="s">
        <v>423</v>
      </c>
      <c r="H144" t="s">
        <v>37</v>
      </c>
      <c r="I144" t="s">
        <v>117</v>
      </c>
      <c r="J144" t="s">
        <v>39</v>
      </c>
      <c r="K144" s="2">
        <v>46339</v>
      </c>
      <c r="L144" s="2">
        <v>46356</v>
      </c>
      <c r="N144" s="2">
        <v>46327</v>
      </c>
      <c r="O144" s="2">
        <v>47423</v>
      </c>
      <c r="P144">
        <v>36</v>
      </c>
      <c r="Q144" t="s">
        <v>40</v>
      </c>
      <c r="R144" t="s">
        <v>88</v>
      </c>
      <c r="S144" t="s">
        <v>80</v>
      </c>
      <c r="T144" t="s">
        <v>43</v>
      </c>
      <c r="U144" t="s">
        <v>44</v>
      </c>
      <c r="V144" t="s">
        <v>74</v>
      </c>
      <c r="W144" t="s">
        <v>132</v>
      </c>
      <c r="X144" t="s">
        <v>91</v>
      </c>
      <c r="Y144">
        <v>111309.64</v>
      </c>
      <c r="Z144">
        <v>38958.370000000003</v>
      </c>
      <c r="AA144">
        <v>0.35</v>
      </c>
      <c r="AB144" t="s">
        <v>39</v>
      </c>
      <c r="AC144" t="s">
        <v>39</v>
      </c>
      <c r="AD144" t="s">
        <v>48</v>
      </c>
    </row>
    <row r="145" spans="1:30" x14ac:dyDescent="0.35">
      <c r="A145" s="1" t="s">
        <v>30</v>
      </c>
      <c r="B145" t="s">
        <v>31</v>
      </c>
      <c r="C145" t="s">
        <v>399</v>
      </c>
      <c r="D145" t="s">
        <v>424</v>
      </c>
      <c r="E145" t="s">
        <v>425</v>
      </c>
      <c r="F145" t="s">
        <v>426</v>
      </c>
      <c r="G145" t="s">
        <v>427</v>
      </c>
      <c r="H145" t="s">
        <v>37</v>
      </c>
      <c r="I145" t="s">
        <v>64</v>
      </c>
      <c r="J145" t="s">
        <v>39</v>
      </c>
      <c r="K145" s="2">
        <v>46341</v>
      </c>
      <c r="L145" s="2">
        <v>46356</v>
      </c>
      <c r="N145" s="2">
        <v>46327</v>
      </c>
      <c r="O145" s="2">
        <v>47058</v>
      </c>
      <c r="P145">
        <v>24</v>
      </c>
      <c r="Q145" t="s">
        <v>65</v>
      </c>
      <c r="R145" t="s">
        <v>88</v>
      </c>
      <c r="S145" t="s">
        <v>151</v>
      </c>
      <c r="T145" t="s">
        <v>131</v>
      </c>
      <c r="U145" t="s">
        <v>44</v>
      </c>
      <c r="V145" t="s">
        <v>138</v>
      </c>
      <c r="W145" t="s">
        <v>132</v>
      </c>
      <c r="X145" t="s">
        <v>68</v>
      </c>
      <c r="Y145">
        <v>132723.91</v>
      </c>
      <c r="Z145">
        <v>86270.54</v>
      </c>
      <c r="AA145">
        <v>0.65</v>
      </c>
      <c r="AB145" t="s">
        <v>39</v>
      </c>
      <c r="AC145" t="s">
        <v>39</v>
      </c>
      <c r="AD145" t="s">
        <v>48</v>
      </c>
    </row>
    <row r="146" spans="1:30" x14ac:dyDescent="0.35">
      <c r="A146" s="1" t="s">
        <v>30</v>
      </c>
      <c r="B146" t="s">
        <v>31</v>
      </c>
      <c r="C146" t="s">
        <v>399</v>
      </c>
      <c r="D146" t="s">
        <v>428</v>
      </c>
      <c r="E146" t="s">
        <v>429</v>
      </c>
      <c r="F146" t="s">
        <v>430</v>
      </c>
      <c r="G146" t="s">
        <v>431</v>
      </c>
      <c r="H146" t="s">
        <v>37</v>
      </c>
      <c r="I146" t="s">
        <v>38</v>
      </c>
      <c r="J146" t="s">
        <v>39</v>
      </c>
      <c r="K146" s="2">
        <v>46334</v>
      </c>
      <c r="L146" s="2">
        <v>46356</v>
      </c>
      <c r="N146" s="2">
        <v>46327</v>
      </c>
      <c r="O146" s="2">
        <v>46692</v>
      </c>
      <c r="P146">
        <v>12</v>
      </c>
      <c r="Q146" t="s">
        <v>65</v>
      </c>
      <c r="R146" t="s">
        <v>41</v>
      </c>
      <c r="S146" t="s">
        <v>135</v>
      </c>
      <c r="T146" t="s">
        <v>131</v>
      </c>
      <c r="U146" t="s">
        <v>106</v>
      </c>
      <c r="V146" t="s">
        <v>45</v>
      </c>
      <c r="W146" t="s">
        <v>75</v>
      </c>
      <c r="X146" t="s">
        <v>143</v>
      </c>
      <c r="Y146">
        <v>178636.31</v>
      </c>
      <c r="Z146">
        <v>62522.71</v>
      </c>
      <c r="AA146">
        <v>0.35</v>
      </c>
      <c r="AB146" t="s">
        <v>39</v>
      </c>
      <c r="AC146" t="s">
        <v>39</v>
      </c>
      <c r="AD146" t="s">
        <v>48</v>
      </c>
    </row>
    <row r="147" spans="1:30" x14ac:dyDescent="0.35">
      <c r="A147" s="1" t="s">
        <v>30</v>
      </c>
      <c r="B147" t="s">
        <v>31</v>
      </c>
      <c r="C147" t="s">
        <v>399</v>
      </c>
      <c r="D147" t="s">
        <v>432</v>
      </c>
      <c r="E147" t="s">
        <v>433</v>
      </c>
      <c r="F147" t="s">
        <v>434</v>
      </c>
      <c r="G147" t="s">
        <v>435</v>
      </c>
      <c r="H147" t="s">
        <v>37</v>
      </c>
      <c r="I147" t="s">
        <v>117</v>
      </c>
      <c r="J147" t="s">
        <v>39</v>
      </c>
      <c r="K147" s="2">
        <v>46329</v>
      </c>
      <c r="L147" s="2">
        <v>46356</v>
      </c>
      <c r="N147" s="2">
        <v>46327</v>
      </c>
      <c r="O147" s="2">
        <v>47058</v>
      </c>
      <c r="P147">
        <v>24</v>
      </c>
      <c r="Q147" t="s">
        <v>104</v>
      </c>
      <c r="R147" t="s">
        <v>88</v>
      </c>
      <c r="S147" t="s">
        <v>280</v>
      </c>
      <c r="T147" t="s">
        <v>43</v>
      </c>
      <c r="U147" t="s">
        <v>44</v>
      </c>
      <c r="V147" t="s">
        <v>217</v>
      </c>
      <c r="W147" t="s">
        <v>46</v>
      </c>
      <c r="X147" t="s">
        <v>68</v>
      </c>
      <c r="Y147">
        <v>105602.51</v>
      </c>
      <c r="Z147">
        <v>36960.879999999997</v>
      </c>
      <c r="AA147">
        <v>0.35</v>
      </c>
      <c r="AB147" t="s">
        <v>39</v>
      </c>
      <c r="AC147" t="s">
        <v>39</v>
      </c>
      <c r="AD147" t="s">
        <v>48</v>
      </c>
    </row>
    <row r="148" spans="1:30" x14ac:dyDescent="0.35">
      <c r="A148" s="1" t="s">
        <v>30</v>
      </c>
      <c r="B148" t="s">
        <v>31</v>
      </c>
      <c r="C148" t="s">
        <v>399</v>
      </c>
      <c r="D148" t="s">
        <v>436</v>
      </c>
      <c r="E148" t="s">
        <v>437</v>
      </c>
      <c r="F148" t="s">
        <v>438</v>
      </c>
      <c r="G148" t="s">
        <v>439</v>
      </c>
      <c r="H148" t="s">
        <v>37</v>
      </c>
      <c r="I148" t="s">
        <v>117</v>
      </c>
      <c r="J148" t="s">
        <v>39</v>
      </c>
      <c r="K148" s="2">
        <v>46330</v>
      </c>
      <c r="L148" s="2">
        <v>46356</v>
      </c>
      <c r="N148" s="2">
        <v>46327</v>
      </c>
      <c r="O148" s="2">
        <v>46692</v>
      </c>
      <c r="P148">
        <v>12</v>
      </c>
      <c r="Q148" t="s">
        <v>104</v>
      </c>
      <c r="R148" t="s">
        <v>53</v>
      </c>
      <c r="S148" t="s">
        <v>137</v>
      </c>
      <c r="T148" t="s">
        <v>97</v>
      </c>
      <c r="U148" t="s">
        <v>44</v>
      </c>
      <c r="V148" t="s">
        <v>45</v>
      </c>
      <c r="W148" t="s">
        <v>150</v>
      </c>
      <c r="X148" t="s">
        <v>59</v>
      </c>
      <c r="Y148">
        <v>164970.76</v>
      </c>
      <c r="Z148">
        <v>131976.60999999999</v>
      </c>
      <c r="AA148">
        <v>0.8</v>
      </c>
      <c r="AB148" t="s">
        <v>39</v>
      </c>
      <c r="AC148" t="s">
        <v>39</v>
      </c>
      <c r="AD148" t="s">
        <v>48</v>
      </c>
    </row>
    <row r="149" spans="1:30" x14ac:dyDescent="0.35">
      <c r="A149" s="1" t="s">
        <v>30</v>
      </c>
      <c r="B149" t="s">
        <v>31</v>
      </c>
      <c r="C149" t="s">
        <v>399</v>
      </c>
      <c r="D149" t="s">
        <v>440</v>
      </c>
      <c r="E149" t="s">
        <v>441</v>
      </c>
      <c r="F149" t="s">
        <v>442</v>
      </c>
      <c r="G149" t="s">
        <v>443</v>
      </c>
      <c r="H149" t="s">
        <v>37</v>
      </c>
      <c r="I149" t="s">
        <v>103</v>
      </c>
      <c r="J149" t="s">
        <v>39</v>
      </c>
      <c r="K149" s="2">
        <v>46329</v>
      </c>
      <c r="L149" s="2">
        <v>46356</v>
      </c>
      <c r="N149" s="2">
        <v>46327</v>
      </c>
      <c r="O149" s="2">
        <v>47423</v>
      </c>
      <c r="P149">
        <v>36</v>
      </c>
      <c r="Q149" t="s">
        <v>40</v>
      </c>
      <c r="R149" t="s">
        <v>53</v>
      </c>
      <c r="S149" t="s">
        <v>135</v>
      </c>
      <c r="T149" t="s">
        <v>131</v>
      </c>
      <c r="U149" t="s">
        <v>44</v>
      </c>
      <c r="V149" t="s">
        <v>81</v>
      </c>
      <c r="W149" t="s">
        <v>132</v>
      </c>
      <c r="X149" t="s">
        <v>158</v>
      </c>
      <c r="Y149">
        <v>152732.28</v>
      </c>
      <c r="Z149">
        <v>76366.14</v>
      </c>
      <c r="AA149">
        <v>0.5</v>
      </c>
      <c r="AB149" t="s">
        <v>39</v>
      </c>
      <c r="AC149" t="s">
        <v>39</v>
      </c>
      <c r="AD149" t="s">
        <v>48</v>
      </c>
    </row>
    <row r="150" spans="1:30" x14ac:dyDescent="0.35">
      <c r="A150" s="1" t="s">
        <v>30</v>
      </c>
      <c r="B150" t="s">
        <v>31</v>
      </c>
      <c r="C150" t="s">
        <v>399</v>
      </c>
      <c r="D150" t="s">
        <v>2211</v>
      </c>
      <c r="E150" t="s">
        <v>2212</v>
      </c>
      <c r="F150" t="s">
        <v>1265</v>
      </c>
      <c r="G150" t="s">
        <v>1266</v>
      </c>
      <c r="H150" t="s">
        <v>1271</v>
      </c>
      <c r="I150" t="s">
        <v>103</v>
      </c>
      <c r="J150" t="s">
        <v>39</v>
      </c>
      <c r="K150" s="2">
        <v>46339</v>
      </c>
      <c r="L150" s="2">
        <v>46356</v>
      </c>
      <c r="N150" s="2">
        <v>46327</v>
      </c>
      <c r="O150" s="2">
        <v>47058</v>
      </c>
      <c r="P150">
        <v>24</v>
      </c>
      <c r="Q150" t="s">
        <v>104</v>
      </c>
      <c r="R150" t="s">
        <v>88</v>
      </c>
      <c r="S150" t="s">
        <v>222</v>
      </c>
      <c r="T150" t="s">
        <v>97</v>
      </c>
      <c r="U150" t="s">
        <v>56</v>
      </c>
      <c r="V150" t="s">
        <v>74</v>
      </c>
      <c r="W150" t="s">
        <v>142</v>
      </c>
      <c r="X150" t="s">
        <v>59</v>
      </c>
      <c r="Y150">
        <v>147926.29999999999</v>
      </c>
      <c r="Z150">
        <v>96152.1</v>
      </c>
      <c r="AA150">
        <v>0.65</v>
      </c>
      <c r="AB150" t="s">
        <v>39</v>
      </c>
      <c r="AC150" t="s">
        <v>39</v>
      </c>
      <c r="AD150" t="s">
        <v>48</v>
      </c>
    </row>
    <row r="151" spans="1:30" x14ac:dyDescent="0.35">
      <c r="A151" s="1" t="s">
        <v>30</v>
      </c>
      <c r="B151" t="s">
        <v>31</v>
      </c>
      <c r="C151" t="s">
        <v>399</v>
      </c>
      <c r="D151" t="s">
        <v>2213</v>
      </c>
      <c r="E151" t="s">
        <v>2214</v>
      </c>
      <c r="F151" t="s">
        <v>278</v>
      </c>
      <c r="G151" t="s">
        <v>279</v>
      </c>
      <c r="H151" t="s">
        <v>1271</v>
      </c>
      <c r="I151" t="s">
        <v>64</v>
      </c>
      <c r="J151" t="s">
        <v>39</v>
      </c>
      <c r="K151" s="2">
        <v>46329</v>
      </c>
      <c r="L151" s="2">
        <v>46356</v>
      </c>
      <c r="N151" s="2">
        <v>46327</v>
      </c>
      <c r="O151" s="2">
        <v>46692</v>
      </c>
      <c r="P151">
        <v>12</v>
      </c>
      <c r="Q151" t="s">
        <v>40</v>
      </c>
      <c r="R151" t="s">
        <v>88</v>
      </c>
      <c r="S151" t="s">
        <v>162</v>
      </c>
      <c r="T151" t="s">
        <v>43</v>
      </c>
      <c r="U151" t="s">
        <v>44</v>
      </c>
      <c r="V151" t="s">
        <v>45</v>
      </c>
      <c r="W151" t="s">
        <v>161</v>
      </c>
      <c r="X151" t="s">
        <v>59</v>
      </c>
      <c r="Y151">
        <v>122975.82</v>
      </c>
      <c r="Z151">
        <v>61487.91</v>
      </c>
      <c r="AA151">
        <v>0.5</v>
      </c>
      <c r="AB151" t="s">
        <v>39</v>
      </c>
      <c r="AC151" t="s">
        <v>39</v>
      </c>
      <c r="AD151" t="s">
        <v>48</v>
      </c>
    </row>
    <row r="152" spans="1:30" x14ac:dyDescent="0.35">
      <c r="A152" s="1" t="s">
        <v>30</v>
      </c>
      <c r="B152" t="s">
        <v>31</v>
      </c>
      <c r="C152" t="s">
        <v>399</v>
      </c>
      <c r="D152" t="s">
        <v>2215</v>
      </c>
      <c r="E152" t="s">
        <v>2216</v>
      </c>
      <c r="F152" t="s">
        <v>2217</v>
      </c>
      <c r="G152" t="s">
        <v>2218</v>
      </c>
      <c r="H152" t="s">
        <v>1271</v>
      </c>
      <c r="I152" t="s">
        <v>111</v>
      </c>
      <c r="J152" t="s">
        <v>39</v>
      </c>
      <c r="K152" s="2">
        <v>46338</v>
      </c>
      <c r="L152" s="2">
        <v>46356</v>
      </c>
      <c r="N152" s="2">
        <v>46327</v>
      </c>
      <c r="O152" s="2">
        <v>46692</v>
      </c>
      <c r="P152">
        <v>12</v>
      </c>
      <c r="Q152" t="s">
        <v>40</v>
      </c>
      <c r="R152" t="s">
        <v>53</v>
      </c>
      <c r="S152" t="s">
        <v>135</v>
      </c>
      <c r="T152" t="s">
        <v>131</v>
      </c>
      <c r="U152" t="s">
        <v>56</v>
      </c>
      <c r="V152" t="s">
        <v>57</v>
      </c>
      <c r="W152" t="s">
        <v>46</v>
      </c>
      <c r="X152" t="s">
        <v>59</v>
      </c>
      <c r="Y152">
        <v>173133.66</v>
      </c>
      <c r="Z152">
        <v>86566.83</v>
      </c>
      <c r="AA152">
        <v>0.5</v>
      </c>
      <c r="AB152" t="s">
        <v>39</v>
      </c>
      <c r="AC152" t="s">
        <v>39</v>
      </c>
      <c r="AD152" t="s">
        <v>48</v>
      </c>
    </row>
    <row r="153" spans="1:30" x14ac:dyDescent="0.35">
      <c r="A153" s="1" t="s">
        <v>30</v>
      </c>
      <c r="B153" t="s">
        <v>31</v>
      </c>
      <c r="C153" t="s">
        <v>399</v>
      </c>
      <c r="D153" t="s">
        <v>2219</v>
      </c>
      <c r="E153" t="s">
        <v>2220</v>
      </c>
      <c r="F153" t="s">
        <v>2221</v>
      </c>
      <c r="G153" t="s">
        <v>2222</v>
      </c>
      <c r="H153" t="s">
        <v>1271</v>
      </c>
      <c r="I153" t="s">
        <v>103</v>
      </c>
      <c r="J153" t="s">
        <v>39</v>
      </c>
      <c r="K153" s="2">
        <v>46329</v>
      </c>
      <c r="L153" s="2">
        <v>46356</v>
      </c>
      <c r="N153" s="2">
        <v>46327</v>
      </c>
      <c r="O153" s="2">
        <v>47058</v>
      </c>
      <c r="P153">
        <v>24</v>
      </c>
      <c r="Q153" t="s">
        <v>40</v>
      </c>
      <c r="R153" t="s">
        <v>53</v>
      </c>
      <c r="S153" t="s">
        <v>141</v>
      </c>
      <c r="T153" t="s">
        <v>131</v>
      </c>
      <c r="U153" t="s">
        <v>56</v>
      </c>
      <c r="V153" t="s">
        <v>138</v>
      </c>
      <c r="W153" t="s">
        <v>142</v>
      </c>
      <c r="X153" t="s">
        <v>91</v>
      </c>
      <c r="Y153">
        <v>95043.65</v>
      </c>
      <c r="Z153">
        <v>76034.92</v>
      </c>
      <c r="AA153">
        <v>0.8</v>
      </c>
      <c r="AB153" t="s">
        <v>39</v>
      </c>
      <c r="AC153" t="s">
        <v>39</v>
      </c>
      <c r="AD153" t="s">
        <v>48</v>
      </c>
    </row>
    <row r="154" spans="1:30" x14ac:dyDescent="0.35">
      <c r="A154" s="1" t="s">
        <v>30</v>
      </c>
      <c r="B154" t="s">
        <v>31</v>
      </c>
      <c r="C154" t="s">
        <v>399</v>
      </c>
      <c r="D154" t="s">
        <v>2223</v>
      </c>
      <c r="E154" t="s">
        <v>2224</v>
      </c>
      <c r="F154" t="s">
        <v>2225</v>
      </c>
      <c r="G154" t="s">
        <v>2226</v>
      </c>
      <c r="H154" t="s">
        <v>1271</v>
      </c>
      <c r="I154" t="s">
        <v>64</v>
      </c>
      <c r="J154" t="s">
        <v>39</v>
      </c>
      <c r="K154" s="2">
        <v>46329</v>
      </c>
      <c r="L154" s="2">
        <v>46356</v>
      </c>
      <c r="N154" s="2">
        <v>46327</v>
      </c>
      <c r="O154" s="2">
        <v>47423</v>
      </c>
      <c r="P154">
        <v>36</v>
      </c>
      <c r="Q154" t="s">
        <v>40</v>
      </c>
      <c r="R154" t="s">
        <v>53</v>
      </c>
      <c r="S154" t="s">
        <v>151</v>
      </c>
      <c r="T154" t="s">
        <v>131</v>
      </c>
      <c r="U154" t="s">
        <v>106</v>
      </c>
      <c r="V154" t="s">
        <v>144</v>
      </c>
      <c r="W154" t="s">
        <v>75</v>
      </c>
      <c r="X154" t="s">
        <v>143</v>
      </c>
      <c r="Y154">
        <v>154607.51</v>
      </c>
      <c r="Z154">
        <v>123686.01</v>
      </c>
      <c r="AA154">
        <v>0.8</v>
      </c>
      <c r="AB154" t="s">
        <v>39</v>
      </c>
      <c r="AC154" t="s">
        <v>39</v>
      </c>
      <c r="AD154" t="s">
        <v>48</v>
      </c>
    </row>
    <row r="155" spans="1:30" x14ac:dyDescent="0.35">
      <c r="A155" s="1" t="s">
        <v>30</v>
      </c>
      <c r="B155" t="s">
        <v>31</v>
      </c>
      <c r="C155" t="s">
        <v>399</v>
      </c>
      <c r="D155" t="s">
        <v>2227</v>
      </c>
      <c r="E155" t="s">
        <v>2228</v>
      </c>
      <c r="F155" t="s">
        <v>929</v>
      </c>
      <c r="G155" t="s">
        <v>930</v>
      </c>
      <c r="H155" t="s">
        <v>1271</v>
      </c>
      <c r="I155" t="s">
        <v>64</v>
      </c>
      <c r="J155" t="s">
        <v>39</v>
      </c>
      <c r="K155" s="2">
        <v>46336</v>
      </c>
      <c r="L155" s="2">
        <v>46356</v>
      </c>
      <c r="N155" s="2">
        <v>46327</v>
      </c>
      <c r="O155" s="2">
        <v>46692</v>
      </c>
      <c r="P155">
        <v>12</v>
      </c>
      <c r="Q155" t="s">
        <v>40</v>
      </c>
      <c r="R155" t="s">
        <v>88</v>
      </c>
      <c r="S155" t="s">
        <v>112</v>
      </c>
      <c r="T155" t="s">
        <v>55</v>
      </c>
      <c r="U155" t="s">
        <v>106</v>
      </c>
      <c r="V155" t="s">
        <v>119</v>
      </c>
      <c r="W155" t="s">
        <v>46</v>
      </c>
      <c r="X155" t="s">
        <v>47</v>
      </c>
      <c r="Y155">
        <v>145448.45000000001</v>
      </c>
      <c r="Z155">
        <v>50906.96</v>
      </c>
      <c r="AA155">
        <v>0.35</v>
      </c>
      <c r="AB155" t="s">
        <v>39</v>
      </c>
      <c r="AC155" t="s">
        <v>39</v>
      </c>
      <c r="AD155" t="s">
        <v>48</v>
      </c>
    </row>
    <row r="156" spans="1:30" x14ac:dyDescent="0.35">
      <c r="A156" s="1" t="s">
        <v>30</v>
      </c>
      <c r="B156" t="s">
        <v>31</v>
      </c>
      <c r="C156" t="s">
        <v>399</v>
      </c>
      <c r="D156" t="s">
        <v>2229</v>
      </c>
      <c r="E156" t="s">
        <v>2230</v>
      </c>
      <c r="F156" t="s">
        <v>1617</v>
      </c>
      <c r="G156" t="s">
        <v>1618</v>
      </c>
      <c r="H156" t="s">
        <v>1271</v>
      </c>
      <c r="I156" t="s">
        <v>117</v>
      </c>
      <c r="J156" t="s">
        <v>39</v>
      </c>
      <c r="K156" s="2">
        <v>46327</v>
      </c>
      <c r="L156" s="2">
        <v>46356</v>
      </c>
      <c r="N156" s="2">
        <v>46327</v>
      </c>
      <c r="O156" s="2">
        <v>46692</v>
      </c>
      <c r="P156">
        <v>12</v>
      </c>
      <c r="Q156" t="s">
        <v>104</v>
      </c>
      <c r="R156" t="s">
        <v>53</v>
      </c>
      <c r="S156" t="s">
        <v>135</v>
      </c>
      <c r="T156" t="s">
        <v>131</v>
      </c>
      <c r="U156" t="s">
        <v>44</v>
      </c>
      <c r="V156" t="s">
        <v>144</v>
      </c>
      <c r="W156" t="s">
        <v>82</v>
      </c>
      <c r="X156" t="s">
        <v>91</v>
      </c>
      <c r="Y156">
        <v>143096.60999999999</v>
      </c>
      <c r="Z156">
        <v>71548.31</v>
      </c>
      <c r="AA156">
        <v>0.5</v>
      </c>
      <c r="AB156" t="s">
        <v>39</v>
      </c>
      <c r="AC156" t="s">
        <v>39</v>
      </c>
      <c r="AD156" t="s">
        <v>48</v>
      </c>
    </row>
    <row r="157" spans="1:30" x14ac:dyDescent="0.35">
      <c r="A157" s="1" t="s">
        <v>30</v>
      </c>
      <c r="B157" t="s">
        <v>31</v>
      </c>
      <c r="C157" t="s">
        <v>399</v>
      </c>
      <c r="D157" t="s">
        <v>2231</v>
      </c>
      <c r="E157" t="s">
        <v>2232</v>
      </c>
      <c r="F157" t="s">
        <v>2233</v>
      </c>
      <c r="G157" t="s">
        <v>2234</v>
      </c>
      <c r="H157" t="s">
        <v>1290</v>
      </c>
      <c r="I157" t="s">
        <v>64</v>
      </c>
      <c r="J157" t="s">
        <v>1290</v>
      </c>
      <c r="K157" s="2">
        <v>46327</v>
      </c>
      <c r="L157" s="2">
        <v>46356</v>
      </c>
      <c r="N157" s="2">
        <v>46327</v>
      </c>
      <c r="O157" s="2">
        <v>46692</v>
      </c>
      <c r="P157">
        <v>12</v>
      </c>
      <c r="Q157" t="s">
        <v>104</v>
      </c>
      <c r="R157" t="s">
        <v>41</v>
      </c>
      <c r="S157" t="s">
        <v>130</v>
      </c>
      <c r="T157" t="s">
        <v>131</v>
      </c>
      <c r="U157" t="s">
        <v>44</v>
      </c>
      <c r="V157" t="s">
        <v>217</v>
      </c>
      <c r="W157" t="s">
        <v>75</v>
      </c>
      <c r="X157" t="s">
        <v>83</v>
      </c>
      <c r="Y157">
        <v>134286.87</v>
      </c>
      <c r="Z157">
        <v>67143.429999999993</v>
      </c>
      <c r="AA157">
        <v>0.5</v>
      </c>
      <c r="AB157" t="s">
        <v>1290</v>
      </c>
      <c r="AC157" t="s">
        <v>1290</v>
      </c>
      <c r="AD157" t="s">
        <v>48</v>
      </c>
    </row>
    <row r="158" spans="1:30" x14ac:dyDescent="0.35">
      <c r="A158" s="1" t="s">
        <v>30</v>
      </c>
      <c r="B158" t="s">
        <v>31</v>
      </c>
      <c r="C158" t="s">
        <v>399</v>
      </c>
      <c r="D158" t="s">
        <v>2235</v>
      </c>
      <c r="E158" t="s">
        <v>2236</v>
      </c>
      <c r="F158" t="s">
        <v>1163</v>
      </c>
      <c r="G158" t="s">
        <v>1164</v>
      </c>
      <c r="H158" t="s">
        <v>1290</v>
      </c>
      <c r="I158" t="s">
        <v>117</v>
      </c>
      <c r="J158" t="s">
        <v>1290</v>
      </c>
      <c r="K158" s="2">
        <v>46331</v>
      </c>
      <c r="L158" s="2">
        <v>46356</v>
      </c>
      <c r="N158" s="2">
        <v>46327</v>
      </c>
      <c r="O158" s="2">
        <v>47058</v>
      </c>
      <c r="P158">
        <v>24</v>
      </c>
      <c r="Q158" t="s">
        <v>104</v>
      </c>
      <c r="R158" t="s">
        <v>88</v>
      </c>
      <c r="S158" t="s">
        <v>149</v>
      </c>
      <c r="T158" t="s">
        <v>131</v>
      </c>
      <c r="U158" t="s">
        <v>44</v>
      </c>
      <c r="V158" t="s">
        <v>98</v>
      </c>
      <c r="W158" t="s">
        <v>161</v>
      </c>
      <c r="X158" t="s">
        <v>91</v>
      </c>
      <c r="Y158">
        <v>160653.89000000001</v>
      </c>
      <c r="Z158">
        <v>56228.86</v>
      </c>
      <c r="AA158">
        <v>0.35</v>
      </c>
      <c r="AB158" t="s">
        <v>1290</v>
      </c>
      <c r="AC158" t="s">
        <v>1290</v>
      </c>
      <c r="AD158" t="s">
        <v>48</v>
      </c>
    </row>
    <row r="159" spans="1:30" x14ac:dyDescent="0.35">
      <c r="A159" s="1" t="s">
        <v>30</v>
      </c>
      <c r="B159" t="s">
        <v>31</v>
      </c>
      <c r="C159" t="s">
        <v>399</v>
      </c>
      <c r="D159" t="s">
        <v>2237</v>
      </c>
      <c r="E159" t="s">
        <v>2238</v>
      </c>
      <c r="F159" t="s">
        <v>801</v>
      </c>
      <c r="G159" t="s">
        <v>802</v>
      </c>
      <c r="H159" t="s">
        <v>1290</v>
      </c>
      <c r="I159" t="s">
        <v>64</v>
      </c>
      <c r="J159" t="s">
        <v>1290</v>
      </c>
      <c r="K159" s="2">
        <v>46337</v>
      </c>
      <c r="L159" s="2">
        <v>46356</v>
      </c>
      <c r="N159" s="2">
        <v>46327</v>
      </c>
      <c r="O159" s="2">
        <v>47058</v>
      </c>
      <c r="P159">
        <v>24</v>
      </c>
      <c r="Q159" t="s">
        <v>40</v>
      </c>
      <c r="R159" t="s">
        <v>88</v>
      </c>
      <c r="S159" t="s">
        <v>96</v>
      </c>
      <c r="T159" t="s">
        <v>97</v>
      </c>
      <c r="U159" t="s">
        <v>44</v>
      </c>
      <c r="V159" t="s">
        <v>81</v>
      </c>
      <c r="W159" t="s">
        <v>46</v>
      </c>
      <c r="X159" t="s">
        <v>47</v>
      </c>
      <c r="Y159">
        <v>146031.24</v>
      </c>
      <c r="Z159">
        <v>94920.3</v>
      </c>
      <c r="AA159">
        <v>0.65</v>
      </c>
      <c r="AB159" t="s">
        <v>1290</v>
      </c>
      <c r="AC159" t="s">
        <v>1290</v>
      </c>
      <c r="AD159" t="s">
        <v>48</v>
      </c>
    </row>
    <row r="160" spans="1:30" x14ac:dyDescent="0.35">
      <c r="A160" s="1" t="s">
        <v>30</v>
      </c>
      <c r="B160" t="s">
        <v>31</v>
      </c>
      <c r="C160" t="s">
        <v>399</v>
      </c>
      <c r="D160" t="s">
        <v>2239</v>
      </c>
      <c r="E160" t="s">
        <v>2240</v>
      </c>
      <c r="F160" t="s">
        <v>823</v>
      </c>
      <c r="G160" t="s">
        <v>824</v>
      </c>
      <c r="H160" t="s">
        <v>1295</v>
      </c>
      <c r="I160" t="s">
        <v>64</v>
      </c>
      <c r="J160" t="s">
        <v>1295</v>
      </c>
      <c r="K160" s="2">
        <v>46340</v>
      </c>
      <c r="L160" s="2">
        <v>46356</v>
      </c>
      <c r="N160" s="2">
        <v>46327</v>
      </c>
      <c r="O160" s="2">
        <v>46692</v>
      </c>
      <c r="P160">
        <v>12</v>
      </c>
      <c r="Q160" t="s">
        <v>104</v>
      </c>
      <c r="R160" t="s">
        <v>41</v>
      </c>
      <c r="S160" t="s">
        <v>182</v>
      </c>
      <c r="T160" t="s">
        <v>97</v>
      </c>
      <c r="U160" t="s">
        <v>44</v>
      </c>
      <c r="V160" t="s">
        <v>144</v>
      </c>
      <c r="W160" t="s">
        <v>142</v>
      </c>
      <c r="X160" t="s">
        <v>143</v>
      </c>
      <c r="Y160">
        <v>174784.71</v>
      </c>
      <c r="Z160">
        <v>139827.76999999999</v>
      </c>
      <c r="AA160">
        <v>0.8</v>
      </c>
      <c r="AB160" t="s">
        <v>1295</v>
      </c>
      <c r="AC160" t="s">
        <v>1295</v>
      </c>
      <c r="AD160" t="s">
        <v>48</v>
      </c>
    </row>
    <row r="161" spans="1:30" x14ac:dyDescent="0.35">
      <c r="A161" s="1" t="s">
        <v>30</v>
      </c>
      <c r="B161" t="s">
        <v>31</v>
      </c>
      <c r="C161" t="s">
        <v>399</v>
      </c>
      <c r="D161" t="s">
        <v>2241</v>
      </c>
      <c r="E161" t="s">
        <v>2242</v>
      </c>
      <c r="F161" t="s">
        <v>1293</v>
      </c>
      <c r="G161" t="s">
        <v>1294</v>
      </c>
      <c r="H161" t="s">
        <v>1295</v>
      </c>
      <c r="I161" t="s">
        <v>103</v>
      </c>
      <c r="J161" t="s">
        <v>1295</v>
      </c>
      <c r="K161" s="2">
        <v>46332</v>
      </c>
      <c r="L161" s="2">
        <v>46356</v>
      </c>
      <c r="N161" s="2">
        <v>46327</v>
      </c>
      <c r="O161" s="2">
        <v>47058</v>
      </c>
      <c r="P161">
        <v>24</v>
      </c>
      <c r="Q161" t="s">
        <v>104</v>
      </c>
      <c r="R161" t="s">
        <v>41</v>
      </c>
      <c r="S161" t="s">
        <v>141</v>
      </c>
      <c r="T161" t="s">
        <v>131</v>
      </c>
      <c r="U161" t="s">
        <v>106</v>
      </c>
      <c r="V161" t="s">
        <v>81</v>
      </c>
      <c r="W161" t="s">
        <v>46</v>
      </c>
      <c r="X161" t="s">
        <v>68</v>
      </c>
      <c r="Y161">
        <v>190522.39</v>
      </c>
      <c r="Z161">
        <v>66682.84</v>
      </c>
      <c r="AA161">
        <v>0.35</v>
      </c>
      <c r="AB161" t="s">
        <v>1295</v>
      </c>
      <c r="AC161" t="s">
        <v>1295</v>
      </c>
      <c r="AD161" t="s">
        <v>48</v>
      </c>
    </row>
    <row r="162" spans="1:30" x14ac:dyDescent="0.35">
      <c r="A162" s="1" t="s">
        <v>30</v>
      </c>
      <c r="B162" t="s">
        <v>31</v>
      </c>
      <c r="C162" t="s">
        <v>399</v>
      </c>
      <c r="D162" t="s">
        <v>2243</v>
      </c>
      <c r="E162" t="s">
        <v>2244</v>
      </c>
      <c r="F162" t="s">
        <v>1521</v>
      </c>
      <c r="G162" t="s">
        <v>1522</v>
      </c>
      <c r="H162" t="s">
        <v>1295</v>
      </c>
      <c r="I162" t="s">
        <v>103</v>
      </c>
      <c r="J162" t="s">
        <v>1295</v>
      </c>
      <c r="K162" s="2">
        <v>46337</v>
      </c>
      <c r="L162" s="2">
        <v>46356</v>
      </c>
      <c r="N162" s="2">
        <v>46327</v>
      </c>
      <c r="O162" s="2">
        <v>47058</v>
      </c>
      <c r="P162">
        <v>24</v>
      </c>
      <c r="Q162" t="s">
        <v>65</v>
      </c>
      <c r="R162" t="s">
        <v>88</v>
      </c>
      <c r="S162" t="s">
        <v>130</v>
      </c>
      <c r="T162" t="s">
        <v>131</v>
      </c>
      <c r="U162" t="s">
        <v>44</v>
      </c>
      <c r="V162" t="s">
        <v>217</v>
      </c>
      <c r="W162" t="s">
        <v>82</v>
      </c>
      <c r="X162" t="s">
        <v>125</v>
      </c>
      <c r="Y162">
        <v>148760.23000000001</v>
      </c>
      <c r="Z162">
        <v>52066.080000000002</v>
      </c>
      <c r="AA162">
        <v>0.35</v>
      </c>
      <c r="AB162" t="s">
        <v>1295</v>
      </c>
      <c r="AC162" t="s">
        <v>1295</v>
      </c>
      <c r="AD162" t="s">
        <v>48</v>
      </c>
    </row>
    <row r="163" spans="1:30" x14ac:dyDescent="0.35">
      <c r="A163" s="1" t="s">
        <v>30</v>
      </c>
      <c r="B163" t="s">
        <v>31</v>
      </c>
      <c r="C163" t="s">
        <v>399</v>
      </c>
      <c r="D163" t="s">
        <v>2245</v>
      </c>
      <c r="E163" t="s">
        <v>2246</v>
      </c>
      <c r="F163" t="s">
        <v>2247</v>
      </c>
      <c r="G163" t="s">
        <v>2248</v>
      </c>
      <c r="H163" t="s">
        <v>1295</v>
      </c>
      <c r="I163" t="s">
        <v>103</v>
      </c>
      <c r="J163" t="s">
        <v>1295</v>
      </c>
      <c r="K163" s="2">
        <v>46327</v>
      </c>
      <c r="L163" s="2">
        <v>46356</v>
      </c>
      <c r="N163" s="2">
        <v>46327</v>
      </c>
      <c r="O163" s="2">
        <v>46692</v>
      </c>
      <c r="P163">
        <v>12</v>
      </c>
      <c r="Q163" t="s">
        <v>40</v>
      </c>
      <c r="R163" t="s">
        <v>88</v>
      </c>
      <c r="S163" t="s">
        <v>135</v>
      </c>
      <c r="T163" t="s">
        <v>131</v>
      </c>
      <c r="U163" t="s">
        <v>106</v>
      </c>
      <c r="V163" t="s">
        <v>45</v>
      </c>
      <c r="W163" t="s">
        <v>82</v>
      </c>
      <c r="X163" t="s">
        <v>125</v>
      </c>
      <c r="Y163">
        <v>204854.67</v>
      </c>
      <c r="Z163">
        <v>102427.33</v>
      </c>
      <c r="AA163">
        <v>0.5</v>
      </c>
      <c r="AB163" t="s">
        <v>1295</v>
      </c>
      <c r="AC163" t="s">
        <v>1295</v>
      </c>
      <c r="AD163" t="s">
        <v>48</v>
      </c>
    </row>
    <row r="164" spans="1:30" x14ac:dyDescent="0.35">
      <c r="A164" s="1" t="s">
        <v>30</v>
      </c>
      <c r="B164" t="s">
        <v>31</v>
      </c>
      <c r="C164" t="s">
        <v>399</v>
      </c>
      <c r="D164" t="s">
        <v>2249</v>
      </c>
      <c r="E164" t="s">
        <v>2250</v>
      </c>
      <c r="F164" t="s">
        <v>2251</v>
      </c>
      <c r="G164" t="s">
        <v>2252</v>
      </c>
      <c r="H164" t="s">
        <v>1302</v>
      </c>
      <c r="I164" t="s">
        <v>117</v>
      </c>
      <c r="J164" t="s">
        <v>39</v>
      </c>
      <c r="K164" s="2">
        <v>46331</v>
      </c>
      <c r="L164" s="2">
        <v>46356</v>
      </c>
      <c r="N164" s="2">
        <v>46327</v>
      </c>
      <c r="O164" s="2">
        <v>46692</v>
      </c>
      <c r="P164">
        <v>12</v>
      </c>
      <c r="Q164" t="s">
        <v>40</v>
      </c>
      <c r="R164" t="s">
        <v>41</v>
      </c>
      <c r="S164" t="s">
        <v>135</v>
      </c>
      <c r="T164" t="s">
        <v>131</v>
      </c>
      <c r="U164" t="s">
        <v>44</v>
      </c>
      <c r="V164" t="s">
        <v>81</v>
      </c>
      <c r="W164" t="s">
        <v>132</v>
      </c>
      <c r="X164" t="s">
        <v>158</v>
      </c>
      <c r="Y164">
        <v>170712.74</v>
      </c>
      <c r="Z164">
        <v>85356.37</v>
      </c>
      <c r="AA164">
        <v>0.5</v>
      </c>
      <c r="AB164" t="s">
        <v>39</v>
      </c>
      <c r="AC164" t="s">
        <v>39</v>
      </c>
      <c r="AD164" t="s">
        <v>48</v>
      </c>
    </row>
    <row r="165" spans="1:30" x14ac:dyDescent="0.35">
      <c r="A165" s="1" t="s">
        <v>30</v>
      </c>
      <c r="B165" t="s">
        <v>31</v>
      </c>
      <c r="C165" t="s">
        <v>399</v>
      </c>
      <c r="D165" t="s">
        <v>2253</v>
      </c>
      <c r="E165" t="s">
        <v>2254</v>
      </c>
      <c r="F165" t="s">
        <v>2255</v>
      </c>
      <c r="G165" t="s">
        <v>2256</v>
      </c>
      <c r="H165" t="s">
        <v>1302</v>
      </c>
      <c r="I165" t="s">
        <v>103</v>
      </c>
      <c r="J165" t="s">
        <v>39</v>
      </c>
      <c r="K165" s="2">
        <v>46334</v>
      </c>
      <c r="L165" s="2">
        <v>46356</v>
      </c>
      <c r="N165" s="2">
        <v>46327</v>
      </c>
      <c r="O165" s="2">
        <v>47423</v>
      </c>
      <c r="P165">
        <v>36</v>
      </c>
      <c r="Q165" t="s">
        <v>40</v>
      </c>
      <c r="R165" t="s">
        <v>53</v>
      </c>
      <c r="S165" t="s">
        <v>164</v>
      </c>
      <c r="T165" t="s">
        <v>55</v>
      </c>
      <c r="U165" t="s">
        <v>106</v>
      </c>
      <c r="V165" t="s">
        <v>144</v>
      </c>
      <c r="W165" t="s">
        <v>136</v>
      </c>
      <c r="X165" t="s">
        <v>143</v>
      </c>
      <c r="Y165">
        <v>122294.02</v>
      </c>
      <c r="Z165">
        <v>42802.91</v>
      </c>
      <c r="AA165">
        <v>0.35</v>
      </c>
      <c r="AB165" t="s">
        <v>39</v>
      </c>
      <c r="AC165" t="s">
        <v>39</v>
      </c>
      <c r="AD165" t="s">
        <v>48</v>
      </c>
    </row>
    <row r="166" spans="1:30" x14ac:dyDescent="0.35">
      <c r="A166" s="1" t="s">
        <v>30</v>
      </c>
      <c r="B166" t="s">
        <v>31</v>
      </c>
      <c r="C166" t="s">
        <v>399</v>
      </c>
      <c r="D166" t="s">
        <v>2257</v>
      </c>
      <c r="E166" t="s">
        <v>2258</v>
      </c>
      <c r="F166" t="s">
        <v>2259</v>
      </c>
      <c r="G166" t="s">
        <v>2260</v>
      </c>
      <c r="H166" t="s">
        <v>1302</v>
      </c>
      <c r="I166" t="s">
        <v>103</v>
      </c>
      <c r="J166" t="s">
        <v>39</v>
      </c>
      <c r="K166" s="2">
        <v>46340</v>
      </c>
      <c r="L166" s="2">
        <v>46356</v>
      </c>
      <c r="N166" s="2">
        <v>46327</v>
      </c>
      <c r="O166" s="2">
        <v>46692</v>
      </c>
      <c r="P166">
        <v>12</v>
      </c>
      <c r="Q166" t="s">
        <v>40</v>
      </c>
      <c r="R166" t="s">
        <v>41</v>
      </c>
      <c r="S166" t="s">
        <v>140</v>
      </c>
      <c r="T166" t="s">
        <v>97</v>
      </c>
      <c r="U166" t="s">
        <v>44</v>
      </c>
      <c r="V166" t="s">
        <v>98</v>
      </c>
      <c r="W166" t="s">
        <v>142</v>
      </c>
      <c r="X166" t="s">
        <v>59</v>
      </c>
      <c r="Y166">
        <v>106885.24</v>
      </c>
      <c r="Z166">
        <v>37409.83</v>
      </c>
      <c r="AA166">
        <v>0.35</v>
      </c>
      <c r="AB166" t="s">
        <v>39</v>
      </c>
      <c r="AC166" t="s">
        <v>39</v>
      </c>
      <c r="AD166" t="s">
        <v>48</v>
      </c>
    </row>
    <row r="167" spans="1:30" x14ac:dyDescent="0.35">
      <c r="A167" s="1" t="s">
        <v>30</v>
      </c>
      <c r="B167" t="s">
        <v>31</v>
      </c>
      <c r="C167" t="s">
        <v>454</v>
      </c>
      <c r="D167" t="s">
        <v>455</v>
      </c>
      <c r="E167" t="s">
        <v>456</v>
      </c>
      <c r="F167" t="s">
        <v>457</v>
      </c>
      <c r="G167" t="s">
        <v>458</v>
      </c>
      <c r="H167" t="s">
        <v>37</v>
      </c>
      <c r="I167" t="s">
        <v>117</v>
      </c>
      <c r="J167" t="s">
        <v>39</v>
      </c>
      <c r="K167" s="2">
        <v>46363</v>
      </c>
      <c r="L167" s="2">
        <v>46387</v>
      </c>
      <c r="N167" s="2">
        <v>46357</v>
      </c>
      <c r="O167" s="2">
        <v>46722</v>
      </c>
      <c r="P167">
        <v>12</v>
      </c>
      <c r="Q167" t="s">
        <v>104</v>
      </c>
      <c r="R167" t="s">
        <v>41</v>
      </c>
      <c r="S167" t="s">
        <v>149</v>
      </c>
      <c r="T167" t="s">
        <v>131</v>
      </c>
      <c r="U167" t="s">
        <v>56</v>
      </c>
      <c r="V167" t="s">
        <v>144</v>
      </c>
      <c r="W167" t="s">
        <v>161</v>
      </c>
      <c r="X167" t="s">
        <v>83</v>
      </c>
      <c r="Y167">
        <v>176508.88</v>
      </c>
      <c r="Z167">
        <v>88254.44</v>
      </c>
      <c r="AA167">
        <v>0.5</v>
      </c>
      <c r="AB167" t="s">
        <v>39</v>
      </c>
      <c r="AC167" t="s">
        <v>39</v>
      </c>
      <c r="AD167" t="s">
        <v>48</v>
      </c>
    </row>
    <row r="168" spans="1:30" x14ac:dyDescent="0.35">
      <c r="A168" s="1" t="s">
        <v>30</v>
      </c>
      <c r="B168" t="s">
        <v>31</v>
      </c>
      <c r="C168" t="s">
        <v>454</v>
      </c>
      <c r="D168" t="s">
        <v>459</v>
      </c>
      <c r="E168" t="s">
        <v>460</v>
      </c>
      <c r="F168" t="s">
        <v>461</v>
      </c>
      <c r="G168" t="s">
        <v>462</v>
      </c>
      <c r="H168" t="s">
        <v>37</v>
      </c>
      <c r="I168" t="s">
        <v>103</v>
      </c>
      <c r="J168" t="s">
        <v>39</v>
      </c>
      <c r="K168" s="2">
        <v>46359</v>
      </c>
      <c r="L168" s="2">
        <v>46387</v>
      </c>
      <c r="N168" s="2">
        <v>46357</v>
      </c>
      <c r="O168" s="2">
        <v>46722</v>
      </c>
      <c r="P168">
        <v>12</v>
      </c>
      <c r="Q168" t="s">
        <v>40</v>
      </c>
      <c r="R168" t="s">
        <v>88</v>
      </c>
      <c r="S168" t="s">
        <v>182</v>
      </c>
      <c r="T168" t="s">
        <v>97</v>
      </c>
      <c r="U168" t="s">
        <v>106</v>
      </c>
      <c r="V168" t="s">
        <v>81</v>
      </c>
      <c r="W168" t="s">
        <v>142</v>
      </c>
      <c r="X168" t="s">
        <v>158</v>
      </c>
      <c r="Y168">
        <v>182288.52</v>
      </c>
      <c r="Z168">
        <v>145830.82</v>
      </c>
      <c r="AA168">
        <v>0.8</v>
      </c>
      <c r="AB168" t="s">
        <v>39</v>
      </c>
      <c r="AC168" t="s">
        <v>39</v>
      </c>
      <c r="AD168" t="s">
        <v>48</v>
      </c>
    </row>
    <row r="169" spans="1:30" x14ac:dyDescent="0.35">
      <c r="A169" s="1" t="s">
        <v>30</v>
      </c>
      <c r="B169" t="s">
        <v>31</v>
      </c>
      <c r="C169" t="s">
        <v>454</v>
      </c>
      <c r="D169" t="s">
        <v>463</v>
      </c>
      <c r="E169" t="s">
        <v>464</v>
      </c>
      <c r="F169" t="s">
        <v>465</v>
      </c>
      <c r="G169" t="s">
        <v>466</v>
      </c>
      <c r="H169" t="s">
        <v>37</v>
      </c>
      <c r="I169" t="s">
        <v>38</v>
      </c>
      <c r="J169" t="s">
        <v>39</v>
      </c>
      <c r="K169" s="2">
        <v>46371</v>
      </c>
      <c r="L169" s="2">
        <v>46387</v>
      </c>
      <c r="N169" s="2">
        <v>46357</v>
      </c>
      <c r="O169" s="2">
        <v>47453</v>
      </c>
      <c r="P169">
        <v>36</v>
      </c>
      <c r="Q169" t="s">
        <v>65</v>
      </c>
      <c r="R169" t="s">
        <v>88</v>
      </c>
      <c r="S169" t="s">
        <v>141</v>
      </c>
      <c r="T169" t="s">
        <v>131</v>
      </c>
      <c r="U169" t="s">
        <v>56</v>
      </c>
      <c r="V169" t="s">
        <v>98</v>
      </c>
      <c r="W169" t="s">
        <v>120</v>
      </c>
      <c r="X169" t="s">
        <v>91</v>
      </c>
      <c r="Y169">
        <v>213872.22</v>
      </c>
      <c r="Z169">
        <v>171097.78</v>
      </c>
      <c r="AA169">
        <v>0.8</v>
      </c>
      <c r="AB169" t="s">
        <v>39</v>
      </c>
      <c r="AC169" t="s">
        <v>39</v>
      </c>
      <c r="AD169" t="s">
        <v>48</v>
      </c>
    </row>
    <row r="170" spans="1:30" x14ac:dyDescent="0.35">
      <c r="A170" s="1" t="s">
        <v>30</v>
      </c>
      <c r="B170" t="s">
        <v>31</v>
      </c>
      <c r="C170" t="s">
        <v>454</v>
      </c>
      <c r="D170" t="s">
        <v>467</v>
      </c>
      <c r="E170" t="s">
        <v>468</v>
      </c>
      <c r="F170" t="s">
        <v>469</v>
      </c>
      <c r="G170" t="s">
        <v>470</v>
      </c>
      <c r="H170" t="s">
        <v>37</v>
      </c>
      <c r="I170" t="s">
        <v>64</v>
      </c>
      <c r="J170" t="s">
        <v>39</v>
      </c>
      <c r="K170" s="2">
        <v>46359</v>
      </c>
      <c r="L170" s="2">
        <v>46387</v>
      </c>
      <c r="N170" s="2">
        <v>46357</v>
      </c>
      <c r="O170" s="2">
        <v>46722</v>
      </c>
      <c r="P170">
        <v>12</v>
      </c>
      <c r="Q170" t="s">
        <v>104</v>
      </c>
      <c r="R170" t="s">
        <v>41</v>
      </c>
      <c r="S170" t="s">
        <v>130</v>
      </c>
      <c r="T170" t="s">
        <v>131</v>
      </c>
      <c r="U170" t="s">
        <v>44</v>
      </c>
      <c r="V170" t="s">
        <v>138</v>
      </c>
      <c r="W170" t="s">
        <v>142</v>
      </c>
      <c r="X170" t="s">
        <v>83</v>
      </c>
      <c r="Y170">
        <v>140343.15</v>
      </c>
      <c r="Z170">
        <v>91223.05</v>
      </c>
      <c r="AA170">
        <v>0.65</v>
      </c>
      <c r="AB170" t="s">
        <v>39</v>
      </c>
      <c r="AC170" t="s">
        <v>39</v>
      </c>
      <c r="AD170" t="s">
        <v>48</v>
      </c>
    </row>
    <row r="171" spans="1:30" x14ac:dyDescent="0.35">
      <c r="A171" s="1" t="s">
        <v>30</v>
      </c>
      <c r="B171" t="s">
        <v>31</v>
      </c>
      <c r="C171" t="s">
        <v>454</v>
      </c>
      <c r="D171" t="s">
        <v>471</v>
      </c>
      <c r="E171" t="s">
        <v>472</v>
      </c>
      <c r="F171" t="s">
        <v>473</v>
      </c>
      <c r="G171" t="s">
        <v>474</v>
      </c>
      <c r="H171" t="s">
        <v>37</v>
      </c>
      <c r="I171" t="s">
        <v>117</v>
      </c>
      <c r="J171" t="s">
        <v>39</v>
      </c>
      <c r="K171" s="2">
        <v>46361</v>
      </c>
      <c r="L171" s="2">
        <v>46387</v>
      </c>
      <c r="N171" s="2">
        <v>46357</v>
      </c>
      <c r="O171" s="2">
        <v>46722</v>
      </c>
      <c r="P171">
        <v>12</v>
      </c>
      <c r="Q171" t="s">
        <v>40</v>
      </c>
      <c r="R171" t="s">
        <v>53</v>
      </c>
      <c r="S171" t="s">
        <v>89</v>
      </c>
      <c r="T171" t="s">
        <v>55</v>
      </c>
      <c r="U171" t="s">
        <v>106</v>
      </c>
      <c r="V171" t="s">
        <v>138</v>
      </c>
      <c r="W171" t="s">
        <v>142</v>
      </c>
      <c r="X171" t="s">
        <v>59</v>
      </c>
      <c r="Y171">
        <v>109072.66</v>
      </c>
      <c r="Z171">
        <v>38175.43</v>
      </c>
      <c r="AA171">
        <v>0.35</v>
      </c>
      <c r="AB171" t="s">
        <v>39</v>
      </c>
      <c r="AC171" t="s">
        <v>39</v>
      </c>
      <c r="AD171" t="s">
        <v>48</v>
      </c>
    </row>
    <row r="172" spans="1:30" x14ac:dyDescent="0.35">
      <c r="A172" s="1" t="s">
        <v>30</v>
      </c>
      <c r="B172" t="s">
        <v>31</v>
      </c>
      <c r="C172" t="s">
        <v>454</v>
      </c>
      <c r="D172" t="s">
        <v>475</v>
      </c>
      <c r="E172" t="s">
        <v>476</v>
      </c>
      <c r="F172" t="s">
        <v>477</v>
      </c>
      <c r="G172" t="s">
        <v>478</v>
      </c>
      <c r="H172" t="s">
        <v>37</v>
      </c>
      <c r="I172" t="s">
        <v>64</v>
      </c>
      <c r="J172" t="s">
        <v>39</v>
      </c>
      <c r="K172" s="2">
        <v>46367</v>
      </c>
      <c r="L172" s="2">
        <v>46387</v>
      </c>
      <c r="N172" s="2">
        <v>46357</v>
      </c>
      <c r="O172" s="2">
        <v>46722</v>
      </c>
      <c r="P172">
        <v>12</v>
      </c>
      <c r="Q172" t="s">
        <v>40</v>
      </c>
      <c r="R172" t="s">
        <v>41</v>
      </c>
      <c r="S172" t="s">
        <v>140</v>
      </c>
      <c r="T172" t="s">
        <v>97</v>
      </c>
      <c r="U172" t="s">
        <v>44</v>
      </c>
      <c r="V172" t="s">
        <v>81</v>
      </c>
      <c r="W172" t="s">
        <v>58</v>
      </c>
      <c r="X172" t="s">
        <v>143</v>
      </c>
      <c r="Y172">
        <v>136679.01999999999</v>
      </c>
      <c r="Z172">
        <v>47837.66</v>
      </c>
      <c r="AA172">
        <v>0.35</v>
      </c>
      <c r="AB172" t="s">
        <v>39</v>
      </c>
      <c r="AC172" t="s">
        <v>39</v>
      </c>
      <c r="AD172" t="s">
        <v>48</v>
      </c>
    </row>
    <row r="173" spans="1:30" x14ac:dyDescent="0.35">
      <c r="A173" s="1" t="s">
        <v>30</v>
      </c>
      <c r="B173" t="s">
        <v>31</v>
      </c>
      <c r="C173" t="s">
        <v>454</v>
      </c>
      <c r="D173" t="s">
        <v>479</v>
      </c>
      <c r="E173" t="s">
        <v>480</v>
      </c>
      <c r="F173" t="s">
        <v>481</v>
      </c>
      <c r="G173" t="s">
        <v>482</v>
      </c>
      <c r="H173" t="s">
        <v>37</v>
      </c>
      <c r="I173" t="s">
        <v>64</v>
      </c>
      <c r="J173" t="s">
        <v>39</v>
      </c>
      <c r="K173" s="2">
        <v>46371</v>
      </c>
      <c r="L173" s="2">
        <v>46387</v>
      </c>
      <c r="N173" s="2">
        <v>46357</v>
      </c>
      <c r="O173" s="2">
        <v>46722</v>
      </c>
      <c r="P173">
        <v>12</v>
      </c>
      <c r="Q173" t="s">
        <v>104</v>
      </c>
      <c r="R173" t="s">
        <v>41</v>
      </c>
      <c r="S173" t="s">
        <v>66</v>
      </c>
      <c r="T173" t="s">
        <v>55</v>
      </c>
      <c r="U173" t="s">
        <v>44</v>
      </c>
      <c r="V173" t="s">
        <v>119</v>
      </c>
      <c r="W173" t="s">
        <v>120</v>
      </c>
      <c r="X173" t="s">
        <v>59</v>
      </c>
      <c r="Y173">
        <v>157719.06</v>
      </c>
      <c r="Z173">
        <v>126175.25</v>
      </c>
      <c r="AA173">
        <v>0.8</v>
      </c>
      <c r="AB173" t="s">
        <v>39</v>
      </c>
      <c r="AC173" t="s">
        <v>39</v>
      </c>
      <c r="AD173" t="s">
        <v>48</v>
      </c>
    </row>
    <row r="174" spans="1:30" x14ac:dyDescent="0.35">
      <c r="A174" s="1" t="s">
        <v>30</v>
      </c>
      <c r="B174" t="s">
        <v>31</v>
      </c>
      <c r="C174" t="s">
        <v>454</v>
      </c>
      <c r="D174" t="s">
        <v>483</v>
      </c>
      <c r="E174" t="s">
        <v>484</v>
      </c>
      <c r="F174" t="s">
        <v>485</v>
      </c>
      <c r="G174" t="s">
        <v>486</v>
      </c>
      <c r="H174" t="s">
        <v>37</v>
      </c>
      <c r="I174" t="s">
        <v>64</v>
      </c>
      <c r="J174" t="s">
        <v>39</v>
      </c>
      <c r="K174" s="2">
        <v>46368</v>
      </c>
      <c r="L174" s="2">
        <v>46387</v>
      </c>
      <c r="N174" s="2">
        <v>46357</v>
      </c>
      <c r="O174" s="2">
        <v>47088</v>
      </c>
      <c r="P174">
        <v>24</v>
      </c>
      <c r="Q174" t="s">
        <v>65</v>
      </c>
      <c r="R174" t="s">
        <v>88</v>
      </c>
      <c r="S174" t="s">
        <v>54</v>
      </c>
      <c r="T174" t="s">
        <v>55</v>
      </c>
      <c r="U174" t="s">
        <v>44</v>
      </c>
      <c r="V174" t="s">
        <v>81</v>
      </c>
      <c r="W174" t="s">
        <v>75</v>
      </c>
      <c r="X174" t="s">
        <v>158</v>
      </c>
      <c r="Y174">
        <v>111067.97</v>
      </c>
      <c r="Z174">
        <v>72194.179999999993</v>
      </c>
      <c r="AA174">
        <v>0.65</v>
      </c>
      <c r="AB174" t="s">
        <v>39</v>
      </c>
      <c r="AC174" t="s">
        <v>39</v>
      </c>
      <c r="AD174" t="s">
        <v>48</v>
      </c>
    </row>
    <row r="175" spans="1:30" x14ac:dyDescent="0.35">
      <c r="A175" s="1" t="s">
        <v>30</v>
      </c>
      <c r="B175" t="s">
        <v>31</v>
      </c>
      <c r="C175" t="s">
        <v>454</v>
      </c>
      <c r="D175" t="s">
        <v>487</v>
      </c>
      <c r="E175" t="s">
        <v>488</v>
      </c>
      <c r="F175" t="s">
        <v>489</v>
      </c>
      <c r="G175" t="s">
        <v>490</v>
      </c>
      <c r="H175" t="s">
        <v>37</v>
      </c>
      <c r="I175" t="s">
        <v>111</v>
      </c>
      <c r="J175" t="s">
        <v>39</v>
      </c>
      <c r="K175" s="2">
        <v>46368</v>
      </c>
      <c r="L175" s="2">
        <v>46387</v>
      </c>
      <c r="N175" s="2">
        <v>46357</v>
      </c>
      <c r="O175" s="2">
        <v>46722</v>
      </c>
      <c r="P175">
        <v>12</v>
      </c>
      <c r="Q175" t="s">
        <v>104</v>
      </c>
      <c r="R175" t="s">
        <v>53</v>
      </c>
      <c r="S175" t="s">
        <v>80</v>
      </c>
      <c r="T175" t="s">
        <v>43</v>
      </c>
      <c r="U175" t="s">
        <v>56</v>
      </c>
      <c r="V175" t="s">
        <v>144</v>
      </c>
      <c r="W175" t="s">
        <v>75</v>
      </c>
      <c r="X175" t="s">
        <v>143</v>
      </c>
      <c r="Y175">
        <v>118291.14</v>
      </c>
      <c r="Z175">
        <v>41401.9</v>
      </c>
      <c r="AA175">
        <v>0.35</v>
      </c>
      <c r="AB175" t="s">
        <v>39</v>
      </c>
      <c r="AC175" t="s">
        <v>39</v>
      </c>
      <c r="AD175" t="s">
        <v>48</v>
      </c>
    </row>
    <row r="176" spans="1:30" x14ac:dyDescent="0.35">
      <c r="A176" s="1" t="s">
        <v>30</v>
      </c>
      <c r="B176" t="s">
        <v>31</v>
      </c>
      <c r="C176" t="s">
        <v>454</v>
      </c>
      <c r="D176" t="s">
        <v>491</v>
      </c>
      <c r="E176" t="s">
        <v>492</v>
      </c>
      <c r="F176" t="s">
        <v>493</v>
      </c>
      <c r="G176" t="s">
        <v>494</v>
      </c>
      <c r="H176" t="s">
        <v>37</v>
      </c>
      <c r="I176" t="s">
        <v>64</v>
      </c>
      <c r="J176" t="s">
        <v>39</v>
      </c>
      <c r="K176" s="2">
        <v>46365</v>
      </c>
      <c r="L176" s="2">
        <v>46387</v>
      </c>
      <c r="N176" s="2">
        <v>46357</v>
      </c>
      <c r="O176" s="2">
        <v>47088</v>
      </c>
      <c r="P176">
        <v>24</v>
      </c>
      <c r="Q176" t="s">
        <v>65</v>
      </c>
      <c r="R176" t="s">
        <v>53</v>
      </c>
      <c r="S176" t="s">
        <v>162</v>
      </c>
      <c r="T176" t="s">
        <v>43</v>
      </c>
      <c r="U176" t="s">
        <v>106</v>
      </c>
      <c r="V176" t="s">
        <v>57</v>
      </c>
      <c r="W176" t="s">
        <v>82</v>
      </c>
      <c r="X176" t="s">
        <v>143</v>
      </c>
      <c r="Y176">
        <v>220036.73</v>
      </c>
      <c r="Z176">
        <v>176029.39</v>
      </c>
      <c r="AA176">
        <v>0.8</v>
      </c>
      <c r="AB176" t="s">
        <v>39</v>
      </c>
      <c r="AC176" t="s">
        <v>39</v>
      </c>
      <c r="AD176" t="s">
        <v>48</v>
      </c>
    </row>
    <row r="177" spans="1:30" x14ac:dyDescent="0.35">
      <c r="A177" s="1" t="s">
        <v>30</v>
      </c>
      <c r="B177" t="s">
        <v>31</v>
      </c>
      <c r="C177" t="s">
        <v>454</v>
      </c>
      <c r="D177" t="s">
        <v>495</v>
      </c>
      <c r="E177" t="s">
        <v>496</v>
      </c>
      <c r="F177" t="s">
        <v>497</v>
      </c>
      <c r="G177" t="s">
        <v>498</v>
      </c>
      <c r="H177" t="s">
        <v>37</v>
      </c>
      <c r="I177" t="s">
        <v>103</v>
      </c>
      <c r="J177" t="s">
        <v>39</v>
      </c>
      <c r="K177" s="2">
        <v>46371</v>
      </c>
      <c r="L177" s="2">
        <v>46387</v>
      </c>
      <c r="N177" s="2">
        <v>46357</v>
      </c>
      <c r="O177" s="2">
        <v>47453</v>
      </c>
      <c r="P177">
        <v>36</v>
      </c>
      <c r="Q177" t="s">
        <v>65</v>
      </c>
      <c r="R177" t="s">
        <v>88</v>
      </c>
      <c r="S177" t="s">
        <v>164</v>
      </c>
      <c r="T177" t="s">
        <v>55</v>
      </c>
      <c r="U177" t="s">
        <v>56</v>
      </c>
      <c r="V177" t="s">
        <v>81</v>
      </c>
      <c r="W177" t="s">
        <v>161</v>
      </c>
      <c r="X177" t="s">
        <v>47</v>
      </c>
      <c r="Y177">
        <v>180084.65</v>
      </c>
      <c r="Z177">
        <v>144067.72</v>
      </c>
      <c r="AA177">
        <v>0.8</v>
      </c>
      <c r="AB177" t="s">
        <v>39</v>
      </c>
      <c r="AC177" t="s">
        <v>39</v>
      </c>
      <c r="AD177" t="s">
        <v>48</v>
      </c>
    </row>
    <row r="178" spans="1:30" x14ac:dyDescent="0.35">
      <c r="A178" s="1" t="s">
        <v>30</v>
      </c>
      <c r="B178" t="s">
        <v>31</v>
      </c>
      <c r="C178" t="s">
        <v>454</v>
      </c>
      <c r="D178" t="s">
        <v>2261</v>
      </c>
      <c r="E178" t="s">
        <v>2262</v>
      </c>
      <c r="F178" t="s">
        <v>2263</v>
      </c>
      <c r="G178" t="s">
        <v>2264</v>
      </c>
      <c r="H178" t="s">
        <v>1271</v>
      </c>
      <c r="I178" t="s">
        <v>64</v>
      </c>
      <c r="J178" t="s">
        <v>39</v>
      </c>
      <c r="K178" s="2">
        <v>46369</v>
      </c>
      <c r="L178" s="2">
        <v>46387</v>
      </c>
      <c r="N178" s="2">
        <v>46357</v>
      </c>
      <c r="O178" s="2">
        <v>46722</v>
      </c>
      <c r="P178">
        <v>12</v>
      </c>
      <c r="Q178" t="s">
        <v>40</v>
      </c>
      <c r="R178" t="s">
        <v>88</v>
      </c>
      <c r="S178" t="s">
        <v>118</v>
      </c>
      <c r="T178" t="s">
        <v>97</v>
      </c>
      <c r="U178" t="s">
        <v>44</v>
      </c>
      <c r="V178" t="s">
        <v>119</v>
      </c>
      <c r="W178" t="s">
        <v>90</v>
      </c>
      <c r="X178" t="s">
        <v>143</v>
      </c>
      <c r="Y178">
        <v>95172.01</v>
      </c>
      <c r="Z178">
        <v>76137.61</v>
      </c>
      <c r="AA178">
        <v>0.8</v>
      </c>
      <c r="AB178" t="s">
        <v>39</v>
      </c>
      <c r="AC178" t="s">
        <v>39</v>
      </c>
      <c r="AD178" t="s">
        <v>48</v>
      </c>
    </row>
    <row r="179" spans="1:30" x14ac:dyDescent="0.35">
      <c r="A179" s="1" t="s">
        <v>30</v>
      </c>
      <c r="B179" t="s">
        <v>31</v>
      </c>
      <c r="C179" t="s">
        <v>454</v>
      </c>
      <c r="D179" t="s">
        <v>2265</v>
      </c>
      <c r="E179" t="s">
        <v>2266</v>
      </c>
      <c r="F179" t="s">
        <v>2267</v>
      </c>
      <c r="G179" t="s">
        <v>2268</v>
      </c>
      <c r="H179" t="s">
        <v>1271</v>
      </c>
      <c r="I179" t="s">
        <v>64</v>
      </c>
      <c r="J179" t="s">
        <v>39</v>
      </c>
      <c r="K179" s="2">
        <v>46367</v>
      </c>
      <c r="L179" s="2">
        <v>46387</v>
      </c>
      <c r="N179" s="2">
        <v>46357</v>
      </c>
      <c r="O179" s="2">
        <v>46722</v>
      </c>
      <c r="P179">
        <v>12</v>
      </c>
      <c r="Q179" t="s">
        <v>104</v>
      </c>
      <c r="R179" t="s">
        <v>41</v>
      </c>
      <c r="S179" t="s">
        <v>137</v>
      </c>
      <c r="T179" t="s">
        <v>97</v>
      </c>
      <c r="U179" t="s">
        <v>44</v>
      </c>
      <c r="V179" t="s">
        <v>74</v>
      </c>
      <c r="W179" t="s">
        <v>136</v>
      </c>
      <c r="X179" t="s">
        <v>47</v>
      </c>
      <c r="Y179">
        <v>145033.25</v>
      </c>
      <c r="Z179">
        <v>94271.61</v>
      </c>
      <c r="AA179">
        <v>0.65</v>
      </c>
      <c r="AB179" t="s">
        <v>39</v>
      </c>
      <c r="AC179" t="s">
        <v>39</v>
      </c>
      <c r="AD179" t="s">
        <v>48</v>
      </c>
    </row>
    <row r="180" spans="1:30" x14ac:dyDescent="0.35">
      <c r="A180" s="1" t="s">
        <v>30</v>
      </c>
      <c r="B180" t="s">
        <v>31</v>
      </c>
      <c r="C180" t="s">
        <v>454</v>
      </c>
      <c r="D180" t="s">
        <v>2269</v>
      </c>
      <c r="E180" t="s">
        <v>2270</v>
      </c>
      <c r="F180" t="s">
        <v>2271</v>
      </c>
      <c r="G180" t="s">
        <v>2272</v>
      </c>
      <c r="H180" t="s">
        <v>1271</v>
      </c>
      <c r="I180" t="s">
        <v>111</v>
      </c>
      <c r="J180" t="s">
        <v>39</v>
      </c>
      <c r="K180" s="2">
        <v>46364</v>
      </c>
      <c r="L180" s="2">
        <v>46387</v>
      </c>
      <c r="N180" s="2">
        <v>46357</v>
      </c>
      <c r="O180" s="2">
        <v>46722</v>
      </c>
      <c r="P180">
        <v>12</v>
      </c>
      <c r="Q180" t="s">
        <v>40</v>
      </c>
      <c r="R180" t="s">
        <v>53</v>
      </c>
      <c r="S180" t="s">
        <v>80</v>
      </c>
      <c r="T180" t="s">
        <v>43</v>
      </c>
      <c r="U180" t="s">
        <v>106</v>
      </c>
      <c r="V180" t="s">
        <v>138</v>
      </c>
      <c r="W180" t="s">
        <v>136</v>
      </c>
      <c r="X180" t="s">
        <v>68</v>
      </c>
      <c r="Y180">
        <v>147693.82</v>
      </c>
      <c r="Z180">
        <v>73846.91</v>
      </c>
      <c r="AA180">
        <v>0.5</v>
      </c>
      <c r="AB180" t="s">
        <v>39</v>
      </c>
      <c r="AC180" t="s">
        <v>39</v>
      </c>
      <c r="AD180" t="s">
        <v>48</v>
      </c>
    </row>
    <row r="181" spans="1:30" x14ac:dyDescent="0.35">
      <c r="A181" s="1" t="s">
        <v>30</v>
      </c>
      <c r="B181" t="s">
        <v>31</v>
      </c>
      <c r="C181" t="s">
        <v>454</v>
      </c>
      <c r="D181" t="s">
        <v>2273</v>
      </c>
      <c r="E181" t="s">
        <v>2274</v>
      </c>
      <c r="F181" t="s">
        <v>340</v>
      </c>
      <c r="G181" t="s">
        <v>341</v>
      </c>
      <c r="H181" t="s">
        <v>1271</v>
      </c>
      <c r="I181" t="s">
        <v>38</v>
      </c>
      <c r="J181" t="s">
        <v>39</v>
      </c>
      <c r="K181" s="2">
        <v>46366</v>
      </c>
      <c r="L181" s="2">
        <v>46387</v>
      </c>
      <c r="N181" s="2">
        <v>46357</v>
      </c>
      <c r="O181" s="2">
        <v>46722</v>
      </c>
      <c r="P181">
        <v>12</v>
      </c>
      <c r="Q181" t="s">
        <v>65</v>
      </c>
      <c r="R181" t="s">
        <v>53</v>
      </c>
      <c r="S181" t="s">
        <v>112</v>
      </c>
      <c r="T181" t="s">
        <v>55</v>
      </c>
      <c r="U181" t="s">
        <v>56</v>
      </c>
      <c r="V181" t="s">
        <v>81</v>
      </c>
      <c r="W181" t="s">
        <v>136</v>
      </c>
      <c r="X181" t="s">
        <v>68</v>
      </c>
      <c r="Y181">
        <v>140404.57</v>
      </c>
      <c r="Z181">
        <v>70202.28</v>
      </c>
      <c r="AA181">
        <v>0.5</v>
      </c>
      <c r="AB181" t="s">
        <v>39</v>
      </c>
      <c r="AC181" t="s">
        <v>39</v>
      </c>
      <c r="AD181" t="s">
        <v>48</v>
      </c>
    </row>
    <row r="182" spans="1:30" x14ac:dyDescent="0.35">
      <c r="A182" s="1" t="s">
        <v>30</v>
      </c>
      <c r="B182" t="s">
        <v>31</v>
      </c>
      <c r="C182" t="s">
        <v>454</v>
      </c>
      <c r="D182" t="s">
        <v>2275</v>
      </c>
      <c r="E182" t="s">
        <v>2276</v>
      </c>
      <c r="F182" t="s">
        <v>2277</v>
      </c>
      <c r="G182" t="s">
        <v>2278</v>
      </c>
      <c r="H182" t="s">
        <v>1271</v>
      </c>
      <c r="I182" t="s">
        <v>111</v>
      </c>
      <c r="J182" t="s">
        <v>39</v>
      </c>
      <c r="K182" s="2">
        <v>46361</v>
      </c>
      <c r="L182" s="2">
        <v>46387</v>
      </c>
      <c r="N182" s="2">
        <v>46357</v>
      </c>
      <c r="O182" s="2">
        <v>46722</v>
      </c>
      <c r="P182">
        <v>12</v>
      </c>
      <c r="Q182" t="s">
        <v>40</v>
      </c>
      <c r="R182" t="s">
        <v>53</v>
      </c>
      <c r="S182" t="s">
        <v>96</v>
      </c>
      <c r="T182" t="s">
        <v>97</v>
      </c>
      <c r="U182" t="s">
        <v>44</v>
      </c>
      <c r="V182" t="s">
        <v>217</v>
      </c>
      <c r="W182" t="s">
        <v>90</v>
      </c>
      <c r="X182" t="s">
        <v>83</v>
      </c>
      <c r="Y182">
        <v>148783.39000000001</v>
      </c>
      <c r="Z182">
        <v>119026.71</v>
      </c>
      <c r="AA182">
        <v>0.8</v>
      </c>
      <c r="AB182" t="s">
        <v>39</v>
      </c>
      <c r="AC182" t="s">
        <v>39</v>
      </c>
      <c r="AD182" t="s">
        <v>48</v>
      </c>
    </row>
    <row r="183" spans="1:30" x14ac:dyDescent="0.35">
      <c r="A183" s="1" t="s">
        <v>30</v>
      </c>
      <c r="B183" t="s">
        <v>31</v>
      </c>
      <c r="C183" t="s">
        <v>454</v>
      </c>
      <c r="D183" t="s">
        <v>2279</v>
      </c>
      <c r="E183" t="s">
        <v>2280</v>
      </c>
      <c r="F183" t="s">
        <v>556</v>
      </c>
      <c r="G183" t="s">
        <v>557</v>
      </c>
      <c r="H183" t="s">
        <v>1271</v>
      </c>
      <c r="I183" t="s">
        <v>117</v>
      </c>
      <c r="J183" t="s">
        <v>39</v>
      </c>
      <c r="K183" s="2">
        <v>46360</v>
      </c>
      <c r="L183" s="2">
        <v>46387</v>
      </c>
      <c r="N183" s="2">
        <v>46357</v>
      </c>
      <c r="O183" s="2">
        <v>46722</v>
      </c>
      <c r="P183">
        <v>12</v>
      </c>
      <c r="Q183" t="s">
        <v>40</v>
      </c>
      <c r="R183" t="s">
        <v>53</v>
      </c>
      <c r="S183" t="s">
        <v>105</v>
      </c>
      <c r="T183" t="s">
        <v>55</v>
      </c>
      <c r="U183" t="s">
        <v>44</v>
      </c>
      <c r="V183" t="s">
        <v>98</v>
      </c>
      <c r="W183" t="s">
        <v>136</v>
      </c>
      <c r="X183" t="s">
        <v>143</v>
      </c>
      <c r="Y183">
        <v>97828.38</v>
      </c>
      <c r="Z183">
        <v>48914.19</v>
      </c>
      <c r="AA183">
        <v>0.5</v>
      </c>
      <c r="AB183" t="s">
        <v>39</v>
      </c>
      <c r="AC183" t="s">
        <v>39</v>
      </c>
      <c r="AD183" t="s">
        <v>48</v>
      </c>
    </row>
    <row r="184" spans="1:30" x14ac:dyDescent="0.35">
      <c r="A184" s="1" t="s">
        <v>30</v>
      </c>
      <c r="B184" t="s">
        <v>31</v>
      </c>
      <c r="C184" t="s">
        <v>454</v>
      </c>
      <c r="D184" t="s">
        <v>2281</v>
      </c>
      <c r="E184" t="s">
        <v>2282</v>
      </c>
      <c r="F184" t="s">
        <v>452</v>
      </c>
      <c r="G184" t="s">
        <v>453</v>
      </c>
      <c r="H184" t="s">
        <v>1271</v>
      </c>
      <c r="I184" t="s">
        <v>103</v>
      </c>
      <c r="J184" t="s">
        <v>39</v>
      </c>
      <c r="K184" s="2">
        <v>46369</v>
      </c>
      <c r="L184" s="2">
        <v>46387</v>
      </c>
      <c r="N184" s="2">
        <v>46357</v>
      </c>
      <c r="O184" s="2">
        <v>47088</v>
      </c>
      <c r="P184">
        <v>24</v>
      </c>
      <c r="Q184" t="s">
        <v>65</v>
      </c>
      <c r="R184" t="s">
        <v>53</v>
      </c>
      <c r="S184" t="s">
        <v>96</v>
      </c>
      <c r="T184" t="s">
        <v>97</v>
      </c>
      <c r="U184" t="s">
        <v>44</v>
      </c>
      <c r="V184" t="s">
        <v>45</v>
      </c>
      <c r="W184" t="s">
        <v>132</v>
      </c>
      <c r="X184" t="s">
        <v>91</v>
      </c>
      <c r="Y184">
        <v>136878.57</v>
      </c>
      <c r="Z184">
        <v>47907.5</v>
      </c>
      <c r="AA184">
        <v>0.35</v>
      </c>
      <c r="AB184" t="s">
        <v>39</v>
      </c>
      <c r="AC184" t="s">
        <v>39</v>
      </c>
      <c r="AD184" t="s">
        <v>48</v>
      </c>
    </row>
    <row r="185" spans="1:30" x14ac:dyDescent="0.35">
      <c r="A185" s="1" t="s">
        <v>30</v>
      </c>
      <c r="B185" t="s">
        <v>31</v>
      </c>
      <c r="C185" t="s">
        <v>454</v>
      </c>
      <c r="D185" t="s">
        <v>2283</v>
      </c>
      <c r="E185" t="s">
        <v>2284</v>
      </c>
      <c r="F185" t="s">
        <v>334</v>
      </c>
      <c r="G185" t="s">
        <v>335</v>
      </c>
      <c r="H185" t="s">
        <v>1271</v>
      </c>
      <c r="I185" t="s">
        <v>117</v>
      </c>
      <c r="J185" t="s">
        <v>39</v>
      </c>
      <c r="K185" s="2">
        <v>46359</v>
      </c>
      <c r="L185" s="2">
        <v>46387</v>
      </c>
      <c r="N185" s="2">
        <v>46357</v>
      </c>
      <c r="O185" s="2">
        <v>46722</v>
      </c>
      <c r="P185">
        <v>12</v>
      </c>
      <c r="Q185" t="s">
        <v>40</v>
      </c>
      <c r="R185" t="s">
        <v>53</v>
      </c>
      <c r="S185" t="s">
        <v>54</v>
      </c>
      <c r="T185" t="s">
        <v>55</v>
      </c>
      <c r="U185" t="s">
        <v>44</v>
      </c>
      <c r="V185" t="s">
        <v>144</v>
      </c>
      <c r="W185" t="s">
        <v>150</v>
      </c>
      <c r="X185" t="s">
        <v>125</v>
      </c>
      <c r="Y185">
        <v>122971.02</v>
      </c>
      <c r="Z185">
        <v>61485.51</v>
      </c>
      <c r="AA185">
        <v>0.5</v>
      </c>
      <c r="AB185" t="s">
        <v>39</v>
      </c>
      <c r="AC185" t="s">
        <v>39</v>
      </c>
      <c r="AD185" t="s">
        <v>48</v>
      </c>
    </row>
    <row r="186" spans="1:30" x14ac:dyDescent="0.35">
      <c r="A186" s="1" t="s">
        <v>30</v>
      </c>
      <c r="B186" t="s">
        <v>31</v>
      </c>
      <c r="C186" t="s">
        <v>454</v>
      </c>
      <c r="D186" t="s">
        <v>2285</v>
      </c>
      <c r="E186" t="s">
        <v>2286</v>
      </c>
      <c r="F186" t="s">
        <v>1129</v>
      </c>
      <c r="G186" t="s">
        <v>1130</v>
      </c>
      <c r="H186" t="s">
        <v>1290</v>
      </c>
      <c r="I186" t="s">
        <v>64</v>
      </c>
      <c r="J186" t="s">
        <v>1290</v>
      </c>
      <c r="K186" s="2">
        <v>46368</v>
      </c>
      <c r="L186" s="2">
        <v>46387</v>
      </c>
      <c r="N186" s="2">
        <v>46357</v>
      </c>
      <c r="O186" s="2">
        <v>46722</v>
      </c>
      <c r="P186">
        <v>12</v>
      </c>
      <c r="Q186" t="s">
        <v>40</v>
      </c>
      <c r="R186" t="s">
        <v>53</v>
      </c>
      <c r="S186" t="s">
        <v>141</v>
      </c>
      <c r="T186" t="s">
        <v>131</v>
      </c>
      <c r="U186" t="s">
        <v>56</v>
      </c>
      <c r="V186" t="s">
        <v>119</v>
      </c>
      <c r="W186" t="s">
        <v>161</v>
      </c>
      <c r="X186" t="s">
        <v>47</v>
      </c>
      <c r="Y186">
        <v>113207.7</v>
      </c>
      <c r="Z186">
        <v>56603.85</v>
      </c>
      <c r="AA186">
        <v>0.5</v>
      </c>
      <c r="AB186" t="s">
        <v>1290</v>
      </c>
      <c r="AC186" t="s">
        <v>1290</v>
      </c>
      <c r="AD186" t="s">
        <v>48</v>
      </c>
    </row>
    <row r="187" spans="1:30" x14ac:dyDescent="0.35">
      <c r="A187" s="1" t="s">
        <v>30</v>
      </c>
      <c r="B187" t="s">
        <v>31</v>
      </c>
      <c r="C187" t="s">
        <v>454</v>
      </c>
      <c r="D187" t="s">
        <v>2287</v>
      </c>
      <c r="E187" t="s">
        <v>2288</v>
      </c>
      <c r="F187" t="s">
        <v>777</v>
      </c>
      <c r="G187" t="s">
        <v>778</v>
      </c>
      <c r="H187" t="s">
        <v>1290</v>
      </c>
      <c r="I187" t="s">
        <v>38</v>
      </c>
      <c r="J187" t="s">
        <v>1290</v>
      </c>
      <c r="K187" s="2">
        <v>46358</v>
      </c>
      <c r="L187" s="2">
        <v>46387</v>
      </c>
      <c r="N187" s="2">
        <v>46357</v>
      </c>
      <c r="O187" s="2">
        <v>46722</v>
      </c>
      <c r="P187">
        <v>12</v>
      </c>
      <c r="Q187" t="s">
        <v>104</v>
      </c>
      <c r="R187" t="s">
        <v>41</v>
      </c>
      <c r="S187" t="s">
        <v>89</v>
      </c>
      <c r="T187" t="s">
        <v>55</v>
      </c>
      <c r="U187" t="s">
        <v>56</v>
      </c>
      <c r="V187" t="s">
        <v>45</v>
      </c>
      <c r="W187" t="s">
        <v>90</v>
      </c>
      <c r="X187" t="s">
        <v>47</v>
      </c>
      <c r="Y187">
        <v>182165.77</v>
      </c>
      <c r="Z187">
        <v>63758.02</v>
      </c>
      <c r="AA187">
        <v>0.35</v>
      </c>
      <c r="AB187" t="s">
        <v>1290</v>
      </c>
      <c r="AC187" t="s">
        <v>1290</v>
      </c>
      <c r="AD187" t="s">
        <v>48</v>
      </c>
    </row>
    <row r="188" spans="1:30" x14ac:dyDescent="0.35">
      <c r="A188" s="1" t="s">
        <v>30</v>
      </c>
      <c r="B188" t="s">
        <v>31</v>
      </c>
      <c r="C188" t="s">
        <v>454</v>
      </c>
      <c r="D188" t="s">
        <v>2289</v>
      </c>
      <c r="E188" t="s">
        <v>2290</v>
      </c>
      <c r="F188" t="s">
        <v>2291</v>
      </c>
      <c r="G188" t="s">
        <v>2292</v>
      </c>
      <c r="H188" t="s">
        <v>1290</v>
      </c>
      <c r="I188" t="s">
        <v>117</v>
      </c>
      <c r="J188" t="s">
        <v>1290</v>
      </c>
      <c r="K188" s="2">
        <v>46362</v>
      </c>
      <c r="L188" s="2">
        <v>46387</v>
      </c>
      <c r="N188" s="2">
        <v>46357</v>
      </c>
      <c r="O188" s="2">
        <v>46722</v>
      </c>
      <c r="P188">
        <v>12</v>
      </c>
      <c r="Q188" t="s">
        <v>104</v>
      </c>
      <c r="R188" t="s">
        <v>53</v>
      </c>
      <c r="S188" t="s">
        <v>222</v>
      </c>
      <c r="T188" t="s">
        <v>97</v>
      </c>
      <c r="U188" t="s">
        <v>44</v>
      </c>
      <c r="V188" t="s">
        <v>144</v>
      </c>
      <c r="W188" t="s">
        <v>90</v>
      </c>
      <c r="X188" t="s">
        <v>68</v>
      </c>
      <c r="Y188">
        <v>179767.53</v>
      </c>
      <c r="Z188">
        <v>89883.77</v>
      </c>
      <c r="AA188">
        <v>0.5</v>
      </c>
      <c r="AB188" t="s">
        <v>1290</v>
      </c>
      <c r="AC188" t="s">
        <v>1290</v>
      </c>
      <c r="AD188" t="s">
        <v>48</v>
      </c>
    </row>
    <row r="189" spans="1:30" x14ac:dyDescent="0.35">
      <c r="A189" s="1" t="s">
        <v>30</v>
      </c>
      <c r="B189" t="s">
        <v>31</v>
      </c>
      <c r="C189" t="s">
        <v>454</v>
      </c>
      <c r="D189" t="s">
        <v>2293</v>
      </c>
      <c r="E189" t="s">
        <v>2294</v>
      </c>
      <c r="F189" t="s">
        <v>1211</v>
      </c>
      <c r="G189" t="s">
        <v>1212</v>
      </c>
      <c r="H189" t="s">
        <v>1295</v>
      </c>
      <c r="I189" t="s">
        <v>117</v>
      </c>
      <c r="J189" t="s">
        <v>1295</v>
      </c>
      <c r="K189" s="2">
        <v>46368</v>
      </c>
      <c r="L189" s="2">
        <v>46387</v>
      </c>
      <c r="N189" s="2">
        <v>46357</v>
      </c>
      <c r="O189" s="2">
        <v>46722</v>
      </c>
      <c r="P189">
        <v>12</v>
      </c>
      <c r="Q189" t="s">
        <v>65</v>
      </c>
      <c r="R189" t="s">
        <v>41</v>
      </c>
      <c r="S189" t="s">
        <v>118</v>
      </c>
      <c r="T189" t="s">
        <v>97</v>
      </c>
      <c r="U189" t="s">
        <v>44</v>
      </c>
      <c r="V189" t="s">
        <v>98</v>
      </c>
      <c r="W189" t="s">
        <v>46</v>
      </c>
      <c r="X189" t="s">
        <v>83</v>
      </c>
      <c r="Y189">
        <v>220507.38</v>
      </c>
      <c r="Z189">
        <v>110253.69</v>
      </c>
      <c r="AA189">
        <v>0.5</v>
      </c>
      <c r="AB189" t="s">
        <v>1295</v>
      </c>
      <c r="AC189" t="s">
        <v>1295</v>
      </c>
      <c r="AD189" t="s">
        <v>48</v>
      </c>
    </row>
    <row r="190" spans="1:30" x14ac:dyDescent="0.35">
      <c r="A190" s="1" t="s">
        <v>30</v>
      </c>
      <c r="B190" t="s">
        <v>31</v>
      </c>
      <c r="C190" t="s">
        <v>454</v>
      </c>
      <c r="D190" t="s">
        <v>2295</v>
      </c>
      <c r="E190" t="s">
        <v>2296</v>
      </c>
      <c r="F190" t="s">
        <v>2297</v>
      </c>
      <c r="G190" t="s">
        <v>2298</v>
      </c>
      <c r="H190" t="s">
        <v>1295</v>
      </c>
      <c r="I190" t="s">
        <v>117</v>
      </c>
      <c r="J190" t="s">
        <v>1295</v>
      </c>
      <c r="K190" s="2">
        <v>46367</v>
      </c>
      <c r="L190" s="2">
        <v>46387</v>
      </c>
      <c r="N190" s="2">
        <v>46357</v>
      </c>
      <c r="O190" s="2">
        <v>46722</v>
      </c>
      <c r="P190">
        <v>12</v>
      </c>
      <c r="Q190" t="s">
        <v>65</v>
      </c>
      <c r="R190" t="s">
        <v>41</v>
      </c>
      <c r="S190" t="s">
        <v>73</v>
      </c>
      <c r="T190" t="s">
        <v>43</v>
      </c>
      <c r="U190" t="s">
        <v>56</v>
      </c>
      <c r="V190" t="s">
        <v>67</v>
      </c>
      <c r="W190" t="s">
        <v>161</v>
      </c>
      <c r="X190" t="s">
        <v>143</v>
      </c>
      <c r="Y190">
        <v>222667.15</v>
      </c>
      <c r="Z190">
        <v>77933.5</v>
      </c>
      <c r="AA190">
        <v>0.35</v>
      </c>
      <c r="AB190" t="s">
        <v>1295</v>
      </c>
      <c r="AC190" t="s">
        <v>1295</v>
      </c>
      <c r="AD190" t="s">
        <v>48</v>
      </c>
    </row>
    <row r="191" spans="1:30" x14ac:dyDescent="0.35">
      <c r="A191" s="1" t="s">
        <v>30</v>
      </c>
      <c r="B191" t="s">
        <v>31</v>
      </c>
      <c r="C191" t="s">
        <v>454</v>
      </c>
      <c r="D191" t="s">
        <v>2299</v>
      </c>
      <c r="E191" t="s">
        <v>2300</v>
      </c>
      <c r="F191" t="s">
        <v>877</v>
      </c>
      <c r="G191" t="s">
        <v>878</v>
      </c>
      <c r="H191" t="s">
        <v>1295</v>
      </c>
      <c r="I191" t="s">
        <v>103</v>
      </c>
      <c r="J191" t="s">
        <v>1295</v>
      </c>
      <c r="K191" s="2">
        <v>46361</v>
      </c>
      <c r="L191" s="2">
        <v>46387</v>
      </c>
      <c r="N191" s="2">
        <v>46357</v>
      </c>
      <c r="O191" s="2">
        <v>46722</v>
      </c>
      <c r="P191">
        <v>12</v>
      </c>
      <c r="Q191" t="s">
        <v>40</v>
      </c>
      <c r="R191" t="s">
        <v>41</v>
      </c>
      <c r="S191" t="s">
        <v>149</v>
      </c>
      <c r="T191" t="s">
        <v>131</v>
      </c>
      <c r="U191" t="s">
        <v>44</v>
      </c>
      <c r="V191" t="s">
        <v>81</v>
      </c>
      <c r="W191" t="s">
        <v>90</v>
      </c>
      <c r="X191" t="s">
        <v>143</v>
      </c>
      <c r="Y191">
        <v>123103.87</v>
      </c>
      <c r="Z191">
        <v>80017.509999999995</v>
      </c>
      <c r="AA191">
        <v>0.65</v>
      </c>
      <c r="AB191" t="s">
        <v>1295</v>
      </c>
      <c r="AC191" t="s">
        <v>1295</v>
      </c>
      <c r="AD191" t="s">
        <v>48</v>
      </c>
    </row>
    <row r="192" spans="1:30" x14ac:dyDescent="0.35">
      <c r="A192" s="1" t="s">
        <v>30</v>
      </c>
      <c r="B192" t="s">
        <v>31</v>
      </c>
      <c r="C192" t="s">
        <v>454</v>
      </c>
      <c r="D192" t="s">
        <v>2301</v>
      </c>
      <c r="E192" t="s">
        <v>2302</v>
      </c>
      <c r="F192" t="s">
        <v>1313</v>
      </c>
      <c r="G192" t="s">
        <v>1314</v>
      </c>
      <c r="H192" t="s">
        <v>1295</v>
      </c>
      <c r="I192" t="s">
        <v>117</v>
      </c>
      <c r="J192" t="s">
        <v>1295</v>
      </c>
      <c r="K192" s="2">
        <v>46360</v>
      </c>
      <c r="L192" s="2">
        <v>46387</v>
      </c>
      <c r="N192" s="2">
        <v>46357</v>
      </c>
      <c r="O192" s="2">
        <v>46722</v>
      </c>
      <c r="P192">
        <v>12</v>
      </c>
      <c r="Q192" t="s">
        <v>40</v>
      </c>
      <c r="R192" t="s">
        <v>53</v>
      </c>
      <c r="S192" t="s">
        <v>112</v>
      </c>
      <c r="T192" t="s">
        <v>55</v>
      </c>
      <c r="U192" t="s">
        <v>44</v>
      </c>
      <c r="V192" t="s">
        <v>98</v>
      </c>
      <c r="W192" t="s">
        <v>82</v>
      </c>
      <c r="X192" t="s">
        <v>91</v>
      </c>
      <c r="Y192">
        <v>235845.61</v>
      </c>
      <c r="Z192">
        <v>82545.960000000006</v>
      </c>
      <c r="AA192">
        <v>0.35</v>
      </c>
      <c r="AB192" t="s">
        <v>1295</v>
      </c>
      <c r="AC192" t="s">
        <v>1295</v>
      </c>
      <c r="AD192" t="s">
        <v>48</v>
      </c>
    </row>
    <row r="193" spans="1:30" x14ac:dyDescent="0.35">
      <c r="A193" s="1" t="s">
        <v>30</v>
      </c>
      <c r="B193" t="s">
        <v>31</v>
      </c>
      <c r="C193" t="s">
        <v>454</v>
      </c>
      <c r="D193" t="s">
        <v>2303</v>
      </c>
      <c r="E193" t="s">
        <v>2304</v>
      </c>
      <c r="F193" t="s">
        <v>558</v>
      </c>
      <c r="G193" t="s">
        <v>559</v>
      </c>
      <c r="H193" t="s">
        <v>1302</v>
      </c>
      <c r="I193" t="s">
        <v>103</v>
      </c>
      <c r="J193" t="s">
        <v>39</v>
      </c>
      <c r="K193" s="2">
        <v>46370</v>
      </c>
      <c r="L193" s="2">
        <v>46387</v>
      </c>
      <c r="N193" s="2">
        <v>46357</v>
      </c>
      <c r="O193" s="2">
        <v>46722</v>
      </c>
      <c r="P193">
        <v>12</v>
      </c>
      <c r="Q193" t="s">
        <v>40</v>
      </c>
      <c r="R193" t="s">
        <v>88</v>
      </c>
      <c r="S193" t="s">
        <v>112</v>
      </c>
      <c r="T193" t="s">
        <v>55</v>
      </c>
      <c r="U193" t="s">
        <v>106</v>
      </c>
      <c r="V193" t="s">
        <v>74</v>
      </c>
      <c r="W193" t="s">
        <v>90</v>
      </c>
      <c r="X193" t="s">
        <v>125</v>
      </c>
      <c r="Y193">
        <v>117835.17</v>
      </c>
      <c r="Z193">
        <v>94268.14</v>
      </c>
      <c r="AA193">
        <v>0.8</v>
      </c>
      <c r="AB193" t="s">
        <v>39</v>
      </c>
      <c r="AC193" t="s">
        <v>39</v>
      </c>
      <c r="AD193" t="s">
        <v>48</v>
      </c>
    </row>
    <row r="194" spans="1:30" x14ac:dyDescent="0.35">
      <c r="A194" s="1" t="s">
        <v>30</v>
      </c>
      <c r="B194" t="s">
        <v>31</v>
      </c>
      <c r="C194" t="s">
        <v>454</v>
      </c>
      <c r="D194" t="s">
        <v>2305</v>
      </c>
      <c r="E194" t="s">
        <v>2306</v>
      </c>
      <c r="F194" t="s">
        <v>2307</v>
      </c>
      <c r="G194" t="s">
        <v>2308</v>
      </c>
      <c r="H194" t="s">
        <v>1302</v>
      </c>
      <c r="I194" t="s">
        <v>103</v>
      </c>
      <c r="J194" t="s">
        <v>39</v>
      </c>
      <c r="K194" s="2">
        <v>46366</v>
      </c>
      <c r="L194" s="2">
        <v>46387</v>
      </c>
      <c r="N194" s="2">
        <v>46357</v>
      </c>
      <c r="O194" s="2">
        <v>46722</v>
      </c>
      <c r="P194">
        <v>12</v>
      </c>
      <c r="Q194" t="s">
        <v>40</v>
      </c>
      <c r="R194" t="s">
        <v>41</v>
      </c>
      <c r="S194" t="s">
        <v>137</v>
      </c>
      <c r="T194" t="s">
        <v>97</v>
      </c>
      <c r="U194" t="s">
        <v>106</v>
      </c>
      <c r="V194" t="s">
        <v>144</v>
      </c>
      <c r="W194" t="s">
        <v>82</v>
      </c>
      <c r="X194" t="s">
        <v>143</v>
      </c>
      <c r="Y194">
        <v>94485.69</v>
      </c>
      <c r="Z194">
        <v>33069.99</v>
      </c>
      <c r="AA194">
        <v>0.35</v>
      </c>
      <c r="AB194" t="s">
        <v>39</v>
      </c>
      <c r="AC194" t="s">
        <v>39</v>
      </c>
      <c r="AD194" t="s">
        <v>48</v>
      </c>
    </row>
    <row r="195" spans="1:30" x14ac:dyDescent="0.35">
      <c r="A195" s="1" t="s">
        <v>30</v>
      </c>
      <c r="B195" t="s">
        <v>31</v>
      </c>
      <c r="C195" t="s">
        <v>454</v>
      </c>
      <c r="D195" t="s">
        <v>2309</v>
      </c>
      <c r="E195" t="s">
        <v>2310</v>
      </c>
      <c r="F195" t="s">
        <v>659</v>
      </c>
      <c r="G195" t="s">
        <v>660</v>
      </c>
      <c r="H195" t="s">
        <v>1302</v>
      </c>
      <c r="I195" t="s">
        <v>117</v>
      </c>
      <c r="J195" t="s">
        <v>39</v>
      </c>
      <c r="K195" s="2">
        <v>46371</v>
      </c>
      <c r="L195" s="2">
        <v>46387</v>
      </c>
      <c r="N195" s="2">
        <v>46357</v>
      </c>
      <c r="O195" s="2">
        <v>46722</v>
      </c>
      <c r="P195">
        <v>12</v>
      </c>
      <c r="Q195" t="s">
        <v>104</v>
      </c>
      <c r="R195" t="s">
        <v>53</v>
      </c>
      <c r="S195" t="s">
        <v>162</v>
      </c>
      <c r="T195" t="s">
        <v>43</v>
      </c>
      <c r="U195" t="s">
        <v>44</v>
      </c>
      <c r="V195" t="s">
        <v>74</v>
      </c>
      <c r="W195" t="s">
        <v>142</v>
      </c>
      <c r="X195" t="s">
        <v>91</v>
      </c>
      <c r="Y195">
        <v>98782.44</v>
      </c>
      <c r="Z195">
        <v>49391.22</v>
      </c>
      <c r="AA195">
        <v>0.5</v>
      </c>
      <c r="AB195" t="s">
        <v>39</v>
      </c>
      <c r="AC195" t="s">
        <v>39</v>
      </c>
      <c r="AD195" t="s">
        <v>48</v>
      </c>
    </row>
    <row r="196" spans="1:30" x14ac:dyDescent="0.35">
      <c r="A196" s="1" t="s">
        <v>30</v>
      </c>
      <c r="B196" t="s">
        <v>31</v>
      </c>
      <c r="C196" t="s">
        <v>454</v>
      </c>
      <c r="D196" t="s">
        <v>2311</v>
      </c>
      <c r="E196" t="s">
        <v>2312</v>
      </c>
      <c r="F196" t="s">
        <v>2313</v>
      </c>
      <c r="G196" t="s">
        <v>2314</v>
      </c>
      <c r="H196" t="s">
        <v>1302</v>
      </c>
      <c r="I196" t="s">
        <v>117</v>
      </c>
      <c r="J196" t="s">
        <v>39</v>
      </c>
      <c r="K196" s="2">
        <v>46367</v>
      </c>
      <c r="L196" s="2">
        <v>46387</v>
      </c>
      <c r="N196" s="2">
        <v>46357</v>
      </c>
      <c r="O196" s="2">
        <v>46722</v>
      </c>
      <c r="P196">
        <v>12</v>
      </c>
      <c r="Q196" t="s">
        <v>40</v>
      </c>
      <c r="R196" t="s">
        <v>41</v>
      </c>
      <c r="S196" t="s">
        <v>149</v>
      </c>
      <c r="T196" t="s">
        <v>131</v>
      </c>
      <c r="U196" t="s">
        <v>44</v>
      </c>
      <c r="V196" t="s">
        <v>81</v>
      </c>
      <c r="W196" t="s">
        <v>120</v>
      </c>
      <c r="X196" t="s">
        <v>91</v>
      </c>
      <c r="Y196">
        <v>97554.7</v>
      </c>
      <c r="Z196">
        <v>48777.35</v>
      </c>
      <c r="AA196">
        <v>0.5</v>
      </c>
      <c r="AB196" t="s">
        <v>39</v>
      </c>
      <c r="AC196" t="s">
        <v>39</v>
      </c>
      <c r="AD196" t="s">
        <v>48</v>
      </c>
    </row>
    <row r="197" spans="1:30" x14ac:dyDescent="0.35">
      <c r="A197" s="1"/>
      <c r="K197" s="2"/>
      <c r="L197" s="2"/>
      <c r="N197" s="2"/>
      <c r="O197" s="2"/>
    </row>
    <row r="198" spans="1:30" x14ac:dyDescent="0.35">
      <c r="A198" s="1"/>
      <c r="K198" s="2"/>
      <c r="L198" s="2"/>
      <c r="N198" s="2"/>
      <c r="O198" s="2"/>
    </row>
    <row r="199" spans="1:30" x14ac:dyDescent="0.35">
      <c r="A199" s="1"/>
      <c r="K199" s="2"/>
      <c r="L199" s="2"/>
      <c r="N199" s="2"/>
      <c r="O199" s="2"/>
    </row>
    <row r="200" spans="1:30" x14ac:dyDescent="0.35">
      <c r="A200" s="1"/>
      <c r="K200" s="2"/>
      <c r="L200" s="2"/>
      <c r="N200" s="2"/>
      <c r="O200" s="2"/>
    </row>
    <row r="201" spans="1:30" x14ac:dyDescent="0.35">
      <c r="A201" s="1"/>
      <c r="K201" s="2"/>
      <c r="L201" s="2"/>
      <c r="N201" s="2"/>
      <c r="O201" s="2"/>
    </row>
    <row r="202" spans="1:30" x14ac:dyDescent="0.35">
      <c r="A202" s="1"/>
      <c r="K202" s="2"/>
      <c r="L202" s="2"/>
      <c r="N202" s="2"/>
      <c r="O202" s="2"/>
    </row>
    <row r="203" spans="1:30" x14ac:dyDescent="0.35">
      <c r="A203" s="1"/>
      <c r="K203" s="2"/>
      <c r="L203" s="2"/>
      <c r="N203" s="2"/>
      <c r="O203" s="2"/>
    </row>
    <row r="204" spans="1:30" x14ac:dyDescent="0.35">
      <c r="A204" s="1"/>
      <c r="K204" s="2"/>
      <c r="L204" s="2"/>
      <c r="N204" s="2"/>
      <c r="O204" s="2"/>
    </row>
    <row r="205" spans="1:30" x14ac:dyDescent="0.35">
      <c r="A205" s="1"/>
      <c r="K205" s="2"/>
      <c r="L205" s="2"/>
      <c r="N205" s="2"/>
      <c r="O205" s="2"/>
    </row>
    <row r="206" spans="1:30" x14ac:dyDescent="0.35">
      <c r="A206" s="1"/>
      <c r="K206" s="2"/>
      <c r="L206" s="2"/>
      <c r="N206" s="2"/>
      <c r="O206" s="2"/>
    </row>
    <row r="207" spans="1:30" x14ac:dyDescent="0.35">
      <c r="A207" s="1"/>
      <c r="K207" s="2"/>
      <c r="L207" s="2"/>
      <c r="N207" s="2"/>
      <c r="O207" s="2"/>
    </row>
    <row r="208" spans="1:30" x14ac:dyDescent="0.35">
      <c r="A208" s="1"/>
      <c r="K208" s="2"/>
      <c r="L208" s="2"/>
      <c r="N208" s="2"/>
      <c r="O208" s="2"/>
    </row>
    <row r="209" spans="1:15" x14ac:dyDescent="0.35">
      <c r="A209" s="1"/>
      <c r="K209" s="2"/>
      <c r="L209" s="2"/>
      <c r="N209" s="2"/>
      <c r="O209" s="2"/>
    </row>
    <row r="210" spans="1:15" x14ac:dyDescent="0.35">
      <c r="A210" s="1"/>
      <c r="K210" s="2"/>
      <c r="L210" s="2"/>
      <c r="N210" s="2"/>
      <c r="O210" s="2"/>
    </row>
    <row r="211" spans="1:15" x14ac:dyDescent="0.35">
      <c r="A211" s="1"/>
      <c r="K211" s="2"/>
      <c r="L211" s="2"/>
      <c r="N211" s="2"/>
      <c r="O211" s="2"/>
    </row>
    <row r="212" spans="1:15" x14ac:dyDescent="0.35">
      <c r="A212" s="1"/>
      <c r="K212" s="2"/>
      <c r="L212" s="2"/>
      <c r="N212" s="2"/>
      <c r="O212" s="2"/>
    </row>
    <row r="213" spans="1:15" x14ac:dyDescent="0.35">
      <c r="A213" s="1"/>
      <c r="K213" s="2"/>
      <c r="L213" s="2"/>
      <c r="N213" s="2"/>
      <c r="O213" s="2"/>
    </row>
    <row r="214" spans="1:15" x14ac:dyDescent="0.35">
      <c r="A214" s="1"/>
      <c r="K214" s="2"/>
      <c r="L214" s="2"/>
      <c r="N214" s="2"/>
      <c r="O214" s="2"/>
    </row>
    <row r="215" spans="1:15" x14ac:dyDescent="0.35">
      <c r="A215" s="1"/>
      <c r="K215" s="2"/>
      <c r="L215" s="2"/>
      <c r="N215" s="2"/>
      <c r="O215" s="2"/>
    </row>
    <row r="216" spans="1:15" x14ac:dyDescent="0.35">
      <c r="A216" s="1"/>
      <c r="K216" s="2"/>
      <c r="L216" s="2"/>
      <c r="N216" s="2"/>
      <c r="O216" s="2"/>
    </row>
    <row r="217" spans="1:15" x14ac:dyDescent="0.35">
      <c r="A217" s="1"/>
      <c r="K217" s="2"/>
      <c r="L217" s="2"/>
      <c r="N217" s="2"/>
      <c r="O217" s="2"/>
    </row>
    <row r="218" spans="1:15" x14ac:dyDescent="0.35">
      <c r="A218" s="1"/>
      <c r="K218" s="2"/>
      <c r="L218" s="2"/>
      <c r="N218" s="2"/>
      <c r="O218" s="2"/>
    </row>
    <row r="219" spans="1:15" x14ac:dyDescent="0.35">
      <c r="A219" s="1"/>
      <c r="K219" s="2"/>
      <c r="L219" s="2"/>
      <c r="N219" s="2"/>
      <c r="O219" s="2"/>
    </row>
    <row r="220" spans="1:15" x14ac:dyDescent="0.35">
      <c r="A220" s="1"/>
      <c r="K220" s="2"/>
      <c r="L220" s="2"/>
      <c r="N220" s="2"/>
      <c r="O220" s="2"/>
    </row>
    <row r="221" spans="1:15" x14ac:dyDescent="0.35">
      <c r="A221" s="1"/>
      <c r="K221" s="2"/>
      <c r="L221" s="2"/>
      <c r="N221" s="2"/>
      <c r="O221" s="2"/>
    </row>
    <row r="222" spans="1:15" x14ac:dyDescent="0.35">
      <c r="A222" s="1"/>
      <c r="K222" s="2"/>
      <c r="L222" s="2"/>
      <c r="N222" s="2"/>
      <c r="O222" s="2"/>
    </row>
    <row r="223" spans="1:15" x14ac:dyDescent="0.35">
      <c r="A223" s="1"/>
      <c r="K223" s="2"/>
      <c r="L223" s="2"/>
      <c r="N223" s="2"/>
      <c r="O223" s="2"/>
    </row>
    <row r="224" spans="1:15" x14ac:dyDescent="0.35">
      <c r="A224" s="1"/>
      <c r="K224" s="2"/>
      <c r="L224" s="2"/>
      <c r="N224" s="2"/>
      <c r="O224" s="2"/>
    </row>
    <row r="225" spans="1:15" x14ac:dyDescent="0.35">
      <c r="A225" s="1"/>
      <c r="K225" s="2"/>
      <c r="L225" s="2"/>
      <c r="N225" s="2"/>
      <c r="O225" s="2"/>
    </row>
    <row r="226" spans="1:15" x14ac:dyDescent="0.35">
      <c r="A226" s="1"/>
      <c r="K226" s="2"/>
      <c r="L226" s="2"/>
      <c r="N226" s="2"/>
      <c r="O226" s="2"/>
    </row>
    <row r="227" spans="1:15" x14ac:dyDescent="0.35">
      <c r="A227" s="1"/>
      <c r="K227" s="2"/>
      <c r="L227" s="2"/>
      <c r="N227" s="2"/>
      <c r="O227" s="2"/>
    </row>
    <row r="228" spans="1:15" x14ac:dyDescent="0.35">
      <c r="A228" s="1"/>
      <c r="K228" s="2"/>
      <c r="L228" s="2"/>
      <c r="N228" s="2"/>
      <c r="O228" s="2"/>
    </row>
    <row r="229" spans="1:15" x14ac:dyDescent="0.35">
      <c r="A229" s="1"/>
      <c r="K229" s="2"/>
      <c r="L229" s="2"/>
      <c r="N229" s="2"/>
      <c r="O229" s="2"/>
    </row>
    <row r="230" spans="1:15" x14ac:dyDescent="0.35">
      <c r="A230" s="1"/>
      <c r="K230" s="2"/>
      <c r="L230" s="2"/>
      <c r="N230" s="2"/>
      <c r="O230" s="2"/>
    </row>
    <row r="231" spans="1:15" x14ac:dyDescent="0.35">
      <c r="A231" s="1"/>
      <c r="K231" s="2"/>
      <c r="L231" s="2"/>
      <c r="N231" s="2"/>
      <c r="O231" s="2"/>
    </row>
    <row r="232" spans="1:15" x14ac:dyDescent="0.35">
      <c r="A232" s="1"/>
      <c r="K232" s="2"/>
      <c r="L232" s="2"/>
      <c r="N232" s="2"/>
      <c r="O232" s="2"/>
    </row>
    <row r="233" spans="1:15" x14ac:dyDescent="0.35">
      <c r="A233" s="1"/>
      <c r="K233" s="2"/>
      <c r="L233" s="2"/>
      <c r="N233" s="2"/>
      <c r="O233" s="2"/>
    </row>
    <row r="234" spans="1:15" x14ac:dyDescent="0.35">
      <c r="A234" s="1"/>
      <c r="K234" s="2"/>
      <c r="L234" s="2"/>
      <c r="N234" s="2"/>
      <c r="O234" s="2"/>
    </row>
    <row r="235" spans="1:15" x14ac:dyDescent="0.35">
      <c r="A235" s="1"/>
      <c r="K235" s="2"/>
      <c r="L235" s="2"/>
      <c r="N235" s="2"/>
      <c r="O235" s="2"/>
    </row>
    <row r="236" spans="1:15" x14ac:dyDescent="0.35">
      <c r="A236" s="1"/>
      <c r="K236" s="2"/>
      <c r="L236" s="2"/>
      <c r="N236" s="2"/>
      <c r="O236" s="2"/>
    </row>
    <row r="237" spans="1:15" x14ac:dyDescent="0.35">
      <c r="A237" s="1"/>
      <c r="K237" s="2"/>
      <c r="L237" s="2"/>
      <c r="N237" s="2"/>
      <c r="O237" s="2"/>
    </row>
    <row r="238" spans="1:15" x14ac:dyDescent="0.35">
      <c r="A238" s="1"/>
      <c r="K238" s="2"/>
      <c r="L238" s="2"/>
      <c r="N238" s="2"/>
      <c r="O238" s="2"/>
    </row>
    <row r="239" spans="1:15" x14ac:dyDescent="0.35">
      <c r="A239" s="1"/>
      <c r="K239" s="2"/>
      <c r="L239" s="2"/>
      <c r="N239" s="2"/>
      <c r="O239" s="2"/>
    </row>
    <row r="240" spans="1:15" x14ac:dyDescent="0.35">
      <c r="A240" s="1"/>
      <c r="K240" s="2"/>
      <c r="L240" s="2"/>
      <c r="N240" s="2"/>
      <c r="O240" s="2"/>
    </row>
    <row r="241" spans="1:15" x14ac:dyDescent="0.35">
      <c r="A241" s="1"/>
      <c r="K241" s="2"/>
      <c r="L241" s="2"/>
      <c r="N241" s="2"/>
      <c r="O241" s="2"/>
    </row>
    <row r="242" spans="1:15" x14ac:dyDescent="0.35">
      <c r="A242" s="1"/>
      <c r="K242" s="2"/>
      <c r="L242" s="2"/>
      <c r="N242" s="2"/>
      <c r="O242" s="2"/>
    </row>
    <row r="243" spans="1:15" x14ac:dyDescent="0.35">
      <c r="A243" s="1"/>
      <c r="K243" s="2"/>
      <c r="L243" s="2"/>
      <c r="N243" s="2"/>
      <c r="O243" s="2"/>
    </row>
    <row r="244" spans="1:15" x14ac:dyDescent="0.35">
      <c r="A244" s="1"/>
      <c r="K244" s="2"/>
      <c r="L244" s="2"/>
      <c r="N244" s="2"/>
      <c r="O244" s="2"/>
    </row>
    <row r="245" spans="1:15" x14ac:dyDescent="0.35">
      <c r="A245" s="1"/>
      <c r="K245" s="2"/>
      <c r="L245" s="2"/>
      <c r="N245" s="2"/>
      <c r="O245" s="2"/>
    </row>
    <row r="246" spans="1:15" x14ac:dyDescent="0.35">
      <c r="A246" s="1"/>
      <c r="K246" s="2"/>
      <c r="L246" s="2"/>
      <c r="N246" s="2"/>
      <c r="O246" s="2"/>
    </row>
    <row r="247" spans="1:15" x14ac:dyDescent="0.35">
      <c r="A247" s="1"/>
      <c r="K247" s="2"/>
      <c r="L247" s="2"/>
      <c r="N247" s="2"/>
      <c r="O247" s="2"/>
    </row>
    <row r="248" spans="1:15" x14ac:dyDescent="0.35">
      <c r="A248" s="1"/>
      <c r="K248" s="2"/>
      <c r="L248" s="2"/>
      <c r="N248" s="2"/>
      <c r="O248" s="2"/>
    </row>
    <row r="249" spans="1:15" x14ac:dyDescent="0.35">
      <c r="A249" s="1"/>
      <c r="K249" s="2"/>
      <c r="L249" s="2"/>
      <c r="N249" s="2"/>
      <c r="O249" s="2"/>
    </row>
    <row r="250" spans="1:15" x14ac:dyDescent="0.35">
      <c r="A250" s="1"/>
      <c r="K250" s="2"/>
      <c r="L250" s="2"/>
      <c r="N250" s="2"/>
      <c r="O250" s="2"/>
    </row>
    <row r="251" spans="1:15" x14ac:dyDescent="0.35">
      <c r="A251" s="1"/>
      <c r="K251" s="2"/>
      <c r="L251" s="2"/>
      <c r="N251" s="2"/>
      <c r="O251" s="2"/>
    </row>
    <row r="252" spans="1:15" x14ac:dyDescent="0.35">
      <c r="A252" s="1"/>
      <c r="K252" s="2"/>
      <c r="L252" s="2"/>
      <c r="N252" s="2"/>
      <c r="O252" s="2"/>
    </row>
    <row r="253" spans="1:15" x14ac:dyDescent="0.35">
      <c r="A253" s="1"/>
      <c r="K253" s="2"/>
      <c r="L253" s="2"/>
      <c r="N253" s="2"/>
      <c r="O253" s="2"/>
    </row>
    <row r="254" spans="1:15" x14ac:dyDescent="0.35">
      <c r="A254" s="1"/>
      <c r="K254" s="2"/>
      <c r="L254" s="2"/>
      <c r="N254" s="2"/>
      <c r="O254" s="2"/>
    </row>
    <row r="255" spans="1:15" x14ac:dyDescent="0.35">
      <c r="A255" s="1"/>
      <c r="K255" s="2"/>
      <c r="L255" s="2"/>
      <c r="N255" s="2"/>
      <c r="O255" s="2"/>
    </row>
    <row r="256" spans="1:15" x14ac:dyDescent="0.35">
      <c r="A256" s="1"/>
      <c r="K256" s="2"/>
      <c r="L256" s="2"/>
      <c r="N256" s="2"/>
      <c r="O256" s="2"/>
    </row>
    <row r="257" spans="1:15" x14ac:dyDescent="0.35">
      <c r="A257" s="1"/>
      <c r="K257" s="2"/>
      <c r="L257" s="2"/>
      <c r="N257" s="2"/>
      <c r="O257" s="2"/>
    </row>
    <row r="258" spans="1:15" x14ac:dyDescent="0.35">
      <c r="A258" s="1"/>
      <c r="K258" s="2"/>
      <c r="L258" s="2"/>
      <c r="N258" s="2"/>
      <c r="O258" s="2"/>
    </row>
    <row r="259" spans="1:15" x14ac:dyDescent="0.35">
      <c r="A259" s="1"/>
      <c r="K259" s="2"/>
      <c r="L259" s="2"/>
      <c r="N259" s="2"/>
      <c r="O259" s="2"/>
    </row>
    <row r="260" spans="1:15" x14ac:dyDescent="0.35">
      <c r="A260" s="1"/>
      <c r="K260" s="2"/>
      <c r="L260" s="2"/>
      <c r="N260" s="2"/>
      <c r="O260" s="2"/>
    </row>
    <row r="261" spans="1:15" x14ac:dyDescent="0.35">
      <c r="A261" s="1"/>
      <c r="K261" s="2"/>
      <c r="L261" s="2"/>
      <c r="N261" s="2"/>
      <c r="O261" s="2"/>
    </row>
    <row r="262" spans="1:15" x14ac:dyDescent="0.35">
      <c r="A262" s="1"/>
      <c r="K262" s="2"/>
      <c r="L262" s="2"/>
      <c r="N262" s="2"/>
      <c r="O262" s="2"/>
    </row>
    <row r="263" spans="1:15" x14ac:dyDescent="0.35">
      <c r="A263" s="1"/>
      <c r="K263" s="2"/>
      <c r="L263" s="2"/>
      <c r="N263" s="2"/>
      <c r="O263" s="2"/>
    </row>
    <row r="264" spans="1:15" x14ac:dyDescent="0.35">
      <c r="A264" s="1"/>
      <c r="K264" s="2"/>
      <c r="L264" s="2"/>
      <c r="N264" s="2"/>
      <c r="O264" s="2"/>
    </row>
    <row r="265" spans="1:15" x14ac:dyDescent="0.35">
      <c r="A265" s="1"/>
      <c r="K265" s="2"/>
      <c r="L265" s="2"/>
      <c r="N265" s="2"/>
      <c r="O265" s="2"/>
    </row>
    <row r="266" spans="1:15" x14ac:dyDescent="0.35">
      <c r="A266" s="1"/>
      <c r="K266" s="2"/>
      <c r="L266" s="2"/>
      <c r="N266" s="2"/>
      <c r="O266" s="2"/>
    </row>
    <row r="267" spans="1:15" x14ac:dyDescent="0.35">
      <c r="A267" s="1"/>
      <c r="K267" s="2"/>
      <c r="L267" s="2"/>
      <c r="N267" s="2"/>
      <c r="O267" s="2"/>
    </row>
    <row r="268" spans="1:15" x14ac:dyDescent="0.35">
      <c r="A268" s="1"/>
      <c r="K268" s="2"/>
      <c r="L268" s="2"/>
      <c r="N268" s="2"/>
      <c r="O268" s="2"/>
    </row>
    <row r="269" spans="1:15" x14ac:dyDescent="0.35">
      <c r="A269" s="1"/>
      <c r="K269" s="2"/>
      <c r="L269" s="2"/>
      <c r="N269" s="2"/>
      <c r="O269" s="2"/>
    </row>
    <row r="270" spans="1:15" x14ac:dyDescent="0.35">
      <c r="A270" s="1"/>
      <c r="K270" s="2"/>
      <c r="L270" s="2"/>
      <c r="N270" s="2"/>
      <c r="O270" s="2"/>
    </row>
    <row r="271" spans="1:15" x14ac:dyDescent="0.35">
      <c r="A271" s="1"/>
      <c r="K271" s="2"/>
      <c r="L271" s="2"/>
      <c r="N271" s="2"/>
      <c r="O271" s="2"/>
    </row>
    <row r="272" spans="1:15" x14ac:dyDescent="0.35">
      <c r="A272" s="1"/>
      <c r="K272" s="2"/>
      <c r="L272" s="2"/>
      <c r="N272" s="2"/>
      <c r="O272" s="2"/>
    </row>
    <row r="273" spans="1:15" x14ac:dyDescent="0.35">
      <c r="A273" s="1"/>
      <c r="K273" s="2"/>
      <c r="L273" s="2"/>
      <c r="N273" s="2"/>
      <c r="O273" s="2"/>
    </row>
    <row r="274" spans="1:15" x14ac:dyDescent="0.35">
      <c r="A274" s="1"/>
      <c r="K274" s="2"/>
      <c r="L274" s="2"/>
      <c r="N274" s="2"/>
      <c r="O274" s="2"/>
    </row>
    <row r="275" spans="1:15" x14ac:dyDescent="0.35">
      <c r="A275" s="1"/>
      <c r="K275" s="2"/>
      <c r="L275" s="2"/>
      <c r="N275" s="2"/>
      <c r="O275" s="2"/>
    </row>
    <row r="276" spans="1:15" x14ac:dyDescent="0.35">
      <c r="A276" s="1"/>
      <c r="K276" s="2"/>
      <c r="L276" s="2"/>
      <c r="N276" s="2"/>
      <c r="O276" s="2"/>
    </row>
    <row r="277" spans="1:15" x14ac:dyDescent="0.35">
      <c r="A277" s="1"/>
      <c r="K277" s="2"/>
      <c r="L277" s="2"/>
      <c r="N277" s="2"/>
      <c r="O277" s="2"/>
    </row>
    <row r="278" spans="1:15" x14ac:dyDescent="0.35">
      <c r="A278" s="1"/>
      <c r="K278" s="2"/>
      <c r="L278" s="2"/>
      <c r="N278" s="2"/>
      <c r="O278" s="2"/>
    </row>
    <row r="279" spans="1:15" x14ac:dyDescent="0.35">
      <c r="A279" s="1"/>
      <c r="K279" s="2"/>
      <c r="L279" s="2"/>
      <c r="N279" s="2"/>
      <c r="O279" s="2"/>
    </row>
    <row r="280" spans="1:15" x14ac:dyDescent="0.35">
      <c r="A280" s="1"/>
      <c r="K280" s="2"/>
      <c r="L280" s="2"/>
      <c r="N280" s="2"/>
      <c r="O280" s="2"/>
    </row>
    <row r="281" spans="1:15" x14ac:dyDescent="0.35">
      <c r="A281" s="1"/>
      <c r="K281" s="2"/>
      <c r="L281" s="2"/>
      <c r="N281" s="2"/>
      <c r="O281" s="2"/>
    </row>
    <row r="282" spans="1:15" x14ac:dyDescent="0.35">
      <c r="A282" s="1"/>
      <c r="K282" s="2"/>
      <c r="L282" s="2"/>
      <c r="N282" s="2"/>
      <c r="O282" s="2"/>
    </row>
    <row r="283" spans="1:15" x14ac:dyDescent="0.35">
      <c r="A283" s="1"/>
      <c r="K283" s="2"/>
      <c r="L283" s="2"/>
      <c r="N283" s="2"/>
      <c r="O283" s="2"/>
    </row>
    <row r="284" spans="1:15" x14ac:dyDescent="0.35">
      <c r="A284" s="1"/>
      <c r="K284" s="2"/>
      <c r="L284" s="2"/>
      <c r="N284" s="2"/>
      <c r="O284" s="2"/>
    </row>
    <row r="285" spans="1:15" x14ac:dyDescent="0.35">
      <c r="A285" s="1"/>
      <c r="K285" s="2"/>
      <c r="L285" s="2"/>
      <c r="N285" s="2"/>
      <c r="O285" s="2"/>
    </row>
    <row r="286" spans="1:15" x14ac:dyDescent="0.35">
      <c r="A286" s="1"/>
      <c r="K286" s="2"/>
      <c r="L286" s="2"/>
      <c r="N286" s="2"/>
      <c r="O286" s="2"/>
    </row>
    <row r="287" spans="1:15" x14ac:dyDescent="0.35">
      <c r="A287" s="1"/>
      <c r="K287" s="2"/>
      <c r="L287" s="2"/>
      <c r="N287" s="2"/>
      <c r="O287" s="2"/>
    </row>
    <row r="288" spans="1:15" x14ac:dyDescent="0.35">
      <c r="A288" s="1"/>
      <c r="K288" s="2"/>
      <c r="L288" s="2"/>
      <c r="N288" s="2"/>
      <c r="O288" s="2"/>
    </row>
    <row r="289" spans="1:15" x14ac:dyDescent="0.35">
      <c r="A289" s="1"/>
      <c r="K289" s="2"/>
      <c r="L289" s="2"/>
      <c r="N289" s="2"/>
      <c r="O289" s="2"/>
    </row>
    <row r="290" spans="1:15" x14ac:dyDescent="0.35">
      <c r="A290" s="1"/>
      <c r="K290" s="2"/>
      <c r="L290" s="2"/>
      <c r="N290" s="2"/>
      <c r="O290" s="2"/>
    </row>
    <row r="291" spans="1:15" x14ac:dyDescent="0.35">
      <c r="A291" s="1"/>
      <c r="K291" s="2"/>
      <c r="L291" s="2"/>
      <c r="N291" s="2"/>
      <c r="O291" s="2"/>
    </row>
    <row r="292" spans="1:15" x14ac:dyDescent="0.35">
      <c r="A292" s="1"/>
      <c r="K292" s="2"/>
      <c r="L292" s="2"/>
      <c r="N292" s="2"/>
      <c r="O292" s="2"/>
    </row>
    <row r="293" spans="1:15" x14ac:dyDescent="0.35">
      <c r="A293" s="1"/>
      <c r="K293" s="2"/>
      <c r="L293" s="2"/>
      <c r="N293" s="2"/>
      <c r="O293" s="2"/>
    </row>
    <row r="294" spans="1:15" x14ac:dyDescent="0.35">
      <c r="A294" s="1"/>
      <c r="K294" s="2"/>
      <c r="L294" s="2"/>
      <c r="N294" s="2"/>
      <c r="O294" s="2"/>
    </row>
    <row r="295" spans="1:15" x14ac:dyDescent="0.35">
      <c r="A295" s="1"/>
      <c r="K295" s="2"/>
      <c r="L295" s="2"/>
      <c r="N295" s="2"/>
      <c r="O295" s="2"/>
    </row>
    <row r="296" spans="1:15" x14ac:dyDescent="0.35">
      <c r="A296" s="1"/>
      <c r="K296" s="2"/>
      <c r="L296" s="2"/>
      <c r="N296" s="2"/>
      <c r="O296" s="2"/>
    </row>
    <row r="297" spans="1:15" x14ac:dyDescent="0.35">
      <c r="A297" s="1"/>
      <c r="K297" s="2"/>
      <c r="L297" s="2"/>
      <c r="N297" s="2"/>
      <c r="O297" s="2"/>
    </row>
    <row r="298" spans="1:15" x14ac:dyDescent="0.35">
      <c r="A298" s="1"/>
      <c r="K298" s="2"/>
      <c r="L298" s="2"/>
      <c r="N298" s="2"/>
      <c r="O298" s="2"/>
    </row>
    <row r="299" spans="1:15" x14ac:dyDescent="0.35">
      <c r="A299" s="1"/>
      <c r="K299" s="2"/>
      <c r="L299" s="2"/>
      <c r="N299" s="2"/>
      <c r="O299" s="2"/>
    </row>
    <row r="300" spans="1:15" x14ac:dyDescent="0.35">
      <c r="A300" s="1"/>
      <c r="K300" s="2"/>
      <c r="L300" s="2"/>
      <c r="N300" s="2"/>
      <c r="O300" s="2"/>
    </row>
    <row r="301" spans="1:15" x14ac:dyDescent="0.35">
      <c r="A301" s="1"/>
      <c r="K301" s="2"/>
      <c r="L301" s="2"/>
      <c r="N301" s="2"/>
      <c r="O301" s="2"/>
    </row>
    <row r="302" spans="1:15" x14ac:dyDescent="0.35">
      <c r="A302" s="1"/>
      <c r="K302" s="2"/>
      <c r="L302" s="2"/>
      <c r="N302" s="2"/>
      <c r="O302" s="2"/>
    </row>
    <row r="303" spans="1:15" x14ac:dyDescent="0.35">
      <c r="A303" s="1"/>
      <c r="K303" s="2"/>
      <c r="L303" s="2"/>
      <c r="N303" s="2"/>
      <c r="O303" s="2"/>
    </row>
    <row r="304" spans="1:15" x14ac:dyDescent="0.35">
      <c r="A304" s="1"/>
      <c r="K304" s="2"/>
      <c r="L304" s="2"/>
      <c r="N304" s="2"/>
      <c r="O304" s="2"/>
    </row>
    <row r="305" spans="1:15" x14ac:dyDescent="0.35">
      <c r="A305" s="1"/>
      <c r="K305" s="2"/>
      <c r="L305" s="2"/>
      <c r="N305" s="2"/>
      <c r="O305" s="2"/>
    </row>
    <row r="306" spans="1:15" x14ac:dyDescent="0.35">
      <c r="A306" s="1"/>
      <c r="K306" s="2"/>
      <c r="L306" s="2"/>
      <c r="N306" s="2"/>
      <c r="O306" s="2"/>
    </row>
    <row r="307" spans="1:15" x14ac:dyDescent="0.35">
      <c r="A307" s="1"/>
      <c r="K307" s="2"/>
      <c r="L307" s="2"/>
      <c r="N307" s="2"/>
      <c r="O307" s="2"/>
    </row>
    <row r="308" spans="1:15" x14ac:dyDescent="0.35">
      <c r="A308" s="1"/>
      <c r="K308" s="2"/>
      <c r="L308" s="2"/>
      <c r="N308" s="2"/>
      <c r="O308" s="2"/>
    </row>
    <row r="309" spans="1:15" x14ac:dyDescent="0.35">
      <c r="A309" s="1"/>
      <c r="K309" s="2"/>
      <c r="L309" s="2"/>
      <c r="N309" s="2"/>
      <c r="O309" s="2"/>
    </row>
    <row r="310" spans="1:15" x14ac:dyDescent="0.35">
      <c r="A310" s="1"/>
      <c r="K310" s="2"/>
      <c r="L310" s="2"/>
      <c r="N310" s="2"/>
      <c r="O310" s="2"/>
    </row>
    <row r="311" spans="1:15" x14ac:dyDescent="0.35">
      <c r="A311" s="1"/>
      <c r="K311" s="2"/>
      <c r="L311" s="2"/>
      <c r="N311" s="2"/>
      <c r="O311" s="2"/>
    </row>
    <row r="312" spans="1:15" x14ac:dyDescent="0.35">
      <c r="A312" s="1"/>
      <c r="K312" s="2"/>
      <c r="L312" s="2"/>
      <c r="N312" s="2"/>
      <c r="O312" s="2"/>
    </row>
    <row r="313" spans="1:15" x14ac:dyDescent="0.35">
      <c r="A313" s="1"/>
      <c r="K313" s="2"/>
      <c r="L313" s="2"/>
      <c r="N313" s="2"/>
      <c r="O313" s="2"/>
    </row>
    <row r="314" spans="1:15" x14ac:dyDescent="0.35">
      <c r="A314" s="1"/>
      <c r="K314" s="2"/>
      <c r="L314" s="2"/>
      <c r="N314" s="2"/>
      <c r="O314" s="2"/>
    </row>
    <row r="315" spans="1:15" x14ac:dyDescent="0.35">
      <c r="A315" s="1"/>
      <c r="K315" s="2"/>
      <c r="L315" s="2"/>
      <c r="N315" s="2"/>
      <c r="O315" s="2"/>
    </row>
    <row r="316" spans="1:15" x14ac:dyDescent="0.35">
      <c r="A316" s="1"/>
      <c r="K316" s="2"/>
      <c r="L316" s="2"/>
      <c r="N316" s="2"/>
      <c r="O316" s="2"/>
    </row>
    <row r="317" spans="1:15" x14ac:dyDescent="0.35">
      <c r="A317" s="1"/>
      <c r="K317" s="2"/>
      <c r="L317" s="2"/>
      <c r="N317" s="2"/>
      <c r="O317" s="2"/>
    </row>
    <row r="318" spans="1:15" x14ac:dyDescent="0.35">
      <c r="A318" s="1"/>
      <c r="K318" s="2"/>
      <c r="L318" s="2"/>
      <c r="N318" s="2"/>
      <c r="O318" s="2"/>
    </row>
    <row r="319" spans="1:15" x14ac:dyDescent="0.35">
      <c r="A319" s="1"/>
      <c r="K319" s="2"/>
      <c r="L319" s="2"/>
      <c r="N319" s="2"/>
      <c r="O319" s="2"/>
    </row>
    <row r="320" spans="1:15" x14ac:dyDescent="0.35">
      <c r="A320" s="1"/>
      <c r="K320" s="2"/>
      <c r="L320" s="2"/>
      <c r="N320" s="2"/>
      <c r="O320" s="2"/>
    </row>
    <row r="321" spans="1:15" x14ac:dyDescent="0.35">
      <c r="A321" s="1"/>
      <c r="K321" s="2"/>
      <c r="L321" s="2"/>
      <c r="N321" s="2"/>
      <c r="O321" s="2"/>
    </row>
    <row r="322" spans="1:15" x14ac:dyDescent="0.35">
      <c r="A322" s="1"/>
      <c r="K322" s="2"/>
      <c r="L322" s="2"/>
      <c r="N322" s="2"/>
      <c r="O322" s="2"/>
    </row>
    <row r="323" spans="1:15" x14ac:dyDescent="0.35">
      <c r="A323" s="1"/>
      <c r="K323" s="2"/>
      <c r="L323" s="2"/>
      <c r="N323" s="2"/>
      <c r="O323" s="2"/>
    </row>
    <row r="324" spans="1:15" x14ac:dyDescent="0.35">
      <c r="A324" s="1"/>
      <c r="K324" s="2"/>
      <c r="L324" s="2"/>
      <c r="N324" s="2"/>
      <c r="O324" s="2"/>
    </row>
    <row r="325" spans="1:15" x14ac:dyDescent="0.35">
      <c r="A325" s="1"/>
      <c r="K325" s="2"/>
      <c r="L325" s="2"/>
      <c r="N325" s="2"/>
      <c r="O325" s="2"/>
    </row>
    <row r="326" spans="1:15" x14ac:dyDescent="0.35">
      <c r="A326" s="1"/>
      <c r="K326" s="2"/>
      <c r="L326" s="2"/>
      <c r="N326" s="2"/>
      <c r="O326" s="2"/>
    </row>
    <row r="327" spans="1:15" x14ac:dyDescent="0.35">
      <c r="A327" s="1"/>
      <c r="K327" s="2"/>
      <c r="L327" s="2"/>
      <c r="N327" s="2"/>
      <c r="O327" s="2"/>
    </row>
    <row r="328" spans="1:15" x14ac:dyDescent="0.35">
      <c r="A328" s="1"/>
      <c r="K328" s="2"/>
      <c r="L328" s="2"/>
      <c r="N328" s="2"/>
      <c r="O328" s="2"/>
    </row>
    <row r="329" spans="1:15" x14ac:dyDescent="0.35">
      <c r="A329" s="1"/>
      <c r="K329" s="2"/>
      <c r="L329" s="2"/>
      <c r="N329" s="2"/>
      <c r="O329" s="2"/>
    </row>
    <row r="330" spans="1:15" x14ac:dyDescent="0.35">
      <c r="A330" s="1"/>
      <c r="K330" s="2"/>
      <c r="L330" s="2"/>
      <c r="N330" s="2"/>
      <c r="O330" s="2"/>
    </row>
    <row r="331" spans="1:15" x14ac:dyDescent="0.35">
      <c r="A331" s="1"/>
      <c r="K331" s="2"/>
      <c r="L331" s="2"/>
      <c r="N331" s="2"/>
      <c r="O331" s="2"/>
    </row>
    <row r="332" spans="1:15" x14ac:dyDescent="0.35">
      <c r="A332" s="1"/>
      <c r="K332" s="2"/>
      <c r="L332" s="2"/>
      <c r="N332" s="2"/>
      <c r="O332" s="2"/>
    </row>
    <row r="333" spans="1:15" x14ac:dyDescent="0.35">
      <c r="A333" s="1"/>
      <c r="K333" s="2"/>
      <c r="L333" s="2"/>
      <c r="N333" s="2"/>
      <c r="O333" s="2"/>
    </row>
    <row r="334" spans="1:15" x14ac:dyDescent="0.35">
      <c r="A334" s="1"/>
      <c r="K334" s="2"/>
      <c r="L334" s="2"/>
      <c r="N334" s="2"/>
      <c r="O334" s="2"/>
    </row>
    <row r="335" spans="1:15" x14ac:dyDescent="0.35">
      <c r="A335" s="1"/>
      <c r="K335" s="2"/>
      <c r="L335" s="2"/>
      <c r="N335" s="2"/>
      <c r="O335" s="2"/>
    </row>
    <row r="336" spans="1:15" x14ac:dyDescent="0.35">
      <c r="A336" s="1"/>
      <c r="K336" s="2"/>
      <c r="L336" s="2"/>
      <c r="N336" s="2"/>
      <c r="O336" s="2"/>
    </row>
    <row r="337" spans="1:15" x14ac:dyDescent="0.35">
      <c r="A337" s="1"/>
      <c r="K337" s="2"/>
      <c r="L337" s="2"/>
      <c r="N337" s="2"/>
      <c r="O337" s="2"/>
    </row>
    <row r="338" spans="1:15" x14ac:dyDescent="0.35">
      <c r="A338" s="1"/>
      <c r="K338" s="2"/>
      <c r="L338" s="2"/>
      <c r="N338" s="2"/>
      <c r="O338" s="2"/>
    </row>
    <row r="339" spans="1:15" x14ac:dyDescent="0.35">
      <c r="A339" s="1"/>
      <c r="K339" s="2"/>
      <c r="L339" s="2"/>
      <c r="N339" s="2"/>
      <c r="O339" s="2"/>
    </row>
    <row r="340" spans="1:15" x14ac:dyDescent="0.35">
      <c r="A340" s="1"/>
      <c r="K340" s="2"/>
      <c r="L340" s="2"/>
      <c r="N340" s="2"/>
      <c r="O340" s="2"/>
    </row>
    <row r="341" spans="1:15" x14ac:dyDescent="0.35">
      <c r="A341" s="1"/>
      <c r="K341" s="2"/>
      <c r="L341" s="2"/>
      <c r="N341" s="2"/>
      <c r="O341" s="2"/>
    </row>
    <row r="342" spans="1:15" x14ac:dyDescent="0.35">
      <c r="A342" s="1"/>
      <c r="K342" s="2"/>
      <c r="L342" s="2"/>
      <c r="N342" s="2"/>
      <c r="O342" s="2"/>
    </row>
    <row r="343" spans="1:15" x14ac:dyDescent="0.35">
      <c r="A343" s="1"/>
      <c r="K343" s="2"/>
      <c r="L343" s="2"/>
      <c r="N343" s="2"/>
      <c r="O343" s="2"/>
    </row>
    <row r="344" spans="1:15" x14ac:dyDescent="0.35">
      <c r="A344" s="1"/>
      <c r="K344" s="2"/>
      <c r="L344" s="2"/>
      <c r="N344" s="2"/>
      <c r="O344" s="2"/>
    </row>
    <row r="345" spans="1:15" x14ac:dyDescent="0.35">
      <c r="A345" s="1"/>
      <c r="K345" s="2"/>
      <c r="L345" s="2"/>
      <c r="N345" s="2"/>
      <c r="O345" s="2"/>
    </row>
    <row r="346" spans="1:15" x14ac:dyDescent="0.35">
      <c r="A346" s="1"/>
      <c r="K346" s="2"/>
      <c r="L346" s="2"/>
      <c r="N346" s="2"/>
      <c r="O346" s="2"/>
    </row>
    <row r="347" spans="1:15" x14ac:dyDescent="0.35">
      <c r="A347" s="1"/>
      <c r="K347" s="2"/>
      <c r="L347" s="2"/>
      <c r="N347" s="2"/>
      <c r="O347" s="2"/>
    </row>
    <row r="348" spans="1:15" x14ac:dyDescent="0.35">
      <c r="A348" s="1"/>
      <c r="K348" s="2"/>
      <c r="L348" s="2"/>
      <c r="N348" s="2"/>
      <c r="O348" s="2"/>
    </row>
    <row r="349" spans="1:15" x14ac:dyDescent="0.35">
      <c r="A349" s="1"/>
      <c r="K349" s="2"/>
      <c r="L349" s="2"/>
      <c r="N349" s="2"/>
      <c r="O34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DAFF-C80C-416C-9B6E-0FBBE755F2E5}">
  <dimension ref="A1:AD572"/>
  <sheetViews>
    <sheetView topLeftCell="E1" workbookViewId="0">
      <selection sqref="A1:AD1048576"/>
    </sheetView>
  </sheetViews>
  <sheetFormatPr defaultRowHeight="14.5" x14ac:dyDescent="0.35"/>
  <cols>
    <col min="1" max="1" width="35" bestFit="1" customWidth="1"/>
    <col min="2" max="2" width="6.6328125" bestFit="1" customWidth="1"/>
    <col min="3" max="3" width="7.453125" bestFit="1" customWidth="1"/>
    <col min="4" max="4" width="16.36328125" bestFit="1" customWidth="1"/>
    <col min="5" max="5" width="42.26953125" bestFit="1" customWidth="1"/>
    <col min="6" max="6" width="10.90625" bestFit="1" customWidth="1"/>
    <col min="7" max="7" width="21.26953125" bestFit="1" customWidth="1"/>
    <col min="8" max="8" width="14.36328125" bestFit="1" customWidth="1"/>
    <col min="9" max="9" width="10.1796875" bestFit="1" customWidth="1"/>
    <col min="10" max="10" width="11.08984375" bestFit="1" customWidth="1"/>
    <col min="11" max="11" width="11.54296875" bestFit="1" customWidth="1"/>
    <col min="12" max="12" width="18.08984375" bestFit="1" customWidth="1"/>
    <col min="13" max="13" width="15.6328125" bestFit="1" customWidth="1"/>
    <col min="14" max="14" width="17" bestFit="1" customWidth="1"/>
    <col min="15" max="15" width="16.08984375" bestFit="1" customWidth="1"/>
    <col min="16" max="16" width="19.453125" bestFit="1" customWidth="1"/>
    <col min="17" max="17" width="13.453125" bestFit="1" customWidth="1"/>
    <col min="18" max="18" width="11.08984375" bestFit="1" customWidth="1"/>
    <col min="19" max="19" width="13.6328125" bestFit="1" customWidth="1"/>
    <col min="20" max="20" width="6.81640625" bestFit="1" customWidth="1"/>
    <col min="21" max="21" width="10" bestFit="1" customWidth="1"/>
    <col min="22" max="22" width="18.1796875" bestFit="1" customWidth="1"/>
    <col min="23" max="23" width="17.26953125" bestFit="1" customWidth="1"/>
    <col min="24" max="24" width="13" bestFit="1" customWidth="1"/>
    <col min="25" max="25" width="10.08984375" bestFit="1" customWidth="1"/>
    <col min="26" max="26" width="11.1796875" bestFit="1" customWidth="1"/>
    <col min="27" max="27" width="9.26953125" bestFit="1" customWidth="1"/>
    <col min="28" max="28" width="12.08984375" bestFit="1" customWidth="1"/>
    <col min="29" max="29" width="21.08984375" bestFit="1" customWidth="1"/>
    <col min="30" max="30" width="70.26953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 t="s">
        <v>30</v>
      </c>
      <c r="B2" t="s">
        <v>521</v>
      </c>
      <c r="C2" t="s">
        <v>522</v>
      </c>
      <c r="D2" t="s">
        <v>523</v>
      </c>
      <c r="E2" t="s">
        <v>524</v>
      </c>
      <c r="F2" t="s">
        <v>525</v>
      </c>
      <c r="G2" t="s">
        <v>526</v>
      </c>
      <c r="H2" t="s">
        <v>37</v>
      </c>
      <c r="I2" t="s">
        <v>64</v>
      </c>
      <c r="J2" t="s">
        <v>39</v>
      </c>
      <c r="K2" s="2">
        <v>46023</v>
      </c>
      <c r="L2" s="2">
        <v>46053</v>
      </c>
      <c r="N2" s="2">
        <v>46023</v>
      </c>
      <c r="O2" s="2">
        <v>46388</v>
      </c>
      <c r="P2">
        <v>12</v>
      </c>
      <c r="Q2" t="s">
        <v>104</v>
      </c>
      <c r="R2" t="s">
        <v>53</v>
      </c>
      <c r="S2" t="s">
        <v>118</v>
      </c>
      <c r="T2" t="s">
        <v>97</v>
      </c>
      <c r="U2" t="s">
        <v>56</v>
      </c>
      <c r="V2" t="s">
        <v>138</v>
      </c>
      <c r="W2" t="s">
        <v>82</v>
      </c>
      <c r="X2" t="s">
        <v>91</v>
      </c>
      <c r="Y2">
        <v>116633.81</v>
      </c>
      <c r="Z2">
        <v>75811.97</v>
      </c>
      <c r="AA2">
        <v>0.65</v>
      </c>
      <c r="AB2" t="s">
        <v>39</v>
      </c>
      <c r="AC2" t="s">
        <v>39</v>
      </c>
      <c r="AD2" t="s">
        <v>48</v>
      </c>
    </row>
    <row r="3" spans="1:30" x14ac:dyDescent="0.35">
      <c r="A3" s="1" t="s">
        <v>30</v>
      </c>
      <c r="B3" t="s">
        <v>521</v>
      </c>
      <c r="C3" t="s">
        <v>522</v>
      </c>
      <c r="D3" t="s">
        <v>527</v>
      </c>
      <c r="E3" t="s">
        <v>528</v>
      </c>
      <c r="F3" t="s">
        <v>529</v>
      </c>
      <c r="G3" t="s">
        <v>530</v>
      </c>
      <c r="H3" t="s">
        <v>37</v>
      </c>
      <c r="I3" t="s">
        <v>117</v>
      </c>
      <c r="J3" t="s">
        <v>39</v>
      </c>
      <c r="K3" s="2">
        <v>46024</v>
      </c>
      <c r="L3" s="2">
        <v>46053</v>
      </c>
      <c r="N3" s="2">
        <v>46023</v>
      </c>
      <c r="O3" s="2">
        <v>46753</v>
      </c>
      <c r="P3">
        <v>24</v>
      </c>
      <c r="Q3" t="s">
        <v>40</v>
      </c>
      <c r="R3" t="s">
        <v>53</v>
      </c>
      <c r="S3" t="s">
        <v>139</v>
      </c>
      <c r="T3" t="s">
        <v>43</v>
      </c>
      <c r="U3" t="s">
        <v>44</v>
      </c>
      <c r="V3" t="s">
        <v>217</v>
      </c>
      <c r="W3" t="s">
        <v>136</v>
      </c>
      <c r="X3" t="s">
        <v>47</v>
      </c>
      <c r="Y3">
        <v>127891.69</v>
      </c>
      <c r="Z3">
        <v>63945.84</v>
      </c>
      <c r="AA3">
        <v>0.5</v>
      </c>
      <c r="AB3" t="s">
        <v>39</v>
      </c>
      <c r="AC3" t="s">
        <v>39</v>
      </c>
      <c r="AD3" t="s">
        <v>48</v>
      </c>
    </row>
    <row r="4" spans="1:30" x14ac:dyDescent="0.35">
      <c r="A4" s="1" t="s">
        <v>30</v>
      </c>
      <c r="B4" t="s">
        <v>521</v>
      </c>
      <c r="C4" t="s">
        <v>522</v>
      </c>
      <c r="D4" t="s">
        <v>531</v>
      </c>
      <c r="E4" t="s">
        <v>532</v>
      </c>
      <c r="F4" t="s">
        <v>533</v>
      </c>
      <c r="G4" t="s">
        <v>534</v>
      </c>
      <c r="H4" t="s">
        <v>37</v>
      </c>
      <c r="I4" t="s">
        <v>38</v>
      </c>
      <c r="J4" t="s">
        <v>39</v>
      </c>
      <c r="K4" s="2">
        <v>46025</v>
      </c>
      <c r="L4" s="2">
        <v>46053</v>
      </c>
      <c r="N4" s="2">
        <v>46023</v>
      </c>
      <c r="O4" s="2">
        <v>46388</v>
      </c>
      <c r="P4">
        <v>12</v>
      </c>
      <c r="Q4" t="s">
        <v>104</v>
      </c>
      <c r="R4" t="s">
        <v>53</v>
      </c>
      <c r="S4" t="s">
        <v>66</v>
      </c>
      <c r="T4" t="s">
        <v>55</v>
      </c>
      <c r="U4" t="s">
        <v>56</v>
      </c>
      <c r="V4" t="s">
        <v>67</v>
      </c>
      <c r="W4" t="s">
        <v>120</v>
      </c>
      <c r="X4" t="s">
        <v>143</v>
      </c>
      <c r="Y4">
        <v>207954.28</v>
      </c>
      <c r="Z4">
        <v>72784</v>
      </c>
      <c r="AA4">
        <v>0.35</v>
      </c>
      <c r="AB4" t="s">
        <v>39</v>
      </c>
      <c r="AC4" t="s">
        <v>39</v>
      </c>
      <c r="AD4" t="s">
        <v>48</v>
      </c>
    </row>
    <row r="5" spans="1:30" x14ac:dyDescent="0.35">
      <c r="A5" s="1" t="s">
        <v>30</v>
      </c>
      <c r="B5" t="s">
        <v>521</v>
      </c>
      <c r="C5" t="s">
        <v>522</v>
      </c>
      <c r="D5" t="s">
        <v>535</v>
      </c>
      <c r="E5" t="s">
        <v>536</v>
      </c>
      <c r="F5" t="s">
        <v>537</v>
      </c>
      <c r="G5" t="s">
        <v>538</v>
      </c>
      <c r="H5" t="s">
        <v>37</v>
      </c>
      <c r="I5" t="s">
        <v>117</v>
      </c>
      <c r="J5" t="s">
        <v>39</v>
      </c>
      <c r="K5" s="2">
        <v>46028</v>
      </c>
      <c r="L5" s="2">
        <v>46053</v>
      </c>
      <c r="N5" s="2">
        <v>46023</v>
      </c>
      <c r="O5" s="2">
        <v>46753</v>
      </c>
      <c r="P5">
        <v>24</v>
      </c>
      <c r="Q5" t="s">
        <v>40</v>
      </c>
      <c r="R5" t="s">
        <v>41</v>
      </c>
      <c r="S5" t="s">
        <v>73</v>
      </c>
      <c r="T5" t="s">
        <v>43</v>
      </c>
      <c r="U5" t="s">
        <v>44</v>
      </c>
      <c r="V5" t="s">
        <v>45</v>
      </c>
      <c r="W5" t="s">
        <v>46</v>
      </c>
      <c r="X5" t="s">
        <v>59</v>
      </c>
      <c r="Y5">
        <v>189259.76</v>
      </c>
      <c r="Z5">
        <v>123018.84</v>
      </c>
      <c r="AA5">
        <v>0.65</v>
      </c>
      <c r="AB5" t="s">
        <v>39</v>
      </c>
      <c r="AC5" t="s">
        <v>39</v>
      </c>
      <c r="AD5" t="s">
        <v>48</v>
      </c>
    </row>
    <row r="6" spans="1:30" x14ac:dyDescent="0.35">
      <c r="A6" s="1" t="s">
        <v>30</v>
      </c>
      <c r="B6" t="s">
        <v>521</v>
      </c>
      <c r="C6" t="s">
        <v>522</v>
      </c>
      <c r="D6" t="s">
        <v>539</v>
      </c>
      <c r="E6" t="s">
        <v>540</v>
      </c>
      <c r="F6" t="s">
        <v>541</v>
      </c>
      <c r="G6" t="s">
        <v>542</v>
      </c>
      <c r="H6" t="s">
        <v>37</v>
      </c>
      <c r="I6" t="s">
        <v>111</v>
      </c>
      <c r="J6" t="s">
        <v>39</v>
      </c>
      <c r="K6" s="2">
        <v>46028</v>
      </c>
      <c r="L6" s="2">
        <v>46053</v>
      </c>
      <c r="N6" s="2">
        <v>46023</v>
      </c>
      <c r="O6" s="2">
        <v>46388</v>
      </c>
      <c r="P6">
        <v>12</v>
      </c>
      <c r="Q6" t="s">
        <v>40</v>
      </c>
      <c r="R6" t="s">
        <v>53</v>
      </c>
      <c r="S6" t="s">
        <v>96</v>
      </c>
      <c r="T6" t="s">
        <v>97</v>
      </c>
      <c r="U6" t="s">
        <v>44</v>
      </c>
      <c r="V6" t="s">
        <v>45</v>
      </c>
      <c r="W6" t="s">
        <v>132</v>
      </c>
      <c r="X6" t="s">
        <v>83</v>
      </c>
      <c r="Y6">
        <v>193119.21</v>
      </c>
      <c r="Z6">
        <v>67591.72</v>
      </c>
      <c r="AA6">
        <v>0.35</v>
      </c>
      <c r="AB6" t="s">
        <v>39</v>
      </c>
      <c r="AC6" t="s">
        <v>39</v>
      </c>
      <c r="AD6" t="s">
        <v>48</v>
      </c>
    </row>
    <row r="7" spans="1:30" x14ac:dyDescent="0.35">
      <c r="A7" s="1" t="s">
        <v>30</v>
      </c>
      <c r="B7" t="s">
        <v>521</v>
      </c>
      <c r="C7" t="s">
        <v>522</v>
      </c>
      <c r="D7" t="s">
        <v>543</v>
      </c>
      <c r="E7" t="s">
        <v>544</v>
      </c>
      <c r="F7" t="s">
        <v>545</v>
      </c>
      <c r="G7" t="s">
        <v>546</v>
      </c>
      <c r="H7" t="s">
        <v>37</v>
      </c>
      <c r="I7" t="s">
        <v>103</v>
      </c>
      <c r="J7" t="s">
        <v>39</v>
      </c>
      <c r="K7" s="2">
        <v>46034</v>
      </c>
      <c r="L7" s="2">
        <v>46053</v>
      </c>
      <c r="N7" s="2">
        <v>46023</v>
      </c>
      <c r="O7" s="2">
        <v>46388</v>
      </c>
      <c r="P7">
        <v>12</v>
      </c>
      <c r="Q7" t="s">
        <v>40</v>
      </c>
      <c r="R7" t="s">
        <v>88</v>
      </c>
      <c r="S7" t="s">
        <v>112</v>
      </c>
      <c r="T7" t="s">
        <v>55</v>
      </c>
      <c r="U7" t="s">
        <v>106</v>
      </c>
      <c r="V7" t="s">
        <v>74</v>
      </c>
      <c r="W7" t="s">
        <v>120</v>
      </c>
      <c r="X7" t="s">
        <v>143</v>
      </c>
      <c r="Y7">
        <v>112252.42</v>
      </c>
      <c r="Z7">
        <v>39288.35</v>
      </c>
      <c r="AA7">
        <v>0.35</v>
      </c>
      <c r="AB7" t="s">
        <v>39</v>
      </c>
      <c r="AC7" t="s">
        <v>39</v>
      </c>
      <c r="AD7" t="s">
        <v>48</v>
      </c>
    </row>
    <row r="8" spans="1:30" x14ac:dyDescent="0.35">
      <c r="A8" s="1" t="s">
        <v>30</v>
      </c>
      <c r="B8" t="s">
        <v>521</v>
      </c>
      <c r="C8" t="s">
        <v>522</v>
      </c>
      <c r="D8" t="s">
        <v>547</v>
      </c>
      <c r="E8" t="s">
        <v>548</v>
      </c>
      <c r="F8" t="s">
        <v>549</v>
      </c>
      <c r="G8" t="s">
        <v>550</v>
      </c>
      <c r="H8" t="s">
        <v>37</v>
      </c>
      <c r="I8" t="s">
        <v>38</v>
      </c>
      <c r="J8" t="s">
        <v>39</v>
      </c>
      <c r="K8" s="2">
        <v>46032</v>
      </c>
      <c r="L8" s="2">
        <v>46053</v>
      </c>
      <c r="N8" s="2">
        <v>46023</v>
      </c>
      <c r="O8" s="2">
        <v>47119</v>
      </c>
      <c r="P8">
        <v>36</v>
      </c>
      <c r="Q8" t="s">
        <v>104</v>
      </c>
      <c r="R8" t="s">
        <v>53</v>
      </c>
      <c r="S8" t="s">
        <v>135</v>
      </c>
      <c r="T8" t="s">
        <v>131</v>
      </c>
      <c r="U8" t="s">
        <v>44</v>
      </c>
      <c r="V8" t="s">
        <v>67</v>
      </c>
      <c r="W8" t="s">
        <v>82</v>
      </c>
      <c r="X8" t="s">
        <v>68</v>
      </c>
      <c r="Y8">
        <v>204888.83</v>
      </c>
      <c r="Z8">
        <v>71711.09</v>
      </c>
      <c r="AA8">
        <v>0.35</v>
      </c>
      <c r="AB8" t="s">
        <v>39</v>
      </c>
      <c r="AC8" t="s">
        <v>39</v>
      </c>
      <c r="AD8" t="s">
        <v>48</v>
      </c>
    </row>
    <row r="9" spans="1:30" x14ac:dyDescent="0.35">
      <c r="A9" s="1" t="s">
        <v>30</v>
      </c>
      <c r="B9" t="s">
        <v>521</v>
      </c>
      <c r="C9" t="s">
        <v>522</v>
      </c>
      <c r="D9" t="s">
        <v>1267</v>
      </c>
      <c r="E9" t="s">
        <v>1268</v>
      </c>
      <c r="F9" t="s">
        <v>1269</v>
      </c>
      <c r="G9" t="s">
        <v>1270</v>
      </c>
      <c r="H9" t="s">
        <v>1271</v>
      </c>
      <c r="I9" t="s">
        <v>111</v>
      </c>
      <c r="J9" t="s">
        <v>39</v>
      </c>
      <c r="K9" s="2">
        <v>46028</v>
      </c>
      <c r="L9" s="2">
        <v>46053</v>
      </c>
      <c r="N9" s="2">
        <v>46023</v>
      </c>
      <c r="O9" s="2">
        <v>46388</v>
      </c>
      <c r="P9">
        <v>12</v>
      </c>
      <c r="Q9" t="s">
        <v>65</v>
      </c>
      <c r="R9" t="s">
        <v>53</v>
      </c>
      <c r="S9" t="s">
        <v>135</v>
      </c>
      <c r="T9" t="s">
        <v>131</v>
      </c>
      <c r="U9" t="s">
        <v>56</v>
      </c>
      <c r="V9" t="s">
        <v>144</v>
      </c>
      <c r="W9" t="s">
        <v>90</v>
      </c>
      <c r="X9" t="s">
        <v>68</v>
      </c>
      <c r="Y9">
        <v>84943.360000000001</v>
      </c>
      <c r="Z9">
        <v>55213.18</v>
      </c>
      <c r="AA9">
        <v>0.65</v>
      </c>
      <c r="AB9" t="s">
        <v>39</v>
      </c>
      <c r="AC9" t="s">
        <v>39</v>
      </c>
      <c r="AD9" t="s">
        <v>48</v>
      </c>
    </row>
    <row r="10" spans="1:30" x14ac:dyDescent="0.35">
      <c r="A10" s="1" t="s">
        <v>30</v>
      </c>
      <c r="B10" t="s">
        <v>521</v>
      </c>
      <c r="C10" t="s">
        <v>522</v>
      </c>
      <c r="D10" t="s">
        <v>1272</v>
      </c>
      <c r="E10" t="s">
        <v>1273</v>
      </c>
      <c r="F10" t="s">
        <v>1274</v>
      </c>
      <c r="G10" t="s">
        <v>1275</v>
      </c>
      <c r="H10" t="s">
        <v>1271</v>
      </c>
      <c r="I10" t="s">
        <v>103</v>
      </c>
      <c r="J10" t="s">
        <v>39</v>
      </c>
      <c r="K10" s="2">
        <v>46029</v>
      </c>
      <c r="L10" s="2">
        <v>46053</v>
      </c>
      <c r="N10" s="2">
        <v>46023</v>
      </c>
      <c r="O10" s="2">
        <v>46753</v>
      </c>
      <c r="P10">
        <v>24</v>
      </c>
      <c r="Q10" t="s">
        <v>40</v>
      </c>
      <c r="R10" t="s">
        <v>53</v>
      </c>
      <c r="S10" t="s">
        <v>66</v>
      </c>
      <c r="T10" t="s">
        <v>55</v>
      </c>
      <c r="U10" t="s">
        <v>56</v>
      </c>
      <c r="V10" t="s">
        <v>98</v>
      </c>
      <c r="W10" t="s">
        <v>132</v>
      </c>
      <c r="X10" t="s">
        <v>68</v>
      </c>
      <c r="Y10">
        <v>143428.12</v>
      </c>
      <c r="Z10">
        <v>71714.06</v>
      </c>
      <c r="AA10">
        <v>0.5</v>
      </c>
      <c r="AB10" t="s">
        <v>39</v>
      </c>
      <c r="AC10" t="s">
        <v>39</v>
      </c>
      <c r="AD10" t="s">
        <v>48</v>
      </c>
    </row>
    <row r="11" spans="1:30" x14ac:dyDescent="0.35">
      <c r="A11" s="1" t="s">
        <v>30</v>
      </c>
      <c r="B11" t="s">
        <v>521</v>
      </c>
      <c r="C11" t="s">
        <v>522</v>
      </c>
      <c r="D11" t="s">
        <v>1276</v>
      </c>
      <c r="E11" t="s">
        <v>1277</v>
      </c>
      <c r="F11" t="s">
        <v>1278</v>
      </c>
      <c r="G11" t="s">
        <v>1279</v>
      </c>
      <c r="H11" t="s">
        <v>1271</v>
      </c>
      <c r="I11" t="s">
        <v>38</v>
      </c>
      <c r="J11" t="s">
        <v>39</v>
      </c>
      <c r="K11" s="2">
        <v>46031</v>
      </c>
      <c r="L11" s="2">
        <v>46053</v>
      </c>
      <c r="N11" s="2">
        <v>46023</v>
      </c>
      <c r="O11" s="2">
        <v>46388</v>
      </c>
      <c r="P11">
        <v>12</v>
      </c>
      <c r="Q11" t="s">
        <v>40</v>
      </c>
      <c r="R11" t="s">
        <v>53</v>
      </c>
      <c r="S11" t="s">
        <v>135</v>
      </c>
      <c r="T11" t="s">
        <v>131</v>
      </c>
      <c r="U11" t="s">
        <v>44</v>
      </c>
      <c r="V11" t="s">
        <v>57</v>
      </c>
      <c r="W11" t="s">
        <v>136</v>
      </c>
      <c r="X11" t="s">
        <v>83</v>
      </c>
      <c r="Y11">
        <v>110106.33</v>
      </c>
      <c r="Z11">
        <v>88085.06</v>
      </c>
      <c r="AA11">
        <v>0.8</v>
      </c>
      <c r="AB11" t="s">
        <v>39</v>
      </c>
      <c r="AC11" t="s">
        <v>39</v>
      </c>
      <c r="AD11" t="s">
        <v>48</v>
      </c>
    </row>
    <row r="12" spans="1:30" x14ac:dyDescent="0.35">
      <c r="A12" s="1" t="s">
        <v>30</v>
      </c>
      <c r="B12" t="s">
        <v>521</v>
      </c>
      <c r="C12" t="s">
        <v>522</v>
      </c>
      <c r="D12" t="s">
        <v>1280</v>
      </c>
      <c r="E12" t="s">
        <v>1281</v>
      </c>
      <c r="F12" t="s">
        <v>1282</v>
      </c>
      <c r="G12" t="s">
        <v>1283</v>
      </c>
      <c r="H12" t="s">
        <v>1271</v>
      </c>
      <c r="I12" t="s">
        <v>103</v>
      </c>
      <c r="J12" t="s">
        <v>39</v>
      </c>
      <c r="K12" s="2">
        <v>46036</v>
      </c>
      <c r="L12" s="2">
        <v>46053</v>
      </c>
      <c r="N12" s="2">
        <v>46023</v>
      </c>
      <c r="O12" s="2">
        <v>46388</v>
      </c>
      <c r="P12">
        <v>12</v>
      </c>
      <c r="Q12" t="s">
        <v>104</v>
      </c>
      <c r="R12" t="s">
        <v>53</v>
      </c>
      <c r="S12" t="s">
        <v>151</v>
      </c>
      <c r="T12" t="s">
        <v>131</v>
      </c>
      <c r="U12" t="s">
        <v>56</v>
      </c>
      <c r="V12" t="s">
        <v>57</v>
      </c>
      <c r="W12" t="s">
        <v>161</v>
      </c>
      <c r="X12" t="s">
        <v>91</v>
      </c>
      <c r="Y12">
        <v>165171.37</v>
      </c>
      <c r="Z12">
        <v>132137.09</v>
      </c>
      <c r="AA12">
        <v>0.8</v>
      </c>
      <c r="AB12" t="s">
        <v>39</v>
      </c>
      <c r="AC12" t="s">
        <v>39</v>
      </c>
      <c r="AD12" t="s">
        <v>48</v>
      </c>
    </row>
    <row r="13" spans="1:30" x14ac:dyDescent="0.35">
      <c r="A13" s="1" t="s">
        <v>30</v>
      </c>
      <c r="B13" t="s">
        <v>521</v>
      </c>
      <c r="C13" t="s">
        <v>522</v>
      </c>
      <c r="D13" t="s">
        <v>1284</v>
      </c>
      <c r="E13" t="s">
        <v>1285</v>
      </c>
      <c r="F13" t="s">
        <v>338</v>
      </c>
      <c r="G13" t="s">
        <v>339</v>
      </c>
      <c r="H13" t="s">
        <v>1271</v>
      </c>
      <c r="I13" t="s">
        <v>117</v>
      </c>
      <c r="J13" t="s">
        <v>39</v>
      </c>
      <c r="K13" s="2">
        <v>46028</v>
      </c>
      <c r="L13" s="2">
        <v>46053</v>
      </c>
      <c r="N13" s="2">
        <v>46023</v>
      </c>
      <c r="O13" s="2">
        <v>46753</v>
      </c>
      <c r="P13">
        <v>24</v>
      </c>
      <c r="Q13" t="s">
        <v>40</v>
      </c>
      <c r="R13" t="s">
        <v>41</v>
      </c>
      <c r="S13" t="s">
        <v>140</v>
      </c>
      <c r="T13" t="s">
        <v>97</v>
      </c>
      <c r="U13" t="s">
        <v>106</v>
      </c>
      <c r="V13" t="s">
        <v>144</v>
      </c>
      <c r="W13" t="s">
        <v>75</v>
      </c>
      <c r="X13" t="s">
        <v>125</v>
      </c>
      <c r="Y13">
        <v>126850.82</v>
      </c>
      <c r="Z13">
        <v>82453.03</v>
      </c>
      <c r="AA13">
        <v>0.65</v>
      </c>
      <c r="AB13" t="s">
        <v>39</v>
      </c>
      <c r="AC13" t="s">
        <v>39</v>
      </c>
      <c r="AD13" t="s">
        <v>48</v>
      </c>
    </row>
    <row r="14" spans="1:30" x14ac:dyDescent="0.35">
      <c r="A14" s="1" t="s">
        <v>30</v>
      </c>
      <c r="B14" t="s">
        <v>521</v>
      </c>
      <c r="C14" t="s">
        <v>522</v>
      </c>
      <c r="D14" t="s">
        <v>1286</v>
      </c>
      <c r="E14" t="s">
        <v>1287</v>
      </c>
      <c r="F14" t="s">
        <v>1288</v>
      </c>
      <c r="G14" t="s">
        <v>1289</v>
      </c>
      <c r="H14" t="s">
        <v>1290</v>
      </c>
      <c r="I14" t="s">
        <v>103</v>
      </c>
      <c r="J14" t="s">
        <v>1290</v>
      </c>
      <c r="K14" s="2">
        <v>46028</v>
      </c>
      <c r="L14" s="2">
        <v>46053</v>
      </c>
      <c r="N14" s="2">
        <v>46023</v>
      </c>
      <c r="O14" s="2">
        <v>46753</v>
      </c>
      <c r="P14">
        <v>24</v>
      </c>
      <c r="Q14" t="s">
        <v>65</v>
      </c>
      <c r="R14" t="s">
        <v>88</v>
      </c>
      <c r="S14" t="s">
        <v>96</v>
      </c>
      <c r="T14" t="s">
        <v>97</v>
      </c>
      <c r="U14" t="s">
        <v>44</v>
      </c>
      <c r="V14" t="s">
        <v>119</v>
      </c>
      <c r="W14" t="s">
        <v>58</v>
      </c>
      <c r="X14" t="s">
        <v>91</v>
      </c>
      <c r="Y14">
        <v>183600</v>
      </c>
      <c r="Z14">
        <v>119340</v>
      </c>
      <c r="AA14">
        <v>0.65</v>
      </c>
      <c r="AB14" t="s">
        <v>1290</v>
      </c>
      <c r="AC14" t="s">
        <v>1290</v>
      </c>
      <c r="AD14" t="s">
        <v>48</v>
      </c>
    </row>
    <row r="15" spans="1:30" x14ac:dyDescent="0.35">
      <c r="A15" s="1" t="s">
        <v>30</v>
      </c>
      <c r="B15" t="s">
        <v>521</v>
      </c>
      <c r="C15" t="s">
        <v>522</v>
      </c>
      <c r="D15" t="s">
        <v>1291</v>
      </c>
      <c r="E15" t="s">
        <v>1292</v>
      </c>
      <c r="F15" t="s">
        <v>1293</v>
      </c>
      <c r="G15" t="s">
        <v>1294</v>
      </c>
      <c r="H15" t="s">
        <v>1295</v>
      </c>
      <c r="I15" t="s">
        <v>111</v>
      </c>
      <c r="J15" t="s">
        <v>1295</v>
      </c>
      <c r="K15" s="2">
        <v>46027</v>
      </c>
      <c r="L15" s="2">
        <v>46053</v>
      </c>
      <c r="N15" s="2">
        <v>46023</v>
      </c>
      <c r="O15" s="2">
        <v>46388</v>
      </c>
      <c r="P15">
        <v>12</v>
      </c>
      <c r="Q15" t="s">
        <v>65</v>
      </c>
      <c r="R15" t="s">
        <v>53</v>
      </c>
      <c r="S15" t="s">
        <v>141</v>
      </c>
      <c r="T15" t="s">
        <v>131</v>
      </c>
      <c r="U15" t="s">
        <v>106</v>
      </c>
      <c r="V15" t="s">
        <v>81</v>
      </c>
      <c r="W15" t="s">
        <v>142</v>
      </c>
      <c r="X15" t="s">
        <v>158</v>
      </c>
      <c r="Y15">
        <v>232754.65</v>
      </c>
      <c r="Z15">
        <v>151290.51999999999</v>
      </c>
      <c r="AA15">
        <v>0.65</v>
      </c>
      <c r="AB15" t="s">
        <v>1295</v>
      </c>
      <c r="AC15" t="s">
        <v>1295</v>
      </c>
      <c r="AD15" t="s">
        <v>48</v>
      </c>
    </row>
    <row r="16" spans="1:30" x14ac:dyDescent="0.35">
      <c r="A16" s="1" t="s">
        <v>30</v>
      </c>
      <c r="B16" t="s">
        <v>521</v>
      </c>
      <c r="C16" t="s">
        <v>522</v>
      </c>
      <c r="D16" t="s">
        <v>1296</v>
      </c>
      <c r="E16" t="s">
        <v>1297</v>
      </c>
      <c r="F16" t="s">
        <v>708</v>
      </c>
      <c r="G16" t="s">
        <v>709</v>
      </c>
      <c r="H16" t="s">
        <v>1295</v>
      </c>
      <c r="I16" t="s">
        <v>117</v>
      </c>
      <c r="J16" t="s">
        <v>1295</v>
      </c>
      <c r="K16" s="2">
        <v>46028</v>
      </c>
      <c r="L16" s="2">
        <v>46053</v>
      </c>
      <c r="N16" s="2">
        <v>46023</v>
      </c>
      <c r="O16" s="2">
        <v>46388</v>
      </c>
      <c r="P16">
        <v>12</v>
      </c>
      <c r="Q16" t="s">
        <v>104</v>
      </c>
      <c r="R16" t="s">
        <v>88</v>
      </c>
      <c r="S16" t="s">
        <v>141</v>
      </c>
      <c r="T16" t="s">
        <v>131</v>
      </c>
      <c r="U16" t="s">
        <v>56</v>
      </c>
      <c r="V16" t="s">
        <v>74</v>
      </c>
      <c r="W16" t="s">
        <v>120</v>
      </c>
      <c r="X16" t="s">
        <v>83</v>
      </c>
      <c r="Y16">
        <v>199845.35</v>
      </c>
      <c r="Z16">
        <v>129899.48</v>
      </c>
      <c r="AA16">
        <v>0.65</v>
      </c>
      <c r="AB16" t="s">
        <v>1295</v>
      </c>
      <c r="AC16" t="s">
        <v>1295</v>
      </c>
      <c r="AD16" t="s">
        <v>48</v>
      </c>
    </row>
    <row r="17" spans="1:30" x14ac:dyDescent="0.35">
      <c r="A17" s="1" t="s">
        <v>30</v>
      </c>
      <c r="B17" t="s">
        <v>521</v>
      </c>
      <c r="C17" t="s">
        <v>522</v>
      </c>
      <c r="D17" t="s">
        <v>1298</v>
      </c>
      <c r="E17" t="s">
        <v>1299</v>
      </c>
      <c r="F17" t="s">
        <v>1300</v>
      </c>
      <c r="G17" t="s">
        <v>1301</v>
      </c>
      <c r="H17" t="s">
        <v>1302</v>
      </c>
      <c r="I17" t="s">
        <v>103</v>
      </c>
      <c r="J17" t="s">
        <v>39</v>
      </c>
      <c r="K17" s="2">
        <v>46028</v>
      </c>
      <c r="L17" s="2">
        <v>46053</v>
      </c>
      <c r="N17" s="2">
        <v>46023</v>
      </c>
      <c r="O17" s="2">
        <v>46388</v>
      </c>
      <c r="P17">
        <v>12</v>
      </c>
      <c r="Q17" t="s">
        <v>65</v>
      </c>
      <c r="R17" t="s">
        <v>88</v>
      </c>
      <c r="S17" t="s">
        <v>182</v>
      </c>
      <c r="T17" t="s">
        <v>97</v>
      </c>
      <c r="U17" t="s">
        <v>44</v>
      </c>
      <c r="V17" t="s">
        <v>81</v>
      </c>
      <c r="W17" t="s">
        <v>90</v>
      </c>
      <c r="X17" t="s">
        <v>143</v>
      </c>
      <c r="Y17">
        <v>60000</v>
      </c>
      <c r="Z17">
        <v>21000</v>
      </c>
      <c r="AA17">
        <v>0.35</v>
      </c>
      <c r="AB17" t="s">
        <v>39</v>
      </c>
      <c r="AC17" t="s">
        <v>39</v>
      </c>
      <c r="AD17" t="s">
        <v>48</v>
      </c>
    </row>
    <row r="18" spans="1:30" x14ac:dyDescent="0.35">
      <c r="A18" s="1" t="s">
        <v>30</v>
      </c>
      <c r="B18" t="s">
        <v>521</v>
      </c>
      <c r="C18" t="s">
        <v>564</v>
      </c>
      <c r="D18" t="s">
        <v>565</v>
      </c>
      <c r="E18" t="s">
        <v>566</v>
      </c>
      <c r="F18" t="s">
        <v>35</v>
      </c>
      <c r="G18" t="s">
        <v>36</v>
      </c>
      <c r="H18" t="s">
        <v>37</v>
      </c>
      <c r="I18" t="s">
        <v>111</v>
      </c>
      <c r="J18" t="s">
        <v>39</v>
      </c>
      <c r="K18" s="2">
        <v>46065</v>
      </c>
      <c r="L18" s="2">
        <v>46081</v>
      </c>
      <c r="N18" s="2">
        <v>46054</v>
      </c>
      <c r="O18" s="2">
        <v>46419</v>
      </c>
      <c r="P18">
        <v>12</v>
      </c>
      <c r="Q18" t="s">
        <v>40</v>
      </c>
      <c r="R18" t="s">
        <v>53</v>
      </c>
      <c r="S18" t="s">
        <v>42</v>
      </c>
      <c r="T18" t="s">
        <v>43</v>
      </c>
      <c r="U18" t="s">
        <v>44</v>
      </c>
      <c r="V18" t="s">
        <v>45</v>
      </c>
      <c r="W18" t="s">
        <v>90</v>
      </c>
      <c r="X18" t="s">
        <v>68</v>
      </c>
      <c r="Y18">
        <v>89553.06</v>
      </c>
      <c r="Z18">
        <v>71642.45</v>
      </c>
      <c r="AA18">
        <v>0.8</v>
      </c>
      <c r="AB18" t="s">
        <v>39</v>
      </c>
      <c r="AC18" t="s">
        <v>39</v>
      </c>
      <c r="AD18" t="s">
        <v>48</v>
      </c>
    </row>
    <row r="19" spans="1:30" x14ac:dyDescent="0.35">
      <c r="A19" s="1" t="s">
        <v>30</v>
      </c>
      <c r="B19" t="s">
        <v>521</v>
      </c>
      <c r="C19" t="s">
        <v>564</v>
      </c>
      <c r="D19" t="s">
        <v>567</v>
      </c>
      <c r="E19" t="s">
        <v>568</v>
      </c>
      <c r="F19" t="s">
        <v>569</v>
      </c>
      <c r="G19" t="s">
        <v>570</v>
      </c>
      <c r="H19" t="s">
        <v>37</v>
      </c>
      <c r="I19" t="s">
        <v>111</v>
      </c>
      <c r="J19" t="s">
        <v>39</v>
      </c>
      <c r="K19" s="2">
        <v>46066</v>
      </c>
      <c r="L19" s="2">
        <v>46081</v>
      </c>
      <c r="N19" s="2">
        <v>46054</v>
      </c>
      <c r="O19" s="2">
        <v>46419</v>
      </c>
      <c r="P19">
        <v>12</v>
      </c>
      <c r="Q19" t="s">
        <v>65</v>
      </c>
      <c r="R19" t="s">
        <v>41</v>
      </c>
      <c r="S19" t="s">
        <v>105</v>
      </c>
      <c r="T19" t="s">
        <v>55</v>
      </c>
      <c r="U19" t="s">
        <v>56</v>
      </c>
      <c r="V19" t="s">
        <v>57</v>
      </c>
      <c r="W19" t="s">
        <v>58</v>
      </c>
      <c r="X19" t="s">
        <v>91</v>
      </c>
      <c r="Y19">
        <v>174145.35</v>
      </c>
      <c r="Z19">
        <v>113194.48</v>
      </c>
      <c r="AA19">
        <v>0.65</v>
      </c>
      <c r="AB19" t="s">
        <v>39</v>
      </c>
      <c r="AC19" t="s">
        <v>39</v>
      </c>
      <c r="AD19" t="s">
        <v>48</v>
      </c>
    </row>
    <row r="20" spans="1:30" x14ac:dyDescent="0.35">
      <c r="A20" s="1" t="s">
        <v>30</v>
      </c>
      <c r="B20" t="s">
        <v>521</v>
      </c>
      <c r="C20" t="s">
        <v>564</v>
      </c>
      <c r="D20" t="s">
        <v>571</v>
      </c>
      <c r="E20" t="s">
        <v>572</v>
      </c>
      <c r="F20" t="s">
        <v>573</v>
      </c>
      <c r="G20" t="s">
        <v>574</v>
      </c>
      <c r="H20" t="s">
        <v>37</v>
      </c>
      <c r="I20" t="s">
        <v>111</v>
      </c>
      <c r="J20" t="s">
        <v>39</v>
      </c>
      <c r="K20" s="2">
        <v>46060</v>
      </c>
      <c r="L20" s="2">
        <v>46081</v>
      </c>
      <c r="N20" s="2">
        <v>46054</v>
      </c>
      <c r="O20" s="2">
        <v>46784</v>
      </c>
      <c r="P20">
        <v>24</v>
      </c>
      <c r="Q20" t="s">
        <v>104</v>
      </c>
      <c r="R20" t="s">
        <v>53</v>
      </c>
      <c r="S20" t="s">
        <v>141</v>
      </c>
      <c r="T20" t="s">
        <v>131</v>
      </c>
      <c r="U20" t="s">
        <v>106</v>
      </c>
      <c r="V20" t="s">
        <v>45</v>
      </c>
      <c r="W20" t="s">
        <v>142</v>
      </c>
      <c r="X20" t="s">
        <v>83</v>
      </c>
      <c r="Y20">
        <v>189880.81</v>
      </c>
      <c r="Z20">
        <v>123422.53</v>
      </c>
      <c r="AA20">
        <v>0.65</v>
      </c>
      <c r="AB20" t="s">
        <v>39</v>
      </c>
      <c r="AC20" t="s">
        <v>39</v>
      </c>
      <c r="AD20" t="s">
        <v>48</v>
      </c>
    </row>
    <row r="21" spans="1:30" x14ac:dyDescent="0.35">
      <c r="A21" s="1" t="s">
        <v>30</v>
      </c>
      <c r="B21" t="s">
        <v>521</v>
      </c>
      <c r="C21" t="s">
        <v>564</v>
      </c>
      <c r="D21" t="s">
        <v>575</v>
      </c>
      <c r="E21" t="s">
        <v>576</v>
      </c>
      <c r="F21" t="s">
        <v>577</v>
      </c>
      <c r="G21" t="s">
        <v>578</v>
      </c>
      <c r="H21" t="s">
        <v>37</v>
      </c>
      <c r="I21" t="s">
        <v>111</v>
      </c>
      <c r="J21" t="s">
        <v>39</v>
      </c>
      <c r="K21" s="2">
        <v>46060</v>
      </c>
      <c r="L21" s="2">
        <v>46081</v>
      </c>
      <c r="N21" s="2">
        <v>46054</v>
      </c>
      <c r="O21" s="2">
        <v>46419</v>
      </c>
      <c r="P21">
        <v>12</v>
      </c>
      <c r="Q21" t="s">
        <v>40</v>
      </c>
      <c r="R21" t="s">
        <v>53</v>
      </c>
      <c r="S21" t="s">
        <v>42</v>
      </c>
      <c r="T21" t="s">
        <v>43</v>
      </c>
      <c r="U21" t="s">
        <v>106</v>
      </c>
      <c r="V21" t="s">
        <v>217</v>
      </c>
      <c r="W21" t="s">
        <v>150</v>
      </c>
      <c r="X21" t="s">
        <v>158</v>
      </c>
      <c r="Y21">
        <v>176622.48</v>
      </c>
      <c r="Z21">
        <v>141297.98000000001</v>
      </c>
      <c r="AA21">
        <v>0.8</v>
      </c>
      <c r="AB21" t="s">
        <v>39</v>
      </c>
      <c r="AC21" t="s">
        <v>39</v>
      </c>
      <c r="AD21" t="s">
        <v>48</v>
      </c>
    </row>
    <row r="22" spans="1:30" x14ac:dyDescent="0.35">
      <c r="A22" s="1" t="s">
        <v>30</v>
      </c>
      <c r="B22" t="s">
        <v>521</v>
      </c>
      <c r="C22" t="s">
        <v>564</v>
      </c>
      <c r="D22" t="s">
        <v>579</v>
      </c>
      <c r="E22" t="s">
        <v>580</v>
      </c>
      <c r="F22" t="s">
        <v>581</v>
      </c>
      <c r="G22" t="s">
        <v>582</v>
      </c>
      <c r="H22" t="s">
        <v>37</v>
      </c>
      <c r="I22" t="s">
        <v>64</v>
      </c>
      <c r="J22" t="s">
        <v>39</v>
      </c>
      <c r="K22" s="2">
        <v>46063</v>
      </c>
      <c r="L22" s="2">
        <v>46081</v>
      </c>
      <c r="N22" s="2">
        <v>46054</v>
      </c>
      <c r="O22" s="2">
        <v>47150</v>
      </c>
      <c r="P22">
        <v>36</v>
      </c>
      <c r="Q22" t="s">
        <v>104</v>
      </c>
      <c r="R22" t="s">
        <v>41</v>
      </c>
      <c r="S22" t="s">
        <v>54</v>
      </c>
      <c r="T22" t="s">
        <v>55</v>
      </c>
      <c r="U22" t="s">
        <v>44</v>
      </c>
      <c r="V22" t="s">
        <v>98</v>
      </c>
      <c r="W22" t="s">
        <v>161</v>
      </c>
      <c r="X22" t="s">
        <v>68</v>
      </c>
      <c r="Y22">
        <v>164777.32</v>
      </c>
      <c r="Z22">
        <v>82388.66</v>
      </c>
      <c r="AA22">
        <v>0.5</v>
      </c>
      <c r="AB22" t="s">
        <v>39</v>
      </c>
      <c r="AC22" t="s">
        <v>39</v>
      </c>
      <c r="AD22" t="s">
        <v>48</v>
      </c>
    </row>
    <row r="23" spans="1:30" x14ac:dyDescent="0.35">
      <c r="A23" s="1" t="s">
        <v>30</v>
      </c>
      <c r="B23" t="s">
        <v>521</v>
      </c>
      <c r="C23" t="s">
        <v>564</v>
      </c>
      <c r="D23" t="s">
        <v>583</v>
      </c>
      <c r="E23" t="s">
        <v>584</v>
      </c>
      <c r="F23" t="s">
        <v>585</v>
      </c>
      <c r="G23" t="s">
        <v>586</v>
      </c>
      <c r="H23" t="s">
        <v>37</v>
      </c>
      <c r="I23" t="s">
        <v>103</v>
      </c>
      <c r="J23" t="s">
        <v>39</v>
      </c>
      <c r="K23" s="2">
        <v>46066</v>
      </c>
      <c r="L23" s="2">
        <v>46081</v>
      </c>
      <c r="N23" s="2">
        <v>46054</v>
      </c>
      <c r="O23" s="2">
        <v>46419</v>
      </c>
      <c r="P23">
        <v>12</v>
      </c>
      <c r="Q23" t="s">
        <v>104</v>
      </c>
      <c r="R23" t="s">
        <v>41</v>
      </c>
      <c r="S23" t="s">
        <v>130</v>
      </c>
      <c r="T23" t="s">
        <v>131</v>
      </c>
      <c r="U23" t="s">
        <v>44</v>
      </c>
      <c r="V23" t="s">
        <v>67</v>
      </c>
      <c r="W23" t="s">
        <v>58</v>
      </c>
      <c r="X23" t="s">
        <v>47</v>
      </c>
      <c r="Y23">
        <v>190265.01</v>
      </c>
      <c r="Z23">
        <v>123672.25</v>
      </c>
      <c r="AA23">
        <v>0.65</v>
      </c>
      <c r="AB23" t="s">
        <v>39</v>
      </c>
      <c r="AC23" t="s">
        <v>39</v>
      </c>
      <c r="AD23" t="s">
        <v>48</v>
      </c>
    </row>
    <row r="24" spans="1:30" x14ac:dyDescent="0.35">
      <c r="A24" s="1" t="s">
        <v>30</v>
      </c>
      <c r="B24" t="s">
        <v>521</v>
      </c>
      <c r="C24" t="s">
        <v>564</v>
      </c>
      <c r="D24" t="s">
        <v>587</v>
      </c>
      <c r="E24" t="s">
        <v>588</v>
      </c>
      <c r="F24" t="s">
        <v>589</v>
      </c>
      <c r="G24" t="s">
        <v>590</v>
      </c>
      <c r="H24" t="s">
        <v>37</v>
      </c>
      <c r="I24" t="s">
        <v>38</v>
      </c>
      <c r="J24" t="s">
        <v>39</v>
      </c>
      <c r="K24" s="2">
        <v>46067</v>
      </c>
      <c r="L24" s="2">
        <v>46081</v>
      </c>
      <c r="N24" s="2">
        <v>46054</v>
      </c>
      <c r="O24" s="2">
        <v>46784</v>
      </c>
      <c r="P24">
        <v>24</v>
      </c>
      <c r="Q24" t="s">
        <v>40</v>
      </c>
      <c r="R24" t="s">
        <v>53</v>
      </c>
      <c r="S24" t="s">
        <v>280</v>
      </c>
      <c r="T24" t="s">
        <v>43</v>
      </c>
      <c r="U24" t="s">
        <v>44</v>
      </c>
      <c r="V24" t="s">
        <v>138</v>
      </c>
      <c r="W24" t="s">
        <v>58</v>
      </c>
      <c r="X24" t="s">
        <v>143</v>
      </c>
      <c r="Y24">
        <v>139108.70000000001</v>
      </c>
      <c r="Z24">
        <v>90420.65</v>
      </c>
      <c r="AA24">
        <v>0.65</v>
      </c>
      <c r="AB24" t="s">
        <v>39</v>
      </c>
      <c r="AC24" t="s">
        <v>39</v>
      </c>
      <c r="AD24" t="s">
        <v>48</v>
      </c>
    </row>
    <row r="25" spans="1:30" x14ac:dyDescent="0.35">
      <c r="A25" s="1" t="s">
        <v>30</v>
      </c>
      <c r="B25" t="s">
        <v>521</v>
      </c>
      <c r="C25" t="s">
        <v>564</v>
      </c>
      <c r="D25" t="s">
        <v>591</v>
      </c>
      <c r="E25" t="s">
        <v>592</v>
      </c>
      <c r="F25" t="s">
        <v>593</v>
      </c>
      <c r="G25" t="s">
        <v>594</v>
      </c>
      <c r="H25" t="s">
        <v>37</v>
      </c>
      <c r="I25" t="s">
        <v>64</v>
      </c>
      <c r="J25" t="s">
        <v>39</v>
      </c>
      <c r="K25" s="2">
        <v>46064</v>
      </c>
      <c r="L25" s="2">
        <v>46081</v>
      </c>
      <c r="N25" s="2">
        <v>46054</v>
      </c>
      <c r="O25" s="2">
        <v>46419</v>
      </c>
      <c r="P25">
        <v>12</v>
      </c>
      <c r="Q25" t="s">
        <v>104</v>
      </c>
      <c r="R25" t="s">
        <v>88</v>
      </c>
      <c r="S25" t="s">
        <v>222</v>
      </c>
      <c r="T25" t="s">
        <v>97</v>
      </c>
      <c r="U25" t="s">
        <v>56</v>
      </c>
      <c r="V25" t="s">
        <v>74</v>
      </c>
      <c r="W25" t="s">
        <v>142</v>
      </c>
      <c r="X25" t="s">
        <v>83</v>
      </c>
      <c r="Y25">
        <v>171647.27</v>
      </c>
      <c r="Z25">
        <v>60076.55</v>
      </c>
      <c r="AA25">
        <v>0.35</v>
      </c>
      <c r="AB25" t="s">
        <v>39</v>
      </c>
      <c r="AC25" t="s">
        <v>39</v>
      </c>
      <c r="AD25" t="s">
        <v>48</v>
      </c>
    </row>
    <row r="26" spans="1:30" x14ac:dyDescent="0.35">
      <c r="A26" s="1" t="s">
        <v>30</v>
      </c>
      <c r="B26" t="s">
        <v>521</v>
      </c>
      <c r="C26" t="s">
        <v>564</v>
      </c>
      <c r="D26" t="s">
        <v>1303</v>
      </c>
      <c r="E26" t="s">
        <v>1304</v>
      </c>
      <c r="F26" t="s">
        <v>1305</v>
      </c>
      <c r="G26" t="s">
        <v>1306</v>
      </c>
      <c r="H26" t="s">
        <v>1271</v>
      </c>
      <c r="I26" t="s">
        <v>117</v>
      </c>
      <c r="J26" t="s">
        <v>39</v>
      </c>
      <c r="K26" s="2">
        <v>46065</v>
      </c>
      <c r="L26" s="2">
        <v>46081</v>
      </c>
      <c r="N26" s="2">
        <v>46054</v>
      </c>
      <c r="O26" s="2">
        <v>46419</v>
      </c>
      <c r="P26">
        <v>12</v>
      </c>
      <c r="Q26" t="s">
        <v>104</v>
      </c>
      <c r="R26" t="s">
        <v>88</v>
      </c>
      <c r="S26" t="s">
        <v>164</v>
      </c>
      <c r="T26" t="s">
        <v>55</v>
      </c>
      <c r="U26" t="s">
        <v>44</v>
      </c>
      <c r="V26" t="s">
        <v>98</v>
      </c>
      <c r="W26" t="s">
        <v>161</v>
      </c>
      <c r="X26" t="s">
        <v>47</v>
      </c>
      <c r="Y26">
        <v>101380.7</v>
      </c>
      <c r="Z26">
        <v>81104.56</v>
      </c>
      <c r="AA26">
        <v>0.8</v>
      </c>
      <c r="AB26" t="s">
        <v>39</v>
      </c>
      <c r="AC26" t="s">
        <v>39</v>
      </c>
      <c r="AD26" t="s">
        <v>48</v>
      </c>
    </row>
    <row r="27" spans="1:30" x14ac:dyDescent="0.35">
      <c r="A27" s="1" t="s">
        <v>30</v>
      </c>
      <c r="B27" t="s">
        <v>521</v>
      </c>
      <c r="C27" t="s">
        <v>564</v>
      </c>
      <c r="D27" t="s">
        <v>1307</v>
      </c>
      <c r="E27" t="s">
        <v>1308</v>
      </c>
      <c r="F27" t="s">
        <v>509</v>
      </c>
      <c r="G27" t="s">
        <v>510</v>
      </c>
      <c r="H27" t="s">
        <v>1271</v>
      </c>
      <c r="I27" t="s">
        <v>111</v>
      </c>
      <c r="J27" t="s">
        <v>39</v>
      </c>
      <c r="K27" s="2">
        <v>46057</v>
      </c>
      <c r="L27" s="2">
        <v>46081</v>
      </c>
      <c r="N27" s="2">
        <v>46054</v>
      </c>
      <c r="O27" s="2">
        <v>46419</v>
      </c>
      <c r="P27">
        <v>12</v>
      </c>
      <c r="Q27" t="s">
        <v>104</v>
      </c>
      <c r="R27" t="s">
        <v>88</v>
      </c>
      <c r="S27" t="s">
        <v>66</v>
      </c>
      <c r="T27" t="s">
        <v>55</v>
      </c>
      <c r="U27" t="s">
        <v>44</v>
      </c>
      <c r="V27" t="s">
        <v>144</v>
      </c>
      <c r="W27" t="s">
        <v>90</v>
      </c>
      <c r="X27" t="s">
        <v>143</v>
      </c>
      <c r="Y27">
        <v>134521.03</v>
      </c>
      <c r="Z27">
        <v>107616.83</v>
      </c>
      <c r="AA27">
        <v>0.8</v>
      </c>
      <c r="AB27" t="s">
        <v>39</v>
      </c>
      <c r="AC27" t="s">
        <v>39</v>
      </c>
      <c r="AD27" t="s">
        <v>48</v>
      </c>
    </row>
    <row r="28" spans="1:30" x14ac:dyDescent="0.35">
      <c r="A28" s="1" t="s">
        <v>30</v>
      </c>
      <c r="B28" t="s">
        <v>521</v>
      </c>
      <c r="C28" t="s">
        <v>564</v>
      </c>
      <c r="D28" t="s">
        <v>1309</v>
      </c>
      <c r="E28" t="s">
        <v>1310</v>
      </c>
      <c r="F28" t="s">
        <v>1241</v>
      </c>
      <c r="G28" t="s">
        <v>1242</v>
      </c>
      <c r="H28" t="s">
        <v>1271</v>
      </c>
      <c r="I28" t="s">
        <v>38</v>
      </c>
      <c r="J28" t="s">
        <v>39</v>
      </c>
      <c r="K28" s="2">
        <v>46057</v>
      </c>
      <c r="L28" s="2">
        <v>46081</v>
      </c>
      <c r="N28" s="2">
        <v>46054</v>
      </c>
      <c r="O28" s="2">
        <v>46419</v>
      </c>
      <c r="P28">
        <v>12</v>
      </c>
      <c r="Q28" t="s">
        <v>65</v>
      </c>
      <c r="R28" t="s">
        <v>53</v>
      </c>
      <c r="S28" t="s">
        <v>42</v>
      </c>
      <c r="T28" t="s">
        <v>43</v>
      </c>
      <c r="U28" t="s">
        <v>56</v>
      </c>
      <c r="V28" t="s">
        <v>119</v>
      </c>
      <c r="W28" t="s">
        <v>150</v>
      </c>
      <c r="X28" t="s">
        <v>91</v>
      </c>
      <c r="Y28">
        <v>169333.03</v>
      </c>
      <c r="Z28">
        <v>59266.559999999998</v>
      </c>
      <c r="AA28">
        <v>0.35</v>
      </c>
      <c r="AB28" t="s">
        <v>39</v>
      </c>
      <c r="AC28" t="s">
        <v>39</v>
      </c>
      <c r="AD28" t="s">
        <v>48</v>
      </c>
    </row>
    <row r="29" spans="1:30" x14ac:dyDescent="0.35">
      <c r="A29" s="1" t="s">
        <v>30</v>
      </c>
      <c r="B29" t="s">
        <v>521</v>
      </c>
      <c r="C29" t="s">
        <v>564</v>
      </c>
      <c r="D29" t="s">
        <v>1311</v>
      </c>
      <c r="E29" t="s">
        <v>1312</v>
      </c>
      <c r="F29" t="s">
        <v>1313</v>
      </c>
      <c r="G29" t="s">
        <v>1314</v>
      </c>
      <c r="H29" t="s">
        <v>1271</v>
      </c>
      <c r="I29" t="s">
        <v>117</v>
      </c>
      <c r="J29" t="s">
        <v>39</v>
      </c>
      <c r="K29" s="2">
        <v>46058</v>
      </c>
      <c r="L29" s="2">
        <v>46081</v>
      </c>
      <c r="N29" s="2">
        <v>46054</v>
      </c>
      <c r="O29" s="2">
        <v>46419</v>
      </c>
      <c r="P29">
        <v>12</v>
      </c>
      <c r="Q29" t="s">
        <v>40</v>
      </c>
      <c r="R29" t="s">
        <v>53</v>
      </c>
      <c r="S29" t="s">
        <v>112</v>
      </c>
      <c r="T29" t="s">
        <v>55</v>
      </c>
      <c r="U29" t="s">
        <v>44</v>
      </c>
      <c r="V29" t="s">
        <v>98</v>
      </c>
      <c r="W29" t="s">
        <v>136</v>
      </c>
      <c r="X29" t="s">
        <v>47</v>
      </c>
      <c r="Y29">
        <v>136531.37</v>
      </c>
      <c r="Z29">
        <v>68265.679999999993</v>
      </c>
      <c r="AA29">
        <v>0.5</v>
      </c>
      <c r="AB29" t="s">
        <v>39</v>
      </c>
      <c r="AC29" t="s">
        <v>39</v>
      </c>
      <c r="AD29" t="s">
        <v>48</v>
      </c>
    </row>
    <row r="30" spans="1:30" x14ac:dyDescent="0.35">
      <c r="A30" s="1" t="s">
        <v>30</v>
      </c>
      <c r="B30" t="s">
        <v>521</v>
      </c>
      <c r="C30" t="s">
        <v>564</v>
      </c>
      <c r="D30" t="s">
        <v>1315</v>
      </c>
      <c r="E30" t="s">
        <v>1316</v>
      </c>
      <c r="F30" t="s">
        <v>430</v>
      </c>
      <c r="G30" t="s">
        <v>431</v>
      </c>
      <c r="H30" t="s">
        <v>1271</v>
      </c>
      <c r="I30" t="s">
        <v>64</v>
      </c>
      <c r="J30" t="s">
        <v>39</v>
      </c>
      <c r="K30" s="2">
        <v>46068</v>
      </c>
      <c r="L30" s="2">
        <v>46081</v>
      </c>
      <c r="N30" s="2">
        <v>46054</v>
      </c>
      <c r="O30" s="2">
        <v>46784</v>
      </c>
      <c r="P30">
        <v>24</v>
      </c>
      <c r="Q30" t="s">
        <v>104</v>
      </c>
      <c r="R30" t="s">
        <v>53</v>
      </c>
      <c r="S30" t="s">
        <v>135</v>
      </c>
      <c r="T30" t="s">
        <v>131</v>
      </c>
      <c r="U30" t="s">
        <v>106</v>
      </c>
      <c r="V30" t="s">
        <v>45</v>
      </c>
      <c r="W30" t="s">
        <v>142</v>
      </c>
      <c r="X30" t="s">
        <v>91</v>
      </c>
      <c r="Y30">
        <v>156633.88</v>
      </c>
      <c r="Z30">
        <v>125307.1</v>
      </c>
      <c r="AA30">
        <v>0.8</v>
      </c>
      <c r="AB30" t="s">
        <v>39</v>
      </c>
      <c r="AC30" t="s">
        <v>39</v>
      </c>
      <c r="AD30" t="s">
        <v>48</v>
      </c>
    </row>
    <row r="31" spans="1:30" x14ac:dyDescent="0.35">
      <c r="A31" s="1" t="s">
        <v>30</v>
      </c>
      <c r="B31" t="s">
        <v>521</v>
      </c>
      <c r="C31" t="s">
        <v>564</v>
      </c>
      <c r="D31" t="s">
        <v>1317</v>
      </c>
      <c r="E31" t="s">
        <v>1318</v>
      </c>
      <c r="F31" t="s">
        <v>1319</v>
      </c>
      <c r="G31" t="s">
        <v>1320</v>
      </c>
      <c r="H31" t="s">
        <v>1290</v>
      </c>
      <c r="I31" t="s">
        <v>117</v>
      </c>
      <c r="J31" t="s">
        <v>1290</v>
      </c>
      <c r="K31" s="2">
        <v>46058</v>
      </c>
      <c r="L31" s="2">
        <v>46081</v>
      </c>
      <c r="N31" s="2">
        <v>46054</v>
      </c>
      <c r="O31" s="2">
        <v>46419</v>
      </c>
      <c r="P31">
        <v>12</v>
      </c>
      <c r="Q31" t="s">
        <v>65</v>
      </c>
      <c r="R31" t="s">
        <v>53</v>
      </c>
      <c r="S31" t="s">
        <v>164</v>
      </c>
      <c r="T31" t="s">
        <v>55</v>
      </c>
      <c r="U31" t="s">
        <v>44</v>
      </c>
      <c r="V31" t="s">
        <v>67</v>
      </c>
      <c r="W31" t="s">
        <v>75</v>
      </c>
      <c r="X31" t="s">
        <v>158</v>
      </c>
      <c r="Y31">
        <v>198900</v>
      </c>
      <c r="Z31">
        <v>99450</v>
      </c>
      <c r="AA31">
        <v>0.5</v>
      </c>
      <c r="AB31" t="s">
        <v>1290</v>
      </c>
      <c r="AC31" t="s">
        <v>1290</v>
      </c>
      <c r="AD31" t="s">
        <v>48</v>
      </c>
    </row>
    <row r="32" spans="1:30" x14ac:dyDescent="0.35">
      <c r="A32" s="1" t="s">
        <v>30</v>
      </c>
      <c r="B32" t="s">
        <v>521</v>
      </c>
      <c r="C32" t="s">
        <v>564</v>
      </c>
      <c r="D32" t="s">
        <v>1321</v>
      </c>
      <c r="E32" t="s">
        <v>1322</v>
      </c>
      <c r="F32" t="s">
        <v>1323</v>
      </c>
      <c r="G32" t="s">
        <v>1324</v>
      </c>
      <c r="H32" t="s">
        <v>1295</v>
      </c>
      <c r="I32" t="s">
        <v>117</v>
      </c>
      <c r="J32" t="s">
        <v>1295</v>
      </c>
      <c r="K32" s="2">
        <v>46055</v>
      </c>
      <c r="L32" s="2">
        <v>46081</v>
      </c>
      <c r="N32" s="2">
        <v>46054</v>
      </c>
      <c r="O32" s="2">
        <v>46419</v>
      </c>
      <c r="P32">
        <v>12</v>
      </c>
      <c r="Q32" t="s">
        <v>40</v>
      </c>
      <c r="R32" t="s">
        <v>53</v>
      </c>
      <c r="S32" t="s">
        <v>222</v>
      </c>
      <c r="T32" t="s">
        <v>97</v>
      </c>
      <c r="U32" t="s">
        <v>44</v>
      </c>
      <c r="V32" t="s">
        <v>45</v>
      </c>
      <c r="W32" t="s">
        <v>75</v>
      </c>
      <c r="X32" t="s">
        <v>143</v>
      </c>
      <c r="Y32">
        <v>229094.33</v>
      </c>
      <c r="Z32">
        <v>80183.02</v>
      </c>
      <c r="AA32">
        <v>0.35</v>
      </c>
      <c r="AB32" t="s">
        <v>1295</v>
      </c>
      <c r="AC32" t="s">
        <v>1295</v>
      </c>
      <c r="AD32" t="s">
        <v>48</v>
      </c>
    </row>
    <row r="33" spans="1:30" x14ac:dyDescent="0.35">
      <c r="A33" s="1" t="s">
        <v>30</v>
      </c>
      <c r="B33" t="s">
        <v>521</v>
      </c>
      <c r="C33" t="s">
        <v>564</v>
      </c>
      <c r="D33" t="s">
        <v>1325</v>
      </c>
      <c r="E33" t="s">
        <v>1326</v>
      </c>
      <c r="F33" t="s">
        <v>1327</v>
      </c>
      <c r="G33" t="s">
        <v>1328</v>
      </c>
      <c r="H33" t="s">
        <v>1295</v>
      </c>
      <c r="I33" t="s">
        <v>38</v>
      </c>
      <c r="J33" t="s">
        <v>1295</v>
      </c>
      <c r="K33" s="2">
        <v>46056</v>
      </c>
      <c r="L33" s="2">
        <v>46081</v>
      </c>
      <c r="N33" s="2">
        <v>46054</v>
      </c>
      <c r="O33" s="2">
        <v>46419</v>
      </c>
      <c r="P33">
        <v>12</v>
      </c>
      <c r="Q33" t="s">
        <v>40</v>
      </c>
      <c r="R33" t="s">
        <v>53</v>
      </c>
      <c r="S33" t="s">
        <v>54</v>
      </c>
      <c r="T33" t="s">
        <v>55</v>
      </c>
      <c r="U33" t="s">
        <v>44</v>
      </c>
      <c r="V33" t="s">
        <v>57</v>
      </c>
      <c r="W33" t="s">
        <v>82</v>
      </c>
      <c r="X33" t="s">
        <v>125</v>
      </c>
      <c r="Y33">
        <v>218955.67</v>
      </c>
      <c r="Z33">
        <v>109477.83</v>
      </c>
      <c r="AA33">
        <v>0.5</v>
      </c>
      <c r="AB33" t="s">
        <v>1295</v>
      </c>
      <c r="AC33" t="s">
        <v>1295</v>
      </c>
      <c r="AD33" t="s">
        <v>48</v>
      </c>
    </row>
    <row r="34" spans="1:30" x14ac:dyDescent="0.35">
      <c r="A34" s="1" t="s">
        <v>30</v>
      </c>
      <c r="B34" t="s">
        <v>521</v>
      </c>
      <c r="C34" t="s">
        <v>564</v>
      </c>
      <c r="D34" t="s">
        <v>1329</v>
      </c>
      <c r="E34" t="s">
        <v>1330</v>
      </c>
      <c r="F34" t="s">
        <v>1169</v>
      </c>
      <c r="G34" t="s">
        <v>1170</v>
      </c>
      <c r="H34" t="s">
        <v>1302</v>
      </c>
      <c r="I34" t="s">
        <v>38</v>
      </c>
      <c r="J34" t="s">
        <v>39</v>
      </c>
      <c r="K34" s="2">
        <v>46061</v>
      </c>
      <c r="L34" s="2">
        <v>46081</v>
      </c>
      <c r="N34" s="2">
        <v>46054</v>
      </c>
      <c r="O34" s="2">
        <v>46419</v>
      </c>
      <c r="P34">
        <v>12</v>
      </c>
      <c r="Q34" t="s">
        <v>104</v>
      </c>
      <c r="R34" t="s">
        <v>88</v>
      </c>
      <c r="S34" t="s">
        <v>73</v>
      </c>
      <c r="T34" t="s">
        <v>43</v>
      </c>
      <c r="U34" t="s">
        <v>56</v>
      </c>
      <c r="V34" t="s">
        <v>67</v>
      </c>
      <c r="W34" t="s">
        <v>90</v>
      </c>
      <c r="X34" t="s">
        <v>47</v>
      </c>
      <c r="Y34">
        <v>65000</v>
      </c>
      <c r="Z34">
        <v>22750</v>
      </c>
      <c r="AA34">
        <v>0.35</v>
      </c>
      <c r="AB34" t="s">
        <v>39</v>
      </c>
      <c r="AC34" t="s">
        <v>39</v>
      </c>
      <c r="AD34" t="s">
        <v>48</v>
      </c>
    </row>
    <row r="35" spans="1:30" x14ac:dyDescent="0.35">
      <c r="A35" s="1" t="s">
        <v>30</v>
      </c>
      <c r="B35" t="s">
        <v>521</v>
      </c>
      <c r="C35" t="s">
        <v>599</v>
      </c>
      <c r="D35" t="s">
        <v>600</v>
      </c>
      <c r="E35" t="s">
        <v>601</v>
      </c>
      <c r="F35" t="s">
        <v>602</v>
      </c>
      <c r="G35" t="s">
        <v>603</v>
      </c>
      <c r="H35" t="s">
        <v>37</v>
      </c>
      <c r="I35" t="s">
        <v>117</v>
      </c>
      <c r="J35" t="s">
        <v>39</v>
      </c>
      <c r="K35" s="2">
        <v>46084</v>
      </c>
      <c r="L35" s="2">
        <v>46112</v>
      </c>
      <c r="N35" s="2">
        <v>46082</v>
      </c>
      <c r="O35" s="2">
        <v>46447</v>
      </c>
      <c r="P35">
        <v>12</v>
      </c>
      <c r="Q35" t="s">
        <v>104</v>
      </c>
      <c r="R35" t="s">
        <v>88</v>
      </c>
      <c r="S35" t="s">
        <v>141</v>
      </c>
      <c r="T35" t="s">
        <v>131</v>
      </c>
      <c r="U35" t="s">
        <v>56</v>
      </c>
      <c r="V35" t="s">
        <v>45</v>
      </c>
      <c r="W35" t="s">
        <v>75</v>
      </c>
      <c r="X35" t="s">
        <v>83</v>
      </c>
      <c r="Y35">
        <v>133212.29</v>
      </c>
      <c r="Z35">
        <v>46624.3</v>
      </c>
      <c r="AA35">
        <v>0.35</v>
      </c>
      <c r="AB35" t="s">
        <v>39</v>
      </c>
      <c r="AC35" t="s">
        <v>39</v>
      </c>
      <c r="AD35" t="s">
        <v>48</v>
      </c>
    </row>
    <row r="36" spans="1:30" x14ac:dyDescent="0.35">
      <c r="A36" s="1" t="s">
        <v>30</v>
      </c>
      <c r="B36" t="s">
        <v>521</v>
      </c>
      <c r="C36" t="s">
        <v>599</v>
      </c>
      <c r="D36" t="s">
        <v>604</v>
      </c>
      <c r="E36" t="s">
        <v>605</v>
      </c>
      <c r="F36" t="s">
        <v>606</v>
      </c>
      <c r="G36" t="s">
        <v>607</v>
      </c>
      <c r="H36" t="s">
        <v>37</v>
      </c>
      <c r="I36" t="s">
        <v>64</v>
      </c>
      <c r="J36" t="s">
        <v>39</v>
      </c>
      <c r="K36" s="2">
        <v>46092</v>
      </c>
      <c r="L36" s="2">
        <v>46112</v>
      </c>
      <c r="N36" s="2">
        <v>46082</v>
      </c>
      <c r="O36" s="2">
        <v>46447</v>
      </c>
      <c r="P36">
        <v>12</v>
      </c>
      <c r="Q36" t="s">
        <v>104</v>
      </c>
      <c r="R36" t="s">
        <v>53</v>
      </c>
      <c r="S36" t="s">
        <v>118</v>
      </c>
      <c r="T36" t="s">
        <v>97</v>
      </c>
      <c r="U36" t="s">
        <v>56</v>
      </c>
      <c r="V36" t="s">
        <v>138</v>
      </c>
      <c r="W36" t="s">
        <v>120</v>
      </c>
      <c r="X36" t="s">
        <v>143</v>
      </c>
      <c r="Y36">
        <v>163777.84</v>
      </c>
      <c r="Z36">
        <v>81888.92</v>
      </c>
      <c r="AA36">
        <v>0.5</v>
      </c>
      <c r="AB36" t="s">
        <v>39</v>
      </c>
      <c r="AC36" t="s">
        <v>39</v>
      </c>
      <c r="AD36" t="s">
        <v>48</v>
      </c>
    </row>
    <row r="37" spans="1:30" x14ac:dyDescent="0.35">
      <c r="A37" s="1" t="s">
        <v>30</v>
      </c>
      <c r="B37" t="s">
        <v>521</v>
      </c>
      <c r="C37" t="s">
        <v>599</v>
      </c>
      <c r="D37" t="s">
        <v>608</v>
      </c>
      <c r="E37" t="s">
        <v>609</v>
      </c>
      <c r="F37" t="s">
        <v>610</v>
      </c>
      <c r="G37" t="s">
        <v>611</v>
      </c>
      <c r="H37" t="s">
        <v>37</v>
      </c>
      <c r="I37" t="s">
        <v>38</v>
      </c>
      <c r="J37" t="s">
        <v>39</v>
      </c>
      <c r="K37" s="2">
        <v>46086</v>
      </c>
      <c r="L37" s="2">
        <v>46112</v>
      </c>
      <c r="N37" s="2">
        <v>46082</v>
      </c>
      <c r="O37" s="2">
        <v>46813</v>
      </c>
      <c r="P37">
        <v>24</v>
      </c>
      <c r="Q37" t="s">
        <v>104</v>
      </c>
      <c r="R37" t="s">
        <v>53</v>
      </c>
      <c r="S37" t="s">
        <v>162</v>
      </c>
      <c r="T37" t="s">
        <v>43</v>
      </c>
      <c r="U37" t="s">
        <v>106</v>
      </c>
      <c r="V37" t="s">
        <v>45</v>
      </c>
      <c r="W37" t="s">
        <v>120</v>
      </c>
      <c r="X37" t="s">
        <v>91</v>
      </c>
      <c r="Y37">
        <v>133383.43</v>
      </c>
      <c r="Z37">
        <v>106706.75</v>
      </c>
      <c r="AA37">
        <v>0.8</v>
      </c>
      <c r="AB37" t="s">
        <v>39</v>
      </c>
      <c r="AC37" t="s">
        <v>39</v>
      </c>
      <c r="AD37" t="s">
        <v>48</v>
      </c>
    </row>
    <row r="38" spans="1:30" x14ac:dyDescent="0.35">
      <c r="A38" s="1" t="s">
        <v>30</v>
      </c>
      <c r="B38" t="s">
        <v>521</v>
      </c>
      <c r="C38" t="s">
        <v>599</v>
      </c>
      <c r="D38" t="s">
        <v>612</v>
      </c>
      <c r="E38" t="s">
        <v>613</v>
      </c>
      <c r="F38" t="s">
        <v>614</v>
      </c>
      <c r="G38" t="s">
        <v>615</v>
      </c>
      <c r="H38" t="s">
        <v>37</v>
      </c>
      <c r="I38" t="s">
        <v>111</v>
      </c>
      <c r="J38" t="s">
        <v>39</v>
      </c>
      <c r="K38" s="2">
        <v>46092</v>
      </c>
      <c r="L38" s="2">
        <v>46112</v>
      </c>
      <c r="N38" s="2">
        <v>46082</v>
      </c>
      <c r="O38" s="2">
        <v>46447</v>
      </c>
      <c r="P38">
        <v>12</v>
      </c>
      <c r="Q38" t="s">
        <v>65</v>
      </c>
      <c r="R38" t="s">
        <v>88</v>
      </c>
      <c r="S38" t="s">
        <v>130</v>
      </c>
      <c r="T38" t="s">
        <v>131</v>
      </c>
      <c r="U38" t="s">
        <v>44</v>
      </c>
      <c r="V38" t="s">
        <v>57</v>
      </c>
      <c r="W38" t="s">
        <v>75</v>
      </c>
      <c r="X38" t="s">
        <v>59</v>
      </c>
      <c r="Y38">
        <v>160605.01999999999</v>
      </c>
      <c r="Z38">
        <v>128484.02</v>
      </c>
      <c r="AA38">
        <v>0.8</v>
      </c>
      <c r="AB38" t="s">
        <v>39</v>
      </c>
      <c r="AC38" t="s">
        <v>39</v>
      </c>
      <c r="AD38" t="s">
        <v>48</v>
      </c>
    </row>
    <row r="39" spans="1:30" x14ac:dyDescent="0.35">
      <c r="A39" s="1" t="s">
        <v>30</v>
      </c>
      <c r="B39" t="s">
        <v>521</v>
      </c>
      <c r="C39" t="s">
        <v>599</v>
      </c>
      <c r="D39" t="s">
        <v>616</v>
      </c>
      <c r="E39" t="s">
        <v>617</v>
      </c>
      <c r="F39" t="s">
        <v>618</v>
      </c>
      <c r="G39" t="s">
        <v>619</v>
      </c>
      <c r="H39" t="s">
        <v>37</v>
      </c>
      <c r="I39" t="s">
        <v>64</v>
      </c>
      <c r="J39" t="s">
        <v>39</v>
      </c>
      <c r="K39" s="2">
        <v>46092</v>
      </c>
      <c r="L39" s="2">
        <v>46112</v>
      </c>
      <c r="N39" s="2">
        <v>46082</v>
      </c>
      <c r="O39" s="2">
        <v>46447</v>
      </c>
      <c r="P39">
        <v>12</v>
      </c>
      <c r="Q39" t="s">
        <v>40</v>
      </c>
      <c r="R39" t="s">
        <v>88</v>
      </c>
      <c r="S39" t="s">
        <v>105</v>
      </c>
      <c r="T39" t="s">
        <v>55</v>
      </c>
      <c r="U39" t="s">
        <v>106</v>
      </c>
      <c r="V39" t="s">
        <v>138</v>
      </c>
      <c r="W39" t="s">
        <v>142</v>
      </c>
      <c r="X39" t="s">
        <v>59</v>
      </c>
      <c r="Y39">
        <v>209279.07</v>
      </c>
      <c r="Z39">
        <v>136031.39000000001</v>
      </c>
      <c r="AA39">
        <v>0.65</v>
      </c>
      <c r="AB39" t="s">
        <v>39</v>
      </c>
      <c r="AC39" t="s">
        <v>39</v>
      </c>
      <c r="AD39" t="s">
        <v>48</v>
      </c>
    </row>
    <row r="40" spans="1:30" x14ac:dyDescent="0.35">
      <c r="A40" s="1" t="s">
        <v>30</v>
      </c>
      <c r="B40" t="s">
        <v>521</v>
      </c>
      <c r="C40" t="s">
        <v>599</v>
      </c>
      <c r="D40" t="s">
        <v>620</v>
      </c>
      <c r="E40" t="s">
        <v>621</v>
      </c>
      <c r="F40" t="s">
        <v>281</v>
      </c>
      <c r="G40" t="s">
        <v>282</v>
      </c>
      <c r="H40" t="s">
        <v>37</v>
      </c>
      <c r="I40" t="s">
        <v>111</v>
      </c>
      <c r="J40" t="s">
        <v>39</v>
      </c>
      <c r="K40" s="2">
        <v>46082</v>
      </c>
      <c r="L40" s="2">
        <v>46112</v>
      </c>
      <c r="N40" s="2">
        <v>46082</v>
      </c>
      <c r="O40" s="2">
        <v>46447</v>
      </c>
      <c r="P40">
        <v>12</v>
      </c>
      <c r="Q40" t="s">
        <v>104</v>
      </c>
      <c r="R40" t="s">
        <v>88</v>
      </c>
      <c r="S40" t="s">
        <v>137</v>
      </c>
      <c r="T40" t="s">
        <v>97</v>
      </c>
      <c r="U40" t="s">
        <v>56</v>
      </c>
      <c r="V40" t="s">
        <v>98</v>
      </c>
      <c r="W40" t="s">
        <v>120</v>
      </c>
      <c r="X40" t="s">
        <v>125</v>
      </c>
      <c r="Y40">
        <v>142339.71</v>
      </c>
      <c r="Z40">
        <v>113871.77</v>
      </c>
      <c r="AA40">
        <v>0.8</v>
      </c>
      <c r="AB40" t="s">
        <v>39</v>
      </c>
      <c r="AC40" t="s">
        <v>39</v>
      </c>
      <c r="AD40" t="s">
        <v>48</v>
      </c>
    </row>
    <row r="41" spans="1:30" x14ac:dyDescent="0.35">
      <c r="A41" s="1" t="s">
        <v>30</v>
      </c>
      <c r="B41" t="s">
        <v>521</v>
      </c>
      <c r="C41" t="s">
        <v>599</v>
      </c>
      <c r="D41" t="s">
        <v>622</v>
      </c>
      <c r="E41" t="s">
        <v>623</v>
      </c>
      <c r="F41" t="s">
        <v>624</v>
      </c>
      <c r="G41" t="s">
        <v>625</v>
      </c>
      <c r="H41" t="s">
        <v>37</v>
      </c>
      <c r="I41" t="s">
        <v>111</v>
      </c>
      <c r="J41" t="s">
        <v>39</v>
      </c>
      <c r="K41" s="2">
        <v>46084</v>
      </c>
      <c r="L41" s="2">
        <v>46112</v>
      </c>
      <c r="N41" s="2">
        <v>46082</v>
      </c>
      <c r="O41" s="2">
        <v>46447</v>
      </c>
      <c r="P41">
        <v>12</v>
      </c>
      <c r="Q41" t="s">
        <v>104</v>
      </c>
      <c r="R41" t="s">
        <v>88</v>
      </c>
      <c r="S41" t="s">
        <v>112</v>
      </c>
      <c r="T41" t="s">
        <v>55</v>
      </c>
      <c r="U41" t="s">
        <v>106</v>
      </c>
      <c r="V41" t="s">
        <v>144</v>
      </c>
      <c r="W41" t="s">
        <v>58</v>
      </c>
      <c r="X41" t="s">
        <v>83</v>
      </c>
      <c r="Y41">
        <v>160131.87</v>
      </c>
      <c r="Z41">
        <v>56046.16</v>
      </c>
      <c r="AA41">
        <v>0.35</v>
      </c>
      <c r="AB41" t="s">
        <v>39</v>
      </c>
      <c r="AC41" t="s">
        <v>39</v>
      </c>
      <c r="AD41" t="s">
        <v>48</v>
      </c>
    </row>
    <row r="42" spans="1:30" x14ac:dyDescent="0.35">
      <c r="A42" s="1" t="s">
        <v>30</v>
      </c>
      <c r="B42" t="s">
        <v>521</v>
      </c>
      <c r="C42" t="s">
        <v>599</v>
      </c>
      <c r="D42" t="s">
        <v>626</v>
      </c>
      <c r="E42" t="s">
        <v>627</v>
      </c>
      <c r="F42" t="s">
        <v>628</v>
      </c>
      <c r="G42" t="s">
        <v>629</v>
      </c>
      <c r="H42" t="s">
        <v>37</v>
      </c>
      <c r="I42" t="s">
        <v>117</v>
      </c>
      <c r="J42" t="s">
        <v>39</v>
      </c>
      <c r="K42" s="2">
        <v>46084</v>
      </c>
      <c r="L42" s="2">
        <v>46112</v>
      </c>
      <c r="N42" s="2">
        <v>46082</v>
      </c>
      <c r="O42" s="2">
        <v>46447</v>
      </c>
      <c r="P42">
        <v>12</v>
      </c>
      <c r="Q42" t="s">
        <v>104</v>
      </c>
      <c r="R42" t="s">
        <v>53</v>
      </c>
      <c r="S42" t="s">
        <v>139</v>
      </c>
      <c r="T42" t="s">
        <v>43</v>
      </c>
      <c r="U42" t="s">
        <v>106</v>
      </c>
      <c r="V42" t="s">
        <v>217</v>
      </c>
      <c r="W42" t="s">
        <v>142</v>
      </c>
      <c r="X42" t="s">
        <v>158</v>
      </c>
      <c r="Y42">
        <v>120413.71</v>
      </c>
      <c r="Z42">
        <v>96330.97</v>
      </c>
      <c r="AA42">
        <v>0.8</v>
      </c>
      <c r="AB42" t="s">
        <v>39</v>
      </c>
      <c r="AC42" t="s">
        <v>39</v>
      </c>
      <c r="AD42" t="s">
        <v>48</v>
      </c>
    </row>
    <row r="43" spans="1:30" x14ac:dyDescent="0.35">
      <c r="A43" s="1" t="s">
        <v>30</v>
      </c>
      <c r="B43" t="s">
        <v>521</v>
      </c>
      <c r="C43" t="s">
        <v>599</v>
      </c>
      <c r="D43" t="s">
        <v>630</v>
      </c>
      <c r="E43" t="s">
        <v>631</v>
      </c>
      <c r="F43" t="s">
        <v>632</v>
      </c>
      <c r="G43" t="s">
        <v>633</v>
      </c>
      <c r="H43" t="s">
        <v>37</v>
      </c>
      <c r="I43" t="s">
        <v>103</v>
      </c>
      <c r="J43" t="s">
        <v>39</v>
      </c>
      <c r="K43" s="2">
        <v>46086</v>
      </c>
      <c r="L43" s="2">
        <v>46112</v>
      </c>
      <c r="N43" s="2">
        <v>46082</v>
      </c>
      <c r="O43" s="2">
        <v>46447</v>
      </c>
      <c r="P43">
        <v>12</v>
      </c>
      <c r="Q43" t="s">
        <v>104</v>
      </c>
      <c r="R43" t="s">
        <v>88</v>
      </c>
      <c r="S43" t="s">
        <v>162</v>
      </c>
      <c r="T43" t="s">
        <v>43</v>
      </c>
      <c r="U43" t="s">
        <v>44</v>
      </c>
      <c r="V43" t="s">
        <v>119</v>
      </c>
      <c r="W43" t="s">
        <v>136</v>
      </c>
      <c r="X43" t="s">
        <v>83</v>
      </c>
      <c r="Y43">
        <v>216857.06</v>
      </c>
      <c r="Z43">
        <v>75899.97</v>
      </c>
      <c r="AA43">
        <v>0.35</v>
      </c>
      <c r="AB43" t="s">
        <v>39</v>
      </c>
      <c r="AC43" t="s">
        <v>39</v>
      </c>
      <c r="AD43" t="s">
        <v>48</v>
      </c>
    </row>
    <row r="44" spans="1:30" x14ac:dyDescent="0.35">
      <c r="A44" s="1" t="s">
        <v>30</v>
      </c>
      <c r="B44" t="s">
        <v>521</v>
      </c>
      <c r="C44" t="s">
        <v>599</v>
      </c>
      <c r="D44" t="s">
        <v>1331</v>
      </c>
      <c r="E44" t="s">
        <v>1332</v>
      </c>
      <c r="F44" t="s">
        <v>1333</v>
      </c>
      <c r="G44" t="s">
        <v>1334</v>
      </c>
      <c r="H44" t="s">
        <v>1271</v>
      </c>
      <c r="I44" t="s">
        <v>103</v>
      </c>
      <c r="J44" t="s">
        <v>39</v>
      </c>
      <c r="K44" s="2">
        <v>46085</v>
      </c>
      <c r="L44" s="2">
        <v>46112</v>
      </c>
      <c r="N44" s="2">
        <v>46082</v>
      </c>
      <c r="O44" s="2">
        <v>46447</v>
      </c>
      <c r="P44">
        <v>12</v>
      </c>
      <c r="Q44" t="s">
        <v>40</v>
      </c>
      <c r="R44" t="s">
        <v>41</v>
      </c>
      <c r="S44" t="s">
        <v>163</v>
      </c>
      <c r="T44" t="s">
        <v>131</v>
      </c>
      <c r="U44" t="s">
        <v>56</v>
      </c>
      <c r="V44" t="s">
        <v>98</v>
      </c>
      <c r="W44" t="s">
        <v>75</v>
      </c>
      <c r="X44" t="s">
        <v>83</v>
      </c>
      <c r="Y44">
        <v>97432.31</v>
      </c>
      <c r="Z44">
        <v>48716.15</v>
      </c>
      <c r="AA44">
        <v>0.5</v>
      </c>
      <c r="AB44" t="s">
        <v>39</v>
      </c>
      <c r="AC44" t="s">
        <v>39</v>
      </c>
      <c r="AD44" t="s">
        <v>48</v>
      </c>
    </row>
    <row r="45" spans="1:30" x14ac:dyDescent="0.35">
      <c r="A45" s="1" t="s">
        <v>30</v>
      </c>
      <c r="B45" t="s">
        <v>521</v>
      </c>
      <c r="C45" t="s">
        <v>599</v>
      </c>
      <c r="D45" t="s">
        <v>1335</v>
      </c>
      <c r="E45" t="s">
        <v>1336</v>
      </c>
      <c r="F45" t="s">
        <v>1337</v>
      </c>
      <c r="G45" t="s">
        <v>1338</v>
      </c>
      <c r="H45" t="s">
        <v>1271</v>
      </c>
      <c r="I45" t="s">
        <v>117</v>
      </c>
      <c r="J45" t="s">
        <v>39</v>
      </c>
      <c r="K45" s="2">
        <v>46093</v>
      </c>
      <c r="L45" s="2">
        <v>46112</v>
      </c>
      <c r="N45" s="2">
        <v>46082</v>
      </c>
      <c r="O45" s="2">
        <v>46813</v>
      </c>
      <c r="P45">
        <v>24</v>
      </c>
      <c r="Q45" t="s">
        <v>40</v>
      </c>
      <c r="R45" t="s">
        <v>41</v>
      </c>
      <c r="S45" t="s">
        <v>105</v>
      </c>
      <c r="T45" t="s">
        <v>55</v>
      </c>
      <c r="U45" t="s">
        <v>106</v>
      </c>
      <c r="V45" t="s">
        <v>138</v>
      </c>
      <c r="W45" t="s">
        <v>142</v>
      </c>
      <c r="X45" t="s">
        <v>83</v>
      </c>
      <c r="Y45">
        <v>189027.39</v>
      </c>
      <c r="Z45">
        <v>94513.7</v>
      </c>
      <c r="AA45">
        <v>0.5</v>
      </c>
      <c r="AB45" t="s">
        <v>39</v>
      </c>
      <c r="AC45" t="s">
        <v>39</v>
      </c>
      <c r="AD45" t="s">
        <v>48</v>
      </c>
    </row>
    <row r="46" spans="1:30" x14ac:dyDescent="0.35">
      <c r="A46" s="1" t="s">
        <v>30</v>
      </c>
      <c r="B46" t="s">
        <v>521</v>
      </c>
      <c r="C46" t="s">
        <v>599</v>
      </c>
      <c r="D46" t="s">
        <v>1339</v>
      </c>
      <c r="E46" t="s">
        <v>1340</v>
      </c>
      <c r="F46" t="s">
        <v>941</v>
      </c>
      <c r="G46" t="s">
        <v>942</v>
      </c>
      <c r="H46" t="s">
        <v>1271</v>
      </c>
      <c r="I46" t="s">
        <v>64</v>
      </c>
      <c r="J46" t="s">
        <v>39</v>
      </c>
      <c r="K46" s="2">
        <v>46096</v>
      </c>
      <c r="L46" s="2">
        <v>46112</v>
      </c>
      <c r="N46" s="2">
        <v>46082</v>
      </c>
      <c r="O46" s="2">
        <v>46447</v>
      </c>
      <c r="P46">
        <v>12</v>
      </c>
      <c r="Q46" t="s">
        <v>104</v>
      </c>
      <c r="R46" t="s">
        <v>88</v>
      </c>
      <c r="S46" t="s">
        <v>140</v>
      </c>
      <c r="T46" t="s">
        <v>97</v>
      </c>
      <c r="U46" t="s">
        <v>44</v>
      </c>
      <c r="V46" t="s">
        <v>67</v>
      </c>
      <c r="W46" t="s">
        <v>58</v>
      </c>
      <c r="X46" t="s">
        <v>143</v>
      </c>
      <c r="Y46">
        <v>94220.43</v>
      </c>
      <c r="Z46">
        <v>61243.28</v>
      </c>
      <c r="AA46">
        <v>0.65</v>
      </c>
      <c r="AB46" t="s">
        <v>39</v>
      </c>
      <c r="AC46" t="s">
        <v>39</v>
      </c>
      <c r="AD46" t="s">
        <v>48</v>
      </c>
    </row>
    <row r="47" spans="1:30" x14ac:dyDescent="0.35">
      <c r="A47" s="1" t="s">
        <v>30</v>
      </c>
      <c r="B47" t="s">
        <v>521</v>
      </c>
      <c r="C47" t="s">
        <v>599</v>
      </c>
      <c r="D47" t="s">
        <v>1341</v>
      </c>
      <c r="E47" t="s">
        <v>1342</v>
      </c>
      <c r="F47" t="s">
        <v>1343</v>
      </c>
      <c r="G47" t="s">
        <v>1344</v>
      </c>
      <c r="H47" t="s">
        <v>1271</v>
      </c>
      <c r="I47" t="s">
        <v>103</v>
      </c>
      <c r="J47" t="s">
        <v>39</v>
      </c>
      <c r="K47" s="2">
        <v>46082</v>
      </c>
      <c r="L47" s="2">
        <v>46112</v>
      </c>
      <c r="N47" s="2">
        <v>46082</v>
      </c>
      <c r="O47" s="2">
        <v>46447</v>
      </c>
      <c r="P47">
        <v>12</v>
      </c>
      <c r="Q47" t="s">
        <v>65</v>
      </c>
      <c r="R47" t="s">
        <v>53</v>
      </c>
      <c r="S47" t="s">
        <v>80</v>
      </c>
      <c r="T47" t="s">
        <v>43</v>
      </c>
      <c r="U47" t="s">
        <v>44</v>
      </c>
      <c r="V47" t="s">
        <v>57</v>
      </c>
      <c r="W47" t="s">
        <v>120</v>
      </c>
      <c r="X47" t="s">
        <v>125</v>
      </c>
      <c r="Y47">
        <v>101998.41</v>
      </c>
      <c r="Z47">
        <v>35699.440000000002</v>
      </c>
      <c r="AA47">
        <v>0.35</v>
      </c>
      <c r="AB47" t="s">
        <v>39</v>
      </c>
      <c r="AC47" t="s">
        <v>39</v>
      </c>
      <c r="AD47" t="s">
        <v>48</v>
      </c>
    </row>
    <row r="48" spans="1:30" x14ac:dyDescent="0.35">
      <c r="A48" s="1" t="s">
        <v>30</v>
      </c>
      <c r="B48" t="s">
        <v>521</v>
      </c>
      <c r="C48" t="s">
        <v>599</v>
      </c>
      <c r="D48" t="s">
        <v>1345</v>
      </c>
      <c r="E48" t="s">
        <v>1346</v>
      </c>
      <c r="F48" t="s">
        <v>1347</v>
      </c>
      <c r="G48" t="s">
        <v>1348</v>
      </c>
      <c r="H48" t="s">
        <v>1271</v>
      </c>
      <c r="I48" t="s">
        <v>117</v>
      </c>
      <c r="J48" t="s">
        <v>39</v>
      </c>
      <c r="K48" s="2">
        <v>46085</v>
      </c>
      <c r="L48" s="2">
        <v>46112</v>
      </c>
      <c r="N48" s="2">
        <v>46082</v>
      </c>
      <c r="O48" s="2">
        <v>46447</v>
      </c>
      <c r="P48">
        <v>12</v>
      </c>
      <c r="Q48" t="s">
        <v>40</v>
      </c>
      <c r="R48" t="s">
        <v>88</v>
      </c>
      <c r="S48" t="s">
        <v>163</v>
      </c>
      <c r="T48" t="s">
        <v>131</v>
      </c>
      <c r="U48" t="s">
        <v>44</v>
      </c>
      <c r="V48" t="s">
        <v>144</v>
      </c>
      <c r="W48" t="s">
        <v>82</v>
      </c>
      <c r="X48" t="s">
        <v>83</v>
      </c>
      <c r="Y48">
        <v>122466.63</v>
      </c>
      <c r="Z48">
        <v>61233.31</v>
      </c>
      <c r="AA48">
        <v>0.5</v>
      </c>
      <c r="AB48" t="s">
        <v>39</v>
      </c>
      <c r="AC48" t="s">
        <v>39</v>
      </c>
      <c r="AD48" t="s">
        <v>48</v>
      </c>
    </row>
    <row r="49" spans="1:30" x14ac:dyDescent="0.35">
      <c r="A49" s="1" t="s">
        <v>30</v>
      </c>
      <c r="B49" t="s">
        <v>521</v>
      </c>
      <c r="C49" t="s">
        <v>599</v>
      </c>
      <c r="D49" t="s">
        <v>1349</v>
      </c>
      <c r="E49" t="s">
        <v>1350</v>
      </c>
      <c r="F49" t="s">
        <v>1351</v>
      </c>
      <c r="G49" t="s">
        <v>1352</v>
      </c>
      <c r="H49" t="s">
        <v>1271</v>
      </c>
      <c r="I49" t="s">
        <v>38</v>
      </c>
      <c r="J49" t="s">
        <v>39</v>
      </c>
      <c r="K49" s="2">
        <v>46082</v>
      </c>
      <c r="L49" s="2">
        <v>46112</v>
      </c>
      <c r="N49" s="2">
        <v>46082</v>
      </c>
      <c r="O49" s="2">
        <v>46447</v>
      </c>
      <c r="P49">
        <v>12</v>
      </c>
      <c r="Q49" t="s">
        <v>40</v>
      </c>
      <c r="R49" t="s">
        <v>88</v>
      </c>
      <c r="S49" t="s">
        <v>89</v>
      </c>
      <c r="T49" t="s">
        <v>55</v>
      </c>
      <c r="U49" t="s">
        <v>56</v>
      </c>
      <c r="V49" t="s">
        <v>74</v>
      </c>
      <c r="W49" t="s">
        <v>58</v>
      </c>
      <c r="X49" t="s">
        <v>125</v>
      </c>
      <c r="Y49">
        <v>151454.84</v>
      </c>
      <c r="Z49">
        <v>53009.19</v>
      </c>
      <c r="AA49">
        <v>0.35</v>
      </c>
      <c r="AB49" t="s">
        <v>39</v>
      </c>
      <c r="AC49" t="s">
        <v>39</v>
      </c>
      <c r="AD49" t="s">
        <v>48</v>
      </c>
    </row>
    <row r="50" spans="1:30" x14ac:dyDescent="0.35">
      <c r="A50" s="1" t="s">
        <v>30</v>
      </c>
      <c r="B50" t="s">
        <v>521</v>
      </c>
      <c r="C50" t="s">
        <v>599</v>
      </c>
      <c r="D50" t="s">
        <v>1353</v>
      </c>
      <c r="E50" t="s">
        <v>1354</v>
      </c>
      <c r="F50" t="s">
        <v>133</v>
      </c>
      <c r="G50" t="s">
        <v>134</v>
      </c>
      <c r="H50" t="s">
        <v>1290</v>
      </c>
      <c r="I50" t="s">
        <v>64</v>
      </c>
      <c r="J50" t="s">
        <v>1290</v>
      </c>
      <c r="K50" s="2">
        <v>46094</v>
      </c>
      <c r="L50" s="2">
        <v>46112</v>
      </c>
      <c r="N50" s="2">
        <v>46082</v>
      </c>
      <c r="O50" s="2">
        <v>46447</v>
      </c>
      <c r="P50">
        <v>12</v>
      </c>
      <c r="Q50" t="s">
        <v>104</v>
      </c>
      <c r="R50" t="s">
        <v>41</v>
      </c>
      <c r="S50" t="s">
        <v>135</v>
      </c>
      <c r="T50" t="s">
        <v>131</v>
      </c>
      <c r="U50" t="s">
        <v>56</v>
      </c>
      <c r="V50" t="s">
        <v>67</v>
      </c>
      <c r="W50" t="s">
        <v>90</v>
      </c>
      <c r="X50" t="s">
        <v>91</v>
      </c>
      <c r="Y50">
        <v>214200</v>
      </c>
      <c r="Z50">
        <v>107100</v>
      </c>
      <c r="AA50">
        <v>0.5</v>
      </c>
      <c r="AB50" t="s">
        <v>1290</v>
      </c>
      <c r="AC50" t="s">
        <v>1290</v>
      </c>
      <c r="AD50" t="s">
        <v>48</v>
      </c>
    </row>
    <row r="51" spans="1:30" x14ac:dyDescent="0.35">
      <c r="A51" s="1" t="s">
        <v>30</v>
      </c>
      <c r="B51" t="s">
        <v>521</v>
      </c>
      <c r="C51" t="s">
        <v>599</v>
      </c>
      <c r="D51" t="s">
        <v>1355</v>
      </c>
      <c r="E51" t="s">
        <v>1356</v>
      </c>
      <c r="F51" t="s">
        <v>1357</v>
      </c>
      <c r="G51" t="s">
        <v>1358</v>
      </c>
      <c r="H51" t="s">
        <v>1295</v>
      </c>
      <c r="I51" t="s">
        <v>38</v>
      </c>
      <c r="J51" t="s">
        <v>1295</v>
      </c>
      <c r="K51" s="2">
        <v>46094</v>
      </c>
      <c r="L51" s="2">
        <v>46112</v>
      </c>
      <c r="N51" s="2">
        <v>46082</v>
      </c>
      <c r="O51" s="2">
        <v>46813</v>
      </c>
      <c r="P51">
        <v>24</v>
      </c>
      <c r="Q51" t="s">
        <v>104</v>
      </c>
      <c r="R51" t="s">
        <v>88</v>
      </c>
      <c r="S51" t="s">
        <v>182</v>
      </c>
      <c r="T51" t="s">
        <v>97</v>
      </c>
      <c r="U51" t="s">
        <v>44</v>
      </c>
      <c r="V51" t="s">
        <v>81</v>
      </c>
      <c r="W51" t="s">
        <v>132</v>
      </c>
      <c r="X51" t="s">
        <v>68</v>
      </c>
      <c r="Y51">
        <v>299843.24</v>
      </c>
      <c r="Z51">
        <v>104945.13</v>
      </c>
      <c r="AA51">
        <v>0.35</v>
      </c>
      <c r="AB51" t="s">
        <v>1295</v>
      </c>
      <c r="AC51" t="s">
        <v>1295</v>
      </c>
      <c r="AD51" t="s">
        <v>48</v>
      </c>
    </row>
    <row r="52" spans="1:30" x14ac:dyDescent="0.35">
      <c r="A52" s="1" t="s">
        <v>30</v>
      </c>
      <c r="B52" t="s">
        <v>521</v>
      </c>
      <c r="C52" t="s">
        <v>599</v>
      </c>
      <c r="D52" t="s">
        <v>1359</v>
      </c>
      <c r="E52" t="s">
        <v>1360</v>
      </c>
      <c r="F52" t="s">
        <v>1015</v>
      </c>
      <c r="G52" t="s">
        <v>1016</v>
      </c>
      <c r="H52" t="s">
        <v>1295</v>
      </c>
      <c r="I52" t="s">
        <v>111</v>
      </c>
      <c r="J52" t="s">
        <v>1295</v>
      </c>
      <c r="K52" s="2">
        <v>46096</v>
      </c>
      <c r="L52" s="2">
        <v>46112</v>
      </c>
      <c r="N52" s="2">
        <v>46082</v>
      </c>
      <c r="O52" s="2">
        <v>46447</v>
      </c>
      <c r="P52">
        <v>12</v>
      </c>
      <c r="Q52" t="s">
        <v>104</v>
      </c>
      <c r="R52" t="s">
        <v>88</v>
      </c>
      <c r="S52" t="s">
        <v>140</v>
      </c>
      <c r="T52" t="s">
        <v>97</v>
      </c>
      <c r="U52" t="s">
        <v>44</v>
      </c>
      <c r="V52" t="s">
        <v>45</v>
      </c>
      <c r="W52" t="s">
        <v>46</v>
      </c>
      <c r="X52" t="s">
        <v>158</v>
      </c>
      <c r="Y52">
        <v>163656.76</v>
      </c>
      <c r="Z52">
        <v>106376.89</v>
      </c>
      <c r="AA52">
        <v>0.65</v>
      </c>
      <c r="AB52" t="s">
        <v>1295</v>
      </c>
      <c r="AC52" t="s">
        <v>1295</v>
      </c>
      <c r="AD52" t="s">
        <v>48</v>
      </c>
    </row>
    <row r="53" spans="1:30" x14ac:dyDescent="0.35">
      <c r="A53" s="1" t="s">
        <v>30</v>
      </c>
      <c r="B53" t="s">
        <v>521</v>
      </c>
      <c r="C53" t="s">
        <v>599</v>
      </c>
      <c r="D53" t="s">
        <v>1361</v>
      </c>
      <c r="E53" t="s">
        <v>1362</v>
      </c>
      <c r="F53" t="s">
        <v>1363</v>
      </c>
      <c r="G53" t="s">
        <v>1364</v>
      </c>
      <c r="H53" t="s">
        <v>1302</v>
      </c>
      <c r="I53" t="s">
        <v>38</v>
      </c>
      <c r="J53" t="s">
        <v>39</v>
      </c>
      <c r="K53" s="2">
        <v>46089</v>
      </c>
      <c r="L53" s="2">
        <v>46112</v>
      </c>
      <c r="N53" s="2">
        <v>46082</v>
      </c>
      <c r="O53" s="2">
        <v>46813</v>
      </c>
      <c r="P53">
        <v>24</v>
      </c>
      <c r="Q53" t="s">
        <v>65</v>
      </c>
      <c r="R53" t="s">
        <v>53</v>
      </c>
      <c r="S53" t="s">
        <v>80</v>
      </c>
      <c r="T53" t="s">
        <v>43</v>
      </c>
      <c r="U53" t="s">
        <v>56</v>
      </c>
      <c r="V53" t="s">
        <v>74</v>
      </c>
      <c r="W53" t="s">
        <v>132</v>
      </c>
      <c r="X53" t="s">
        <v>143</v>
      </c>
      <c r="Y53">
        <v>70000</v>
      </c>
      <c r="Z53">
        <v>56000</v>
      </c>
      <c r="AA53">
        <v>0.8</v>
      </c>
      <c r="AB53" t="s">
        <v>39</v>
      </c>
      <c r="AC53" t="s">
        <v>39</v>
      </c>
      <c r="AD53" t="s">
        <v>48</v>
      </c>
    </row>
    <row r="54" spans="1:30" x14ac:dyDescent="0.35">
      <c r="A54" s="1" t="s">
        <v>30</v>
      </c>
      <c r="B54" t="s">
        <v>521</v>
      </c>
      <c r="C54" t="s">
        <v>640</v>
      </c>
      <c r="D54" t="s">
        <v>641</v>
      </c>
      <c r="E54" t="s">
        <v>642</v>
      </c>
      <c r="F54" t="s">
        <v>643</v>
      </c>
      <c r="G54" t="s">
        <v>644</v>
      </c>
      <c r="H54" t="s">
        <v>37</v>
      </c>
      <c r="I54" t="s">
        <v>111</v>
      </c>
      <c r="J54" t="s">
        <v>39</v>
      </c>
      <c r="K54" s="2">
        <v>46118</v>
      </c>
      <c r="L54" s="2">
        <v>46142</v>
      </c>
      <c r="N54" s="2">
        <v>46113</v>
      </c>
      <c r="O54" s="2">
        <v>46478</v>
      </c>
      <c r="P54">
        <v>12</v>
      </c>
      <c r="Q54" t="s">
        <v>104</v>
      </c>
      <c r="R54" t="s">
        <v>53</v>
      </c>
      <c r="S54" t="s">
        <v>280</v>
      </c>
      <c r="T54" t="s">
        <v>43</v>
      </c>
      <c r="U54" t="s">
        <v>44</v>
      </c>
      <c r="V54" t="s">
        <v>98</v>
      </c>
      <c r="W54" t="s">
        <v>120</v>
      </c>
      <c r="X54" t="s">
        <v>68</v>
      </c>
      <c r="Y54">
        <v>163853.04</v>
      </c>
      <c r="Z54">
        <v>131082.43</v>
      </c>
      <c r="AA54">
        <v>0.8</v>
      </c>
      <c r="AB54" t="s">
        <v>39</v>
      </c>
      <c r="AC54" t="s">
        <v>39</v>
      </c>
      <c r="AD54" t="s">
        <v>48</v>
      </c>
    </row>
    <row r="55" spans="1:30" x14ac:dyDescent="0.35">
      <c r="A55" s="1" t="s">
        <v>30</v>
      </c>
      <c r="B55" t="s">
        <v>521</v>
      </c>
      <c r="C55" t="s">
        <v>640</v>
      </c>
      <c r="D55" t="s">
        <v>645</v>
      </c>
      <c r="E55" t="s">
        <v>646</v>
      </c>
      <c r="F55" t="s">
        <v>647</v>
      </c>
      <c r="G55" t="s">
        <v>648</v>
      </c>
      <c r="H55" t="s">
        <v>37</v>
      </c>
      <c r="I55" t="s">
        <v>64</v>
      </c>
      <c r="J55" t="s">
        <v>39</v>
      </c>
      <c r="K55" s="2">
        <v>46116</v>
      </c>
      <c r="L55" s="2">
        <v>46142</v>
      </c>
      <c r="N55" s="2">
        <v>46113</v>
      </c>
      <c r="O55" s="2">
        <v>46478</v>
      </c>
      <c r="P55">
        <v>12</v>
      </c>
      <c r="Q55" t="s">
        <v>40</v>
      </c>
      <c r="R55" t="s">
        <v>41</v>
      </c>
      <c r="S55" t="s">
        <v>89</v>
      </c>
      <c r="T55" t="s">
        <v>55</v>
      </c>
      <c r="U55" t="s">
        <v>44</v>
      </c>
      <c r="V55" t="s">
        <v>138</v>
      </c>
      <c r="W55" t="s">
        <v>120</v>
      </c>
      <c r="X55" t="s">
        <v>47</v>
      </c>
      <c r="Y55">
        <v>162391.9</v>
      </c>
      <c r="Z55">
        <v>56837.16</v>
      </c>
      <c r="AA55">
        <v>0.35</v>
      </c>
      <c r="AB55" t="s">
        <v>39</v>
      </c>
      <c r="AC55" t="s">
        <v>39</v>
      </c>
      <c r="AD55" t="s">
        <v>48</v>
      </c>
    </row>
    <row r="56" spans="1:30" x14ac:dyDescent="0.35">
      <c r="A56" s="1" t="s">
        <v>30</v>
      </c>
      <c r="B56" t="s">
        <v>521</v>
      </c>
      <c r="C56" t="s">
        <v>640</v>
      </c>
      <c r="D56" t="s">
        <v>649</v>
      </c>
      <c r="E56" t="s">
        <v>650</v>
      </c>
      <c r="F56" t="s">
        <v>651</v>
      </c>
      <c r="G56" t="s">
        <v>652</v>
      </c>
      <c r="H56" t="s">
        <v>37</v>
      </c>
      <c r="I56" t="s">
        <v>38</v>
      </c>
      <c r="J56" t="s">
        <v>39</v>
      </c>
      <c r="K56" s="2">
        <v>46120</v>
      </c>
      <c r="L56" s="2">
        <v>46142</v>
      </c>
      <c r="N56" s="2">
        <v>46113</v>
      </c>
      <c r="O56" s="2">
        <v>46478</v>
      </c>
      <c r="P56">
        <v>12</v>
      </c>
      <c r="Q56" t="s">
        <v>65</v>
      </c>
      <c r="R56" t="s">
        <v>53</v>
      </c>
      <c r="S56" t="s">
        <v>54</v>
      </c>
      <c r="T56" t="s">
        <v>55</v>
      </c>
      <c r="U56" t="s">
        <v>44</v>
      </c>
      <c r="V56" t="s">
        <v>119</v>
      </c>
      <c r="W56" t="s">
        <v>161</v>
      </c>
      <c r="X56" t="s">
        <v>158</v>
      </c>
      <c r="Y56">
        <v>177227.18</v>
      </c>
      <c r="Z56">
        <v>62029.51</v>
      </c>
      <c r="AA56">
        <v>0.35</v>
      </c>
      <c r="AB56" t="s">
        <v>39</v>
      </c>
      <c r="AC56" t="s">
        <v>39</v>
      </c>
      <c r="AD56" t="s">
        <v>48</v>
      </c>
    </row>
    <row r="57" spans="1:30" x14ac:dyDescent="0.35">
      <c r="A57" s="1" t="s">
        <v>30</v>
      </c>
      <c r="B57" t="s">
        <v>521</v>
      </c>
      <c r="C57" t="s">
        <v>640</v>
      </c>
      <c r="D57" t="s">
        <v>653</v>
      </c>
      <c r="E57" t="s">
        <v>654</v>
      </c>
      <c r="F57" t="s">
        <v>655</v>
      </c>
      <c r="G57" t="s">
        <v>656</v>
      </c>
      <c r="H57" t="s">
        <v>37</v>
      </c>
      <c r="I57" t="s">
        <v>38</v>
      </c>
      <c r="J57" t="s">
        <v>39</v>
      </c>
      <c r="K57" s="2">
        <v>46117</v>
      </c>
      <c r="L57" s="2">
        <v>46142</v>
      </c>
      <c r="N57" s="2">
        <v>46113</v>
      </c>
      <c r="O57" s="2">
        <v>46844</v>
      </c>
      <c r="P57">
        <v>24</v>
      </c>
      <c r="Q57" t="s">
        <v>40</v>
      </c>
      <c r="R57" t="s">
        <v>41</v>
      </c>
      <c r="S57" t="s">
        <v>73</v>
      </c>
      <c r="T57" t="s">
        <v>43</v>
      </c>
      <c r="U57" t="s">
        <v>106</v>
      </c>
      <c r="V57" t="s">
        <v>81</v>
      </c>
      <c r="W57" t="s">
        <v>46</v>
      </c>
      <c r="X57" t="s">
        <v>143</v>
      </c>
      <c r="Y57">
        <v>98951.16</v>
      </c>
      <c r="Z57">
        <v>64318.25</v>
      </c>
      <c r="AA57">
        <v>0.65</v>
      </c>
      <c r="AB57" t="s">
        <v>39</v>
      </c>
      <c r="AC57" t="s">
        <v>39</v>
      </c>
      <c r="AD57" t="s">
        <v>48</v>
      </c>
    </row>
    <row r="58" spans="1:30" x14ac:dyDescent="0.35">
      <c r="A58" s="1" t="s">
        <v>30</v>
      </c>
      <c r="B58" t="s">
        <v>521</v>
      </c>
      <c r="C58" t="s">
        <v>640</v>
      </c>
      <c r="D58" t="s">
        <v>657</v>
      </c>
      <c r="E58" t="s">
        <v>658</v>
      </c>
      <c r="F58" t="s">
        <v>659</v>
      </c>
      <c r="G58" t="s">
        <v>660</v>
      </c>
      <c r="H58" t="s">
        <v>37</v>
      </c>
      <c r="I58" t="s">
        <v>103</v>
      </c>
      <c r="J58" t="s">
        <v>39</v>
      </c>
      <c r="K58" s="2">
        <v>46114</v>
      </c>
      <c r="L58" s="2">
        <v>46142</v>
      </c>
      <c r="N58" s="2">
        <v>46113</v>
      </c>
      <c r="O58" s="2">
        <v>46478</v>
      </c>
      <c r="P58">
        <v>12</v>
      </c>
      <c r="Q58" t="s">
        <v>104</v>
      </c>
      <c r="R58" t="s">
        <v>53</v>
      </c>
      <c r="S58" t="s">
        <v>162</v>
      </c>
      <c r="T58" t="s">
        <v>43</v>
      </c>
      <c r="U58" t="s">
        <v>44</v>
      </c>
      <c r="V58" t="s">
        <v>74</v>
      </c>
      <c r="W58" t="s">
        <v>150</v>
      </c>
      <c r="X58" t="s">
        <v>47</v>
      </c>
      <c r="Y58">
        <v>156230.39000000001</v>
      </c>
      <c r="Z58">
        <v>78115.19</v>
      </c>
      <c r="AA58">
        <v>0.5</v>
      </c>
      <c r="AB58" t="s">
        <v>39</v>
      </c>
      <c r="AC58" t="s">
        <v>39</v>
      </c>
      <c r="AD58" t="s">
        <v>48</v>
      </c>
    </row>
    <row r="59" spans="1:30" x14ac:dyDescent="0.35">
      <c r="A59" s="1" t="s">
        <v>30</v>
      </c>
      <c r="B59" t="s">
        <v>521</v>
      </c>
      <c r="C59" t="s">
        <v>640</v>
      </c>
      <c r="D59" t="s">
        <v>661</v>
      </c>
      <c r="E59" t="s">
        <v>662</v>
      </c>
      <c r="F59" t="s">
        <v>663</v>
      </c>
      <c r="G59" t="s">
        <v>664</v>
      </c>
      <c r="H59" t="s">
        <v>37</v>
      </c>
      <c r="I59" t="s">
        <v>111</v>
      </c>
      <c r="J59" t="s">
        <v>39</v>
      </c>
      <c r="K59" s="2">
        <v>46124</v>
      </c>
      <c r="L59" s="2">
        <v>46142</v>
      </c>
      <c r="N59" s="2">
        <v>46113</v>
      </c>
      <c r="O59" s="2">
        <v>46478</v>
      </c>
      <c r="P59">
        <v>12</v>
      </c>
      <c r="Q59" t="s">
        <v>65</v>
      </c>
      <c r="R59" t="s">
        <v>88</v>
      </c>
      <c r="S59" t="s">
        <v>280</v>
      </c>
      <c r="T59" t="s">
        <v>43</v>
      </c>
      <c r="U59" t="s">
        <v>44</v>
      </c>
      <c r="V59" t="s">
        <v>57</v>
      </c>
      <c r="W59" t="s">
        <v>120</v>
      </c>
      <c r="X59" t="s">
        <v>68</v>
      </c>
      <c r="Y59">
        <v>101883.14</v>
      </c>
      <c r="Z59">
        <v>50941.57</v>
      </c>
      <c r="AA59">
        <v>0.5</v>
      </c>
      <c r="AB59" t="s">
        <v>39</v>
      </c>
      <c r="AC59" t="s">
        <v>39</v>
      </c>
      <c r="AD59" t="s">
        <v>48</v>
      </c>
    </row>
    <row r="60" spans="1:30" x14ac:dyDescent="0.35">
      <c r="A60" s="1" t="s">
        <v>30</v>
      </c>
      <c r="B60" t="s">
        <v>521</v>
      </c>
      <c r="C60" t="s">
        <v>640</v>
      </c>
      <c r="D60" t="s">
        <v>665</v>
      </c>
      <c r="E60" t="s">
        <v>666</v>
      </c>
      <c r="F60" t="s">
        <v>667</v>
      </c>
      <c r="G60" t="s">
        <v>668</v>
      </c>
      <c r="H60" t="s">
        <v>37</v>
      </c>
      <c r="I60" t="s">
        <v>38</v>
      </c>
      <c r="J60" t="s">
        <v>39</v>
      </c>
      <c r="K60" s="2">
        <v>46115</v>
      </c>
      <c r="L60" s="2">
        <v>46142</v>
      </c>
      <c r="N60" s="2">
        <v>46113</v>
      </c>
      <c r="O60" s="2">
        <v>46844</v>
      </c>
      <c r="P60">
        <v>24</v>
      </c>
      <c r="Q60" t="s">
        <v>40</v>
      </c>
      <c r="R60" t="s">
        <v>88</v>
      </c>
      <c r="S60" t="s">
        <v>66</v>
      </c>
      <c r="T60" t="s">
        <v>55</v>
      </c>
      <c r="U60" t="s">
        <v>44</v>
      </c>
      <c r="V60" t="s">
        <v>119</v>
      </c>
      <c r="W60" t="s">
        <v>161</v>
      </c>
      <c r="X60" t="s">
        <v>125</v>
      </c>
      <c r="Y60">
        <v>209966.76</v>
      </c>
      <c r="Z60">
        <v>104983.38</v>
      </c>
      <c r="AA60">
        <v>0.5</v>
      </c>
      <c r="AB60" t="s">
        <v>39</v>
      </c>
      <c r="AC60" t="s">
        <v>39</v>
      </c>
      <c r="AD60" t="s">
        <v>48</v>
      </c>
    </row>
    <row r="61" spans="1:30" x14ac:dyDescent="0.35">
      <c r="A61" s="1" t="s">
        <v>30</v>
      </c>
      <c r="B61" t="s">
        <v>521</v>
      </c>
      <c r="C61" t="s">
        <v>640</v>
      </c>
      <c r="D61" t="s">
        <v>669</v>
      </c>
      <c r="E61" t="s">
        <v>670</v>
      </c>
      <c r="F61" t="s">
        <v>671</v>
      </c>
      <c r="G61" t="s">
        <v>672</v>
      </c>
      <c r="H61" t="s">
        <v>37</v>
      </c>
      <c r="I61" t="s">
        <v>38</v>
      </c>
      <c r="J61" t="s">
        <v>39</v>
      </c>
      <c r="K61" s="2">
        <v>46117</v>
      </c>
      <c r="L61" s="2">
        <v>46142</v>
      </c>
      <c r="N61" s="2">
        <v>46113</v>
      </c>
      <c r="O61" s="2">
        <v>46478</v>
      </c>
      <c r="P61">
        <v>12</v>
      </c>
      <c r="Q61" t="s">
        <v>65</v>
      </c>
      <c r="R61" t="s">
        <v>41</v>
      </c>
      <c r="S61" t="s">
        <v>162</v>
      </c>
      <c r="T61" t="s">
        <v>43</v>
      </c>
      <c r="U61" t="s">
        <v>44</v>
      </c>
      <c r="V61" t="s">
        <v>138</v>
      </c>
      <c r="W61" t="s">
        <v>161</v>
      </c>
      <c r="X61" t="s">
        <v>59</v>
      </c>
      <c r="Y61">
        <v>122304.29</v>
      </c>
      <c r="Z61">
        <v>79497.789999999994</v>
      </c>
      <c r="AA61">
        <v>0.65</v>
      </c>
      <c r="AB61" t="s">
        <v>39</v>
      </c>
      <c r="AC61" t="s">
        <v>39</v>
      </c>
      <c r="AD61" t="s">
        <v>48</v>
      </c>
    </row>
    <row r="62" spans="1:30" x14ac:dyDescent="0.35">
      <c r="A62" s="1" t="s">
        <v>30</v>
      </c>
      <c r="B62" t="s">
        <v>521</v>
      </c>
      <c r="C62" t="s">
        <v>640</v>
      </c>
      <c r="D62" t="s">
        <v>673</v>
      </c>
      <c r="E62" t="s">
        <v>674</v>
      </c>
      <c r="F62" t="s">
        <v>675</v>
      </c>
      <c r="G62" t="s">
        <v>676</v>
      </c>
      <c r="H62" t="s">
        <v>37</v>
      </c>
      <c r="I62" t="s">
        <v>111</v>
      </c>
      <c r="J62" t="s">
        <v>39</v>
      </c>
      <c r="K62" s="2">
        <v>46125</v>
      </c>
      <c r="L62" s="2">
        <v>46142</v>
      </c>
      <c r="N62" s="2">
        <v>46113</v>
      </c>
      <c r="O62" s="2">
        <v>46478</v>
      </c>
      <c r="P62">
        <v>12</v>
      </c>
      <c r="Q62" t="s">
        <v>104</v>
      </c>
      <c r="R62" t="s">
        <v>41</v>
      </c>
      <c r="S62" t="s">
        <v>164</v>
      </c>
      <c r="T62" t="s">
        <v>55</v>
      </c>
      <c r="U62" t="s">
        <v>44</v>
      </c>
      <c r="V62" t="s">
        <v>81</v>
      </c>
      <c r="W62" t="s">
        <v>82</v>
      </c>
      <c r="X62" t="s">
        <v>91</v>
      </c>
      <c r="Y62">
        <v>205851.46</v>
      </c>
      <c r="Z62">
        <v>133803.45000000001</v>
      </c>
      <c r="AA62">
        <v>0.65</v>
      </c>
      <c r="AB62" t="s">
        <v>39</v>
      </c>
      <c r="AC62" t="s">
        <v>39</v>
      </c>
      <c r="AD62" t="s">
        <v>48</v>
      </c>
    </row>
    <row r="63" spans="1:30" x14ac:dyDescent="0.35">
      <c r="A63" s="1" t="s">
        <v>30</v>
      </c>
      <c r="B63" t="s">
        <v>521</v>
      </c>
      <c r="C63" t="s">
        <v>640</v>
      </c>
      <c r="D63" t="s">
        <v>677</v>
      </c>
      <c r="E63" t="s">
        <v>678</v>
      </c>
      <c r="F63" t="s">
        <v>679</v>
      </c>
      <c r="G63" t="s">
        <v>680</v>
      </c>
      <c r="H63" t="s">
        <v>37</v>
      </c>
      <c r="I63" t="s">
        <v>64</v>
      </c>
      <c r="J63" t="s">
        <v>39</v>
      </c>
      <c r="K63" s="2">
        <v>46121</v>
      </c>
      <c r="L63" s="2">
        <v>46142</v>
      </c>
      <c r="N63" s="2">
        <v>46113</v>
      </c>
      <c r="O63" s="2">
        <v>46478</v>
      </c>
      <c r="P63">
        <v>12</v>
      </c>
      <c r="Q63" t="s">
        <v>40</v>
      </c>
      <c r="R63" t="s">
        <v>88</v>
      </c>
      <c r="S63" t="s">
        <v>139</v>
      </c>
      <c r="T63" t="s">
        <v>43</v>
      </c>
      <c r="U63" t="s">
        <v>44</v>
      </c>
      <c r="V63" t="s">
        <v>74</v>
      </c>
      <c r="W63" t="s">
        <v>90</v>
      </c>
      <c r="X63" t="s">
        <v>125</v>
      </c>
      <c r="Y63">
        <v>185340.67</v>
      </c>
      <c r="Z63">
        <v>148272.54</v>
      </c>
      <c r="AA63">
        <v>0.8</v>
      </c>
      <c r="AB63" t="s">
        <v>39</v>
      </c>
      <c r="AC63" t="s">
        <v>39</v>
      </c>
      <c r="AD63" t="s">
        <v>48</v>
      </c>
    </row>
    <row r="64" spans="1:30" x14ac:dyDescent="0.35">
      <c r="A64" s="1" t="s">
        <v>30</v>
      </c>
      <c r="B64" t="s">
        <v>521</v>
      </c>
      <c r="C64" t="s">
        <v>640</v>
      </c>
      <c r="D64" t="s">
        <v>1365</v>
      </c>
      <c r="E64" t="s">
        <v>1366</v>
      </c>
      <c r="F64" t="s">
        <v>689</v>
      </c>
      <c r="G64" t="s">
        <v>690</v>
      </c>
      <c r="H64" t="s">
        <v>1271</v>
      </c>
      <c r="I64" t="s">
        <v>117</v>
      </c>
      <c r="J64" t="s">
        <v>39</v>
      </c>
      <c r="K64" s="2">
        <v>46122</v>
      </c>
      <c r="L64" s="2">
        <v>46142</v>
      </c>
      <c r="N64" s="2">
        <v>46113</v>
      </c>
      <c r="O64" s="2">
        <v>46478</v>
      </c>
      <c r="P64">
        <v>12</v>
      </c>
      <c r="Q64" t="s">
        <v>104</v>
      </c>
      <c r="R64" t="s">
        <v>53</v>
      </c>
      <c r="S64" t="s">
        <v>149</v>
      </c>
      <c r="T64" t="s">
        <v>131</v>
      </c>
      <c r="U64" t="s">
        <v>44</v>
      </c>
      <c r="V64" t="s">
        <v>98</v>
      </c>
      <c r="W64" t="s">
        <v>82</v>
      </c>
      <c r="X64" t="s">
        <v>59</v>
      </c>
      <c r="Y64">
        <v>117798.48</v>
      </c>
      <c r="Z64">
        <v>41229.47</v>
      </c>
      <c r="AA64">
        <v>0.35</v>
      </c>
      <c r="AB64" t="s">
        <v>39</v>
      </c>
      <c r="AC64" t="s">
        <v>39</v>
      </c>
      <c r="AD64" t="s">
        <v>48</v>
      </c>
    </row>
    <row r="65" spans="1:30" x14ac:dyDescent="0.35">
      <c r="A65" s="1" t="s">
        <v>30</v>
      </c>
      <c r="B65" t="s">
        <v>521</v>
      </c>
      <c r="C65" t="s">
        <v>640</v>
      </c>
      <c r="D65" t="s">
        <v>1367</v>
      </c>
      <c r="E65" t="s">
        <v>1368</v>
      </c>
      <c r="F65" t="s">
        <v>1369</v>
      </c>
      <c r="G65" t="s">
        <v>1370</v>
      </c>
      <c r="H65" t="s">
        <v>1271</v>
      </c>
      <c r="I65" t="s">
        <v>38</v>
      </c>
      <c r="J65" t="s">
        <v>39</v>
      </c>
      <c r="K65" s="2">
        <v>46125</v>
      </c>
      <c r="L65" s="2">
        <v>46142</v>
      </c>
      <c r="N65" s="2">
        <v>46113</v>
      </c>
      <c r="O65" s="2">
        <v>46478</v>
      </c>
      <c r="P65">
        <v>12</v>
      </c>
      <c r="Q65" t="s">
        <v>65</v>
      </c>
      <c r="R65" t="s">
        <v>53</v>
      </c>
      <c r="S65" t="s">
        <v>135</v>
      </c>
      <c r="T65" t="s">
        <v>131</v>
      </c>
      <c r="U65" t="s">
        <v>56</v>
      </c>
      <c r="V65" t="s">
        <v>217</v>
      </c>
      <c r="W65" t="s">
        <v>75</v>
      </c>
      <c r="X65" t="s">
        <v>91</v>
      </c>
      <c r="Y65">
        <v>99398.26</v>
      </c>
      <c r="Z65">
        <v>64608.87</v>
      </c>
      <c r="AA65">
        <v>0.65</v>
      </c>
      <c r="AB65" t="s">
        <v>39</v>
      </c>
      <c r="AC65" t="s">
        <v>39</v>
      </c>
      <c r="AD65" t="s">
        <v>48</v>
      </c>
    </row>
    <row r="66" spans="1:30" x14ac:dyDescent="0.35">
      <c r="A66" s="1" t="s">
        <v>30</v>
      </c>
      <c r="B66" t="s">
        <v>521</v>
      </c>
      <c r="C66" t="s">
        <v>640</v>
      </c>
      <c r="D66" t="s">
        <v>1371</v>
      </c>
      <c r="E66" t="s">
        <v>1372</v>
      </c>
      <c r="F66" t="s">
        <v>1373</v>
      </c>
      <c r="G66" t="s">
        <v>1374</v>
      </c>
      <c r="H66" t="s">
        <v>1271</v>
      </c>
      <c r="I66" t="s">
        <v>117</v>
      </c>
      <c r="J66" t="s">
        <v>39</v>
      </c>
      <c r="K66" s="2">
        <v>46121</v>
      </c>
      <c r="L66" s="2">
        <v>46142</v>
      </c>
      <c r="N66" s="2">
        <v>46113</v>
      </c>
      <c r="O66" s="2">
        <v>46844</v>
      </c>
      <c r="P66">
        <v>24</v>
      </c>
      <c r="Q66" t="s">
        <v>65</v>
      </c>
      <c r="R66" t="s">
        <v>41</v>
      </c>
      <c r="S66" t="s">
        <v>80</v>
      </c>
      <c r="T66" t="s">
        <v>43</v>
      </c>
      <c r="U66" t="s">
        <v>44</v>
      </c>
      <c r="V66" t="s">
        <v>98</v>
      </c>
      <c r="W66" t="s">
        <v>82</v>
      </c>
      <c r="X66" t="s">
        <v>68</v>
      </c>
      <c r="Y66">
        <v>113370.55</v>
      </c>
      <c r="Z66">
        <v>73690.86</v>
      </c>
      <c r="AA66">
        <v>0.65</v>
      </c>
      <c r="AB66" t="s">
        <v>39</v>
      </c>
      <c r="AC66" t="s">
        <v>39</v>
      </c>
      <c r="AD66" t="s">
        <v>48</v>
      </c>
    </row>
    <row r="67" spans="1:30" x14ac:dyDescent="0.35">
      <c r="A67" s="1" t="s">
        <v>30</v>
      </c>
      <c r="B67" t="s">
        <v>521</v>
      </c>
      <c r="C67" t="s">
        <v>640</v>
      </c>
      <c r="D67" t="s">
        <v>1375</v>
      </c>
      <c r="E67" t="s">
        <v>1376</v>
      </c>
      <c r="F67" t="s">
        <v>1377</v>
      </c>
      <c r="G67" t="s">
        <v>1378</v>
      </c>
      <c r="H67" t="s">
        <v>1271</v>
      </c>
      <c r="I67" t="s">
        <v>117</v>
      </c>
      <c r="J67" t="s">
        <v>39</v>
      </c>
      <c r="K67" s="2">
        <v>46119</v>
      </c>
      <c r="L67" s="2">
        <v>46142</v>
      </c>
      <c r="N67" s="2">
        <v>46113</v>
      </c>
      <c r="O67" s="2">
        <v>46478</v>
      </c>
      <c r="P67">
        <v>12</v>
      </c>
      <c r="Q67" t="s">
        <v>104</v>
      </c>
      <c r="R67" t="s">
        <v>88</v>
      </c>
      <c r="S67" t="s">
        <v>151</v>
      </c>
      <c r="T67" t="s">
        <v>131</v>
      </c>
      <c r="U67" t="s">
        <v>44</v>
      </c>
      <c r="V67" t="s">
        <v>45</v>
      </c>
      <c r="W67" t="s">
        <v>120</v>
      </c>
      <c r="X67" t="s">
        <v>47</v>
      </c>
      <c r="Y67">
        <v>162155.79999999999</v>
      </c>
      <c r="Z67">
        <v>56754.53</v>
      </c>
      <c r="AA67">
        <v>0.35</v>
      </c>
      <c r="AB67" t="s">
        <v>39</v>
      </c>
      <c r="AC67" t="s">
        <v>39</v>
      </c>
      <c r="AD67" t="s">
        <v>48</v>
      </c>
    </row>
    <row r="68" spans="1:30" x14ac:dyDescent="0.35">
      <c r="A68" s="1" t="s">
        <v>30</v>
      </c>
      <c r="B68" t="s">
        <v>521</v>
      </c>
      <c r="C68" t="s">
        <v>640</v>
      </c>
      <c r="D68" t="s">
        <v>1379</v>
      </c>
      <c r="E68" t="s">
        <v>1380</v>
      </c>
      <c r="F68" t="s">
        <v>1059</v>
      </c>
      <c r="G68" t="s">
        <v>1060</v>
      </c>
      <c r="H68" t="s">
        <v>1271</v>
      </c>
      <c r="I68" t="s">
        <v>117</v>
      </c>
      <c r="J68" t="s">
        <v>39</v>
      </c>
      <c r="K68" s="2">
        <v>46122</v>
      </c>
      <c r="L68" s="2">
        <v>46142</v>
      </c>
      <c r="N68" s="2">
        <v>46113</v>
      </c>
      <c r="O68" s="2">
        <v>46478</v>
      </c>
      <c r="P68">
        <v>12</v>
      </c>
      <c r="Q68" t="s">
        <v>65</v>
      </c>
      <c r="R68" t="s">
        <v>53</v>
      </c>
      <c r="S68" t="s">
        <v>151</v>
      </c>
      <c r="T68" t="s">
        <v>131</v>
      </c>
      <c r="U68" t="s">
        <v>106</v>
      </c>
      <c r="V68" t="s">
        <v>119</v>
      </c>
      <c r="W68" t="s">
        <v>75</v>
      </c>
      <c r="X68" t="s">
        <v>68</v>
      </c>
      <c r="Y68">
        <v>163071.14000000001</v>
      </c>
      <c r="Z68">
        <v>81535.570000000007</v>
      </c>
      <c r="AA68">
        <v>0.5</v>
      </c>
      <c r="AB68" t="s">
        <v>39</v>
      </c>
      <c r="AC68" t="s">
        <v>39</v>
      </c>
      <c r="AD68" t="s">
        <v>48</v>
      </c>
    </row>
    <row r="69" spans="1:30" x14ac:dyDescent="0.35">
      <c r="A69" s="1" t="s">
        <v>30</v>
      </c>
      <c r="B69" t="s">
        <v>521</v>
      </c>
      <c r="C69" t="s">
        <v>640</v>
      </c>
      <c r="D69" t="s">
        <v>1381</v>
      </c>
      <c r="E69" t="s">
        <v>1382</v>
      </c>
      <c r="F69" t="s">
        <v>977</v>
      </c>
      <c r="G69" t="s">
        <v>978</v>
      </c>
      <c r="H69" t="s">
        <v>1271</v>
      </c>
      <c r="I69" t="s">
        <v>64</v>
      </c>
      <c r="J69" t="s">
        <v>39</v>
      </c>
      <c r="K69" s="2">
        <v>46118</v>
      </c>
      <c r="L69" s="2">
        <v>46142</v>
      </c>
      <c r="N69" s="2">
        <v>46113</v>
      </c>
      <c r="O69" s="2">
        <v>46478</v>
      </c>
      <c r="P69">
        <v>12</v>
      </c>
      <c r="Q69" t="s">
        <v>65</v>
      </c>
      <c r="R69" t="s">
        <v>53</v>
      </c>
      <c r="S69" t="s">
        <v>140</v>
      </c>
      <c r="T69" t="s">
        <v>97</v>
      </c>
      <c r="U69" t="s">
        <v>44</v>
      </c>
      <c r="V69" t="s">
        <v>74</v>
      </c>
      <c r="W69" t="s">
        <v>142</v>
      </c>
      <c r="X69" t="s">
        <v>47</v>
      </c>
      <c r="Y69">
        <v>168705.77</v>
      </c>
      <c r="Z69">
        <v>59047.02</v>
      </c>
      <c r="AA69">
        <v>0.35</v>
      </c>
      <c r="AB69" t="s">
        <v>39</v>
      </c>
      <c r="AC69" t="s">
        <v>39</v>
      </c>
      <c r="AD69" t="s">
        <v>48</v>
      </c>
    </row>
    <row r="70" spans="1:30" x14ac:dyDescent="0.35">
      <c r="A70" s="1" t="s">
        <v>30</v>
      </c>
      <c r="B70" t="s">
        <v>521</v>
      </c>
      <c r="C70" t="s">
        <v>640</v>
      </c>
      <c r="D70" t="s">
        <v>1383</v>
      </c>
      <c r="E70" t="s">
        <v>1384</v>
      </c>
      <c r="F70" t="s">
        <v>123</v>
      </c>
      <c r="G70" t="s">
        <v>124</v>
      </c>
      <c r="H70" t="s">
        <v>1290</v>
      </c>
      <c r="I70" t="s">
        <v>64</v>
      </c>
      <c r="J70" t="s">
        <v>1290</v>
      </c>
      <c r="K70" s="2">
        <v>46119</v>
      </c>
      <c r="L70" s="2">
        <v>46142</v>
      </c>
      <c r="N70" s="2">
        <v>46113</v>
      </c>
      <c r="O70" s="2">
        <v>46478</v>
      </c>
      <c r="P70">
        <v>12</v>
      </c>
      <c r="Q70" t="s">
        <v>40</v>
      </c>
      <c r="R70" t="s">
        <v>88</v>
      </c>
      <c r="S70" t="s">
        <v>42</v>
      </c>
      <c r="T70" t="s">
        <v>43</v>
      </c>
      <c r="U70" t="s">
        <v>56</v>
      </c>
      <c r="V70" t="s">
        <v>45</v>
      </c>
      <c r="W70" t="s">
        <v>90</v>
      </c>
      <c r="X70" t="s">
        <v>143</v>
      </c>
      <c r="Y70">
        <v>229500</v>
      </c>
      <c r="Z70">
        <v>114750</v>
      </c>
      <c r="AA70">
        <v>0.5</v>
      </c>
      <c r="AB70" t="s">
        <v>1290</v>
      </c>
      <c r="AC70" t="s">
        <v>1290</v>
      </c>
      <c r="AD70" t="s">
        <v>48</v>
      </c>
    </row>
    <row r="71" spans="1:30" x14ac:dyDescent="0.35">
      <c r="A71" s="1" t="s">
        <v>30</v>
      </c>
      <c r="B71" t="s">
        <v>521</v>
      </c>
      <c r="C71" t="s">
        <v>640</v>
      </c>
      <c r="D71" t="s">
        <v>1385</v>
      </c>
      <c r="E71" t="s">
        <v>1386</v>
      </c>
      <c r="F71" t="s">
        <v>1387</v>
      </c>
      <c r="G71" t="s">
        <v>1388</v>
      </c>
      <c r="H71" t="s">
        <v>1295</v>
      </c>
      <c r="I71" t="s">
        <v>111</v>
      </c>
      <c r="J71" t="s">
        <v>1295</v>
      </c>
      <c r="K71" s="2">
        <v>46117</v>
      </c>
      <c r="L71" s="2">
        <v>46142</v>
      </c>
      <c r="N71" s="2">
        <v>46113</v>
      </c>
      <c r="O71" s="2">
        <v>46478</v>
      </c>
      <c r="P71">
        <v>12</v>
      </c>
      <c r="Q71" t="s">
        <v>40</v>
      </c>
      <c r="R71" t="s">
        <v>88</v>
      </c>
      <c r="S71" t="s">
        <v>80</v>
      </c>
      <c r="T71" t="s">
        <v>43</v>
      </c>
      <c r="U71" t="s">
        <v>44</v>
      </c>
      <c r="V71" t="s">
        <v>98</v>
      </c>
      <c r="W71" t="s">
        <v>120</v>
      </c>
      <c r="X71" t="s">
        <v>158</v>
      </c>
      <c r="Y71">
        <v>197665.41</v>
      </c>
      <c r="Z71">
        <v>158132.32999999999</v>
      </c>
      <c r="AA71">
        <v>0.8</v>
      </c>
      <c r="AB71" t="s">
        <v>1295</v>
      </c>
      <c r="AC71" t="s">
        <v>1295</v>
      </c>
      <c r="AD71" t="s">
        <v>48</v>
      </c>
    </row>
    <row r="72" spans="1:30" x14ac:dyDescent="0.35">
      <c r="A72" s="1" t="s">
        <v>30</v>
      </c>
      <c r="B72" t="s">
        <v>521</v>
      </c>
      <c r="C72" t="s">
        <v>640</v>
      </c>
      <c r="D72" t="s">
        <v>1389</v>
      </c>
      <c r="E72" t="s">
        <v>1390</v>
      </c>
      <c r="F72" t="s">
        <v>1213</v>
      </c>
      <c r="G72" t="s">
        <v>1214</v>
      </c>
      <c r="H72" t="s">
        <v>1295</v>
      </c>
      <c r="I72" t="s">
        <v>103</v>
      </c>
      <c r="J72" t="s">
        <v>1295</v>
      </c>
      <c r="K72" s="2">
        <v>46123</v>
      </c>
      <c r="L72" s="2">
        <v>46142</v>
      </c>
      <c r="N72" s="2">
        <v>46113</v>
      </c>
      <c r="O72" s="2">
        <v>47209</v>
      </c>
      <c r="P72">
        <v>36</v>
      </c>
      <c r="Q72" t="s">
        <v>104</v>
      </c>
      <c r="R72" t="s">
        <v>53</v>
      </c>
      <c r="S72" t="s">
        <v>137</v>
      </c>
      <c r="T72" t="s">
        <v>97</v>
      </c>
      <c r="U72" t="s">
        <v>106</v>
      </c>
      <c r="V72" t="s">
        <v>67</v>
      </c>
      <c r="W72" t="s">
        <v>136</v>
      </c>
      <c r="X72" t="s">
        <v>125</v>
      </c>
      <c r="Y72">
        <v>286434.59000000003</v>
      </c>
      <c r="Z72">
        <v>186182.48</v>
      </c>
      <c r="AA72">
        <v>0.65</v>
      </c>
      <c r="AB72" t="s">
        <v>1295</v>
      </c>
      <c r="AC72" t="s">
        <v>1295</v>
      </c>
      <c r="AD72" t="s">
        <v>48</v>
      </c>
    </row>
    <row r="73" spans="1:30" x14ac:dyDescent="0.35">
      <c r="A73" s="1" t="s">
        <v>30</v>
      </c>
      <c r="B73" t="s">
        <v>521</v>
      </c>
      <c r="C73" t="s">
        <v>640</v>
      </c>
      <c r="D73" t="s">
        <v>1391</v>
      </c>
      <c r="E73" t="s">
        <v>1392</v>
      </c>
      <c r="F73" t="s">
        <v>223</v>
      </c>
      <c r="G73" t="s">
        <v>224</v>
      </c>
      <c r="H73" t="s">
        <v>1302</v>
      </c>
      <c r="I73" t="s">
        <v>103</v>
      </c>
      <c r="J73" t="s">
        <v>39</v>
      </c>
      <c r="K73" s="2">
        <v>46126</v>
      </c>
      <c r="L73" s="2">
        <v>46142</v>
      </c>
      <c r="N73" s="2">
        <v>46113</v>
      </c>
      <c r="O73" s="2">
        <v>46844</v>
      </c>
      <c r="P73">
        <v>24</v>
      </c>
      <c r="Q73" t="s">
        <v>40</v>
      </c>
      <c r="R73" t="s">
        <v>41</v>
      </c>
      <c r="S73" t="s">
        <v>141</v>
      </c>
      <c r="T73" t="s">
        <v>131</v>
      </c>
      <c r="U73" t="s">
        <v>56</v>
      </c>
      <c r="V73" t="s">
        <v>119</v>
      </c>
      <c r="W73" t="s">
        <v>120</v>
      </c>
      <c r="X73" t="s">
        <v>91</v>
      </c>
      <c r="Y73">
        <v>75000</v>
      </c>
      <c r="Z73">
        <v>48750</v>
      </c>
      <c r="AA73">
        <v>0.65</v>
      </c>
      <c r="AB73" t="s">
        <v>39</v>
      </c>
      <c r="AC73" t="s">
        <v>39</v>
      </c>
      <c r="AD73" t="s">
        <v>48</v>
      </c>
    </row>
    <row r="74" spans="1:30" x14ac:dyDescent="0.35">
      <c r="A74" s="1" t="s">
        <v>30</v>
      </c>
      <c r="B74" t="s">
        <v>521</v>
      </c>
      <c r="C74" t="s">
        <v>691</v>
      </c>
      <c r="D74" t="s">
        <v>692</v>
      </c>
      <c r="E74" t="s">
        <v>693</v>
      </c>
      <c r="F74" t="s">
        <v>694</v>
      </c>
      <c r="G74" t="s">
        <v>695</v>
      </c>
      <c r="H74" t="s">
        <v>37</v>
      </c>
      <c r="I74" t="s">
        <v>111</v>
      </c>
      <c r="J74" t="s">
        <v>39</v>
      </c>
      <c r="K74" s="2">
        <v>46146</v>
      </c>
      <c r="L74" s="2">
        <v>46173</v>
      </c>
      <c r="N74" s="2">
        <v>46143</v>
      </c>
      <c r="O74" s="2">
        <v>46508</v>
      </c>
      <c r="P74">
        <v>12</v>
      </c>
      <c r="Q74" t="s">
        <v>40</v>
      </c>
      <c r="R74" t="s">
        <v>53</v>
      </c>
      <c r="S74" t="s">
        <v>141</v>
      </c>
      <c r="T74" t="s">
        <v>131</v>
      </c>
      <c r="U74" t="s">
        <v>44</v>
      </c>
      <c r="V74" t="s">
        <v>119</v>
      </c>
      <c r="W74" t="s">
        <v>120</v>
      </c>
      <c r="X74" t="s">
        <v>83</v>
      </c>
      <c r="Y74">
        <v>105535.52</v>
      </c>
      <c r="Z74">
        <v>68598.09</v>
      </c>
      <c r="AA74">
        <v>0.65</v>
      </c>
      <c r="AB74" t="s">
        <v>39</v>
      </c>
      <c r="AC74" t="s">
        <v>39</v>
      </c>
      <c r="AD74" t="s">
        <v>48</v>
      </c>
    </row>
    <row r="75" spans="1:30" x14ac:dyDescent="0.35">
      <c r="A75" s="1" t="s">
        <v>30</v>
      </c>
      <c r="B75" t="s">
        <v>521</v>
      </c>
      <c r="C75" t="s">
        <v>691</v>
      </c>
      <c r="D75" t="s">
        <v>696</v>
      </c>
      <c r="E75" t="s">
        <v>697</v>
      </c>
      <c r="F75" t="s">
        <v>698</v>
      </c>
      <c r="G75" t="s">
        <v>699</v>
      </c>
      <c r="H75" t="s">
        <v>37</v>
      </c>
      <c r="I75" t="s">
        <v>103</v>
      </c>
      <c r="J75" t="s">
        <v>39</v>
      </c>
      <c r="K75" s="2">
        <v>46150</v>
      </c>
      <c r="L75" s="2">
        <v>46173</v>
      </c>
      <c r="N75" s="2">
        <v>46143</v>
      </c>
      <c r="O75" s="2">
        <v>47239</v>
      </c>
      <c r="P75">
        <v>36</v>
      </c>
      <c r="Q75" t="s">
        <v>65</v>
      </c>
      <c r="R75" t="s">
        <v>88</v>
      </c>
      <c r="S75" t="s">
        <v>105</v>
      </c>
      <c r="T75" t="s">
        <v>55</v>
      </c>
      <c r="U75" t="s">
        <v>44</v>
      </c>
      <c r="V75" t="s">
        <v>45</v>
      </c>
      <c r="W75" t="s">
        <v>120</v>
      </c>
      <c r="X75" t="s">
        <v>47</v>
      </c>
      <c r="Y75">
        <v>189683.99</v>
      </c>
      <c r="Z75">
        <v>66389.399999999994</v>
      </c>
      <c r="AA75">
        <v>0.35</v>
      </c>
      <c r="AB75" t="s">
        <v>39</v>
      </c>
      <c r="AC75" t="s">
        <v>39</v>
      </c>
      <c r="AD75" t="s">
        <v>48</v>
      </c>
    </row>
    <row r="76" spans="1:30" x14ac:dyDescent="0.35">
      <c r="A76" s="1" t="s">
        <v>30</v>
      </c>
      <c r="B76" t="s">
        <v>521</v>
      </c>
      <c r="C76" t="s">
        <v>691</v>
      </c>
      <c r="D76" t="s">
        <v>700</v>
      </c>
      <c r="E76" t="s">
        <v>701</v>
      </c>
      <c r="F76" t="s">
        <v>332</v>
      </c>
      <c r="G76" t="s">
        <v>333</v>
      </c>
      <c r="H76" t="s">
        <v>37</v>
      </c>
      <c r="I76" t="s">
        <v>117</v>
      </c>
      <c r="J76" t="s">
        <v>39</v>
      </c>
      <c r="K76" s="2">
        <v>46145</v>
      </c>
      <c r="L76" s="2">
        <v>46173</v>
      </c>
      <c r="N76" s="2">
        <v>46143</v>
      </c>
      <c r="O76" s="2">
        <v>46508</v>
      </c>
      <c r="P76">
        <v>12</v>
      </c>
      <c r="Q76" t="s">
        <v>104</v>
      </c>
      <c r="R76" t="s">
        <v>41</v>
      </c>
      <c r="S76" t="s">
        <v>140</v>
      </c>
      <c r="T76" t="s">
        <v>97</v>
      </c>
      <c r="U76" t="s">
        <v>44</v>
      </c>
      <c r="V76" t="s">
        <v>67</v>
      </c>
      <c r="W76" t="s">
        <v>142</v>
      </c>
      <c r="X76" t="s">
        <v>59</v>
      </c>
      <c r="Y76">
        <v>196997.86</v>
      </c>
      <c r="Z76">
        <v>68949.25</v>
      </c>
      <c r="AA76">
        <v>0.35</v>
      </c>
      <c r="AB76" t="s">
        <v>39</v>
      </c>
      <c r="AC76" t="s">
        <v>39</v>
      </c>
      <c r="AD76" t="s">
        <v>48</v>
      </c>
    </row>
    <row r="77" spans="1:30" x14ac:dyDescent="0.35">
      <c r="A77" s="1" t="s">
        <v>30</v>
      </c>
      <c r="B77" t="s">
        <v>521</v>
      </c>
      <c r="C77" t="s">
        <v>691</v>
      </c>
      <c r="D77" t="s">
        <v>702</v>
      </c>
      <c r="E77" t="s">
        <v>703</v>
      </c>
      <c r="F77" t="s">
        <v>704</v>
      </c>
      <c r="G77" t="s">
        <v>705</v>
      </c>
      <c r="H77" t="s">
        <v>37</v>
      </c>
      <c r="I77" t="s">
        <v>117</v>
      </c>
      <c r="J77" t="s">
        <v>39</v>
      </c>
      <c r="K77" s="2">
        <v>46148</v>
      </c>
      <c r="L77" s="2">
        <v>46173</v>
      </c>
      <c r="N77" s="2">
        <v>46143</v>
      </c>
      <c r="O77" s="2">
        <v>46508</v>
      </c>
      <c r="P77">
        <v>12</v>
      </c>
      <c r="Q77" t="s">
        <v>104</v>
      </c>
      <c r="R77" t="s">
        <v>88</v>
      </c>
      <c r="S77" t="s">
        <v>130</v>
      </c>
      <c r="T77" t="s">
        <v>131</v>
      </c>
      <c r="U77" t="s">
        <v>106</v>
      </c>
      <c r="V77" t="s">
        <v>98</v>
      </c>
      <c r="W77" t="s">
        <v>90</v>
      </c>
      <c r="X77" t="s">
        <v>59</v>
      </c>
      <c r="Y77">
        <v>137916.81</v>
      </c>
      <c r="Z77">
        <v>48270.879999999997</v>
      </c>
      <c r="AA77">
        <v>0.35</v>
      </c>
      <c r="AB77" t="s">
        <v>39</v>
      </c>
      <c r="AC77" t="s">
        <v>39</v>
      </c>
      <c r="AD77" t="s">
        <v>48</v>
      </c>
    </row>
    <row r="78" spans="1:30" x14ac:dyDescent="0.35">
      <c r="A78" s="1" t="s">
        <v>30</v>
      </c>
      <c r="B78" t="s">
        <v>521</v>
      </c>
      <c r="C78" t="s">
        <v>691</v>
      </c>
      <c r="D78" t="s">
        <v>706</v>
      </c>
      <c r="E78" t="s">
        <v>707</v>
      </c>
      <c r="F78" t="s">
        <v>708</v>
      </c>
      <c r="G78" t="s">
        <v>709</v>
      </c>
      <c r="H78" t="s">
        <v>37</v>
      </c>
      <c r="I78" t="s">
        <v>117</v>
      </c>
      <c r="J78" t="s">
        <v>39</v>
      </c>
      <c r="K78" s="2">
        <v>46144</v>
      </c>
      <c r="L78" s="2">
        <v>46173</v>
      </c>
      <c r="N78" s="2">
        <v>46143</v>
      </c>
      <c r="O78" s="2">
        <v>46874</v>
      </c>
      <c r="P78">
        <v>24</v>
      </c>
      <c r="Q78" t="s">
        <v>65</v>
      </c>
      <c r="R78" t="s">
        <v>88</v>
      </c>
      <c r="S78" t="s">
        <v>141</v>
      </c>
      <c r="T78" t="s">
        <v>131</v>
      </c>
      <c r="U78" t="s">
        <v>56</v>
      </c>
      <c r="V78" t="s">
        <v>74</v>
      </c>
      <c r="W78" t="s">
        <v>90</v>
      </c>
      <c r="X78" t="s">
        <v>143</v>
      </c>
      <c r="Y78">
        <v>200188.33</v>
      </c>
      <c r="Z78">
        <v>70065.91</v>
      </c>
      <c r="AA78">
        <v>0.35</v>
      </c>
      <c r="AB78" t="s">
        <v>39</v>
      </c>
      <c r="AC78" t="s">
        <v>39</v>
      </c>
      <c r="AD78" t="s">
        <v>48</v>
      </c>
    </row>
    <row r="79" spans="1:30" x14ac:dyDescent="0.35">
      <c r="A79" s="1" t="s">
        <v>30</v>
      </c>
      <c r="B79" t="s">
        <v>521</v>
      </c>
      <c r="C79" t="s">
        <v>691</v>
      </c>
      <c r="D79" t="s">
        <v>710</v>
      </c>
      <c r="E79" t="s">
        <v>711</v>
      </c>
      <c r="F79" t="s">
        <v>712</v>
      </c>
      <c r="G79" t="s">
        <v>713</v>
      </c>
      <c r="H79" t="s">
        <v>37</v>
      </c>
      <c r="I79" t="s">
        <v>103</v>
      </c>
      <c r="J79" t="s">
        <v>39</v>
      </c>
      <c r="K79" s="2">
        <v>46157</v>
      </c>
      <c r="L79" s="2">
        <v>46173</v>
      </c>
      <c r="N79" s="2">
        <v>46143</v>
      </c>
      <c r="O79" s="2">
        <v>46508</v>
      </c>
      <c r="P79">
        <v>12</v>
      </c>
      <c r="Q79" t="s">
        <v>65</v>
      </c>
      <c r="R79" t="s">
        <v>41</v>
      </c>
      <c r="S79" t="s">
        <v>139</v>
      </c>
      <c r="T79" t="s">
        <v>43</v>
      </c>
      <c r="U79" t="s">
        <v>106</v>
      </c>
      <c r="V79" t="s">
        <v>45</v>
      </c>
      <c r="W79" t="s">
        <v>58</v>
      </c>
      <c r="X79" t="s">
        <v>59</v>
      </c>
      <c r="Y79">
        <v>112798.38</v>
      </c>
      <c r="Z79">
        <v>39479.43</v>
      </c>
      <c r="AA79">
        <v>0.35</v>
      </c>
      <c r="AB79" t="s">
        <v>39</v>
      </c>
      <c r="AC79" t="s">
        <v>39</v>
      </c>
      <c r="AD79" t="s">
        <v>48</v>
      </c>
    </row>
    <row r="80" spans="1:30" x14ac:dyDescent="0.35">
      <c r="A80" s="1" t="s">
        <v>30</v>
      </c>
      <c r="B80" t="s">
        <v>521</v>
      </c>
      <c r="C80" t="s">
        <v>691</v>
      </c>
      <c r="D80" t="s">
        <v>714</v>
      </c>
      <c r="E80" t="s">
        <v>715</v>
      </c>
      <c r="F80" t="s">
        <v>716</v>
      </c>
      <c r="G80" t="s">
        <v>717</v>
      </c>
      <c r="H80" t="s">
        <v>37</v>
      </c>
      <c r="I80" t="s">
        <v>64</v>
      </c>
      <c r="J80" t="s">
        <v>39</v>
      </c>
      <c r="K80" s="2">
        <v>46150</v>
      </c>
      <c r="L80" s="2">
        <v>46173</v>
      </c>
      <c r="N80" s="2">
        <v>46143</v>
      </c>
      <c r="O80" s="2">
        <v>47239</v>
      </c>
      <c r="P80">
        <v>36</v>
      </c>
      <c r="Q80" t="s">
        <v>104</v>
      </c>
      <c r="R80" t="s">
        <v>53</v>
      </c>
      <c r="S80" t="s">
        <v>149</v>
      </c>
      <c r="T80" t="s">
        <v>131</v>
      </c>
      <c r="U80" t="s">
        <v>44</v>
      </c>
      <c r="V80" t="s">
        <v>119</v>
      </c>
      <c r="W80" t="s">
        <v>120</v>
      </c>
      <c r="X80" t="s">
        <v>59</v>
      </c>
      <c r="Y80">
        <v>174361.7</v>
      </c>
      <c r="Z80">
        <v>87180.85</v>
      </c>
      <c r="AA80">
        <v>0.5</v>
      </c>
      <c r="AB80" t="s">
        <v>39</v>
      </c>
      <c r="AC80" t="s">
        <v>39</v>
      </c>
      <c r="AD80" t="s">
        <v>48</v>
      </c>
    </row>
    <row r="81" spans="1:30" x14ac:dyDescent="0.35">
      <c r="A81" s="1" t="s">
        <v>30</v>
      </c>
      <c r="B81" t="s">
        <v>521</v>
      </c>
      <c r="C81" t="s">
        <v>691</v>
      </c>
      <c r="D81" t="s">
        <v>718</v>
      </c>
      <c r="E81" t="s">
        <v>719</v>
      </c>
      <c r="F81" t="s">
        <v>720</v>
      </c>
      <c r="G81" t="s">
        <v>721</v>
      </c>
      <c r="H81" t="s">
        <v>37</v>
      </c>
      <c r="I81" t="s">
        <v>111</v>
      </c>
      <c r="J81" t="s">
        <v>39</v>
      </c>
      <c r="K81" s="2">
        <v>46153</v>
      </c>
      <c r="L81" s="2">
        <v>46173</v>
      </c>
      <c r="N81" s="2">
        <v>46143</v>
      </c>
      <c r="O81" s="2">
        <v>46508</v>
      </c>
      <c r="P81">
        <v>12</v>
      </c>
      <c r="Q81" t="s">
        <v>40</v>
      </c>
      <c r="R81" t="s">
        <v>53</v>
      </c>
      <c r="S81" t="s">
        <v>130</v>
      </c>
      <c r="T81" t="s">
        <v>131</v>
      </c>
      <c r="U81" t="s">
        <v>44</v>
      </c>
      <c r="V81" t="s">
        <v>98</v>
      </c>
      <c r="W81" t="s">
        <v>161</v>
      </c>
      <c r="X81" t="s">
        <v>125</v>
      </c>
      <c r="Y81">
        <v>210905.84</v>
      </c>
      <c r="Z81">
        <v>105452.92</v>
      </c>
      <c r="AA81">
        <v>0.5</v>
      </c>
      <c r="AB81" t="s">
        <v>39</v>
      </c>
      <c r="AC81" t="s">
        <v>39</v>
      </c>
      <c r="AD81" t="s">
        <v>48</v>
      </c>
    </row>
    <row r="82" spans="1:30" x14ac:dyDescent="0.35">
      <c r="A82" s="1" t="s">
        <v>30</v>
      </c>
      <c r="B82" t="s">
        <v>521</v>
      </c>
      <c r="C82" t="s">
        <v>691</v>
      </c>
      <c r="D82" t="s">
        <v>722</v>
      </c>
      <c r="E82" t="s">
        <v>723</v>
      </c>
      <c r="F82" t="s">
        <v>395</v>
      </c>
      <c r="G82" t="s">
        <v>396</v>
      </c>
      <c r="H82" t="s">
        <v>37</v>
      </c>
      <c r="I82" t="s">
        <v>103</v>
      </c>
      <c r="J82" t="s">
        <v>39</v>
      </c>
      <c r="K82" s="2">
        <v>46145</v>
      </c>
      <c r="L82" s="2">
        <v>46173</v>
      </c>
      <c r="N82" s="2">
        <v>46143</v>
      </c>
      <c r="O82" s="2">
        <v>46874</v>
      </c>
      <c r="P82">
        <v>24</v>
      </c>
      <c r="Q82" t="s">
        <v>65</v>
      </c>
      <c r="R82" t="s">
        <v>41</v>
      </c>
      <c r="S82" t="s">
        <v>80</v>
      </c>
      <c r="T82" t="s">
        <v>43</v>
      </c>
      <c r="U82" t="s">
        <v>44</v>
      </c>
      <c r="V82" t="s">
        <v>138</v>
      </c>
      <c r="W82" t="s">
        <v>58</v>
      </c>
      <c r="X82" t="s">
        <v>59</v>
      </c>
      <c r="Y82">
        <v>117695.19</v>
      </c>
      <c r="Z82">
        <v>41193.32</v>
      </c>
      <c r="AA82">
        <v>0.35</v>
      </c>
      <c r="AB82" t="s">
        <v>39</v>
      </c>
      <c r="AC82" t="s">
        <v>39</v>
      </c>
      <c r="AD82" t="s">
        <v>48</v>
      </c>
    </row>
    <row r="83" spans="1:30" x14ac:dyDescent="0.35">
      <c r="A83" s="1" t="s">
        <v>30</v>
      </c>
      <c r="B83" t="s">
        <v>521</v>
      </c>
      <c r="C83" t="s">
        <v>691</v>
      </c>
      <c r="D83" t="s">
        <v>724</v>
      </c>
      <c r="E83" t="s">
        <v>725</v>
      </c>
      <c r="F83" t="s">
        <v>726</v>
      </c>
      <c r="G83" t="s">
        <v>727</v>
      </c>
      <c r="H83" t="s">
        <v>37</v>
      </c>
      <c r="I83" t="s">
        <v>111</v>
      </c>
      <c r="J83" t="s">
        <v>39</v>
      </c>
      <c r="K83" s="2">
        <v>46149</v>
      </c>
      <c r="L83" s="2">
        <v>46173</v>
      </c>
      <c r="N83" s="2">
        <v>46143</v>
      </c>
      <c r="O83" s="2">
        <v>46508</v>
      </c>
      <c r="P83">
        <v>12</v>
      </c>
      <c r="Q83" t="s">
        <v>65</v>
      </c>
      <c r="R83" t="s">
        <v>88</v>
      </c>
      <c r="S83" t="s">
        <v>163</v>
      </c>
      <c r="T83" t="s">
        <v>131</v>
      </c>
      <c r="U83" t="s">
        <v>56</v>
      </c>
      <c r="V83" t="s">
        <v>67</v>
      </c>
      <c r="W83" t="s">
        <v>82</v>
      </c>
      <c r="X83" t="s">
        <v>91</v>
      </c>
      <c r="Y83">
        <v>113691.6</v>
      </c>
      <c r="Z83">
        <v>90953.279999999999</v>
      </c>
      <c r="AA83">
        <v>0.8</v>
      </c>
      <c r="AB83" t="s">
        <v>39</v>
      </c>
      <c r="AC83" t="s">
        <v>39</v>
      </c>
      <c r="AD83" t="s">
        <v>48</v>
      </c>
    </row>
    <row r="84" spans="1:30" x14ac:dyDescent="0.35">
      <c r="A84" s="1" t="s">
        <v>30</v>
      </c>
      <c r="B84" t="s">
        <v>521</v>
      </c>
      <c r="C84" t="s">
        <v>691</v>
      </c>
      <c r="D84" t="s">
        <v>728</v>
      </c>
      <c r="E84" t="s">
        <v>729</v>
      </c>
      <c r="F84" t="s">
        <v>730</v>
      </c>
      <c r="G84" t="s">
        <v>731</v>
      </c>
      <c r="H84" t="s">
        <v>37</v>
      </c>
      <c r="I84" t="s">
        <v>38</v>
      </c>
      <c r="J84" t="s">
        <v>39</v>
      </c>
      <c r="K84" s="2">
        <v>46148</v>
      </c>
      <c r="L84" s="2">
        <v>46173</v>
      </c>
      <c r="N84" s="2">
        <v>46143</v>
      </c>
      <c r="O84" s="2">
        <v>46508</v>
      </c>
      <c r="P84">
        <v>12</v>
      </c>
      <c r="Q84" t="s">
        <v>104</v>
      </c>
      <c r="R84" t="s">
        <v>41</v>
      </c>
      <c r="S84" t="s">
        <v>163</v>
      </c>
      <c r="T84" t="s">
        <v>131</v>
      </c>
      <c r="U84" t="s">
        <v>44</v>
      </c>
      <c r="V84" t="s">
        <v>81</v>
      </c>
      <c r="W84" t="s">
        <v>75</v>
      </c>
      <c r="X84" t="s">
        <v>68</v>
      </c>
      <c r="Y84">
        <v>168224.76</v>
      </c>
      <c r="Z84">
        <v>134579.81</v>
      </c>
      <c r="AA84">
        <v>0.8</v>
      </c>
      <c r="AB84" t="s">
        <v>39</v>
      </c>
      <c r="AC84" t="s">
        <v>39</v>
      </c>
      <c r="AD84" t="s">
        <v>48</v>
      </c>
    </row>
    <row r="85" spans="1:30" x14ac:dyDescent="0.35">
      <c r="A85" s="1" t="s">
        <v>30</v>
      </c>
      <c r="B85" t="s">
        <v>521</v>
      </c>
      <c r="C85" t="s">
        <v>691</v>
      </c>
      <c r="D85" t="s">
        <v>1393</v>
      </c>
      <c r="E85" t="s">
        <v>1394</v>
      </c>
      <c r="F85" t="s">
        <v>1065</v>
      </c>
      <c r="G85" t="s">
        <v>1066</v>
      </c>
      <c r="H85" t="s">
        <v>1271</v>
      </c>
      <c r="I85" t="s">
        <v>103</v>
      </c>
      <c r="J85" t="s">
        <v>39</v>
      </c>
      <c r="K85" s="2">
        <v>46157</v>
      </c>
      <c r="L85" s="2">
        <v>46173</v>
      </c>
      <c r="N85" s="2">
        <v>46143</v>
      </c>
      <c r="O85" s="2">
        <v>46874</v>
      </c>
      <c r="P85">
        <v>24</v>
      </c>
      <c r="Q85" t="s">
        <v>40</v>
      </c>
      <c r="R85" t="s">
        <v>53</v>
      </c>
      <c r="S85" t="s">
        <v>135</v>
      </c>
      <c r="T85" t="s">
        <v>131</v>
      </c>
      <c r="U85" t="s">
        <v>44</v>
      </c>
      <c r="V85" t="s">
        <v>45</v>
      </c>
      <c r="W85" t="s">
        <v>90</v>
      </c>
      <c r="X85" t="s">
        <v>125</v>
      </c>
      <c r="Y85">
        <v>129333.55</v>
      </c>
      <c r="Z85">
        <v>45266.74</v>
      </c>
      <c r="AA85">
        <v>0.35</v>
      </c>
      <c r="AB85" t="s">
        <v>39</v>
      </c>
      <c r="AC85" t="s">
        <v>39</v>
      </c>
      <c r="AD85" t="s">
        <v>48</v>
      </c>
    </row>
    <row r="86" spans="1:30" x14ac:dyDescent="0.35">
      <c r="A86" s="1" t="s">
        <v>30</v>
      </c>
      <c r="B86" t="s">
        <v>521</v>
      </c>
      <c r="C86" t="s">
        <v>691</v>
      </c>
      <c r="D86" t="s">
        <v>1395</v>
      </c>
      <c r="E86" t="s">
        <v>1396</v>
      </c>
      <c r="F86" t="s">
        <v>1397</v>
      </c>
      <c r="G86" t="s">
        <v>1398</v>
      </c>
      <c r="H86" t="s">
        <v>1271</v>
      </c>
      <c r="I86" t="s">
        <v>64</v>
      </c>
      <c r="J86" t="s">
        <v>39</v>
      </c>
      <c r="K86" s="2">
        <v>46152</v>
      </c>
      <c r="L86" s="2">
        <v>46173</v>
      </c>
      <c r="N86" s="2">
        <v>46143</v>
      </c>
      <c r="O86" s="2">
        <v>46508</v>
      </c>
      <c r="P86">
        <v>12</v>
      </c>
      <c r="Q86" t="s">
        <v>65</v>
      </c>
      <c r="R86" t="s">
        <v>41</v>
      </c>
      <c r="S86" t="s">
        <v>118</v>
      </c>
      <c r="T86" t="s">
        <v>97</v>
      </c>
      <c r="U86" t="s">
        <v>44</v>
      </c>
      <c r="V86" t="s">
        <v>217</v>
      </c>
      <c r="W86" t="s">
        <v>136</v>
      </c>
      <c r="X86" t="s">
        <v>125</v>
      </c>
      <c r="Y86">
        <v>157379.74</v>
      </c>
      <c r="Z86">
        <v>102296.83</v>
      </c>
      <c r="AA86">
        <v>0.65</v>
      </c>
      <c r="AB86" t="s">
        <v>39</v>
      </c>
      <c r="AC86" t="s">
        <v>39</v>
      </c>
      <c r="AD86" t="s">
        <v>48</v>
      </c>
    </row>
    <row r="87" spans="1:30" x14ac:dyDescent="0.35">
      <c r="A87" s="1" t="s">
        <v>30</v>
      </c>
      <c r="B87" t="s">
        <v>521</v>
      </c>
      <c r="C87" t="s">
        <v>691</v>
      </c>
      <c r="D87" t="s">
        <v>1399</v>
      </c>
      <c r="E87" t="s">
        <v>1400</v>
      </c>
      <c r="F87" t="s">
        <v>1401</v>
      </c>
      <c r="G87" t="s">
        <v>1402</v>
      </c>
      <c r="H87" t="s">
        <v>1271</v>
      </c>
      <c r="I87" t="s">
        <v>103</v>
      </c>
      <c r="J87" t="s">
        <v>39</v>
      </c>
      <c r="K87" s="2">
        <v>46150</v>
      </c>
      <c r="L87" s="2">
        <v>46173</v>
      </c>
      <c r="N87" s="2">
        <v>46143</v>
      </c>
      <c r="O87" s="2">
        <v>46508</v>
      </c>
      <c r="P87">
        <v>12</v>
      </c>
      <c r="Q87" t="s">
        <v>104</v>
      </c>
      <c r="R87" t="s">
        <v>53</v>
      </c>
      <c r="S87" t="s">
        <v>66</v>
      </c>
      <c r="T87" t="s">
        <v>55</v>
      </c>
      <c r="U87" t="s">
        <v>44</v>
      </c>
      <c r="V87" t="s">
        <v>119</v>
      </c>
      <c r="W87" t="s">
        <v>46</v>
      </c>
      <c r="X87" t="s">
        <v>83</v>
      </c>
      <c r="Y87">
        <v>90553.44</v>
      </c>
      <c r="Z87">
        <v>72442.75</v>
      </c>
      <c r="AA87">
        <v>0.8</v>
      </c>
      <c r="AB87" t="s">
        <v>39</v>
      </c>
      <c r="AC87" t="s">
        <v>39</v>
      </c>
      <c r="AD87" t="s">
        <v>48</v>
      </c>
    </row>
    <row r="88" spans="1:30" x14ac:dyDescent="0.35">
      <c r="A88" s="1" t="s">
        <v>30</v>
      </c>
      <c r="B88" t="s">
        <v>521</v>
      </c>
      <c r="C88" t="s">
        <v>691</v>
      </c>
      <c r="D88" t="s">
        <v>1403</v>
      </c>
      <c r="E88" t="s">
        <v>1404</v>
      </c>
      <c r="F88" t="s">
        <v>1405</v>
      </c>
      <c r="G88" t="s">
        <v>1406</v>
      </c>
      <c r="H88" t="s">
        <v>1271</v>
      </c>
      <c r="I88" t="s">
        <v>117</v>
      </c>
      <c r="J88" t="s">
        <v>39</v>
      </c>
      <c r="K88" s="2">
        <v>46152</v>
      </c>
      <c r="L88" s="2">
        <v>46173</v>
      </c>
      <c r="N88" s="2">
        <v>46143</v>
      </c>
      <c r="O88" s="2">
        <v>46508</v>
      </c>
      <c r="P88">
        <v>12</v>
      </c>
      <c r="Q88" t="s">
        <v>65</v>
      </c>
      <c r="R88" t="s">
        <v>88</v>
      </c>
      <c r="S88" t="s">
        <v>89</v>
      </c>
      <c r="T88" t="s">
        <v>55</v>
      </c>
      <c r="U88" t="s">
        <v>56</v>
      </c>
      <c r="V88" t="s">
        <v>74</v>
      </c>
      <c r="W88" t="s">
        <v>58</v>
      </c>
      <c r="X88" t="s">
        <v>83</v>
      </c>
      <c r="Y88">
        <v>107855.4</v>
      </c>
      <c r="Z88">
        <v>53927.7</v>
      </c>
      <c r="AA88">
        <v>0.5</v>
      </c>
      <c r="AB88" t="s">
        <v>39</v>
      </c>
      <c r="AC88" t="s">
        <v>39</v>
      </c>
      <c r="AD88" t="s">
        <v>48</v>
      </c>
    </row>
    <row r="89" spans="1:30" x14ac:dyDescent="0.35">
      <c r="A89" s="1" t="s">
        <v>30</v>
      </c>
      <c r="B89" t="s">
        <v>521</v>
      </c>
      <c r="C89" t="s">
        <v>691</v>
      </c>
      <c r="D89" t="s">
        <v>1407</v>
      </c>
      <c r="E89" t="s">
        <v>1408</v>
      </c>
      <c r="F89" t="s">
        <v>1409</v>
      </c>
      <c r="G89" t="s">
        <v>1410</v>
      </c>
      <c r="H89" t="s">
        <v>1271</v>
      </c>
      <c r="I89" t="s">
        <v>38</v>
      </c>
      <c r="J89" t="s">
        <v>39</v>
      </c>
      <c r="K89" s="2">
        <v>46152</v>
      </c>
      <c r="L89" s="2">
        <v>46173</v>
      </c>
      <c r="N89" s="2">
        <v>46143</v>
      </c>
      <c r="O89" s="2">
        <v>46508</v>
      </c>
      <c r="P89">
        <v>12</v>
      </c>
      <c r="Q89" t="s">
        <v>40</v>
      </c>
      <c r="R89" t="s">
        <v>41</v>
      </c>
      <c r="S89" t="s">
        <v>105</v>
      </c>
      <c r="T89" t="s">
        <v>55</v>
      </c>
      <c r="U89" t="s">
        <v>56</v>
      </c>
      <c r="V89" t="s">
        <v>67</v>
      </c>
      <c r="W89" t="s">
        <v>161</v>
      </c>
      <c r="X89" t="s">
        <v>47</v>
      </c>
      <c r="Y89">
        <v>170109.15</v>
      </c>
      <c r="Z89">
        <v>59538.2</v>
      </c>
      <c r="AA89">
        <v>0.35</v>
      </c>
      <c r="AB89" t="s">
        <v>39</v>
      </c>
      <c r="AC89" t="s">
        <v>39</v>
      </c>
      <c r="AD89" t="s">
        <v>48</v>
      </c>
    </row>
    <row r="90" spans="1:30" x14ac:dyDescent="0.35">
      <c r="A90" s="1" t="s">
        <v>30</v>
      </c>
      <c r="B90" t="s">
        <v>521</v>
      </c>
      <c r="C90" t="s">
        <v>691</v>
      </c>
      <c r="D90" t="s">
        <v>1411</v>
      </c>
      <c r="E90" t="s">
        <v>1412</v>
      </c>
      <c r="F90" t="s">
        <v>1413</v>
      </c>
      <c r="G90" t="s">
        <v>1414</v>
      </c>
      <c r="H90" t="s">
        <v>1271</v>
      </c>
      <c r="I90" t="s">
        <v>103</v>
      </c>
      <c r="J90" t="s">
        <v>39</v>
      </c>
      <c r="K90" s="2">
        <v>46147</v>
      </c>
      <c r="L90" s="2">
        <v>46173</v>
      </c>
      <c r="N90" s="2">
        <v>46143</v>
      </c>
      <c r="O90" s="2">
        <v>46508</v>
      </c>
      <c r="P90">
        <v>12</v>
      </c>
      <c r="Q90" t="s">
        <v>40</v>
      </c>
      <c r="R90" t="s">
        <v>88</v>
      </c>
      <c r="S90" t="s">
        <v>139</v>
      </c>
      <c r="T90" t="s">
        <v>43</v>
      </c>
      <c r="U90" t="s">
        <v>56</v>
      </c>
      <c r="V90" t="s">
        <v>45</v>
      </c>
      <c r="W90" t="s">
        <v>46</v>
      </c>
      <c r="X90" t="s">
        <v>125</v>
      </c>
      <c r="Y90">
        <v>133560.92000000001</v>
      </c>
      <c r="Z90">
        <v>46746.32</v>
      </c>
      <c r="AA90">
        <v>0.35</v>
      </c>
      <c r="AB90" t="s">
        <v>39</v>
      </c>
      <c r="AC90" t="s">
        <v>39</v>
      </c>
      <c r="AD90" t="s">
        <v>48</v>
      </c>
    </row>
    <row r="91" spans="1:30" x14ac:dyDescent="0.35">
      <c r="A91" s="1" t="s">
        <v>30</v>
      </c>
      <c r="B91" t="s">
        <v>521</v>
      </c>
      <c r="C91" t="s">
        <v>691</v>
      </c>
      <c r="D91" t="s">
        <v>1415</v>
      </c>
      <c r="E91" t="s">
        <v>1416</v>
      </c>
      <c r="F91" t="s">
        <v>1417</v>
      </c>
      <c r="G91" t="s">
        <v>1418</v>
      </c>
      <c r="H91" t="s">
        <v>1271</v>
      </c>
      <c r="I91" t="s">
        <v>111</v>
      </c>
      <c r="J91" t="s">
        <v>39</v>
      </c>
      <c r="K91" s="2">
        <v>46155</v>
      </c>
      <c r="L91" s="2">
        <v>46173</v>
      </c>
      <c r="N91" s="2">
        <v>46143</v>
      </c>
      <c r="O91" s="2">
        <v>46508</v>
      </c>
      <c r="P91">
        <v>12</v>
      </c>
      <c r="Q91" t="s">
        <v>104</v>
      </c>
      <c r="R91" t="s">
        <v>41</v>
      </c>
      <c r="S91" t="s">
        <v>118</v>
      </c>
      <c r="T91" t="s">
        <v>97</v>
      </c>
      <c r="U91" t="s">
        <v>44</v>
      </c>
      <c r="V91" t="s">
        <v>81</v>
      </c>
      <c r="W91" t="s">
        <v>150</v>
      </c>
      <c r="X91" t="s">
        <v>158</v>
      </c>
      <c r="Y91">
        <v>93907.8</v>
      </c>
      <c r="Z91">
        <v>32867.730000000003</v>
      </c>
      <c r="AA91">
        <v>0.35</v>
      </c>
      <c r="AB91" t="s">
        <v>39</v>
      </c>
      <c r="AC91" t="s">
        <v>39</v>
      </c>
      <c r="AD91" t="s">
        <v>48</v>
      </c>
    </row>
    <row r="92" spans="1:30" x14ac:dyDescent="0.35">
      <c r="A92" s="1" t="s">
        <v>30</v>
      </c>
      <c r="B92" t="s">
        <v>521</v>
      </c>
      <c r="C92" t="s">
        <v>691</v>
      </c>
      <c r="D92" t="s">
        <v>1419</v>
      </c>
      <c r="E92" t="s">
        <v>1420</v>
      </c>
      <c r="F92" t="s">
        <v>225</v>
      </c>
      <c r="G92" t="s">
        <v>226</v>
      </c>
      <c r="H92" t="s">
        <v>1290</v>
      </c>
      <c r="I92" t="s">
        <v>103</v>
      </c>
      <c r="J92" t="s">
        <v>1290</v>
      </c>
      <c r="K92" s="2">
        <v>46143</v>
      </c>
      <c r="L92" s="2">
        <v>46173</v>
      </c>
      <c r="N92" s="2">
        <v>46143</v>
      </c>
      <c r="O92" s="2">
        <v>46874</v>
      </c>
      <c r="P92">
        <v>24</v>
      </c>
      <c r="Q92" t="s">
        <v>40</v>
      </c>
      <c r="R92" t="s">
        <v>88</v>
      </c>
      <c r="S92" t="s">
        <v>130</v>
      </c>
      <c r="T92" t="s">
        <v>131</v>
      </c>
      <c r="U92" t="s">
        <v>44</v>
      </c>
      <c r="V92" t="s">
        <v>144</v>
      </c>
      <c r="W92" t="s">
        <v>82</v>
      </c>
      <c r="X92" t="s">
        <v>47</v>
      </c>
      <c r="Y92">
        <v>244800</v>
      </c>
      <c r="Z92">
        <v>159120</v>
      </c>
      <c r="AA92">
        <v>0.65</v>
      </c>
      <c r="AB92" t="s">
        <v>1290</v>
      </c>
      <c r="AC92" t="s">
        <v>1290</v>
      </c>
      <c r="AD92" t="s">
        <v>48</v>
      </c>
    </row>
    <row r="93" spans="1:30" x14ac:dyDescent="0.35">
      <c r="A93" s="1" t="s">
        <v>30</v>
      </c>
      <c r="B93" t="s">
        <v>521</v>
      </c>
      <c r="C93" t="s">
        <v>691</v>
      </c>
      <c r="D93" t="s">
        <v>1421</v>
      </c>
      <c r="E93" t="s">
        <v>1422</v>
      </c>
      <c r="F93" t="s">
        <v>775</v>
      </c>
      <c r="G93" t="s">
        <v>776</v>
      </c>
      <c r="H93" t="s">
        <v>1295</v>
      </c>
      <c r="I93" t="s">
        <v>64</v>
      </c>
      <c r="J93" t="s">
        <v>1295</v>
      </c>
      <c r="K93" s="2">
        <v>46145</v>
      </c>
      <c r="L93" s="2">
        <v>46173</v>
      </c>
      <c r="N93" s="2">
        <v>46143</v>
      </c>
      <c r="O93" s="2">
        <v>46508</v>
      </c>
      <c r="P93">
        <v>12</v>
      </c>
      <c r="Q93" t="s">
        <v>65</v>
      </c>
      <c r="R93" t="s">
        <v>88</v>
      </c>
      <c r="S93" t="s">
        <v>73</v>
      </c>
      <c r="T93" t="s">
        <v>43</v>
      </c>
      <c r="U93" t="s">
        <v>106</v>
      </c>
      <c r="V93" t="s">
        <v>144</v>
      </c>
      <c r="W93" t="s">
        <v>136</v>
      </c>
      <c r="X93" t="s">
        <v>125</v>
      </c>
      <c r="Y93">
        <v>194561.91</v>
      </c>
      <c r="Z93">
        <v>126465.24</v>
      </c>
      <c r="AA93">
        <v>0.65</v>
      </c>
      <c r="AB93" t="s">
        <v>1295</v>
      </c>
      <c r="AC93" t="s">
        <v>1295</v>
      </c>
      <c r="AD93" t="s">
        <v>48</v>
      </c>
    </row>
    <row r="94" spans="1:30" x14ac:dyDescent="0.35">
      <c r="A94" s="1" t="s">
        <v>30</v>
      </c>
      <c r="B94" t="s">
        <v>521</v>
      </c>
      <c r="C94" t="s">
        <v>691</v>
      </c>
      <c r="D94" t="s">
        <v>1423</v>
      </c>
      <c r="E94" t="s">
        <v>1424</v>
      </c>
      <c r="F94" t="s">
        <v>1425</v>
      </c>
      <c r="G94" t="s">
        <v>1426</v>
      </c>
      <c r="H94" t="s">
        <v>1295</v>
      </c>
      <c r="I94" t="s">
        <v>111</v>
      </c>
      <c r="J94" t="s">
        <v>1295</v>
      </c>
      <c r="K94" s="2">
        <v>46146</v>
      </c>
      <c r="L94" s="2">
        <v>46173</v>
      </c>
      <c r="N94" s="2">
        <v>46143</v>
      </c>
      <c r="O94" s="2">
        <v>46508</v>
      </c>
      <c r="P94">
        <v>12</v>
      </c>
      <c r="Q94" t="s">
        <v>65</v>
      </c>
      <c r="R94" t="s">
        <v>53</v>
      </c>
      <c r="S94" t="s">
        <v>112</v>
      </c>
      <c r="T94" t="s">
        <v>55</v>
      </c>
      <c r="U94" t="s">
        <v>56</v>
      </c>
      <c r="V94" t="s">
        <v>119</v>
      </c>
      <c r="W94" t="s">
        <v>132</v>
      </c>
      <c r="X94" t="s">
        <v>68</v>
      </c>
      <c r="Y94">
        <v>310138.09000000003</v>
      </c>
      <c r="Z94">
        <v>201589.76000000001</v>
      </c>
      <c r="AA94">
        <v>0.65</v>
      </c>
      <c r="AB94" t="s">
        <v>1295</v>
      </c>
      <c r="AC94" t="s">
        <v>1295</v>
      </c>
      <c r="AD94" t="s">
        <v>48</v>
      </c>
    </row>
    <row r="95" spans="1:30" x14ac:dyDescent="0.35">
      <c r="A95" s="1" t="s">
        <v>30</v>
      </c>
      <c r="B95" t="s">
        <v>521</v>
      </c>
      <c r="C95" t="s">
        <v>691</v>
      </c>
      <c r="D95" t="s">
        <v>1427</v>
      </c>
      <c r="E95" t="s">
        <v>1428</v>
      </c>
      <c r="F95" t="s">
        <v>1429</v>
      </c>
      <c r="G95" t="s">
        <v>1430</v>
      </c>
      <c r="H95" t="s">
        <v>1302</v>
      </c>
      <c r="I95" t="s">
        <v>111</v>
      </c>
      <c r="J95" t="s">
        <v>39</v>
      </c>
      <c r="K95" s="2">
        <v>46144</v>
      </c>
      <c r="L95" s="2">
        <v>46173</v>
      </c>
      <c r="N95" s="2">
        <v>46143</v>
      </c>
      <c r="O95" s="2">
        <v>46874</v>
      </c>
      <c r="P95">
        <v>24</v>
      </c>
      <c r="Q95" t="s">
        <v>40</v>
      </c>
      <c r="R95" t="s">
        <v>41</v>
      </c>
      <c r="S95" t="s">
        <v>139</v>
      </c>
      <c r="T95" t="s">
        <v>43</v>
      </c>
      <c r="U95" t="s">
        <v>56</v>
      </c>
      <c r="V95" t="s">
        <v>81</v>
      </c>
      <c r="W95" t="s">
        <v>150</v>
      </c>
      <c r="X95" t="s">
        <v>143</v>
      </c>
      <c r="Y95">
        <v>80000</v>
      </c>
      <c r="Z95">
        <v>52000</v>
      </c>
      <c r="AA95">
        <v>0.65</v>
      </c>
      <c r="AB95" t="s">
        <v>39</v>
      </c>
      <c r="AC95" t="s">
        <v>39</v>
      </c>
      <c r="AD95" t="s">
        <v>48</v>
      </c>
    </row>
    <row r="96" spans="1:30" x14ac:dyDescent="0.35">
      <c r="A96" s="1" t="s">
        <v>30</v>
      </c>
      <c r="B96" t="s">
        <v>521</v>
      </c>
      <c r="C96" t="s">
        <v>32</v>
      </c>
      <c r="D96" t="s">
        <v>736</v>
      </c>
      <c r="E96" t="s">
        <v>737</v>
      </c>
      <c r="F96" t="s">
        <v>738</v>
      </c>
      <c r="G96" t="s">
        <v>739</v>
      </c>
      <c r="H96" t="s">
        <v>37</v>
      </c>
      <c r="I96" t="s">
        <v>38</v>
      </c>
      <c r="J96" t="s">
        <v>39</v>
      </c>
      <c r="K96" s="2">
        <v>46183</v>
      </c>
      <c r="L96" s="2">
        <v>46203</v>
      </c>
      <c r="N96" s="2">
        <v>46174</v>
      </c>
      <c r="O96" s="2">
        <v>46905</v>
      </c>
      <c r="P96">
        <v>24</v>
      </c>
      <c r="Q96" t="s">
        <v>104</v>
      </c>
      <c r="R96" t="s">
        <v>53</v>
      </c>
      <c r="S96" t="s">
        <v>164</v>
      </c>
      <c r="T96" t="s">
        <v>55</v>
      </c>
      <c r="U96" t="s">
        <v>106</v>
      </c>
      <c r="V96" t="s">
        <v>98</v>
      </c>
      <c r="W96" t="s">
        <v>58</v>
      </c>
      <c r="X96" t="s">
        <v>143</v>
      </c>
      <c r="Y96">
        <v>165032.20000000001</v>
      </c>
      <c r="Z96">
        <v>132025.76</v>
      </c>
      <c r="AA96">
        <v>0.8</v>
      </c>
      <c r="AB96" t="s">
        <v>39</v>
      </c>
      <c r="AC96" t="s">
        <v>39</v>
      </c>
      <c r="AD96" t="s">
        <v>48</v>
      </c>
    </row>
    <row r="97" spans="1:30" x14ac:dyDescent="0.35">
      <c r="A97" s="1" t="s">
        <v>30</v>
      </c>
      <c r="B97" t="s">
        <v>521</v>
      </c>
      <c r="C97" t="s">
        <v>32</v>
      </c>
      <c r="D97" t="s">
        <v>740</v>
      </c>
      <c r="E97" t="s">
        <v>741</v>
      </c>
      <c r="F97" t="s">
        <v>742</v>
      </c>
      <c r="G97" t="s">
        <v>743</v>
      </c>
      <c r="H97" t="s">
        <v>37</v>
      </c>
      <c r="I97" t="s">
        <v>103</v>
      </c>
      <c r="J97" t="s">
        <v>39</v>
      </c>
      <c r="K97" s="2">
        <v>46187</v>
      </c>
      <c r="L97" s="2">
        <v>46203</v>
      </c>
      <c r="N97" s="2">
        <v>46174</v>
      </c>
      <c r="O97" s="2">
        <v>46539</v>
      </c>
      <c r="P97">
        <v>12</v>
      </c>
      <c r="Q97" t="s">
        <v>65</v>
      </c>
      <c r="R97" t="s">
        <v>88</v>
      </c>
      <c r="S97" t="s">
        <v>130</v>
      </c>
      <c r="T97" t="s">
        <v>131</v>
      </c>
      <c r="U97" t="s">
        <v>44</v>
      </c>
      <c r="V97" t="s">
        <v>98</v>
      </c>
      <c r="W97" t="s">
        <v>120</v>
      </c>
      <c r="X97" t="s">
        <v>125</v>
      </c>
      <c r="Y97">
        <v>118815.46</v>
      </c>
      <c r="Z97">
        <v>59407.73</v>
      </c>
      <c r="AA97">
        <v>0.5</v>
      </c>
      <c r="AB97" t="s">
        <v>39</v>
      </c>
      <c r="AC97" t="s">
        <v>39</v>
      </c>
      <c r="AD97" t="s">
        <v>48</v>
      </c>
    </row>
    <row r="98" spans="1:30" x14ac:dyDescent="0.35">
      <c r="A98" s="1" t="s">
        <v>30</v>
      </c>
      <c r="B98" t="s">
        <v>521</v>
      </c>
      <c r="C98" t="s">
        <v>32</v>
      </c>
      <c r="D98" t="s">
        <v>744</v>
      </c>
      <c r="E98" t="s">
        <v>745</v>
      </c>
      <c r="F98" t="s">
        <v>746</v>
      </c>
      <c r="G98" t="s">
        <v>747</v>
      </c>
      <c r="H98" t="s">
        <v>37</v>
      </c>
      <c r="I98" t="s">
        <v>117</v>
      </c>
      <c r="J98" t="s">
        <v>39</v>
      </c>
      <c r="K98" s="2">
        <v>46177</v>
      </c>
      <c r="L98" s="2">
        <v>46203</v>
      </c>
      <c r="N98" s="2">
        <v>46174</v>
      </c>
      <c r="O98" s="2">
        <v>46539</v>
      </c>
      <c r="P98">
        <v>12</v>
      </c>
      <c r="Q98" t="s">
        <v>104</v>
      </c>
      <c r="R98" t="s">
        <v>53</v>
      </c>
      <c r="S98" t="s">
        <v>162</v>
      </c>
      <c r="T98" t="s">
        <v>43</v>
      </c>
      <c r="U98" t="s">
        <v>106</v>
      </c>
      <c r="V98" t="s">
        <v>81</v>
      </c>
      <c r="W98" t="s">
        <v>82</v>
      </c>
      <c r="X98" t="s">
        <v>83</v>
      </c>
      <c r="Y98">
        <v>152972.41</v>
      </c>
      <c r="Z98">
        <v>53540.35</v>
      </c>
      <c r="AA98">
        <v>0.35</v>
      </c>
      <c r="AB98" t="s">
        <v>39</v>
      </c>
      <c r="AC98" t="s">
        <v>39</v>
      </c>
      <c r="AD98" t="s">
        <v>48</v>
      </c>
    </row>
    <row r="99" spans="1:30" x14ac:dyDescent="0.35">
      <c r="A99" s="1" t="s">
        <v>30</v>
      </c>
      <c r="B99" t="s">
        <v>521</v>
      </c>
      <c r="C99" t="s">
        <v>32</v>
      </c>
      <c r="D99" t="s">
        <v>748</v>
      </c>
      <c r="E99" t="s">
        <v>749</v>
      </c>
      <c r="F99" t="s">
        <v>292</v>
      </c>
      <c r="G99" t="s">
        <v>293</v>
      </c>
      <c r="H99" t="s">
        <v>37</v>
      </c>
      <c r="I99" t="s">
        <v>117</v>
      </c>
      <c r="J99" t="s">
        <v>39</v>
      </c>
      <c r="K99" s="2">
        <v>46184</v>
      </c>
      <c r="L99" s="2">
        <v>46203</v>
      </c>
      <c r="N99" s="2">
        <v>46174</v>
      </c>
      <c r="O99" s="2">
        <v>46539</v>
      </c>
      <c r="P99">
        <v>12</v>
      </c>
      <c r="Q99" t="s">
        <v>65</v>
      </c>
      <c r="R99" t="s">
        <v>88</v>
      </c>
      <c r="S99" t="s">
        <v>130</v>
      </c>
      <c r="T99" t="s">
        <v>131</v>
      </c>
      <c r="U99" t="s">
        <v>44</v>
      </c>
      <c r="V99" t="s">
        <v>74</v>
      </c>
      <c r="W99" t="s">
        <v>132</v>
      </c>
      <c r="X99" t="s">
        <v>83</v>
      </c>
      <c r="Y99">
        <v>170359.74</v>
      </c>
      <c r="Z99">
        <v>85179.87</v>
      </c>
      <c r="AA99">
        <v>0.5</v>
      </c>
      <c r="AB99" t="s">
        <v>39</v>
      </c>
      <c r="AC99" t="s">
        <v>39</v>
      </c>
      <c r="AD99" t="s">
        <v>48</v>
      </c>
    </row>
    <row r="100" spans="1:30" x14ac:dyDescent="0.35">
      <c r="A100" s="1" t="s">
        <v>30</v>
      </c>
      <c r="B100" t="s">
        <v>521</v>
      </c>
      <c r="C100" t="s">
        <v>32</v>
      </c>
      <c r="D100" t="s">
        <v>750</v>
      </c>
      <c r="E100" t="s">
        <v>751</v>
      </c>
      <c r="F100" t="s">
        <v>752</v>
      </c>
      <c r="G100" t="s">
        <v>753</v>
      </c>
      <c r="H100" t="s">
        <v>37</v>
      </c>
      <c r="I100" t="s">
        <v>38</v>
      </c>
      <c r="J100" t="s">
        <v>39</v>
      </c>
      <c r="K100" s="2">
        <v>46186</v>
      </c>
      <c r="L100" s="2">
        <v>46203</v>
      </c>
      <c r="N100" s="2">
        <v>46174</v>
      </c>
      <c r="O100" s="2">
        <v>46539</v>
      </c>
      <c r="P100">
        <v>12</v>
      </c>
      <c r="Q100" t="s">
        <v>40</v>
      </c>
      <c r="R100" t="s">
        <v>88</v>
      </c>
      <c r="S100" t="s">
        <v>149</v>
      </c>
      <c r="T100" t="s">
        <v>131</v>
      </c>
      <c r="U100" t="s">
        <v>106</v>
      </c>
      <c r="V100" t="s">
        <v>217</v>
      </c>
      <c r="W100" t="s">
        <v>82</v>
      </c>
      <c r="X100" t="s">
        <v>158</v>
      </c>
      <c r="Y100">
        <v>180197.29</v>
      </c>
      <c r="Z100">
        <v>144157.82999999999</v>
      </c>
      <c r="AA100">
        <v>0.8</v>
      </c>
      <c r="AB100" t="s">
        <v>39</v>
      </c>
      <c r="AC100" t="s">
        <v>39</v>
      </c>
      <c r="AD100" t="s">
        <v>48</v>
      </c>
    </row>
    <row r="101" spans="1:30" x14ac:dyDescent="0.35">
      <c r="A101" s="1" t="s">
        <v>30</v>
      </c>
      <c r="B101" t="s">
        <v>521</v>
      </c>
      <c r="C101" t="s">
        <v>32</v>
      </c>
      <c r="D101" t="s">
        <v>754</v>
      </c>
      <c r="E101" t="s">
        <v>755</v>
      </c>
      <c r="F101" t="s">
        <v>229</v>
      </c>
      <c r="G101" t="s">
        <v>230</v>
      </c>
      <c r="H101" t="s">
        <v>37</v>
      </c>
      <c r="I101" t="s">
        <v>111</v>
      </c>
      <c r="J101" t="s">
        <v>39</v>
      </c>
      <c r="K101" s="2">
        <v>46186</v>
      </c>
      <c r="L101" s="2">
        <v>46203</v>
      </c>
      <c r="N101" s="2">
        <v>46174</v>
      </c>
      <c r="O101" s="2">
        <v>46905</v>
      </c>
      <c r="P101">
        <v>24</v>
      </c>
      <c r="Q101" t="s">
        <v>40</v>
      </c>
      <c r="R101" t="s">
        <v>41</v>
      </c>
      <c r="S101" t="s">
        <v>130</v>
      </c>
      <c r="T101" t="s">
        <v>131</v>
      </c>
      <c r="U101" t="s">
        <v>56</v>
      </c>
      <c r="V101" t="s">
        <v>119</v>
      </c>
      <c r="W101" t="s">
        <v>90</v>
      </c>
      <c r="X101" t="s">
        <v>91</v>
      </c>
      <c r="Y101">
        <v>181631.23</v>
      </c>
      <c r="Z101">
        <v>118060.3</v>
      </c>
      <c r="AA101">
        <v>0.65</v>
      </c>
      <c r="AB101" t="s">
        <v>39</v>
      </c>
      <c r="AC101" t="s">
        <v>39</v>
      </c>
      <c r="AD101" t="s">
        <v>48</v>
      </c>
    </row>
    <row r="102" spans="1:30" x14ac:dyDescent="0.35">
      <c r="A102" s="1" t="s">
        <v>30</v>
      </c>
      <c r="B102" t="s">
        <v>521</v>
      </c>
      <c r="C102" t="s">
        <v>32</v>
      </c>
      <c r="D102" t="s">
        <v>756</v>
      </c>
      <c r="E102" t="s">
        <v>757</v>
      </c>
      <c r="F102" t="s">
        <v>758</v>
      </c>
      <c r="G102" t="s">
        <v>759</v>
      </c>
      <c r="H102" t="s">
        <v>37</v>
      </c>
      <c r="I102" t="s">
        <v>38</v>
      </c>
      <c r="J102" t="s">
        <v>39</v>
      </c>
      <c r="K102" s="2">
        <v>46177</v>
      </c>
      <c r="L102" s="2">
        <v>46203</v>
      </c>
      <c r="N102" s="2">
        <v>46174</v>
      </c>
      <c r="O102" s="2">
        <v>46905</v>
      </c>
      <c r="P102">
        <v>24</v>
      </c>
      <c r="Q102" t="s">
        <v>104</v>
      </c>
      <c r="R102" t="s">
        <v>41</v>
      </c>
      <c r="S102" t="s">
        <v>135</v>
      </c>
      <c r="T102" t="s">
        <v>131</v>
      </c>
      <c r="U102" t="s">
        <v>56</v>
      </c>
      <c r="V102" t="s">
        <v>57</v>
      </c>
      <c r="W102" t="s">
        <v>150</v>
      </c>
      <c r="X102" t="s">
        <v>91</v>
      </c>
      <c r="Y102">
        <v>189795.96</v>
      </c>
      <c r="Z102">
        <v>66428.59</v>
      </c>
      <c r="AA102">
        <v>0.35</v>
      </c>
      <c r="AB102" t="s">
        <v>39</v>
      </c>
      <c r="AC102" t="s">
        <v>39</v>
      </c>
      <c r="AD102" t="s">
        <v>48</v>
      </c>
    </row>
    <row r="103" spans="1:30" x14ac:dyDescent="0.35">
      <c r="A103" s="1" t="s">
        <v>30</v>
      </c>
      <c r="B103" t="s">
        <v>521</v>
      </c>
      <c r="C103" t="s">
        <v>32</v>
      </c>
      <c r="D103" t="s">
        <v>760</v>
      </c>
      <c r="E103" t="s">
        <v>761</v>
      </c>
      <c r="F103" t="s">
        <v>762</v>
      </c>
      <c r="G103" t="s">
        <v>763</v>
      </c>
      <c r="H103" t="s">
        <v>37</v>
      </c>
      <c r="I103" t="s">
        <v>117</v>
      </c>
      <c r="J103" t="s">
        <v>39</v>
      </c>
      <c r="K103" s="2">
        <v>46187</v>
      </c>
      <c r="L103" s="2">
        <v>46203</v>
      </c>
      <c r="N103" s="2">
        <v>46174</v>
      </c>
      <c r="O103" s="2">
        <v>46539</v>
      </c>
      <c r="P103">
        <v>12</v>
      </c>
      <c r="Q103" t="s">
        <v>104</v>
      </c>
      <c r="R103" t="s">
        <v>53</v>
      </c>
      <c r="S103" t="s">
        <v>89</v>
      </c>
      <c r="T103" t="s">
        <v>55</v>
      </c>
      <c r="U103" t="s">
        <v>56</v>
      </c>
      <c r="V103" t="s">
        <v>81</v>
      </c>
      <c r="W103" t="s">
        <v>82</v>
      </c>
      <c r="X103" t="s">
        <v>125</v>
      </c>
      <c r="Y103">
        <v>113204.66</v>
      </c>
      <c r="Z103">
        <v>56602.33</v>
      </c>
      <c r="AA103">
        <v>0.5</v>
      </c>
      <c r="AB103" t="s">
        <v>39</v>
      </c>
      <c r="AC103" t="s">
        <v>39</v>
      </c>
      <c r="AD103" t="s">
        <v>48</v>
      </c>
    </row>
    <row r="104" spans="1:30" x14ac:dyDescent="0.35">
      <c r="A104" s="1" t="s">
        <v>30</v>
      </c>
      <c r="B104" t="s">
        <v>521</v>
      </c>
      <c r="C104" t="s">
        <v>32</v>
      </c>
      <c r="D104" t="s">
        <v>764</v>
      </c>
      <c r="E104" t="s">
        <v>100</v>
      </c>
      <c r="F104" t="s">
        <v>101</v>
      </c>
      <c r="G104" t="s">
        <v>102</v>
      </c>
      <c r="H104" t="s">
        <v>37</v>
      </c>
      <c r="I104" t="s">
        <v>117</v>
      </c>
      <c r="J104" t="s">
        <v>39</v>
      </c>
      <c r="K104" s="2">
        <v>46181</v>
      </c>
      <c r="L104" s="2">
        <v>46203</v>
      </c>
      <c r="N104" s="2">
        <v>46174</v>
      </c>
      <c r="O104" s="2">
        <v>46905</v>
      </c>
      <c r="P104">
        <v>24</v>
      </c>
      <c r="Q104" t="s">
        <v>40</v>
      </c>
      <c r="R104" t="s">
        <v>53</v>
      </c>
      <c r="S104" t="s">
        <v>105</v>
      </c>
      <c r="T104" t="s">
        <v>55</v>
      </c>
      <c r="U104" t="s">
        <v>106</v>
      </c>
      <c r="V104" t="s">
        <v>81</v>
      </c>
      <c r="W104" t="s">
        <v>132</v>
      </c>
      <c r="X104" t="s">
        <v>68</v>
      </c>
      <c r="Y104">
        <v>181243.65</v>
      </c>
      <c r="Z104">
        <v>117808.37</v>
      </c>
      <c r="AA104">
        <v>0.65</v>
      </c>
      <c r="AB104" t="s">
        <v>39</v>
      </c>
      <c r="AC104" t="s">
        <v>39</v>
      </c>
      <c r="AD104" t="s">
        <v>48</v>
      </c>
    </row>
    <row r="105" spans="1:30" x14ac:dyDescent="0.35">
      <c r="A105" s="1" t="s">
        <v>30</v>
      </c>
      <c r="B105" t="s">
        <v>521</v>
      </c>
      <c r="C105" t="s">
        <v>32</v>
      </c>
      <c r="D105" t="s">
        <v>765</v>
      </c>
      <c r="E105" t="s">
        <v>766</v>
      </c>
      <c r="F105" t="s">
        <v>511</v>
      </c>
      <c r="G105" t="s">
        <v>512</v>
      </c>
      <c r="H105" t="s">
        <v>37</v>
      </c>
      <c r="I105" t="s">
        <v>111</v>
      </c>
      <c r="J105" t="s">
        <v>39</v>
      </c>
      <c r="K105" s="2">
        <v>46182</v>
      </c>
      <c r="L105" s="2">
        <v>46203</v>
      </c>
      <c r="N105" s="2">
        <v>46174</v>
      </c>
      <c r="O105" s="2">
        <v>46539</v>
      </c>
      <c r="P105">
        <v>12</v>
      </c>
      <c r="Q105" t="s">
        <v>65</v>
      </c>
      <c r="R105" t="s">
        <v>88</v>
      </c>
      <c r="S105" t="s">
        <v>80</v>
      </c>
      <c r="T105" t="s">
        <v>43</v>
      </c>
      <c r="U105" t="s">
        <v>44</v>
      </c>
      <c r="V105" t="s">
        <v>74</v>
      </c>
      <c r="W105" t="s">
        <v>161</v>
      </c>
      <c r="X105" t="s">
        <v>68</v>
      </c>
      <c r="Y105">
        <v>146245.57999999999</v>
      </c>
      <c r="Z105">
        <v>73122.789999999994</v>
      </c>
      <c r="AA105">
        <v>0.5</v>
      </c>
      <c r="AB105" t="s">
        <v>39</v>
      </c>
      <c r="AC105" t="s">
        <v>39</v>
      </c>
      <c r="AD105" t="s">
        <v>48</v>
      </c>
    </row>
    <row r="106" spans="1:30" x14ac:dyDescent="0.35">
      <c r="A106" s="1" t="s">
        <v>30</v>
      </c>
      <c r="B106" t="s">
        <v>521</v>
      </c>
      <c r="C106" t="s">
        <v>32</v>
      </c>
      <c r="D106" t="s">
        <v>767</v>
      </c>
      <c r="E106" t="s">
        <v>768</v>
      </c>
      <c r="F106" t="s">
        <v>769</v>
      </c>
      <c r="G106" t="s">
        <v>770</v>
      </c>
      <c r="H106" t="s">
        <v>37</v>
      </c>
      <c r="I106" t="s">
        <v>64</v>
      </c>
      <c r="J106" t="s">
        <v>39</v>
      </c>
      <c r="K106" s="2">
        <v>46188</v>
      </c>
      <c r="L106" s="2">
        <v>46203</v>
      </c>
      <c r="N106" s="2">
        <v>46174</v>
      </c>
      <c r="O106" s="2">
        <v>46905</v>
      </c>
      <c r="P106">
        <v>24</v>
      </c>
      <c r="Q106" t="s">
        <v>40</v>
      </c>
      <c r="R106" t="s">
        <v>88</v>
      </c>
      <c r="S106" t="s">
        <v>112</v>
      </c>
      <c r="T106" t="s">
        <v>55</v>
      </c>
      <c r="U106" t="s">
        <v>56</v>
      </c>
      <c r="V106" t="s">
        <v>119</v>
      </c>
      <c r="W106" t="s">
        <v>150</v>
      </c>
      <c r="X106" t="s">
        <v>83</v>
      </c>
      <c r="Y106">
        <v>169579.25</v>
      </c>
      <c r="Z106">
        <v>110226.51</v>
      </c>
      <c r="AA106">
        <v>0.65</v>
      </c>
      <c r="AB106" t="s">
        <v>39</v>
      </c>
      <c r="AC106" t="s">
        <v>39</v>
      </c>
      <c r="AD106" t="s">
        <v>48</v>
      </c>
    </row>
    <row r="107" spans="1:30" x14ac:dyDescent="0.35">
      <c r="A107" s="1" t="s">
        <v>30</v>
      </c>
      <c r="B107" t="s">
        <v>521</v>
      </c>
      <c r="C107" t="s">
        <v>32</v>
      </c>
      <c r="D107" t="s">
        <v>1431</v>
      </c>
      <c r="E107" t="s">
        <v>1432</v>
      </c>
      <c r="F107" t="s">
        <v>977</v>
      </c>
      <c r="G107" t="s">
        <v>978</v>
      </c>
      <c r="H107" t="s">
        <v>1271</v>
      </c>
      <c r="I107" t="s">
        <v>103</v>
      </c>
      <c r="J107" t="s">
        <v>39</v>
      </c>
      <c r="K107" s="2">
        <v>46181</v>
      </c>
      <c r="L107" s="2">
        <v>46203</v>
      </c>
      <c r="N107" s="2">
        <v>46174</v>
      </c>
      <c r="O107" s="2">
        <v>46539</v>
      </c>
      <c r="P107">
        <v>12</v>
      </c>
      <c r="Q107" t="s">
        <v>65</v>
      </c>
      <c r="R107" t="s">
        <v>53</v>
      </c>
      <c r="S107" t="s">
        <v>140</v>
      </c>
      <c r="T107" t="s">
        <v>97</v>
      </c>
      <c r="U107" t="s">
        <v>44</v>
      </c>
      <c r="V107" t="s">
        <v>74</v>
      </c>
      <c r="W107" t="s">
        <v>136</v>
      </c>
      <c r="X107" t="s">
        <v>125</v>
      </c>
      <c r="Y107">
        <v>155067.89000000001</v>
      </c>
      <c r="Z107">
        <v>77533.94</v>
      </c>
      <c r="AA107">
        <v>0.5</v>
      </c>
      <c r="AB107" t="s">
        <v>39</v>
      </c>
      <c r="AC107" t="s">
        <v>39</v>
      </c>
      <c r="AD107" t="s">
        <v>48</v>
      </c>
    </row>
    <row r="108" spans="1:30" x14ac:dyDescent="0.35">
      <c r="A108" s="1" t="s">
        <v>30</v>
      </c>
      <c r="B108" t="s">
        <v>521</v>
      </c>
      <c r="C108" t="s">
        <v>32</v>
      </c>
      <c r="D108" t="s">
        <v>1433</v>
      </c>
      <c r="E108" t="s">
        <v>1434</v>
      </c>
      <c r="F108" t="s">
        <v>1435</v>
      </c>
      <c r="G108" t="s">
        <v>1436</v>
      </c>
      <c r="H108" t="s">
        <v>1271</v>
      </c>
      <c r="I108" t="s">
        <v>111</v>
      </c>
      <c r="J108" t="s">
        <v>39</v>
      </c>
      <c r="K108" s="2">
        <v>46186</v>
      </c>
      <c r="L108" s="2">
        <v>46203</v>
      </c>
      <c r="N108" s="2">
        <v>46174</v>
      </c>
      <c r="O108" s="2">
        <v>46539</v>
      </c>
      <c r="P108">
        <v>12</v>
      </c>
      <c r="Q108" t="s">
        <v>40</v>
      </c>
      <c r="R108" t="s">
        <v>88</v>
      </c>
      <c r="S108" t="s">
        <v>164</v>
      </c>
      <c r="T108" t="s">
        <v>55</v>
      </c>
      <c r="U108" t="s">
        <v>56</v>
      </c>
      <c r="V108" t="s">
        <v>67</v>
      </c>
      <c r="W108" t="s">
        <v>90</v>
      </c>
      <c r="X108" t="s">
        <v>91</v>
      </c>
      <c r="Y108">
        <v>142071.75</v>
      </c>
      <c r="Z108">
        <v>92346.63</v>
      </c>
      <c r="AA108">
        <v>0.65</v>
      </c>
      <c r="AB108" t="s">
        <v>39</v>
      </c>
      <c r="AC108" t="s">
        <v>39</v>
      </c>
      <c r="AD108" t="s">
        <v>48</v>
      </c>
    </row>
    <row r="109" spans="1:30" x14ac:dyDescent="0.35">
      <c r="A109" s="1" t="s">
        <v>30</v>
      </c>
      <c r="B109" t="s">
        <v>521</v>
      </c>
      <c r="C109" t="s">
        <v>32</v>
      </c>
      <c r="D109" t="s">
        <v>1437</v>
      </c>
      <c r="E109" t="s">
        <v>1438</v>
      </c>
      <c r="F109" t="s">
        <v>1439</v>
      </c>
      <c r="G109" t="s">
        <v>1440</v>
      </c>
      <c r="H109" t="s">
        <v>1271</v>
      </c>
      <c r="I109" t="s">
        <v>64</v>
      </c>
      <c r="J109" t="s">
        <v>39</v>
      </c>
      <c r="K109" s="2">
        <v>46181</v>
      </c>
      <c r="L109" s="2">
        <v>46203</v>
      </c>
      <c r="N109" s="2">
        <v>46174</v>
      </c>
      <c r="O109" s="2">
        <v>46905</v>
      </c>
      <c r="P109">
        <v>24</v>
      </c>
      <c r="Q109" t="s">
        <v>104</v>
      </c>
      <c r="R109" t="s">
        <v>41</v>
      </c>
      <c r="S109" t="s">
        <v>280</v>
      </c>
      <c r="T109" t="s">
        <v>43</v>
      </c>
      <c r="U109" t="s">
        <v>56</v>
      </c>
      <c r="V109" t="s">
        <v>144</v>
      </c>
      <c r="W109" t="s">
        <v>150</v>
      </c>
      <c r="X109" t="s">
        <v>158</v>
      </c>
      <c r="Y109">
        <v>78159.03</v>
      </c>
      <c r="Z109">
        <v>62527.23</v>
      </c>
      <c r="AA109">
        <v>0.8</v>
      </c>
      <c r="AB109" t="s">
        <v>39</v>
      </c>
      <c r="AC109" t="s">
        <v>39</v>
      </c>
      <c r="AD109" t="s">
        <v>48</v>
      </c>
    </row>
    <row r="110" spans="1:30" x14ac:dyDescent="0.35">
      <c r="A110" s="1" t="s">
        <v>30</v>
      </c>
      <c r="B110" t="s">
        <v>521</v>
      </c>
      <c r="C110" t="s">
        <v>32</v>
      </c>
      <c r="D110" t="s">
        <v>1441</v>
      </c>
      <c r="E110" t="s">
        <v>1442</v>
      </c>
      <c r="F110" t="s">
        <v>1443</v>
      </c>
      <c r="G110" t="s">
        <v>1444</v>
      </c>
      <c r="H110" t="s">
        <v>1271</v>
      </c>
      <c r="I110" t="s">
        <v>64</v>
      </c>
      <c r="J110" t="s">
        <v>39</v>
      </c>
      <c r="K110" s="2">
        <v>46185</v>
      </c>
      <c r="L110" s="2">
        <v>46203</v>
      </c>
      <c r="N110" s="2">
        <v>46174</v>
      </c>
      <c r="O110" s="2">
        <v>46539</v>
      </c>
      <c r="P110">
        <v>12</v>
      </c>
      <c r="Q110" t="s">
        <v>104</v>
      </c>
      <c r="R110" t="s">
        <v>41</v>
      </c>
      <c r="S110" t="s">
        <v>182</v>
      </c>
      <c r="T110" t="s">
        <v>97</v>
      </c>
      <c r="U110" t="s">
        <v>44</v>
      </c>
      <c r="V110" t="s">
        <v>119</v>
      </c>
      <c r="W110" t="s">
        <v>132</v>
      </c>
      <c r="X110" t="s">
        <v>47</v>
      </c>
      <c r="Y110">
        <v>132092.19</v>
      </c>
      <c r="Z110">
        <v>105673.75</v>
      </c>
      <c r="AA110">
        <v>0.8</v>
      </c>
      <c r="AB110" t="s">
        <v>39</v>
      </c>
      <c r="AC110" t="s">
        <v>39</v>
      </c>
      <c r="AD110" t="s">
        <v>48</v>
      </c>
    </row>
    <row r="111" spans="1:30" x14ac:dyDescent="0.35">
      <c r="A111" s="1" t="s">
        <v>30</v>
      </c>
      <c r="B111" t="s">
        <v>521</v>
      </c>
      <c r="C111" t="s">
        <v>32</v>
      </c>
      <c r="D111" t="s">
        <v>1445</v>
      </c>
      <c r="E111" t="s">
        <v>1446</v>
      </c>
      <c r="F111" t="s">
        <v>1447</v>
      </c>
      <c r="G111" t="s">
        <v>1448</v>
      </c>
      <c r="H111" t="s">
        <v>1271</v>
      </c>
      <c r="I111" t="s">
        <v>64</v>
      </c>
      <c r="J111" t="s">
        <v>39</v>
      </c>
      <c r="K111" s="2">
        <v>46186</v>
      </c>
      <c r="L111" s="2">
        <v>46203</v>
      </c>
      <c r="N111" s="2">
        <v>46174</v>
      </c>
      <c r="O111" s="2">
        <v>46905</v>
      </c>
      <c r="P111">
        <v>24</v>
      </c>
      <c r="Q111" t="s">
        <v>65</v>
      </c>
      <c r="R111" t="s">
        <v>41</v>
      </c>
      <c r="S111" t="s">
        <v>66</v>
      </c>
      <c r="T111" t="s">
        <v>55</v>
      </c>
      <c r="U111" t="s">
        <v>56</v>
      </c>
      <c r="V111" t="s">
        <v>67</v>
      </c>
      <c r="W111" t="s">
        <v>136</v>
      </c>
      <c r="X111" t="s">
        <v>47</v>
      </c>
      <c r="Y111">
        <v>140395.10999999999</v>
      </c>
      <c r="Z111">
        <v>49138.29</v>
      </c>
      <c r="AA111">
        <v>0.35</v>
      </c>
      <c r="AB111" t="s">
        <v>39</v>
      </c>
      <c r="AC111" t="s">
        <v>39</v>
      </c>
      <c r="AD111" t="s">
        <v>48</v>
      </c>
    </row>
    <row r="112" spans="1:30" x14ac:dyDescent="0.35">
      <c r="A112" s="1" t="s">
        <v>30</v>
      </c>
      <c r="B112" t="s">
        <v>521</v>
      </c>
      <c r="C112" t="s">
        <v>32</v>
      </c>
      <c r="D112" t="s">
        <v>1449</v>
      </c>
      <c r="E112" t="s">
        <v>1450</v>
      </c>
      <c r="F112" t="s">
        <v>1451</v>
      </c>
      <c r="G112" t="s">
        <v>1452</v>
      </c>
      <c r="H112" t="s">
        <v>1271</v>
      </c>
      <c r="I112" t="s">
        <v>64</v>
      </c>
      <c r="J112" t="s">
        <v>39</v>
      </c>
      <c r="K112" s="2">
        <v>46176</v>
      </c>
      <c r="L112" s="2">
        <v>46203</v>
      </c>
      <c r="N112" s="2">
        <v>46174</v>
      </c>
      <c r="O112" s="2">
        <v>46905</v>
      </c>
      <c r="P112">
        <v>24</v>
      </c>
      <c r="Q112" t="s">
        <v>104</v>
      </c>
      <c r="R112" t="s">
        <v>41</v>
      </c>
      <c r="S112" t="s">
        <v>280</v>
      </c>
      <c r="T112" t="s">
        <v>43</v>
      </c>
      <c r="U112" t="s">
        <v>56</v>
      </c>
      <c r="V112" t="s">
        <v>81</v>
      </c>
      <c r="W112" t="s">
        <v>132</v>
      </c>
      <c r="X112" t="s">
        <v>91</v>
      </c>
      <c r="Y112">
        <v>151662.74</v>
      </c>
      <c r="Z112">
        <v>121330.19</v>
      </c>
      <c r="AA112">
        <v>0.8</v>
      </c>
      <c r="AB112" t="s">
        <v>39</v>
      </c>
      <c r="AC112" t="s">
        <v>39</v>
      </c>
      <c r="AD112" t="s">
        <v>48</v>
      </c>
    </row>
    <row r="113" spans="1:30" x14ac:dyDescent="0.35">
      <c r="A113" s="1" t="s">
        <v>30</v>
      </c>
      <c r="B113" t="s">
        <v>521</v>
      </c>
      <c r="C113" t="s">
        <v>32</v>
      </c>
      <c r="D113" t="s">
        <v>1453</v>
      </c>
      <c r="E113" t="s">
        <v>1454</v>
      </c>
      <c r="F113" t="s">
        <v>1455</v>
      </c>
      <c r="G113" t="s">
        <v>1456</v>
      </c>
      <c r="H113" t="s">
        <v>1271</v>
      </c>
      <c r="I113" t="s">
        <v>64</v>
      </c>
      <c r="J113" t="s">
        <v>39</v>
      </c>
      <c r="K113" s="2">
        <v>46179</v>
      </c>
      <c r="L113" s="2">
        <v>46203</v>
      </c>
      <c r="N113" s="2">
        <v>46174</v>
      </c>
      <c r="O113" s="2">
        <v>46539</v>
      </c>
      <c r="P113">
        <v>12</v>
      </c>
      <c r="Q113" t="s">
        <v>104</v>
      </c>
      <c r="R113" t="s">
        <v>41</v>
      </c>
      <c r="S113" t="s">
        <v>135</v>
      </c>
      <c r="T113" t="s">
        <v>131</v>
      </c>
      <c r="U113" t="s">
        <v>44</v>
      </c>
      <c r="V113" t="s">
        <v>144</v>
      </c>
      <c r="W113" t="s">
        <v>120</v>
      </c>
      <c r="X113" t="s">
        <v>83</v>
      </c>
      <c r="Y113">
        <v>113144.76</v>
      </c>
      <c r="Z113">
        <v>39600.660000000003</v>
      </c>
      <c r="AA113">
        <v>0.35</v>
      </c>
      <c r="AB113" t="s">
        <v>39</v>
      </c>
      <c r="AC113" t="s">
        <v>39</v>
      </c>
      <c r="AD113" t="s">
        <v>48</v>
      </c>
    </row>
    <row r="114" spans="1:30" x14ac:dyDescent="0.35">
      <c r="A114" s="1" t="s">
        <v>30</v>
      </c>
      <c r="B114" t="s">
        <v>521</v>
      </c>
      <c r="C114" t="s">
        <v>32</v>
      </c>
      <c r="D114" t="s">
        <v>1457</v>
      </c>
      <c r="E114" t="s">
        <v>1458</v>
      </c>
      <c r="F114" t="s">
        <v>746</v>
      </c>
      <c r="G114" t="s">
        <v>747</v>
      </c>
      <c r="H114" t="s">
        <v>1290</v>
      </c>
      <c r="I114" t="s">
        <v>111</v>
      </c>
      <c r="J114" t="s">
        <v>1290</v>
      </c>
      <c r="K114" s="2">
        <v>46186</v>
      </c>
      <c r="L114" s="2">
        <v>46203</v>
      </c>
      <c r="N114" s="2">
        <v>46174</v>
      </c>
      <c r="O114" s="2">
        <v>46905</v>
      </c>
      <c r="P114">
        <v>24</v>
      </c>
      <c r="Q114" t="s">
        <v>40</v>
      </c>
      <c r="R114" t="s">
        <v>88</v>
      </c>
      <c r="S114" t="s">
        <v>162</v>
      </c>
      <c r="T114" t="s">
        <v>43</v>
      </c>
      <c r="U114" t="s">
        <v>106</v>
      </c>
      <c r="V114" t="s">
        <v>81</v>
      </c>
      <c r="W114" t="s">
        <v>75</v>
      </c>
      <c r="X114" t="s">
        <v>47</v>
      </c>
      <c r="Y114">
        <v>204290.28</v>
      </c>
      <c r="Z114">
        <v>163432.23000000001</v>
      </c>
      <c r="AA114">
        <v>0.8</v>
      </c>
      <c r="AB114" t="s">
        <v>1290</v>
      </c>
      <c r="AC114" t="s">
        <v>1290</v>
      </c>
      <c r="AD114" t="s">
        <v>48</v>
      </c>
    </row>
    <row r="115" spans="1:30" x14ac:dyDescent="0.35">
      <c r="A115" s="1" t="s">
        <v>30</v>
      </c>
      <c r="B115" t="s">
        <v>521</v>
      </c>
      <c r="C115" t="s">
        <v>32</v>
      </c>
      <c r="D115" t="s">
        <v>1459</v>
      </c>
      <c r="E115" t="s">
        <v>1460</v>
      </c>
      <c r="F115" t="s">
        <v>825</v>
      </c>
      <c r="G115" t="s">
        <v>826</v>
      </c>
      <c r="H115" t="s">
        <v>1290</v>
      </c>
      <c r="I115" t="s">
        <v>64</v>
      </c>
      <c r="J115" t="s">
        <v>1290</v>
      </c>
      <c r="K115" s="2">
        <v>46187</v>
      </c>
      <c r="L115" s="2">
        <v>46203</v>
      </c>
      <c r="N115" s="2">
        <v>46174</v>
      </c>
      <c r="O115" s="2">
        <v>46539</v>
      </c>
      <c r="P115">
        <v>12</v>
      </c>
      <c r="Q115" t="s">
        <v>40</v>
      </c>
      <c r="R115" t="s">
        <v>41</v>
      </c>
      <c r="S115" t="s">
        <v>135</v>
      </c>
      <c r="T115" t="s">
        <v>131</v>
      </c>
      <c r="U115" t="s">
        <v>44</v>
      </c>
      <c r="V115" t="s">
        <v>45</v>
      </c>
      <c r="W115" t="s">
        <v>75</v>
      </c>
      <c r="X115" t="s">
        <v>125</v>
      </c>
      <c r="Y115">
        <v>125044.26</v>
      </c>
      <c r="Z115">
        <v>62522.13</v>
      </c>
      <c r="AA115">
        <v>0.5</v>
      </c>
      <c r="AB115" t="s">
        <v>1290</v>
      </c>
      <c r="AC115" t="s">
        <v>1290</v>
      </c>
      <c r="AD115" t="s">
        <v>48</v>
      </c>
    </row>
    <row r="116" spans="1:30" x14ac:dyDescent="0.35">
      <c r="A116" s="1" t="s">
        <v>30</v>
      </c>
      <c r="B116" t="s">
        <v>521</v>
      </c>
      <c r="C116" t="s">
        <v>32</v>
      </c>
      <c r="D116" t="s">
        <v>1461</v>
      </c>
      <c r="E116" t="s">
        <v>1462</v>
      </c>
      <c r="F116" t="s">
        <v>1463</v>
      </c>
      <c r="G116" t="s">
        <v>1464</v>
      </c>
      <c r="H116" t="s">
        <v>1295</v>
      </c>
      <c r="I116" t="s">
        <v>103</v>
      </c>
      <c r="J116" t="s">
        <v>1295</v>
      </c>
      <c r="K116" s="2">
        <v>46175</v>
      </c>
      <c r="L116" s="2">
        <v>46203</v>
      </c>
      <c r="N116" s="2">
        <v>46174</v>
      </c>
      <c r="O116" s="2">
        <v>46905</v>
      </c>
      <c r="P116">
        <v>24</v>
      </c>
      <c r="Q116" t="s">
        <v>65</v>
      </c>
      <c r="R116" t="s">
        <v>41</v>
      </c>
      <c r="S116" t="s">
        <v>162</v>
      </c>
      <c r="T116" t="s">
        <v>43</v>
      </c>
      <c r="U116" t="s">
        <v>106</v>
      </c>
      <c r="V116" t="s">
        <v>67</v>
      </c>
      <c r="W116" t="s">
        <v>58</v>
      </c>
      <c r="X116" t="s">
        <v>158</v>
      </c>
      <c r="Y116">
        <v>140167.71</v>
      </c>
      <c r="Z116">
        <v>70083.850000000006</v>
      </c>
      <c r="AA116">
        <v>0.5</v>
      </c>
      <c r="AB116" t="s">
        <v>1295</v>
      </c>
      <c r="AC116" t="s">
        <v>1295</v>
      </c>
      <c r="AD116" t="s">
        <v>48</v>
      </c>
    </row>
    <row r="117" spans="1:30" x14ac:dyDescent="0.35">
      <c r="A117" s="1" t="s">
        <v>30</v>
      </c>
      <c r="B117" t="s">
        <v>521</v>
      </c>
      <c r="C117" t="s">
        <v>32</v>
      </c>
      <c r="D117" t="s">
        <v>1465</v>
      </c>
      <c r="E117" t="s">
        <v>1466</v>
      </c>
      <c r="F117" t="s">
        <v>1467</v>
      </c>
      <c r="G117" t="s">
        <v>1468</v>
      </c>
      <c r="H117" t="s">
        <v>1295</v>
      </c>
      <c r="I117" t="s">
        <v>111</v>
      </c>
      <c r="J117" t="s">
        <v>1295</v>
      </c>
      <c r="K117" s="2">
        <v>46188</v>
      </c>
      <c r="L117" s="2">
        <v>46203</v>
      </c>
      <c r="N117" s="2">
        <v>46174</v>
      </c>
      <c r="O117" s="2">
        <v>46905</v>
      </c>
      <c r="P117">
        <v>24</v>
      </c>
      <c r="Q117" t="s">
        <v>40</v>
      </c>
      <c r="R117" t="s">
        <v>88</v>
      </c>
      <c r="S117" t="s">
        <v>54</v>
      </c>
      <c r="T117" t="s">
        <v>55</v>
      </c>
      <c r="U117" t="s">
        <v>106</v>
      </c>
      <c r="V117" t="s">
        <v>57</v>
      </c>
      <c r="W117" t="s">
        <v>120</v>
      </c>
      <c r="X117" t="s">
        <v>83</v>
      </c>
      <c r="Y117">
        <v>197543.29</v>
      </c>
      <c r="Z117">
        <v>98771.65</v>
      </c>
      <c r="AA117">
        <v>0.5</v>
      </c>
      <c r="AB117" t="s">
        <v>1295</v>
      </c>
      <c r="AC117" t="s">
        <v>1295</v>
      </c>
      <c r="AD117" t="s">
        <v>48</v>
      </c>
    </row>
    <row r="118" spans="1:30" x14ac:dyDescent="0.35">
      <c r="A118" s="1" t="s">
        <v>30</v>
      </c>
      <c r="B118" t="s">
        <v>521</v>
      </c>
      <c r="C118" t="s">
        <v>32</v>
      </c>
      <c r="D118" t="s">
        <v>1469</v>
      </c>
      <c r="E118" t="s">
        <v>1470</v>
      </c>
      <c r="F118" t="s">
        <v>1471</v>
      </c>
      <c r="G118" t="s">
        <v>1472</v>
      </c>
      <c r="H118" t="s">
        <v>1295</v>
      </c>
      <c r="I118" t="s">
        <v>117</v>
      </c>
      <c r="J118" t="s">
        <v>1295</v>
      </c>
      <c r="K118" s="2">
        <v>46188</v>
      </c>
      <c r="L118" s="2">
        <v>46203</v>
      </c>
      <c r="N118" s="2">
        <v>46174</v>
      </c>
      <c r="O118" s="2">
        <v>46539</v>
      </c>
      <c r="P118">
        <v>12</v>
      </c>
      <c r="Q118" t="s">
        <v>104</v>
      </c>
      <c r="R118" t="s">
        <v>41</v>
      </c>
      <c r="S118" t="s">
        <v>66</v>
      </c>
      <c r="T118" t="s">
        <v>55</v>
      </c>
      <c r="U118" t="s">
        <v>56</v>
      </c>
      <c r="V118" t="s">
        <v>57</v>
      </c>
      <c r="W118" t="s">
        <v>132</v>
      </c>
      <c r="X118" t="s">
        <v>143</v>
      </c>
      <c r="Y118">
        <v>208453.71</v>
      </c>
      <c r="Z118">
        <v>166762.97</v>
      </c>
      <c r="AA118">
        <v>0.8</v>
      </c>
      <c r="AB118" t="s">
        <v>1295</v>
      </c>
      <c r="AC118" t="s">
        <v>1295</v>
      </c>
      <c r="AD118" t="s">
        <v>48</v>
      </c>
    </row>
    <row r="119" spans="1:30" x14ac:dyDescent="0.35">
      <c r="A119" s="1" t="s">
        <v>30</v>
      </c>
      <c r="B119" t="s">
        <v>521</v>
      </c>
      <c r="C119" t="s">
        <v>32</v>
      </c>
      <c r="D119" t="s">
        <v>1473</v>
      </c>
      <c r="E119" t="s">
        <v>1474</v>
      </c>
      <c r="F119" t="s">
        <v>1475</v>
      </c>
      <c r="G119" t="s">
        <v>1476</v>
      </c>
      <c r="H119" t="s">
        <v>1302</v>
      </c>
      <c r="I119" t="s">
        <v>64</v>
      </c>
      <c r="J119" t="s">
        <v>39</v>
      </c>
      <c r="K119" s="2">
        <v>46184</v>
      </c>
      <c r="L119" s="2">
        <v>46203</v>
      </c>
      <c r="N119" s="2">
        <v>46174</v>
      </c>
      <c r="O119" s="2">
        <v>46539</v>
      </c>
      <c r="P119">
        <v>12</v>
      </c>
      <c r="Q119" t="s">
        <v>40</v>
      </c>
      <c r="R119" t="s">
        <v>88</v>
      </c>
      <c r="S119" t="s">
        <v>141</v>
      </c>
      <c r="T119" t="s">
        <v>131</v>
      </c>
      <c r="U119" t="s">
        <v>44</v>
      </c>
      <c r="V119" t="s">
        <v>74</v>
      </c>
      <c r="W119" t="s">
        <v>46</v>
      </c>
      <c r="X119" t="s">
        <v>91</v>
      </c>
      <c r="Y119">
        <v>150000</v>
      </c>
      <c r="Z119">
        <v>52500</v>
      </c>
      <c r="AA119">
        <v>0.35</v>
      </c>
      <c r="AB119" t="s">
        <v>39</v>
      </c>
      <c r="AC119" t="s">
        <v>39</v>
      </c>
      <c r="AD119" t="s">
        <v>48</v>
      </c>
    </row>
    <row r="120" spans="1:30" x14ac:dyDescent="0.35">
      <c r="A120" s="1" t="s">
        <v>30</v>
      </c>
      <c r="B120" t="s">
        <v>521</v>
      </c>
      <c r="C120" t="s">
        <v>165</v>
      </c>
      <c r="D120" t="s">
        <v>779</v>
      </c>
      <c r="E120" t="s">
        <v>780</v>
      </c>
      <c r="F120" t="s">
        <v>781</v>
      </c>
      <c r="G120" t="s">
        <v>782</v>
      </c>
      <c r="H120" t="s">
        <v>37</v>
      </c>
      <c r="I120" t="s">
        <v>117</v>
      </c>
      <c r="J120" t="s">
        <v>39</v>
      </c>
      <c r="K120" s="2">
        <v>46209</v>
      </c>
      <c r="L120" s="2">
        <v>46234</v>
      </c>
      <c r="N120" s="2">
        <v>46204</v>
      </c>
      <c r="O120" s="2">
        <v>47300</v>
      </c>
      <c r="P120">
        <v>36</v>
      </c>
      <c r="Q120" t="s">
        <v>65</v>
      </c>
      <c r="R120" t="s">
        <v>41</v>
      </c>
      <c r="S120" t="s">
        <v>135</v>
      </c>
      <c r="T120" t="s">
        <v>131</v>
      </c>
      <c r="U120" t="s">
        <v>106</v>
      </c>
      <c r="V120" t="s">
        <v>74</v>
      </c>
      <c r="W120" t="s">
        <v>136</v>
      </c>
      <c r="X120" t="s">
        <v>59</v>
      </c>
      <c r="Y120">
        <v>185752.18</v>
      </c>
      <c r="Z120">
        <v>92876.09</v>
      </c>
      <c r="AA120">
        <v>0.5</v>
      </c>
      <c r="AB120" t="s">
        <v>39</v>
      </c>
      <c r="AC120" t="s">
        <v>39</v>
      </c>
      <c r="AD120" t="s">
        <v>48</v>
      </c>
    </row>
    <row r="121" spans="1:30" x14ac:dyDescent="0.35">
      <c r="A121" s="1" t="s">
        <v>30</v>
      </c>
      <c r="B121" t="s">
        <v>521</v>
      </c>
      <c r="C121" t="s">
        <v>165</v>
      </c>
      <c r="D121" t="s">
        <v>783</v>
      </c>
      <c r="E121" t="s">
        <v>784</v>
      </c>
      <c r="F121" t="s">
        <v>785</v>
      </c>
      <c r="G121" t="s">
        <v>786</v>
      </c>
      <c r="H121" t="s">
        <v>37</v>
      </c>
      <c r="I121" t="s">
        <v>64</v>
      </c>
      <c r="J121" t="s">
        <v>39</v>
      </c>
      <c r="K121" s="2">
        <v>46209</v>
      </c>
      <c r="L121" s="2">
        <v>46234</v>
      </c>
      <c r="N121" s="2">
        <v>46204</v>
      </c>
      <c r="O121" s="2">
        <v>47300</v>
      </c>
      <c r="P121">
        <v>36</v>
      </c>
      <c r="Q121" t="s">
        <v>104</v>
      </c>
      <c r="R121" t="s">
        <v>41</v>
      </c>
      <c r="S121" t="s">
        <v>149</v>
      </c>
      <c r="T121" t="s">
        <v>131</v>
      </c>
      <c r="U121" t="s">
        <v>106</v>
      </c>
      <c r="V121" t="s">
        <v>74</v>
      </c>
      <c r="W121" t="s">
        <v>90</v>
      </c>
      <c r="X121" t="s">
        <v>47</v>
      </c>
      <c r="Y121">
        <v>185879.07</v>
      </c>
      <c r="Z121">
        <v>148703.25</v>
      </c>
      <c r="AA121">
        <v>0.8</v>
      </c>
      <c r="AB121" t="s">
        <v>39</v>
      </c>
      <c r="AC121" t="s">
        <v>39</v>
      </c>
      <c r="AD121" t="s">
        <v>48</v>
      </c>
    </row>
    <row r="122" spans="1:30" x14ac:dyDescent="0.35">
      <c r="A122" s="1" t="s">
        <v>30</v>
      </c>
      <c r="B122" t="s">
        <v>521</v>
      </c>
      <c r="C122" t="s">
        <v>165</v>
      </c>
      <c r="D122" t="s">
        <v>787</v>
      </c>
      <c r="E122" t="s">
        <v>788</v>
      </c>
      <c r="F122" t="s">
        <v>789</v>
      </c>
      <c r="G122" t="s">
        <v>790</v>
      </c>
      <c r="H122" t="s">
        <v>37</v>
      </c>
      <c r="I122" t="s">
        <v>38</v>
      </c>
      <c r="J122" t="s">
        <v>39</v>
      </c>
      <c r="K122" s="2">
        <v>46210</v>
      </c>
      <c r="L122" s="2">
        <v>46234</v>
      </c>
      <c r="N122" s="2">
        <v>46204</v>
      </c>
      <c r="O122" s="2">
        <v>46569</v>
      </c>
      <c r="P122">
        <v>12</v>
      </c>
      <c r="Q122" t="s">
        <v>40</v>
      </c>
      <c r="R122" t="s">
        <v>41</v>
      </c>
      <c r="S122" t="s">
        <v>164</v>
      </c>
      <c r="T122" t="s">
        <v>55</v>
      </c>
      <c r="U122" t="s">
        <v>106</v>
      </c>
      <c r="V122" t="s">
        <v>81</v>
      </c>
      <c r="W122" t="s">
        <v>46</v>
      </c>
      <c r="X122" t="s">
        <v>143</v>
      </c>
      <c r="Y122">
        <v>201927.62</v>
      </c>
      <c r="Z122">
        <v>70674.67</v>
      </c>
      <c r="AA122">
        <v>0.35</v>
      </c>
      <c r="AB122" t="s">
        <v>39</v>
      </c>
      <c r="AC122" t="s">
        <v>39</v>
      </c>
      <c r="AD122" t="s">
        <v>48</v>
      </c>
    </row>
    <row r="123" spans="1:30" x14ac:dyDescent="0.35">
      <c r="A123" s="1" t="s">
        <v>30</v>
      </c>
      <c r="B123" t="s">
        <v>521</v>
      </c>
      <c r="C123" t="s">
        <v>165</v>
      </c>
      <c r="D123" t="s">
        <v>791</v>
      </c>
      <c r="E123" t="s">
        <v>792</v>
      </c>
      <c r="F123" t="s">
        <v>793</v>
      </c>
      <c r="G123" t="s">
        <v>794</v>
      </c>
      <c r="H123" t="s">
        <v>37</v>
      </c>
      <c r="I123" t="s">
        <v>64</v>
      </c>
      <c r="J123" t="s">
        <v>39</v>
      </c>
      <c r="K123" s="2">
        <v>46214</v>
      </c>
      <c r="L123" s="2">
        <v>46234</v>
      </c>
      <c r="N123" s="2">
        <v>46204</v>
      </c>
      <c r="O123" s="2">
        <v>46569</v>
      </c>
      <c r="P123">
        <v>12</v>
      </c>
      <c r="Q123" t="s">
        <v>104</v>
      </c>
      <c r="R123" t="s">
        <v>53</v>
      </c>
      <c r="S123" t="s">
        <v>80</v>
      </c>
      <c r="T123" t="s">
        <v>43</v>
      </c>
      <c r="U123" t="s">
        <v>44</v>
      </c>
      <c r="V123" t="s">
        <v>45</v>
      </c>
      <c r="W123" t="s">
        <v>120</v>
      </c>
      <c r="X123" t="s">
        <v>143</v>
      </c>
      <c r="Y123">
        <v>99995.23</v>
      </c>
      <c r="Z123">
        <v>49997.62</v>
      </c>
      <c r="AA123">
        <v>0.5</v>
      </c>
      <c r="AB123" t="s">
        <v>39</v>
      </c>
      <c r="AC123" t="s">
        <v>39</v>
      </c>
      <c r="AD123" t="s">
        <v>48</v>
      </c>
    </row>
    <row r="124" spans="1:30" x14ac:dyDescent="0.35">
      <c r="A124" s="1" t="s">
        <v>30</v>
      </c>
      <c r="B124" t="s">
        <v>521</v>
      </c>
      <c r="C124" t="s">
        <v>165</v>
      </c>
      <c r="D124" t="s">
        <v>795</v>
      </c>
      <c r="E124" t="s">
        <v>796</v>
      </c>
      <c r="F124" t="s">
        <v>797</v>
      </c>
      <c r="G124" t="s">
        <v>798</v>
      </c>
      <c r="H124" t="s">
        <v>37</v>
      </c>
      <c r="I124" t="s">
        <v>117</v>
      </c>
      <c r="J124" t="s">
        <v>39</v>
      </c>
      <c r="K124" s="2">
        <v>46210</v>
      </c>
      <c r="L124" s="2">
        <v>46234</v>
      </c>
      <c r="N124" s="2">
        <v>46204</v>
      </c>
      <c r="O124" s="2">
        <v>46569</v>
      </c>
      <c r="P124">
        <v>12</v>
      </c>
      <c r="Q124" t="s">
        <v>40</v>
      </c>
      <c r="R124" t="s">
        <v>41</v>
      </c>
      <c r="S124" t="s">
        <v>89</v>
      </c>
      <c r="T124" t="s">
        <v>55</v>
      </c>
      <c r="U124" t="s">
        <v>56</v>
      </c>
      <c r="V124" t="s">
        <v>57</v>
      </c>
      <c r="W124" t="s">
        <v>142</v>
      </c>
      <c r="X124" t="s">
        <v>83</v>
      </c>
      <c r="Y124">
        <v>205491.87</v>
      </c>
      <c r="Z124">
        <v>133569.72</v>
      </c>
      <c r="AA124">
        <v>0.65</v>
      </c>
      <c r="AB124" t="s">
        <v>39</v>
      </c>
      <c r="AC124" t="s">
        <v>39</v>
      </c>
      <c r="AD124" t="s">
        <v>48</v>
      </c>
    </row>
    <row r="125" spans="1:30" x14ac:dyDescent="0.35">
      <c r="A125" s="1" t="s">
        <v>30</v>
      </c>
      <c r="B125" t="s">
        <v>521</v>
      </c>
      <c r="C125" t="s">
        <v>165</v>
      </c>
      <c r="D125" t="s">
        <v>799</v>
      </c>
      <c r="E125" t="s">
        <v>800</v>
      </c>
      <c r="F125" t="s">
        <v>801</v>
      </c>
      <c r="G125" t="s">
        <v>802</v>
      </c>
      <c r="H125" t="s">
        <v>37</v>
      </c>
      <c r="I125" t="s">
        <v>64</v>
      </c>
      <c r="J125" t="s">
        <v>39</v>
      </c>
      <c r="K125" s="2">
        <v>46208</v>
      </c>
      <c r="L125" s="2">
        <v>46234</v>
      </c>
      <c r="N125" s="2">
        <v>46204</v>
      </c>
      <c r="O125" s="2">
        <v>46569</v>
      </c>
      <c r="P125">
        <v>12</v>
      </c>
      <c r="Q125" t="s">
        <v>65</v>
      </c>
      <c r="R125" t="s">
        <v>41</v>
      </c>
      <c r="S125" t="s">
        <v>96</v>
      </c>
      <c r="T125" t="s">
        <v>97</v>
      </c>
      <c r="U125" t="s">
        <v>44</v>
      </c>
      <c r="V125" t="s">
        <v>81</v>
      </c>
      <c r="W125" t="s">
        <v>90</v>
      </c>
      <c r="X125" t="s">
        <v>68</v>
      </c>
      <c r="Y125">
        <v>195315.35</v>
      </c>
      <c r="Z125">
        <v>97657.67</v>
      </c>
      <c r="AA125">
        <v>0.5</v>
      </c>
      <c r="AB125" t="s">
        <v>39</v>
      </c>
      <c r="AC125" t="s">
        <v>39</v>
      </c>
      <c r="AD125" t="s">
        <v>48</v>
      </c>
    </row>
    <row r="126" spans="1:30" x14ac:dyDescent="0.35">
      <c r="A126" s="1" t="s">
        <v>30</v>
      </c>
      <c r="B126" t="s">
        <v>521</v>
      </c>
      <c r="C126" t="s">
        <v>165</v>
      </c>
      <c r="D126" t="s">
        <v>803</v>
      </c>
      <c r="E126" t="s">
        <v>804</v>
      </c>
      <c r="F126" t="s">
        <v>805</v>
      </c>
      <c r="G126" t="s">
        <v>806</v>
      </c>
      <c r="H126" t="s">
        <v>37</v>
      </c>
      <c r="I126" t="s">
        <v>103</v>
      </c>
      <c r="J126" t="s">
        <v>39</v>
      </c>
      <c r="K126" s="2">
        <v>46204</v>
      </c>
      <c r="L126" s="2">
        <v>46234</v>
      </c>
      <c r="N126" s="2">
        <v>46204</v>
      </c>
      <c r="O126" s="2">
        <v>46569</v>
      </c>
      <c r="P126">
        <v>12</v>
      </c>
      <c r="Q126" t="s">
        <v>40</v>
      </c>
      <c r="R126" t="s">
        <v>41</v>
      </c>
      <c r="S126" t="s">
        <v>135</v>
      </c>
      <c r="T126" t="s">
        <v>131</v>
      </c>
      <c r="U126" t="s">
        <v>106</v>
      </c>
      <c r="V126" t="s">
        <v>217</v>
      </c>
      <c r="W126" t="s">
        <v>58</v>
      </c>
      <c r="X126" t="s">
        <v>47</v>
      </c>
      <c r="Y126">
        <v>175014.02</v>
      </c>
      <c r="Z126">
        <v>87507.01</v>
      </c>
      <c r="AA126">
        <v>0.5</v>
      </c>
      <c r="AB126" t="s">
        <v>39</v>
      </c>
      <c r="AC126" t="s">
        <v>39</v>
      </c>
      <c r="AD126" t="s">
        <v>48</v>
      </c>
    </row>
    <row r="127" spans="1:30" x14ac:dyDescent="0.35">
      <c r="A127" s="1" t="s">
        <v>30</v>
      </c>
      <c r="B127" t="s">
        <v>521</v>
      </c>
      <c r="C127" t="s">
        <v>165</v>
      </c>
      <c r="D127" t="s">
        <v>807</v>
      </c>
      <c r="E127" t="s">
        <v>808</v>
      </c>
      <c r="F127" t="s">
        <v>809</v>
      </c>
      <c r="G127" t="s">
        <v>810</v>
      </c>
      <c r="H127" t="s">
        <v>37</v>
      </c>
      <c r="I127" t="s">
        <v>117</v>
      </c>
      <c r="J127" t="s">
        <v>39</v>
      </c>
      <c r="K127" s="2">
        <v>46209</v>
      </c>
      <c r="L127" s="2">
        <v>46234</v>
      </c>
      <c r="N127" s="2">
        <v>46204</v>
      </c>
      <c r="O127" s="2">
        <v>46569</v>
      </c>
      <c r="P127">
        <v>12</v>
      </c>
      <c r="Q127" t="s">
        <v>65</v>
      </c>
      <c r="R127" t="s">
        <v>41</v>
      </c>
      <c r="S127" t="s">
        <v>118</v>
      </c>
      <c r="T127" t="s">
        <v>97</v>
      </c>
      <c r="U127" t="s">
        <v>106</v>
      </c>
      <c r="V127" t="s">
        <v>119</v>
      </c>
      <c r="W127" t="s">
        <v>142</v>
      </c>
      <c r="X127" t="s">
        <v>47</v>
      </c>
      <c r="Y127">
        <v>101583.73</v>
      </c>
      <c r="Z127">
        <v>66029.42</v>
      </c>
      <c r="AA127">
        <v>0.65</v>
      </c>
      <c r="AB127" t="s">
        <v>39</v>
      </c>
      <c r="AC127" t="s">
        <v>39</v>
      </c>
      <c r="AD127" t="s">
        <v>48</v>
      </c>
    </row>
    <row r="128" spans="1:30" x14ac:dyDescent="0.35">
      <c r="A128" s="1" t="s">
        <v>30</v>
      </c>
      <c r="B128" t="s">
        <v>521</v>
      </c>
      <c r="C128" t="s">
        <v>165</v>
      </c>
      <c r="D128" t="s">
        <v>811</v>
      </c>
      <c r="E128" t="s">
        <v>812</v>
      </c>
      <c r="F128" t="s">
        <v>813</v>
      </c>
      <c r="G128" t="s">
        <v>814</v>
      </c>
      <c r="H128" t="s">
        <v>37</v>
      </c>
      <c r="I128" t="s">
        <v>103</v>
      </c>
      <c r="J128" t="s">
        <v>39</v>
      </c>
      <c r="K128" s="2">
        <v>46207</v>
      </c>
      <c r="L128" s="2">
        <v>46234</v>
      </c>
      <c r="N128" s="2">
        <v>46204</v>
      </c>
      <c r="O128" s="2">
        <v>46569</v>
      </c>
      <c r="P128">
        <v>12</v>
      </c>
      <c r="Q128" t="s">
        <v>65</v>
      </c>
      <c r="R128" t="s">
        <v>88</v>
      </c>
      <c r="S128" t="s">
        <v>280</v>
      </c>
      <c r="T128" t="s">
        <v>43</v>
      </c>
      <c r="U128" t="s">
        <v>56</v>
      </c>
      <c r="V128" t="s">
        <v>81</v>
      </c>
      <c r="W128" t="s">
        <v>46</v>
      </c>
      <c r="X128" t="s">
        <v>143</v>
      </c>
      <c r="Y128">
        <v>200301.6</v>
      </c>
      <c r="Z128">
        <v>100150.8</v>
      </c>
      <c r="AA128">
        <v>0.5</v>
      </c>
      <c r="AB128" t="s">
        <v>39</v>
      </c>
      <c r="AC128" t="s">
        <v>39</v>
      </c>
      <c r="AD128" t="s">
        <v>48</v>
      </c>
    </row>
    <row r="129" spans="1:30" x14ac:dyDescent="0.35">
      <c r="A129" s="1" t="s">
        <v>30</v>
      </c>
      <c r="B129" t="s">
        <v>521</v>
      </c>
      <c r="C129" t="s">
        <v>165</v>
      </c>
      <c r="D129" t="s">
        <v>815</v>
      </c>
      <c r="E129" t="s">
        <v>816</v>
      </c>
      <c r="F129" t="s">
        <v>817</v>
      </c>
      <c r="G129" t="s">
        <v>818</v>
      </c>
      <c r="H129" t="s">
        <v>37</v>
      </c>
      <c r="I129" t="s">
        <v>111</v>
      </c>
      <c r="J129" t="s">
        <v>39</v>
      </c>
      <c r="K129" s="2">
        <v>46213</v>
      </c>
      <c r="L129" s="2">
        <v>46234</v>
      </c>
      <c r="N129" s="2">
        <v>46204</v>
      </c>
      <c r="O129" s="2">
        <v>46569</v>
      </c>
      <c r="P129">
        <v>12</v>
      </c>
      <c r="Q129" t="s">
        <v>40</v>
      </c>
      <c r="R129" t="s">
        <v>41</v>
      </c>
      <c r="S129" t="s">
        <v>42</v>
      </c>
      <c r="T129" t="s">
        <v>43</v>
      </c>
      <c r="U129" t="s">
        <v>56</v>
      </c>
      <c r="V129" t="s">
        <v>45</v>
      </c>
      <c r="W129" t="s">
        <v>136</v>
      </c>
      <c r="X129" t="s">
        <v>68</v>
      </c>
      <c r="Y129">
        <v>119876.32</v>
      </c>
      <c r="Z129">
        <v>77919.61</v>
      </c>
      <c r="AA129">
        <v>0.65</v>
      </c>
      <c r="AB129" t="s">
        <v>39</v>
      </c>
      <c r="AC129" t="s">
        <v>39</v>
      </c>
      <c r="AD129" t="s">
        <v>48</v>
      </c>
    </row>
    <row r="130" spans="1:30" x14ac:dyDescent="0.35">
      <c r="A130" s="1" t="s">
        <v>30</v>
      </c>
      <c r="B130" t="s">
        <v>521</v>
      </c>
      <c r="C130" t="s">
        <v>165</v>
      </c>
      <c r="D130" t="s">
        <v>819</v>
      </c>
      <c r="E130" t="s">
        <v>820</v>
      </c>
      <c r="F130" t="s">
        <v>821</v>
      </c>
      <c r="G130" t="s">
        <v>822</v>
      </c>
      <c r="H130" t="s">
        <v>37</v>
      </c>
      <c r="I130" t="s">
        <v>117</v>
      </c>
      <c r="J130" t="s">
        <v>39</v>
      </c>
      <c r="K130" s="2">
        <v>46208</v>
      </c>
      <c r="L130" s="2">
        <v>46234</v>
      </c>
      <c r="N130" s="2">
        <v>46204</v>
      </c>
      <c r="O130" s="2">
        <v>46569</v>
      </c>
      <c r="P130">
        <v>12</v>
      </c>
      <c r="Q130" t="s">
        <v>40</v>
      </c>
      <c r="R130" t="s">
        <v>53</v>
      </c>
      <c r="S130" t="s">
        <v>96</v>
      </c>
      <c r="T130" t="s">
        <v>97</v>
      </c>
      <c r="U130" t="s">
        <v>44</v>
      </c>
      <c r="V130" t="s">
        <v>67</v>
      </c>
      <c r="W130" t="s">
        <v>136</v>
      </c>
      <c r="X130" t="s">
        <v>125</v>
      </c>
      <c r="Y130">
        <v>120909.4</v>
      </c>
      <c r="Z130">
        <v>42318.29</v>
      </c>
      <c r="AA130">
        <v>0.35</v>
      </c>
      <c r="AB130" t="s">
        <v>39</v>
      </c>
      <c r="AC130" t="s">
        <v>39</v>
      </c>
      <c r="AD130" t="s">
        <v>48</v>
      </c>
    </row>
    <row r="131" spans="1:30" x14ac:dyDescent="0.35">
      <c r="A131" s="1" t="s">
        <v>30</v>
      </c>
      <c r="B131" t="s">
        <v>521</v>
      </c>
      <c r="C131" t="s">
        <v>165</v>
      </c>
      <c r="D131" t="s">
        <v>1477</v>
      </c>
      <c r="E131" t="s">
        <v>1478</v>
      </c>
      <c r="F131" t="s">
        <v>1479</v>
      </c>
      <c r="G131" t="s">
        <v>1480</v>
      </c>
      <c r="H131" t="s">
        <v>1271</v>
      </c>
      <c r="I131" t="s">
        <v>103</v>
      </c>
      <c r="J131" t="s">
        <v>39</v>
      </c>
      <c r="K131" s="2">
        <v>46212</v>
      </c>
      <c r="L131" s="2">
        <v>46234</v>
      </c>
      <c r="N131" s="2">
        <v>46204</v>
      </c>
      <c r="O131" s="2">
        <v>46569</v>
      </c>
      <c r="P131">
        <v>12</v>
      </c>
      <c r="Q131" t="s">
        <v>40</v>
      </c>
      <c r="R131" t="s">
        <v>88</v>
      </c>
      <c r="S131" t="s">
        <v>112</v>
      </c>
      <c r="T131" t="s">
        <v>55</v>
      </c>
      <c r="U131" t="s">
        <v>44</v>
      </c>
      <c r="V131" t="s">
        <v>217</v>
      </c>
      <c r="W131" t="s">
        <v>75</v>
      </c>
      <c r="X131" t="s">
        <v>83</v>
      </c>
      <c r="Y131">
        <v>191737.95</v>
      </c>
      <c r="Z131">
        <v>153390.35999999999</v>
      </c>
      <c r="AA131">
        <v>0.8</v>
      </c>
      <c r="AB131" t="s">
        <v>39</v>
      </c>
      <c r="AC131" t="s">
        <v>39</v>
      </c>
      <c r="AD131" t="s">
        <v>48</v>
      </c>
    </row>
    <row r="132" spans="1:30" x14ac:dyDescent="0.35">
      <c r="A132" s="1" t="s">
        <v>30</v>
      </c>
      <c r="B132" t="s">
        <v>521</v>
      </c>
      <c r="C132" t="s">
        <v>165</v>
      </c>
      <c r="D132" t="s">
        <v>1481</v>
      </c>
      <c r="E132" t="s">
        <v>1482</v>
      </c>
      <c r="F132" t="s">
        <v>283</v>
      </c>
      <c r="G132" t="s">
        <v>284</v>
      </c>
      <c r="H132" t="s">
        <v>1271</v>
      </c>
      <c r="I132" t="s">
        <v>103</v>
      </c>
      <c r="J132" t="s">
        <v>39</v>
      </c>
      <c r="K132" s="2">
        <v>46213</v>
      </c>
      <c r="L132" s="2">
        <v>46234</v>
      </c>
      <c r="N132" s="2">
        <v>46204</v>
      </c>
      <c r="O132" s="2">
        <v>46569</v>
      </c>
      <c r="P132">
        <v>12</v>
      </c>
      <c r="Q132" t="s">
        <v>104</v>
      </c>
      <c r="R132" t="s">
        <v>53</v>
      </c>
      <c r="S132" t="s">
        <v>164</v>
      </c>
      <c r="T132" t="s">
        <v>55</v>
      </c>
      <c r="U132" t="s">
        <v>44</v>
      </c>
      <c r="V132" t="s">
        <v>67</v>
      </c>
      <c r="W132" t="s">
        <v>120</v>
      </c>
      <c r="X132" t="s">
        <v>91</v>
      </c>
      <c r="Y132">
        <v>197786.72</v>
      </c>
      <c r="Z132">
        <v>128561.37</v>
      </c>
      <c r="AA132">
        <v>0.65</v>
      </c>
      <c r="AB132" t="s">
        <v>39</v>
      </c>
      <c r="AC132" t="s">
        <v>39</v>
      </c>
      <c r="AD132" t="s">
        <v>48</v>
      </c>
    </row>
    <row r="133" spans="1:30" x14ac:dyDescent="0.35">
      <c r="A133" s="1" t="s">
        <v>30</v>
      </c>
      <c r="B133" t="s">
        <v>521</v>
      </c>
      <c r="C133" t="s">
        <v>165</v>
      </c>
      <c r="D133" t="s">
        <v>1483</v>
      </c>
      <c r="E133" t="s">
        <v>1484</v>
      </c>
      <c r="F133" t="s">
        <v>935</v>
      </c>
      <c r="G133" t="s">
        <v>936</v>
      </c>
      <c r="H133" t="s">
        <v>1271</v>
      </c>
      <c r="I133" t="s">
        <v>111</v>
      </c>
      <c r="J133" t="s">
        <v>39</v>
      </c>
      <c r="K133" s="2">
        <v>46218</v>
      </c>
      <c r="L133" s="2">
        <v>46234</v>
      </c>
      <c r="N133" s="2">
        <v>46204</v>
      </c>
      <c r="O133" s="2">
        <v>46935</v>
      </c>
      <c r="P133">
        <v>24</v>
      </c>
      <c r="Q133" t="s">
        <v>40</v>
      </c>
      <c r="R133" t="s">
        <v>88</v>
      </c>
      <c r="S133" t="s">
        <v>182</v>
      </c>
      <c r="T133" t="s">
        <v>97</v>
      </c>
      <c r="U133" t="s">
        <v>106</v>
      </c>
      <c r="V133" t="s">
        <v>57</v>
      </c>
      <c r="W133" t="s">
        <v>75</v>
      </c>
      <c r="X133" t="s">
        <v>47</v>
      </c>
      <c r="Y133">
        <v>127531.66</v>
      </c>
      <c r="Z133">
        <v>102025.33</v>
      </c>
      <c r="AA133">
        <v>0.8</v>
      </c>
      <c r="AB133" t="s">
        <v>39</v>
      </c>
      <c r="AC133" t="s">
        <v>39</v>
      </c>
      <c r="AD133" t="s">
        <v>48</v>
      </c>
    </row>
    <row r="134" spans="1:30" x14ac:dyDescent="0.35">
      <c r="A134" s="1" t="s">
        <v>30</v>
      </c>
      <c r="B134" t="s">
        <v>521</v>
      </c>
      <c r="C134" t="s">
        <v>165</v>
      </c>
      <c r="D134" t="s">
        <v>1485</v>
      </c>
      <c r="E134" t="s">
        <v>1486</v>
      </c>
      <c r="F134" t="s">
        <v>663</v>
      </c>
      <c r="G134" t="s">
        <v>664</v>
      </c>
      <c r="H134" t="s">
        <v>1271</v>
      </c>
      <c r="I134" t="s">
        <v>111</v>
      </c>
      <c r="J134" t="s">
        <v>39</v>
      </c>
      <c r="K134" s="2">
        <v>46212</v>
      </c>
      <c r="L134" s="2">
        <v>46234</v>
      </c>
      <c r="N134" s="2">
        <v>46204</v>
      </c>
      <c r="O134" s="2">
        <v>46569</v>
      </c>
      <c r="P134">
        <v>12</v>
      </c>
      <c r="Q134" t="s">
        <v>40</v>
      </c>
      <c r="R134" t="s">
        <v>88</v>
      </c>
      <c r="S134" t="s">
        <v>280</v>
      </c>
      <c r="T134" t="s">
        <v>43</v>
      </c>
      <c r="U134" t="s">
        <v>44</v>
      </c>
      <c r="V134" t="s">
        <v>57</v>
      </c>
      <c r="W134" t="s">
        <v>136</v>
      </c>
      <c r="X134" t="s">
        <v>158</v>
      </c>
      <c r="Y134">
        <v>139060.84</v>
      </c>
      <c r="Z134">
        <v>48671.29</v>
      </c>
      <c r="AA134">
        <v>0.35</v>
      </c>
      <c r="AB134" t="s">
        <v>39</v>
      </c>
      <c r="AC134" t="s">
        <v>39</v>
      </c>
      <c r="AD134" t="s">
        <v>48</v>
      </c>
    </row>
    <row r="135" spans="1:30" x14ac:dyDescent="0.35">
      <c r="A135" s="1" t="s">
        <v>30</v>
      </c>
      <c r="B135" t="s">
        <v>521</v>
      </c>
      <c r="C135" t="s">
        <v>165</v>
      </c>
      <c r="D135" t="s">
        <v>1487</v>
      </c>
      <c r="E135" t="s">
        <v>1488</v>
      </c>
      <c r="F135" t="s">
        <v>1489</v>
      </c>
      <c r="G135" t="s">
        <v>1490</v>
      </c>
      <c r="H135" t="s">
        <v>1271</v>
      </c>
      <c r="I135" t="s">
        <v>38</v>
      </c>
      <c r="J135" t="s">
        <v>39</v>
      </c>
      <c r="K135" s="2">
        <v>46204</v>
      </c>
      <c r="L135" s="2">
        <v>46234</v>
      </c>
      <c r="N135" s="2">
        <v>46204</v>
      </c>
      <c r="O135" s="2">
        <v>46569</v>
      </c>
      <c r="P135">
        <v>12</v>
      </c>
      <c r="Q135" t="s">
        <v>40</v>
      </c>
      <c r="R135" t="s">
        <v>88</v>
      </c>
      <c r="S135" t="s">
        <v>140</v>
      </c>
      <c r="T135" t="s">
        <v>97</v>
      </c>
      <c r="U135" t="s">
        <v>44</v>
      </c>
      <c r="V135" t="s">
        <v>81</v>
      </c>
      <c r="W135" t="s">
        <v>132</v>
      </c>
      <c r="X135" t="s">
        <v>47</v>
      </c>
      <c r="Y135">
        <v>91997.26</v>
      </c>
      <c r="Z135">
        <v>45998.63</v>
      </c>
      <c r="AA135">
        <v>0.5</v>
      </c>
      <c r="AB135" t="s">
        <v>39</v>
      </c>
      <c r="AC135" t="s">
        <v>39</v>
      </c>
      <c r="AD135" t="s">
        <v>48</v>
      </c>
    </row>
    <row r="136" spans="1:30" x14ac:dyDescent="0.35">
      <c r="A136" s="1" t="s">
        <v>30</v>
      </c>
      <c r="B136" t="s">
        <v>521</v>
      </c>
      <c r="C136" t="s">
        <v>165</v>
      </c>
      <c r="D136" t="s">
        <v>1491</v>
      </c>
      <c r="E136" t="s">
        <v>1492</v>
      </c>
      <c r="F136" t="s">
        <v>773</v>
      </c>
      <c r="G136" t="s">
        <v>774</v>
      </c>
      <c r="H136" t="s">
        <v>1271</v>
      </c>
      <c r="I136" t="s">
        <v>111</v>
      </c>
      <c r="J136" t="s">
        <v>39</v>
      </c>
      <c r="K136" s="2">
        <v>46216</v>
      </c>
      <c r="L136" s="2">
        <v>46234</v>
      </c>
      <c r="N136" s="2">
        <v>46204</v>
      </c>
      <c r="O136" s="2">
        <v>46569</v>
      </c>
      <c r="P136">
        <v>12</v>
      </c>
      <c r="Q136" t="s">
        <v>40</v>
      </c>
      <c r="R136" t="s">
        <v>53</v>
      </c>
      <c r="S136" t="s">
        <v>105</v>
      </c>
      <c r="T136" t="s">
        <v>55</v>
      </c>
      <c r="U136" t="s">
        <v>106</v>
      </c>
      <c r="V136" t="s">
        <v>138</v>
      </c>
      <c r="W136" t="s">
        <v>132</v>
      </c>
      <c r="X136" t="s">
        <v>68</v>
      </c>
      <c r="Y136">
        <v>113006.54</v>
      </c>
      <c r="Z136">
        <v>73454.25</v>
      </c>
      <c r="AA136">
        <v>0.65</v>
      </c>
      <c r="AB136" t="s">
        <v>39</v>
      </c>
      <c r="AC136" t="s">
        <v>39</v>
      </c>
      <c r="AD136" t="s">
        <v>48</v>
      </c>
    </row>
    <row r="137" spans="1:30" x14ac:dyDescent="0.35">
      <c r="A137" s="1" t="s">
        <v>30</v>
      </c>
      <c r="B137" t="s">
        <v>521</v>
      </c>
      <c r="C137" t="s">
        <v>165</v>
      </c>
      <c r="D137" t="s">
        <v>1493</v>
      </c>
      <c r="E137" t="s">
        <v>1494</v>
      </c>
      <c r="F137" t="s">
        <v>1087</v>
      </c>
      <c r="G137" t="s">
        <v>1088</v>
      </c>
      <c r="H137" t="s">
        <v>1271</v>
      </c>
      <c r="I137" t="s">
        <v>103</v>
      </c>
      <c r="J137" t="s">
        <v>39</v>
      </c>
      <c r="K137" s="2">
        <v>46206</v>
      </c>
      <c r="L137" s="2">
        <v>46234</v>
      </c>
      <c r="N137" s="2">
        <v>46204</v>
      </c>
      <c r="O137" s="2">
        <v>46935</v>
      </c>
      <c r="P137">
        <v>24</v>
      </c>
      <c r="Q137" t="s">
        <v>65</v>
      </c>
      <c r="R137" t="s">
        <v>53</v>
      </c>
      <c r="S137" t="s">
        <v>130</v>
      </c>
      <c r="T137" t="s">
        <v>131</v>
      </c>
      <c r="U137" t="s">
        <v>56</v>
      </c>
      <c r="V137" t="s">
        <v>98</v>
      </c>
      <c r="W137" t="s">
        <v>120</v>
      </c>
      <c r="X137" t="s">
        <v>68</v>
      </c>
      <c r="Y137">
        <v>104220.12</v>
      </c>
      <c r="Z137">
        <v>83376.09</v>
      </c>
      <c r="AA137">
        <v>0.8</v>
      </c>
      <c r="AB137" t="s">
        <v>39</v>
      </c>
      <c r="AC137" t="s">
        <v>39</v>
      </c>
      <c r="AD137" t="s">
        <v>48</v>
      </c>
    </row>
    <row r="138" spans="1:30" x14ac:dyDescent="0.35">
      <c r="A138" s="1" t="s">
        <v>30</v>
      </c>
      <c r="B138" t="s">
        <v>521</v>
      </c>
      <c r="C138" t="s">
        <v>165</v>
      </c>
      <c r="D138" t="s">
        <v>1495</v>
      </c>
      <c r="E138" t="s">
        <v>1496</v>
      </c>
      <c r="F138" t="s">
        <v>734</v>
      </c>
      <c r="G138" t="s">
        <v>735</v>
      </c>
      <c r="H138" t="s">
        <v>1290</v>
      </c>
      <c r="I138" t="s">
        <v>111</v>
      </c>
      <c r="J138" t="s">
        <v>1290</v>
      </c>
      <c r="K138" s="2">
        <v>46217</v>
      </c>
      <c r="L138" s="2">
        <v>46234</v>
      </c>
      <c r="N138" s="2">
        <v>46204</v>
      </c>
      <c r="O138" s="2">
        <v>46569</v>
      </c>
      <c r="P138">
        <v>12</v>
      </c>
      <c r="Q138" t="s">
        <v>40</v>
      </c>
      <c r="R138" t="s">
        <v>41</v>
      </c>
      <c r="S138" t="s">
        <v>140</v>
      </c>
      <c r="T138" t="s">
        <v>97</v>
      </c>
      <c r="U138" t="s">
        <v>44</v>
      </c>
      <c r="V138" t="s">
        <v>67</v>
      </c>
      <c r="W138" t="s">
        <v>82</v>
      </c>
      <c r="X138" t="s">
        <v>125</v>
      </c>
      <c r="Y138">
        <v>90195.42</v>
      </c>
      <c r="Z138">
        <v>45097.71</v>
      </c>
      <c r="AA138">
        <v>0.5</v>
      </c>
      <c r="AB138" t="s">
        <v>1290</v>
      </c>
      <c r="AC138" t="s">
        <v>1290</v>
      </c>
      <c r="AD138" t="s">
        <v>48</v>
      </c>
    </row>
    <row r="139" spans="1:30" x14ac:dyDescent="0.35">
      <c r="A139" s="1" t="s">
        <v>30</v>
      </c>
      <c r="B139" t="s">
        <v>521</v>
      </c>
      <c r="C139" t="s">
        <v>165</v>
      </c>
      <c r="D139" t="s">
        <v>1497</v>
      </c>
      <c r="E139" t="s">
        <v>1498</v>
      </c>
      <c r="F139" t="s">
        <v>1499</v>
      </c>
      <c r="G139" t="s">
        <v>1500</v>
      </c>
      <c r="H139" t="s">
        <v>1290</v>
      </c>
      <c r="I139" t="s">
        <v>117</v>
      </c>
      <c r="J139" t="s">
        <v>1290</v>
      </c>
      <c r="K139" s="2">
        <v>46216</v>
      </c>
      <c r="L139" s="2">
        <v>46234</v>
      </c>
      <c r="N139" s="2">
        <v>46204</v>
      </c>
      <c r="O139" s="2">
        <v>46569</v>
      </c>
      <c r="P139">
        <v>12</v>
      </c>
      <c r="Q139" t="s">
        <v>104</v>
      </c>
      <c r="R139" t="s">
        <v>88</v>
      </c>
      <c r="S139" t="s">
        <v>135</v>
      </c>
      <c r="T139" t="s">
        <v>131</v>
      </c>
      <c r="U139" t="s">
        <v>44</v>
      </c>
      <c r="V139" t="s">
        <v>45</v>
      </c>
      <c r="W139" t="s">
        <v>90</v>
      </c>
      <c r="X139" t="s">
        <v>68</v>
      </c>
      <c r="Y139">
        <v>135418.41</v>
      </c>
      <c r="Z139">
        <v>88021.96</v>
      </c>
      <c r="AA139">
        <v>0.65</v>
      </c>
      <c r="AB139" t="s">
        <v>1290</v>
      </c>
      <c r="AC139" t="s">
        <v>1290</v>
      </c>
      <c r="AD139" t="s">
        <v>48</v>
      </c>
    </row>
    <row r="140" spans="1:30" x14ac:dyDescent="0.35">
      <c r="A140" s="1" t="s">
        <v>30</v>
      </c>
      <c r="B140" t="s">
        <v>521</v>
      </c>
      <c r="C140" t="s">
        <v>165</v>
      </c>
      <c r="D140" t="s">
        <v>1501</v>
      </c>
      <c r="E140" t="s">
        <v>1502</v>
      </c>
      <c r="F140" t="s">
        <v>1503</v>
      </c>
      <c r="G140" t="s">
        <v>1504</v>
      </c>
      <c r="H140" t="s">
        <v>1290</v>
      </c>
      <c r="I140" t="s">
        <v>117</v>
      </c>
      <c r="J140" t="s">
        <v>1290</v>
      </c>
      <c r="K140" s="2">
        <v>46209</v>
      </c>
      <c r="L140" s="2">
        <v>46234</v>
      </c>
      <c r="N140" s="2">
        <v>46204</v>
      </c>
      <c r="O140" s="2">
        <v>46569</v>
      </c>
      <c r="P140">
        <v>12</v>
      </c>
      <c r="Q140" t="s">
        <v>40</v>
      </c>
      <c r="R140" t="s">
        <v>53</v>
      </c>
      <c r="S140" t="s">
        <v>164</v>
      </c>
      <c r="T140" t="s">
        <v>55</v>
      </c>
      <c r="U140" t="s">
        <v>56</v>
      </c>
      <c r="V140" t="s">
        <v>57</v>
      </c>
      <c r="W140" t="s">
        <v>82</v>
      </c>
      <c r="X140" t="s">
        <v>158</v>
      </c>
      <c r="Y140">
        <v>152929.59</v>
      </c>
      <c r="Z140">
        <v>122343.67</v>
      </c>
      <c r="AA140">
        <v>0.8</v>
      </c>
      <c r="AB140" t="s">
        <v>1290</v>
      </c>
      <c r="AC140" t="s">
        <v>1290</v>
      </c>
      <c r="AD140" t="s">
        <v>48</v>
      </c>
    </row>
    <row r="141" spans="1:30" x14ac:dyDescent="0.35">
      <c r="A141" s="1" t="s">
        <v>30</v>
      </c>
      <c r="B141" t="s">
        <v>521</v>
      </c>
      <c r="C141" t="s">
        <v>165</v>
      </c>
      <c r="D141" t="s">
        <v>1505</v>
      </c>
      <c r="E141" t="s">
        <v>1506</v>
      </c>
      <c r="F141" t="s">
        <v>1507</v>
      </c>
      <c r="G141" t="s">
        <v>1508</v>
      </c>
      <c r="H141" t="s">
        <v>1295</v>
      </c>
      <c r="I141" t="s">
        <v>117</v>
      </c>
      <c r="J141" t="s">
        <v>1295</v>
      </c>
      <c r="K141" s="2">
        <v>46209</v>
      </c>
      <c r="L141" s="2">
        <v>46234</v>
      </c>
      <c r="N141" s="2">
        <v>46204</v>
      </c>
      <c r="O141" s="2">
        <v>46569</v>
      </c>
      <c r="P141">
        <v>12</v>
      </c>
      <c r="Q141" t="s">
        <v>40</v>
      </c>
      <c r="R141" t="s">
        <v>88</v>
      </c>
      <c r="S141" t="s">
        <v>140</v>
      </c>
      <c r="T141" t="s">
        <v>97</v>
      </c>
      <c r="U141" t="s">
        <v>106</v>
      </c>
      <c r="V141" t="s">
        <v>45</v>
      </c>
      <c r="W141" t="s">
        <v>161</v>
      </c>
      <c r="X141" t="s">
        <v>143</v>
      </c>
      <c r="Y141">
        <v>203576.56</v>
      </c>
      <c r="Z141">
        <v>101788.28</v>
      </c>
      <c r="AA141">
        <v>0.5</v>
      </c>
      <c r="AB141" t="s">
        <v>1295</v>
      </c>
      <c r="AC141" t="s">
        <v>1295</v>
      </c>
      <c r="AD141" t="s">
        <v>48</v>
      </c>
    </row>
    <row r="142" spans="1:30" x14ac:dyDescent="0.35">
      <c r="A142" s="1" t="s">
        <v>30</v>
      </c>
      <c r="B142" t="s">
        <v>521</v>
      </c>
      <c r="C142" t="s">
        <v>165</v>
      </c>
      <c r="D142" t="s">
        <v>1509</v>
      </c>
      <c r="E142" t="s">
        <v>1510</v>
      </c>
      <c r="F142" t="s">
        <v>507</v>
      </c>
      <c r="G142" t="s">
        <v>508</v>
      </c>
      <c r="H142" t="s">
        <v>1295</v>
      </c>
      <c r="I142" t="s">
        <v>117</v>
      </c>
      <c r="J142" t="s">
        <v>1295</v>
      </c>
      <c r="K142" s="2">
        <v>46215</v>
      </c>
      <c r="L142" s="2">
        <v>46234</v>
      </c>
      <c r="N142" s="2">
        <v>46204</v>
      </c>
      <c r="O142" s="2">
        <v>46569</v>
      </c>
      <c r="P142">
        <v>12</v>
      </c>
      <c r="Q142" t="s">
        <v>65</v>
      </c>
      <c r="R142" t="s">
        <v>88</v>
      </c>
      <c r="S142" t="s">
        <v>73</v>
      </c>
      <c r="T142" t="s">
        <v>43</v>
      </c>
      <c r="U142" t="s">
        <v>56</v>
      </c>
      <c r="V142" t="s">
        <v>81</v>
      </c>
      <c r="W142" t="s">
        <v>136</v>
      </c>
      <c r="X142" t="s">
        <v>158</v>
      </c>
      <c r="Y142">
        <v>211304.87</v>
      </c>
      <c r="Z142">
        <v>105652.43</v>
      </c>
      <c r="AA142">
        <v>0.5</v>
      </c>
      <c r="AB142" t="s">
        <v>1295</v>
      </c>
      <c r="AC142" t="s">
        <v>1295</v>
      </c>
      <c r="AD142" t="s">
        <v>48</v>
      </c>
    </row>
    <row r="143" spans="1:30" x14ac:dyDescent="0.35">
      <c r="A143" s="1" t="s">
        <v>30</v>
      </c>
      <c r="B143" t="s">
        <v>521</v>
      </c>
      <c r="C143" t="s">
        <v>165</v>
      </c>
      <c r="D143" t="s">
        <v>1511</v>
      </c>
      <c r="E143" t="s">
        <v>1512</v>
      </c>
      <c r="F143" t="s">
        <v>925</v>
      </c>
      <c r="G143" t="s">
        <v>926</v>
      </c>
      <c r="H143" t="s">
        <v>1295</v>
      </c>
      <c r="I143" t="s">
        <v>38</v>
      </c>
      <c r="J143" t="s">
        <v>1295</v>
      </c>
      <c r="K143" s="2">
        <v>46210</v>
      </c>
      <c r="L143" s="2">
        <v>46234</v>
      </c>
      <c r="N143" s="2">
        <v>46204</v>
      </c>
      <c r="O143" s="2">
        <v>46569</v>
      </c>
      <c r="P143">
        <v>12</v>
      </c>
      <c r="Q143" t="s">
        <v>65</v>
      </c>
      <c r="R143" t="s">
        <v>41</v>
      </c>
      <c r="S143" t="s">
        <v>135</v>
      </c>
      <c r="T143" t="s">
        <v>131</v>
      </c>
      <c r="U143" t="s">
        <v>106</v>
      </c>
      <c r="V143" t="s">
        <v>74</v>
      </c>
      <c r="W143" t="s">
        <v>150</v>
      </c>
      <c r="X143" t="s">
        <v>68</v>
      </c>
      <c r="Y143">
        <v>216058.46</v>
      </c>
      <c r="Z143">
        <v>75620.460000000006</v>
      </c>
      <c r="AA143">
        <v>0.35</v>
      </c>
      <c r="AB143" t="s">
        <v>1295</v>
      </c>
      <c r="AC143" t="s">
        <v>1295</v>
      </c>
      <c r="AD143" t="s">
        <v>48</v>
      </c>
    </row>
    <row r="144" spans="1:30" x14ac:dyDescent="0.35">
      <c r="A144" s="1" t="s">
        <v>30</v>
      </c>
      <c r="B144" t="s">
        <v>521</v>
      </c>
      <c r="C144" t="s">
        <v>165</v>
      </c>
      <c r="D144" t="s">
        <v>1513</v>
      </c>
      <c r="E144" t="s">
        <v>1514</v>
      </c>
      <c r="F144" t="s">
        <v>1165</v>
      </c>
      <c r="G144" t="s">
        <v>1166</v>
      </c>
      <c r="H144" t="s">
        <v>1302</v>
      </c>
      <c r="I144" t="s">
        <v>117</v>
      </c>
      <c r="J144" t="s">
        <v>39</v>
      </c>
      <c r="K144" s="2">
        <v>46215</v>
      </c>
      <c r="L144" s="2">
        <v>46234</v>
      </c>
      <c r="N144" s="2">
        <v>46204</v>
      </c>
      <c r="O144" s="2">
        <v>46569</v>
      </c>
      <c r="P144">
        <v>12</v>
      </c>
      <c r="Q144" t="s">
        <v>40</v>
      </c>
      <c r="R144" t="s">
        <v>41</v>
      </c>
      <c r="S144" t="s">
        <v>96</v>
      </c>
      <c r="T144" t="s">
        <v>97</v>
      </c>
      <c r="U144" t="s">
        <v>106</v>
      </c>
      <c r="V144" t="s">
        <v>144</v>
      </c>
      <c r="W144" t="s">
        <v>132</v>
      </c>
      <c r="X144" t="s">
        <v>47</v>
      </c>
      <c r="Y144">
        <v>132528.35</v>
      </c>
      <c r="Z144">
        <v>66264.179999999993</v>
      </c>
      <c r="AA144">
        <v>0.5</v>
      </c>
      <c r="AB144" t="s">
        <v>39</v>
      </c>
      <c r="AC144" t="s">
        <v>39</v>
      </c>
      <c r="AD144" t="s">
        <v>48</v>
      </c>
    </row>
    <row r="145" spans="1:30" x14ac:dyDescent="0.35">
      <c r="A145" s="1" t="s">
        <v>30</v>
      </c>
      <c r="B145" t="s">
        <v>521</v>
      </c>
      <c r="C145" t="s">
        <v>165</v>
      </c>
      <c r="D145" t="s">
        <v>1515</v>
      </c>
      <c r="E145" t="s">
        <v>1516</v>
      </c>
      <c r="F145" t="s">
        <v>156</v>
      </c>
      <c r="G145" t="s">
        <v>157</v>
      </c>
      <c r="H145" t="s">
        <v>1302</v>
      </c>
      <c r="I145" t="s">
        <v>103</v>
      </c>
      <c r="J145" t="s">
        <v>39</v>
      </c>
      <c r="K145" s="2">
        <v>46210</v>
      </c>
      <c r="L145" s="2">
        <v>46234</v>
      </c>
      <c r="N145" s="2">
        <v>46204</v>
      </c>
      <c r="O145" s="2">
        <v>46935</v>
      </c>
      <c r="P145">
        <v>24</v>
      </c>
      <c r="Q145" t="s">
        <v>40</v>
      </c>
      <c r="R145" t="s">
        <v>53</v>
      </c>
      <c r="S145" t="s">
        <v>135</v>
      </c>
      <c r="T145" t="s">
        <v>131</v>
      </c>
      <c r="U145" t="s">
        <v>56</v>
      </c>
      <c r="V145" t="s">
        <v>74</v>
      </c>
      <c r="W145" t="s">
        <v>132</v>
      </c>
      <c r="X145" t="s">
        <v>47</v>
      </c>
      <c r="Y145">
        <v>76809.05</v>
      </c>
      <c r="Z145">
        <v>49925.88</v>
      </c>
      <c r="AA145">
        <v>0.65</v>
      </c>
      <c r="AB145" t="s">
        <v>39</v>
      </c>
      <c r="AC145" t="s">
        <v>39</v>
      </c>
      <c r="AD145" t="s">
        <v>48</v>
      </c>
    </row>
    <row r="146" spans="1:30" x14ac:dyDescent="0.35">
      <c r="A146" s="1" t="s">
        <v>30</v>
      </c>
      <c r="B146" t="s">
        <v>521</v>
      </c>
      <c r="C146" t="s">
        <v>165</v>
      </c>
      <c r="D146" t="s">
        <v>1517</v>
      </c>
      <c r="E146" t="s">
        <v>1518</v>
      </c>
      <c r="F146" t="s">
        <v>262</v>
      </c>
      <c r="G146" t="s">
        <v>263</v>
      </c>
      <c r="H146" t="s">
        <v>1302</v>
      </c>
      <c r="I146" t="s">
        <v>103</v>
      </c>
      <c r="J146" t="s">
        <v>39</v>
      </c>
      <c r="K146" s="2">
        <v>46215</v>
      </c>
      <c r="L146" s="2">
        <v>46234</v>
      </c>
      <c r="N146" s="2">
        <v>46204</v>
      </c>
      <c r="O146" s="2">
        <v>46569</v>
      </c>
      <c r="P146">
        <v>12</v>
      </c>
      <c r="Q146" t="s">
        <v>65</v>
      </c>
      <c r="R146" t="s">
        <v>41</v>
      </c>
      <c r="S146" t="s">
        <v>222</v>
      </c>
      <c r="T146" t="s">
        <v>97</v>
      </c>
      <c r="U146" t="s">
        <v>106</v>
      </c>
      <c r="V146" t="s">
        <v>119</v>
      </c>
      <c r="W146" t="s">
        <v>75</v>
      </c>
      <c r="X146" t="s">
        <v>68</v>
      </c>
      <c r="Y146">
        <v>98140.59</v>
      </c>
      <c r="Z146">
        <v>34349.21</v>
      </c>
      <c r="AA146">
        <v>0.35</v>
      </c>
      <c r="AB146" t="s">
        <v>39</v>
      </c>
      <c r="AC146" t="s">
        <v>39</v>
      </c>
      <c r="AD146" t="s">
        <v>48</v>
      </c>
    </row>
    <row r="147" spans="1:30" x14ac:dyDescent="0.35">
      <c r="A147" s="1" t="s">
        <v>30</v>
      </c>
      <c r="B147" t="s">
        <v>521</v>
      </c>
      <c r="C147" t="s">
        <v>231</v>
      </c>
      <c r="D147" t="s">
        <v>833</v>
      </c>
      <c r="E147" t="s">
        <v>834</v>
      </c>
      <c r="F147" t="s">
        <v>835</v>
      </c>
      <c r="G147" t="s">
        <v>836</v>
      </c>
      <c r="H147" t="s">
        <v>37</v>
      </c>
      <c r="I147" t="s">
        <v>38</v>
      </c>
      <c r="J147" t="s">
        <v>39</v>
      </c>
      <c r="K147" s="2">
        <v>46235</v>
      </c>
      <c r="L147" s="2">
        <v>46265</v>
      </c>
      <c r="N147" s="2">
        <v>46235</v>
      </c>
      <c r="O147" s="2">
        <v>46600</v>
      </c>
      <c r="P147">
        <v>12</v>
      </c>
      <c r="Q147" t="s">
        <v>65</v>
      </c>
      <c r="R147" t="s">
        <v>53</v>
      </c>
      <c r="S147" t="s">
        <v>141</v>
      </c>
      <c r="T147" t="s">
        <v>131</v>
      </c>
      <c r="U147" t="s">
        <v>44</v>
      </c>
      <c r="V147" t="s">
        <v>45</v>
      </c>
      <c r="W147" t="s">
        <v>136</v>
      </c>
      <c r="X147" t="s">
        <v>158</v>
      </c>
      <c r="Y147">
        <v>160205.01</v>
      </c>
      <c r="Z147">
        <v>128164.01</v>
      </c>
      <c r="AA147">
        <v>0.8</v>
      </c>
      <c r="AB147" t="s">
        <v>39</v>
      </c>
      <c r="AC147" t="s">
        <v>39</v>
      </c>
      <c r="AD147" t="s">
        <v>48</v>
      </c>
    </row>
    <row r="148" spans="1:30" x14ac:dyDescent="0.35">
      <c r="A148" s="1" t="s">
        <v>30</v>
      </c>
      <c r="B148" t="s">
        <v>521</v>
      </c>
      <c r="C148" t="s">
        <v>231</v>
      </c>
      <c r="D148" t="s">
        <v>837</v>
      </c>
      <c r="E148" t="s">
        <v>838</v>
      </c>
      <c r="F148" t="s">
        <v>839</v>
      </c>
      <c r="G148" t="s">
        <v>840</v>
      </c>
      <c r="H148" t="s">
        <v>37</v>
      </c>
      <c r="I148" t="s">
        <v>111</v>
      </c>
      <c r="J148" t="s">
        <v>39</v>
      </c>
      <c r="K148" s="2">
        <v>46248</v>
      </c>
      <c r="L148" s="2">
        <v>46265</v>
      </c>
      <c r="N148" s="2">
        <v>46235</v>
      </c>
      <c r="O148" s="2">
        <v>46966</v>
      </c>
      <c r="P148">
        <v>24</v>
      </c>
      <c r="Q148" t="s">
        <v>65</v>
      </c>
      <c r="R148" t="s">
        <v>53</v>
      </c>
      <c r="S148" t="s">
        <v>182</v>
      </c>
      <c r="T148" t="s">
        <v>97</v>
      </c>
      <c r="U148" t="s">
        <v>44</v>
      </c>
      <c r="V148" t="s">
        <v>81</v>
      </c>
      <c r="W148" t="s">
        <v>58</v>
      </c>
      <c r="X148" t="s">
        <v>143</v>
      </c>
      <c r="Y148">
        <v>151272.92000000001</v>
      </c>
      <c r="Z148">
        <v>52945.52</v>
      </c>
      <c r="AA148">
        <v>0.35</v>
      </c>
      <c r="AB148" t="s">
        <v>39</v>
      </c>
      <c r="AC148" t="s">
        <v>39</v>
      </c>
      <c r="AD148" t="s">
        <v>48</v>
      </c>
    </row>
    <row r="149" spans="1:30" x14ac:dyDescent="0.35">
      <c r="A149" s="1" t="s">
        <v>30</v>
      </c>
      <c r="B149" t="s">
        <v>521</v>
      </c>
      <c r="C149" t="s">
        <v>231</v>
      </c>
      <c r="D149" t="s">
        <v>841</v>
      </c>
      <c r="E149" t="s">
        <v>842</v>
      </c>
      <c r="F149" t="s">
        <v>843</v>
      </c>
      <c r="G149" t="s">
        <v>844</v>
      </c>
      <c r="H149" t="s">
        <v>37</v>
      </c>
      <c r="I149" t="s">
        <v>64</v>
      </c>
      <c r="J149" t="s">
        <v>39</v>
      </c>
      <c r="K149" s="2">
        <v>46239</v>
      </c>
      <c r="L149" s="2">
        <v>46265</v>
      </c>
      <c r="N149" s="2">
        <v>46235</v>
      </c>
      <c r="O149" s="2">
        <v>46966</v>
      </c>
      <c r="P149">
        <v>24</v>
      </c>
      <c r="Q149" t="s">
        <v>104</v>
      </c>
      <c r="R149" t="s">
        <v>53</v>
      </c>
      <c r="S149" t="s">
        <v>89</v>
      </c>
      <c r="T149" t="s">
        <v>55</v>
      </c>
      <c r="U149" t="s">
        <v>106</v>
      </c>
      <c r="V149" t="s">
        <v>217</v>
      </c>
      <c r="W149" t="s">
        <v>46</v>
      </c>
      <c r="X149" t="s">
        <v>83</v>
      </c>
      <c r="Y149">
        <v>121622.02</v>
      </c>
      <c r="Z149">
        <v>42567.71</v>
      </c>
      <c r="AA149">
        <v>0.35</v>
      </c>
      <c r="AB149" t="s">
        <v>39</v>
      </c>
      <c r="AC149" t="s">
        <v>39</v>
      </c>
      <c r="AD149" t="s">
        <v>48</v>
      </c>
    </row>
    <row r="150" spans="1:30" x14ac:dyDescent="0.35">
      <c r="A150" s="1" t="s">
        <v>30</v>
      </c>
      <c r="B150" t="s">
        <v>521</v>
      </c>
      <c r="C150" t="s">
        <v>231</v>
      </c>
      <c r="D150" t="s">
        <v>845</v>
      </c>
      <c r="E150" t="s">
        <v>846</v>
      </c>
      <c r="F150" t="s">
        <v>847</v>
      </c>
      <c r="G150" t="s">
        <v>848</v>
      </c>
      <c r="H150" t="s">
        <v>37</v>
      </c>
      <c r="I150" t="s">
        <v>117</v>
      </c>
      <c r="J150" t="s">
        <v>39</v>
      </c>
      <c r="K150" s="2">
        <v>46240</v>
      </c>
      <c r="L150" s="2">
        <v>46265</v>
      </c>
      <c r="N150" s="2">
        <v>46235</v>
      </c>
      <c r="O150" s="2">
        <v>46600</v>
      </c>
      <c r="P150">
        <v>12</v>
      </c>
      <c r="Q150" t="s">
        <v>40</v>
      </c>
      <c r="R150" t="s">
        <v>41</v>
      </c>
      <c r="S150" t="s">
        <v>163</v>
      </c>
      <c r="T150" t="s">
        <v>131</v>
      </c>
      <c r="U150" t="s">
        <v>56</v>
      </c>
      <c r="V150" t="s">
        <v>138</v>
      </c>
      <c r="W150" t="s">
        <v>46</v>
      </c>
      <c r="X150" t="s">
        <v>83</v>
      </c>
      <c r="Y150">
        <v>191546.56</v>
      </c>
      <c r="Z150">
        <v>67041.3</v>
      </c>
      <c r="AA150">
        <v>0.35</v>
      </c>
      <c r="AB150" t="s">
        <v>39</v>
      </c>
      <c r="AC150" t="s">
        <v>39</v>
      </c>
      <c r="AD150" t="s">
        <v>48</v>
      </c>
    </row>
    <row r="151" spans="1:30" x14ac:dyDescent="0.35">
      <c r="A151" s="1" t="s">
        <v>30</v>
      </c>
      <c r="B151" t="s">
        <v>521</v>
      </c>
      <c r="C151" t="s">
        <v>231</v>
      </c>
      <c r="D151" t="s">
        <v>849</v>
      </c>
      <c r="E151" t="s">
        <v>850</v>
      </c>
      <c r="F151" t="s">
        <v>851</v>
      </c>
      <c r="G151" t="s">
        <v>852</v>
      </c>
      <c r="H151" t="s">
        <v>37</v>
      </c>
      <c r="I151" t="s">
        <v>38</v>
      </c>
      <c r="J151" t="s">
        <v>39</v>
      </c>
      <c r="K151" s="2">
        <v>46244</v>
      </c>
      <c r="L151" s="2">
        <v>46265</v>
      </c>
      <c r="N151" s="2">
        <v>46235</v>
      </c>
      <c r="O151" s="2">
        <v>46966</v>
      </c>
      <c r="P151">
        <v>24</v>
      </c>
      <c r="Q151" t="s">
        <v>40</v>
      </c>
      <c r="R151" t="s">
        <v>41</v>
      </c>
      <c r="S151" t="s">
        <v>96</v>
      </c>
      <c r="T151" t="s">
        <v>97</v>
      </c>
      <c r="U151" t="s">
        <v>44</v>
      </c>
      <c r="V151" t="s">
        <v>45</v>
      </c>
      <c r="W151" t="s">
        <v>161</v>
      </c>
      <c r="X151" t="s">
        <v>83</v>
      </c>
      <c r="Y151">
        <v>133915.74</v>
      </c>
      <c r="Z151">
        <v>66957.87</v>
      </c>
      <c r="AA151">
        <v>0.5</v>
      </c>
      <c r="AB151" t="s">
        <v>39</v>
      </c>
      <c r="AC151" t="s">
        <v>39</v>
      </c>
      <c r="AD151" t="s">
        <v>48</v>
      </c>
    </row>
    <row r="152" spans="1:30" x14ac:dyDescent="0.35">
      <c r="A152" s="1" t="s">
        <v>30</v>
      </c>
      <c r="B152" t="s">
        <v>521</v>
      </c>
      <c r="C152" t="s">
        <v>231</v>
      </c>
      <c r="D152" t="s">
        <v>853</v>
      </c>
      <c r="E152" t="s">
        <v>854</v>
      </c>
      <c r="F152" t="s">
        <v>855</v>
      </c>
      <c r="G152" t="s">
        <v>856</v>
      </c>
      <c r="H152" t="s">
        <v>37</v>
      </c>
      <c r="I152" t="s">
        <v>38</v>
      </c>
      <c r="J152" t="s">
        <v>39</v>
      </c>
      <c r="K152" s="2">
        <v>46246</v>
      </c>
      <c r="L152" s="2">
        <v>46265</v>
      </c>
      <c r="N152" s="2">
        <v>46235</v>
      </c>
      <c r="O152" s="2">
        <v>46966</v>
      </c>
      <c r="P152">
        <v>24</v>
      </c>
      <c r="Q152" t="s">
        <v>104</v>
      </c>
      <c r="R152" t="s">
        <v>53</v>
      </c>
      <c r="S152" t="s">
        <v>66</v>
      </c>
      <c r="T152" t="s">
        <v>55</v>
      </c>
      <c r="U152" t="s">
        <v>106</v>
      </c>
      <c r="V152" t="s">
        <v>144</v>
      </c>
      <c r="W152" t="s">
        <v>46</v>
      </c>
      <c r="X152" t="s">
        <v>91</v>
      </c>
      <c r="Y152">
        <v>161782.10999999999</v>
      </c>
      <c r="Z152">
        <v>56623.74</v>
      </c>
      <c r="AA152">
        <v>0.35</v>
      </c>
      <c r="AB152" t="s">
        <v>39</v>
      </c>
      <c r="AC152" t="s">
        <v>39</v>
      </c>
      <c r="AD152" t="s">
        <v>48</v>
      </c>
    </row>
    <row r="153" spans="1:30" x14ac:dyDescent="0.35">
      <c r="A153" s="1" t="s">
        <v>30</v>
      </c>
      <c r="B153" t="s">
        <v>521</v>
      </c>
      <c r="C153" t="s">
        <v>231</v>
      </c>
      <c r="D153" t="s">
        <v>857</v>
      </c>
      <c r="E153" t="s">
        <v>858</v>
      </c>
      <c r="F153" t="s">
        <v>859</v>
      </c>
      <c r="G153" t="s">
        <v>860</v>
      </c>
      <c r="H153" t="s">
        <v>37</v>
      </c>
      <c r="I153" t="s">
        <v>64</v>
      </c>
      <c r="J153" t="s">
        <v>39</v>
      </c>
      <c r="K153" s="2">
        <v>46242</v>
      </c>
      <c r="L153" s="2">
        <v>46265</v>
      </c>
      <c r="N153" s="2">
        <v>46235</v>
      </c>
      <c r="O153" s="2">
        <v>46600</v>
      </c>
      <c r="P153">
        <v>12</v>
      </c>
      <c r="Q153" t="s">
        <v>40</v>
      </c>
      <c r="R153" t="s">
        <v>41</v>
      </c>
      <c r="S153" t="s">
        <v>182</v>
      </c>
      <c r="T153" t="s">
        <v>97</v>
      </c>
      <c r="U153" t="s">
        <v>44</v>
      </c>
      <c r="V153" t="s">
        <v>144</v>
      </c>
      <c r="W153" t="s">
        <v>132</v>
      </c>
      <c r="X153" t="s">
        <v>59</v>
      </c>
      <c r="Y153">
        <v>158188.32</v>
      </c>
      <c r="Z153">
        <v>126550.66</v>
      </c>
      <c r="AA153">
        <v>0.8</v>
      </c>
      <c r="AB153" t="s">
        <v>39</v>
      </c>
      <c r="AC153" t="s">
        <v>39</v>
      </c>
      <c r="AD153" t="s">
        <v>48</v>
      </c>
    </row>
    <row r="154" spans="1:30" x14ac:dyDescent="0.35">
      <c r="A154" s="1" t="s">
        <v>30</v>
      </c>
      <c r="B154" t="s">
        <v>521</v>
      </c>
      <c r="C154" t="s">
        <v>231</v>
      </c>
      <c r="D154" t="s">
        <v>861</v>
      </c>
      <c r="E154" t="s">
        <v>862</v>
      </c>
      <c r="F154" t="s">
        <v>863</v>
      </c>
      <c r="G154" t="s">
        <v>864</v>
      </c>
      <c r="H154" t="s">
        <v>37</v>
      </c>
      <c r="I154" t="s">
        <v>38</v>
      </c>
      <c r="J154" t="s">
        <v>39</v>
      </c>
      <c r="K154" s="2">
        <v>46247</v>
      </c>
      <c r="L154" s="2">
        <v>46265</v>
      </c>
      <c r="N154" s="2">
        <v>46235</v>
      </c>
      <c r="O154" s="2">
        <v>46600</v>
      </c>
      <c r="P154">
        <v>12</v>
      </c>
      <c r="Q154" t="s">
        <v>104</v>
      </c>
      <c r="R154" t="s">
        <v>53</v>
      </c>
      <c r="S154" t="s">
        <v>141</v>
      </c>
      <c r="T154" t="s">
        <v>131</v>
      </c>
      <c r="U154" t="s">
        <v>106</v>
      </c>
      <c r="V154" t="s">
        <v>45</v>
      </c>
      <c r="W154" t="s">
        <v>142</v>
      </c>
      <c r="X154" t="s">
        <v>125</v>
      </c>
      <c r="Y154">
        <v>148884.19</v>
      </c>
      <c r="Z154">
        <v>74442.09</v>
      </c>
      <c r="AA154">
        <v>0.5</v>
      </c>
      <c r="AB154" t="s">
        <v>39</v>
      </c>
      <c r="AC154" t="s">
        <v>39</v>
      </c>
      <c r="AD154" t="s">
        <v>48</v>
      </c>
    </row>
    <row r="155" spans="1:30" x14ac:dyDescent="0.35">
      <c r="A155" s="1" t="s">
        <v>30</v>
      </c>
      <c r="B155" t="s">
        <v>521</v>
      </c>
      <c r="C155" t="s">
        <v>231</v>
      </c>
      <c r="D155" t="s">
        <v>865</v>
      </c>
      <c r="E155" t="s">
        <v>866</v>
      </c>
      <c r="F155" t="s">
        <v>867</v>
      </c>
      <c r="G155" t="s">
        <v>868</v>
      </c>
      <c r="H155" t="s">
        <v>37</v>
      </c>
      <c r="I155" t="s">
        <v>117</v>
      </c>
      <c r="J155" t="s">
        <v>39</v>
      </c>
      <c r="K155" s="2">
        <v>46247</v>
      </c>
      <c r="L155" s="2">
        <v>46265</v>
      </c>
      <c r="N155" s="2">
        <v>46235</v>
      </c>
      <c r="O155" s="2">
        <v>46600</v>
      </c>
      <c r="P155">
        <v>12</v>
      </c>
      <c r="Q155" t="s">
        <v>40</v>
      </c>
      <c r="R155" t="s">
        <v>41</v>
      </c>
      <c r="S155" t="s">
        <v>280</v>
      </c>
      <c r="T155" t="s">
        <v>43</v>
      </c>
      <c r="U155" t="s">
        <v>44</v>
      </c>
      <c r="V155" t="s">
        <v>138</v>
      </c>
      <c r="W155" t="s">
        <v>82</v>
      </c>
      <c r="X155" t="s">
        <v>59</v>
      </c>
      <c r="Y155">
        <v>184758.92</v>
      </c>
      <c r="Z155">
        <v>64665.62</v>
      </c>
      <c r="AA155">
        <v>0.35</v>
      </c>
      <c r="AB155" t="s">
        <v>39</v>
      </c>
      <c r="AC155" t="s">
        <v>39</v>
      </c>
      <c r="AD155" t="s">
        <v>48</v>
      </c>
    </row>
    <row r="156" spans="1:30" x14ac:dyDescent="0.35">
      <c r="A156" s="1" t="s">
        <v>30</v>
      </c>
      <c r="B156" t="s">
        <v>521</v>
      </c>
      <c r="C156" t="s">
        <v>231</v>
      </c>
      <c r="D156" t="s">
        <v>869</v>
      </c>
      <c r="E156" t="s">
        <v>870</v>
      </c>
      <c r="F156" t="s">
        <v>340</v>
      </c>
      <c r="G156" t="s">
        <v>341</v>
      </c>
      <c r="H156" t="s">
        <v>37</v>
      </c>
      <c r="I156" t="s">
        <v>111</v>
      </c>
      <c r="J156" t="s">
        <v>39</v>
      </c>
      <c r="K156" s="2">
        <v>46248</v>
      </c>
      <c r="L156" s="2">
        <v>46265</v>
      </c>
      <c r="N156" s="2">
        <v>46235</v>
      </c>
      <c r="O156" s="2">
        <v>46600</v>
      </c>
      <c r="P156">
        <v>12</v>
      </c>
      <c r="Q156" t="s">
        <v>40</v>
      </c>
      <c r="R156" t="s">
        <v>88</v>
      </c>
      <c r="S156" t="s">
        <v>112</v>
      </c>
      <c r="T156" t="s">
        <v>55</v>
      </c>
      <c r="U156" t="s">
        <v>56</v>
      </c>
      <c r="V156" t="s">
        <v>81</v>
      </c>
      <c r="W156" t="s">
        <v>120</v>
      </c>
      <c r="X156" t="s">
        <v>91</v>
      </c>
      <c r="Y156">
        <v>111273.94</v>
      </c>
      <c r="Z156">
        <v>89019.15</v>
      </c>
      <c r="AA156">
        <v>0.8</v>
      </c>
      <c r="AB156" t="s">
        <v>39</v>
      </c>
      <c r="AC156" t="s">
        <v>39</v>
      </c>
      <c r="AD156" t="s">
        <v>48</v>
      </c>
    </row>
    <row r="157" spans="1:30" x14ac:dyDescent="0.35">
      <c r="A157" s="1" t="s">
        <v>30</v>
      </c>
      <c r="B157" t="s">
        <v>521</v>
      </c>
      <c r="C157" t="s">
        <v>231</v>
      </c>
      <c r="D157" t="s">
        <v>871</v>
      </c>
      <c r="E157" t="s">
        <v>872</v>
      </c>
      <c r="F157" t="s">
        <v>873</v>
      </c>
      <c r="G157" t="s">
        <v>874</v>
      </c>
      <c r="H157" t="s">
        <v>37</v>
      </c>
      <c r="I157" t="s">
        <v>38</v>
      </c>
      <c r="J157" t="s">
        <v>39</v>
      </c>
      <c r="K157" s="2">
        <v>46247</v>
      </c>
      <c r="L157" s="2">
        <v>46265</v>
      </c>
      <c r="N157" s="2">
        <v>46235</v>
      </c>
      <c r="O157" s="2">
        <v>46966</v>
      </c>
      <c r="P157">
        <v>24</v>
      </c>
      <c r="Q157" t="s">
        <v>104</v>
      </c>
      <c r="R157" t="s">
        <v>41</v>
      </c>
      <c r="S157" t="s">
        <v>140</v>
      </c>
      <c r="T157" t="s">
        <v>97</v>
      </c>
      <c r="U157" t="s">
        <v>44</v>
      </c>
      <c r="V157" t="s">
        <v>138</v>
      </c>
      <c r="W157" t="s">
        <v>46</v>
      </c>
      <c r="X157" t="s">
        <v>59</v>
      </c>
      <c r="Y157">
        <v>157009.14000000001</v>
      </c>
      <c r="Z157">
        <v>54953.2</v>
      </c>
      <c r="AA157">
        <v>0.35</v>
      </c>
      <c r="AB157" t="s">
        <v>39</v>
      </c>
      <c r="AC157" t="s">
        <v>39</v>
      </c>
      <c r="AD157" t="s">
        <v>48</v>
      </c>
    </row>
    <row r="158" spans="1:30" x14ac:dyDescent="0.35">
      <c r="A158" s="1" t="s">
        <v>30</v>
      </c>
      <c r="B158" t="s">
        <v>521</v>
      </c>
      <c r="C158" t="s">
        <v>231</v>
      </c>
      <c r="D158" t="s">
        <v>1519</v>
      </c>
      <c r="E158" t="s">
        <v>1520</v>
      </c>
      <c r="F158" t="s">
        <v>1521</v>
      </c>
      <c r="G158" t="s">
        <v>1522</v>
      </c>
      <c r="H158" t="s">
        <v>1271</v>
      </c>
      <c r="I158" t="s">
        <v>38</v>
      </c>
      <c r="J158" t="s">
        <v>39</v>
      </c>
      <c r="K158" s="2">
        <v>46244</v>
      </c>
      <c r="L158" s="2">
        <v>46265</v>
      </c>
      <c r="N158" s="2">
        <v>46235</v>
      </c>
      <c r="O158" s="2">
        <v>46600</v>
      </c>
      <c r="P158">
        <v>12</v>
      </c>
      <c r="Q158" t="s">
        <v>65</v>
      </c>
      <c r="R158" t="s">
        <v>41</v>
      </c>
      <c r="S158" t="s">
        <v>130</v>
      </c>
      <c r="T158" t="s">
        <v>131</v>
      </c>
      <c r="U158" t="s">
        <v>44</v>
      </c>
      <c r="V158" t="s">
        <v>217</v>
      </c>
      <c r="W158" t="s">
        <v>75</v>
      </c>
      <c r="X158" t="s">
        <v>47</v>
      </c>
      <c r="Y158">
        <v>135451.04</v>
      </c>
      <c r="Z158">
        <v>108360.83</v>
      </c>
      <c r="AA158">
        <v>0.8</v>
      </c>
      <c r="AB158" t="s">
        <v>39</v>
      </c>
      <c r="AC158" t="s">
        <v>39</v>
      </c>
      <c r="AD158" t="s">
        <v>48</v>
      </c>
    </row>
    <row r="159" spans="1:30" x14ac:dyDescent="0.35">
      <c r="A159" s="1" t="s">
        <v>30</v>
      </c>
      <c r="B159" t="s">
        <v>521</v>
      </c>
      <c r="C159" t="s">
        <v>231</v>
      </c>
      <c r="D159" t="s">
        <v>1523</v>
      </c>
      <c r="E159" t="s">
        <v>1524</v>
      </c>
      <c r="F159" t="s">
        <v>1525</v>
      </c>
      <c r="G159" t="s">
        <v>1526</v>
      </c>
      <c r="H159" t="s">
        <v>1271</v>
      </c>
      <c r="I159" t="s">
        <v>117</v>
      </c>
      <c r="J159" t="s">
        <v>39</v>
      </c>
      <c r="K159" s="2">
        <v>46247</v>
      </c>
      <c r="L159" s="2">
        <v>46265</v>
      </c>
      <c r="N159" s="2">
        <v>46235</v>
      </c>
      <c r="O159" s="2">
        <v>46600</v>
      </c>
      <c r="P159">
        <v>12</v>
      </c>
      <c r="Q159" t="s">
        <v>104</v>
      </c>
      <c r="R159" t="s">
        <v>88</v>
      </c>
      <c r="S159" t="s">
        <v>149</v>
      </c>
      <c r="T159" t="s">
        <v>131</v>
      </c>
      <c r="U159" t="s">
        <v>106</v>
      </c>
      <c r="V159" t="s">
        <v>45</v>
      </c>
      <c r="W159" t="s">
        <v>161</v>
      </c>
      <c r="X159" t="s">
        <v>59</v>
      </c>
      <c r="Y159">
        <v>96558.07</v>
      </c>
      <c r="Z159">
        <v>62762.75</v>
      </c>
      <c r="AA159">
        <v>0.65</v>
      </c>
      <c r="AB159" t="s">
        <v>39</v>
      </c>
      <c r="AC159" t="s">
        <v>39</v>
      </c>
      <c r="AD159" t="s">
        <v>48</v>
      </c>
    </row>
    <row r="160" spans="1:30" x14ac:dyDescent="0.35">
      <c r="A160" s="1" t="s">
        <v>30</v>
      </c>
      <c r="B160" t="s">
        <v>521</v>
      </c>
      <c r="C160" t="s">
        <v>231</v>
      </c>
      <c r="D160" t="s">
        <v>1527</v>
      </c>
      <c r="E160" t="s">
        <v>1528</v>
      </c>
      <c r="F160" t="s">
        <v>152</v>
      </c>
      <c r="G160" t="s">
        <v>153</v>
      </c>
      <c r="H160" t="s">
        <v>1271</v>
      </c>
      <c r="I160" t="s">
        <v>117</v>
      </c>
      <c r="J160" t="s">
        <v>39</v>
      </c>
      <c r="K160" s="2">
        <v>46238</v>
      </c>
      <c r="L160" s="2">
        <v>46265</v>
      </c>
      <c r="N160" s="2">
        <v>46235</v>
      </c>
      <c r="O160" s="2">
        <v>46600</v>
      </c>
      <c r="P160">
        <v>12</v>
      </c>
      <c r="Q160" t="s">
        <v>104</v>
      </c>
      <c r="R160" t="s">
        <v>53</v>
      </c>
      <c r="S160" t="s">
        <v>66</v>
      </c>
      <c r="T160" t="s">
        <v>55</v>
      </c>
      <c r="U160" t="s">
        <v>56</v>
      </c>
      <c r="V160" t="s">
        <v>81</v>
      </c>
      <c r="W160" t="s">
        <v>58</v>
      </c>
      <c r="X160" t="s">
        <v>68</v>
      </c>
      <c r="Y160">
        <v>146422.64000000001</v>
      </c>
      <c r="Z160">
        <v>117138.11</v>
      </c>
      <c r="AA160">
        <v>0.8</v>
      </c>
      <c r="AB160" t="s">
        <v>39</v>
      </c>
      <c r="AC160" t="s">
        <v>39</v>
      </c>
      <c r="AD160" t="s">
        <v>48</v>
      </c>
    </row>
    <row r="161" spans="1:30" x14ac:dyDescent="0.35">
      <c r="A161" s="1" t="s">
        <v>30</v>
      </c>
      <c r="B161" t="s">
        <v>521</v>
      </c>
      <c r="C161" t="s">
        <v>231</v>
      </c>
      <c r="D161" t="s">
        <v>1529</v>
      </c>
      <c r="E161" t="s">
        <v>1530</v>
      </c>
      <c r="F161" t="s">
        <v>1531</v>
      </c>
      <c r="G161" t="s">
        <v>1532</v>
      </c>
      <c r="H161" t="s">
        <v>1271</v>
      </c>
      <c r="I161" t="s">
        <v>103</v>
      </c>
      <c r="J161" t="s">
        <v>39</v>
      </c>
      <c r="K161" s="2">
        <v>46248</v>
      </c>
      <c r="L161" s="2">
        <v>46265</v>
      </c>
      <c r="N161" s="2">
        <v>46235</v>
      </c>
      <c r="O161" s="2">
        <v>46600</v>
      </c>
      <c r="P161">
        <v>12</v>
      </c>
      <c r="Q161" t="s">
        <v>40</v>
      </c>
      <c r="R161" t="s">
        <v>53</v>
      </c>
      <c r="S161" t="s">
        <v>54</v>
      </c>
      <c r="T161" t="s">
        <v>55</v>
      </c>
      <c r="U161" t="s">
        <v>106</v>
      </c>
      <c r="V161" t="s">
        <v>57</v>
      </c>
      <c r="W161" t="s">
        <v>120</v>
      </c>
      <c r="X161" t="s">
        <v>158</v>
      </c>
      <c r="Y161">
        <v>92909.119999999995</v>
      </c>
      <c r="Z161">
        <v>74327.289999999994</v>
      </c>
      <c r="AA161">
        <v>0.8</v>
      </c>
      <c r="AB161" t="s">
        <v>39</v>
      </c>
      <c r="AC161" t="s">
        <v>39</v>
      </c>
      <c r="AD161" t="s">
        <v>48</v>
      </c>
    </row>
    <row r="162" spans="1:30" x14ac:dyDescent="0.35">
      <c r="A162" s="1" t="s">
        <v>30</v>
      </c>
      <c r="B162" t="s">
        <v>521</v>
      </c>
      <c r="C162" t="s">
        <v>231</v>
      </c>
      <c r="D162" t="s">
        <v>1533</v>
      </c>
      <c r="E162" t="s">
        <v>1534</v>
      </c>
      <c r="F162" t="s">
        <v>446</v>
      </c>
      <c r="G162" t="s">
        <v>447</v>
      </c>
      <c r="H162" t="s">
        <v>1271</v>
      </c>
      <c r="I162" t="s">
        <v>111</v>
      </c>
      <c r="J162" t="s">
        <v>39</v>
      </c>
      <c r="K162" s="2">
        <v>46239</v>
      </c>
      <c r="L162" s="2">
        <v>46265</v>
      </c>
      <c r="N162" s="2">
        <v>46235</v>
      </c>
      <c r="O162" s="2">
        <v>46600</v>
      </c>
      <c r="P162">
        <v>12</v>
      </c>
      <c r="Q162" t="s">
        <v>104</v>
      </c>
      <c r="R162" t="s">
        <v>88</v>
      </c>
      <c r="S162" t="s">
        <v>140</v>
      </c>
      <c r="T162" t="s">
        <v>97</v>
      </c>
      <c r="U162" t="s">
        <v>56</v>
      </c>
      <c r="V162" t="s">
        <v>138</v>
      </c>
      <c r="W162" t="s">
        <v>46</v>
      </c>
      <c r="X162" t="s">
        <v>83</v>
      </c>
      <c r="Y162">
        <v>160324.98000000001</v>
      </c>
      <c r="Z162">
        <v>56113.74</v>
      </c>
      <c r="AA162">
        <v>0.35</v>
      </c>
      <c r="AB162" t="s">
        <v>39</v>
      </c>
      <c r="AC162" t="s">
        <v>39</v>
      </c>
      <c r="AD162" t="s">
        <v>48</v>
      </c>
    </row>
    <row r="163" spans="1:30" x14ac:dyDescent="0.35">
      <c r="A163" s="1" t="s">
        <v>30</v>
      </c>
      <c r="B163" t="s">
        <v>521</v>
      </c>
      <c r="C163" t="s">
        <v>231</v>
      </c>
      <c r="D163" t="s">
        <v>1535</v>
      </c>
      <c r="E163" t="s">
        <v>1536</v>
      </c>
      <c r="F163" t="s">
        <v>1537</v>
      </c>
      <c r="G163" t="s">
        <v>1538</v>
      </c>
      <c r="H163" t="s">
        <v>1271</v>
      </c>
      <c r="I163" t="s">
        <v>111</v>
      </c>
      <c r="J163" t="s">
        <v>39</v>
      </c>
      <c r="K163" s="2">
        <v>46247</v>
      </c>
      <c r="L163" s="2">
        <v>46265</v>
      </c>
      <c r="N163" s="2">
        <v>46235</v>
      </c>
      <c r="O163" s="2">
        <v>46600</v>
      </c>
      <c r="P163">
        <v>12</v>
      </c>
      <c r="Q163" t="s">
        <v>40</v>
      </c>
      <c r="R163" t="s">
        <v>41</v>
      </c>
      <c r="S163" t="s">
        <v>135</v>
      </c>
      <c r="T163" t="s">
        <v>131</v>
      </c>
      <c r="U163" t="s">
        <v>44</v>
      </c>
      <c r="V163" t="s">
        <v>144</v>
      </c>
      <c r="W163" t="s">
        <v>120</v>
      </c>
      <c r="X163" t="s">
        <v>91</v>
      </c>
      <c r="Y163">
        <v>183336.21</v>
      </c>
      <c r="Z163">
        <v>119168.53</v>
      </c>
      <c r="AA163">
        <v>0.65</v>
      </c>
      <c r="AB163" t="s">
        <v>39</v>
      </c>
      <c r="AC163" t="s">
        <v>39</v>
      </c>
      <c r="AD163" t="s">
        <v>48</v>
      </c>
    </row>
    <row r="164" spans="1:30" x14ac:dyDescent="0.35">
      <c r="A164" s="1" t="s">
        <v>30</v>
      </c>
      <c r="B164" t="s">
        <v>521</v>
      </c>
      <c r="C164" t="s">
        <v>231</v>
      </c>
      <c r="D164" t="s">
        <v>1539</v>
      </c>
      <c r="E164" t="s">
        <v>1540</v>
      </c>
      <c r="F164" t="s">
        <v>1541</v>
      </c>
      <c r="G164" t="s">
        <v>1542</v>
      </c>
      <c r="H164" t="s">
        <v>1271</v>
      </c>
      <c r="I164" t="s">
        <v>117</v>
      </c>
      <c r="J164" t="s">
        <v>39</v>
      </c>
      <c r="K164" s="2">
        <v>46249</v>
      </c>
      <c r="L164" s="2">
        <v>46265</v>
      </c>
      <c r="N164" s="2">
        <v>46235</v>
      </c>
      <c r="O164" s="2">
        <v>46600</v>
      </c>
      <c r="P164">
        <v>12</v>
      </c>
      <c r="Q164" t="s">
        <v>104</v>
      </c>
      <c r="R164" t="s">
        <v>88</v>
      </c>
      <c r="S164" t="s">
        <v>151</v>
      </c>
      <c r="T164" t="s">
        <v>131</v>
      </c>
      <c r="U164" t="s">
        <v>44</v>
      </c>
      <c r="V164" t="s">
        <v>67</v>
      </c>
      <c r="W164" t="s">
        <v>46</v>
      </c>
      <c r="X164" t="s">
        <v>158</v>
      </c>
      <c r="Y164">
        <v>181233.54</v>
      </c>
      <c r="Z164">
        <v>90616.77</v>
      </c>
      <c r="AA164">
        <v>0.5</v>
      </c>
      <c r="AB164" t="s">
        <v>39</v>
      </c>
      <c r="AC164" t="s">
        <v>39</v>
      </c>
      <c r="AD164" t="s">
        <v>48</v>
      </c>
    </row>
    <row r="165" spans="1:30" x14ac:dyDescent="0.35">
      <c r="A165" s="1" t="s">
        <v>30</v>
      </c>
      <c r="B165" t="s">
        <v>521</v>
      </c>
      <c r="C165" t="s">
        <v>231</v>
      </c>
      <c r="D165" t="s">
        <v>1543</v>
      </c>
      <c r="E165" t="s">
        <v>1544</v>
      </c>
      <c r="F165" t="s">
        <v>1545</v>
      </c>
      <c r="G165" t="s">
        <v>1546</v>
      </c>
      <c r="H165" t="s">
        <v>1290</v>
      </c>
      <c r="I165" t="s">
        <v>117</v>
      </c>
      <c r="J165" t="s">
        <v>1290</v>
      </c>
      <c r="K165" s="2">
        <v>46237</v>
      </c>
      <c r="L165" s="2">
        <v>46265</v>
      </c>
      <c r="N165" s="2">
        <v>46235</v>
      </c>
      <c r="O165" s="2">
        <v>46600</v>
      </c>
      <c r="P165">
        <v>12</v>
      </c>
      <c r="Q165" t="s">
        <v>40</v>
      </c>
      <c r="R165" t="s">
        <v>88</v>
      </c>
      <c r="S165" t="s">
        <v>66</v>
      </c>
      <c r="T165" t="s">
        <v>55</v>
      </c>
      <c r="U165" t="s">
        <v>44</v>
      </c>
      <c r="V165" t="s">
        <v>144</v>
      </c>
      <c r="W165" t="s">
        <v>75</v>
      </c>
      <c r="X165" t="s">
        <v>47</v>
      </c>
      <c r="Y165">
        <v>130691.7</v>
      </c>
      <c r="Z165">
        <v>104553.36</v>
      </c>
      <c r="AA165">
        <v>0.8</v>
      </c>
      <c r="AB165" t="s">
        <v>1290</v>
      </c>
      <c r="AC165" t="s">
        <v>1290</v>
      </c>
      <c r="AD165" t="s">
        <v>48</v>
      </c>
    </row>
    <row r="166" spans="1:30" x14ac:dyDescent="0.35">
      <c r="A166" s="1" t="s">
        <v>30</v>
      </c>
      <c r="B166" t="s">
        <v>521</v>
      </c>
      <c r="C166" t="s">
        <v>231</v>
      </c>
      <c r="D166" t="s">
        <v>1547</v>
      </c>
      <c r="E166" t="s">
        <v>1548</v>
      </c>
      <c r="F166" t="s">
        <v>1549</v>
      </c>
      <c r="G166" t="s">
        <v>1550</v>
      </c>
      <c r="H166" t="s">
        <v>1290</v>
      </c>
      <c r="I166" t="s">
        <v>38</v>
      </c>
      <c r="J166" t="s">
        <v>1290</v>
      </c>
      <c r="K166" s="2">
        <v>46239</v>
      </c>
      <c r="L166" s="2">
        <v>46265</v>
      </c>
      <c r="N166" s="2">
        <v>46235</v>
      </c>
      <c r="O166" s="2">
        <v>46600</v>
      </c>
      <c r="P166">
        <v>12</v>
      </c>
      <c r="Q166" t="s">
        <v>40</v>
      </c>
      <c r="R166" t="s">
        <v>41</v>
      </c>
      <c r="S166" t="s">
        <v>137</v>
      </c>
      <c r="T166" t="s">
        <v>97</v>
      </c>
      <c r="U166" t="s">
        <v>56</v>
      </c>
      <c r="V166" t="s">
        <v>217</v>
      </c>
      <c r="W166" t="s">
        <v>46</v>
      </c>
      <c r="X166" t="s">
        <v>68</v>
      </c>
      <c r="Y166">
        <v>135858.23000000001</v>
      </c>
      <c r="Z166">
        <v>47550.38</v>
      </c>
      <c r="AA166">
        <v>0.35</v>
      </c>
      <c r="AB166" t="s">
        <v>1290</v>
      </c>
      <c r="AC166" t="s">
        <v>1290</v>
      </c>
      <c r="AD166" t="s">
        <v>48</v>
      </c>
    </row>
    <row r="167" spans="1:30" x14ac:dyDescent="0.35">
      <c r="A167" s="1" t="s">
        <v>30</v>
      </c>
      <c r="B167" t="s">
        <v>521</v>
      </c>
      <c r="C167" t="s">
        <v>231</v>
      </c>
      <c r="D167" t="s">
        <v>1551</v>
      </c>
      <c r="E167" t="s">
        <v>1552</v>
      </c>
      <c r="F167" t="s">
        <v>1553</v>
      </c>
      <c r="G167" t="s">
        <v>1554</v>
      </c>
      <c r="H167" t="s">
        <v>1290</v>
      </c>
      <c r="I167" t="s">
        <v>103</v>
      </c>
      <c r="J167" t="s">
        <v>1290</v>
      </c>
      <c r="K167" s="2">
        <v>46246</v>
      </c>
      <c r="L167" s="2">
        <v>46265</v>
      </c>
      <c r="N167" s="2">
        <v>46235</v>
      </c>
      <c r="O167" s="2">
        <v>46600</v>
      </c>
      <c r="P167">
        <v>12</v>
      </c>
      <c r="Q167" t="s">
        <v>40</v>
      </c>
      <c r="R167" t="s">
        <v>41</v>
      </c>
      <c r="S167" t="s">
        <v>139</v>
      </c>
      <c r="T167" t="s">
        <v>43</v>
      </c>
      <c r="U167" t="s">
        <v>56</v>
      </c>
      <c r="V167" t="s">
        <v>217</v>
      </c>
      <c r="W167" t="s">
        <v>161</v>
      </c>
      <c r="X167" t="s">
        <v>59</v>
      </c>
      <c r="Y167">
        <v>143928.67000000001</v>
      </c>
      <c r="Z167">
        <v>50375.03</v>
      </c>
      <c r="AA167">
        <v>0.35</v>
      </c>
      <c r="AB167" t="s">
        <v>1290</v>
      </c>
      <c r="AC167" t="s">
        <v>1290</v>
      </c>
      <c r="AD167" t="s">
        <v>48</v>
      </c>
    </row>
    <row r="168" spans="1:30" x14ac:dyDescent="0.35">
      <c r="A168" s="1" t="s">
        <v>30</v>
      </c>
      <c r="B168" t="s">
        <v>521</v>
      </c>
      <c r="C168" t="s">
        <v>231</v>
      </c>
      <c r="D168" t="s">
        <v>1555</v>
      </c>
      <c r="E168" t="s">
        <v>1556</v>
      </c>
      <c r="F168" t="s">
        <v>1557</v>
      </c>
      <c r="G168" t="s">
        <v>1558</v>
      </c>
      <c r="H168" t="s">
        <v>1295</v>
      </c>
      <c r="I168" t="s">
        <v>111</v>
      </c>
      <c r="J168" t="s">
        <v>1295</v>
      </c>
      <c r="K168" s="2">
        <v>46240</v>
      </c>
      <c r="L168" s="2">
        <v>46265</v>
      </c>
      <c r="N168" s="2">
        <v>46235</v>
      </c>
      <c r="O168" s="2">
        <v>46600</v>
      </c>
      <c r="P168">
        <v>12</v>
      </c>
      <c r="Q168" t="s">
        <v>65</v>
      </c>
      <c r="R168" t="s">
        <v>88</v>
      </c>
      <c r="S168" t="s">
        <v>182</v>
      </c>
      <c r="T168" t="s">
        <v>97</v>
      </c>
      <c r="U168" t="s">
        <v>106</v>
      </c>
      <c r="V168" t="s">
        <v>74</v>
      </c>
      <c r="W168" t="s">
        <v>58</v>
      </c>
      <c r="X168" t="s">
        <v>59</v>
      </c>
      <c r="Y168">
        <v>256342.57</v>
      </c>
      <c r="Z168">
        <v>205074.05</v>
      </c>
      <c r="AA168">
        <v>0.8</v>
      </c>
      <c r="AB168" t="s">
        <v>1295</v>
      </c>
      <c r="AC168" t="s">
        <v>1295</v>
      </c>
      <c r="AD168" t="s">
        <v>48</v>
      </c>
    </row>
    <row r="169" spans="1:30" x14ac:dyDescent="0.35">
      <c r="A169" s="1" t="s">
        <v>30</v>
      </c>
      <c r="B169" t="s">
        <v>521</v>
      </c>
      <c r="C169" t="s">
        <v>231</v>
      </c>
      <c r="D169" t="s">
        <v>1559</v>
      </c>
      <c r="E169" t="s">
        <v>1560</v>
      </c>
      <c r="F169" t="s">
        <v>1561</v>
      </c>
      <c r="G169" t="s">
        <v>1562</v>
      </c>
      <c r="H169" t="s">
        <v>1295</v>
      </c>
      <c r="I169" t="s">
        <v>64</v>
      </c>
      <c r="J169" t="s">
        <v>1295</v>
      </c>
      <c r="K169" s="2">
        <v>46236</v>
      </c>
      <c r="L169" s="2">
        <v>46265</v>
      </c>
      <c r="N169" s="2">
        <v>46235</v>
      </c>
      <c r="O169" s="2">
        <v>46600</v>
      </c>
      <c r="P169">
        <v>12</v>
      </c>
      <c r="Q169" t="s">
        <v>65</v>
      </c>
      <c r="R169" t="s">
        <v>41</v>
      </c>
      <c r="S169" t="s">
        <v>151</v>
      </c>
      <c r="T169" t="s">
        <v>131</v>
      </c>
      <c r="U169" t="s">
        <v>56</v>
      </c>
      <c r="V169" t="s">
        <v>67</v>
      </c>
      <c r="W169" t="s">
        <v>120</v>
      </c>
      <c r="X169" t="s">
        <v>68</v>
      </c>
      <c r="Y169">
        <v>162660.76999999999</v>
      </c>
      <c r="Z169">
        <v>130128.62</v>
      </c>
      <c r="AA169">
        <v>0.8</v>
      </c>
      <c r="AB169" t="s">
        <v>1295</v>
      </c>
      <c r="AC169" t="s">
        <v>1295</v>
      </c>
      <c r="AD169" t="s">
        <v>48</v>
      </c>
    </row>
    <row r="170" spans="1:30" x14ac:dyDescent="0.35">
      <c r="A170" s="1" t="s">
        <v>30</v>
      </c>
      <c r="B170" t="s">
        <v>521</v>
      </c>
      <c r="C170" t="s">
        <v>231</v>
      </c>
      <c r="D170" t="s">
        <v>1563</v>
      </c>
      <c r="E170" t="s">
        <v>1564</v>
      </c>
      <c r="F170" t="s">
        <v>1565</v>
      </c>
      <c r="G170" t="s">
        <v>1566</v>
      </c>
      <c r="H170" t="s">
        <v>1295</v>
      </c>
      <c r="I170" t="s">
        <v>103</v>
      </c>
      <c r="J170" t="s">
        <v>1295</v>
      </c>
      <c r="K170" s="2">
        <v>46237</v>
      </c>
      <c r="L170" s="2">
        <v>46265</v>
      </c>
      <c r="N170" s="2">
        <v>46235</v>
      </c>
      <c r="O170" s="2">
        <v>46600</v>
      </c>
      <c r="P170">
        <v>12</v>
      </c>
      <c r="Q170" t="s">
        <v>40</v>
      </c>
      <c r="R170" t="s">
        <v>41</v>
      </c>
      <c r="S170" t="s">
        <v>162</v>
      </c>
      <c r="T170" t="s">
        <v>43</v>
      </c>
      <c r="U170" t="s">
        <v>44</v>
      </c>
      <c r="V170" t="s">
        <v>138</v>
      </c>
      <c r="W170" t="s">
        <v>58</v>
      </c>
      <c r="X170" t="s">
        <v>83</v>
      </c>
      <c r="Y170">
        <v>263238.78999999998</v>
      </c>
      <c r="Z170">
        <v>131619.39000000001</v>
      </c>
      <c r="AA170">
        <v>0.5</v>
      </c>
      <c r="AB170" t="s">
        <v>1295</v>
      </c>
      <c r="AC170" t="s">
        <v>1295</v>
      </c>
      <c r="AD170" t="s">
        <v>48</v>
      </c>
    </row>
    <row r="171" spans="1:30" x14ac:dyDescent="0.35">
      <c r="A171" s="1" t="s">
        <v>30</v>
      </c>
      <c r="B171" t="s">
        <v>521</v>
      </c>
      <c r="C171" t="s">
        <v>231</v>
      </c>
      <c r="D171" t="s">
        <v>1567</v>
      </c>
      <c r="E171" t="s">
        <v>1568</v>
      </c>
      <c r="F171" t="s">
        <v>1569</v>
      </c>
      <c r="G171" t="s">
        <v>1570</v>
      </c>
      <c r="H171" t="s">
        <v>1302</v>
      </c>
      <c r="I171" t="s">
        <v>64</v>
      </c>
      <c r="J171" t="s">
        <v>39</v>
      </c>
      <c r="K171" s="2">
        <v>46239</v>
      </c>
      <c r="L171" s="2">
        <v>46265</v>
      </c>
      <c r="N171" s="2">
        <v>46235</v>
      </c>
      <c r="O171" s="2">
        <v>46600</v>
      </c>
      <c r="P171">
        <v>12</v>
      </c>
      <c r="Q171" t="s">
        <v>40</v>
      </c>
      <c r="R171" t="s">
        <v>88</v>
      </c>
      <c r="S171" t="s">
        <v>135</v>
      </c>
      <c r="T171" t="s">
        <v>131</v>
      </c>
      <c r="U171" t="s">
        <v>56</v>
      </c>
      <c r="V171" t="s">
        <v>81</v>
      </c>
      <c r="W171" t="s">
        <v>161</v>
      </c>
      <c r="X171" t="s">
        <v>47</v>
      </c>
      <c r="Y171">
        <v>131799.01999999999</v>
      </c>
      <c r="Z171">
        <v>105439.22</v>
      </c>
      <c r="AA171">
        <v>0.8</v>
      </c>
      <c r="AB171" t="s">
        <v>39</v>
      </c>
      <c r="AC171" t="s">
        <v>39</v>
      </c>
      <c r="AD171" t="s">
        <v>48</v>
      </c>
    </row>
    <row r="172" spans="1:30" x14ac:dyDescent="0.35">
      <c r="A172" s="1" t="s">
        <v>30</v>
      </c>
      <c r="B172" t="s">
        <v>521</v>
      </c>
      <c r="C172" t="s">
        <v>231</v>
      </c>
      <c r="D172" t="s">
        <v>1571</v>
      </c>
      <c r="E172" t="s">
        <v>1572</v>
      </c>
      <c r="F172" t="s">
        <v>402</v>
      </c>
      <c r="G172" t="s">
        <v>403</v>
      </c>
      <c r="H172" t="s">
        <v>1302</v>
      </c>
      <c r="I172" t="s">
        <v>64</v>
      </c>
      <c r="J172" t="s">
        <v>39</v>
      </c>
      <c r="K172" s="2">
        <v>46248</v>
      </c>
      <c r="L172" s="2">
        <v>46265</v>
      </c>
      <c r="N172" s="2">
        <v>46235</v>
      </c>
      <c r="O172" s="2">
        <v>46600</v>
      </c>
      <c r="P172">
        <v>12</v>
      </c>
      <c r="Q172" t="s">
        <v>104</v>
      </c>
      <c r="R172" t="s">
        <v>53</v>
      </c>
      <c r="S172" t="s">
        <v>140</v>
      </c>
      <c r="T172" t="s">
        <v>97</v>
      </c>
      <c r="U172" t="s">
        <v>56</v>
      </c>
      <c r="V172" t="s">
        <v>67</v>
      </c>
      <c r="W172" t="s">
        <v>90</v>
      </c>
      <c r="X172" t="s">
        <v>125</v>
      </c>
      <c r="Y172">
        <v>121427.86</v>
      </c>
      <c r="Z172">
        <v>97142.29</v>
      </c>
      <c r="AA172">
        <v>0.8</v>
      </c>
      <c r="AB172" t="s">
        <v>39</v>
      </c>
      <c r="AC172" t="s">
        <v>39</v>
      </c>
      <c r="AD172" t="s">
        <v>48</v>
      </c>
    </row>
    <row r="173" spans="1:30" x14ac:dyDescent="0.35">
      <c r="A173" s="1" t="s">
        <v>30</v>
      </c>
      <c r="B173" t="s">
        <v>521</v>
      </c>
      <c r="C173" t="s">
        <v>231</v>
      </c>
      <c r="D173" t="s">
        <v>1573</v>
      </c>
      <c r="E173" t="s">
        <v>1574</v>
      </c>
      <c r="F173" t="s">
        <v>1575</v>
      </c>
      <c r="G173" t="s">
        <v>1576</v>
      </c>
      <c r="H173" t="s">
        <v>1302</v>
      </c>
      <c r="I173" t="s">
        <v>117</v>
      </c>
      <c r="J173" t="s">
        <v>39</v>
      </c>
      <c r="K173" s="2">
        <v>46236</v>
      </c>
      <c r="L173" s="2">
        <v>46265</v>
      </c>
      <c r="N173" s="2">
        <v>46235</v>
      </c>
      <c r="O173" s="2">
        <v>47331</v>
      </c>
      <c r="P173">
        <v>36</v>
      </c>
      <c r="Q173" t="s">
        <v>40</v>
      </c>
      <c r="R173" t="s">
        <v>88</v>
      </c>
      <c r="S173" t="s">
        <v>162</v>
      </c>
      <c r="T173" t="s">
        <v>43</v>
      </c>
      <c r="U173" t="s">
        <v>56</v>
      </c>
      <c r="V173" t="s">
        <v>67</v>
      </c>
      <c r="W173" t="s">
        <v>120</v>
      </c>
      <c r="X173" t="s">
        <v>83</v>
      </c>
      <c r="Y173">
        <v>120276.12</v>
      </c>
      <c r="Z173">
        <v>96220.89</v>
      </c>
      <c r="AA173">
        <v>0.8</v>
      </c>
      <c r="AB173" t="s">
        <v>39</v>
      </c>
      <c r="AC173" t="s">
        <v>39</v>
      </c>
      <c r="AD173" t="s">
        <v>48</v>
      </c>
    </row>
    <row r="174" spans="1:30" x14ac:dyDescent="0.35">
      <c r="A174" s="1" t="s">
        <v>30</v>
      </c>
      <c r="B174" t="s">
        <v>521</v>
      </c>
      <c r="C174" t="s">
        <v>285</v>
      </c>
      <c r="D174" t="s">
        <v>881</v>
      </c>
      <c r="E174" t="s">
        <v>882</v>
      </c>
      <c r="F174" t="s">
        <v>883</v>
      </c>
      <c r="G174" t="s">
        <v>884</v>
      </c>
      <c r="H174" t="s">
        <v>37</v>
      </c>
      <c r="I174" t="s">
        <v>38</v>
      </c>
      <c r="J174" t="s">
        <v>39</v>
      </c>
      <c r="K174" s="2">
        <v>46276</v>
      </c>
      <c r="L174" s="2">
        <v>46295</v>
      </c>
      <c r="N174" s="2">
        <v>46266</v>
      </c>
      <c r="O174" s="2">
        <v>46631</v>
      </c>
      <c r="P174">
        <v>12</v>
      </c>
      <c r="Q174" t="s">
        <v>40</v>
      </c>
      <c r="R174" t="s">
        <v>53</v>
      </c>
      <c r="S174" t="s">
        <v>140</v>
      </c>
      <c r="T174" t="s">
        <v>97</v>
      </c>
      <c r="U174" t="s">
        <v>44</v>
      </c>
      <c r="V174" t="s">
        <v>57</v>
      </c>
      <c r="W174" t="s">
        <v>82</v>
      </c>
      <c r="X174" t="s">
        <v>91</v>
      </c>
      <c r="Y174">
        <v>129472.04</v>
      </c>
      <c r="Z174">
        <v>45315.22</v>
      </c>
      <c r="AA174">
        <v>0.35</v>
      </c>
      <c r="AB174" t="s">
        <v>39</v>
      </c>
      <c r="AC174" t="s">
        <v>39</v>
      </c>
      <c r="AD174" t="s">
        <v>48</v>
      </c>
    </row>
    <row r="175" spans="1:30" x14ac:dyDescent="0.35">
      <c r="A175" s="1" t="s">
        <v>30</v>
      </c>
      <c r="B175" t="s">
        <v>521</v>
      </c>
      <c r="C175" t="s">
        <v>285</v>
      </c>
      <c r="D175" t="s">
        <v>885</v>
      </c>
      <c r="E175" t="s">
        <v>886</v>
      </c>
      <c r="F175" t="s">
        <v>887</v>
      </c>
      <c r="G175" t="s">
        <v>888</v>
      </c>
      <c r="H175" t="s">
        <v>37</v>
      </c>
      <c r="I175" t="s">
        <v>111</v>
      </c>
      <c r="J175" t="s">
        <v>39</v>
      </c>
      <c r="K175" s="2">
        <v>46272</v>
      </c>
      <c r="L175" s="2">
        <v>46295</v>
      </c>
      <c r="N175" s="2">
        <v>46266</v>
      </c>
      <c r="O175" s="2">
        <v>46997</v>
      </c>
      <c r="P175">
        <v>24</v>
      </c>
      <c r="Q175" t="s">
        <v>65</v>
      </c>
      <c r="R175" t="s">
        <v>88</v>
      </c>
      <c r="S175" t="s">
        <v>130</v>
      </c>
      <c r="T175" t="s">
        <v>131</v>
      </c>
      <c r="U175" t="s">
        <v>106</v>
      </c>
      <c r="V175" t="s">
        <v>57</v>
      </c>
      <c r="W175" t="s">
        <v>120</v>
      </c>
      <c r="X175" t="s">
        <v>68</v>
      </c>
      <c r="Y175">
        <v>132017.56</v>
      </c>
      <c r="Z175">
        <v>66008.78</v>
      </c>
      <c r="AA175">
        <v>0.5</v>
      </c>
      <c r="AB175" t="s">
        <v>39</v>
      </c>
      <c r="AC175" t="s">
        <v>39</v>
      </c>
      <c r="AD175" t="s">
        <v>48</v>
      </c>
    </row>
    <row r="176" spans="1:30" x14ac:dyDescent="0.35">
      <c r="A176" s="1" t="s">
        <v>30</v>
      </c>
      <c r="B176" t="s">
        <v>521</v>
      </c>
      <c r="C176" t="s">
        <v>285</v>
      </c>
      <c r="D176" t="s">
        <v>889</v>
      </c>
      <c r="E176" t="s">
        <v>890</v>
      </c>
      <c r="F176" t="s">
        <v>891</v>
      </c>
      <c r="G176" t="s">
        <v>892</v>
      </c>
      <c r="H176" t="s">
        <v>37</v>
      </c>
      <c r="I176" t="s">
        <v>64</v>
      </c>
      <c r="J176" t="s">
        <v>39</v>
      </c>
      <c r="K176" s="2">
        <v>46268</v>
      </c>
      <c r="L176" s="2">
        <v>46295</v>
      </c>
      <c r="N176" s="2">
        <v>46266</v>
      </c>
      <c r="O176" s="2">
        <v>46631</v>
      </c>
      <c r="P176">
        <v>12</v>
      </c>
      <c r="Q176" t="s">
        <v>104</v>
      </c>
      <c r="R176" t="s">
        <v>53</v>
      </c>
      <c r="S176" t="s">
        <v>141</v>
      </c>
      <c r="T176" t="s">
        <v>131</v>
      </c>
      <c r="U176" t="s">
        <v>44</v>
      </c>
      <c r="V176" t="s">
        <v>67</v>
      </c>
      <c r="W176" t="s">
        <v>120</v>
      </c>
      <c r="X176" t="s">
        <v>158</v>
      </c>
      <c r="Y176">
        <v>136981.32</v>
      </c>
      <c r="Z176">
        <v>47943.46</v>
      </c>
      <c r="AA176">
        <v>0.35</v>
      </c>
      <c r="AB176" t="s">
        <v>39</v>
      </c>
      <c r="AC176" t="s">
        <v>39</v>
      </c>
      <c r="AD176" t="s">
        <v>48</v>
      </c>
    </row>
    <row r="177" spans="1:30" x14ac:dyDescent="0.35">
      <c r="A177" s="1" t="s">
        <v>30</v>
      </c>
      <c r="B177" t="s">
        <v>521</v>
      </c>
      <c r="C177" t="s">
        <v>285</v>
      </c>
      <c r="D177" t="s">
        <v>893</v>
      </c>
      <c r="E177" t="s">
        <v>894</v>
      </c>
      <c r="F177" t="s">
        <v>895</v>
      </c>
      <c r="G177" t="s">
        <v>896</v>
      </c>
      <c r="H177" t="s">
        <v>37</v>
      </c>
      <c r="I177" t="s">
        <v>64</v>
      </c>
      <c r="J177" t="s">
        <v>39</v>
      </c>
      <c r="K177" s="2">
        <v>46275</v>
      </c>
      <c r="L177" s="2">
        <v>46295</v>
      </c>
      <c r="N177" s="2">
        <v>46266</v>
      </c>
      <c r="O177" s="2">
        <v>47362</v>
      </c>
      <c r="P177">
        <v>36</v>
      </c>
      <c r="Q177" t="s">
        <v>40</v>
      </c>
      <c r="R177" t="s">
        <v>53</v>
      </c>
      <c r="S177" t="s">
        <v>130</v>
      </c>
      <c r="T177" t="s">
        <v>131</v>
      </c>
      <c r="U177" t="s">
        <v>56</v>
      </c>
      <c r="V177" t="s">
        <v>217</v>
      </c>
      <c r="W177" t="s">
        <v>120</v>
      </c>
      <c r="X177" t="s">
        <v>125</v>
      </c>
      <c r="Y177">
        <v>168243.18</v>
      </c>
      <c r="Z177">
        <v>109358.07</v>
      </c>
      <c r="AA177">
        <v>0.65</v>
      </c>
      <c r="AB177" t="s">
        <v>39</v>
      </c>
      <c r="AC177" t="s">
        <v>39</v>
      </c>
      <c r="AD177" t="s">
        <v>48</v>
      </c>
    </row>
    <row r="178" spans="1:30" x14ac:dyDescent="0.35">
      <c r="A178" s="1" t="s">
        <v>30</v>
      </c>
      <c r="B178" t="s">
        <v>521</v>
      </c>
      <c r="C178" t="s">
        <v>285</v>
      </c>
      <c r="D178" t="s">
        <v>897</v>
      </c>
      <c r="E178" t="s">
        <v>898</v>
      </c>
      <c r="F178" t="s">
        <v>899</v>
      </c>
      <c r="G178" t="s">
        <v>900</v>
      </c>
      <c r="H178" t="s">
        <v>37</v>
      </c>
      <c r="I178" t="s">
        <v>111</v>
      </c>
      <c r="J178" t="s">
        <v>39</v>
      </c>
      <c r="K178" s="2">
        <v>46269</v>
      </c>
      <c r="L178" s="2">
        <v>46295</v>
      </c>
      <c r="N178" s="2">
        <v>46266</v>
      </c>
      <c r="O178" s="2">
        <v>46631</v>
      </c>
      <c r="P178">
        <v>12</v>
      </c>
      <c r="Q178" t="s">
        <v>104</v>
      </c>
      <c r="R178" t="s">
        <v>41</v>
      </c>
      <c r="S178" t="s">
        <v>130</v>
      </c>
      <c r="T178" t="s">
        <v>131</v>
      </c>
      <c r="U178" t="s">
        <v>56</v>
      </c>
      <c r="V178" t="s">
        <v>119</v>
      </c>
      <c r="W178" t="s">
        <v>142</v>
      </c>
      <c r="X178" t="s">
        <v>125</v>
      </c>
      <c r="Y178">
        <v>122213.53</v>
      </c>
      <c r="Z178">
        <v>79438.789999999994</v>
      </c>
      <c r="AA178">
        <v>0.65</v>
      </c>
      <c r="AB178" t="s">
        <v>39</v>
      </c>
      <c r="AC178" t="s">
        <v>39</v>
      </c>
      <c r="AD178" t="s">
        <v>48</v>
      </c>
    </row>
    <row r="179" spans="1:30" x14ac:dyDescent="0.35">
      <c r="A179" s="1" t="s">
        <v>30</v>
      </c>
      <c r="B179" t="s">
        <v>521</v>
      </c>
      <c r="C179" t="s">
        <v>285</v>
      </c>
      <c r="D179" t="s">
        <v>901</v>
      </c>
      <c r="E179" t="s">
        <v>902</v>
      </c>
      <c r="F179" t="s">
        <v>903</v>
      </c>
      <c r="G179" t="s">
        <v>904</v>
      </c>
      <c r="H179" t="s">
        <v>37</v>
      </c>
      <c r="I179" t="s">
        <v>38</v>
      </c>
      <c r="J179" t="s">
        <v>39</v>
      </c>
      <c r="K179" s="2">
        <v>46273</v>
      </c>
      <c r="L179" s="2">
        <v>46295</v>
      </c>
      <c r="N179" s="2">
        <v>46266</v>
      </c>
      <c r="O179" s="2">
        <v>46631</v>
      </c>
      <c r="P179">
        <v>12</v>
      </c>
      <c r="Q179" t="s">
        <v>40</v>
      </c>
      <c r="R179" t="s">
        <v>53</v>
      </c>
      <c r="S179" t="s">
        <v>182</v>
      </c>
      <c r="T179" t="s">
        <v>97</v>
      </c>
      <c r="U179" t="s">
        <v>44</v>
      </c>
      <c r="V179" t="s">
        <v>138</v>
      </c>
      <c r="W179" t="s">
        <v>46</v>
      </c>
      <c r="X179" t="s">
        <v>68</v>
      </c>
      <c r="Y179">
        <v>183551.4</v>
      </c>
      <c r="Z179">
        <v>64242.99</v>
      </c>
      <c r="AA179">
        <v>0.35</v>
      </c>
      <c r="AB179" t="s">
        <v>39</v>
      </c>
      <c r="AC179" t="s">
        <v>39</v>
      </c>
      <c r="AD179" t="s">
        <v>48</v>
      </c>
    </row>
    <row r="180" spans="1:30" x14ac:dyDescent="0.35">
      <c r="A180" s="1" t="s">
        <v>30</v>
      </c>
      <c r="B180" t="s">
        <v>521</v>
      </c>
      <c r="C180" t="s">
        <v>285</v>
      </c>
      <c r="D180" t="s">
        <v>905</v>
      </c>
      <c r="E180" t="s">
        <v>906</v>
      </c>
      <c r="F180" t="s">
        <v>907</v>
      </c>
      <c r="G180" t="s">
        <v>908</v>
      </c>
      <c r="H180" t="s">
        <v>37</v>
      </c>
      <c r="I180" t="s">
        <v>38</v>
      </c>
      <c r="J180" t="s">
        <v>39</v>
      </c>
      <c r="K180" s="2">
        <v>46279</v>
      </c>
      <c r="L180" s="2">
        <v>46295</v>
      </c>
      <c r="N180" s="2">
        <v>46266</v>
      </c>
      <c r="O180" s="2">
        <v>46631</v>
      </c>
      <c r="P180">
        <v>12</v>
      </c>
      <c r="Q180" t="s">
        <v>40</v>
      </c>
      <c r="R180" t="s">
        <v>53</v>
      </c>
      <c r="S180" t="s">
        <v>140</v>
      </c>
      <c r="T180" t="s">
        <v>97</v>
      </c>
      <c r="U180" t="s">
        <v>106</v>
      </c>
      <c r="V180" t="s">
        <v>67</v>
      </c>
      <c r="W180" t="s">
        <v>142</v>
      </c>
      <c r="X180" t="s">
        <v>47</v>
      </c>
      <c r="Y180">
        <v>156369.44</v>
      </c>
      <c r="Z180">
        <v>125095.55</v>
      </c>
      <c r="AA180">
        <v>0.8</v>
      </c>
      <c r="AB180" t="s">
        <v>39</v>
      </c>
      <c r="AC180" t="s">
        <v>39</v>
      </c>
      <c r="AD180" t="s">
        <v>48</v>
      </c>
    </row>
    <row r="181" spans="1:30" x14ac:dyDescent="0.35">
      <c r="A181" s="1" t="s">
        <v>30</v>
      </c>
      <c r="B181" t="s">
        <v>521</v>
      </c>
      <c r="C181" t="s">
        <v>285</v>
      </c>
      <c r="D181" t="s">
        <v>909</v>
      </c>
      <c r="E181" t="s">
        <v>910</v>
      </c>
      <c r="F181" t="s">
        <v>911</v>
      </c>
      <c r="G181" t="s">
        <v>912</v>
      </c>
      <c r="H181" t="s">
        <v>37</v>
      </c>
      <c r="I181" t="s">
        <v>111</v>
      </c>
      <c r="J181" t="s">
        <v>39</v>
      </c>
      <c r="K181" s="2">
        <v>46276</v>
      </c>
      <c r="L181" s="2">
        <v>46295</v>
      </c>
      <c r="N181" s="2">
        <v>46266</v>
      </c>
      <c r="O181" s="2">
        <v>46631</v>
      </c>
      <c r="P181">
        <v>12</v>
      </c>
      <c r="Q181" t="s">
        <v>40</v>
      </c>
      <c r="R181" t="s">
        <v>41</v>
      </c>
      <c r="S181" t="s">
        <v>140</v>
      </c>
      <c r="T181" t="s">
        <v>97</v>
      </c>
      <c r="U181" t="s">
        <v>44</v>
      </c>
      <c r="V181" t="s">
        <v>67</v>
      </c>
      <c r="W181" t="s">
        <v>90</v>
      </c>
      <c r="X181" t="s">
        <v>83</v>
      </c>
      <c r="Y181">
        <v>197311.58</v>
      </c>
      <c r="Z181">
        <v>98655.79</v>
      </c>
      <c r="AA181">
        <v>0.5</v>
      </c>
      <c r="AB181" t="s">
        <v>39</v>
      </c>
      <c r="AC181" t="s">
        <v>39</v>
      </c>
      <c r="AD181" t="s">
        <v>48</v>
      </c>
    </row>
    <row r="182" spans="1:30" x14ac:dyDescent="0.35">
      <c r="A182" s="1" t="s">
        <v>30</v>
      </c>
      <c r="B182" t="s">
        <v>521</v>
      </c>
      <c r="C182" t="s">
        <v>285</v>
      </c>
      <c r="D182" t="s">
        <v>913</v>
      </c>
      <c r="E182" t="s">
        <v>914</v>
      </c>
      <c r="F182" t="s">
        <v>915</v>
      </c>
      <c r="G182" t="s">
        <v>916</v>
      </c>
      <c r="H182" t="s">
        <v>37</v>
      </c>
      <c r="I182" t="s">
        <v>103</v>
      </c>
      <c r="J182" t="s">
        <v>39</v>
      </c>
      <c r="K182" s="2">
        <v>46280</v>
      </c>
      <c r="L182" s="2">
        <v>46295</v>
      </c>
      <c r="N182" s="2">
        <v>46266</v>
      </c>
      <c r="O182" s="2">
        <v>46631</v>
      </c>
      <c r="P182">
        <v>12</v>
      </c>
      <c r="Q182" t="s">
        <v>104</v>
      </c>
      <c r="R182" t="s">
        <v>53</v>
      </c>
      <c r="S182" t="s">
        <v>112</v>
      </c>
      <c r="T182" t="s">
        <v>55</v>
      </c>
      <c r="U182" t="s">
        <v>44</v>
      </c>
      <c r="V182" t="s">
        <v>45</v>
      </c>
      <c r="W182" t="s">
        <v>82</v>
      </c>
      <c r="X182" t="s">
        <v>125</v>
      </c>
      <c r="Y182">
        <v>140677.39000000001</v>
      </c>
      <c r="Z182">
        <v>49237.09</v>
      </c>
      <c r="AA182">
        <v>0.35</v>
      </c>
      <c r="AB182" t="s">
        <v>39</v>
      </c>
      <c r="AC182" t="s">
        <v>39</v>
      </c>
      <c r="AD182" t="s">
        <v>48</v>
      </c>
    </row>
    <row r="183" spans="1:30" x14ac:dyDescent="0.35">
      <c r="A183" s="1" t="s">
        <v>30</v>
      </c>
      <c r="B183" t="s">
        <v>521</v>
      </c>
      <c r="C183" t="s">
        <v>285</v>
      </c>
      <c r="D183" t="s">
        <v>917</v>
      </c>
      <c r="E183" t="s">
        <v>918</v>
      </c>
      <c r="F183" t="s">
        <v>919</v>
      </c>
      <c r="G183" t="s">
        <v>920</v>
      </c>
      <c r="H183" t="s">
        <v>37</v>
      </c>
      <c r="I183" t="s">
        <v>38</v>
      </c>
      <c r="J183" t="s">
        <v>39</v>
      </c>
      <c r="K183" s="2">
        <v>46279</v>
      </c>
      <c r="L183" s="2">
        <v>46295</v>
      </c>
      <c r="N183" s="2">
        <v>46266</v>
      </c>
      <c r="O183" s="2">
        <v>46997</v>
      </c>
      <c r="P183">
        <v>24</v>
      </c>
      <c r="Q183" t="s">
        <v>40</v>
      </c>
      <c r="R183" t="s">
        <v>88</v>
      </c>
      <c r="S183" t="s">
        <v>149</v>
      </c>
      <c r="T183" t="s">
        <v>131</v>
      </c>
      <c r="U183" t="s">
        <v>44</v>
      </c>
      <c r="V183" t="s">
        <v>138</v>
      </c>
      <c r="W183" t="s">
        <v>46</v>
      </c>
      <c r="X183" t="s">
        <v>158</v>
      </c>
      <c r="Y183">
        <v>118277.84</v>
      </c>
      <c r="Z183">
        <v>76880.600000000006</v>
      </c>
      <c r="AA183">
        <v>0.65</v>
      </c>
      <c r="AB183" t="s">
        <v>39</v>
      </c>
      <c r="AC183" t="s">
        <v>39</v>
      </c>
      <c r="AD183" t="s">
        <v>48</v>
      </c>
    </row>
    <row r="184" spans="1:30" x14ac:dyDescent="0.35">
      <c r="A184" s="1" t="s">
        <v>30</v>
      </c>
      <c r="B184" t="s">
        <v>521</v>
      </c>
      <c r="C184" t="s">
        <v>285</v>
      </c>
      <c r="D184" t="s">
        <v>921</v>
      </c>
      <c r="E184" t="s">
        <v>922</v>
      </c>
      <c r="F184" t="s">
        <v>923</v>
      </c>
      <c r="G184" t="s">
        <v>924</v>
      </c>
      <c r="H184" t="s">
        <v>37</v>
      </c>
      <c r="I184" t="s">
        <v>64</v>
      </c>
      <c r="J184" t="s">
        <v>39</v>
      </c>
      <c r="K184" s="2">
        <v>46271</v>
      </c>
      <c r="L184" s="2">
        <v>46295</v>
      </c>
      <c r="N184" s="2">
        <v>46266</v>
      </c>
      <c r="O184" s="2">
        <v>46631</v>
      </c>
      <c r="P184">
        <v>12</v>
      </c>
      <c r="Q184" t="s">
        <v>40</v>
      </c>
      <c r="R184" t="s">
        <v>88</v>
      </c>
      <c r="S184" t="s">
        <v>66</v>
      </c>
      <c r="T184" t="s">
        <v>55</v>
      </c>
      <c r="U184" t="s">
        <v>56</v>
      </c>
      <c r="V184" t="s">
        <v>57</v>
      </c>
      <c r="W184" t="s">
        <v>120</v>
      </c>
      <c r="X184" t="s">
        <v>83</v>
      </c>
      <c r="Y184">
        <v>209390.33</v>
      </c>
      <c r="Z184">
        <v>167512.26999999999</v>
      </c>
      <c r="AA184">
        <v>0.8</v>
      </c>
      <c r="AB184" t="s">
        <v>39</v>
      </c>
      <c r="AC184" t="s">
        <v>39</v>
      </c>
      <c r="AD184" t="s">
        <v>48</v>
      </c>
    </row>
    <row r="185" spans="1:30" x14ac:dyDescent="0.35">
      <c r="A185" s="1" t="s">
        <v>30</v>
      </c>
      <c r="B185" t="s">
        <v>521</v>
      </c>
      <c r="C185" t="s">
        <v>285</v>
      </c>
      <c r="D185" t="s">
        <v>1577</v>
      </c>
      <c r="E185" t="s">
        <v>1578</v>
      </c>
      <c r="F185" t="s">
        <v>1579</v>
      </c>
      <c r="G185" t="s">
        <v>1580</v>
      </c>
      <c r="H185" t="s">
        <v>1271</v>
      </c>
      <c r="I185" t="s">
        <v>111</v>
      </c>
      <c r="J185" t="s">
        <v>39</v>
      </c>
      <c r="K185" s="2">
        <v>46270</v>
      </c>
      <c r="L185" s="2">
        <v>46295</v>
      </c>
      <c r="N185" s="2">
        <v>46266</v>
      </c>
      <c r="O185" s="2">
        <v>46997</v>
      </c>
      <c r="P185">
        <v>24</v>
      </c>
      <c r="Q185" t="s">
        <v>40</v>
      </c>
      <c r="R185" t="s">
        <v>53</v>
      </c>
      <c r="S185" t="s">
        <v>80</v>
      </c>
      <c r="T185" t="s">
        <v>43</v>
      </c>
      <c r="U185" t="s">
        <v>44</v>
      </c>
      <c r="V185" t="s">
        <v>74</v>
      </c>
      <c r="W185" t="s">
        <v>132</v>
      </c>
      <c r="X185" t="s">
        <v>158</v>
      </c>
      <c r="Y185">
        <v>123473.5</v>
      </c>
      <c r="Z185">
        <v>61736.75</v>
      </c>
      <c r="AA185">
        <v>0.5</v>
      </c>
      <c r="AB185" t="s">
        <v>39</v>
      </c>
      <c r="AC185" t="s">
        <v>39</v>
      </c>
      <c r="AD185" t="s">
        <v>48</v>
      </c>
    </row>
    <row r="186" spans="1:30" x14ac:dyDescent="0.35">
      <c r="A186" s="1" t="s">
        <v>30</v>
      </c>
      <c r="B186" t="s">
        <v>521</v>
      </c>
      <c r="C186" t="s">
        <v>285</v>
      </c>
      <c r="D186" t="s">
        <v>1581</v>
      </c>
      <c r="E186" t="s">
        <v>1582</v>
      </c>
      <c r="F186" t="s">
        <v>410</v>
      </c>
      <c r="G186" t="s">
        <v>411</v>
      </c>
      <c r="H186" t="s">
        <v>1271</v>
      </c>
      <c r="I186" t="s">
        <v>38</v>
      </c>
      <c r="J186" t="s">
        <v>39</v>
      </c>
      <c r="K186" s="2">
        <v>46272</v>
      </c>
      <c r="L186" s="2">
        <v>46295</v>
      </c>
      <c r="N186" s="2">
        <v>46266</v>
      </c>
      <c r="O186" s="2">
        <v>46631</v>
      </c>
      <c r="P186">
        <v>12</v>
      </c>
      <c r="Q186" t="s">
        <v>40</v>
      </c>
      <c r="R186" t="s">
        <v>41</v>
      </c>
      <c r="S186" t="s">
        <v>162</v>
      </c>
      <c r="T186" t="s">
        <v>43</v>
      </c>
      <c r="U186" t="s">
        <v>56</v>
      </c>
      <c r="V186" t="s">
        <v>217</v>
      </c>
      <c r="W186" t="s">
        <v>120</v>
      </c>
      <c r="X186" t="s">
        <v>47</v>
      </c>
      <c r="Y186">
        <v>124555.83</v>
      </c>
      <c r="Z186">
        <v>80961.289999999994</v>
      </c>
      <c r="AA186">
        <v>0.65</v>
      </c>
      <c r="AB186" t="s">
        <v>39</v>
      </c>
      <c r="AC186" t="s">
        <v>39</v>
      </c>
      <c r="AD186" t="s">
        <v>48</v>
      </c>
    </row>
    <row r="187" spans="1:30" x14ac:dyDescent="0.35">
      <c r="A187" s="1" t="s">
        <v>30</v>
      </c>
      <c r="B187" t="s">
        <v>521</v>
      </c>
      <c r="C187" t="s">
        <v>285</v>
      </c>
      <c r="D187" t="s">
        <v>1583</v>
      </c>
      <c r="E187" t="s">
        <v>1584</v>
      </c>
      <c r="F187" t="s">
        <v>1585</v>
      </c>
      <c r="G187" t="s">
        <v>1586</v>
      </c>
      <c r="H187" t="s">
        <v>1271</v>
      </c>
      <c r="I187" t="s">
        <v>38</v>
      </c>
      <c r="J187" t="s">
        <v>39</v>
      </c>
      <c r="K187" s="2">
        <v>46268</v>
      </c>
      <c r="L187" s="2">
        <v>46295</v>
      </c>
      <c r="N187" s="2">
        <v>46266</v>
      </c>
      <c r="O187" s="2">
        <v>46631</v>
      </c>
      <c r="P187">
        <v>12</v>
      </c>
      <c r="Q187" t="s">
        <v>104</v>
      </c>
      <c r="R187" t="s">
        <v>53</v>
      </c>
      <c r="S187" t="s">
        <v>54</v>
      </c>
      <c r="T187" t="s">
        <v>55</v>
      </c>
      <c r="U187" t="s">
        <v>56</v>
      </c>
      <c r="V187" t="s">
        <v>81</v>
      </c>
      <c r="W187" t="s">
        <v>142</v>
      </c>
      <c r="X187" t="s">
        <v>143</v>
      </c>
      <c r="Y187">
        <v>79314.759999999995</v>
      </c>
      <c r="Z187">
        <v>39657.379999999997</v>
      </c>
      <c r="AA187">
        <v>0.5</v>
      </c>
      <c r="AB187" t="s">
        <v>39</v>
      </c>
      <c r="AC187" t="s">
        <v>39</v>
      </c>
      <c r="AD187" t="s">
        <v>48</v>
      </c>
    </row>
    <row r="188" spans="1:30" x14ac:dyDescent="0.35">
      <c r="A188" s="1" t="s">
        <v>30</v>
      </c>
      <c r="B188" t="s">
        <v>521</v>
      </c>
      <c r="C188" t="s">
        <v>285</v>
      </c>
      <c r="D188" t="s">
        <v>1587</v>
      </c>
      <c r="E188" t="s">
        <v>1588</v>
      </c>
      <c r="F188" t="s">
        <v>503</v>
      </c>
      <c r="G188" t="s">
        <v>504</v>
      </c>
      <c r="H188" t="s">
        <v>1271</v>
      </c>
      <c r="I188" t="s">
        <v>103</v>
      </c>
      <c r="J188" t="s">
        <v>39</v>
      </c>
      <c r="K188" s="2">
        <v>46268</v>
      </c>
      <c r="L188" s="2">
        <v>46295</v>
      </c>
      <c r="N188" s="2">
        <v>46266</v>
      </c>
      <c r="O188" s="2">
        <v>46631</v>
      </c>
      <c r="P188">
        <v>12</v>
      </c>
      <c r="Q188" t="s">
        <v>65</v>
      </c>
      <c r="R188" t="s">
        <v>53</v>
      </c>
      <c r="S188" t="s">
        <v>135</v>
      </c>
      <c r="T188" t="s">
        <v>131</v>
      </c>
      <c r="U188" t="s">
        <v>44</v>
      </c>
      <c r="V188" t="s">
        <v>144</v>
      </c>
      <c r="W188" t="s">
        <v>46</v>
      </c>
      <c r="X188" t="s">
        <v>125</v>
      </c>
      <c r="Y188">
        <v>164889.03</v>
      </c>
      <c r="Z188">
        <v>82444.509999999995</v>
      </c>
      <c r="AA188">
        <v>0.5</v>
      </c>
      <c r="AB188" t="s">
        <v>39</v>
      </c>
      <c r="AC188" t="s">
        <v>39</v>
      </c>
      <c r="AD188" t="s">
        <v>48</v>
      </c>
    </row>
    <row r="189" spans="1:30" x14ac:dyDescent="0.35">
      <c r="A189" s="1" t="s">
        <v>30</v>
      </c>
      <c r="B189" t="s">
        <v>521</v>
      </c>
      <c r="C189" t="s">
        <v>285</v>
      </c>
      <c r="D189" t="s">
        <v>1589</v>
      </c>
      <c r="E189" t="s">
        <v>1590</v>
      </c>
      <c r="F189" t="s">
        <v>1057</v>
      </c>
      <c r="G189" t="s">
        <v>1058</v>
      </c>
      <c r="H189" t="s">
        <v>1271</v>
      </c>
      <c r="I189" t="s">
        <v>38</v>
      </c>
      <c r="J189" t="s">
        <v>39</v>
      </c>
      <c r="K189" s="2">
        <v>46276</v>
      </c>
      <c r="L189" s="2">
        <v>46295</v>
      </c>
      <c r="N189" s="2">
        <v>46266</v>
      </c>
      <c r="O189" s="2">
        <v>46631</v>
      </c>
      <c r="P189">
        <v>12</v>
      </c>
      <c r="Q189" t="s">
        <v>40</v>
      </c>
      <c r="R189" t="s">
        <v>41</v>
      </c>
      <c r="S189" t="s">
        <v>139</v>
      </c>
      <c r="T189" t="s">
        <v>43</v>
      </c>
      <c r="U189" t="s">
        <v>106</v>
      </c>
      <c r="V189" t="s">
        <v>67</v>
      </c>
      <c r="W189" t="s">
        <v>136</v>
      </c>
      <c r="X189" t="s">
        <v>91</v>
      </c>
      <c r="Y189">
        <v>105953.02</v>
      </c>
      <c r="Z189">
        <v>68869.460000000006</v>
      </c>
      <c r="AA189">
        <v>0.65</v>
      </c>
      <c r="AB189" t="s">
        <v>39</v>
      </c>
      <c r="AC189" t="s">
        <v>39</v>
      </c>
      <c r="AD189" t="s">
        <v>48</v>
      </c>
    </row>
    <row r="190" spans="1:30" x14ac:dyDescent="0.35">
      <c r="A190" s="1" t="s">
        <v>30</v>
      </c>
      <c r="B190" t="s">
        <v>521</v>
      </c>
      <c r="C190" t="s">
        <v>285</v>
      </c>
      <c r="D190" t="s">
        <v>1591</v>
      </c>
      <c r="E190" t="s">
        <v>1592</v>
      </c>
      <c r="F190" t="s">
        <v>1593</v>
      </c>
      <c r="G190" t="s">
        <v>1594</v>
      </c>
      <c r="H190" t="s">
        <v>1271</v>
      </c>
      <c r="I190" t="s">
        <v>117</v>
      </c>
      <c r="J190" t="s">
        <v>39</v>
      </c>
      <c r="K190" s="2">
        <v>46280</v>
      </c>
      <c r="L190" s="2">
        <v>46295</v>
      </c>
      <c r="N190" s="2">
        <v>46266</v>
      </c>
      <c r="O190" s="2">
        <v>46997</v>
      </c>
      <c r="P190">
        <v>24</v>
      </c>
      <c r="Q190" t="s">
        <v>40</v>
      </c>
      <c r="R190" t="s">
        <v>53</v>
      </c>
      <c r="S190" t="s">
        <v>139</v>
      </c>
      <c r="T190" t="s">
        <v>43</v>
      </c>
      <c r="U190" t="s">
        <v>44</v>
      </c>
      <c r="V190" t="s">
        <v>57</v>
      </c>
      <c r="W190" t="s">
        <v>132</v>
      </c>
      <c r="X190" t="s">
        <v>125</v>
      </c>
      <c r="Y190">
        <v>140089.20000000001</v>
      </c>
      <c r="Z190">
        <v>112071.36</v>
      </c>
      <c r="AA190">
        <v>0.8</v>
      </c>
      <c r="AB190" t="s">
        <v>39</v>
      </c>
      <c r="AC190" t="s">
        <v>39</v>
      </c>
      <c r="AD190" t="s">
        <v>48</v>
      </c>
    </row>
    <row r="191" spans="1:30" x14ac:dyDescent="0.35">
      <c r="A191" s="1" t="s">
        <v>30</v>
      </c>
      <c r="B191" t="s">
        <v>521</v>
      </c>
      <c r="C191" t="s">
        <v>285</v>
      </c>
      <c r="D191" t="s">
        <v>1595</v>
      </c>
      <c r="E191" t="s">
        <v>1596</v>
      </c>
      <c r="F191" t="s">
        <v>1597</v>
      </c>
      <c r="G191" t="s">
        <v>1598</v>
      </c>
      <c r="H191" t="s">
        <v>1271</v>
      </c>
      <c r="I191" t="s">
        <v>38</v>
      </c>
      <c r="J191" t="s">
        <v>39</v>
      </c>
      <c r="K191" s="2">
        <v>46278</v>
      </c>
      <c r="L191" s="2">
        <v>46295</v>
      </c>
      <c r="N191" s="2">
        <v>46266</v>
      </c>
      <c r="O191" s="2">
        <v>46631</v>
      </c>
      <c r="P191">
        <v>12</v>
      </c>
      <c r="Q191" t="s">
        <v>65</v>
      </c>
      <c r="R191" t="s">
        <v>53</v>
      </c>
      <c r="S191" t="s">
        <v>149</v>
      </c>
      <c r="T191" t="s">
        <v>131</v>
      </c>
      <c r="U191" t="s">
        <v>56</v>
      </c>
      <c r="V191" t="s">
        <v>57</v>
      </c>
      <c r="W191" t="s">
        <v>120</v>
      </c>
      <c r="X191" t="s">
        <v>47</v>
      </c>
      <c r="Y191">
        <v>156271.26999999999</v>
      </c>
      <c r="Z191">
        <v>54694.94</v>
      </c>
      <c r="AA191">
        <v>0.35</v>
      </c>
      <c r="AB191" t="s">
        <v>39</v>
      </c>
      <c r="AC191" t="s">
        <v>39</v>
      </c>
      <c r="AD191" t="s">
        <v>48</v>
      </c>
    </row>
    <row r="192" spans="1:30" x14ac:dyDescent="0.35">
      <c r="A192" s="1" t="s">
        <v>30</v>
      </c>
      <c r="B192" t="s">
        <v>521</v>
      </c>
      <c r="C192" t="s">
        <v>285</v>
      </c>
      <c r="D192" t="s">
        <v>1599</v>
      </c>
      <c r="E192" t="s">
        <v>1600</v>
      </c>
      <c r="F192" t="s">
        <v>1471</v>
      </c>
      <c r="G192" t="s">
        <v>1472</v>
      </c>
      <c r="H192" t="s">
        <v>1290</v>
      </c>
      <c r="I192" t="s">
        <v>103</v>
      </c>
      <c r="J192" t="s">
        <v>1290</v>
      </c>
      <c r="K192" s="2">
        <v>46274</v>
      </c>
      <c r="L192" s="2">
        <v>46295</v>
      </c>
      <c r="N192" s="2">
        <v>46266</v>
      </c>
      <c r="O192" s="2">
        <v>46631</v>
      </c>
      <c r="P192">
        <v>12</v>
      </c>
      <c r="Q192" t="s">
        <v>104</v>
      </c>
      <c r="R192" t="s">
        <v>88</v>
      </c>
      <c r="S192" t="s">
        <v>66</v>
      </c>
      <c r="T192" t="s">
        <v>55</v>
      </c>
      <c r="U192" t="s">
        <v>56</v>
      </c>
      <c r="V192" t="s">
        <v>57</v>
      </c>
      <c r="W192" t="s">
        <v>58</v>
      </c>
      <c r="X192" t="s">
        <v>91</v>
      </c>
      <c r="Y192">
        <v>164315.67000000001</v>
      </c>
      <c r="Z192">
        <v>106805.19</v>
      </c>
      <c r="AA192">
        <v>0.65</v>
      </c>
      <c r="AB192" t="s">
        <v>1290</v>
      </c>
      <c r="AC192" t="s">
        <v>1290</v>
      </c>
      <c r="AD192" t="s">
        <v>48</v>
      </c>
    </row>
    <row r="193" spans="1:30" x14ac:dyDescent="0.35">
      <c r="A193" s="1" t="s">
        <v>30</v>
      </c>
      <c r="B193" t="s">
        <v>521</v>
      </c>
      <c r="C193" t="s">
        <v>285</v>
      </c>
      <c r="D193" t="s">
        <v>1601</v>
      </c>
      <c r="E193" t="s">
        <v>1602</v>
      </c>
      <c r="F193" t="s">
        <v>1603</v>
      </c>
      <c r="G193" t="s">
        <v>1604</v>
      </c>
      <c r="H193" t="s">
        <v>1290</v>
      </c>
      <c r="I193" t="s">
        <v>111</v>
      </c>
      <c r="J193" t="s">
        <v>1290</v>
      </c>
      <c r="K193" s="2">
        <v>46272</v>
      </c>
      <c r="L193" s="2">
        <v>46295</v>
      </c>
      <c r="N193" s="2">
        <v>46266</v>
      </c>
      <c r="O193" s="2">
        <v>46631</v>
      </c>
      <c r="P193">
        <v>12</v>
      </c>
      <c r="Q193" t="s">
        <v>104</v>
      </c>
      <c r="R193" t="s">
        <v>88</v>
      </c>
      <c r="S193" t="s">
        <v>149</v>
      </c>
      <c r="T193" t="s">
        <v>131</v>
      </c>
      <c r="U193" t="s">
        <v>44</v>
      </c>
      <c r="V193" t="s">
        <v>138</v>
      </c>
      <c r="W193" t="s">
        <v>46</v>
      </c>
      <c r="X193" t="s">
        <v>143</v>
      </c>
      <c r="Y193">
        <v>89426.37</v>
      </c>
      <c r="Z193">
        <v>58127.14</v>
      </c>
      <c r="AA193">
        <v>0.65</v>
      </c>
      <c r="AB193" t="s">
        <v>1290</v>
      </c>
      <c r="AC193" t="s">
        <v>1290</v>
      </c>
      <c r="AD193" t="s">
        <v>48</v>
      </c>
    </row>
    <row r="194" spans="1:30" x14ac:dyDescent="0.35">
      <c r="A194" s="1" t="s">
        <v>30</v>
      </c>
      <c r="B194" t="s">
        <v>521</v>
      </c>
      <c r="C194" t="s">
        <v>285</v>
      </c>
      <c r="D194" t="s">
        <v>1605</v>
      </c>
      <c r="E194" t="s">
        <v>1606</v>
      </c>
      <c r="F194" t="s">
        <v>1607</v>
      </c>
      <c r="G194" t="s">
        <v>1608</v>
      </c>
      <c r="H194" t="s">
        <v>1290</v>
      </c>
      <c r="I194" t="s">
        <v>38</v>
      </c>
      <c r="J194" t="s">
        <v>1290</v>
      </c>
      <c r="K194" s="2">
        <v>46274</v>
      </c>
      <c r="L194" s="2">
        <v>46295</v>
      </c>
      <c r="N194" s="2">
        <v>46266</v>
      </c>
      <c r="O194" s="2">
        <v>46631</v>
      </c>
      <c r="P194">
        <v>12</v>
      </c>
      <c r="Q194" t="s">
        <v>65</v>
      </c>
      <c r="R194" t="s">
        <v>53</v>
      </c>
      <c r="S194" t="s">
        <v>140</v>
      </c>
      <c r="T194" t="s">
        <v>97</v>
      </c>
      <c r="U194" t="s">
        <v>56</v>
      </c>
      <c r="V194" t="s">
        <v>74</v>
      </c>
      <c r="W194" t="s">
        <v>161</v>
      </c>
      <c r="X194" t="s">
        <v>47</v>
      </c>
      <c r="Y194">
        <v>178774.68</v>
      </c>
      <c r="Z194">
        <v>89387.34</v>
      </c>
      <c r="AA194">
        <v>0.5</v>
      </c>
      <c r="AB194" t="s">
        <v>1290</v>
      </c>
      <c r="AC194" t="s">
        <v>1290</v>
      </c>
      <c r="AD194" t="s">
        <v>48</v>
      </c>
    </row>
    <row r="195" spans="1:30" x14ac:dyDescent="0.35">
      <c r="A195" s="1" t="s">
        <v>30</v>
      </c>
      <c r="B195" t="s">
        <v>521</v>
      </c>
      <c r="C195" t="s">
        <v>285</v>
      </c>
      <c r="D195" t="s">
        <v>1609</v>
      </c>
      <c r="E195" t="s">
        <v>1610</v>
      </c>
      <c r="F195" t="s">
        <v>634</v>
      </c>
      <c r="G195" t="s">
        <v>635</v>
      </c>
      <c r="H195" t="s">
        <v>1295</v>
      </c>
      <c r="I195" t="s">
        <v>111</v>
      </c>
      <c r="J195" t="s">
        <v>1295</v>
      </c>
      <c r="K195" s="2">
        <v>46270</v>
      </c>
      <c r="L195" s="2">
        <v>46295</v>
      </c>
      <c r="N195" s="2">
        <v>46266</v>
      </c>
      <c r="O195" s="2">
        <v>46997</v>
      </c>
      <c r="P195">
        <v>24</v>
      </c>
      <c r="Q195" t="s">
        <v>65</v>
      </c>
      <c r="R195" t="s">
        <v>53</v>
      </c>
      <c r="S195" t="s">
        <v>54</v>
      </c>
      <c r="T195" t="s">
        <v>55</v>
      </c>
      <c r="U195" t="s">
        <v>56</v>
      </c>
      <c r="V195" t="s">
        <v>217</v>
      </c>
      <c r="W195" t="s">
        <v>90</v>
      </c>
      <c r="X195" t="s">
        <v>47</v>
      </c>
      <c r="Y195">
        <v>121099.72</v>
      </c>
      <c r="Z195">
        <v>78714.820000000007</v>
      </c>
      <c r="AA195">
        <v>0.65</v>
      </c>
      <c r="AB195" t="s">
        <v>1295</v>
      </c>
      <c r="AC195" t="s">
        <v>1295</v>
      </c>
      <c r="AD195" t="s">
        <v>48</v>
      </c>
    </row>
    <row r="196" spans="1:30" x14ac:dyDescent="0.35">
      <c r="A196" s="1" t="s">
        <v>30</v>
      </c>
      <c r="B196" t="s">
        <v>521</v>
      </c>
      <c r="C196" t="s">
        <v>285</v>
      </c>
      <c r="D196" t="s">
        <v>1611</v>
      </c>
      <c r="E196" t="s">
        <v>1612</v>
      </c>
      <c r="F196" t="s">
        <v>1613</v>
      </c>
      <c r="G196" t="s">
        <v>1614</v>
      </c>
      <c r="H196" t="s">
        <v>1295</v>
      </c>
      <c r="I196" t="s">
        <v>64</v>
      </c>
      <c r="J196" t="s">
        <v>1295</v>
      </c>
      <c r="K196" s="2">
        <v>46270</v>
      </c>
      <c r="L196" s="2">
        <v>46295</v>
      </c>
      <c r="N196" s="2">
        <v>46266</v>
      </c>
      <c r="O196" s="2">
        <v>46631</v>
      </c>
      <c r="P196">
        <v>12</v>
      </c>
      <c r="Q196" t="s">
        <v>104</v>
      </c>
      <c r="R196" t="s">
        <v>88</v>
      </c>
      <c r="S196" t="s">
        <v>96</v>
      </c>
      <c r="T196" t="s">
        <v>97</v>
      </c>
      <c r="U196" t="s">
        <v>56</v>
      </c>
      <c r="V196" t="s">
        <v>57</v>
      </c>
      <c r="W196" t="s">
        <v>90</v>
      </c>
      <c r="X196" t="s">
        <v>143</v>
      </c>
      <c r="Y196">
        <v>188696.24</v>
      </c>
      <c r="Z196">
        <v>122652.55</v>
      </c>
      <c r="AA196">
        <v>0.65</v>
      </c>
      <c r="AB196" t="s">
        <v>1295</v>
      </c>
      <c r="AC196" t="s">
        <v>1295</v>
      </c>
      <c r="AD196" t="s">
        <v>48</v>
      </c>
    </row>
    <row r="197" spans="1:30" x14ac:dyDescent="0.35">
      <c r="A197" s="1" t="s">
        <v>30</v>
      </c>
      <c r="B197" t="s">
        <v>521</v>
      </c>
      <c r="C197" t="s">
        <v>285</v>
      </c>
      <c r="D197" t="s">
        <v>1615</v>
      </c>
      <c r="E197" t="s">
        <v>1616</v>
      </c>
      <c r="F197" t="s">
        <v>1617</v>
      </c>
      <c r="G197" t="s">
        <v>1618</v>
      </c>
      <c r="H197" t="s">
        <v>1295</v>
      </c>
      <c r="I197" t="s">
        <v>111</v>
      </c>
      <c r="J197" t="s">
        <v>1295</v>
      </c>
      <c r="K197" s="2">
        <v>46275</v>
      </c>
      <c r="L197" s="2">
        <v>46295</v>
      </c>
      <c r="N197" s="2">
        <v>46266</v>
      </c>
      <c r="O197" s="2">
        <v>46631</v>
      </c>
      <c r="P197">
        <v>12</v>
      </c>
      <c r="Q197" t="s">
        <v>40</v>
      </c>
      <c r="R197" t="s">
        <v>88</v>
      </c>
      <c r="S197" t="s">
        <v>135</v>
      </c>
      <c r="T197" t="s">
        <v>131</v>
      </c>
      <c r="U197" t="s">
        <v>44</v>
      </c>
      <c r="V197" t="s">
        <v>144</v>
      </c>
      <c r="W197" t="s">
        <v>75</v>
      </c>
      <c r="X197" t="s">
        <v>125</v>
      </c>
      <c r="Y197">
        <v>214324.52</v>
      </c>
      <c r="Z197">
        <v>171459.61</v>
      </c>
      <c r="AA197">
        <v>0.8</v>
      </c>
      <c r="AB197" t="s">
        <v>1295</v>
      </c>
      <c r="AC197" t="s">
        <v>1295</v>
      </c>
      <c r="AD197" t="s">
        <v>48</v>
      </c>
    </row>
    <row r="198" spans="1:30" x14ac:dyDescent="0.35">
      <c r="A198" s="1" t="s">
        <v>30</v>
      </c>
      <c r="B198" t="s">
        <v>521</v>
      </c>
      <c r="C198" t="s">
        <v>285</v>
      </c>
      <c r="D198" t="s">
        <v>1619</v>
      </c>
      <c r="E198" t="s">
        <v>1620</v>
      </c>
      <c r="F198" t="s">
        <v>1621</v>
      </c>
      <c r="G198" t="s">
        <v>1622</v>
      </c>
      <c r="H198" t="s">
        <v>1295</v>
      </c>
      <c r="I198" t="s">
        <v>111</v>
      </c>
      <c r="J198" t="s">
        <v>1295</v>
      </c>
      <c r="K198" s="2">
        <v>46278</v>
      </c>
      <c r="L198" s="2">
        <v>46295</v>
      </c>
      <c r="N198" s="2">
        <v>46266</v>
      </c>
      <c r="O198" s="2">
        <v>47362</v>
      </c>
      <c r="P198">
        <v>36</v>
      </c>
      <c r="Q198" t="s">
        <v>104</v>
      </c>
      <c r="R198" t="s">
        <v>41</v>
      </c>
      <c r="S198" t="s">
        <v>141</v>
      </c>
      <c r="T198" t="s">
        <v>131</v>
      </c>
      <c r="U198" t="s">
        <v>56</v>
      </c>
      <c r="V198" t="s">
        <v>67</v>
      </c>
      <c r="W198" t="s">
        <v>75</v>
      </c>
      <c r="X198" t="s">
        <v>143</v>
      </c>
      <c r="Y198">
        <v>202550.7</v>
      </c>
      <c r="Z198">
        <v>70892.740000000005</v>
      </c>
      <c r="AA198">
        <v>0.35</v>
      </c>
      <c r="AB198" t="s">
        <v>1295</v>
      </c>
      <c r="AC198" t="s">
        <v>1295</v>
      </c>
      <c r="AD198" t="s">
        <v>48</v>
      </c>
    </row>
    <row r="199" spans="1:30" x14ac:dyDescent="0.35">
      <c r="A199" s="1" t="s">
        <v>30</v>
      </c>
      <c r="B199" t="s">
        <v>521</v>
      </c>
      <c r="C199" t="s">
        <v>285</v>
      </c>
      <c r="D199" t="s">
        <v>1623</v>
      </c>
      <c r="E199" t="s">
        <v>1624</v>
      </c>
      <c r="F199" t="s">
        <v>1067</v>
      </c>
      <c r="G199" t="s">
        <v>1068</v>
      </c>
      <c r="H199" t="s">
        <v>1302</v>
      </c>
      <c r="I199" t="s">
        <v>64</v>
      </c>
      <c r="J199" t="s">
        <v>39</v>
      </c>
      <c r="K199" s="2">
        <v>46277</v>
      </c>
      <c r="L199" s="2">
        <v>46295</v>
      </c>
      <c r="N199" s="2">
        <v>46266</v>
      </c>
      <c r="O199" s="2">
        <v>46997</v>
      </c>
      <c r="P199">
        <v>24</v>
      </c>
      <c r="Q199" t="s">
        <v>40</v>
      </c>
      <c r="R199" t="s">
        <v>88</v>
      </c>
      <c r="S199" t="s">
        <v>141</v>
      </c>
      <c r="T199" t="s">
        <v>131</v>
      </c>
      <c r="U199" t="s">
        <v>44</v>
      </c>
      <c r="V199" t="s">
        <v>138</v>
      </c>
      <c r="W199" t="s">
        <v>161</v>
      </c>
      <c r="X199" t="s">
        <v>47</v>
      </c>
      <c r="Y199">
        <v>133539.68</v>
      </c>
      <c r="Z199">
        <v>86800.79</v>
      </c>
      <c r="AA199">
        <v>0.65</v>
      </c>
      <c r="AB199" t="s">
        <v>39</v>
      </c>
      <c r="AC199" t="s">
        <v>39</v>
      </c>
      <c r="AD199" t="s">
        <v>48</v>
      </c>
    </row>
    <row r="200" spans="1:30" x14ac:dyDescent="0.35">
      <c r="A200" s="1" t="s">
        <v>30</v>
      </c>
      <c r="B200" t="s">
        <v>521</v>
      </c>
      <c r="C200" t="s">
        <v>285</v>
      </c>
      <c r="D200" t="s">
        <v>1625</v>
      </c>
      <c r="E200" t="s">
        <v>1626</v>
      </c>
      <c r="F200" t="s">
        <v>1627</v>
      </c>
      <c r="G200" t="s">
        <v>1628</v>
      </c>
      <c r="H200" t="s">
        <v>1302</v>
      </c>
      <c r="I200" t="s">
        <v>64</v>
      </c>
      <c r="J200" t="s">
        <v>39</v>
      </c>
      <c r="K200" s="2">
        <v>46271</v>
      </c>
      <c r="L200" s="2">
        <v>46295</v>
      </c>
      <c r="N200" s="2">
        <v>46266</v>
      </c>
      <c r="O200" s="2">
        <v>46631</v>
      </c>
      <c r="P200">
        <v>12</v>
      </c>
      <c r="Q200" t="s">
        <v>40</v>
      </c>
      <c r="R200" t="s">
        <v>53</v>
      </c>
      <c r="S200" t="s">
        <v>182</v>
      </c>
      <c r="T200" t="s">
        <v>97</v>
      </c>
      <c r="U200" t="s">
        <v>56</v>
      </c>
      <c r="V200" t="s">
        <v>144</v>
      </c>
      <c r="W200" t="s">
        <v>161</v>
      </c>
      <c r="X200" t="s">
        <v>59</v>
      </c>
      <c r="Y200">
        <v>145808.45000000001</v>
      </c>
      <c r="Z200">
        <v>51032.959999999999</v>
      </c>
      <c r="AA200">
        <v>0.35</v>
      </c>
      <c r="AB200" t="s">
        <v>39</v>
      </c>
      <c r="AC200" t="s">
        <v>39</v>
      </c>
      <c r="AD200" t="s">
        <v>48</v>
      </c>
    </row>
    <row r="201" spans="1:30" x14ac:dyDescent="0.35">
      <c r="A201" s="1" t="s">
        <v>30</v>
      </c>
      <c r="B201" t="s">
        <v>521</v>
      </c>
      <c r="C201" t="s">
        <v>285</v>
      </c>
      <c r="D201" t="s">
        <v>1629</v>
      </c>
      <c r="E201" t="s">
        <v>1630</v>
      </c>
      <c r="F201" t="s">
        <v>1017</v>
      </c>
      <c r="G201" t="s">
        <v>1018</v>
      </c>
      <c r="H201" t="s">
        <v>1302</v>
      </c>
      <c r="I201" t="s">
        <v>111</v>
      </c>
      <c r="J201" t="s">
        <v>39</v>
      </c>
      <c r="K201" s="2">
        <v>46272</v>
      </c>
      <c r="L201" s="2">
        <v>46295</v>
      </c>
      <c r="N201" s="2">
        <v>46266</v>
      </c>
      <c r="O201" s="2">
        <v>46631</v>
      </c>
      <c r="P201">
        <v>12</v>
      </c>
      <c r="Q201" t="s">
        <v>40</v>
      </c>
      <c r="R201" t="s">
        <v>41</v>
      </c>
      <c r="S201" t="s">
        <v>130</v>
      </c>
      <c r="T201" t="s">
        <v>131</v>
      </c>
      <c r="U201" t="s">
        <v>44</v>
      </c>
      <c r="V201" t="s">
        <v>81</v>
      </c>
      <c r="W201" t="s">
        <v>142</v>
      </c>
      <c r="X201" t="s">
        <v>47</v>
      </c>
      <c r="Y201">
        <v>103012.87</v>
      </c>
      <c r="Z201">
        <v>51506.43</v>
      </c>
      <c r="AA201">
        <v>0.5</v>
      </c>
      <c r="AB201" t="s">
        <v>39</v>
      </c>
      <c r="AC201" t="s">
        <v>39</v>
      </c>
      <c r="AD201" t="s">
        <v>48</v>
      </c>
    </row>
    <row r="202" spans="1:30" x14ac:dyDescent="0.35">
      <c r="A202" s="1" t="s">
        <v>30</v>
      </c>
      <c r="B202" t="s">
        <v>521</v>
      </c>
      <c r="C202" t="s">
        <v>348</v>
      </c>
      <c r="D202" t="s">
        <v>945</v>
      </c>
      <c r="E202" t="s">
        <v>946</v>
      </c>
      <c r="F202" t="s">
        <v>683</v>
      </c>
      <c r="G202" t="s">
        <v>684</v>
      </c>
      <c r="H202" t="s">
        <v>37</v>
      </c>
      <c r="I202" t="s">
        <v>103</v>
      </c>
      <c r="J202" t="s">
        <v>39</v>
      </c>
      <c r="K202" s="2">
        <v>46306</v>
      </c>
      <c r="L202" s="2">
        <v>46326</v>
      </c>
      <c r="N202" s="2">
        <v>46296</v>
      </c>
      <c r="O202" s="2">
        <v>46661</v>
      </c>
      <c r="P202">
        <v>12</v>
      </c>
      <c r="Q202" t="s">
        <v>65</v>
      </c>
      <c r="R202" t="s">
        <v>53</v>
      </c>
      <c r="S202" t="s">
        <v>163</v>
      </c>
      <c r="T202" t="s">
        <v>131</v>
      </c>
      <c r="U202" t="s">
        <v>56</v>
      </c>
      <c r="V202" t="s">
        <v>144</v>
      </c>
      <c r="W202" t="s">
        <v>150</v>
      </c>
      <c r="X202" t="s">
        <v>143</v>
      </c>
      <c r="Y202">
        <v>184178.29</v>
      </c>
      <c r="Z202">
        <v>64462.400000000001</v>
      </c>
      <c r="AA202">
        <v>0.35</v>
      </c>
      <c r="AB202" t="s">
        <v>39</v>
      </c>
      <c r="AC202" t="s">
        <v>39</v>
      </c>
      <c r="AD202" t="s">
        <v>48</v>
      </c>
    </row>
    <row r="203" spans="1:30" x14ac:dyDescent="0.35">
      <c r="A203" s="1" t="s">
        <v>30</v>
      </c>
      <c r="B203" t="s">
        <v>521</v>
      </c>
      <c r="C203" t="s">
        <v>348</v>
      </c>
      <c r="D203" t="s">
        <v>947</v>
      </c>
      <c r="E203" t="s">
        <v>948</v>
      </c>
      <c r="F203" t="s">
        <v>949</v>
      </c>
      <c r="G203" t="s">
        <v>950</v>
      </c>
      <c r="H203" t="s">
        <v>37</v>
      </c>
      <c r="I203" t="s">
        <v>64</v>
      </c>
      <c r="J203" t="s">
        <v>39</v>
      </c>
      <c r="K203" s="2">
        <v>46310</v>
      </c>
      <c r="L203" s="2">
        <v>46326</v>
      </c>
      <c r="N203" s="2">
        <v>46296</v>
      </c>
      <c r="O203" s="2">
        <v>46661</v>
      </c>
      <c r="P203">
        <v>12</v>
      </c>
      <c r="Q203" t="s">
        <v>65</v>
      </c>
      <c r="R203" t="s">
        <v>53</v>
      </c>
      <c r="S203" t="s">
        <v>164</v>
      </c>
      <c r="T203" t="s">
        <v>55</v>
      </c>
      <c r="U203" t="s">
        <v>44</v>
      </c>
      <c r="V203" t="s">
        <v>138</v>
      </c>
      <c r="W203" t="s">
        <v>82</v>
      </c>
      <c r="X203" t="s">
        <v>143</v>
      </c>
      <c r="Y203">
        <v>189483.87</v>
      </c>
      <c r="Z203">
        <v>94741.94</v>
      </c>
      <c r="AA203">
        <v>0.5</v>
      </c>
      <c r="AB203" t="s">
        <v>39</v>
      </c>
      <c r="AC203" t="s">
        <v>39</v>
      </c>
      <c r="AD203" t="s">
        <v>48</v>
      </c>
    </row>
    <row r="204" spans="1:30" x14ac:dyDescent="0.35">
      <c r="A204" s="1" t="s">
        <v>30</v>
      </c>
      <c r="B204" t="s">
        <v>521</v>
      </c>
      <c r="C204" t="s">
        <v>348</v>
      </c>
      <c r="D204" t="s">
        <v>951</v>
      </c>
      <c r="E204" t="s">
        <v>952</v>
      </c>
      <c r="F204" t="s">
        <v>501</v>
      </c>
      <c r="G204" t="s">
        <v>502</v>
      </c>
      <c r="H204" t="s">
        <v>37</v>
      </c>
      <c r="I204" t="s">
        <v>111</v>
      </c>
      <c r="J204" t="s">
        <v>39</v>
      </c>
      <c r="K204" s="2">
        <v>46301</v>
      </c>
      <c r="L204" s="2">
        <v>46326</v>
      </c>
      <c r="N204" s="2">
        <v>46296</v>
      </c>
      <c r="O204" s="2">
        <v>46661</v>
      </c>
      <c r="P204">
        <v>12</v>
      </c>
      <c r="Q204" t="s">
        <v>65</v>
      </c>
      <c r="R204" t="s">
        <v>41</v>
      </c>
      <c r="S204" t="s">
        <v>80</v>
      </c>
      <c r="T204" t="s">
        <v>43</v>
      </c>
      <c r="U204" t="s">
        <v>44</v>
      </c>
      <c r="V204" t="s">
        <v>144</v>
      </c>
      <c r="W204" t="s">
        <v>58</v>
      </c>
      <c r="X204" t="s">
        <v>143</v>
      </c>
      <c r="Y204">
        <v>113344.11</v>
      </c>
      <c r="Z204">
        <v>56672.06</v>
      </c>
      <c r="AA204">
        <v>0.5</v>
      </c>
      <c r="AB204" t="s">
        <v>39</v>
      </c>
      <c r="AC204" t="s">
        <v>39</v>
      </c>
      <c r="AD204" t="s">
        <v>48</v>
      </c>
    </row>
    <row r="205" spans="1:30" x14ac:dyDescent="0.35">
      <c r="A205" s="1" t="s">
        <v>30</v>
      </c>
      <c r="B205" t="s">
        <v>521</v>
      </c>
      <c r="C205" t="s">
        <v>348</v>
      </c>
      <c r="D205" t="s">
        <v>953</v>
      </c>
      <c r="E205" t="s">
        <v>954</v>
      </c>
      <c r="F205" t="s">
        <v>771</v>
      </c>
      <c r="G205" t="s">
        <v>772</v>
      </c>
      <c r="H205" t="s">
        <v>37</v>
      </c>
      <c r="I205" t="s">
        <v>117</v>
      </c>
      <c r="J205" t="s">
        <v>39</v>
      </c>
      <c r="K205" s="2">
        <v>46303</v>
      </c>
      <c r="L205" s="2">
        <v>46326</v>
      </c>
      <c r="N205" s="2">
        <v>46296</v>
      </c>
      <c r="O205" s="2">
        <v>46661</v>
      </c>
      <c r="P205">
        <v>12</v>
      </c>
      <c r="Q205" t="s">
        <v>65</v>
      </c>
      <c r="R205" t="s">
        <v>41</v>
      </c>
      <c r="S205" t="s">
        <v>140</v>
      </c>
      <c r="T205" t="s">
        <v>97</v>
      </c>
      <c r="U205" t="s">
        <v>56</v>
      </c>
      <c r="V205" t="s">
        <v>217</v>
      </c>
      <c r="W205" t="s">
        <v>161</v>
      </c>
      <c r="X205" t="s">
        <v>91</v>
      </c>
      <c r="Y205">
        <v>172826.22</v>
      </c>
      <c r="Z205">
        <v>86413.11</v>
      </c>
      <c r="AA205">
        <v>0.5</v>
      </c>
      <c r="AB205" t="s">
        <v>39</v>
      </c>
      <c r="AC205" t="s">
        <v>39</v>
      </c>
      <c r="AD205" t="s">
        <v>48</v>
      </c>
    </row>
    <row r="206" spans="1:30" x14ac:dyDescent="0.35">
      <c r="A206" s="1" t="s">
        <v>30</v>
      </c>
      <c r="B206" t="s">
        <v>521</v>
      </c>
      <c r="C206" t="s">
        <v>348</v>
      </c>
      <c r="D206" t="s">
        <v>955</v>
      </c>
      <c r="E206" t="s">
        <v>956</v>
      </c>
      <c r="F206" t="s">
        <v>957</v>
      </c>
      <c r="G206" t="s">
        <v>958</v>
      </c>
      <c r="H206" t="s">
        <v>37</v>
      </c>
      <c r="I206" t="s">
        <v>117</v>
      </c>
      <c r="J206" t="s">
        <v>39</v>
      </c>
      <c r="K206" s="2">
        <v>46306</v>
      </c>
      <c r="L206" s="2">
        <v>46326</v>
      </c>
      <c r="N206" s="2">
        <v>46296</v>
      </c>
      <c r="O206" s="2">
        <v>46661</v>
      </c>
      <c r="P206">
        <v>12</v>
      </c>
      <c r="Q206" t="s">
        <v>104</v>
      </c>
      <c r="R206" t="s">
        <v>41</v>
      </c>
      <c r="S206" t="s">
        <v>80</v>
      </c>
      <c r="T206" t="s">
        <v>43</v>
      </c>
      <c r="U206" t="s">
        <v>106</v>
      </c>
      <c r="V206" t="s">
        <v>98</v>
      </c>
      <c r="W206" t="s">
        <v>46</v>
      </c>
      <c r="X206" t="s">
        <v>59</v>
      </c>
      <c r="Y206">
        <v>175767.74</v>
      </c>
      <c r="Z206">
        <v>114249.03</v>
      </c>
      <c r="AA206">
        <v>0.65</v>
      </c>
      <c r="AB206" t="s">
        <v>39</v>
      </c>
      <c r="AC206" t="s">
        <v>39</v>
      </c>
      <c r="AD206" t="s">
        <v>48</v>
      </c>
    </row>
    <row r="207" spans="1:30" x14ac:dyDescent="0.35">
      <c r="A207" s="1" t="s">
        <v>30</v>
      </c>
      <c r="B207" t="s">
        <v>521</v>
      </c>
      <c r="C207" t="s">
        <v>348</v>
      </c>
      <c r="D207" t="s">
        <v>959</v>
      </c>
      <c r="E207" t="s">
        <v>960</v>
      </c>
      <c r="F207" t="s">
        <v>961</v>
      </c>
      <c r="G207" t="s">
        <v>962</v>
      </c>
      <c r="H207" t="s">
        <v>37</v>
      </c>
      <c r="I207" t="s">
        <v>103</v>
      </c>
      <c r="J207" t="s">
        <v>39</v>
      </c>
      <c r="K207" s="2">
        <v>46300</v>
      </c>
      <c r="L207" s="2">
        <v>46326</v>
      </c>
      <c r="N207" s="2">
        <v>46296</v>
      </c>
      <c r="O207" s="2">
        <v>46661</v>
      </c>
      <c r="P207">
        <v>12</v>
      </c>
      <c r="Q207" t="s">
        <v>65</v>
      </c>
      <c r="R207" t="s">
        <v>88</v>
      </c>
      <c r="S207" t="s">
        <v>66</v>
      </c>
      <c r="T207" t="s">
        <v>55</v>
      </c>
      <c r="U207" t="s">
        <v>56</v>
      </c>
      <c r="V207" t="s">
        <v>45</v>
      </c>
      <c r="W207" t="s">
        <v>132</v>
      </c>
      <c r="X207" t="s">
        <v>91</v>
      </c>
      <c r="Y207">
        <v>114838.59</v>
      </c>
      <c r="Z207">
        <v>57419.29</v>
      </c>
      <c r="AA207">
        <v>0.5</v>
      </c>
      <c r="AB207" t="s">
        <v>39</v>
      </c>
      <c r="AC207" t="s">
        <v>39</v>
      </c>
      <c r="AD207" t="s">
        <v>48</v>
      </c>
    </row>
    <row r="208" spans="1:30" x14ac:dyDescent="0.35">
      <c r="A208" s="1" t="s">
        <v>30</v>
      </c>
      <c r="B208" t="s">
        <v>521</v>
      </c>
      <c r="C208" t="s">
        <v>348</v>
      </c>
      <c r="D208" t="s">
        <v>963</v>
      </c>
      <c r="E208" t="s">
        <v>964</v>
      </c>
      <c r="F208" t="s">
        <v>965</v>
      </c>
      <c r="G208" t="s">
        <v>966</v>
      </c>
      <c r="H208" t="s">
        <v>37</v>
      </c>
      <c r="I208" t="s">
        <v>103</v>
      </c>
      <c r="J208" t="s">
        <v>39</v>
      </c>
      <c r="K208" s="2">
        <v>46305</v>
      </c>
      <c r="L208" s="2">
        <v>46326</v>
      </c>
      <c r="N208" s="2">
        <v>46296</v>
      </c>
      <c r="O208" s="2">
        <v>46661</v>
      </c>
      <c r="P208">
        <v>12</v>
      </c>
      <c r="Q208" t="s">
        <v>40</v>
      </c>
      <c r="R208" t="s">
        <v>41</v>
      </c>
      <c r="S208" t="s">
        <v>42</v>
      </c>
      <c r="T208" t="s">
        <v>43</v>
      </c>
      <c r="U208" t="s">
        <v>106</v>
      </c>
      <c r="V208" t="s">
        <v>217</v>
      </c>
      <c r="W208" t="s">
        <v>136</v>
      </c>
      <c r="X208" t="s">
        <v>68</v>
      </c>
      <c r="Y208">
        <v>134649.48000000001</v>
      </c>
      <c r="Z208">
        <v>67324.740000000005</v>
      </c>
      <c r="AA208">
        <v>0.5</v>
      </c>
      <c r="AB208" t="s">
        <v>39</v>
      </c>
      <c r="AC208" t="s">
        <v>39</v>
      </c>
      <c r="AD208" t="s">
        <v>48</v>
      </c>
    </row>
    <row r="209" spans="1:30" x14ac:dyDescent="0.35">
      <c r="A209" s="1" t="s">
        <v>30</v>
      </c>
      <c r="B209" t="s">
        <v>521</v>
      </c>
      <c r="C209" t="s">
        <v>348</v>
      </c>
      <c r="D209" t="s">
        <v>967</v>
      </c>
      <c r="E209" t="s">
        <v>968</v>
      </c>
      <c r="F209" t="s">
        <v>448</v>
      </c>
      <c r="G209" t="s">
        <v>449</v>
      </c>
      <c r="H209" t="s">
        <v>37</v>
      </c>
      <c r="I209" t="s">
        <v>64</v>
      </c>
      <c r="J209" t="s">
        <v>39</v>
      </c>
      <c r="K209" s="2">
        <v>46298</v>
      </c>
      <c r="L209" s="2">
        <v>46326</v>
      </c>
      <c r="N209" s="2">
        <v>46296</v>
      </c>
      <c r="O209" s="2">
        <v>46661</v>
      </c>
      <c r="P209">
        <v>12</v>
      </c>
      <c r="Q209" t="s">
        <v>104</v>
      </c>
      <c r="R209" t="s">
        <v>41</v>
      </c>
      <c r="S209" t="s">
        <v>137</v>
      </c>
      <c r="T209" t="s">
        <v>97</v>
      </c>
      <c r="U209" t="s">
        <v>44</v>
      </c>
      <c r="V209" t="s">
        <v>144</v>
      </c>
      <c r="W209" t="s">
        <v>150</v>
      </c>
      <c r="X209" t="s">
        <v>47</v>
      </c>
      <c r="Y209">
        <v>203457.92000000001</v>
      </c>
      <c r="Z209">
        <v>162766.32999999999</v>
      </c>
      <c r="AA209">
        <v>0.8</v>
      </c>
      <c r="AB209" t="s">
        <v>39</v>
      </c>
      <c r="AC209" t="s">
        <v>39</v>
      </c>
      <c r="AD209" t="s">
        <v>48</v>
      </c>
    </row>
    <row r="210" spans="1:30" x14ac:dyDescent="0.35">
      <c r="A210" s="1" t="s">
        <v>30</v>
      </c>
      <c r="B210" t="s">
        <v>521</v>
      </c>
      <c r="C210" t="s">
        <v>348</v>
      </c>
      <c r="D210" t="s">
        <v>969</v>
      </c>
      <c r="E210" t="s">
        <v>970</v>
      </c>
      <c r="F210" t="s">
        <v>971</v>
      </c>
      <c r="G210" t="s">
        <v>972</v>
      </c>
      <c r="H210" t="s">
        <v>37</v>
      </c>
      <c r="I210" t="s">
        <v>64</v>
      </c>
      <c r="J210" t="s">
        <v>39</v>
      </c>
      <c r="K210" s="2">
        <v>46298</v>
      </c>
      <c r="L210" s="2">
        <v>46326</v>
      </c>
      <c r="N210" s="2">
        <v>46296</v>
      </c>
      <c r="O210" s="2">
        <v>46661</v>
      </c>
      <c r="P210">
        <v>12</v>
      </c>
      <c r="Q210" t="s">
        <v>65</v>
      </c>
      <c r="R210" t="s">
        <v>53</v>
      </c>
      <c r="S210" t="s">
        <v>164</v>
      </c>
      <c r="T210" t="s">
        <v>55</v>
      </c>
      <c r="U210" t="s">
        <v>56</v>
      </c>
      <c r="V210" t="s">
        <v>138</v>
      </c>
      <c r="W210" t="s">
        <v>161</v>
      </c>
      <c r="X210" t="s">
        <v>158</v>
      </c>
      <c r="Y210">
        <v>215751.04000000001</v>
      </c>
      <c r="Z210">
        <v>75512.86</v>
      </c>
      <c r="AA210">
        <v>0.35</v>
      </c>
      <c r="AB210" t="s">
        <v>39</v>
      </c>
      <c r="AC210" t="s">
        <v>39</v>
      </c>
      <c r="AD210" t="s">
        <v>48</v>
      </c>
    </row>
    <row r="211" spans="1:30" x14ac:dyDescent="0.35">
      <c r="A211" s="1" t="s">
        <v>30</v>
      </c>
      <c r="B211" t="s">
        <v>521</v>
      </c>
      <c r="C211" t="s">
        <v>348</v>
      </c>
      <c r="D211" t="s">
        <v>973</v>
      </c>
      <c r="E211" t="s">
        <v>974</v>
      </c>
      <c r="F211" t="s">
        <v>975</v>
      </c>
      <c r="G211" t="s">
        <v>976</v>
      </c>
      <c r="H211" t="s">
        <v>37</v>
      </c>
      <c r="I211" t="s">
        <v>103</v>
      </c>
      <c r="J211" t="s">
        <v>39</v>
      </c>
      <c r="K211" s="2">
        <v>46302</v>
      </c>
      <c r="L211" s="2">
        <v>46326</v>
      </c>
      <c r="N211" s="2">
        <v>46296</v>
      </c>
      <c r="O211" s="2">
        <v>46661</v>
      </c>
      <c r="P211">
        <v>12</v>
      </c>
      <c r="Q211" t="s">
        <v>65</v>
      </c>
      <c r="R211" t="s">
        <v>53</v>
      </c>
      <c r="S211" t="s">
        <v>164</v>
      </c>
      <c r="T211" t="s">
        <v>55</v>
      </c>
      <c r="U211" t="s">
        <v>56</v>
      </c>
      <c r="V211" t="s">
        <v>217</v>
      </c>
      <c r="W211" t="s">
        <v>58</v>
      </c>
      <c r="X211" t="s">
        <v>125</v>
      </c>
      <c r="Y211">
        <v>106960.03</v>
      </c>
      <c r="Z211">
        <v>53480.02</v>
      </c>
      <c r="AA211">
        <v>0.5</v>
      </c>
      <c r="AB211" t="s">
        <v>39</v>
      </c>
      <c r="AC211" t="s">
        <v>39</v>
      </c>
      <c r="AD211" t="s">
        <v>48</v>
      </c>
    </row>
    <row r="212" spans="1:30" x14ac:dyDescent="0.35">
      <c r="A212" s="1" t="s">
        <v>30</v>
      </c>
      <c r="B212" t="s">
        <v>521</v>
      </c>
      <c r="C212" t="s">
        <v>348</v>
      </c>
      <c r="D212" t="s">
        <v>1631</v>
      </c>
      <c r="E212" t="s">
        <v>1632</v>
      </c>
      <c r="F212" t="s">
        <v>1633</v>
      </c>
      <c r="G212" t="s">
        <v>1634</v>
      </c>
      <c r="H212" t="s">
        <v>1271</v>
      </c>
      <c r="I212" t="s">
        <v>111</v>
      </c>
      <c r="J212" t="s">
        <v>39</v>
      </c>
      <c r="K212" s="2">
        <v>46303</v>
      </c>
      <c r="L212" s="2">
        <v>46326</v>
      </c>
      <c r="N212" s="2">
        <v>46296</v>
      </c>
      <c r="O212" s="2">
        <v>46661</v>
      </c>
      <c r="P212">
        <v>12</v>
      </c>
      <c r="Q212" t="s">
        <v>65</v>
      </c>
      <c r="R212" t="s">
        <v>88</v>
      </c>
      <c r="S212" t="s">
        <v>112</v>
      </c>
      <c r="T212" t="s">
        <v>55</v>
      </c>
      <c r="U212" t="s">
        <v>56</v>
      </c>
      <c r="V212" t="s">
        <v>119</v>
      </c>
      <c r="W212" t="s">
        <v>75</v>
      </c>
      <c r="X212" t="s">
        <v>125</v>
      </c>
      <c r="Y212">
        <v>103424.96000000001</v>
      </c>
      <c r="Z212">
        <v>67226.23</v>
      </c>
      <c r="AA212">
        <v>0.65</v>
      </c>
      <c r="AB212" t="s">
        <v>39</v>
      </c>
      <c r="AC212" t="s">
        <v>39</v>
      </c>
      <c r="AD212" t="s">
        <v>48</v>
      </c>
    </row>
    <row r="213" spans="1:30" x14ac:dyDescent="0.35">
      <c r="A213" s="1" t="s">
        <v>30</v>
      </c>
      <c r="B213" t="s">
        <v>521</v>
      </c>
      <c r="C213" t="s">
        <v>348</v>
      </c>
      <c r="D213" t="s">
        <v>1635</v>
      </c>
      <c r="E213" t="s">
        <v>1636</v>
      </c>
      <c r="F213" t="s">
        <v>444</v>
      </c>
      <c r="G213" t="s">
        <v>445</v>
      </c>
      <c r="H213" t="s">
        <v>1271</v>
      </c>
      <c r="I213" t="s">
        <v>103</v>
      </c>
      <c r="J213" t="s">
        <v>39</v>
      </c>
      <c r="K213" s="2">
        <v>46301</v>
      </c>
      <c r="L213" s="2">
        <v>46326</v>
      </c>
      <c r="N213" s="2">
        <v>46296</v>
      </c>
      <c r="O213" s="2">
        <v>46661</v>
      </c>
      <c r="P213">
        <v>12</v>
      </c>
      <c r="Q213" t="s">
        <v>65</v>
      </c>
      <c r="R213" t="s">
        <v>41</v>
      </c>
      <c r="S213" t="s">
        <v>105</v>
      </c>
      <c r="T213" t="s">
        <v>55</v>
      </c>
      <c r="U213" t="s">
        <v>44</v>
      </c>
      <c r="V213" t="s">
        <v>144</v>
      </c>
      <c r="W213" t="s">
        <v>46</v>
      </c>
      <c r="X213" t="s">
        <v>59</v>
      </c>
      <c r="Y213">
        <v>89927.31</v>
      </c>
      <c r="Z213">
        <v>71941.850000000006</v>
      </c>
      <c r="AA213">
        <v>0.8</v>
      </c>
      <c r="AB213" t="s">
        <v>39</v>
      </c>
      <c r="AC213" t="s">
        <v>39</v>
      </c>
      <c r="AD213" t="s">
        <v>48</v>
      </c>
    </row>
    <row r="214" spans="1:30" x14ac:dyDescent="0.35">
      <c r="A214" s="1" t="s">
        <v>30</v>
      </c>
      <c r="B214" t="s">
        <v>521</v>
      </c>
      <c r="C214" t="s">
        <v>348</v>
      </c>
      <c r="D214" t="s">
        <v>1637</v>
      </c>
      <c r="E214" t="s">
        <v>1638</v>
      </c>
      <c r="F214" t="s">
        <v>1639</v>
      </c>
      <c r="G214" t="s">
        <v>1640</v>
      </c>
      <c r="H214" t="s">
        <v>1271</v>
      </c>
      <c r="I214" t="s">
        <v>38</v>
      </c>
      <c r="J214" t="s">
        <v>39</v>
      </c>
      <c r="K214" s="2">
        <v>46301</v>
      </c>
      <c r="L214" s="2">
        <v>46326</v>
      </c>
      <c r="N214" s="2">
        <v>46296</v>
      </c>
      <c r="O214" s="2">
        <v>46661</v>
      </c>
      <c r="P214">
        <v>12</v>
      </c>
      <c r="Q214" t="s">
        <v>40</v>
      </c>
      <c r="R214" t="s">
        <v>41</v>
      </c>
      <c r="S214" t="s">
        <v>141</v>
      </c>
      <c r="T214" t="s">
        <v>131</v>
      </c>
      <c r="U214" t="s">
        <v>106</v>
      </c>
      <c r="V214" t="s">
        <v>144</v>
      </c>
      <c r="W214" t="s">
        <v>161</v>
      </c>
      <c r="X214" t="s">
        <v>68</v>
      </c>
      <c r="Y214">
        <v>141143.6</v>
      </c>
      <c r="Z214">
        <v>91743.34</v>
      </c>
      <c r="AA214">
        <v>0.65</v>
      </c>
      <c r="AB214" t="s">
        <v>39</v>
      </c>
      <c r="AC214" t="s">
        <v>39</v>
      </c>
      <c r="AD214" t="s">
        <v>48</v>
      </c>
    </row>
    <row r="215" spans="1:30" x14ac:dyDescent="0.35">
      <c r="A215" s="1" t="s">
        <v>30</v>
      </c>
      <c r="B215" t="s">
        <v>521</v>
      </c>
      <c r="C215" t="s">
        <v>348</v>
      </c>
      <c r="D215" t="s">
        <v>1641</v>
      </c>
      <c r="E215" t="s">
        <v>1642</v>
      </c>
      <c r="F215" t="s">
        <v>227</v>
      </c>
      <c r="G215" t="s">
        <v>228</v>
      </c>
      <c r="H215" t="s">
        <v>1271</v>
      </c>
      <c r="I215" t="s">
        <v>117</v>
      </c>
      <c r="J215" t="s">
        <v>39</v>
      </c>
      <c r="K215" s="2">
        <v>46299</v>
      </c>
      <c r="L215" s="2">
        <v>46326</v>
      </c>
      <c r="N215" s="2">
        <v>46296</v>
      </c>
      <c r="O215" s="2">
        <v>46661</v>
      </c>
      <c r="P215">
        <v>12</v>
      </c>
      <c r="Q215" t="s">
        <v>65</v>
      </c>
      <c r="R215" t="s">
        <v>88</v>
      </c>
      <c r="S215" t="s">
        <v>149</v>
      </c>
      <c r="T215" t="s">
        <v>131</v>
      </c>
      <c r="U215" t="s">
        <v>44</v>
      </c>
      <c r="V215" t="s">
        <v>81</v>
      </c>
      <c r="W215" t="s">
        <v>120</v>
      </c>
      <c r="X215" t="s">
        <v>158</v>
      </c>
      <c r="Y215">
        <v>123426.84</v>
      </c>
      <c r="Z215">
        <v>61713.42</v>
      </c>
      <c r="AA215">
        <v>0.5</v>
      </c>
      <c r="AB215" t="s">
        <v>39</v>
      </c>
      <c r="AC215" t="s">
        <v>39</v>
      </c>
      <c r="AD215" t="s">
        <v>48</v>
      </c>
    </row>
    <row r="216" spans="1:30" x14ac:dyDescent="0.35">
      <c r="A216" s="1" t="s">
        <v>30</v>
      </c>
      <c r="B216" t="s">
        <v>521</v>
      </c>
      <c r="C216" t="s">
        <v>348</v>
      </c>
      <c r="D216" t="s">
        <v>1643</v>
      </c>
      <c r="E216" t="s">
        <v>1644</v>
      </c>
      <c r="F216" t="s">
        <v>927</v>
      </c>
      <c r="G216" t="s">
        <v>928</v>
      </c>
      <c r="H216" t="s">
        <v>1271</v>
      </c>
      <c r="I216" t="s">
        <v>64</v>
      </c>
      <c r="J216" t="s">
        <v>39</v>
      </c>
      <c r="K216" s="2">
        <v>46300</v>
      </c>
      <c r="L216" s="2">
        <v>46326</v>
      </c>
      <c r="N216" s="2">
        <v>46296</v>
      </c>
      <c r="O216" s="2">
        <v>47027</v>
      </c>
      <c r="P216">
        <v>24</v>
      </c>
      <c r="Q216" t="s">
        <v>104</v>
      </c>
      <c r="R216" t="s">
        <v>53</v>
      </c>
      <c r="S216" t="s">
        <v>149</v>
      </c>
      <c r="T216" t="s">
        <v>131</v>
      </c>
      <c r="U216" t="s">
        <v>56</v>
      </c>
      <c r="V216" t="s">
        <v>217</v>
      </c>
      <c r="W216" t="s">
        <v>58</v>
      </c>
      <c r="X216" t="s">
        <v>47</v>
      </c>
      <c r="Y216">
        <v>132056.79999999999</v>
      </c>
      <c r="Z216">
        <v>105645.44</v>
      </c>
      <c r="AA216">
        <v>0.8</v>
      </c>
      <c r="AB216" t="s">
        <v>39</v>
      </c>
      <c r="AC216" t="s">
        <v>39</v>
      </c>
      <c r="AD216" t="s">
        <v>48</v>
      </c>
    </row>
    <row r="217" spans="1:30" x14ac:dyDescent="0.35">
      <c r="A217" s="1" t="s">
        <v>30</v>
      </c>
      <c r="B217" t="s">
        <v>521</v>
      </c>
      <c r="C217" t="s">
        <v>348</v>
      </c>
      <c r="D217" t="s">
        <v>1645</v>
      </c>
      <c r="E217" t="s">
        <v>1646</v>
      </c>
      <c r="F217" t="s">
        <v>1111</v>
      </c>
      <c r="G217" t="s">
        <v>1112</v>
      </c>
      <c r="H217" t="s">
        <v>1271</v>
      </c>
      <c r="I217" t="s">
        <v>117</v>
      </c>
      <c r="J217" t="s">
        <v>39</v>
      </c>
      <c r="K217" s="2">
        <v>46309</v>
      </c>
      <c r="L217" s="2">
        <v>46326</v>
      </c>
      <c r="N217" s="2">
        <v>46296</v>
      </c>
      <c r="O217" s="2">
        <v>46661</v>
      </c>
      <c r="P217">
        <v>12</v>
      </c>
      <c r="Q217" t="s">
        <v>65</v>
      </c>
      <c r="R217" t="s">
        <v>88</v>
      </c>
      <c r="S217" t="s">
        <v>149</v>
      </c>
      <c r="T217" t="s">
        <v>131</v>
      </c>
      <c r="U217" t="s">
        <v>44</v>
      </c>
      <c r="V217" t="s">
        <v>144</v>
      </c>
      <c r="W217" t="s">
        <v>142</v>
      </c>
      <c r="X217" t="s">
        <v>59</v>
      </c>
      <c r="Y217">
        <v>156687.39000000001</v>
      </c>
      <c r="Z217">
        <v>54840.59</v>
      </c>
      <c r="AA217">
        <v>0.35</v>
      </c>
      <c r="AB217" t="s">
        <v>39</v>
      </c>
      <c r="AC217" t="s">
        <v>39</v>
      </c>
      <c r="AD217" t="s">
        <v>48</v>
      </c>
    </row>
    <row r="218" spans="1:30" x14ac:dyDescent="0.35">
      <c r="A218" s="1" t="s">
        <v>30</v>
      </c>
      <c r="B218" t="s">
        <v>521</v>
      </c>
      <c r="C218" t="s">
        <v>348</v>
      </c>
      <c r="D218" t="s">
        <v>1647</v>
      </c>
      <c r="E218" t="s">
        <v>1648</v>
      </c>
      <c r="F218" t="s">
        <v>1649</v>
      </c>
      <c r="G218" t="s">
        <v>1650</v>
      </c>
      <c r="H218" t="s">
        <v>1271</v>
      </c>
      <c r="I218" t="s">
        <v>38</v>
      </c>
      <c r="J218" t="s">
        <v>39</v>
      </c>
      <c r="K218" s="2">
        <v>46296</v>
      </c>
      <c r="L218" s="2">
        <v>46326</v>
      </c>
      <c r="N218" s="2">
        <v>46296</v>
      </c>
      <c r="O218" s="2">
        <v>47392</v>
      </c>
      <c r="P218">
        <v>36</v>
      </c>
      <c r="Q218" t="s">
        <v>40</v>
      </c>
      <c r="R218" t="s">
        <v>41</v>
      </c>
      <c r="S218" t="s">
        <v>280</v>
      </c>
      <c r="T218" t="s">
        <v>43</v>
      </c>
      <c r="U218" t="s">
        <v>56</v>
      </c>
      <c r="V218" t="s">
        <v>119</v>
      </c>
      <c r="W218" t="s">
        <v>58</v>
      </c>
      <c r="X218" t="s">
        <v>59</v>
      </c>
      <c r="Y218">
        <v>163753.38</v>
      </c>
      <c r="Z218">
        <v>81876.69</v>
      </c>
      <c r="AA218">
        <v>0.5</v>
      </c>
      <c r="AB218" t="s">
        <v>39</v>
      </c>
      <c r="AC218" t="s">
        <v>39</v>
      </c>
      <c r="AD218" t="s">
        <v>48</v>
      </c>
    </row>
    <row r="219" spans="1:30" x14ac:dyDescent="0.35">
      <c r="A219" s="1" t="s">
        <v>30</v>
      </c>
      <c r="B219" t="s">
        <v>521</v>
      </c>
      <c r="C219" t="s">
        <v>348</v>
      </c>
      <c r="D219" t="s">
        <v>1651</v>
      </c>
      <c r="E219" t="s">
        <v>1652</v>
      </c>
      <c r="F219" t="s">
        <v>1653</v>
      </c>
      <c r="G219" t="s">
        <v>1654</v>
      </c>
      <c r="H219" t="s">
        <v>1271</v>
      </c>
      <c r="I219" t="s">
        <v>103</v>
      </c>
      <c r="J219" t="s">
        <v>39</v>
      </c>
      <c r="K219" s="2">
        <v>46305</v>
      </c>
      <c r="L219" s="2">
        <v>46326</v>
      </c>
      <c r="N219" s="2">
        <v>46296</v>
      </c>
      <c r="O219" s="2">
        <v>46661</v>
      </c>
      <c r="P219">
        <v>12</v>
      </c>
      <c r="Q219" t="s">
        <v>65</v>
      </c>
      <c r="R219" t="s">
        <v>88</v>
      </c>
      <c r="S219" t="s">
        <v>112</v>
      </c>
      <c r="T219" t="s">
        <v>55</v>
      </c>
      <c r="U219" t="s">
        <v>44</v>
      </c>
      <c r="V219" t="s">
        <v>144</v>
      </c>
      <c r="W219" t="s">
        <v>82</v>
      </c>
      <c r="X219" t="s">
        <v>125</v>
      </c>
      <c r="Y219">
        <v>115958.06</v>
      </c>
      <c r="Z219">
        <v>75372.740000000005</v>
      </c>
      <c r="AA219">
        <v>0.65</v>
      </c>
      <c r="AB219" t="s">
        <v>39</v>
      </c>
      <c r="AC219" t="s">
        <v>39</v>
      </c>
      <c r="AD219" t="s">
        <v>48</v>
      </c>
    </row>
    <row r="220" spans="1:30" x14ac:dyDescent="0.35">
      <c r="A220" s="1" t="s">
        <v>30</v>
      </c>
      <c r="B220" t="s">
        <v>521</v>
      </c>
      <c r="C220" t="s">
        <v>348</v>
      </c>
      <c r="D220" t="s">
        <v>1655</v>
      </c>
      <c r="E220" t="s">
        <v>1656</v>
      </c>
      <c r="F220" t="s">
        <v>1657</v>
      </c>
      <c r="G220" t="s">
        <v>1658</v>
      </c>
      <c r="H220" t="s">
        <v>1290</v>
      </c>
      <c r="I220" t="s">
        <v>111</v>
      </c>
      <c r="J220" t="s">
        <v>1290</v>
      </c>
      <c r="K220" s="2">
        <v>46297</v>
      </c>
      <c r="L220" s="2">
        <v>46326</v>
      </c>
      <c r="N220" s="2">
        <v>46296</v>
      </c>
      <c r="O220" s="2">
        <v>47027</v>
      </c>
      <c r="P220">
        <v>24</v>
      </c>
      <c r="Q220" t="s">
        <v>40</v>
      </c>
      <c r="R220" t="s">
        <v>41</v>
      </c>
      <c r="S220" t="s">
        <v>182</v>
      </c>
      <c r="T220" t="s">
        <v>97</v>
      </c>
      <c r="U220" t="s">
        <v>44</v>
      </c>
      <c r="V220" t="s">
        <v>119</v>
      </c>
      <c r="W220" t="s">
        <v>58</v>
      </c>
      <c r="X220" t="s">
        <v>143</v>
      </c>
      <c r="Y220">
        <v>149989.03</v>
      </c>
      <c r="Z220">
        <v>119991.22</v>
      </c>
      <c r="AA220">
        <v>0.8</v>
      </c>
      <c r="AB220" t="s">
        <v>1290</v>
      </c>
      <c r="AC220" t="s">
        <v>1290</v>
      </c>
      <c r="AD220" t="s">
        <v>48</v>
      </c>
    </row>
    <row r="221" spans="1:30" x14ac:dyDescent="0.35">
      <c r="A221" s="1" t="s">
        <v>30</v>
      </c>
      <c r="B221" t="s">
        <v>521</v>
      </c>
      <c r="C221" t="s">
        <v>348</v>
      </c>
      <c r="D221" t="s">
        <v>1659</v>
      </c>
      <c r="E221" t="s">
        <v>1660</v>
      </c>
      <c r="F221" t="s">
        <v>1661</v>
      </c>
      <c r="G221" t="s">
        <v>1662</v>
      </c>
      <c r="H221" t="s">
        <v>1290</v>
      </c>
      <c r="I221" t="s">
        <v>64</v>
      </c>
      <c r="J221" t="s">
        <v>1290</v>
      </c>
      <c r="K221" s="2">
        <v>46298</v>
      </c>
      <c r="L221" s="2">
        <v>46326</v>
      </c>
      <c r="N221" s="2">
        <v>46296</v>
      </c>
      <c r="O221" s="2">
        <v>46661</v>
      </c>
      <c r="P221">
        <v>12</v>
      </c>
      <c r="Q221" t="s">
        <v>104</v>
      </c>
      <c r="R221" t="s">
        <v>88</v>
      </c>
      <c r="S221" t="s">
        <v>139</v>
      </c>
      <c r="T221" t="s">
        <v>43</v>
      </c>
      <c r="U221" t="s">
        <v>56</v>
      </c>
      <c r="V221" t="s">
        <v>81</v>
      </c>
      <c r="W221" t="s">
        <v>90</v>
      </c>
      <c r="X221" t="s">
        <v>47</v>
      </c>
      <c r="Y221">
        <v>151657.21</v>
      </c>
      <c r="Z221">
        <v>121325.77</v>
      </c>
      <c r="AA221">
        <v>0.8</v>
      </c>
      <c r="AB221" t="s">
        <v>1290</v>
      </c>
      <c r="AC221" t="s">
        <v>1290</v>
      </c>
      <c r="AD221" t="s">
        <v>48</v>
      </c>
    </row>
    <row r="222" spans="1:30" x14ac:dyDescent="0.35">
      <c r="A222" s="1" t="s">
        <v>30</v>
      </c>
      <c r="B222" t="s">
        <v>521</v>
      </c>
      <c r="C222" t="s">
        <v>348</v>
      </c>
      <c r="D222" t="s">
        <v>1663</v>
      </c>
      <c r="E222" t="s">
        <v>1664</v>
      </c>
      <c r="F222" t="s">
        <v>863</v>
      </c>
      <c r="G222" t="s">
        <v>864</v>
      </c>
      <c r="H222" t="s">
        <v>1290</v>
      </c>
      <c r="I222" t="s">
        <v>103</v>
      </c>
      <c r="J222" t="s">
        <v>1290</v>
      </c>
      <c r="K222" s="2">
        <v>46307</v>
      </c>
      <c r="L222" s="2">
        <v>46326</v>
      </c>
      <c r="N222" s="2">
        <v>46296</v>
      </c>
      <c r="O222" s="2">
        <v>46661</v>
      </c>
      <c r="P222">
        <v>12</v>
      </c>
      <c r="Q222" t="s">
        <v>40</v>
      </c>
      <c r="R222" t="s">
        <v>88</v>
      </c>
      <c r="S222" t="s">
        <v>141</v>
      </c>
      <c r="T222" t="s">
        <v>131</v>
      </c>
      <c r="U222" t="s">
        <v>106</v>
      </c>
      <c r="V222" t="s">
        <v>45</v>
      </c>
      <c r="W222" t="s">
        <v>142</v>
      </c>
      <c r="X222" t="s">
        <v>83</v>
      </c>
      <c r="Y222">
        <v>146826.34</v>
      </c>
      <c r="Z222">
        <v>51389.22</v>
      </c>
      <c r="AA222">
        <v>0.35</v>
      </c>
      <c r="AB222" t="s">
        <v>1290</v>
      </c>
      <c r="AC222" t="s">
        <v>1290</v>
      </c>
      <c r="AD222" t="s">
        <v>48</v>
      </c>
    </row>
    <row r="223" spans="1:30" x14ac:dyDescent="0.35">
      <c r="A223" s="1" t="s">
        <v>30</v>
      </c>
      <c r="B223" t="s">
        <v>521</v>
      </c>
      <c r="C223" t="s">
        <v>348</v>
      </c>
      <c r="D223" t="s">
        <v>1665</v>
      </c>
      <c r="E223" t="s">
        <v>1666</v>
      </c>
      <c r="F223" t="s">
        <v>1667</v>
      </c>
      <c r="G223" t="s">
        <v>1668</v>
      </c>
      <c r="H223" t="s">
        <v>1295</v>
      </c>
      <c r="I223" t="s">
        <v>64</v>
      </c>
      <c r="J223" t="s">
        <v>1295</v>
      </c>
      <c r="K223" s="2">
        <v>46300</v>
      </c>
      <c r="L223" s="2">
        <v>46326</v>
      </c>
      <c r="N223" s="2">
        <v>46296</v>
      </c>
      <c r="O223" s="2">
        <v>46661</v>
      </c>
      <c r="P223">
        <v>12</v>
      </c>
      <c r="Q223" t="s">
        <v>104</v>
      </c>
      <c r="R223" t="s">
        <v>88</v>
      </c>
      <c r="S223" t="s">
        <v>163</v>
      </c>
      <c r="T223" t="s">
        <v>131</v>
      </c>
      <c r="U223" t="s">
        <v>106</v>
      </c>
      <c r="V223" t="s">
        <v>67</v>
      </c>
      <c r="W223" t="s">
        <v>120</v>
      </c>
      <c r="X223" t="s">
        <v>83</v>
      </c>
      <c r="Y223">
        <v>142869.9</v>
      </c>
      <c r="Z223">
        <v>71434.95</v>
      </c>
      <c r="AA223">
        <v>0.5</v>
      </c>
      <c r="AB223" t="s">
        <v>1295</v>
      </c>
      <c r="AC223" t="s">
        <v>1295</v>
      </c>
      <c r="AD223" t="s">
        <v>48</v>
      </c>
    </row>
    <row r="224" spans="1:30" x14ac:dyDescent="0.35">
      <c r="A224" s="1" t="s">
        <v>30</v>
      </c>
      <c r="B224" t="s">
        <v>521</v>
      </c>
      <c r="C224" t="s">
        <v>348</v>
      </c>
      <c r="D224" t="s">
        <v>1669</v>
      </c>
      <c r="E224" t="s">
        <v>1670</v>
      </c>
      <c r="F224" t="s">
        <v>981</v>
      </c>
      <c r="G224" t="s">
        <v>982</v>
      </c>
      <c r="H224" t="s">
        <v>1295</v>
      </c>
      <c r="I224" t="s">
        <v>38</v>
      </c>
      <c r="J224" t="s">
        <v>1295</v>
      </c>
      <c r="K224" s="2">
        <v>46309</v>
      </c>
      <c r="L224" s="2">
        <v>46326</v>
      </c>
      <c r="N224" s="2">
        <v>46296</v>
      </c>
      <c r="O224" s="2">
        <v>46661</v>
      </c>
      <c r="P224">
        <v>12</v>
      </c>
      <c r="Q224" t="s">
        <v>40</v>
      </c>
      <c r="R224" t="s">
        <v>53</v>
      </c>
      <c r="S224" t="s">
        <v>112</v>
      </c>
      <c r="T224" t="s">
        <v>55</v>
      </c>
      <c r="U224" t="s">
        <v>56</v>
      </c>
      <c r="V224" t="s">
        <v>74</v>
      </c>
      <c r="W224" t="s">
        <v>132</v>
      </c>
      <c r="X224" t="s">
        <v>83</v>
      </c>
      <c r="Y224">
        <v>156437.25</v>
      </c>
      <c r="Z224">
        <v>54753.04</v>
      </c>
      <c r="AA224">
        <v>0.35</v>
      </c>
      <c r="AB224" t="s">
        <v>1295</v>
      </c>
      <c r="AC224" t="s">
        <v>1295</v>
      </c>
      <c r="AD224" t="s">
        <v>48</v>
      </c>
    </row>
    <row r="225" spans="1:30" x14ac:dyDescent="0.35">
      <c r="A225" s="1" t="s">
        <v>30</v>
      </c>
      <c r="B225" t="s">
        <v>521</v>
      </c>
      <c r="C225" t="s">
        <v>348</v>
      </c>
      <c r="D225" t="s">
        <v>1671</v>
      </c>
      <c r="E225" t="s">
        <v>1672</v>
      </c>
      <c r="F225" t="s">
        <v>1673</v>
      </c>
      <c r="G225" t="s">
        <v>1674</v>
      </c>
      <c r="H225" t="s">
        <v>1295</v>
      </c>
      <c r="I225" t="s">
        <v>117</v>
      </c>
      <c r="J225" t="s">
        <v>1295</v>
      </c>
      <c r="K225" s="2">
        <v>46303</v>
      </c>
      <c r="L225" s="2">
        <v>46326</v>
      </c>
      <c r="N225" s="2">
        <v>46296</v>
      </c>
      <c r="O225" s="2">
        <v>46661</v>
      </c>
      <c r="P225">
        <v>12</v>
      </c>
      <c r="Q225" t="s">
        <v>40</v>
      </c>
      <c r="R225" t="s">
        <v>88</v>
      </c>
      <c r="S225" t="s">
        <v>141</v>
      </c>
      <c r="T225" t="s">
        <v>131</v>
      </c>
      <c r="U225" t="s">
        <v>44</v>
      </c>
      <c r="V225" t="s">
        <v>138</v>
      </c>
      <c r="W225" t="s">
        <v>120</v>
      </c>
      <c r="X225" t="s">
        <v>47</v>
      </c>
      <c r="Y225">
        <v>199998.45</v>
      </c>
      <c r="Z225">
        <v>129998.99</v>
      </c>
      <c r="AA225">
        <v>0.65</v>
      </c>
      <c r="AB225" t="s">
        <v>1295</v>
      </c>
      <c r="AC225" t="s">
        <v>1295</v>
      </c>
      <c r="AD225" t="s">
        <v>48</v>
      </c>
    </row>
    <row r="226" spans="1:30" x14ac:dyDescent="0.35">
      <c r="A226" s="1" t="s">
        <v>30</v>
      </c>
      <c r="B226" t="s">
        <v>521</v>
      </c>
      <c r="C226" t="s">
        <v>348</v>
      </c>
      <c r="D226" t="s">
        <v>1675</v>
      </c>
      <c r="E226" t="s">
        <v>1676</v>
      </c>
      <c r="F226" t="s">
        <v>1677</v>
      </c>
      <c r="G226" t="s">
        <v>1678</v>
      </c>
      <c r="H226" t="s">
        <v>1295</v>
      </c>
      <c r="I226" t="s">
        <v>38</v>
      </c>
      <c r="J226" t="s">
        <v>1295</v>
      </c>
      <c r="K226" s="2">
        <v>46296</v>
      </c>
      <c r="L226" s="2">
        <v>46326</v>
      </c>
      <c r="N226" s="2">
        <v>46296</v>
      </c>
      <c r="O226" s="2">
        <v>47027</v>
      </c>
      <c r="P226">
        <v>24</v>
      </c>
      <c r="Q226" t="s">
        <v>40</v>
      </c>
      <c r="R226" t="s">
        <v>88</v>
      </c>
      <c r="S226" t="s">
        <v>222</v>
      </c>
      <c r="T226" t="s">
        <v>97</v>
      </c>
      <c r="U226" t="s">
        <v>56</v>
      </c>
      <c r="V226" t="s">
        <v>119</v>
      </c>
      <c r="W226" t="s">
        <v>136</v>
      </c>
      <c r="X226" t="s">
        <v>143</v>
      </c>
      <c r="Y226">
        <v>229525.49</v>
      </c>
      <c r="Z226">
        <v>80333.919999999998</v>
      </c>
      <c r="AA226">
        <v>0.35</v>
      </c>
      <c r="AB226" t="s">
        <v>1295</v>
      </c>
      <c r="AC226" t="s">
        <v>1295</v>
      </c>
      <c r="AD226" t="s">
        <v>48</v>
      </c>
    </row>
    <row r="227" spans="1:30" x14ac:dyDescent="0.35">
      <c r="A227" s="1" t="s">
        <v>30</v>
      </c>
      <c r="B227" t="s">
        <v>521</v>
      </c>
      <c r="C227" t="s">
        <v>348</v>
      </c>
      <c r="D227" t="s">
        <v>1679</v>
      </c>
      <c r="E227" t="s">
        <v>1680</v>
      </c>
      <c r="F227" t="s">
        <v>1257</v>
      </c>
      <c r="G227" t="s">
        <v>1258</v>
      </c>
      <c r="H227" t="s">
        <v>1302</v>
      </c>
      <c r="I227" t="s">
        <v>117</v>
      </c>
      <c r="J227" t="s">
        <v>39</v>
      </c>
      <c r="K227" s="2">
        <v>46299</v>
      </c>
      <c r="L227" s="2">
        <v>46326</v>
      </c>
      <c r="N227" s="2">
        <v>46296</v>
      </c>
      <c r="O227" s="2">
        <v>46661</v>
      </c>
      <c r="P227">
        <v>12</v>
      </c>
      <c r="Q227" t="s">
        <v>40</v>
      </c>
      <c r="R227" t="s">
        <v>88</v>
      </c>
      <c r="S227" t="s">
        <v>141</v>
      </c>
      <c r="T227" t="s">
        <v>131</v>
      </c>
      <c r="U227" t="s">
        <v>44</v>
      </c>
      <c r="V227" t="s">
        <v>57</v>
      </c>
      <c r="W227" t="s">
        <v>136</v>
      </c>
      <c r="X227" t="s">
        <v>91</v>
      </c>
      <c r="Y227">
        <v>101991.73</v>
      </c>
      <c r="Z227">
        <v>81593.39</v>
      </c>
      <c r="AA227">
        <v>0.8</v>
      </c>
      <c r="AB227" t="s">
        <v>39</v>
      </c>
      <c r="AC227" t="s">
        <v>39</v>
      </c>
      <c r="AD227" t="s">
        <v>48</v>
      </c>
    </row>
    <row r="228" spans="1:30" x14ac:dyDescent="0.35">
      <c r="A228" s="1" t="s">
        <v>30</v>
      </c>
      <c r="B228" t="s">
        <v>521</v>
      </c>
      <c r="C228" t="s">
        <v>348</v>
      </c>
      <c r="D228" t="s">
        <v>1681</v>
      </c>
      <c r="E228" t="s">
        <v>1682</v>
      </c>
      <c r="F228" t="s">
        <v>1683</v>
      </c>
      <c r="G228" t="s">
        <v>1684</v>
      </c>
      <c r="H228" t="s">
        <v>1302</v>
      </c>
      <c r="I228" t="s">
        <v>117</v>
      </c>
      <c r="J228" t="s">
        <v>39</v>
      </c>
      <c r="K228" s="2">
        <v>46297</v>
      </c>
      <c r="L228" s="2">
        <v>46326</v>
      </c>
      <c r="N228" s="2">
        <v>46296</v>
      </c>
      <c r="O228" s="2">
        <v>46661</v>
      </c>
      <c r="P228">
        <v>12</v>
      </c>
      <c r="Q228" t="s">
        <v>40</v>
      </c>
      <c r="R228" t="s">
        <v>41</v>
      </c>
      <c r="S228" t="s">
        <v>73</v>
      </c>
      <c r="T228" t="s">
        <v>43</v>
      </c>
      <c r="U228" t="s">
        <v>56</v>
      </c>
      <c r="V228" t="s">
        <v>98</v>
      </c>
      <c r="W228" t="s">
        <v>136</v>
      </c>
      <c r="X228" t="s">
        <v>59</v>
      </c>
      <c r="Y228">
        <v>101052.18</v>
      </c>
      <c r="Z228">
        <v>65683.92</v>
      </c>
      <c r="AA228">
        <v>0.65</v>
      </c>
      <c r="AB228" t="s">
        <v>39</v>
      </c>
      <c r="AC228" t="s">
        <v>39</v>
      </c>
      <c r="AD228" t="s">
        <v>48</v>
      </c>
    </row>
    <row r="229" spans="1:30" x14ac:dyDescent="0.35">
      <c r="A229" s="1" t="s">
        <v>30</v>
      </c>
      <c r="B229" t="s">
        <v>521</v>
      </c>
      <c r="C229" t="s">
        <v>348</v>
      </c>
      <c r="D229" t="s">
        <v>1685</v>
      </c>
      <c r="E229" t="s">
        <v>1686</v>
      </c>
      <c r="F229" t="s">
        <v>1687</v>
      </c>
      <c r="G229" t="s">
        <v>1688</v>
      </c>
      <c r="H229" t="s">
        <v>1302</v>
      </c>
      <c r="I229" t="s">
        <v>64</v>
      </c>
      <c r="J229" t="s">
        <v>39</v>
      </c>
      <c r="K229" s="2">
        <v>46297</v>
      </c>
      <c r="L229" s="2">
        <v>46326</v>
      </c>
      <c r="N229" s="2">
        <v>46296</v>
      </c>
      <c r="O229" s="2">
        <v>46661</v>
      </c>
      <c r="P229">
        <v>12</v>
      </c>
      <c r="Q229" t="s">
        <v>104</v>
      </c>
      <c r="R229" t="s">
        <v>88</v>
      </c>
      <c r="S229" t="s">
        <v>135</v>
      </c>
      <c r="T229" t="s">
        <v>131</v>
      </c>
      <c r="U229" t="s">
        <v>56</v>
      </c>
      <c r="V229" t="s">
        <v>144</v>
      </c>
      <c r="W229" t="s">
        <v>132</v>
      </c>
      <c r="X229" t="s">
        <v>83</v>
      </c>
      <c r="Y229">
        <v>188082.08</v>
      </c>
      <c r="Z229">
        <v>150465.67000000001</v>
      </c>
      <c r="AA229">
        <v>0.8</v>
      </c>
      <c r="AB229" t="s">
        <v>39</v>
      </c>
      <c r="AC229" t="s">
        <v>39</v>
      </c>
      <c r="AD229" t="s">
        <v>48</v>
      </c>
    </row>
    <row r="230" spans="1:30" x14ac:dyDescent="0.35">
      <c r="A230" s="1" t="s">
        <v>30</v>
      </c>
      <c r="B230" t="s">
        <v>521</v>
      </c>
      <c r="C230" t="s">
        <v>399</v>
      </c>
      <c r="D230" t="s">
        <v>983</v>
      </c>
      <c r="E230" t="s">
        <v>984</v>
      </c>
      <c r="F230" t="s">
        <v>985</v>
      </c>
      <c r="G230" t="s">
        <v>986</v>
      </c>
      <c r="H230" t="s">
        <v>37</v>
      </c>
      <c r="I230" t="s">
        <v>38</v>
      </c>
      <c r="J230" t="s">
        <v>39</v>
      </c>
      <c r="K230" s="2">
        <v>46331</v>
      </c>
      <c r="L230" s="2">
        <v>46356</v>
      </c>
      <c r="N230" s="2">
        <v>46327</v>
      </c>
      <c r="O230" s="2">
        <v>46692</v>
      </c>
      <c r="P230">
        <v>12</v>
      </c>
      <c r="Q230" t="s">
        <v>40</v>
      </c>
      <c r="R230" t="s">
        <v>88</v>
      </c>
      <c r="S230" t="s">
        <v>89</v>
      </c>
      <c r="T230" t="s">
        <v>55</v>
      </c>
      <c r="U230" t="s">
        <v>56</v>
      </c>
      <c r="V230" t="s">
        <v>217</v>
      </c>
      <c r="W230" t="s">
        <v>58</v>
      </c>
      <c r="X230" t="s">
        <v>59</v>
      </c>
      <c r="Y230">
        <v>136378.12</v>
      </c>
      <c r="Z230">
        <v>47732.34</v>
      </c>
      <c r="AA230">
        <v>0.35</v>
      </c>
      <c r="AB230" t="s">
        <v>39</v>
      </c>
      <c r="AC230" t="s">
        <v>39</v>
      </c>
      <c r="AD230" t="s">
        <v>48</v>
      </c>
    </row>
    <row r="231" spans="1:30" x14ac:dyDescent="0.35">
      <c r="A231" s="1" t="s">
        <v>30</v>
      </c>
      <c r="B231" t="s">
        <v>521</v>
      </c>
      <c r="C231" t="s">
        <v>399</v>
      </c>
      <c r="D231" t="s">
        <v>987</v>
      </c>
      <c r="E231" t="s">
        <v>988</v>
      </c>
      <c r="F231" t="s">
        <v>989</v>
      </c>
      <c r="G231" t="s">
        <v>990</v>
      </c>
      <c r="H231" t="s">
        <v>37</v>
      </c>
      <c r="I231" t="s">
        <v>103</v>
      </c>
      <c r="J231" t="s">
        <v>39</v>
      </c>
      <c r="K231" s="2">
        <v>46336</v>
      </c>
      <c r="L231" s="2">
        <v>46356</v>
      </c>
      <c r="N231" s="2">
        <v>46327</v>
      </c>
      <c r="O231" s="2">
        <v>46692</v>
      </c>
      <c r="P231">
        <v>12</v>
      </c>
      <c r="Q231" t="s">
        <v>104</v>
      </c>
      <c r="R231" t="s">
        <v>41</v>
      </c>
      <c r="S231" t="s">
        <v>54</v>
      </c>
      <c r="T231" t="s">
        <v>55</v>
      </c>
      <c r="U231" t="s">
        <v>106</v>
      </c>
      <c r="V231" t="s">
        <v>98</v>
      </c>
      <c r="W231" t="s">
        <v>82</v>
      </c>
      <c r="X231" t="s">
        <v>83</v>
      </c>
      <c r="Y231">
        <v>191316.21</v>
      </c>
      <c r="Z231">
        <v>95658.1</v>
      </c>
      <c r="AA231">
        <v>0.5</v>
      </c>
      <c r="AB231" t="s">
        <v>39</v>
      </c>
      <c r="AC231" t="s">
        <v>39</v>
      </c>
      <c r="AD231" t="s">
        <v>48</v>
      </c>
    </row>
    <row r="232" spans="1:30" x14ac:dyDescent="0.35">
      <c r="A232" s="1" t="s">
        <v>30</v>
      </c>
      <c r="B232" t="s">
        <v>521</v>
      </c>
      <c r="C232" t="s">
        <v>399</v>
      </c>
      <c r="D232" t="s">
        <v>991</v>
      </c>
      <c r="E232" t="s">
        <v>992</v>
      </c>
      <c r="F232" t="s">
        <v>346</v>
      </c>
      <c r="G232" t="s">
        <v>347</v>
      </c>
      <c r="H232" t="s">
        <v>37</v>
      </c>
      <c r="I232" t="s">
        <v>64</v>
      </c>
      <c r="J232" t="s">
        <v>39</v>
      </c>
      <c r="K232" s="2">
        <v>46327</v>
      </c>
      <c r="L232" s="2">
        <v>46356</v>
      </c>
      <c r="N232" s="2">
        <v>46327</v>
      </c>
      <c r="O232" s="2">
        <v>47058</v>
      </c>
      <c r="P232">
        <v>24</v>
      </c>
      <c r="Q232" t="s">
        <v>104</v>
      </c>
      <c r="R232" t="s">
        <v>41</v>
      </c>
      <c r="S232" t="s">
        <v>140</v>
      </c>
      <c r="T232" t="s">
        <v>97</v>
      </c>
      <c r="U232" t="s">
        <v>56</v>
      </c>
      <c r="V232" t="s">
        <v>217</v>
      </c>
      <c r="W232" t="s">
        <v>46</v>
      </c>
      <c r="X232" t="s">
        <v>68</v>
      </c>
      <c r="Y232">
        <v>156499.34</v>
      </c>
      <c r="Z232">
        <v>101724.57</v>
      </c>
      <c r="AA232">
        <v>0.65</v>
      </c>
      <c r="AB232" t="s">
        <v>39</v>
      </c>
      <c r="AC232" t="s">
        <v>39</v>
      </c>
      <c r="AD232" t="s">
        <v>48</v>
      </c>
    </row>
    <row r="233" spans="1:30" x14ac:dyDescent="0.35">
      <c r="A233" s="1" t="s">
        <v>30</v>
      </c>
      <c r="B233" t="s">
        <v>521</v>
      </c>
      <c r="C233" t="s">
        <v>399</v>
      </c>
      <c r="D233" t="s">
        <v>993</v>
      </c>
      <c r="E233" t="s">
        <v>994</v>
      </c>
      <c r="F233" t="s">
        <v>979</v>
      </c>
      <c r="G233" t="s">
        <v>980</v>
      </c>
      <c r="H233" t="s">
        <v>37</v>
      </c>
      <c r="I233" t="s">
        <v>38</v>
      </c>
      <c r="J233" t="s">
        <v>39</v>
      </c>
      <c r="K233" s="2">
        <v>46337</v>
      </c>
      <c r="L233" s="2">
        <v>46356</v>
      </c>
      <c r="N233" s="2">
        <v>46327</v>
      </c>
      <c r="O233" s="2">
        <v>47058</v>
      </c>
      <c r="P233">
        <v>24</v>
      </c>
      <c r="Q233" t="s">
        <v>40</v>
      </c>
      <c r="R233" t="s">
        <v>53</v>
      </c>
      <c r="S233" t="s">
        <v>162</v>
      </c>
      <c r="T233" t="s">
        <v>43</v>
      </c>
      <c r="U233" t="s">
        <v>106</v>
      </c>
      <c r="V233" t="s">
        <v>74</v>
      </c>
      <c r="W233" t="s">
        <v>46</v>
      </c>
      <c r="X233" t="s">
        <v>125</v>
      </c>
      <c r="Y233">
        <v>147257.68</v>
      </c>
      <c r="Z233">
        <v>73628.84</v>
      </c>
      <c r="AA233">
        <v>0.5</v>
      </c>
      <c r="AB233" t="s">
        <v>39</v>
      </c>
      <c r="AC233" t="s">
        <v>39</v>
      </c>
      <c r="AD233" t="s">
        <v>48</v>
      </c>
    </row>
    <row r="234" spans="1:30" x14ac:dyDescent="0.35">
      <c r="A234" s="1" t="s">
        <v>30</v>
      </c>
      <c r="B234" t="s">
        <v>521</v>
      </c>
      <c r="C234" t="s">
        <v>399</v>
      </c>
      <c r="D234" t="s">
        <v>995</v>
      </c>
      <c r="E234" t="s">
        <v>996</v>
      </c>
      <c r="F234" t="s">
        <v>997</v>
      </c>
      <c r="G234" t="s">
        <v>998</v>
      </c>
      <c r="H234" t="s">
        <v>37</v>
      </c>
      <c r="I234" t="s">
        <v>64</v>
      </c>
      <c r="J234" t="s">
        <v>39</v>
      </c>
      <c r="K234" s="2">
        <v>46337</v>
      </c>
      <c r="L234" s="2">
        <v>46356</v>
      </c>
      <c r="N234" s="2">
        <v>46327</v>
      </c>
      <c r="O234" s="2">
        <v>46692</v>
      </c>
      <c r="P234">
        <v>12</v>
      </c>
      <c r="Q234" t="s">
        <v>104</v>
      </c>
      <c r="R234" t="s">
        <v>53</v>
      </c>
      <c r="S234" t="s">
        <v>149</v>
      </c>
      <c r="T234" t="s">
        <v>131</v>
      </c>
      <c r="U234" t="s">
        <v>56</v>
      </c>
      <c r="V234" t="s">
        <v>45</v>
      </c>
      <c r="W234" t="s">
        <v>75</v>
      </c>
      <c r="X234" t="s">
        <v>47</v>
      </c>
      <c r="Y234">
        <v>155332.57</v>
      </c>
      <c r="Z234">
        <v>100966.17</v>
      </c>
      <c r="AA234">
        <v>0.65</v>
      </c>
      <c r="AB234" t="s">
        <v>39</v>
      </c>
      <c r="AC234" t="s">
        <v>39</v>
      </c>
      <c r="AD234" t="s">
        <v>48</v>
      </c>
    </row>
    <row r="235" spans="1:30" x14ac:dyDescent="0.35">
      <c r="A235" s="1" t="s">
        <v>30</v>
      </c>
      <c r="B235" t="s">
        <v>521</v>
      </c>
      <c r="C235" t="s">
        <v>399</v>
      </c>
      <c r="D235" t="s">
        <v>999</v>
      </c>
      <c r="E235" t="s">
        <v>1000</v>
      </c>
      <c r="F235" t="s">
        <v>180</v>
      </c>
      <c r="G235" t="s">
        <v>181</v>
      </c>
      <c r="H235" t="s">
        <v>37</v>
      </c>
      <c r="I235" t="s">
        <v>38</v>
      </c>
      <c r="J235" t="s">
        <v>39</v>
      </c>
      <c r="K235" s="2">
        <v>46341</v>
      </c>
      <c r="L235" s="2">
        <v>46356</v>
      </c>
      <c r="N235" s="2">
        <v>46327</v>
      </c>
      <c r="O235" s="2">
        <v>47058</v>
      </c>
      <c r="P235">
        <v>24</v>
      </c>
      <c r="Q235" t="s">
        <v>104</v>
      </c>
      <c r="R235" t="s">
        <v>88</v>
      </c>
      <c r="S235" t="s">
        <v>182</v>
      </c>
      <c r="T235" t="s">
        <v>97</v>
      </c>
      <c r="U235" t="s">
        <v>106</v>
      </c>
      <c r="V235" t="s">
        <v>138</v>
      </c>
      <c r="W235" t="s">
        <v>58</v>
      </c>
      <c r="X235" t="s">
        <v>125</v>
      </c>
      <c r="Y235">
        <v>189821</v>
      </c>
      <c r="Z235">
        <v>151856.79999999999</v>
      </c>
      <c r="AA235">
        <v>0.8</v>
      </c>
      <c r="AB235" t="s">
        <v>39</v>
      </c>
      <c r="AC235" t="s">
        <v>39</v>
      </c>
      <c r="AD235" t="s">
        <v>48</v>
      </c>
    </row>
    <row r="236" spans="1:30" x14ac:dyDescent="0.35">
      <c r="A236" s="1" t="s">
        <v>30</v>
      </c>
      <c r="B236" t="s">
        <v>521</v>
      </c>
      <c r="C236" t="s">
        <v>399</v>
      </c>
      <c r="D236" t="s">
        <v>1001</v>
      </c>
      <c r="E236" t="s">
        <v>1002</v>
      </c>
      <c r="F236" t="s">
        <v>1003</v>
      </c>
      <c r="G236" t="s">
        <v>1004</v>
      </c>
      <c r="H236" t="s">
        <v>37</v>
      </c>
      <c r="I236" t="s">
        <v>111</v>
      </c>
      <c r="J236" t="s">
        <v>39</v>
      </c>
      <c r="K236" s="2">
        <v>46331</v>
      </c>
      <c r="L236" s="2">
        <v>46356</v>
      </c>
      <c r="N236" s="2">
        <v>46327</v>
      </c>
      <c r="O236" s="2">
        <v>47423</v>
      </c>
      <c r="P236">
        <v>36</v>
      </c>
      <c r="Q236" t="s">
        <v>40</v>
      </c>
      <c r="R236" t="s">
        <v>88</v>
      </c>
      <c r="S236" t="s">
        <v>135</v>
      </c>
      <c r="T236" t="s">
        <v>131</v>
      </c>
      <c r="U236" t="s">
        <v>44</v>
      </c>
      <c r="V236" t="s">
        <v>45</v>
      </c>
      <c r="W236" t="s">
        <v>132</v>
      </c>
      <c r="X236" t="s">
        <v>47</v>
      </c>
      <c r="Y236">
        <v>161320.91</v>
      </c>
      <c r="Z236">
        <v>80660.460000000006</v>
      </c>
      <c r="AA236">
        <v>0.5</v>
      </c>
      <c r="AB236" t="s">
        <v>39</v>
      </c>
      <c r="AC236" t="s">
        <v>39</v>
      </c>
      <c r="AD236" t="s">
        <v>48</v>
      </c>
    </row>
    <row r="237" spans="1:30" x14ac:dyDescent="0.35">
      <c r="A237" s="1" t="s">
        <v>30</v>
      </c>
      <c r="B237" t="s">
        <v>521</v>
      </c>
      <c r="C237" t="s">
        <v>399</v>
      </c>
      <c r="D237" t="s">
        <v>1005</v>
      </c>
      <c r="E237" t="s">
        <v>1006</v>
      </c>
      <c r="F237" t="s">
        <v>1007</v>
      </c>
      <c r="G237" t="s">
        <v>1008</v>
      </c>
      <c r="H237" t="s">
        <v>37</v>
      </c>
      <c r="I237" t="s">
        <v>111</v>
      </c>
      <c r="J237" t="s">
        <v>39</v>
      </c>
      <c r="K237" s="2">
        <v>46336</v>
      </c>
      <c r="L237" s="2">
        <v>46356</v>
      </c>
      <c r="N237" s="2">
        <v>46327</v>
      </c>
      <c r="O237" s="2">
        <v>46692</v>
      </c>
      <c r="P237">
        <v>12</v>
      </c>
      <c r="Q237" t="s">
        <v>65</v>
      </c>
      <c r="R237" t="s">
        <v>53</v>
      </c>
      <c r="S237" t="s">
        <v>135</v>
      </c>
      <c r="T237" t="s">
        <v>131</v>
      </c>
      <c r="U237" t="s">
        <v>44</v>
      </c>
      <c r="V237" t="s">
        <v>45</v>
      </c>
      <c r="W237" t="s">
        <v>150</v>
      </c>
      <c r="X237" t="s">
        <v>68</v>
      </c>
      <c r="Y237">
        <v>181662.29</v>
      </c>
      <c r="Z237">
        <v>118080.49</v>
      </c>
      <c r="AA237">
        <v>0.65</v>
      </c>
      <c r="AB237" t="s">
        <v>39</v>
      </c>
      <c r="AC237" t="s">
        <v>39</v>
      </c>
      <c r="AD237" t="s">
        <v>48</v>
      </c>
    </row>
    <row r="238" spans="1:30" x14ac:dyDescent="0.35">
      <c r="A238" s="1" t="s">
        <v>30</v>
      </c>
      <c r="B238" t="s">
        <v>521</v>
      </c>
      <c r="C238" t="s">
        <v>399</v>
      </c>
      <c r="D238" t="s">
        <v>1009</v>
      </c>
      <c r="E238" t="s">
        <v>1010</v>
      </c>
      <c r="F238" t="s">
        <v>1011</v>
      </c>
      <c r="G238" t="s">
        <v>1012</v>
      </c>
      <c r="H238" t="s">
        <v>37</v>
      </c>
      <c r="I238" t="s">
        <v>103</v>
      </c>
      <c r="J238" t="s">
        <v>39</v>
      </c>
      <c r="K238" s="2">
        <v>46328</v>
      </c>
      <c r="L238" s="2">
        <v>46356</v>
      </c>
      <c r="N238" s="2">
        <v>46327</v>
      </c>
      <c r="O238" s="2">
        <v>47423</v>
      </c>
      <c r="P238">
        <v>36</v>
      </c>
      <c r="Q238" t="s">
        <v>40</v>
      </c>
      <c r="R238" t="s">
        <v>41</v>
      </c>
      <c r="S238" t="s">
        <v>135</v>
      </c>
      <c r="T238" t="s">
        <v>131</v>
      </c>
      <c r="U238" t="s">
        <v>56</v>
      </c>
      <c r="V238" t="s">
        <v>217</v>
      </c>
      <c r="W238" t="s">
        <v>82</v>
      </c>
      <c r="X238" t="s">
        <v>47</v>
      </c>
      <c r="Y238">
        <v>96718.25</v>
      </c>
      <c r="Z238">
        <v>62866.86</v>
      </c>
      <c r="AA238">
        <v>0.65</v>
      </c>
      <c r="AB238" t="s">
        <v>39</v>
      </c>
      <c r="AC238" t="s">
        <v>39</v>
      </c>
      <c r="AD238" t="s">
        <v>48</v>
      </c>
    </row>
    <row r="239" spans="1:30" x14ac:dyDescent="0.35">
      <c r="A239" s="1" t="s">
        <v>30</v>
      </c>
      <c r="B239" t="s">
        <v>521</v>
      </c>
      <c r="C239" t="s">
        <v>399</v>
      </c>
      <c r="D239" t="s">
        <v>1013</v>
      </c>
      <c r="E239" t="s">
        <v>1014</v>
      </c>
      <c r="F239" t="s">
        <v>687</v>
      </c>
      <c r="G239" t="s">
        <v>688</v>
      </c>
      <c r="H239" t="s">
        <v>37</v>
      </c>
      <c r="I239" t="s">
        <v>111</v>
      </c>
      <c r="J239" t="s">
        <v>39</v>
      </c>
      <c r="K239" s="2">
        <v>46331</v>
      </c>
      <c r="L239" s="2">
        <v>46356</v>
      </c>
      <c r="N239" s="2">
        <v>46327</v>
      </c>
      <c r="O239" s="2">
        <v>46692</v>
      </c>
      <c r="P239">
        <v>12</v>
      </c>
      <c r="Q239" t="s">
        <v>40</v>
      </c>
      <c r="R239" t="s">
        <v>53</v>
      </c>
      <c r="S239" t="s">
        <v>130</v>
      </c>
      <c r="T239" t="s">
        <v>131</v>
      </c>
      <c r="U239" t="s">
        <v>56</v>
      </c>
      <c r="V239" t="s">
        <v>57</v>
      </c>
      <c r="W239" t="s">
        <v>120</v>
      </c>
      <c r="X239" t="s">
        <v>59</v>
      </c>
      <c r="Y239">
        <v>170268.35</v>
      </c>
      <c r="Z239">
        <v>85134.18</v>
      </c>
      <c r="AA239">
        <v>0.5</v>
      </c>
      <c r="AB239" t="s">
        <v>39</v>
      </c>
      <c r="AC239" t="s">
        <v>39</v>
      </c>
      <c r="AD239" t="s">
        <v>48</v>
      </c>
    </row>
    <row r="240" spans="1:30" x14ac:dyDescent="0.35">
      <c r="A240" s="1" t="s">
        <v>30</v>
      </c>
      <c r="B240" t="s">
        <v>521</v>
      </c>
      <c r="C240" t="s">
        <v>399</v>
      </c>
      <c r="D240" t="s">
        <v>1689</v>
      </c>
      <c r="E240" t="s">
        <v>1690</v>
      </c>
      <c r="F240" t="s">
        <v>1691</v>
      </c>
      <c r="G240" t="s">
        <v>1692</v>
      </c>
      <c r="H240" t="s">
        <v>1271</v>
      </c>
      <c r="I240" t="s">
        <v>103</v>
      </c>
      <c r="J240" t="s">
        <v>39</v>
      </c>
      <c r="K240" s="2">
        <v>46333</v>
      </c>
      <c r="L240" s="2">
        <v>46356</v>
      </c>
      <c r="N240" s="2">
        <v>46327</v>
      </c>
      <c r="O240" s="2">
        <v>46692</v>
      </c>
      <c r="P240">
        <v>12</v>
      </c>
      <c r="Q240" t="s">
        <v>104</v>
      </c>
      <c r="R240" t="s">
        <v>41</v>
      </c>
      <c r="S240" t="s">
        <v>140</v>
      </c>
      <c r="T240" t="s">
        <v>97</v>
      </c>
      <c r="U240" t="s">
        <v>44</v>
      </c>
      <c r="V240" t="s">
        <v>57</v>
      </c>
      <c r="W240" t="s">
        <v>120</v>
      </c>
      <c r="X240" t="s">
        <v>68</v>
      </c>
      <c r="Y240">
        <v>82801.2</v>
      </c>
      <c r="Z240">
        <v>66240.960000000006</v>
      </c>
      <c r="AA240">
        <v>0.8</v>
      </c>
      <c r="AB240" t="s">
        <v>39</v>
      </c>
      <c r="AC240" t="s">
        <v>39</v>
      </c>
      <c r="AD240" t="s">
        <v>48</v>
      </c>
    </row>
    <row r="241" spans="1:30" x14ac:dyDescent="0.35">
      <c r="A241" s="1" t="s">
        <v>30</v>
      </c>
      <c r="B241" t="s">
        <v>521</v>
      </c>
      <c r="C241" t="s">
        <v>399</v>
      </c>
      <c r="D241" t="s">
        <v>1693</v>
      </c>
      <c r="E241" t="s">
        <v>1694</v>
      </c>
      <c r="F241" t="s">
        <v>1695</v>
      </c>
      <c r="G241" t="s">
        <v>1696</v>
      </c>
      <c r="H241" t="s">
        <v>1271</v>
      </c>
      <c r="I241" t="s">
        <v>111</v>
      </c>
      <c r="J241" t="s">
        <v>39</v>
      </c>
      <c r="K241" s="2">
        <v>46328</v>
      </c>
      <c r="L241" s="2">
        <v>46356</v>
      </c>
      <c r="N241" s="2">
        <v>46327</v>
      </c>
      <c r="O241" s="2">
        <v>46692</v>
      </c>
      <c r="P241">
        <v>12</v>
      </c>
      <c r="Q241" t="s">
        <v>104</v>
      </c>
      <c r="R241" t="s">
        <v>53</v>
      </c>
      <c r="S241" t="s">
        <v>222</v>
      </c>
      <c r="T241" t="s">
        <v>97</v>
      </c>
      <c r="U241" t="s">
        <v>106</v>
      </c>
      <c r="V241" t="s">
        <v>45</v>
      </c>
      <c r="W241" t="s">
        <v>90</v>
      </c>
      <c r="X241" t="s">
        <v>47</v>
      </c>
      <c r="Y241">
        <v>142858.42000000001</v>
      </c>
      <c r="Z241">
        <v>114286.74</v>
      </c>
      <c r="AA241">
        <v>0.8</v>
      </c>
      <c r="AB241" t="s">
        <v>39</v>
      </c>
      <c r="AC241" t="s">
        <v>39</v>
      </c>
      <c r="AD241" t="s">
        <v>48</v>
      </c>
    </row>
    <row r="242" spans="1:30" x14ac:dyDescent="0.35">
      <c r="A242" s="1" t="s">
        <v>30</v>
      </c>
      <c r="B242" t="s">
        <v>521</v>
      </c>
      <c r="C242" t="s">
        <v>399</v>
      </c>
      <c r="D242" t="s">
        <v>1697</v>
      </c>
      <c r="E242" t="s">
        <v>1698</v>
      </c>
      <c r="F242" t="s">
        <v>829</v>
      </c>
      <c r="G242" t="s">
        <v>830</v>
      </c>
      <c r="H242" t="s">
        <v>1271</v>
      </c>
      <c r="I242" t="s">
        <v>38</v>
      </c>
      <c r="J242" t="s">
        <v>39</v>
      </c>
      <c r="K242" s="2">
        <v>46335</v>
      </c>
      <c r="L242" s="2">
        <v>46356</v>
      </c>
      <c r="N242" s="2">
        <v>46327</v>
      </c>
      <c r="O242" s="2">
        <v>46692</v>
      </c>
      <c r="P242">
        <v>12</v>
      </c>
      <c r="Q242" t="s">
        <v>104</v>
      </c>
      <c r="R242" t="s">
        <v>88</v>
      </c>
      <c r="S242" t="s">
        <v>162</v>
      </c>
      <c r="T242" t="s">
        <v>43</v>
      </c>
      <c r="U242" t="s">
        <v>56</v>
      </c>
      <c r="V242" t="s">
        <v>138</v>
      </c>
      <c r="W242" t="s">
        <v>58</v>
      </c>
      <c r="X242" t="s">
        <v>83</v>
      </c>
      <c r="Y242">
        <v>176593.72</v>
      </c>
      <c r="Z242">
        <v>114785.92</v>
      </c>
      <c r="AA242">
        <v>0.65</v>
      </c>
      <c r="AB242" t="s">
        <v>39</v>
      </c>
      <c r="AC242" t="s">
        <v>39</v>
      </c>
      <c r="AD242" t="s">
        <v>48</v>
      </c>
    </row>
    <row r="243" spans="1:30" x14ac:dyDescent="0.35">
      <c r="A243" s="1" t="s">
        <v>30</v>
      </c>
      <c r="B243" t="s">
        <v>521</v>
      </c>
      <c r="C243" t="s">
        <v>399</v>
      </c>
      <c r="D243" t="s">
        <v>1699</v>
      </c>
      <c r="E243" t="s">
        <v>1700</v>
      </c>
      <c r="F243" t="s">
        <v>734</v>
      </c>
      <c r="G243" t="s">
        <v>735</v>
      </c>
      <c r="H243" t="s">
        <v>1271</v>
      </c>
      <c r="I243" t="s">
        <v>38</v>
      </c>
      <c r="J243" t="s">
        <v>39</v>
      </c>
      <c r="K243" s="2">
        <v>46336</v>
      </c>
      <c r="L243" s="2">
        <v>46356</v>
      </c>
      <c r="N243" s="2">
        <v>46327</v>
      </c>
      <c r="O243" s="2">
        <v>46692</v>
      </c>
      <c r="P243">
        <v>12</v>
      </c>
      <c r="Q243" t="s">
        <v>104</v>
      </c>
      <c r="R243" t="s">
        <v>88</v>
      </c>
      <c r="S243" t="s">
        <v>140</v>
      </c>
      <c r="T243" t="s">
        <v>97</v>
      </c>
      <c r="U243" t="s">
        <v>44</v>
      </c>
      <c r="V243" t="s">
        <v>67</v>
      </c>
      <c r="W243" t="s">
        <v>82</v>
      </c>
      <c r="X243" t="s">
        <v>59</v>
      </c>
      <c r="Y243">
        <v>152477.9</v>
      </c>
      <c r="Z243">
        <v>76238.95</v>
      </c>
      <c r="AA243">
        <v>0.5</v>
      </c>
      <c r="AB243" t="s">
        <v>39</v>
      </c>
      <c r="AC243" t="s">
        <v>39</v>
      </c>
      <c r="AD243" t="s">
        <v>48</v>
      </c>
    </row>
    <row r="244" spans="1:30" x14ac:dyDescent="0.35">
      <c r="A244" s="1" t="s">
        <v>30</v>
      </c>
      <c r="B244" t="s">
        <v>521</v>
      </c>
      <c r="C244" t="s">
        <v>399</v>
      </c>
      <c r="D244" t="s">
        <v>1701</v>
      </c>
      <c r="E244" t="s">
        <v>1702</v>
      </c>
      <c r="F244" t="s">
        <v>875</v>
      </c>
      <c r="G244" t="s">
        <v>876</v>
      </c>
      <c r="H244" t="s">
        <v>1271</v>
      </c>
      <c r="I244" t="s">
        <v>64</v>
      </c>
      <c r="J244" t="s">
        <v>39</v>
      </c>
      <c r="K244" s="2">
        <v>46330</v>
      </c>
      <c r="L244" s="2">
        <v>46356</v>
      </c>
      <c r="N244" s="2">
        <v>46327</v>
      </c>
      <c r="O244" s="2">
        <v>46692</v>
      </c>
      <c r="P244">
        <v>12</v>
      </c>
      <c r="Q244" t="s">
        <v>104</v>
      </c>
      <c r="R244" t="s">
        <v>88</v>
      </c>
      <c r="S244" t="s">
        <v>141</v>
      </c>
      <c r="T244" t="s">
        <v>131</v>
      </c>
      <c r="U244" t="s">
        <v>44</v>
      </c>
      <c r="V244" t="s">
        <v>74</v>
      </c>
      <c r="W244" t="s">
        <v>46</v>
      </c>
      <c r="X244" t="s">
        <v>125</v>
      </c>
      <c r="Y244">
        <v>93705.71</v>
      </c>
      <c r="Z244">
        <v>74964.56</v>
      </c>
      <c r="AA244">
        <v>0.8</v>
      </c>
      <c r="AB244" t="s">
        <v>39</v>
      </c>
      <c r="AC244" t="s">
        <v>39</v>
      </c>
      <c r="AD244" t="s">
        <v>48</v>
      </c>
    </row>
    <row r="245" spans="1:30" x14ac:dyDescent="0.35">
      <c r="A245" s="1" t="s">
        <v>30</v>
      </c>
      <c r="B245" t="s">
        <v>521</v>
      </c>
      <c r="C245" t="s">
        <v>399</v>
      </c>
      <c r="D245" t="s">
        <v>1703</v>
      </c>
      <c r="E245" t="s">
        <v>1704</v>
      </c>
      <c r="F245" t="s">
        <v>342</v>
      </c>
      <c r="G245" t="s">
        <v>343</v>
      </c>
      <c r="H245" t="s">
        <v>1271</v>
      </c>
      <c r="I245" t="s">
        <v>111</v>
      </c>
      <c r="J245" t="s">
        <v>39</v>
      </c>
      <c r="K245" s="2">
        <v>46337</v>
      </c>
      <c r="L245" s="2">
        <v>46356</v>
      </c>
      <c r="N245" s="2">
        <v>46327</v>
      </c>
      <c r="O245" s="2">
        <v>46692</v>
      </c>
      <c r="P245">
        <v>12</v>
      </c>
      <c r="Q245" t="s">
        <v>40</v>
      </c>
      <c r="R245" t="s">
        <v>53</v>
      </c>
      <c r="S245" t="s">
        <v>130</v>
      </c>
      <c r="T245" t="s">
        <v>131</v>
      </c>
      <c r="U245" t="s">
        <v>44</v>
      </c>
      <c r="V245" t="s">
        <v>138</v>
      </c>
      <c r="W245" t="s">
        <v>161</v>
      </c>
      <c r="X245" t="s">
        <v>83</v>
      </c>
      <c r="Y245">
        <v>170489.81</v>
      </c>
      <c r="Z245">
        <v>59671.43</v>
      </c>
      <c r="AA245">
        <v>0.35</v>
      </c>
      <c r="AB245" t="s">
        <v>39</v>
      </c>
      <c r="AC245" t="s">
        <v>39</v>
      </c>
      <c r="AD245" t="s">
        <v>48</v>
      </c>
    </row>
    <row r="246" spans="1:30" x14ac:dyDescent="0.35">
      <c r="A246" s="1" t="s">
        <v>30</v>
      </c>
      <c r="B246" t="s">
        <v>521</v>
      </c>
      <c r="C246" t="s">
        <v>399</v>
      </c>
      <c r="D246" t="s">
        <v>1705</v>
      </c>
      <c r="E246" t="s">
        <v>1706</v>
      </c>
      <c r="F246" t="s">
        <v>1707</v>
      </c>
      <c r="G246" t="s">
        <v>1708</v>
      </c>
      <c r="H246" t="s">
        <v>1271</v>
      </c>
      <c r="I246" t="s">
        <v>103</v>
      </c>
      <c r="J246" t="s">
        <v>39</v>
      </c>
      <c r="K246" s="2">
        <v>46339</v>
      </c>
      <c r="L246" s="2">
        <v>46356</v>
      </c>
      <c r="N246" s="2">
        <v>46327</v>
      </c>
      <c r="O246" s="2">
        <v>47058</v>
      </c>
      <c r="P246">
        <v>24</v>
      </c>
      <c r="Q246" t="s">
        <v>104</v>
      </c>
      <c r="R246" t="s">
        <v>53</v>
      </c>
      <c r="S246" t="s">
        <v>112</v>
      </c>
      <c r="T246" t="s">
        <v>55</v>
      </c>
      <c r="U246" t="s">
        <v>56</v>
      </c>
      <c r="V246" t="s">
        <v>67</v>
      </c>
      <c r="W246" t="s">
        <v>142</v>
      </c>
      <c r="X246" t="s">
        <v>125</v>
      </c>
      <c r="Y246">
        <v>133838.29999999999</v>
      </c>
      <c r="Z246">
        <v>107070.64</v>
      </c>
      <c r="AA246">
        <v>0.8</v>
      </c>
      <c r="AB246" t="s">
        <v>39</v>
      </c>
      <c r="AC246" t="s">
        <v>39</v>
      </c>
      <c r="AD246" t="s">
        <v>48</v>
      </c>
    </row>
    <row r="247" spans="1:30" x14ac:dyDescent="0.35">
      <c r="A247" s="1" t="s">
        <v>30</v>
      </c>
      <c r="B247" t="s">
        <v>521</v>
      </c>
      <c r="C247" t="s">
        <v>399</v>
      </c>
      <c r="D247" t="s">
        <v>1709</v>
      </c>
      <c r="E247" t="s">
        <v>1710</v>
      </c>
      <c r="F247" t="s">
        <v>1215</v>
      </c>
      <c r="G247" t="s">
        <v>1216</v>
      </c>
      <c r="H247" t="s">
        <v>1290</v>
      </c>
      <c r="I247" t="s">
        <v>111</v>
      </c>
      <c r="J247" t="s">
        <v>1290</v>
      </c>
      <c r="K247" s="2">
        <v>46332</v>
      </c>
      <c r="L247" s="2">
        <v>46356</v>
      </c>
      <c r="N247" s="2">
        <v>46327</v>
      </c>
      <c r="O247" s="2">
        <v>47058</v>
      </c>
      <c r="P247">
        <v>24</v>
      </c>
      <c r="Q247" t="s">
        <v>65</v>
      </c>
      <c r="R247" t="s">
        <v>53</v>
      </c>
      <c r="S247" t="s">
        <v>164</v>
      </c>
      <c r="T247" t="s">
        <v>55</v>
      </c>
      <c r="U247" t="s">
        <v>106</v>
      </c>
      <c r="V247" t="s">
        <v>98</v>
      </c>
      <c r="W247" t="s">
        <v>150</v>
      </c>
      <c r="X247" t="s">
        <v>68</v>
      </c>
      <c r="Y247">
        <v>165261.31</v>
      </c>
      <c r="Z247">
        <v>57841.46</v>
      </c>
      <c r="AA247">
        <v>0.35</v>
      </c>
      <c r="AB247" t="s">
        <v>1290</v>
      </c>
      <c r="AC247" t="s">
        <v>1290</v>
      </c>
      <c r="AD247" t="s">
        <v>48</v>
      </c>
    </row>
    <row r="248" spans="1:30" x14ac:dyDescent="0.35">
      <c r="A248" s="1" t="s">
        <v>30</v>
      </c>
      <c r="B248" t="s">
        <v>521</v>
      </c>
      <c r="C248" t="s">
        <v>399</v>
      </c>
      <c r="D248" t="s">
        <v>1711</v>
      </c>
      <c r="E248" t="s">
        <v>1712</v>
      </c>
      <c r="F248" t="s">
        <v>681</v>
      </c>
      <c r="G248" t="s">
        <v>682</v>
      </c>
      <c r="H248" t="s">
        <v>1290</v>
      </c>
      <c r="I248" t="s">
        <v>111</v>
      </c>
      <c r="J248" t="s">
        <v>1290</v>
      </c>
      <c r="K248" s="2">
        <v>46329</v>
      </c>
      <c r="L248" s="2">
        <v>46356</v>
      </c>
      <c r="N248" s="2">
        <v>46327</v>
      </c>
      <c r="O248" s="2">
        <v>46692</v>
      </c>
      <c r="P248">
        <v>12</v>
      </c>
      <c r="Q248" t="s">
        <v>104</v>
      </c>
      <c r="R248" t="s">
        <v>53</v>
      </c>
      <c r="S248" t="s">
        <v>80</v>
      </c>
      <c r="T248" t="s">
        <v>43</v>
      </c>
      <c r="U248" t="s">
        <v>56</v>
      </c>
      <c r="V248" t="s">
        <v>81</v>
      </c>
      <c r="W248" t="s">
        <v>161</v>
      </c>
      <c r="X248" t="s">
        <v>158</v>
      </c>
      <c r="Y248">
        <v>102609.71</v>
      </c>
      <c r="Z248">
        <v>66696.31</v>
      </c>
      <c r="AA248">
        <v>0.65</v>
      </c>
      <c r="AB248" t="s">
        <v>1290</v>
      </c>
      <c r="AC248" t="s">
        <v>1290</v>
      </c>
      <c r="AD248" t="s">
        <v>48</v>
      </c>
    </row>
    <row r="249" spans="1:30" x14ac:dyDescent="0.35">
      <c r="A249" s="1" t="s">
        <v>30</v>
      </c>
      <c r="B249" t="s">
        <v>521</v>
      </c>
      <c r="C249" t="s">
        <v>399</v>
      </c>
      <c r="D249" t="s">
        <v>1713</v>
      </c>
      <c r="E249" t="s">
        <v>1714</v>
      </c>
      <c r="F249" t="s">
        <v>1439</v>
      </c>
      <c r="G249" t="s">
        <v>1440</v>
      </c>
      <c r="H249" t="s">
        <v>1290</v>
      </c>
      <c r="I249" t="s">
        <v>103</v>
      </c>
      <c r="J249" t="s">
        <v>1290</v>
      </c>
      <c r="K249" s="2">
        <v>46332</v>
      </c>
      <c r="L249" s="2">
        <v>46356</v>
      </c>
      <c r="N249" s="2">
        <v>46327</v>
      </c>
      <c r="O249" s="2">
        <v>46692</v>
      </c>
      <c r="P249">
        <v>12</v>
      </c>
      <c r="Q249" t="s">
        <v>104</v>
      </c>
      <c r="R249" t="s">
        <v>53</v>
      </c>
      <c r="S249" t="s">
        <v>280</v>
      </c>
      <c r="T249" t="s">
        <v>43</v>
      </c>
      <c r="U249" t="s">
        <v>56</v>
      </c>
      <c r="V249" t="s">
        <v>144</v>
      </c>
      <c r="W249" t="s">
        <v>46</v>
      </c>
      <c r="X249" t="s">
        <v>158</v>
      </c>
      <c r="Y249">
        <v>181920.41</v>
      </c>
      <c r="Z249">
        <v>90960.21</v>
      </c>
      <c r="AA249">
        <v>0.5</v>
      </c>
      <c r="AB249" t="s">
        <v>1290</v>
      </c>
      <c r="AC249" t="s">
        <v>1290</v>
      </c>
      <c r="AD249" t="s">
        <v>48</v>
      </c>
    </row>
    <row r="250" spans="1:30" x14ac:dyDescent="0.35">
      <c r="A250" s="1" t="s">
        <v>30</v>
      </c>
      <c r="B250" t="s">
        <v>521</v>
      </c>
      <c r="C250" t="s">
        <v>399</v>
      </c>
      <c r="D250" t="s">
        <v>1715</v>
      </c>
      <c r="E250" t="s">
        <v>1716</v>
      </c>
      <c r="F250" t="s">
        <v>450</v>
      </c>
      <c r="G250" t="s">
        <v>451</v>
      </c>
      <c r="H250" t="s">
        <v>1295</v>
      </c>
      <c r="I250" t="s">
        <v>111</v>
      </c>
      <c r="J250" t="s">
        <v>1295</v>
      </c>
      <c r="K250" s="2">
        <v>46337</v>
      </c>
      <c r="L250" s="2">
        <v>46356</v>
      </c>
      <c r="N250" s="2">
        <v>46327</v>
      </c>
      <c r="O250" s="2">
        <v>46692</v>
      </c>
      <c r="P250">
        <v>12</v>
      </c>
      <c r="Q250" t="s">
        <v>40</v>
      </c>
      <c r="R250" t="s">
        <v>53</v>
      </c>
      <c r="S250" t="s">
        <v>151</v>
      </c>
      <c r="T250" t="s">
        <v>131</v>
      </c>
      <c r="U250" t="s">
        <v>44</v>
      </c>
      <c r="V250" t="s">
        <v>138</v>
      </c>
      <c r="W250" t="s">
        <v>75</v>
      </c>
      <c r="X250" t="s">
        <v>83</v>
      </c>
      <c r="Y250">
        <v>232747.23</v>
      </c>
      <c r="Z250">
        <v>81461.53</v>
      </c>
      <c r="AA250">
        <v>0.35</v>
      </c>
      <c r="AB250" t="s">
        <v>1295</v>
      </c>
      <c r="AC250" t="s">
        <v>1295</v>
      </c>
      <c r="AD250" t="s">
        <v>48</v>
      </c>
    </row>
    <row r="251" spans="1:30" x14ac:dyDescent="0.35">
      <c r="A251" s="1" t="s">
        <v>30</v>
      </c>
      <c r="B251" t="s">
        <v>521</v>
      </c>
      <c r="C251" t="s">
        <v>399</v>
      </c>
      <c r="D251" t="s">
        <v>1717</v>
      </c>
      <c r="E251" t="s">
        <v>1718</v>
      </c>
      <c r="F251" t="s">
        <v>1719</v>
      </c>
      <c r="G251" t="s">
        <v>1720</v>
      </c>
      <c r="H251" t="s">
        <v>1295</v>
      </c>
      <c r="I251" t="s">
        <v>117</v>
      </c>
      <c r="J251" t="s">
        <v>1295</v>
      </c>
      <c r="K251" s="2">
        <v>46327</v>
      </c>
      <c r="L251" s="2">
        <v>46356</v>
      </c>
      <c r="N251" s="2">
        <v>46327</v>
      </c>
      <c r="O251" s="2">
        <v>46692</v>
      </c>
      <c r="P251">
        <v>12</v>
      </c>
      <c r="Q251" t="s">
        <v>104</v>
      </c>
      <c r="R251" t="s">
        <v>53</v>
      </c>
      <c r="S251" t="s">
        <v>130</v>
      </c>
      <c r="T251" t="s">
        <v>131</v>
      </c>
      <c r="U251" t="s">
        <v>44</v>
      </c>
      <c r="V251" t="s">
        <v>81</v>
      </c>
      <c r="W251" t="s">
        <v>136</v>
      </c>
      <c r="X251" t="s">
        <v>68</v>
      </c>
      <c r="Y251">
        <v>219665.13</v>
      </c>
      <c r="Z251">
        <v>109832.57</v>
      </c>
      <c r="AA251">
        <v>0.5</v>
      </c>
      <c r="AB251" t="s">
        <v>1295</v>
      </c>
      <c r="AC251" t="s">
        <v>1295</v>
      </c>
      <c r="AD251" t="s">
        <v>48</v>
      </c>
    </row>
    <row r="252" spans="1:30" x14ac:dyDescent="0.35">
      <c r="A252" s="1" t="s">
        <v>30</v>
      </c>
      <c r="B252" t="s">
        <v>521</v>
      </c>
      <c r="C252" t="s">
        <v>399</v>
      </c>
      <c r="D252" t="s">
        <v>1721</v>
      </c>
      <c r="E252" t="s">
        <v>1722</v>
      </c>
      <c r="F252" t="s">
        <v>1723</v>
      </c>
      <c r="G252" t="s">
        <v>1724</v>
      </c>
      <c r="H252" t="s">
        <v>1295</v>
      </c>
      <c r="I252" t="s">
        <v>103</v>
      </c>
      <c r="J252" t="s">
        <v>1295</v>
      </c>
      <c r="K252" s="2">
        <v>46340</v>
      </c>
      <c r="L252" s="2">
        <v>46356</v>
      </c>
      <c r="N252" s="2">
        <v>46327</v>
      </c>
      <c r="O252" s="2">
        <v>46692</v>
      </c>
      <c r="P252">
        <v>12</v>
      </c>
      <c r="Q252" t="s">
        <v>40</v>
      </c>
      <c r="R252" t="s">
        <v>41</v>
      </c>
      <c r="S252" t="s">
        <v>222</v>
      </c>
      <c r="T252" t="s">
        <v>97</v>
      </c>
      <c r="U252" t="s">
        <v>56</v>
      </c>
      <c r="V252" t="s">
        <v>144</v>
      </c>
      <c r="W252" t="s">
        <v>58</v>
      </c>
      <c r="X252" t="s">
        <v>47</v>
      </c>
      <c r="Y252">
        <v>115268.08</v>
      </c>
      <c r="Z252">
        <v>92214.46</v>
      </c>
      <c r="AA252">
        <v>0.8</v>
      </c>
      <c r="AB252" t="s">
        <v>1295</v>
      </c>
      <c r="AC252" t="s">
        <v>1295</v>
      </c>
      <c r="AD252" t="s">
        <v>48</v>
      </c>
    </row>
    <row r="253" spans="1:30" x14ac:dyDescent="0.35">
      <c r="A253" s="1" t="s">
        <v>30</v>
      </c>
      <c r="B253" t="s">
        <v>521</v>
      </c>
      <c r="C253" t="s">
        <v>399</v>
      </c>
      <c r="D253" t="s">
        <v>1725</v>
      </c>
      <c r="E253" t="s">
        <v>1726</v>
      </c>
      <c r="F253" t="s">
        <v>515</v>
      </c>
      <c r="G253" t="s">
        <v>516</v>
      </c>
      <c r="H253" t="s">
        <v>1295</v>
      </c>
      <c r="I253" t="s">
        <v>117</v>
      </c>
      <c r="J253" t="s">
        <v>1295</v>
      </c>
      <c r="K253" s="2">
        <v>46341</v>
      </c>
      <c r="L253" s="2">
        <v>46356</v>
      </c>
      <c r="N253" s="2">
        <v>46327</v>
      </c>
      <c r="O253" s="2">
        <v>46692</v>
      </c>
      <c r="P253">
        <v>12</v>
      </c>
      <c r="Q253" t="s">
        <v>104</v>
      </c>
      <c r="R253" t="s">
        <v>41</v>
      </c>
      <c r="S253" t="s">
        <v>137</v>
      </c>
      <c r="T253" t="s">
        <v>97</v>
      </c>
      <c r="U253" t="s">
        <v>106</v>
      </c>
      <c r="V253" t="s">
        <v>57</v>
      </c>
      <c r="W253" t="s">
        <v>136</v>
      </c>
      <c r="X253" t="s">
        <v>47</v>
      </c>
      <c r="Y253">
        <v>172809.22</v>
      </c>
      <c r="Z253">
        <v>112325.99</v>
      </c>
      <c r="AA253">
        <v>0.65</v>
      </c>
      <c r="AB253" t="s">
        <v>1295</v>
      </c>
      <c r="AC253" t="s">
        <v>1295</v>
      </c>
      <c r="AD253" t="s">
        <v>48</v>
      </c>
    </row>
    <row r="254" spans="1:30" x14ac:dyDescent="0.35">
      <c r="A254" s="1" t="s">
        <v>30</v>
      </c>
      <c r="B254" t="s">
        <v>521</v>
      </c>
      <c r="C254" t="s">
        <v>399</v>
      </c>
      <c r="D254" t="s">
        <v>1727</v>
      </c>
      <c r="E254" t="s">
        <v>1728</v>
      </c>
      <c r="F254" t="s">
        <v>1729</v>
      </c>
      <c r="G254" t="s">
        <v>1730</v>
      </c>
      <c r="H254" t="s">
        <v>1302</v>
      </c>
      <c r="I254" t="s">
        <v>117</v>
      </c>
      <c r="J254" t="s">
        <v>39</v>
      </c>
      <c r="K254" s="2">
        <v>46334</v>
      </c>
      <c r="L254" s="2">
        <v>46356</v>
      </c>
      <c r="N254" s="2">
        <v>46327</v>
      </c>
      <c r="O254" s="2">
        <v>46692</v>
      </c>
      <c r="P254">
        <v>12</v>
      </c>
      <c r="Q254" t="s">
        <v>104</v>
      </c>
      <c r="R254" t="s">
        <v>53</v>
      </c>
      <c r="S254" t="s">
        <v>140</v>
      </c>
      <c r="T254" t="s">
        <v>97</v>
      </c>
      <c r="U254" t="s">
        <v>44</v>
      </c>
      <c r="V254" t="s">
        <v>67</v>
      </c>
      <c r="W254" t="s">
        <v>142</v>
      </c>
      <c r="X254" t="s">
        <v>91</v>
      </c>
      <c r="Y254">
        <v>132149.79</v>
      </c>
      <c r="Z254">
        <v>46252.43</v>
      </c>
      <c r="AA254">
        <v>0.35</v>
      </c>
      <c r="AB254" t="s">
        <v>39</v>
      </c>
      <c r="AC254" t="s">
        <v>39</v>
      </c>
      <c r="AD254" t="s">
        <v>48</v>
      </c>
    </row>
    <row r="255" spans="1:30" x14ac:dyDescent="0.35">
      <c r="A255" s="1" t="s">
        <v>30</v>
      </c>
      <c r="B255" t="s">
        <v>521</v>
      </c>
      <c r="C255" t="s">
        <v>399</v>
      </c>
      <c r="D255" t="s">
        <v>1731</v>
      </c>
      <c r="E255" t="s">
        <v>1732</v>
      </c>
      <c r="F255" t="s">
        <v>1733</v>
      </c>
      <c r="G255" t="s">
        <v>1734</v>
      </c>
      <c r="H255" t="s">
        <v>1302</v>
      </c>
      <c r="I255" t="s">
        <v>117</v>
      </c>
      <c r="J255" t="s">
        <v>39</v>
      </c>
      <c r="K255" s="2">
        <v>46332</v>
      </c>
      <c r="L255" s="2">
        <v>46356</v>
      </c>
      <c r="N255" s="2">
        <v>46327</v>
      </c>
      <c r="O255" s="2">
        <v>46692</v>
      </c>
      <c r="P255">
        <v>12</v>
      </c>
      <c r="Q255" t="s">
        <v>104</v>
      </c>
      <c r="R255" t="s">
        <v>88</v>
      </c>
      <c r="S255" t="s">
        <v>89</v>
      </c>
      <c r="T255" t="s">
        <v>55</v>
      </c>
      <c r="U255" t="s">
        <v>56</v>
      </c>
      <c r="V255" t="s">
        <v>138</v>
      </c>
      <c r="W255" t="s">
        <v>75</v>
      </c>
      <c r="X255" t="s">
        <v>47</v>
      </c>
      <c r="Y255">
        <v>102883.03</v>
      </c>
      <c r="Z255">
        <v>82306.429999999993</v>
      </c>
      <c r="AA255">
        <v>0.8</v>
      </c>
      <c r="AB255" t="s">
        <v>39</v>
      </c>
      <c r="AC255" t="s">
        <v>39</v>
      </c>
      <c r="AD255" t="s">
        <v>48</v>
      </c>
    </row>
    <row r="256" spans="1:30" x14ac:dyDescent="0.35">
      <c r="A256" s="1" t="s">
        <v>30</v>
      </c>
      <c r="B256" t="s">
        <v>521</v>
      </c>
      <c r="C256" t="s">
        <v>399</v>
      </c>
      <c r="D256" t="s">
        <v>1735</v>
      </c>
      <c r="E256" t="s">
        <v>1736</v>
      </c>
      <c r="F256" t="s">
        <v>1737</v>
      </c>
      <c r="G256" t="s">
        <v>1738</v>
      </c>
      <c r="H256" t="s">
        <v>1302</v>
      </c>
      <c r="I256" t="s">
        <v>111</v>
      </c>
      <c r="J256" t="s">
        <v>39</v>
      </c>
      <c r="K256" s="2">
        <v>46329</v>
      </c>
      <c r="L256" s="2">
        <v>46356</v>
      </c>
      <c r="N256" s="2">
        <v>46327</v>
      </c>
      <c r="O256" s="2">
        <v>46692</v>
      </c>
      <c r="P256">
        <v>12</v>
      </c>
      <c r="Q256" t="s">
        <v>40</v>
      </c>
      <c r="R256" t="s">
        <v>88</v>
      </c>
      <c r="S256" t="s">
        <v>112</v>
      </c>
      <c r="T256" t="s">
        <v>55</v>
      </c>
      <c r="U256" t="s">
        <v>44</v>
      </c>
      <c r="V256" t="s">
        <v>98</v>
      </c>
      <c r="W256" t="s">
        <v>150</v>
      </c>
      <c r="X256" t="s">
        <v>125</v>
      </c>
      <c r="Y256">
        <v>164859.18</v>
      </c>
      <c r="Z256">
        <v>107158.47</v>
      </c>
      <c r="AA256">
        <v>0.65</v>
      </c>
      <c r="AB256" t="s">
        <v>39</v>
      </c>
      <c r="AC256" t="s">
        <v>39</v>
      </c>
      <c r="AD256" t="s">
        <v>48</v>
      </c>
    </row>
    <row r="257" spans="1:30" x14ac:dyDescent="0.35">
      <c r="A257" s="1" t="s">
        <v>30</v>
      </c>
      <c r="B257" t="s">
        <v>521</v>
      </c>
      <c r="C257" t="s">
        <v>454</v>
      </c>
      <c r="D257" t="s">
        <v>1021</v>
      </c>
      <c r="E257" t="s">
        <v>1022</v>
      </c>
      <c r="F257" t="s">
        <v>209</v>
      </c>
      <c r="G257" t="s">
        <v>210</v>
      </c>
      <c r="H257" t="s">
        <v>37</v>
      </c>
      <c r="I257" t="s">
        <v>103</v>
      </c>
      <c r="J257" t="s">
        <v>39</v>
      </c>
      <c r="K257" s="2">
        <v>46357</v>
      </c>
      <c r="L257" s="2">
        <v>46387</v>
      </c>
      <c r="N257" s="2">
        <v>46357</v>
      </c>
      <c r="O257" s="2">
        <v>46722</v>
      </c>
      <c r="P257">
        <v>12</v>
      </c>
      <c r="Q257" t="s">
        <v>65</v>
      </c>
      <c r="R257" t="s">
        <v>53</v>
      </c>
      <c r="S257" t="s">
        <v>118</v>
      </c>
      <c r="T257" t="s">
        <v>97</v>
      </c>
      <c r="U257" t="s">
        <v>106</v>
      </c>
      <c r="V257" t="s">
        <v>57</v>
      </c>
      <c r="W257" t="s">
        <v>58</v>
      </c>
      <c r="X257" t="s">
        <v>68</v>
      </c>
      <c r="Y257">
        <v>189690.35</v>
      </c>
      <c r="Z257">
        <v>66391.62</v>
      </c>
      <c r="AA257">
        <v>0.35</v>
      </c>
      <c r="AB257" t="s">
        <v>39</v>
      </c>
      <c r="AC257" t="s">
        <v>39</v>
      </c>
      <c r="AD257" t="s">
        <v>48</v>
      </c>
    </row>
    <row r="258" spans="1:30" x14ac:dyDescent="0.35">
      <c r="A258" s="1" t="s">
        <v>30</v>
      </c>
      <c r="B258" t="s">
        <v>521</v>
      </c>
      <c r="C258" t="s">
        <v>454</v>
      </c>
      <c r="D258" t="s">
        <v>1023</v>
      </c>
      <c r="E258" t="s">
        <v>1024</v>
      </c>
      <c r="F258" t="s">
        <v>1025</v>
      </c>
      <c r="G258" t="s">
        <v>1026</v>
      </c>
      <c r="H258" t="s">
        <v>37</v>
      </c>
      <c r="I258" t="s">
        <v>38</v>
      </c>
      <c r="J258" t="s">
        <v>39</v>
      </c>
      <c r="K258" s="2">
        <v>46364</v>
      </c>
      <c r="L258" s="2">
        <v>46387</v>
      </c>
      <c r="N258" s="2">
        <v>46357</v>
      </c>
      <c r="O258" s="2">
        <v>46722</v>
      </c>
      <c r="P258">
        <v>12</v>
      </c>
      <c r="Q258" t="s">
        <v>40</v>
      </c>
      <c r="R258" t="s">
        <v>88</v>
      </c>
      <c r="S258" t="s">
        <v>149</v>
      </c>
      <c r="T258" t="s">
        <v>131</v>
      </c>
      <c r="U258" t="s">
        <v>44</v>
      </c>
      <c r="V258" t="s">
        <v>67</v>
      </c>
      <c r="W258" t="s">
        <v>82</v>
      </c>
      <c r="X258" t="s">
        <v>143</v>
      </c>
      <c r="Y258">
        <v>109442.77</v>
      </c>
      <c r="Z258">
        <v>71137.8</v>
      </c>
      <c r="AA258">
        <v>0.65</v>
      </c>
      <c r="AB258" t="s">
        <v>39</v>
      </c>
      <c r="AC258" t="s">
        <v>39</v>
      </c>
      <c r="AD258" t="s">
        <v>48</v>
      </c>
    </row>
    <row r="259" spans="1:30" x14ac:dyDescent="0.35">
      <c r="A259" s="1" t="s">
        <v>30</v>
      </c>
      <c r="B259" t="s">
        <v>521</v>
      </c>
      <c r="C259" t="s">
        <v>454</v>
      </c>
      <c r="D259" t="s">
        <v>1027</v>
      </c>
      <c r="E259" t="s">
        <v>1028</v>
      </c>
      <c r="F259" t="s">
        <v>1029</v>
      </c>
      <c r="G259" t="s">
        <v>1030</v>
      </c>
      <c r="H259" t="s">
        <v>37</v>
      </c>
      <c r="I259" t="s">
        <v>117</v>
      </c>
      <c r="J259" t="s">
        <v>39</v>
      </c>
      <c r="K259" s="2">
        <v>46366</v>
      </c>
      <c r="L259" s="2">
        <v>46387</v>
      </c>
      <c r="N259" s="2">
        <v>46357</v>
      </c>
      <c r="O259" s="2">
        <v>46722</v>
      </c>
      <c r="P259">
        <v>12</v>
      </c>
      <c r="Q259" t="s">
        <v>104</v>
      </c>
      <c r="R259" t="s">
        <v>53</v>
      </c>
      <c r="S259" t="s">
        <v>280</v>
      </c>
      <c r="T259" t="s">
        <v>43</v>
      </c>
      <c r="U259" t="s">
        <v>106</v>
      </c>
      <c r="V259" t="s">
        <v>81</v>
      </c>
      <c r="W259" t="s">
        <v>161</v>
      </c>
      <c r="X259" t="s">
        <v>83</v>
      </c>
      <c r="Y259">
        <v>154818.07</v>
      </c>
      <c r="Z259">
        <v>123854.45</v>
      </c>
      <c r="AA259">
        <v>0.8</v>
      </c>
      <c r="AB259" t="s">
        <v>39</v>
      </c>
      <c r="AC259" t="s">
        <v>39</v>
      </c>
      <c r="AD259" t="s">
        <v>48</v>
      </c>
    </row>
    <row r="260" spans="1:30" x14ac:dyDescent="0.35">
      <c r="A260" s="1" t="s">
        <v>30</v>
      </c>
      <c r="B260" t="s">
        <v>521</v>
      </c>
      <c r="C260" t="s">
        <v>454</v>
      </c>
      <c r="D260" t="s">
        <v>1031</v>
      </c>
      <c r="E260" t="s">
        <v>1032</v>
      </c>
      <c r="F260" t="s">
        <v>1033</v>
      </c>
      <c r="G260" t="s">
        <v>1034</v>
      </c>
      <c r="H260" t="s">
        <v>37</v>
      </c>
      <c r="I260" t="s">
        <v>38</v>
      </c>
      <c r="J260" t="s">
        <v>39</v>
      </c>
      <c r="K260" s="2">
        <v>46368</v>
      </c>
      <c r="L260" s="2">
        <v>46387</v>
      </c>
      <c r="N260" s="2">
        <v>46357</v>
      </c>
      <c r="O260" s="2">
        <v>46722</v>
      </c>
      <c r="P260">
        <v>12</v>
      </c>
      <c r="Q260" t="s">
        <v>40</v>
      </c>
      <c r="R260" t="s">
        <v>41</v>
      </c>
      <c r="S260" t="s">
        <v>141</v>
      </c>
      <c r="T260" t="s">
        <v>131</v>
      </c>
      <c r="U260" t="s">
        <v>56</v>
      </c>
      <c r="V260" t="s">
        <v>81</v>
      </c>
      <c r="W260" t="s">
        <v>82</v>
      </c>
      <c r="X260" t="s">
        <v>143</v>
      </c>
      <c r="Y260">
        <v>136904.43</v>
      </c>
      <c r="Z260">
        <v>88987.88</v>
      </c>
      <c r="AA260">
        <v>0.65</v>
      </c>
      <c r="AB260" t="s">
        <v>39</v>
      </c>
      <c r="AC260" t="s">
        <v>39</v>
      </c>
      <c r="AD260" t="s">
        <v>48</v>
      </c>
    </row>
    <row r="261" spans="1:30" x14ac:dyDescent="0.35">
      <c r="A261" s="1" t="s">
        <v>30</v>
      </c>
      <c r="B261" t="s">
        <v>521</v>
      </c>
      <c r="C261" t="s">
        <v>454</v>
      </c>
      <c r="D261" t="s">
        <v>1035</v>
      </c>
      <c r="E261" t="s">
        <v>1036</v>
      </c>
      <c r="F261" t="s">
        <v>1037</v>
      </c>
      <c r="G261" t="s">
        <v>1038</v>
      </c>
      <c r="H261" t="s">
        <v>37</v>
      </c>
      <c r="I261" t="s">
        <v>64</v>
      </c>
      <c r="J261" t="s">
        <v>39</v>
      </c>
      <c r="K261" s="2">
        <v>46366</v>
      </c>
      <c r="L261" s="2">
        <v>46387</v>
      </c>
      <c r="N261" s="2">
        <v>46357</v>
      </c>
      <c r="O261" s="2">
        <v>46722</v>
      </c>
      <c r="P261">
        <v>12</v>
      </c>
      <c r="Q261" t="s">
        <v>40</v>
      </c>
      <c r="R261" t="s">
        <v>41</v>
      </c>
      <c r="S261" t="s">
        <v>182</v>
      </c>
      <c r="T261" t="s">
        <v>97</v>
      </c>
      <c r="U261" t="s">
        <v>56</v>
      </c>
      <c r="V261" t="s">
        <v>119</v>
      </c>
      <c r="W261" t="s">
        <v>132</v>
      </c>
      <c r="X261" t="s">
        <v>91</v>
      </c>
      <c r="Y261">
        <v>163842.56</v>
      </c>
      <c r="Z261">
        <v>81921.279999999999</v>
      </c>
      <c r="AA261">
        <v>0.5</v>
      </c>
      <c r="AB261" t="s">
        <v>39</v>
      </c>
      <c r="AC261" t="s">
        <v>39</v>
      </c>
      <c r="AD261" t="s">
        <v>48</v>
      </c>
    </row>
    <row r="262" spans="1:30" x14ac:dyDescent="0.35">
      <c r="A262" s="1" t="s">
        <v>30</v>
      </c>
      <c r="B262" t="s">
        <v>521</v>
      </c>
      <c r="C262" t="s">
        <v>454</v>
      </c>
      <c r="D262" t="s">
        <v>1039</v>
      </c>
      <c r="E262" t="s">
        <v>1040</v>
      </c>
      <c r="F262" t="s">
        <v>1041</v>
      </c>
      <c r="G262" t="s">
        <v>1042</v>
      </c>
      <c r="H262" t="s">
        <v>37</v>
      </c>
      <c r="I262" t="s">
        <v>111</v>
      </c>
      <c r="J262" t="s">
        <v>39</v>
      </c>
      <c r="K262" s="2">
        <v>46360</v>
      </c>
      <c r="L262" s="2">
        <v>46387</v>
      </c>
      <c r="N262" s="2">
        <v>46357</v>
      </c>
      <c r="O262" s="2">
        <v>46722</v>
      </c>
      <c r="P262">
        <v>12</v>
      </c>
      <c r="Q262" t="s">
        <v>40</v>
      </c>
      <c r="R262" t="s">
        <v>88</v>
      </c>
      <c r="S262" t="s">
        <v>164</v>
      </c>
      <c r="T262" t="s">
        <v>55</v>
      </c>
      <c r="U262" t="s">
        <v>44</v>
      </c>
      <c r="V262" t="s">
        <v>98</v>
      </c>
      <c r="W262" t="s">
        <v>46</v>
      </c>
      <c r="X262" t="s">
        <v>83</v>
      </c>
      <c r="Y262">
        <v>179610.53</v>
      </c>
      <c r="Z262">
        <v>89805.27</v>
      </c>
      <c r="AA262">
        <v>0.5</v>
      </c>
      <c r="AB262" t="s">
        <v>39</v>
      </c>
      <c r="AC262" t="s">
        <v>39</v>
      </c>
      <c r="AD262" t="s">
        <v>48</v>
      </c>
    </row>
    <row r="263" spans="1:30" x14ac:dyDescent="0.35">
      <c r="A263" s="1" t="s">
        <v>30</v>
      </c>
      <c r="B263" t="s">
        <v>521</v>
      </c>
      <c r="C263" t="s">
        <v>454</v>
      </c>
      <c r="D263" t="s">
        <v>1043</v>
      </c>
      <c r="E263" t="s">
        <v>1044</v>
      </c>
      <c r="F263" t="s">
        <v>336</v>
      </c>
      <c r="G263" t="s">
        <v>337</v>
      </c>
      <c r="H263" t="s">
        <v>37</v>
      </c>
      <c r="I263" t="s">
        <v>117</v>
      </c>
      <c r="J263" t="s">
        <v>39</v>
      </c>
      <c r="K263" s="2">
        <v>46370</v>
      </c>
      <c r="L263" s="2">
        <v>46387</v>
      </c>
      <c r="N263" s="2">
        <v>46357</v>
      </c>
      <c r="O263" s="2">
        <v>46722</v>
      </c>
      <c r="P263">
        <v>12</v>
      </c>
      <c r="Q263" t="s">
        <v>65</v>
      </c>
      <c r="R263" t="s">
        <v>88</v>
      </c>
      <c r="S263" t="s">
        <v>222</v>
      </c>
      <c r="T263" t="s">
        <v>97</v>
      </c>
      <c r="U263" t="s">
        <v>106</v>
      </c>
      <c r="V263" t="s">
        <v>74</v>
      </c>
      <c r="W263" t="s">
        <v>120</v>
      </c>
      <c r="X263" t="s">
        <v>47</v>
      </c>
      <c r="Y263">
        <v>166173.96</v>
      </c>
      <c r="Z263">
        <v>132939.17000000001</v>
      </c>
      <c r="AA263">
        <v>0.8</v>
      </c>
      <c r="AB263" t="s">
        <v>39</v>
      </c>
      <c r="AC263" t="s">
        <v>39</v>
      </c>
      <c r="AD263" t="s">
        <v>48</v>
      </c>
    </row>
    <row r="264" spans="1:30" x14ac:dyDescent="0.35">
      <c r="A264" s="1" t="s">
        <v>30</v>
      </c>
      <c r="B264" t="s">
        <v>521</v>
      </c>
      <c r="C264" t="s">
        <v>454</v>
      </c>
      <c r="D264" t="s">
        <v>1045</v>
      </c>
      <c r="E264" t="s">
        <v>1046</v>
      </c>
      <c r="F264" t="s">
        <v>1047</v>
      </c>
      <c r="G264" t="s">
        <v>1048</v>
      </c>
      <c r="H264" t="s">
        <v>37</v>
      </c>
      <c r="I264" t="s">
        <v>111</v>
      </c>
      <c r="J264" t="s">
        <v>39</v>
      </c>
      <c r="K264" s="2">
        <v>46357</v>
      </c>
      <c r="L264" s="2">
        <v>46387</v>
      </c>
      <c r="N264" s="2">
        <v>46357</v>
      </c>
      <c r="O264" s="2">
        <v>46722</v>
      </c>
      <c r="P264">
        <v>12</v>
      </c>
      <c r="Q264" t="s">
        <v>40</v>
      </c>
      <c r="R264" t="s">
        <v>41</v>
      </c>
      <c r="S264" t="s">
        <v>151</v>
      </c>
      <c r="T264" t="s">
        <v>131</v>
      </c>
      <c r="U264" t="s">
        <v>56</v>
      </c>
      <c r="V264" t="s">
        <v>81</v>
      </c>
      <c r="W264" t="s">
        <v>142</v>
      </c>
      <c r="X264" t="s">
        <v>158</v>
      </c>
      <c r="Y264">
        <v>99060.26</v>
      </c>
      <c r="Z264">
        <v>64389.17</v>
      </c>
      <c r="AA264">
        <v>0.65</v>
      </c>
      <c r="AB264" t="s">
        <v>39</v>
      </c>
      <c r="AC264" t="s">
        <v>39</v>
      </c>
      <c r="AD264" t="s">
        <v>48</v>
      </c>
    </row>
    <row r="265" spans="1:30" x14ac:dyDescent="0.35">
      <c r="A265" s="1" t="s">
        <v>30</v>
      </c>
      <c r="B265" t="s">
        <v>521</v>
      </c>
      <c r="C265" t="s">
        <v>454</v>
      </c>
      <c r="D265" t="s">
        <v>1049</v>
      </c>
      <c r="E265" t="s">
        <v>1050</v>
      </c>
      <c r="F265" t="s">
        <v>933</v>
      </c>
      <c r="G265" t="s">
        <v>934</v>
      </c>
      <c r="H265" t="s">
        <v>37</v>
      </c>
      <c r="I265" t="s">
        <v>38</v>
      </c>
      <c r="J265" t="s">
        <v>39</v>
      </c>
      <c r="K265" s="2">
        <v>46363</v>
      </c>
      <c r="L265" s="2">
        <v>46387</v>
      </c>
      <c r="N265" s="2">
        <v>46357</v>
      </c>
      <c r="O265" s="2">
        <v>46722</v>
      </c>
      <c r="P265">
        <v>12</v>
      </c>
      <c r="Q265" t="s">
        <v>104</v>
      </c>
      <c r="R265" t="s">
        <v>88</v>
      </c>
      <c r="S265" t="s">
        <v>89</v>
      </c>
      <c r="T265" t="s">
        <v>55</v>
      </c>
      <c r="U265" t="s">
        <v>56</v>
      </c>
      <c r="V265" t="s">
        <v>57</v>
      </c>
      <c r="W265" t="s">
        <v>75</v>
      </c>
      <c r="X265" t="s">
        <v>83</v>
      </c>
      <c r="Y265">
        <v>140808.57999999999</v>
      </c>
      <c r="Z265">
        <v>49283</v>
      </c>
      <c r="AA265">
        <v>0.35</v>
      </c>
      <c r="AB265" t="s">
        <v>39</v>
      </c>
      <c r="AC265" t="s">
        <v>39</v>
      </c>
      <c r="AD265" t="s">
        <v>48</v>
      </c>
    </row>
    <row r="266" spans="1:30" x14ac:dyDescent="0.35">
      <c r="A266" s="1" t="s">
        <v>30</v>
      </c>
      <c r="B266" t="s">
        <v>521</v>
      </c>
      <c r="C266" t="s">
        <v>454</v>
      </c>
      <c r="D266" t="s">
        <v>1051</v>
      </c>
      <c r="E266" t="s">
        <v>1052</v>
      </c>
      <c r="F266" t="s">
        <v>1053</v>
      </c>
      <c r="G266" t="s">
        <v>1054</v>
      </c>
      <c r="H266" t="s">
        <v>37</v>
      </c>
      <c r="I266" t="s">
        <v>117</v>
      </c>
      <c r="J266" t="s">
        <v>39</v>
      </c>
      <c r="K266" s="2">
        <v>46366</v>
      </c>
      <c r="L266" s="2">
        <v>46387</v>
      </c>
      <c r="N266" s="2">
        <v>46357</v>
      </c>
      <c r="O266" s="2">
        <v>47088</v>
      </c>
      <c r="P266">
        <v>24</v>
      </c>
      <c r="Q266" t="s">
        <v>104</v>
      </c>
      <c r="R266" t="s">
        <v>53</v>
      </c>
      <c r="S266" t="s">
        <v>182</v>
      </c>
      <c r="T266" t="s">
        <v>97</v>
      </c>
      <c r="U266" t="s">
        <v>56</v>
      </c>
      <c r="V266" t="s">
        <v>81</v>
      </c>
      <c r="W266" t="s">
        <v>46</v>
      </c>
      <c r="X266" t="s">
        <v>158</v>
      </c>
      <c r="Y266">
        <v>177409.37</v>
      </c>
      <c r="Z266">
        <v>115316.09</v>
      </c>
      <c r="AA266">
        <v>0.65</v>
      </c>
      <c r="AB266" t="s">
        <v>39</v>
      </c>
      <c r="AC266" t="s">
        <v>39</v>
      </c>
      <c r="AD266" t="s">
        <v>48</v>
      </c>
    </row>
    <row r="267" spans="1:30" x14ac:dyDescent="0.35">
      <c r="A267" s="1" t="s">
        <v>30</v>
      </c>
      <c r="B267" t="s">
        <v>521</v>
      </c>
      <c r="C267" t="s">
        <v>454</v>
      </c>
      <c r="D267" t="s">
        <v>1055</v>
      </c>
      <c r="E267" t="s">
        <v>1056</v>
      </c>
      <c r="F267" t="s">
        <v>1057</v>
      </c>
      <c r="G267" t="s">
        <v>1058</v>
      </c>
      <c r="H267" t="s">
        <v>37</v>
      </c>
      <c r="I267" t="s">
        <v>117</v>
      </c>
      <c r="J267" t="s">
        <v>39</v>
      </c>
      <c r="K267" s="2">
        <v>46371</v>
      </c>
      <c r="L267" s="2">
        <v>46387</v>
      </c>
      <c r="N267" s="2">
        <v>46357</v>
      </c>
      <c r="O267" s="2">
        <v>46722</v>
      </c>
      <c r="P267">
        <v>12</v>
      </c>
      <c r="Q267" t="s">
        <v>104</v>
      </c>
      <c r="R267" t="s">
        <v>53</v>
      </c>
      <c r="S267" t="s">
        <v>139</v>
      </c>
      <c r="T267" t="s">
        <v>43</v>
      </c>
      <c r="U267" t="s">
        <v>106</v>
      </c>
      <c r="V267" t="s">
        <v>67</v>
      </c>
      <c r="W267" t="s">
        <v>75</v>
      </c>
      <c r="X267" t="s">
        <v>158</v>
      </c>
      <c r="Y267">
        <v>158364.57</v>
      </c>
      <c r="Z267">
        <v>126691.66</v>
      </c>
      <c r="AA267">
        <v>0.8</v>
      </c>
      <c r="AB267" t="s">
        <v>39</v>
      </c>
      <c r="AC267" t="s">
        <v>39</v>
      </c>
      <c r="AD267" t="s">
        <v>48</v>
      </c>
    </row>
    <row r="268" spans="1:30" x14ac:dyDescent="0.35">
      <c r="A268" s="1" t="s">
        <v>30</v>
      </c>
      <c r="B268" t="s">
        <v>521</v>
      </c>
      <c r="C268" t="s">
        <v>454</v>
      </c>
      <c r="D268" t="s">
        <v>1739</v>
      </c>
      <c r="E268" t="s">
        <v>1740</v>
      </c>
      <c r="F268" t="s">
        <v>1288</v>
      </c>
      <c r="G268" t="s">
        <v>1289</v>
      </c>
      <c r="H268" t="s">
        <v>1271</v>
      </c>
      <c r="I268" t="s">
        <v>111</v>
      </c>
      <c r="J268" t="s">
        <v>39</v>
      </c>
      <c r="K268" s="2">
        <v>46358</v>
      </c>
      <c r="L268" s="2">
        <v>46387</v>
      </c>
      <c r="N268" s="2">
        <v>46357</v>
      </c>
      <c r="O268" s="2">
        <v>46722</v>
      </c>
      <c r="P268">
        <v>12</v>
      </c>
      <c r="Q268" t="s">
        <v>104</v>
      </c>
      <c r="R268" t="s">
        <v>41</v>
      </c>
      <c r="S268" t="s">
        <v>96</v>
      </c>
      <c r="T268" t="s">
        <v>97</v>
      </c>
      <c r="U268" t="s">
        <v>44</v>
      </c>
      <c r="V268" t="s">
        <v>119</v>
      </c>
      <c r="W268" t="s">
        <v>142</v>
      </c>
      <c r="X268" t="s">
        <v>125</v>
      </c>
      <c r="Y268">
        <v>96335.52</v>
      </c>
      <c r="Z268">
        <v>77068.41</v>
      </c>
      <c r="AA268">
        <v>0.8</v>
      </c>
      <c r="AB268" t="s">
        <v>39</v>
      </c>
      <c r="AC268" t="s">
        <v>39</v>
      </c>
      <c r="AD268" t="s">
        <v>48</v>
      </c>
    </row>
    <row r="269" spans="1:30" x14ac:dyDescent="0.35">
      <c r="A269" s="1" t="s">
        <v>30</v>
      </c>
      <c r="B269" t="s">
        <v>521</v>
      </c>
      <c r="C269" t="s">
        <v>454</v>
      </c>
      <c r="D269" t="s">
        <v>1741</v>
      </c>
      <c r="E269" t="s">
        <v>1742</v>
      </c>
      <c r="F269" t="s">
        <v>387</v>
      </c>
      <c r="G269" t="s">
        <v>388</v>
      </c>
      <c r="H269" t="s">
        <v>1271</v>
      </c>
      <c r="I269" t="s">
        <v>64</v>
      </c>
      <c r="J269" t="s">
        <v>39</v>
      </c>
      <c r="K269" s="2">
        <v>46369</v>
      </c>
      <c r="L269" s="2">
        <v>46387</v>
      </c>
      <c r="N269" s="2">
        <v>46357</v>
      </c>
      <c r="O269" s="2">
        <v>46722</v>
      </c>
      <c r="P269">
        <v>12</v>
      </c>
      <c r="Q269" t="s">
        <v>65</v>
      </c>
      <c r="R269" t="s">
        <v>88</v>
      </c>
      <c r="S269" t="s">
        <v>137</v>
      </c>
      <c r="T269" t="s">
        <v>97</v>
      </c>
      <c r="U269" t="s">
        <v>44</v>
      </c>
      <c r="V269" t="s">
        <v>119</v>
      </c>
      <c r="W269" t="s">
        <v>136</v>
      </c>
      <c r="X269" t="s">
        <v>125</v>
      </c>
      <c r="Y269">
        <v>141608.38</v>
      </c>
      <c r="Z269">
        <v>113286.7</v>
      </c>
      <c r="AA269">
        <v>0.8</v>
      </c>
      <c r="AB269" t="s">
        <v>39</v>
      </c>
      <c r="AC269" t="s">
        <v>39</v>
      </c>
      <c r="AD269" t="s">
        <v>48</v>
      </c>
    </row>
    <row r="270" spans="1:30" x14ac:dyDescent="0.35">
      <c r="A270" s="1" t="s">
        <v>30</v>
      </c>
      <c r="B270" t="s">
        <v>521</v>
      </c>
      <c r="C270" t="s">
        <v>454</v>
      </c>
      <c r="D270" t="s">
        <v>1743</v>
      </c>
      <c r="E270" t="s">
        <v>1744</v>
      </c>
      <c r="F270" t="s">
        <v>1745</v>
      </c>
      <c r="G270" t="s">
        <v>1746</v>
      </c>
      <c r="H270" t="s">
        <v>1271</v>
      </c>
      <c r="I270" t="s">
        <v>38</v>
      </c>
      <c r="J270" t="s">
        <v>39</v>
      </c>
      <c r="K270" s="2">
        <v>46368</v>
      </c>
      <c r="L270" s="2">
        <v>46387</v>
      </c>
      <c r="N270" s="2">
        <v>46357</v>
      </c>
      <c r="O270" s="2">
        <v>46722</v>
      </c>
      <c r="P270">
        <v>12</v>
      </c>
      <c r="Q270" t="s">
        <v>40</v>
      </c>
      <c r="R270" t="s">
        <v>88</v>
      </c>
      <c r="S270" t="s">
        <v>162</v>
      </c>
      <c r="T270" t="s">
        <v>43</v>
      </c>
      <c r="U270" t="s">
        <v>44</v>
      </c>
      <c r="V270" t="s">
        <v>67</v>
      </c>
      <c r="W270" t="s">
        <v>75</v>
      </c>
      <c r="X270" t="s">
        <v>83</v>
      </c>
      <c r="Y270">
        <v>90100.27</v>
      </c>
      <c r="Z270">
        <v>31535.1</v>
      </c>
      <c r="AA270">
        <v>0.35</v>
      </c>
      <c r="AB270" t="s">
        <v>39</v>
      </c>
      <c r="AC270" t="s">
        <v>39</v>
      </c>
      <c r="AD270" t="s">
        <v>48</v>
      </c>
    </row>
    <row r="271" spans="1:30" x14ac:dyDescent="0.35">
      <c r="A271" s="1" t="s">
        <v>30</v>
      </c>
      <c r="B271" t="s">
        <v>521</v>
      </c>
      <c r="C271" t="s">
        <v>454</v>
      </c>
      <c r="D271" t="s">
        <v>1747</v>
      </c>
      <c r="E271" t="s">
        <v>1748</v>
      </c>
      <c r="F271" t="s">
        <v>785</v>
      </c>
      <c r="G271" t="s">
        <v>786</v>
      </c>
      <c r="H271" t="s">
        <v>1271</v>
      </c>
      <c r="I271" t="s">
        <v>64</v>
      </c>
      <c r="J271" t="s">
        <v>39</v>
      </c>
      <c r="K271" s="2">
        <v>46367</v>
      </c>
      <c r="L271" s="2">
        <v>46387</v>
      </c>
      <c r="N271" s="2">
        <v>46357</v>
      </c>
      <c r="O271" s="2">
        <v>47088</v>
      </c>
      <c r="P271">
        <v>24</v>
      </c>
      <c r="Q271" t="s">
        <v>40</v>
      </c>
      <c r="R271" t="s">
        <v>53</v>
      </c>
      <c r="S271" t="s">
        <v>149</v>
      </c>
      <c r="T271" t="s">
        <v>131</v>
      </c>
      <c r="U271" t="s">
        <v>106</v>
      </c>
      <c r="V271" t="s">
        <v>74</v>
      </c>
      <c r="W271" t="s">
        <v>132</v>
      </c>
      <c r="X271" t="s">
        <v>143</v>
      </c>
      <c r="Y271">
        <v>141805.39000000001</v>
      </c>
      <c r="Z271">
        <v>113444.31</v>
      </c>
      <c r="AA271">
        <v>0.8</v>
      </c>
      <c r="AB271" t="s">
        <v>39</v>
      </c>
      <c r="AC271" t="s">
        <v>39</v>
      </c>
      <c r="AD271" t="s">
        <v>48</v>
      </c>
    </row>
    <row r="272" spans="1:30" x14ac:dyDescent="0.35">
      <c r="A272" s="1" t="s">
        <v>30</v>
      </c>
      <c r="B272" t="s">
        <v>521</v>
      </c>
      <c r="C272" t="s">
        <v>454</v>
      </c>
      <c r="D272" t="s">
        <v>1749</v>
      </c>
      <c r="E272" t="s">
        <v>1750</v>
      </c>
      <c r="F272" t="s">
        <v>218</v>
      </c>
      <c r="G272" t="s">
        <v>219</v>
      </c>
      <c r="H272" t="s">
        <v>1271</v>
      </c>
      <c r="I272" t="s">
        <v>103</v>
      </c>
      <c r="J272" t="s">
        <v>39</v>
      </c>
      <c r="K272" s="2">
        <v>46358</v>
      </c>
      <c r="L272" s="2">
        <v>46387</v>
      </c>
      <c r="N272" s="2">
        <v>46357</v>
      </c>
      <c r="O272" s="2">
        <v>46722</v>
      </c>
      <c r="P272">
        <v>12</v>
      </c>
      <c r="Q272" t="s">
        <v>65</v>
      </c>
      <c r="R272" t="s">
        <v>53</v>
      </c>
      <c r="S272" t="s">
        <v>73</v>
      </c>
      <c r="T272" t="s">
        <v>43</v>
      </c>
      <c r="U272" t="s">
        <v>56</v>
      </c>
      <c r="V272" t="s">
        <v>74</v>
      </c>
      <c r="W272" t="s">
        <v>136</v>
      </c>
      <c r="X272" t="s">
        <v>158</v>
      </c>
      <c r="Y272">
        <v>128154.09</v>
      </c>
      <c r="Z272">
        <v>102523.27</v>
      </c>
      <c r="AA272">
        <v>0.8</v>
      </c>
      <c r="AB272" t="s">
        <v>39</v>
      </c>
      <c r="AC272" t="s">
        <v>39</v>
      </c>
      <c r="AD272" t="s">
        <v>48</v>
      </c>
    </row>
    <row r="273" spans="1:30" x14ac:dyDescent="0.35">
      <c r="A273" s="1" t="s">
        <v>30</v>
      </c>
      <c r="B273" t="s">
        <v>521</v>
      </c>
      <c r="C273" t="s">
        <v>454</v>
      </c>
      <c r="D273" t="s">
        <v>1751</v>
      </c>
      <c r="E273" t="s">
        <v>1752</v>
      </c>
      <c r="F273" t="s">
        <v>1753</v>
      </c>
      <c r="G273" t="s">
        <v>1754</v>
      </c>
      <c r="H273" t="s">
        <v>1271</v>
      </c>
      <c r="I273" t="s">
        <v>38</v>
      </c>
      <c r="J273" t="s">
        <v>39</v>
      </c>
      <c r="K273" s="2">
        <v>46368</v>
      </c>
      <c r="L273" s="2">
        <v>46387</v>
      </c>
      <c r="N273" s="2">
        <v>46357</v>
      </c>
      <c r="O273" s="2">
        <v>46722</v>
      </c>
      <c r="P273">
        <v>12</v>
      </c>
      <c r="Q273" t="s">
        <v>104</v>
      </c>
      <c r="R273" t="s">
        <v>41</v>
      </c>
      <c r="S273" t="s">
        <v>162</v>
      </c>
      <c r="T273" t="s">
        <v>43</v>
      </c>
      <c r="U273" t="s">
        <v>44</v>
      </c>
      <c r="V273" t="s">
        <v>57</v>
      </c>
      <c r="W273" t="s">
        <v>58</v>
      </c>
      <c r="X273" t="s">
        <v>158</v>
      </c>
      <c r="Y273">
        <v>125677.42</v>
      </c>
      <c r="Z273">
        <v>43987.1</v>
      </c>
      <c r="AA273">
        <v>0.35</v>
      </c>
      <c r="AB273" t="s">
        <v>39</v>
      </c>
      <c r="AC273" t="s">
        <v>39</v>
      </c>
      <c r="AD273" t="s">
        <v>48</v>
      </c>
    </row>
    <row r="274" spans="1:30" x14ac:dyDescent="0.35">
      <c r="A274" s="1" t="s">
        <v>30</v>
      </c>
      <c r="B274" t="s">
        <v>521</v>
      </c>
      <c r="C274" t="s">
        <v>454</v>
      </c>
      <c r="D274" t="s">
        <v>1755</v>
      </c>
      <c r="E274" t="s">
        <v>1756</v>
      </c>
      <c r="F274" t="s">
        <v>1757</v>
      </c>
      <c r="G274" t="s">
        <v>1758</v>
      </c>
      <c r="H274" t="s">
        <v>1271</v>
      </c>
      <c r="I274" t="s">
        <v>103</v>
      </c>
      <c r="J274" t="s">
        <v>39</v>
      </c>
      <c r="K274" s="2">
        <v>46370</v>
      </c>
      <c r="L274" s="2">
        <v>46387</v>
      </c>
      <c r="N274" s="2">
        <v>46357</v>
      </c>
      <c r="O274" s="2">
        <v>47453</v>
      </c>
      <c r="P274">
        <v>36</v>
      </c>
      <c r="Q274" t="s">
        <v>104</v>
      </c>
      <c r="R274" t="s">
        <v>88</v>
      </c>
      <c r="S274" t="s">
        <v>130</v>
      </c>
      <c r="T274" t="s">
        <v>131</v>
      </c>
      <c r="U274" t="s">
        <v>44</v>
      </c>
      <c r="V274" t="s">
        <v>45</v>
      </c>
      <c r="W274" t="s">
        <v>136</v>
      </c>
      <c r="X274" t="s">
        <v>68</v>
      </c>
      <c r="Y274">
        <v>154994.81</v>
      </c>
      <c r="Z274">
        <v>54248.18</v>
      </c>
      <c r="AA274">
        <v>0.35</v>
      </c>
      <c r="AB274" t="s">
        <v>39</v>
      </c>
      <c r="AC274" t="s">
        <v>39</v>
      </c>
      <c r="AD274" t="s">
        <v>48</v>
      </c>
    </row>
    <row r="275" spans="1:30" x14ac:dyDescent="0.35">
      <c r="A275" s="1" t="s">
        <v>30</v>
      </c>
      <c r="B275" t="s">
        <v>521</v>
      </c>
      <c r="C275" t="s">
        <v>454</v>
      </c>
      <c r="D275" t="s">
        <v>1759</v>
      </c>
      <c r="E275" t="s">
        <v>1760</v>
      </c>
      <c r="F275" t="s">
        <v>1278</v>
      </c>
      <c r="G275" t="s">
        <v>1279</v>
      </c>
      <c r="H275" t="s">
        <v>1271</v>
      </c>
      <c r="I275" t="s">
        <v>117</v>
      </c>
      <c r="J275" t="s">
        <v>39</v>
      </c>
      <c r="K275" s="2">
        <v>46361</v>
      </c>
      <c r="L275" s="2">
        <v>46387</v>
      </c>
      <c r="N275" s="2">
        <v>46357</v>
      </c>
      <c r="O275" s="2">
        <v>47088</v>
      </c>
      <c r="P275">
        <v>24</v>
      </c>
      <c r="Q275" t="s">
        <v>104</v>
      </c>
      <c r="R275" t="s">
        <v>41</v>
      </c>
      <c r="S275" t="s">
        <v>135</v>
      </c>
      <c r="T275" t="s">
        <v>131</v>
      </c>
      <c r="U275" t="s">
        <v>44</v>
      </c>
      <c r="V275" t="s">
        <v>57</v>
      </c>
      <c r="W275" t="s">
        <v>132</v>
      </c>
      <c r="X275" t="s">
        <v>125</v>
      </c>
      <c r="Y275">
        <v>125046.16</v>
      </c>
      <c r="Z275">
        <v>81280.009999999995</v>
      </c>
      <c r="AA275">
        <v>0.65</v>
      </c>
      <c r="AB275" t="s">
        <v>39</v>
      </c>
      <c r="AC275" t="s">
        <v>39</v>
      </c>
      <c r="AD275" t="s">
        <v>48</v>
      </c>
    </row>
    <row r="276" spans="1:30" x14ac:dyDescent="0.35">
      <c r="A276" s="1" t="s">
        <v>30</v>
      </c>
      <c r="B276" t="s">
        <v>521</v>
      </c>
      <c r="C276" t="s">
        <v>454</v>
      </c>
      <c r="D276" t="s">
        <v>1761</v>
      </c>
      <c r="E276" t="s">
        <v>1762</v>
      </c>
      <c r="F276" t="s">
        <v>1763</v>
      </c>
      <c r="G276" t="s">
        <v>1764</v>
      </c>
      <c r="H276" t="s">
        <v>1290</v>
      </c>
      <c r="I276" t="s">
        <v>111</v>
      </c>
      <c r="J276" t="s">
        <v>1290</v>
      </c>
      <c r="K276" s="2">
        <v>46367</v>
      </c>
      <c r="L276" s="2">
        <v>46387</v>
      </c>
      <c r="N276" s="2">
        <v>46357</v>
      </c>
      <c r="O276" s="2">
        <v>47088</v>
      </c>
      <c r="P276">
        <v>24</v>
      </c>
      <c r="Q276" t="s">
        <v>65</v>
      </c>
      <c r="R276" t="s">
        <v>41</v>
      </c>
      <c r="S276" t="s">
        <v>130</v>
      </c>
      <c r="T276" t="s">
        <v>131</v>
      </c>
      <c r="U276" t="s">
        <v>56</v>
      </c>
      <c r="V276" t="s">
        <v>119</v>
      </c>
      <c r="W276" t="s">
        <v>82</v>
      </c>
      <c r="X276" t="s">
        <v>47</v>
      </c>
      <c r="Y276">
        <v>199678.93</v>
      </c>
      <c r="Z276">
        <v>99839.47</v>
      </c>
      <c r="AA276">
        <v>0.5</v>
      </c>
      <c r="AB276" t="s">
        <v>1290</v>
      </c>
      <c r="AC276" t="s">
        <v>1290</v>
      </c>
      <c r="AD276" t="s">
        <v>48</v>
      </c>
    </row>
    <row r="277" spans="1:30" x14ac:dyDescent="0.35">
      <c r="A277" s="1" t="s">
        <v>30</v>
      </c>
      <c r="B277" t="s">
        <v>521</v>
      </c>
      <c r="C277" t="s">
        <v>454</v>
      </c>
      <c r="D277" t="s">
        <v>1765</v>
      </c>
      <c r="E277" t="s">
        <v>1766</v>
      </c>
      <c r="F277" t="s">
        <v>1767</v>
      </c>
      <c r="G277" t="s">
        <v>1768</v>
      </c>
      <c r="H277" t="s">
        <v>1290</v>
      </c>
      <c r="I277" t="s">
        <v>111</v>
      </c>
      <c r="J277" t="s">
        <v>1290</v>
      </c>
      <c r="K277" s="2">
        <v>46363</v>
      </c>
      <c r="L277" s="2">
        <v>46387</v>
      </c>
      <c r="N277" s="2">
        <v>46357</v>
      </c>
      <c r="O277" s="2">
        <v>46722</v>
      </c>
      <c r="P277">
        <v>12</v>
      </c>
      <c r="Q277" t="s">
        <v>65</v>
      </c>
      <c r="R277" t="s">
        <v>88</v>
      </c>
      <c r="S277" t="s">
        <v>164</v>
      </c>
      <c r="T277" t="s">
        <v>55</v>
      </c>
      <c r="U277" t="s">
        <v>56</v>
      </c>
      <c r="V277" t="s">
        <v>144</v>
      </c>
      <c r="W277" t="s">
        <v>161</v>
      </c>
      <c r="X277" t="s">
        <v>47</v>
      </c>
      <c r="Y277">
        <v>176345.77</v>
      </c>
      <c r="Z277">
        <v>141076.62</v>
      </c>
      <c r="AA277">
        <v>0.8</v>
      </c>
      <c r="AB277" t="s">
        <v>1290</v>
      </c>
      <c r="AC277" t="s">
        <v>1290</v>
      </c>
      <c r="AD277" t="s">
        <v>48</v>
      </c>
    </row>
    <row r="278" spans="1:30" x14ac:dyDescent="0.35">
      <c r="A278" s="1" t="s">
        <v>30</v>
      </c>
      <c r="B278" t="s">
        <v>521</v>
      </c>
      <c r="C278" t="s">
        <v>454</v>
      </c>
      <c r="D278" t="s">
        <v>1769</v>
      </c>
      <c r="E278" t="s">
        <v>1770</v>
      </c>
      <c r="F278" t="s">
        <v>1771</v>
      </c>
      <c r="G278" t="s">
        <v>1772</v>
      </c>
      <c r="H278" t="s">
        <v>1290</v>
      </c>
      <c r="I278" t="s">
        <v>111</v>
      </c>
      <c r="J278" t="s">
        <v>1290</v>
      </c>
      <c r="K278" s="2">
        <v>46362</v>
      </c>
      <c r="L278" s="2">
        <v>46387</v>
      </c>
      <c r="N278" s="2">
        <v>46357</v>
      </c>
      <c r="O278" s="2">
        <v>47088</v>
      </c>
      <c r="P278">
        <v>24</v>
      </c>
      <c r="Q278" t="s">
        <v>65</v>
      </c>
      <c r="R278" t="s">
        <v>88</v>
      </c>
      <c r="S278" t="s">
        <v>139</v>
      </c>
      <c r="T278" t="s">
        <v>43</v>
      </c>
      <c r="U278" t="s">
        <v>106</v>
      </c>
      <c r="V278" t="s">
        <v>119</v>
      </c>
      <c r="W278" t="s">
        <v>120</v>
      </c>
      <c r="X278" t="s">
        <v>59</v>
      </c>
      <c r="Y278">
        <v>108619.12</v>
      </c>
      <c r="Z278">
        <v>54309.56</v>
      </c>
      <c r="AA278">
        <v>0.5</v>
      </c>
      <c r="AB278" t="s">
        <v>1290</v>
      </c>
      <c r="AC278" t="s">
        <v>1290</v>
      </c>
      <c r="AD278" t="s">
        <v>48</v>
      </c>
    </row>
    <row r="279" spans="1:30" x14ac:dyDescent="0.35">
      <c r="A279" s="1" t="s">
        <v>30</v>
      </c>
      <c r="B279" t="s">
        <v>521</v>
      </c>
      <c r="C279" t="s">
        <v>454</v>
      </c>
      <c r="D279" t="s">
        <v>1773</v>
      </c>
      <c r="E279" t="s">
        <v>1774</v>
      </c>
      <c r="F279" t="s">
        <v>1775</v>
      </c>
      <c r="G279" t="s">
        <v>1776</v>
      </c>
      <c r="H279" t="s">
        <v>1295</v>
      </c>
      <c r="I279" t="s">
        <v>111</v>
      </c>
      <c r="J279" t="s">
        <v>1295</v>
      </c>
      <c r="K279" s="2">
        <v>46359</v>
      </c>
      <c r="L279" s="2">
        <v>46387</v>
      </c>
      <c r="N279" s="2">
        <v>46357</v>
      </c>
      <c r="O279" s="2">
        <v>46722</v>
      </c>
      <c r="P279">
        <v>12</v>
      </c>
      <c r="Q279" t="s">
        <v>104</v>
      </c>
      <c r="R279" t="s">
        <v>53</v>
      </c>
      <c r="S279" t="s">
        <v>42</v>
      </c>
      <c r="T279" t="s">
        <v>43</v>
      </c>
      <c r="U279" t="s">
        <v>106</v>
      </c>
      <c r="V279" t="s">
        <v>45</v>
      </c>
      <c r="W279" t="s">
        <v>142</v>
      </c>
      <c r="X279" t="s">
        <v>91</v>
      </c>
      <c r="Y279">
        <v>223741.94</v>
      </c>
      <c r="Z279">
        <v>145432.26</v>
      </c>
      <c r="AA279">
        <v>0.65</v>
      </c>
      <c r="AB279" t="s">
        <v>1295</v>
      </c>
      <c r="AC279" t="s">
        <v>1295</v>
      </c>
      <c r="AD279" t="s">
        <v>48</v>
      </c>
    </row>
    <row r="280" spans="1:30" x14ac:dyDescent="0.35">
      <c r="A280" s="1" t="s">
        <v>30</v>
      </c>
      <c r="B280" t="s">
        <v>521</v>
      </c>
      <c r="C280" t="s">
        <v>454</v>
      </c>
      <c r="D280" t="s">
        <v>1777</v>
      </c>
      <c r="E280" t="s">
        <v>1778</v>
      </c>
      <c r="F280" t="s">
        <v>1779</v>
      </c>
      <c r="G280" t="s">
        <v>1780</v>
      </c>
      <c r="H280" t="s">
        <v>1295</v>
      </c>
      <c r="I280" t="s">
        <v>103</v>
      </c>
      <c r="J280" t="s">
        <v>1295</v>
      </c>
      <c r="K280" s="2">
        <v>46370</v>
      </c>
      <c r="L280" s="2">
        <v>46387</v>
      </c>
      <c r="N280" s="2">
        <v>46357</v>
      </c>
      <c r="O280" s="2">
        <v>46722</v>
      </c>
      <c r="P280">
        <v>12</v>
      </c>
      <c r="Q280" t="s">
        <v>104</v>
      </c>
      <c r="R280" t="s">
        <v>41</v>
      </c>
      <c r="S280" t="s">
        <v>164</v>
      </c>
      <c r="T280" t="s">
        <v>55</v>
      </c>
      <c r="U280" t="s">
        <v>44</v>
      </c>
      <c r="V280" t="s">
        <v>119</v>
      </c>
      <c r="W280" t="s">
        <v>150</v>
      </c>
      <c r="X280" t="s">
        <v>91</v>
      </c>
      <c r="Y280">
        <v>193950.05</v>
      </c>
      <c r="Z280">
        <v>96975.02</v>
      </c>
      <c r="AA280">
        <v>0.5</v>
      </c>
      <c r="AB280" t="s">
        <v>1295</v>
      </c>
      <c r="AC280" t="s">
        <v>1295</v>
      </c>
      <c r="AD280" t="s">
        <v>48</v>
      </c>
    </row>
    <row r="281" spans="1:30" x14ac:dyDescent="0.35">
      <c r="A281" s="1" t="s">
        <v>30</v>
      </c>
      <c r="B281" t="s">
        <v>521</v>
      </c>
      <c r="C281" t="s">
        <v>454</v>
      </c>
      <c r="D281" t="s">
        <v>1781</v>
      </c>
      <c r="E281" t="s">
        <v>1782</v>
      </c>
      <c r="F281" t="s">
        <v>681</v>
      </c>
      <c r="G281" t="s">
        <v>682</v>
      </c>
      <c r="H281" t="s">
        <v>1295</v>
      </c>
      <c r="I281" t="s">
        <v>103</v>
      </c>
      <c r="J281" t="s">
        <v>1295</v>
      </c>
      <c r="K281" s="2">
        <v>46361</v>
      </c>
      <c r="L281" s="2">
        <v>46387</v>
      </c>
      <c r="N281" s="2">
        <v>46357</v>
      </c>
      <c r="O281" s="2">
        <v>47453</v>
      </c>
      <c r="P281">
        <v>36</v>
      </c>
      <c r="Q281" t="s">
        <v>104</v>
      </c>
      <c r="R281" t="s">
        <v>53</v>
      </c>
      <c r="S281" t="s">
        <v>80</v>
      </c>
      <c r="T281" t="s">
        <v>43</v>
      </c>
      <c r="U281" t="s">
        <v>56</v>
      </c>
      <c r="V281" t="s">
        <v>81</v>
      </c>
      <c r="W281" t="s">
        <v>46</v>
      </c>
      <c r="X281" t="s">
        <v>91</v>
      </c>
      <c r="Y281">
        <v>202336.16</v>
      </c>
      <c r="Z281">
        <v>161868.93</v>
      </c>
      <c r="AA281">
        <v>0.8</v>
      </c>
      <c r="AB281" t="s">
        <v>1295</v>
      </c>
      <c r="AC281" t="s">
        <v>1295</v>
      </c>
      <c r="AD281" t="s">
        <v>48</v>
      </c>
    </row>
    <row r="282" spans="1:30" x14ac:dyDescent="0.35">
      <c r="A282" s="1" t="s">
        <v>30</v>
      </c>
      <c r="B282" t="s">
        <v>521</v>
      </c>
      <c r="C282" t="s">
        <v>454</v>
      </c>
      <c r="D282" t="s">
        <v>1783</v>
      </c>
      <c r="E282" t="s">
        <v>1784</v>
      </c>
      <c r="F282" t="s">
        <v>1785</v>
      </c>
      <c r="G282" t="s">
        <v>1786</v>
      </c>
      <c r="H282" t="s">
        <v>1295</v>
      </c>
      <c r="I282" t="s">
        <v>117</v>
      </c>
      <c r="J282" t="s">
        <v>1295</v>
      </c>
      <c r="K282" s="2">
        <v>46369</v>
      </c>
      <c r="L282" s="2">
        <v>46387</v>
      </c>
      <c r="N282" s="2">
        <v>46357</v>
      </c>
      <c r="O282" s="2">
        <v>46722</v>
      </c>
      <c r="P282">
        <v>12</v>
      </c>
      <c r="Q282" t="s">
        <v>65</v>
      </c>
      <c r="R282" t="s">
        <v>41</v>
      </c>
      <c r="S282" t="s">
        <v>135</v>
      </c>
      <c r="T282" t="s">
        <v>131</v>
      </c>
      <c r="U282" t="s">
        <v>106</v>
      </c>
      <c r="V282" t="s">
        <v>81</v>
      </c>
      <c r="W282" t="s">
        <v>161</v>
      </c>
      <c r="X282" t="s">
        <v>59</v>
      </c>
      <c r="Y282">
        <v>206159.57</v>
      </c>
      <c r="Z282">
        <v>164927.66</v>
      </c>
      <c r="AA282">
        <v>0.8</v>
      </c>
      <c r="AB282" t="s">
        <v>1295</v>
      </c>
      <c r="AC282" t="s">
        <v>1295</v>
      </c>
      <c r="AD282" t="s">
        <v>48</v>
      </c>
    </row>
    <row r="283" spans="1:30" x14ac:dyDescent="0.35">
      <c r="A283" s="1" t="s">
        <v>30</v>
      </c>
      <c r="B283" t="s">
        <v>521</v>
      </c>
      <c r="C283" t="s">
        <v>454</v>
      </c>
      <c r="D283" t="s">
        <v>1787</v>
      </c>
      <c r="E283" t="s">
        <v>1788</v>
      </c>
      <c r="F283" t="s">
        <v>213</v>
      </c>
      <c r="G283" t="s">
        <v>214</v>
      </c>
      <c r="H283" t="s">
        <v>1302</v>
      </c>
      <c r="I283" t="s">
        <v>103</v>
      </c>
      <c r="J283" t="s">
        <v>39</v>
      </c>
      <c r="K283" s="2">
        <v>46358</v>
      </c>
      <c r="L283" s="2">
        <v>46387</v>
      </c>
      <c r="N283" s="2">
        <v>46357</v>
      </c>
      <c r="O283" s="2">
        <v>46722</v>
      </c>
      <c r="P283">
        <v>12</v>
      </c>
      <c r="Q283" t="s">
        <v>104</v>
      </c>
      <c r="R283" t="s">
        <v>41</v>
      </c>
      <c r="S283" t="s">
        <v>105</v>
      </c>
      <c r="T283" t="s">
        <v>55</v>
      </c>
      <c r="U283" t="s">
        <v>56</v>
      </c>
      <c r="V283" t="s">
        <v>138</v>
      </c>
      <c r="W283" t="s">
        <v>120</v>
      </c>
      <c r="X283" t="s">
        <v>59</v>
      </c>
      <c r="Y283">
        <v>99569.600000000006</v>
      </c>
      <c r="Z283">
        <v>64720.24</v>
      </c>
      <c r="AA283">
        <v>0.65</v>
      </c>
      <c r="AB283" t="s">
        <v>39</v>
      </c>
      <c r="AC283" t="s">
        <v>39</v>
      </c>
      <c r="AD283" t="s">
        <v>48</v>
      </c>
    </row>
    <row r="284" spans="1:30" x14ac:dyDescent="0.35">
      <c r="A284" s="1" t="s">
        <v>30</v>
      </c>
      <c r="B284" t="s">
        <v>521</v>
      </c>
      <c r="C284" t="s">
        <v>454</v>
      </c>
      <c r="D284" t="s">
        <v>1789</v>
      </c>
      <c r="E284" t="s">
        <v>1790</v>
      </c>
      <c r="F284" t="s">
        <v>1791</v>
      </c>
      <c r="G284" t="s">
        <v>1792</v>
      </c>
      <c r="H284" t="s">
        <v>1302</v>
      </c>
      <c r="I284" t="s">
        <v>103</v>
      </c>
      <c r="J284" t="s">
        <v>39</v>
      </c>
      <c r="K284" s="2">
        <v>46368</v>
      </c>
      <c r="L284" s="2">
        <v>46387</v>
      </c>
      <c r="N284" s="2">
        <v>46357</v>
      </c>
      <c r="O284" s="2">
        <v>46722</v>
      </c>
      <c r="P284">
        <v>12</v>
      </c>
      <c r="Q284" t="s">
        <v>104</v>
      </c>
      <c r="R284" t="s">
        <v>41</v>
      </c>
      <c r="S284" t="s">
        <v>140</v>
      </c>
      <c r="T284" t="s">
        <v>97</v>
      </c>
      <c r="U284" t="s">
        <v>44</v>
      </c>
      <c r="V284" t="s">
        <v>57</v>
      </c>
      <c r="W284" t="s">
        <v>150</v>
      </c>
      <c r="X284" t="s">
        <v>83</v>
      </c>
      <c r="Y284">
        <v>105583.14</v>
      </c>
      <c r="Z284">
        <v>68629.039999999994</v>
      </c>
      <c r="AA284">
        <v>0.65</v>
      </c>
      <c r="AB284" t="s">
        <v>39</v>
      </c>
      <c r="AC284" t="s">
        <v>39</v>
      </c>
      <c r="AD284" t="s">
        <v>48</v>
      </c>
    </row>
    <row r="285" spans="1:30" x14ac:dyDescent="0.35">
      <c r="A285" s="1" t="s">
        <v>30</v>
      </c>
      <c r="B285" t="s">
        <v>521</v>
      </c>
      <c r="C285" t="s">
        <v>454</v>
      </c>
      <c r="D285" t="s">
        <v>1793</v>
      </c>
      <c r="E285" t="s">
        <v>1794</v>
      </c>
      <c r="F285" t="s">
        <v>276</v>
      </c>
      <c r="G285" t="s">
        <v>277</v>
      </c>
      <c r="H285" t="s">
        <v>1302</v>
      </c>
      <c r="I285" t="s">
        <v>64</v>
      </c>
      <c r="J285" t="s">
        <v>39</v>
      </c>
      <c r="K285" s="2">
        <v>46363</v>
      </c>
      <c r="L285" s="2">
        <v>46387</v>
      </c>
      <c r="N285" s="2">
        <v>46357</v>
      </c>
      <c r="O285" s="2">
        <v>47453</v>
      </c>
      <c r="P285">
        <v>36</v>
      </c>
      <c r="Q285" t="s">
        <v>40</v>
      </c>
      <c r="R285" t="s">
        <v>53</v>
      </c>
      <c r="S285" t="s">
        <v>151</v>
      </c>
      <c r="T285" t="s">
        <v>131</v>
      </c>
      <c r="U285" t="s">
        <v>44</v>
      </c>
      <c r="V285" t="s">
        <v>81</v>
      </c>
      <c r="W285" t="s">
        <v>142</v>
      </c>
      <c r="X285" t="s">
        <v>143</v>
      </c>
      <c r="Y285">
        <v>111922.65</v>
      </c>
      <c r="Z285">
        <v>39172.93</v>
      </c>
      <c r="AA285">
        <v>0.35</v>
      </c>
      <c r="AB285" t="s">
        <v>39</v>
      </c>
      <c r="AC285" t="s">
        <v>39</v>
      </c>
      <c r="AD285" t="s">
        <v>48</v>
      </c>
    </row>
    <row r="286" spans="1:30" x14ac:dyDescent="0.35">
      <c r="A286" s="1" t="s">
        <v>30</v>
      </c>
      <c r="B286" t="s">
        <v>521</v>
      </c>
      <c r="C286" t="s">
        <v>454</v>
      </c>
      <c r="D286" t="s">
        <v>1795</v>
      </c>
      <c r="E286" t="s">
        <v>1796</v>
      </c>
      <c r="F286" t="s">
        <v>1797</v>
      </c>
      <c r="G286" t="s">
        <v>1798</v>
      </c>
      <c r="H286" t="s">
        <v>1302</v>
      </c>
      <c r="I286" t="s">
        <v>103</v>
      </c>
      <c r="J286" t="s">
        <v>39</v>
      </c>
      <c r="K286" s="2">
        <v>46357</v>
      </c>
      <c r="L286" s="2">
        <v>46387</v>
      </c>
      <c r="N286" s="2">
        <v>46357</v>
      </c>
      <c r="O286" s="2">
        <v>47453</v>
      </c>
      <c r="P286">
        <v>36</v>
      </c>
      <c r="Q286" t="s">
        <v>65</v>
      </c>
      <c r="R286" t="s">
        <v>88</v>
      </c>
      <c r="S286" t="s">
        <v>222</v>
      </c>
      <c r="T286" t="s">
        <v>97</v>
      </c>
      <c r="U286" t="s">
        <v>56</v>
      </c>
      <c r="V286" t="s">
        <v>74</v>
      </c>
      <c r="W286" t="s">
        <v>150</v>
      </c>
      <c r="X286" t="s">
        <v>91</v>
      </c>
      <c r="Y286">
        <v>91582.61</v>
      </c>
      <c r="Z286">
        <v>73266.09</v>
      </c>
      <c r="AA286">
        <v>0.8</v>
      </c>
      <c r="AB286" t="s">
        <v>39</v>
      </c>
      <c r="AC286" t="s">
        <v>39</v>
      </c>
      <c r="AD286" t="s">
        <v>48</v>
      </c>
    </row>
    <row r="287" spans="1:30" x14ac:dyDescent="0.35">
      <c r="A287" s="1"/>
      <c r="K287" s="2"/>
      <c r="L287" s="2"/>
      <c r="N287" s="2"/>
      <c r="O287" s="2"/>
    </row>
    <row r="288" spans="1:30" x14ac:dyDescent="0.35">
      <c r="A288" s="1"/>
      <c r="K288" s="2"/>
      <c r="L288" s="2"/>
      <c r="N288" s="2"/>
      <c r="O288" s="2"/>
    </row>
    <row r="289" spans="1:15" x14ac:dyDescent="0.35">
      <c r="A289" s="1"/>
      <c r="K289" s="2"/>
      <c r="L289" s="2"/>
      <c r="N289" s="2"/>
      <c r="O289" s="2"/>
    </row>
    <row r="290" spans="1:15" x14ac:dyDescent="0.35">
      <c r="A290" s="1"/>
      <c r="K290" s="2"/>
      <c r="L290" s="2"/>
      <c r="N290" s="2"/>
      <c r="O290" s="2"/>
    </row>
    <row r="291" spans="1:15" x14ac:dyDescent="0.35">
      <c r="A291" s="1"/>
      <c r="K291" s="2"/>
      <c r="L291" s="2"/>
      <c r="N291" s="2"/>
      <c r="O291" s="2"/>
    </row>
    <row r="292" spans="1:15" x14ac:dyDescent="0.35">
      <c r="A292" s="1"/>
      <c r="K292" s="2"/>
      <c r="L292" s="2"/>
      <c r="N292" s="2"/>
      <c r="O292" s="2"/>
    </row>
    <row r="293" spans="1:15" x14ac:dyDescent="0.35">
      <c r="A293" s="1"/>
      <c r="K293" s="2"/>
      <c r="L293" s="2"/>
      <c r="N293" s="2"/>
      <c r="O293" s="2"/>
    </row>
    <row r="294" spans="1:15" x14ac:dyDescent="0.35">
      <c r="A294" s="1"/>
      <c r="K294" s="2"/>
      <c r="L294" s="2"/>
      <c r="N294" s="2"/>
      <c r="O294" s="2"/>
    </row>
    <row r="295" spans="1:15" x14ac:dyDescent="0.35">
      <c r="A295" s="1"/>
      <c r="K295" s="2"/>
      <c r="L295" s="2"/>
      <c r="N295" s="2"/>
      <c r="O295" s="2"/>
    </row>
    <row r="296" spans="1:15" x14ac:dyDescent="0.35">
      <c r="A296" s="1"/>
      <c r="K296" s="2"/>
      <c r="L296" s="2"/>
      <c r="N296" s="2"/>
      <c r="O296" s="2"/>
    </row>
    <row r="297" spans="1:15" x14ac:dyDescent="0.35">
      <c r="A297" s="1"/>
      <c r="K297" s="2"/>
      <c r="L297" s="2"/>
      <c r="N297" s="2"/>
      <c r="O297" s="2"/>
    </row>
    <row r="298" spans="1:15" x14ac:dyDescent="0.35">
      <c r="A298" s="1"/>
      <c r="K298" s="2"/>
      <c r="L298" s="2"/>
      <c r="N298" s="2"/>
      <c r="O298" s="2"/>
    </row>
    <row r="299" spans="1:15" x14ac:dyDescent="0.35">
      <c r="A299" s="1"/>
      <c r="K299" s="2"/>
      <c r="L299" s="2"/>
      <c r="N299" s="2"/>
      <c r="O299" s="2"/>
    </row>
    <row r="300" spans="1:15" x14ac:dyDescent="0.35">
      <c r="A300" s="1"/>
      <c r="K300" s="2"/>
      <c r="L300" s="2"/>
      <c r="N300" s="2"/>
      <c r="O300" s="2"/>
    </row>
    <row r="301" spans="1:15" x14ac:dyDescent="0.35">
      <c r="A301" s="1"/>
      <c r="K301" s="2"/>
      <c r="L301" s="2"/>
      <c r="N301" s="2"/>
      <c r="O301" s="2"/>
    </row>
    <row r="302" spans="1:15" x14ac:dyDescent="0.35">
      <c r="A302" s="1"/>
      <c r="K302" s="2"/>
      <c r="L302" s="2"/>
      <c r="N302" s="2"/>
      <c r="O302" s="2"/>
    </row>
    <row r="303" spans="1:15" x14ac:dyDescent="0.35">
      <c r="A303" s="1"/>
      <c r="K303" s="2"/>
      <c r="L303" s="2"/>
      <c r="N303" s="2"/>
      <c r="O303" s="2"/>
    </row>
    <row r="304" spans="1:15" x14ac:dyDescent="0.35">
      <c r="A304" s="1"/>
      <c r="K304" s="2"/>
      <c r="L304" s="2"/>
      <c r="N304" s="2"/>
      <c r="O304" s="2"/>
    </row>
    <row r="305" spans="1:15" x14ac:dyDescent="0.35">
      <c r="A305" s="1"/>
      <c r="K305" s="2"/>
      <c r="L305" s="2"/>
      <c r="N305" s="2"/>
      <c r="O305" s="2"/>
    </row>
    <row r="306" spans="1:15" x14ac:dyDescent="0.35">
      <c r="A306" s="1"/>
      <c r="K306" s="2"/>
      <c r="L306" s="2"/>
      <c r="N306" s="2"/>
      <c r="O306" s="2"/>
    </row>
    <row r="307" spans="1:15" x14ac:dyDescent="0.35">
      <c r="A307" s="1"/>
      <c r="K307" s="2"/>
      <c r="L307" s="2"/>
      <c r="N307" s="2"/>
      <c r="O307" s="2"/>
    </row>
    <row r="308" spans="1:15" x14ac:dyDescent="0.35">
      <c r="A308" s="1"/>
      <c r="K308" s="2"/>
      <c r="L308" s="2"/>
      <c r="N308" s="2"/>
      <c r="O308" s="2"/>
    </row>
    <row r="309" spans="1:15" x14ac:dyDescent="0.35">
      <c r="A309" s="1"/>
      <c r="K309" s="2"/>
      <c r="L309" s="2"/>
      <c r="N309" s="2"/>
      <c r="O309" s="2"/>
    </row>
    <row r="310" spans="1:15" x14ac:dyDescent="0.35">
      <c r="A310" s="1"/>
      <c r="K310" s="2"/>
      <c r="L310" s="2"/>
      <c r="N310" s="2"/>
      <c r="O310" s="2"/>
    </row>
    <row r="311" spans="1:15" x14ac:dyDescent="0.35">
      <c r="A311" s="1"/>
      <c r="K311" s="2"/>
      <c r="L311" s="2"/>
      <c r="N311" s="2"/>
      <c r="O311" s="2"/>
    </row>
    <row r="312" spans="1:15" x14ac:dyDescent="0.35">
      <c r="A312" s="1"/>
      <c r="K312" s="2"/>
      <c r="L312" s="2"/>
      <c r="N312" s="2"/>
      <c r="O312" s="2"/>
    </row>
    <row r="313" spans="1:15" x14ac:dyDescent="0.35">
      <c r="A313" s="1"/>
      <c r="K313" s="2"/>
      <c r="L313" s="2"/>
      <c r="N313" s="2"/>
      <c r="O313" s="2"/>
    </row>
    <row r="314" spans="1:15" x14ac:dyDescent="0.35">
      <c r="A314" s="1"/>
      <c r="K314" s="2"/>
      <c r="L314" s="2"/>
      <c r="N314" s="2"/>
      <c r="O314" s="2"/>
    </row>
    <row r="315" spans="1:15" x14ac:dyDescent="0.35">
      <c r="A315" s="1"/>
      <c r="K315" s="2"/>
      <c r="L315" s="2"/>
      <c r="N315" s="2"/>
      <c r="O315" s="2"/>
    </row>
    <row r="316" spans="1:15" x14ac:dyDescent="0.35">
      <c r="A316" s="1"/>
      <c r="K316" s="2"/>
      <c r="L316" s="2"/>
      <c r="N316" s="2"/>
      <c r="O316" s="2"/>
    </row>
    <row r="317" spans="1:15" x14ac:dyDescent="0.35">
      <c r="A317" s="1"/>
      <c r="K317" s="2"/>
      <c r="L317" s="2"/>
      <c r="N317" s="2"/>
      <c r="O317" s="2"/>
    </row>
    <row r="318" spans="1:15" x14ac:dyDescent="0.35">
      <c r="A318" s="1"/>
      <c r="K318" s="2"/>
      <c r="L318" s="2"/>
      <c r="N318" s="2"/>
      <c r="O318" s="2"/>
    </row>
    <row r="319" spans="1:15" x14ac:dyDescent="0.35">
      <c r="A319" s="1"/>
      <c r="K319" s="2"/>
      <c r="L319" s="2"/>
      <c r="N319" s="2"/>
      <c r="O319" s="2"/>
    </row>
    <row r="320" spans="1:15" x14ac:dyDescent="0.35">
      <c r="A320" s="1"/>
      <c r="K320" s="2"/>
      <c r="L320" s="2"/>
      <c r="N320" s="2"/>
      <c r="O320" s="2"/>
    </row>
    <row r="321" spans="1:15" x14ac:dyDescent="0.35">
      <c r="A321" s="1"/>
      <c r="K321" s="2"/>
      <c r="L321" s="2"/>
      <c r="N321" s="2"/>
      <c r="O321" s="2"/>
    </row>
    <row r="322" spans="1:15" x14ac:dyDescent="0.35">
      <c r="A322" s="1"/>
      <c r="K322" s="2"/>
      <c r="L322" s="2"/>
      <c r="N322" s="2"/>
      <c r="O322" s="2"/>
    </row>
    <row r="323" spans="1:15" x14ac:dyDescent="0.35">
      <c r="A323" s="1"/>
      <c r="K323" s="2"/>
      <c r="L323" s="2"/>
      <c r="N323" s="2"/>
      <c r="O323" s="2"/>
    </row>
    <row r="324" spans="1:15" x14ac:dyDescent="0.35">
      <c r="A324" s="1"/>
      <c r="K324" s="2"/>
      <c r="L324" s="2"/>
      <c r="N324" s="2"/>
      <c r="O324" s="2"/>
    </row>
    <row r="325" spans="1:15" x14ac:dyDescent="0.35">
      <c r="A325" s="1"/>
      <c r="K325" s="2"/>
      <c r="L325" s="2"/>
      <c r="N325" s="2"/>
      <c r="O325" s="2"/>
    </row>
    <row r="326" spans="1:15" x14ac:dyDescent="0.35">
      <c r="A326" s="1"/>
      <c r="K326" s="2"/>
      <c r="L326" s="2"/>
      <c r="N326" s="2"/>
      <c r="O326" s="2"/>
    </row>
    <row r="327" spans="1:15" x14ac:dyDescent="0.35">
      <c r="A327" s="1"/>
      <c r="K327" s="2"/>
      <c r="L327" s="2"/>
      <c r="N327" s="2"/>
      <c r="O327" s="2"/>
    </row>
    <row r="328" spans="1:15" x14ac:dyDescent="0.35">
      <c r="A328" s="1"/>
      <c r="K328" s="2"/>
      <c r="L328" s="2"/>
      <c r="N328" s="2"/>
      <c r="O328" s="2"/>
    </row>
    <row r="329" spans="1:15" x14ac:dyDescent="0.35">
      <c r="A329" s="1"/>
      <c r="K329" s="2"/>
      <c r="L329" s="2"/>
      <c r="N329" s="2"/>
      <c r="O329" s="2"/>
    </row>
    <row r="330" spans="1:15" x14ac:dyDescent="0.35">
      <c r="A330" s="1"/>
      <c r="K330" s="2"/>
      <c r="L330" s="2"/>
      <c r="N330" s="2"/>
      <c r="O330" s="2"/>
    </row>
    <row r="331" spans="1:15" x14ac:dyDescent="0.35">
      <c r="A331" s="1"/>
      <c r="K331" s="2"/>
      <c r="L331" s="2"/>
      <c r="N331" s="2"/>
      <c r="O331" s="2"/>
    </row>
    <row r="332" spans="1:15" x14ac:dyDescent="0.35">
      <c r="A332" s="1"/>
      <c r="K332" s="2"/>
      <c r="L332" s="2"/>
      <c r="N332" s="2"/>
      <c r="O332" s="2"/>
    </row>
    <row r="333" spans="1:15" x14ac:dyDescent="0.35">
      <c r="A333" s="1"/>
      <c r="K333" s="2"/>
      <c r="L333" s="2"/>
      <c r="N333" s="2"/>
      <c r="O333" s="2"/>
    </row>
    <row r="334" spans="1:15" x14ac:dyDescent="0.35">
      <c r="A334" s="1"/>
      <c r="K334" s="2"/>
      <c r="L334" s="2"/>
      <c r="N334" s="2"/>
      <c r="O334" s="2"/>
    </row>
    <row r="335" spans="1:15" x14ac:dyDescent="0.35">
      <c r="A335" s="1"/>
      <c r="K335" s="2"/>
      <c r="L335" s="2"/>
      <c r="N335" s="2"/>
      <c r="O335" s="2"/>
    </row>
    <row r="336" spans="1:15" x14ac:dyDescent="0.35">
      <c r="A336" s="1"/>
      <c r="K336" s="2"/>
      <c r="L336" s="2"/>
      <c r="N336" s="2"/>
      <c r="O336" s="2"/>
    </row>
    <row r="337" spans="1:15" x14ac:dyDescent="0.35">
      <c r="A337" s="1"/>
      <c r="K337" s="2"/>
      <c r="L337" s="2"/>
      <c r="N337" s="2"/>
      <c r="O337" s="2"/>
    </row>
    <row r="338" spans="1:15" x14ac:dyDescent="0.35">
      <c r="A338" s="1"/>
      <c r="K338" s="2"/>
      <c r="L338" s="2"/>
      <c r="N338" s="2"/>
      <c r="O338" s="2"/>
    </row>
    <row r="339" spans="1:15" x14ac:dyDescent="0.35">
      <c r="A339" s="1"/>
      <c r="K339" s="2"/>
      <c r="L339" s="2"/>
      <c r="N339" s="2"/>
      <c r="O339" s="2"/>
    </row>
    <row r="340" spans="1:15" x14ac:dyDescent="0.35">
      <c r="A340" s="1"/>
      <c r="K340" s="2"/>
      <c r="L340" s="2"/>
      <c r="N340" s="2"/>
      <c r="O340" s="2"/>
    </row>
    <row r="341" spans="1:15" x14ac:dyDescent="0.35">
      <c r="A341" s="1"/>
      <c r="K341" s="2"/>
      <c r="L341" s="2"/>
      <c r="N341" s="2"/>
      <c r="O341" s="2"/>
    </row>
    <row r="342" spans="1:15" x14ac:dyDescent="0.35">
      <c r="A342" s="1"/>
      <c r="K342" s="2"/>
      <c r="L342" s="2"/>
      <c r="N342" s="2"/>
      <c r="O342" s="2"/>
    </row>
    <row r="343" spans="1:15" x14ac:dyDescent="0.35">
      <c r="A343" s="1"/>
      <c r="K343" s="2"/>
      <c r="L343" s="2"/>
      <c r="N343" s="2"/>
      <c r="O343" s="2"/>
    </row>
    <row r="344" spans="1:15" x14ac:dyDescent="0.35">
      <c r="A344" s="1"/>
      <c r="K344" s="2"/>
      <c r="L344" s="2"/>
      <c r="N344" s="2"/>
      <c r="O344" s="2"/>
    </row>
    <row r="345" spans="1:15" x14ac:dyDescent="0.35">
      <c r="A345" s="1"/>
      <c r="K345" s="2"/>
      <c r="L345" s="2"/>
      <c r="N345" s="2"/>
      <c r="O345" s="2"/>
    </row>
    <row r="346" spans="1:15" x14ac:dyDescent="0.35">
      <c r="A346" s="1"/>
      <c r="K346" s="2"/>
      <c r="L346" s="2"/>
      <c r="N346" s="2"/>
      <c r="O346" s="2"/>
    </row>
    <row r="347" spans="1:15" x14ac:dyDescent="0.35">
      <c r="A347" s="1"/>
      <c r="K347" s="2"/>
      <c r="L347" s="2"/>
      <c r="N347" s="2"/>
      <c r="O347" s="2"/>
    </row>
    <row r="348" spans="1:15" x14ac:dyDescent="0.35">
      <c r="A348" s="1"/>
      <c r="K348" s="2"/>
      <c r="L348" s="2"/>
      <c r="N348" s="2"/>
      <c r="O348" s="2"/>
    </row>
    <row r="349" spans="1:15" x14ac:dyDescent="0.35">
      <c r="A349" s="1"/>
      <c r="K349" s="2"/>
      <c r="L349" s="2"/>
      <c r="N349" s="2"/>
      <c r="O349" s="2"/>
    </row>
    <row r="350" spans="1:15" x14ac:dyDescent="0.35">
      <c r="A350" s="1"/>
      <c r="K350" s="2"/>
      <c r="L350" s="2"/>
      <c r="N350" s="2"/>
      <c r="O350" s="2"/>
    </row>
    <row r="351" spans="1:15" x14ac:dyDescent="0.35">
      <c r="A351" s="1"/>
      <c r="K351" s="2"/>
      <c r="L351" s="2"/>
      <c r="N351" s="2"/>
      <c r="O351" s="2"/>
    </row>
    <row r="352" spans="1:15" x14ac:dyDescent="0.35">
      <c r="A352" s="1"/>
      <c r="K352" s="2"/>
      <c r="L352" s="2"/>
      <c r="N352" s="2"/>
      <c r="O352" s="2"/>
    </row>
    <row r="353" spans="1:15" x14ac:dyDescent="0.35">
      <c r="A353" s="1"/>
      <c r="K353" s="2"/>
      <c r="L353" s="2"/>
      <c r="N353" s="2"/>
      <c r="O353" s="2"/>
    </row>
    <row r="354" spans="1:15" x14ac:dyDescent="0.35">
      <c r="A354" s="1"/>
      <c r="K354" s="2"/>
      <c r="L354" s="2"/>
      <c r="N354" s="2"/>
      <c r="O354" s="2"/>
    </row>
    <row r="355" spans="1:15" x14ac:dyDescent="0.35">
      <c r="A355" s="1"/>
      <c r="K355" s="2"/>
      <c r="L355" s="2"/>
      <c r="N355" s="2"/>
      <c r="O355" s="2"/>
    </row>
    <row r="356" spans="1:15" x14ac:dyDescent="0.35">
      <c r="A356" s="1"/>
      <c r="K356" s="2"/>
      <c r="L356" s="2"/>
      <c r="N356" s="2"/>
      <c r="O356" s="2"/>
    </row>
    <row r="357" spans="1:15" x14ac:dyDescent="0.35">
      <c r="A357" s="1"/>
      <c r="K357" s="2"/>
      <c r="L357" s="2"/>
      <c r="N357" s="2"/>
      <c r="O357" s="2"/>
    </row>
    <row r="358" spans="1:15" x14ac:dyDescent="0.35">
      <c r="A358" s="1"/>
      <c r="K358" s="2"/>
      <c r="L358" s="2"/>
      <c r="N358" s="2"/>
      <c r="O358" s="2"/>
    </row>
    <row r="359" spans="1:15" x14ac:dyDescent="0.35">
      <c r="A359" s="1"/>
      <c r="K359" s="2"/>
      <c r="L359" s="2"/>
      <c r="N359" s="2"/>
      <c r="O359" s="2"/>
    </row>
    <row r="360" spans="1:15" x14ac:dyDescent="0.35">
      <c r="A360" s="1"/>
      <c r="K360" s="2"/>
      <c r="L360" s="2"/>
      <c r="N360" s="2"/>
      <c r="O360" s="2"/>
    </row>
    <row r="361" spans="1:15" x14ac:dyDescent="0.35">
      <c r="A361" s="1"/>
      <c r="K361" s="2"/>
      <c r="L361" s="2"/>
      <c r="N361" s="2"/>
      <c r="O361" s="2"/>
    </row>
    <row r="362" spans="1:15" x14ac:dyDescent="0.35">
      <c r="A362" s="1"/>
      <c r="K362" s="2"/>
      <c r="L362" s="2"/>
      <c r="N362" s="2"/>
      <c r="O362" s="2"/>
    </row>
    <row r="363" spans="1:15" x14ac:dyDescent="0.35">
      <c r="A363" s="1"/>
      <c r="K363" s="2"/>
      <c r="L363" s="2"/>
      <c r="N363" s="2"/>
      <c r="O363" s="2"/>
    </row>
    <row r="364" spans="1:15" x14ac:dyDescent="0.35">
      <c r="A364" s="1"/>
      <c r="K364" s="2"/>
      <c r="L364" s="2"/>
      <c r="N364" s="2"/>
      <c r="O364" s="2"/>
    </row>
    <row r="365" spans="1:15" x14ac:dyDescent="0.35">
      <c r="A365" s="1"/>
      <c r="K365" s="2"/>
      <c r="L365" s="2"/>
      <c r="N365" s="2"/>
      <c r="O365" s="2"/>
    </row>
    <row r="366" spans="1:15" x14ac:dyDescent="0.35">
      <c r="A366" s="1"/>
      <c r="K366" s="2"/>
      <c r="L366" s="2"/>
      <c r="N366" s="2"/>
      <c r="O366" s="2"/>
    </row>
    <row r="367" spans="1:15" x14ac:dyDescent="0.35">
      <c r="A367" s="1"/>
      <c r="K367" s="2"/>
      <c r="L367" s="2"/>
      <c r="N367" s="2"/>
      <c r="O367" s="2"/>
    </row>
    <row r="368" spans="1:15" x14ac:dyDescent="0.35">
      <c r="A368" s="1"/>
      <c r="K368" s="2"/>
      <c r="L368" s="2"/>
      <c r="N368" s="2"/>
      <c r="O368" s="2"/>
    </row>
    <row r="369" spans="1:15" x14ac:dyDescent="0.35">
      <c r="A369" s="1"/>
      <c r="K369" s="2"/>
      <c r="L369" s="2"/>
      <c r="N369" s="2"/>
      <c r="O369" s="2"/>
    </row>
    <row r="370" spans="1:15" x14ac:dyDescent="0.35">
      <c r="A370" s="1"/>
      <c r="K370" s="2"/>
      <c r="L370" s="2"/>
      <c r="N370" s="2"/>
      <c r="O370" s="2"/>
    </row>
    <row r="371" spans="1:15" x14ac:dyDescent="0.35">
      <c r="A371" s="1"/>
      <c r="K371" s="2"/>
      <c r="L371" s="2"/>
      <c r="N371" s="2"/>
      <c r="O371" s="2"/>
    </row>
    <row r="372" spans="1:15" x14ac:dyDescent="0.35">
      <c r="A372" s="1"/>
      <c r="K372" s="2"/>
      <c r="L372" s="2"/>
      <c r="N372" s="2"/>
      <c r="O372" s="2"/>
    </row>
    <row r="373" spans="1:15" x14ac:dyDescent="0.35">
      <c r="A373" s="1"/>
      <c r="K373" s="2"/>
      <c r="L373" s="2"/>
      <c r="N373" s="2"/>
      <c r="O373" s="2"/>
    </row>
    <row r="374" spans="1:15" x14ac:dyDescent="0.35">
      <c r="A374" s="1"/>
      <c r="K374" s="2"/>
      <c r="L374" s="2"/>
      <c r="N374" s="2"/>
      <c r="O374" s="2"/>
    </row>
    <row r="375" spans="1:15" x14ac:dyDescent="0.35">
      <c r="A375" s="1"/>
      <c r="K375" s="2"/>
      <c r="L375" s="2"/>
      <c r="N375" s="2"/>
      <c r="O375" s="2"/>
    </row>
    <row r="376" spans="1:15" x14ac:dyDescent="0.35">
      <c r="A376" s="1"/>
      <c r="K376" s="2"/>
      <c r="L376" s="2"/>
      <c r="N376" s="2"/>
      <c r="O376" s="2"/>
    </row>
    <row r="377" spans="1:15" x14ac:dyDescent="0.35">
      <c r="A377" s="1"/>
      <c r="K377" s="2"/>
      <c r="L377" s="2"/>
      <c r="N377" s="2"/>
      <c r="O377" s="2"/>
    </row>
    <row r="378" spans="1:15" x14ac:dyDescent="0.35">
      <c r="A378" s="1"/>
      <c r="K378" s="2"/>
      <c r="L378" s="2"/>
      <c r="N378" s="2"/>
      <c r="O378" s="2"/>
    </row>
    <row r="379" spans="1:15" x14ac:dyDescent="0.35">
      <c r="A379" s="1"/>
      <c r="K379" s="2"/>
      <c r="L379" s="2"/>
      <c r="N379" s="2"/>
      <c r="O379" s="2"/>
    </row>
    <row r="380" spans="1:15" x14ac:dyDescent="0.35">
      <c r="A380" s="1"/>
      <c r="K380" s="2"/>
      <c r="L380" s="2"/>
      <c r="N380" s="2"/>
      <c r="O380" s="2"/>
    </row>
    <row r="381" spans="1:15" x14ac:dyDescent="0.35">
      <c r="A381" s="1"/>
      <c r="K381" s="2"/>
      <c r="L381" s="2"/>
      <c r="N381" s="2"/>
      <c r="O381" s="2"/>
    </row>
    <row r="382" spans="1:15" x14ac:dyDescent="0.35">
      <c r="A382" s="1"/>
      <c r="K382" s="2"/>
      <c r="L382" s="2"/>
      <c r="N382" s="2"/>
      <c r="O382" s="2"/>
    </row>
    <row r="383" spans="1:15" x14ac:dyDescent="0.35">
      <c r="A383" s="1"/>
      <c r="K383" s="2"/>
      <c r="L383" s="2"/>
      <c r="N383" s="2"/>
      <c r="O383" s="2"/>
    </row>
    <row r="384" spans="1:15" x14ac:dyDescent="0.35">
      <c r="A384" s="1"/>
      <c r="K384" s="2"/>
      <c r="L384" s="2"/>
      <c r="N384" s="2"/>
      <c r="O384" s="2"/>
    </row>
    <row r="385" spans="1:15" x14ac:dyDescent="0.35">
      <c r="A385" s="1"/>
      <c r="K385" s="2"/>
      <c r="L385" s="2"/>
      <c r="N385" s="2"/>
      <c r="O385" s="2"/>
    </row>
    <row r="386" spans="1:15" x14ac:dyDescent="0.35">
      <c r="A386" s="1"/>
      <c r="K386" s="2"/>
      <c r="L386" s="2"/>
      <c r="N386" s="2"/>
      <c r="O386" s="2"/>
    </row>
    <row r="387" spans="1:15" x14ac:dyDescent="0.35">
      <c r="A387" s="1"/>
      <c r="K387" s="2"/>
      <c r="L387" s="2"/>
      <c r="N387" s="2"/>
      <c r="O387" s="2"/>
    </row>
    <row r="388" spans="1:15" x14ac:dyDescent="0.35">
      <c r="A388" s="1"/>
      <c r="K388" s="2"/>
      <c r="L388" s="2"/>
      <c r="N388" s="2"/>
      <c r="O388" s="2"/>
    </row>
    <row r="389" spans="1:15" x14ac:dyDescent="0.35">
      <c r="A389" s="1"/>
      <c r="K389" s="2"/>
      <c r="L389" s="2"/>
      <c r="N389" s="2"/>
      <c r="O389" s="2"/>
    </row>
    <row r="390" spans="1:15" x14ac:dyDescent="0.35">
      <c r="A390" s="1"/>
      <c r="K390" s="2"/>
      <c r="L390" s="2"/>
      <c r="N390" s="2"/>
      <c r="O390" s="2"/>
    </row>
    <row r="391" spans="1:15" x14ac:dyDescent="0.35">
      <c r="A391" s="1"/>
      <c r="K391" s="2"/>
      <c r="L391" s="2"/>
      <c r="N391" s="2"/>
      <c r="O391" s="2"/>
    </row>
    <row r="392" spans="1:15" x14ac:dyDescent="0.35">
      <c r="A392" s="1"/>
      <c r="K392" s="2"/>
      <c r="L392" s="2"/>
      <c r="N392" s="2"/>
      <c r="O392" s="2"/>
    </row>
    <row r="393" spans="1:15" x14ac:dyDescent="0.35">
      <c r="A393" s="1"/>
      <c r="K393" s="2"/>
      <c r="L393" s="2"/>
      <c r="N393" s="2"/>
      <c r="O393" s="2"/>
    </row>
    <row r="394" spans="1:15" x14ac:dyDescent="0.35">
      <c r="A394" s="1"/>
      <c r="K394" s="2"/>
      <c r="L394" s="2"/>
      <c r="N394" s="2"/>
      <c r="O394" s="2"/>
    </row>
    <row r="395" spans="1:15" x14ac:dyDescent="0.35">
      <c r="A395" s="1"/>
      <c r="K395" s="2"/>
      <c r="L395" s="2"/>
      <c r="N395" s="2"/>
      <c r="O395" s="2"/>
    </row>
    <row r="396" spans="1:15" x14ac:dyDescent="0.35">
      <c r="A396" s="1"/>
      <c r="K396" s="2"/>
      <c r="L396" s="2"/>
      <c r="N396" s="2"/>
      <c r="O396" s="2"/>
    </row>
    <row r="397" spans="1:15" x14ac:dyDescent="0.35">
      <c r="A397" s="1"/>
      <c r="K397" s="2"/>
      <c r="L397" s="2"/>
      <c r="N397" s="2"/>
      <c r="O397" s="2"/>
    </row>
    <row r="398" spans="1:15" x14ac:dyDescent="0.35">
      <c r="A398" s="1"/>
      <c r="K398" s="2"/>
      <c r="L398" s="2"/>
      <c r="N398" s="2"/>
      <c r="O398" s="2"/>
    </row>
    <row r="399" spans="1:15" x14ac:dyDescent="0.35">
      <c r="A399" s="1"/>
      <c r="K399" s="2"/>
      <c r="L399" s="2"/>
      <c r="N399" s="2"/>
      <c r="O399" s="2"/>
    </row>
    <row r="400" spans="1:15" x14ac:dyDescent="0.35">
      <c r="A400" s="1"/>
      <c r="K400" s="2"/>
      <c r="L400" s="2"/>
      <c r="N400" s="2"/>
      <c r="O400" s="2"/>
    </row>
    <row r="401" spans="1:15" x14ac:dyDescent="0.35">
      <c r="A401" s="1"/>
      <c r="K401" s="2"/>
      <c r="L401" s="2"/>
      <c r="N401" s="2"/>
      <c r="O401" s="2"/>
    </row>
    <row r="402" spans="1:15" x14ac:dyDescent="0.35">
      <c r="A402" s="1"/>
      <c r="K402" s="2"/>
      <c r="L402" s="2"/>
      <c r="N402" s="2"/>
      <c r="O402" s="2"/>
    </row>
    <row r="403" spans="1:15" x14ac:dyDescent="0.35">
      <c r="A403" s="1"/>
      <c r="K403" s="2"/>
      <c r="L403" s="2"/>
      <c r="N403" s="2"/>
      <c r="O403" s="2"/>
    </row>
    <row r="404" spans="1:15" x14ac:dyDescent="0.35">
      <c r="A404" s="1"/>
      <c r="K404" s="2"/>
      <c r="L404" s="2"/>
      <c r="N404" s="2"/>
      <c r="O404" s="2"/>
    </row>
    <row r="405" spans="1:15" x14ac:dyDescent="0.35">
      <c r="A405" s="1"/>
      <c r="K405" s="2"/>
      <c r="L405" s="2"/>
      <c r="N405" s="2"/>
      <c r="O405" s="2"/>
    </row>
    <row r="406" spans="1:15" x14ac:dyDescent="0.35">
      <c r="A406" s="1"/>
      <c r="K406" s="2"/>
      <c r="L406" s="2"/>
      <c r="N406" s="2"/>
      <c r="O406" s="2"/>
    </row>
    <row r="407" spans="1:15" x14ac:dyDescent="0.35">
      <c r="A407" s="1"/>
      <c r="K407" s="2"/>
      <c r="L407" s="2"/>
      <c r="N407" s="2"/>
      <c r="O407" s="2"/>
    </row>
    <row r="408" spans="1:15" x14ac:dyDescent="0.35">
      <c r="A408" s="1"/>
      <c r="K408" s="2"/>
      <c r="L408" s="2"/>
      <c r="N408" s="2"/>
      <c r="O408" s="2"/>
    </row>
    <row r="409" spans="1:15" x14ac:dyDescent="0.35">
      <c r="A409" s="1"/>
      <c r="K409" s="2"/>
      <c r="L409" s="2"/>
      <c r="N409" s="2"/>
      <c r="O409" s="2"/>
    </row>
    <row r="410" spans="1:15" x14ac:dyDescent="0.35">
      <c r="A410" s="1"/>
      <c r="K410" s="2"/>
      <c r="L410" s="2"/>
      <c r="N410" s="2"/>
      <c r="O410" s="2"/>
    </row>
    <row r="411" spans="1:15" x14ac:dyDescent="0.35">
      <c r="A411" s="1"/>
      <c r="K411" s="2"/>
      <c r="L411" s="2"/>
      <c r="N411" s="2"/>
      <c r="O411" s="2"/>
    </row>
    <row r="412" spans="1:15" x14ac:dyDescent="0.35">
      <c r="A412" s="1"/>
      <c r="K412" s="2"/>
      <c r="L412" s="2"/>
      <c r="N412" s="2"/>
      <c r="O412" s="2"/>
    </row>
    <row r="413" spans="1:15" x14ac:dyDescent="0.35">
      <c r="A413" s="1"/>
      <c r="K413" s="2"/>
      <c r="L413" s="2"/>
      <c r="N413" s="2"/>
      <c r="O413" s="2"/>
    </row>
    <row r="414" spans="1:15" x14ac:dyDescent="0.35">
      <c r="A414" s="1"/>
      <c r="K414" s="2"/>
      <c r="L414" s="2"/>
      <c r="N414" s="2"/>
      <c r="O414" s="2"/>
    </row>
    <row r="415" spans="1:15" x14ac:dyDescent="0.35">
      <c r="A415" s="1"/>
      <c r="K415" s="2"/>
      <c r="L415" s="2"/>
      <c r="N415" s="2"/>
      <c r="O415" s="2"/>
    </row>
    <row r="416" spans="1:15" x14ac:dyDescent="0.35">
      <c r="A416" s="1"/>
      <c r="K416" s="2"/>
      <c r="L416" s="2"/>
      <c r="N416" s="2"/>
      <c r="O416" s="2"/>
    </row>
    <row r="417" spans="1:15" x14ac:dyDescent="0.35">
      <c r="A417" s="1"/>
      <c r="K417" s="2"/>
      <c r="L417" s="2"/>
      <c r="N417" s="2"/>
      <c r="O417" s="2"/>
    </row>
    <row r="418" spans="1:15" x14ac:dyDescent="0.35">
      <c r="A418" s="1"/>
      <c r="K418" s="2"/>
      <c r="L418" s="2"/>
      <c r="N418" s="2"/>
      <c r="O418" s="2"/>
    </row>
    <row r="419" spans="1:15" x14ac:dyDescent="0.35">
      <c r="A419" s="1"/>
      <c r="K419" s="2"/>
      <c r="L419" s="2"/>
      <c r="N419" s="2"/>
      <c r="O419" s="2"/>
    </row>
    <row r="420" spans="1:15" x14ac:dyDescent="0.35">
      <c r="A420" s="1"/>
      <c r="K420" s="2"/>
      <c r="L420" s="2"/>
      <c r="N420" s="2"/>
      <c r="O420" s="2"/>
    </row>
    <row r="421" spans="1:15" x14ac:dyDescent="0.35">
      <c r="A421" s="1"/>
      <c r="K421" s="2"/>
      <c r="L421" s="2"/>
      <c r="N421" s="2"/>
      <c r="O421" s="2"/>
    </row>
    <row r="422" spans="1:15" x14ac:dyDescent="0.35">
      <c r="A422" s="1"/>
      <c r="K422" s="2"/>
      <c r="L422" s="2"/>
      <c r="N422" s="2"/>
      <c r="O422" s="2"/>
    </row>
    <row r="423" spans="1:15" x14ac:dyDescent="0.35">
      <c r="A423" s="1"/>
      <c r="K423" s="2"/>
      <c r="L423" s="2"/>
      <c r="N423" s="2"/>
      <c r="O423" s="2"/>
    </row>
    <row r="424" spans="1:15" x14ac:dyDescent="0.35">
      <c r="A424" s="1"/>
      <c r="K424" s="2"/>
      <c r="L424" s="2"/>
      <c r="N424" s="2"/>
      <c r="O424" s="2"/>
    </row>
    <row r="425" spans="1:15" x14ac:dyDescent="0.35">
      <c r="A425" s="1"/>
      <c r="K425" s="2"/>
      <c r="L425" s="2"/>
      <c r="N425" s="2"/>
      <c r="O425" s="2"/>
    </row>
    <row r="426" spans="1:15" x14ac:dyDescent="0.35">
      <c r="A426" s="1"/>
      <c r="K426" s="2"/>
      <c r="L426" s="2"/>
      <c r="N426" s="2"/>
      <c r="O426" s="2"/>
    </row>
    <row r="427" spans="1:15" x14ac:dyDescent="0.35">
      <c r="A427" s="1"/>
      <c r="K427" s="2"/>
      <c r="L427" s="2"/>
      <c r="N427" s="2"/>
      <c r="O427" s="2"/>
    </row>
    <row r="428" spans="1:15" x14ac:dyDescent="0.35">
      <c r="A428" s="1"/>
      <c r="K428" s="2"/>
      <c r="L428" s="2"/>
      <c r="N428" s="2"/>
      <c r="O428" s="2"/>
    </row>
    <row r="429" spans="1:15" x14ac:dyDescent="0.35">
      <c r="A429" s="1"/>
      <c r="K429" s="2"/>
      <c r="L429" s="2"/>
      <c r="N429" s="2"/>
      <c r="O429" s="2"/>
    </row>
    <row r="430" spans="1:15" x14ac:dyDescent="0.35">
      <c r="A430" s="1"/>
      <c r="K430" s="2"/>
      <c r="L430" s="2"/>
      <c r="N430" s="2"/>
      <c r="O430" s="2"/>
    </row>
    <row r="431" spans="1:15" x14ac:dyDescent="0.35">
      <c r="A431" s="1"/>
      <c r="K431" s="2"/>
      <c r="L431" s="2"/>
      <c r="N431" s="2"/>
      <c r="O431" s="2"/>
    </row>
    <row r="432" spans="1:15" x14ac:dyDescent="0.35">
      <c r="A432" s="1"/>
      <c r="K432" s="2"/>
      <c r="L432" s="2"/>
      <c r="N432" s="2"/>
      <c r="O432" s="2"/>
    </row>
    <row r="433" spans="1:15" x14ac:dyDescent="0.35">
      <c r="A433" s="1"/>
      <c r="K433" s="2"/>
      <c r="L433" s="2"/>
      <c r="N433" s="2"/>
      <c r="O433" s="2"/>
    </row>
    <row r="434" spans="1:15" x14ac:dyDescent="0.35">
      <c r="A434" s="1"/>
      <c r="K434" s="2"/>
      <c r="L434" s="2"/>
      <c r="N434" s="2"/>
      <c r="O434" s="2"/>
    </row>
    <row r="435" spans="1:15" x14ac:dyDescent="0.35">
      <c r="A435" s="1"/>
      <c r="K435" s="2"/>
      <c r="L435" s="2"/>
      <c r="N435" s="2"/>
      <c r="O435" s="2"/>
    </row>
    <row r="436" spans="1:15" x14ac:dyDescent="0.35">
      <c r="A436" s="1"/>
      <c r="K436" s="2"/>
      <c r="L436" s="2"/>
      <c r="N436" s="2"/>
      <c r="O436" s="2"/>
    </row>
    <row r="437" spans="1:15" x14ac:dyDescent="0.35">
      <c r="A437" s="1"/>
      <c r="K437" s="2"/>
      <c r="L437" s="2"/>
      <c r="N437" s="2"/>
      <c r="O437" s="2"/>
    </row>
    <row r="438" spans="1:15" x14ac:dyDescent="0.35">
      <c r="A438" s="1"/>
      <c r="K438" s="2"/>
      <c r="L438" s="2"/>
      <c r="N438" s="2"/>
      <c r="O438" s="2"/>
    </row>
    <row r="439" spans="1:15" x14ac:dyDescent="0.35">
      <c r="A439" s="1"/>
      <c r="K439" s="2"/>
      <c r="L439" s="2"/>
      <c r="N439" s="2"/>
      <c r="O439" s="2"/>
    </row>
    <row r="440" spans="1:15" x14ac:dyDescent="0.35">
      <c r="A440" s="1"/>
      <c r="K440" s="2"/>
      <c r="L440" s="2"/>
      <c r="N440" s="2"/>
      <c r="O440" s="2"/>
    </row>
    <row r="441" spans="1:15" x14ac:dyDescent="0.35">
      <c r="A441" s="1"/>
      <c r="K441" s="2"/>
      <c r="L441" s="2"/>
      <c r="N441" s="2"/>
      <c r="O441" s="2"/>
    </row>
    <row r="442" spans="1:15" x14ac:dyDescent="0.35">
      <c r="A442" s="1"/>
      <c r="K442" s="2"/>
      <c r="L442" s="2"/>
      <c r="N442" s="2"/>
      <c r="O442" s="2"/>
    </row>
    <row r="443" spans="1:15" x14ac:dyDescent="0.35">
      <c r="A443" s="1"/>
      <c r="K443" s="2"/>
      <c r="L443" s="2"/>
      <c r="N443" s="2"/>
      <c r="O443" s="2"/>
    </row>
    <row r="444" spans="1:15" x14ac:dyDescent="0.35">
      <c r="A444" s="1"/>
      <c r="K444" s="2"/>
      <c r="L444" s="2"/>
      <c r="N444" s="2"/>
      <c r="O444" s="2"/>
    </row>
    <row r="445" spans="1:15" x14ac:dyDescent="0.35">
      <c r="A445" s="1"/>
      <c r="K445" s="2"/>
      <c r="L445" s="2"/>
      <c r="N445" s="2"/>
      <c r="O445" s="2"/>
    </row>
    <row r="446" spans="1:15" x14ac:dyDescent="0.35">
      <c r="A446" s="1"/>
      <c r="K446" s="2"/>
      <c r="L446" s="2"/>
      <c r="N446" s="2"/>
      <c r="O446" s="2"/>
    </row>
    <row r="447" spans="1:15" x14ac:dyDescent="0.35">
      <c r="A447" s="1"/>
      <c r="K447" s="2"/>
      <c r="L447" s="2"/>
      <c r="N447" s="2"/>
      <c r="O447" s="2"/>
    </row>
    <row r="448" spans="1:15" x14ac:dyDescent="0.35">
      <c r="A448" s="1"/>
      <c r="K448" s="2"/>
      <c r="L448" s="2"/>
      <c r="N448" s="2"/>
      <c r="O448" s="2"/>
    </row>
    <row r="449" spans="1:15" x14ac:dyDescent="0.35">
      <c r="A449" s="1"/>
      <c r="K449" s="2"/>
      <c r="L449" s="2"/>
      <c r="N449" s="2"/>
      <c r="O449" s="2"/>
    </row>
    <row r="450" spans="1:15" x14ac:dyDescent="0.35">
      <c r="A450" s="1"/>
      <c r="K450" s="2"/>
      <c r="L450" s="2"/>
      <c r="N450" s="2"/>
      <c r="O450" s="2"/>
    </row>
    <row r="451" spans="1:15" x14ac:dyDescent="0.35">
      <c r="A451" s="1"/>
      <c r="K451" s="2"/>
      <c r="L451" s="2"/>
      <c r="N451" s="2"/>
      <c r="O451" s="2"/>
    </row>
    <row r="452" spans="1:15" x14ac:dyDescent="0.35">
      <c r="A452" s="1"/>
      <c r="K452" s="2"/>
      <c r="L452" s="2"/>
      <c r="N452" s="2"/>
      <c r="O452" s="2"/>
    </row>
    <row r="453" spans="1:15" x14ac:dyDescent="0.35">
      <c r="A453" s="1"/>
      <c r="K453" s="2"/>
      <c r="L453" s="2"/>
      <c r="N453" s="2"/>
      <c r="O453" s="2"/>
    </row>
    <row r="454" spans="1:15" x14ac:dyDescent="0.35">
      <c r="A454" s="1"/>
      <c r="K454" s="2"/>
      <c r="L454" s="2"/>
      <c r="N454" s="2"/>
      <c r="O454" s="2"/>
    </row>
    <row r="455" spans="1:15" x14ac:dyDescent="0.35">
      <c r="A455" s="1"/>
      <c r="K455" s="2"/>
      <c r="L455" s="2"/>
      <c r="N455" s="2"/>
      <c r="O455" s="2"/>
    </row>
    <row r="456" spans="1:15" x14ac:dyDescent="0.35">
      <c r="A456" s="1"/>
      <c r="K456" s="2"/>
      <c r="L456" s="2"/>
      <c r="N456" s="2"/>
      <c r="O456" s="2"/>
    </row>
    <row r="457" spans="1:15" x14ac:dyDescent="0.35">
      <c r="A457" s="1"/>
      <c r="K457" s="2"/>
      <c r="L457" s="2"/>
      <c r="N457" s="2"/>
      <c r="O457" s="2"/>
    </row>
    <row r="458" spans="1:15" x14ac:dyDescent="0.35">
      <c r="A458" s="1"/>
      <c r="K458" s="2"/>
      <c r="L458" s="2"/>
      <c r="N458" s="2"/>
      <c r="O458" s="2"/>
    </row>
    <row r="459" spans="1:15" x14ac:dyDescent="0.35">
      <c r="A459" s="1"/>
      <c r="K459" s="2"/>
      <c r="L459" s="2"/>
      <c r="N459" s="2"/>
      <c r="O459" s="2"/>
    </row>
    <row r="460" spans="1:15" x14ac:dyDescent="0.35">
      <c r="A460" s="1"/>
      <c r="K460" s="2"/>
      <c r="L460" s="2"/>
      <c r="N460" s="2"/>
      <c r="O460" s="2"/>
    </row>
    <row r="461" spans="1:15" x14ac:dyDescent="0.35">
      <c r="A461" s="1"/>
      <c r="K461" s="2"/>
      <c r="L461" s="2"/>
      <c r="N461" s="2"/>
      <c r="O461" s="2"/>
    </row>
    <row r="462" spans="1:15" x14ac:dyDescent="0.35">
      <c r="A462" s="1"/>
      <c r="K462" s="2"/>
      <c r="L462" s="2"/>
      <c r="N462" s="2"/>
      <c r="O462" s="2"/>
    </row>
    <row r="463" spans="1:15" x14ac:dyDescent="0.35">
      <c r="A463" s="1"/>
      <c r="K463" s="2"/>
      <c r="L463" s="2"/>
      <c r="N463" s="2"/>
      <c r="O463" s="2"/>
    </row>
    <row r="464" spans="1:15" x14ac:dyDescent="0.35">
      <c r="A464" s="1"/>
      <c r="K464" s="2"/>
      <c r="L464" s="2"/>
      <c r="N464" s="2"/>
      <c r="O464" s="2"/>
    </row>
    <row r="465" spans="1:15" x14ac:dyDescent="0.35">
      <c r="A465" s="1"/>
      <c r="K465" s="2"/>
      <c r="L465" s="2"/>
      <c r="N465" s="2"/>
      <c r="O465" s="2"/>
    </row>
    <row r="466" spans="1:15" x14ac:dyDescent="0.35">
      <c r="A466" s="1"/>
      <c r="K466" s="2"/>
      <c r="L466" s="2"/>
      <c r="N466" s="2"/>
      <c r="O466" s="2"/>
    </row>
    <row r="467" spans="1:15" x14ac:dyDescent="0.35">
      <c r="A467" s="1"/>
      <c r="K467" s="2"/>
      <c r="L467" s="2"/>
      <c r="N467" s="2"/>
      <c r="O467" s="2"/>
    </row>
    <row r="468" spans="1:15" x14ac:dyDescent="0.35">
      <c r="A468" s="1"/>
      <c r="K468" s="2"/>
      <c r="L468" s="2"/>
      <c r="N468" s="2"/>
      <c r="O468" s="2"/>
    </row>
    <row r="469" spans="1:15" x14ac:dyDescent="0.35">
      <c r="A469" s="1"/>
      <c r="K469" s="2"/>
      <c r="L469" s="2"/>
      <c r="N469" s="2"/>
      <c r="O469" s="2"/>
    </row>
    <row r="470" spans="1:15" x14ac:dyDescent="0.35">
      <c r="A470" s="1"/>
      <c r="K470" s="2"/>
      <c r="L470" s="2"/>
      <c r="N470" s="2"/>
      <c r="O470" s="2"/>
    </row>
    <row r="471" spans="1:15" x14ac:dyDescent="0.35">
      <c r="A471" s="1"/>
      <c r="K471" s="2"/>
      <c r="L471" s="2"/>
      <c r="N471" s="2"/>
      <c r="O471" s="2"/>
    </row>
    <row r="472" spans="1:15" x14ac:dyDescent="0.35">
      <c r="A472" s="1"/>
      <c r="K472" s="2"/>
      <c r="L472" s="2"/>
      <c r="N472" s="2"/>
      <c r="O472" s="2"/>
    </row>
    <row r="473" spans="1:15" x14ac:dyDescent="0.35">
      <c r="A473" s="1"/>
      <c r="K473" s="2"/>
      <c r="L473" s="2"/>
      <c r="N473" s="2"/>
      <c r="O473" s="2"/>
    </row>
    <row r="474" spans="1:15" x14ac:dyDescent="0.35">
      <c r="A474" s="1"/>
      <c r="K474" s="2"/>
      <c r="L474" s="2"/>
      <c r="N474" s="2"/>
      <c r="O474" s="2"/>
    </row>
    <row r="475" spans="1:15" x14ac:dyDescent="0.35">
      <c r="A475" s="1"/>
      <c r="K475" s="2"/>
      <c r="L475" s="2"/>
      <c r="N475" s="2"/>
      <c r="O475" s="2"/>
    </row>
    <row r="476" spans="1:15" x14ac:dyDescent="0.35">
      <c r="A476" s="1"/>
      <c r="K476" s="2"/>
      <c r="L476" s="2"/>
      <c r="N476" s="2"/>
      <c r="O476" s="2"/>
    </row>
    <row r="477" spans="1:15" x14ac:dyDescent="0.35">
      <c r="A477" s="1"/>
      <c r="K477" s="2"/>
      <c r="L477" s="2"/>
      <c r="N477" s="2"/>
      <c r="O477" s="2"/>
    </row>
    <row r="478" spans="1:15" x14ac:dyDescent="0.35">
      <c r="A478" s="1"/>
      <c r="K478" s="2"/>
      <c r="L478" s="2"/>
      <c r="N478" s="2"/>
      <c r="O478" s="2"/>
    </row>
    <row r="479" spans="1:15" x14ac:dyDescent="0.35">
      <c r="A479" s="1"/>
      <c r="K479" s="2"/>
      <c r="L479" s="2"/>
      <c r="N479" s="2"/>
      <c r="O479" s="2"/>
    </row>
    <row r="480" spans="1:15" x14ac:dyDescent="0.35">
      <c r="A480" s="1"/>
      <c r="K480" s="2"/>
      <c r="L480" s="2"/>
      <c r="N480" s="2"/>
      <c r="O480" s="2"/>
    </row>
    <row r="481" spans="1:15" x14ac:dyDescent="0.35">
      <c r="A481" s="1"/>
      <c r="K481" s="2"/>
      <c r="L481" s="2"/>
      <c r="N481" s="2"/>
      <c r="O481" s="2"/>
    </row>
    <row r="482" spans="1:15" x14ac:dyDescent="0.35">
      <c r="A482" s="1"/>
      <c r="K482" s="2"/>
      <c r="L482" s="2"/>
      <c r="N482" s="2"/>
      <c r="O482" s="2"/>
    </row>
    <row r="483" spans="1:15" x14ac:dyDescent="0.35">
      <c r="A483" s="1"/>
      <c r="K483" s="2"/>
      <c r="L483" s="2"/>
      <c r="N483" s="2"/>
      <c r="O483" s="2"/>
    </row>
    <row r="484" spans="1:15" x14ac:dyDescent="0.35">
      <c r="A484" s="1"/>
      <c r="K484" s="2"/>
      <c r="L484" s="2"/>
      <c r="N484" s="2"/>
      <c r="O484" s="2"/>
    </row>
    <row r="485" spans="1:15" x14ac:dyDescent="0.35">
      <c r="A485" s="1"/>
      <c r="K485" s="2"/>
      <c r="L485" s="2"/>
      <c r="N485" s="2"/>
      <c r="O485" s="2"/>
    </row>
    <row r="486" spans="1:15" x14ac:dyDescent="0.35">
      <c r="A486" s="1"/>
      <c r="K486" s="2"/>
      <c r="L486" s="2"/>
      <c r="N486" s="2"/>
      <c r="O486" s="2"/>
    </row>
    <row r="487" spans="1:15" x14ac:dyDescent="0.35">
      <c r="A487" s="1"/>
      <c r="K487" s="2"/>
      <c r="L487" s="2"/>
      <c r="N487" s="2"/>
      <c r="O487" s="2"/>
    </row>
    <row r="488" spans="1:15" x14ac:dyDescent="0.35">
      <c r="A488" s="1"/>
      <c r="K488" s="2"/>
      <c r="L488" s="2"/>
      <c r="N488" s="2"/>
      <c r="O488" s="2"/>
    </row>
    <row r="489" spans="1:15" x14ac:dyDescent="0.35">
      <c r="A489" s="1"/>
      <c r="K489" s="2"/>
      <c r="L489" s="2"/>
      <c r="N489" s="2"/>
      <c r="O489" s="2"/>
    </row>
    <row r="490" spans="1:15" x14ac:dyDescent="0.35">
      <c r="A490" s="1"/>
      <c r="K490" s="2"/>
      <c r="L490" s="2"/>
      <c r="N490" s="2"/>
      <c r="O490" s="2"/>
    </row>
    <row r="491" spans="1:15" x14ac:dyDescent="0.35">
      <c r="A491" s="1"/>
      <c r="K491" s="2"/>
      <c r="L491" s="2"/>
      <c r="N491" s="2"/>
      <c r="O491" s="2"/>
    </row>
    <row r="492" spans="1:15" x14ac:dyDescent="0.35">
      <c r="A492" s="1"/>
      <c r="K492" s="2"/>
      <c r="L492" s="2"/>
      <c r="N492" s="2"/>
      <c r="O492" s="2"/>
    </row>
    <row r="493" spans="1:15" x14ac:dyDescent="0.35">
      <c r="A493" s="1"/>
      <c r="K493" s="2"/>
      <c r="L493" s="2"/>
      <c r="N493" s="2"/>
      <c r="O493" s="2"/>
    </row>
    <row r="494" spans="1:15" x14ac:dyDescent="0.35">
      <c r="A494" s="1"/>
      <c r="K494" s="2"/>
      <c r="L494" s="2"/>
      <c r="N494" s="2"/>
      <c r="O494" s="2"/>
    </row>
    <row r="495" spans="1:15" x14ac:dyDescent="0.35">
      <c r="A495" s="1"/>
      <c r="K495" s="2"/>
      <c r="L495" s="2"/>
      <c r="N495" s="2"/>
      <c r="O495" s="2"/>
    </row>
    <row r="496" spans="1:15" x14ac:dyDescent="0.35">
      <c r="A496" s="1"/>
      <c r="K496" s="2"/>
      <c r="L496" s="2"/>
      <c r="N496" s="2"/>
      <c r="O496" s="2"/>
    </row>
    <row r="497" spans="1:15" x14ac:dyDescent="0.35">
      <c r="A497" s="1"/>
      <c r="K497" s="2"/>
      <c r="L497" s="2"/>
      <c r="N497" s="2"/>
      <c r="O497" s="2"/>
    </row>
    <row r="498" spans="1:15" x14ac:dyDescent="0.35">
      <c r="A498" s="1"/>
      <c r="K498" s="2"/>
      <c r="L498" s="2"/>
      <c r="N498" s="2"/>
      <c r="O498" s="2"/>
    </row>
    <row r="499" spans="1:15" x14ac:dyDescent="0.35">
      <c r="A499" s="1"/>
      <c r="K499" s="2"/>
      <c r="L499" s="2"/>
      <c r="N499" s="2"/>
      <c r="O499" s="2"/>
    </row>
    <row r="500" spans="1:15" x14ac:dyDescent="0.35">
      <c r="A500" s="1"/>
      <c r="K500" s="2"/>
      <c r="L500" s="2"/>
      <c r="N500" s="2"/>
      <c r="O500" s="2"/>
    </row>
    <row r="501" spans="1:15" x14ac:dyDescent="0.35">
      <c r="A501" s="1"/>
      <c r="K501" s="2"/>
      <c r="L501" s="2"/>
      <c r="N501" s="2"/>
      <c r="O501" s="2"/>
    </row>
    <row r="502" spans="1:15" x14ac:dyDescent="0.35">
      <c r="A502" s="1"/>
      <c r="K502" s="2"/>
      <c r="L502" s="2"/>
      <c r="N502" s="2"/>
      <c r="O502" s="2"/>
    </row>
    <row r="503" spans="1:15" x14ac:dyDescent="0.35">
      <c r="A503" s="1"/>
      <c r="K503" s="2"/>
      <c r="L503" s="2"/>
      <c r="N503" s="2"/>
      <c r="O503" s="2"/>
    </row>
    <row r="504" spans="1:15" x14ac:dyDescent="0.35">
      <c r="A504" s="1"/>
      <c r="K504" s="2"/>
      <c r="L504" s="2"/>
      <c r="N504" s="2"/>
      <c r="O504" s="2"/>
    </row>
    <row r="505" spans="1:15" x14ac:dyDescent="0.35">
      <c r="A505" s="1"/>
      <c r="K505" s="2"/>
      <c r="L505" s="2"/>
      <c r="N505" s="2"/>
      <c r="O505" s="2"/>
    </row>
    <row r="506" spans="1:15" x14ac:dyDescent="0.35">
      <c r="A506" s="1"/>
      <c r="K506" s="2"/>
      <c r="L506" s="2"/>
      <c r="N506" s="2"/>
      <c r="O506" s="2"/>
    </row>
    <row r="507" spans="1:15" x14ac:dyDescent="0.35">
      <c r="A507" s="1"/>
      <c r="K507" s="2"/>
      <c r="L507" s="2"/>
      <c r="N507" s="2"/>
      <c r="O507" s="2"/>
    </row>
    <row r="508" spans="1:15" x14ac:dyDescent="0.35">
      <c r="A508" s="1"/>
      <c r="K508" s="2"/>
      <c r="L508" s="2"/>
      <c r="N508" s="2"/>
      <c r="O508" s="2"/>
    </row>
    <row r="509" spans="1:15" x14ac:dyDescent="0.35">
      <c r="A509" s="1"/>
      <c r="K509" s="2"/>
      <c r="L509" s="2"/>
      <c r="N509" s="2"/>
      <c r="O509" s="2"/>
    </row>
    <row r="510" spans="1:15" x14ac:dyDescent="0.35">
      <c r="A510" s="1"/>
      <c r="K510" s="2"/>
      <c r="L510" s="2"/>
      <c r="N510" s="2"/>
      <c r="O510" s="2"/>
    </row>
    <row r="511" spans="1:15" x14ac:dyDescent="0.35">
      <c r="A511" s="1"/>
      <c r="K511" s="2"/>
      <c r="L511" s="2"/>
      <c r="N511" s="2"/>
      <c r="O511" s="2"/>
    </row>
    <row r="512" spans="1:15" x14ac:dyDescent="0.35">
      <c r="A512" s="1"/>
      <c r="K512" s="2"/>
      <c r="L512" s="2"/>
      <c r="N512" s="2"/>
      <c r="O512" s="2"/>
    </row>
    <row r="513" spans="1:15" x14ac:dyDescent="0.35">
      <c r="A513" s="1"/>
      <c r="K513" s="2"/>
      <c r="L513" s="2"/>
      <c r="N513" s="2"/>
      <c r="O513" s="2"/>
    </row>
    <row r="514" spans="1:15" x14ac:dyDescent="0.35">
      <c r="A514" s="1"/>
      <c r="K514" s="2"/>
      <c r="L514" s="2"/>
      <c r="N514" s="2"/>
      <c r="O514" s="2"/>
    </row>
    <row r="515" spans="1:15" x14ac:dyDescent="0.35">
      <c r="A515" s="1"/>
      <c r="K515" s="2"/>
      <c r="L515" s="2"/>
      <c r="N515" s="2"/>
      <c r="O515" s="2"/>
    </row>
    <row r="516" spans="1:15" x14ac:dyDescent="0.35">
      <c r="A516" s="1"/>
      <c r="K516" s="2"/>
      <c r="L516" s="2"/>
      <c r="N516" s="2"/>
      <c r="O516" s="2"/>
    </row>
    <row r="517" spans="1:15" x14ac:dyDescent="0.35">
      <c r="A517" s="1"/>
      <c r="K517" s="2"/>
      <c r="L517" s="2"/>
      <c r="N517" s="2"/>
      <c r="O517" s="2"/>
    </row>
    <row r="518" spans="1:15" x14ac:dyDescent="0.35">
      <c r="A518" s="1"/>
      <c r="K518" s="2"/>
      <c r="L518" s="2"/>
      <c r="N518" s="2"/>
      <c r="O518" s="2"/>
    </row>
    <row r="519" spans="1:15" x14ac:dyDescent="0.35">
      <c r="A519" s="1"/>
      <c r="K519" s="2"/>
      <c r="L519" s="2"/>
      <c r="N519" s="2"/>
      <c r="O519" s="2"/>
    </row>
    <row r="520" spans="1:15" x14ac:dyDescent="0.35">
      <c r="A520" s="1"/>
      <c r="K520" s="2"/>
      <c r="L520" s="2"/>
      <c r="N520" s="2"/>
      <c r="O520" s="2"/>
    </row>
    <row r="521" spans="1:15" x14ac:dyDescent="0.35">
      <c r="A521" s="1"/>
      <c r="K521" s="2"/>
      <c r="L521" s="2"/>
      <c r="N521" s="2"/>
      <c r="O521" s="2"/>
    </row>
    <row r="522" spans="1:15" x14ac:dyDescent="0.35">
      <c r="A522" s="1"/>
      <c r="K522" s="2"/>
      <c r="L522" s="2"/>
      <c r="N522" s="2"/>
      <c r="O522" s="2"/>
    </row>
    <row r="523" spans="1:15" x14ac:dyDescent="0.35">
      <c r="A523" s="1"/>
      <c r="K523" s="2"/>
      <c r="L523" s="2"/>
      <c r="N523" s="2"/>
      <c r="O523" s="2"/>
    </row>
    <row r="524" spans="1:15" x14ac:dyDescent="0.35">
      <c r="A524" s="1"/>
      <c r="K524" s="2"/>
      <c r="L524" s="2"/>
      <c r="N524" s="2"/>
      <c r="O524" s="2"/>
    </row>
    <row r="525" spans="1:15" x14ac:dyDescent="0.35">
      <c r="A525" s="1"/>
      <c r="K525" s="2"/>
      <c r="L525" s="2"/>
      <c r="N525" s="2"/>
      <c r="O525" s="2"/>
    </row>
    <row r="526" spans="1:15" x14ac:dyDescent="0.35">
      <c r="A526" s="1"/>
      <c r="K526" s="2"/>
      <c r="L526" s="2"/>
      <c r="N526" s="2"/>
      <c r="O526" s="2"/>
    </row>
    <row r="527" spans="1:15" x14ac:dyDescent="0.35">
      <c r="A527" s="1"/>
      <c r="K527" s="2"/>
      <c r="L527" s="2"/>
      <c r="N527" s="2"/>
      <c r="O527" s="2"/>
    </row>
    <row r="528" spans="1:15" x14ac:dyDescent="0.35">
      <c r="A528" s="1"/>
      <c r="K528" s="2"/>
      <c r="L528" s="2"/>
      <c r="N528" s="2"/>
      <c r="O528" s="2"/>
    </row>
    <row r="529" spans="1:15" x14ac:dyDescent="0.35">
      <c r="A529" s="1"/>
      <c r="K529" s="2"/>
      <c r="L529" s="2"/>
      <c r="N529" s="2"/>
      <c r="O529" s="2"/>
    </row>
    <row r="530" spans="1:15" x14ac:dyDescent="0.35">
      <c r="A530" s="1"/>
      <c r="K530" s="2"/>
      <c r="L530" s="2"/>
      <c r="N530" s="2"/>
      <c r="O530" s="2"/>
    </row>
    <row r="531" spans="1:15" x14ac:dyDescent="0.35">
      <c r="A531" s="1"/>
      <c r="K531" s="2"/>
      <c r="L531" s="2"/>
      <c r="N531" s="2"/>
      <c r="O531" s="2"/>
    </row>
    <row r="532" spans="1:15" x14ac:dyDescent="0.35">
      <c r="A532" s="1"/>
      <c r="K532" s="2"/>
      <c r="L532" s="2"/>
      <c r="N532" s="2"/>
      <c r="O532" s="2"/>
    </row>
    <row r="533" spans="1:15" x14ac:dyDescent="0.35">
      <c r="A533" s="1"/>
      <c r="K533" s="2"/>
      <c r="L533" s="2"/>
      <c r="N533" s="2"/>
      <c r="O533" s="2"/>
    </row>
    <row r="534" spans="1:15" x14ac:dyDescent="0.35">
      <c r="A534" s="1"/>
      <c r="K534" s="2"/>
      <c r="L534" s="2"/>
      <c r="N534" s="2"/>
      <c r="O534" s="2"/>
    </row>
    <row r="535" spans="1:15" x14ac:dyDescent="0.35">
      <c r="A535" s="1"/>
      <c r="K535" s="2"/>
      <c r="L535" s="2"/>
      <c r="N535" s="2"/>
      <c r="O535" s="2"/>
    </row>
    <row r="536" spans="1:15" x14ac:dyDescent="0.35">
      <c r="A536" s="1"/>
      <c r="K536" s="2"/>
      <c r="L536" s="2"/>
      <c r="N536" s="2"/>
      <c r="O536" s="2"/>
    </row>
    <row r="537" spans="1:15" x14ac:dyDescent="0.35">
      <c r="A537" s="1"/>
      <c r="K537" s="2"/>
      <c r="L537" s="2"/>
      <c r="N537" s="2"/>
      <c r="O537" s="2"/>
    </row>
    <row r="538" spans="1:15" x14ac:dyDescent="0.35">
      <c r="A538" s="1"/>
      <c r="K538" s="2"/>
      <c r="L538" s="2"/>
      <c r="N538" s="2"/>
      <c r="O538" s="2"/>
    </row>
    <row r="539" spans="1:15" x14ac:dyDescent="0.35">
      <c r="A539" s="1"/>
      <c r="K539" s="2"/>
      <c r="L539" s="2"/>
      <c r="N539" s="2"/>
      <c r="O539" s="2"/>
    </row>
    <row r="540" spans="1:15" x14ac:dyDescent="0.35">
      <c r="A540" s="1"/>
      <c r="K540" s="2"/>
      <c r="L540" s="2"/>
      <c r="N540" s="2"/>
      <c r="O540" s="2"/>
    </row>
    <row r="541" spans="1:15" x14ac:dyDescent="0.35">
      <c r="A541" s="1"/>
      <c r="K541" s="2"/>
      <c r="L541" s="2"/>
      <c r="N541" s="2"/>
      <c r="O541" s="2"/>
    </row>
    <row r="542" spans="1:15" x14ac:dyDescent="0.35">
      <c r="A542" s="1"/>
      <c r="K542" s="2"/>
      <c r="L542" s="2"/>
      <c r="N542" s="2"/>
      <c r="O542" s="2"/>
    </row>
    <row r="543" spans="1:15" x14ac:dyDescent="0.35">
      <c r="A543" s="1"/>
      <c r="K543" s="2"/>
      <c r="L543" s="2"/>
      <c r="N543" s="2"/>
      <c r="O543" s="2"/>
    </row>
    <row r="544" spans="1:15" x14ac:dyDescent="0.35">
      <c r="A544" s="1"/>
      <c r="K544" s="2"/>
      <c r="L544" s="2"/>
      <c r="N544" s="2"/>
      <c r="O544" s="2"/>
    </row>
    <row r="545" spans="1:15" x14ac:dyDescent="0.35">
      <c r="A545" s="1"/>
      <c r="K545" s="2"/>
      <c r="L545" s="2"/>
      <c r="N545" s="2"/>
      <c r="O545" s="2"/>
    </row>
    <row r="546" spans="1:15" x14ac:dyDescent="0.35">
      <c r="A546" s="1"/>
      <c r="K546" s="2"/>
      <c r="L546" s="2"/>
      <c r="N546" s="2"/>
      <c r="O546" s="2"/>
    </row>
    <row r="547" spans="1:15" x14ac:dyDescent="0.35">
      <c r="A547" s="1"/>
      <c r="K547" s="2"/>
      <c r="L547" s="2"/>
      <c r="N547" s="2"/>
      <c r="O547" s="2"/>
    </row>
    <row r="548" spans="1:15" x14ac:dyDescent="0.35">
      <c r="A548" s="1"/>
      <c r="K548" s="2"/>
      <c r="L548" s="2"/>
      <c r="N548" s="2"/>
      <c r="O548" s="2"/>
    </row>
    <row r="549" spans="1:15" x14ac:dyDescent="0.35">
      <c r="A549" s="1"/>
      <c r="K549" s="2"/>
      <c r="L549" s="2"/>
      <c r="N549" s="2"/>
      <c r="O549" s="2"/>
    </row>
    <row r="550" spans="1:15" x14ac:dyDescent="0.35">
      <c r="A550" s="1"/>
      <c r="K550" s="2"/>
      <c r="L550" s="2"/>
      <c r="N550" s="2"/>
      <c r="O550" s="2"/>
    </row>
    <row r="551" spans="1:15" x14ac:dyDescent="0.35">
      <c r="A551" s="1"/>
      <c r="K551" s="2"/>
      <c r="L551" s="2"/>
      <c r="N551" s="2"/>
      <c r="O551" s="2"/>
    </row>
    <row r="552" spans="1:15" x14ac:dyDescent="0.35">
      <c r="A552" s="1"/>
      <c r="K552" s="2"/>
      <c r="L552" s="2"/>
      <c r="N552" s="2"/>
      <c r="O552" s="2"/>
    </row>
    <row r="553" spans="1:15" x14ac:dyDescent="0.35">
      <c r="A553" s="1"/>
      <c r="K553" s="2"/>
      <c r="L553" s="2"/>
      <c r="N553" s="2"/>
      <c r="O553" s="2"/>
    </row>
    <row r="554" spans="1:15" x14ac:dyDescent="0.35">
      <c r="A554" s="1"/>
      <c r="K554" s="2"/>
      <c r="L554" s="2"/>
      <c r="N554" s="2"/>
      <c r="O554" s="2"/>
    </row>
    <row r="555" spans="1:15" x14ac:dyDescent="0.35">
      <c r="A555" s="1"/>
      <c r="K555" s="2"/>
      <c r="L555" s="2"/>
      <c r="N555" s="2"/>
      <c r="O555" s="2"/>
    </row>
    <row r="556" spans="1:15" x14ac:dyDescent="0.35">
      <c r="A556" s="1"/>
      <c r="K556" s="2"/>
      <c r="L556" s="2"/>
      <c r="N556" s="2"/>
      <c r="O556" s="2"/>
    </row>
    <row r="557" spans="1:15" x14ac:dyDescent="0.35">
      <c r="A557" s="1"/>
      <c r="K557" s="2"/>
      <c r="L557" s="2"/>
      <c r="N557" s="2"/>
      <c r="O557" s="2"/>
    </row>
    <row r="558" spans="1:15" x14ac:dyDescent="0.35">
      <c r="A558" s="1"/>
      <c r="K558" s="2"/>
      <c r="L558" s="2"/>
      <c r="N558" s="2"/>
      <c r="O558" s="2"/>
    </row>
    <row r="559" spans="1:15" x14ac:dyDescent="0.35">
      <c r="A559" s="1"/>
      <c r="K559" s="2"/>
      <c r="L559" s="2"/>
      <c r="N559" s="2"/>
      <c r="O559" s="2"/>
    </row>
    <row r="560" spans="1:15" x14ac:dyDescent="0.35">
      <c r="A560" s="1"/>
      <c r="K560" s="2"/>
      <c r="L560" s="2"/>
      <c r="N560" s="2"/>
      <c r="O560" s="2"/>
    </row>
    <row r="561" spans="1:15" x14ac:dyDescent="0.35">
      <c r="A561" s="1"/>
      <c r="K561" s="2"/>
      <c r="L561" s="2"/>
      <c r="N561" s="2"/>
      <c r="O561" s="2"/>
    </row>
    <row r="562" spans="1:15" x14ac:dyDescent="0.35">
      <c r="A562" s="1"/>
      <c r="K562" s="2"/>
      <c r="L562" s="2"/>
      <c r="N562" s="2"/>
      <c r="O562" s="2"/>
    </row>
    <row r="563" spans="1:15" x14ac:dyDescent="0.35">
      <c r="A563" s="1"/>
      <c r="K563" s="2"/>
      <c r="L563" s="2"/>
      <c r="N563" s="2"/>
      <c r="O563" s="2"/>
    </row>
    <row r="564" spans="1:15" x14ac:dyDescent="0.35">
      <c r="A564" s="1"/>
      <c r="K564" s="2"/>
      <c r="L564" s="2"/>
      <c r="N564" s="2"/>
      <c r="O564" s="2"/>
    </row>
    <row r="565" spans="1:15" x14ac:dyDescent="0.35">
      <c r="A565" s="1"/>
      <c r="K565" s="2"/>
      <c r="L565" s="2"/>
      <c r="N565" s="2"/>
      <c r="O565" s="2"/>
    </row>
    <row r="566" spans="1:15" x14ac:dyDescent="0.35">
      <c r="A566" s="1"/>
      <c r="K566" s="2"/>
      <c r="L566" s="2"/>
      <c r="N566" s="2"/>
      <c r="O566" s="2"/>
    </row>
    <row r="567" spans="1:15" x14ac:dyDescent="0.35">
      <c r="A567" s="1"/>
      <c r="K567" s="2"/>
      <c r="L567" s="2"/>
      <c r="N567" s="2"/>
      <c r="O567" s="2"/>
    </row>
    <row r="568" spans="1:15" x14ac:dyDescent="0.35">
      <c r="A568" s="1"/>
      <c r="K568" s="2"/>
      <c r="L568" s="2"/>
      <c r="N568" s="2"/>
      <c r="O568" s="2"/>
    </row>
    <row r="569" spans="1:15" x14ac:dyDescent="0.35">
      <c r="A569" s="1"/>
      <c r="K569" s="2"/>
      <c r="L569" s="2"/>
      <c r="N569" s="2"/>
      <c r="O569" s="2"/>
    </row>
    <row r="570" spans="1:15" x14ac:dyDescent="0.35">
      <c r="A570" s="1"/>
      <c r="K570" s="2"/>
      <c r="L570" s="2"/>
      <c r="N570" s="2"/>
      <c r="O570" s="2"/>
    </row>
    <row r="571" spans="1:15" x14ac:dyDescent="0.35">
      <c r="A571" s="1"/>
      <c r="K571" s="2"/>
      <c r="L571" s="2"/>
      <c r="N571" s="2"/>
      <c r="O571" s="2"/>
    </row>
    <row r="572" spans="1:15" x14ac:dyDescent="0.35">
      <c r="A572" s="1"/>
      <c r="K572" s="2"/>
      <c r="L572" s="2"/>
      <c r="N572" s="2"/>
      <c r="O5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Trended Forecast</vt:lpstr>
      <vt:lpstr>Actual_opportunity_movements</vt:lpstr>
      <vt:lpstr>Forecast_opportunity_movements</vt:lpstr>
      <vt:lpstr>Budget_opportunity_movements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Justice</dc:creator>
  <cp:lastModifiedBy>Matt Justice</cp:lastModifiedBy>
  <dcterms:created xsi:type="dcterms:W3CDTF">2026-05-20T22:39:04Z</dcterms:created>
  <dcterms:modified xsi:type="dcterms:W3CDTF">2026-05-20T23:01:56Z</dcterms:modified>
</cp:coreProperties>
</file>