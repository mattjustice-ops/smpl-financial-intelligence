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E:\EXT\PK\"/>
    </mc:Choice>
  </mc:AlternateContent>
  <xr:revisionPtr revIDLastSave="0" documentId="8_{AB7CC756-BC19-4BD1-8DB7-E36B061B36E3}" xr6:coauthVersionLast="47" xr6:coauthVersionMax="47" xr10:uidLastSave="{00000000-0000-0000-0000-000000000000}"/>
  <bookViews>
    <workbookView xWindow="-20" yWindow="-740" windowWidth="13750" windowHeight="9890" tabRatio="500" xr2:uid="{00000000-000D-0000-FFFF-FFFF00000000}"/>
  </bookViews>
  <sheets>
    <sheet name="GTM Review" sheetId="9" r:id="rId1"/>
    <sheet name="ARR Waterfall" sheetId="1" r:id="rId2"/>
    <sheet name="ARR Waterfall Detail" sheetId="10" r:id="rId3"/>
    <sheet name="Cash Forecast" sheetId="3" r:id="rId4"/>
    <sheet name="Cash Flow Statement" sheetId="4" r:id="rId5"/>
    <sheet name="Income Statement" sheetId="2" r:id="rId6"/>
    <sheet name="Headcount" sheetId="7" r:id="rId7"/>
    <sheet name="Variance Commentary" sheetId="5" r:id="rId8"/>
    <sheet name="Risks &amp; Opportunities" sheetId="6" r:id="rId9"/>
    <sheet name="Assumptions &amp; Legend" sheetId="8" r:id="rId10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<sst xmlns="http://schemas.openxmlformats.org/spreadsheetml/2006/main" count="674" uniqueCount="429">
  <si>
    <t xml:space="preserve">  ClarityFP · ARR / MRR Waterfall · Jan–Dec 2026</t>
  </si>
  <si>
    <t>◀  ACTUALS  ▶</t>
  </si>
  <si>
    <t>◀  FORECAST (Jun–Dec)  ▶</t>
  </si>
  <si>
    <t>◀  ACTUAL SUBTOTALS  ▶</t>
  </si>
  <si>
    <t>◀  BUDGET SUBTOTALS  ▶</t>
  </si>
  <si>
    <t>◀  VARIANCE (ACT vs BUD)  ▶</t>
  </si>
  <si>
    <t>Jan</t>
  </si>
  <si>
    <t>Feb</t>
  </si>
  <si>
    <t>Mar</t>
  </si>
  <si>
    <t>Apr</t>
  </si>
  <si>
    <t>May</t>
  </si>
  <si>
    <t>Jun
(Actual
Placeholder)</t>
  </si>
  <si>
    <t>Jul</t>
  </si>
  <si>
    <t>Aug</t>
  </si>
  <si>
    <t>Sep</t>
  </si>
  <si>
    <t>Oct</t>
  </si>
  <si>
    <t>Nov</t>
  </si>
  <si>
    <t>Dec</t>
  </si>
  <si>
    <t>Q1
Actual</t>
  </si>
  <si>
    <t>Q2
Actual</t>
  </si>
  <si>
    <t>H1 Act
+Jun FC</t>
  </si>
  <si>
    <t>FY Act
+FC</t>
  </si>
  <si>
    <t>Q1
Budget</t>
  </si>
  <si>
    <t>Q2
Budget</t>
  </si>
  <si>
    <t>H1
Budget</t>
  </si>
  <si>
    <t>FY
Budget</t>
  </si>
  <si>
    <t>Q1
Var $</t>
  </si>
  <si>
    <t>Q2
Var $</t>
  </si>
  <si>
    <t>H1
Var $</t>
  </si>
  <si>
    <t>FY
Var $</t>
  </si>
  <si>
    <t>Q1
Var %</t>
  </si>
  <si>
    <t>Q2
Var %</t>
  </si>
  <si>
    <t>H1
Var %</t>
  </si>
  <si>
    <t>FY
Var %</t>
  </si>
  <si>
    <t xml:space="preserve">  ARR MOVEMENT BRIDGE ($M)</t>
  </si>
  <si>
    <t>Beginning ARR</t>
  </si>
  <si>
    <t>+ New Business</t>
  </si>
  <si>
    <t>+ Expansion</t>
  </si>
  <si>
    <t>+ Reactivation</t>
  </si>
  <si>
    <t>- Contraction</t>
  </si>
  <si>
    <t>- Churn</t>
  </si>
  <si>
    <t xml:space="preserve">  NET NEW ARR &amp; ENDING ARR</t>
  </si>
  <si>
    <t>Net New ARR</t>
  </si>
  <si>
    <t>Ending ARR</t>
  </si>
  <si>
    <t xml:space="preserve">  RETENTION METRICS</t>
  </si>
  <si>
    <t>NRR %</t>
  </si>
  <si>
    <t>GRR %</t>
  </si>
  <si>
    <t xml:space="preserve">  Note: Jun Actual column (yellow) is a user-input placeholder. Enter June actuals when the period closes. Q2 Act and H1 Act subtotals will auto-populate based on formulas. Forecast Jul–Dec sourced from Forecast_mrr_waterfall.csv.</t>
  </si>
  <si>
    <t xml:space="preserve">  ARR WATERFALL CHART DATA (MAY 2026 MONTHLY)</t>
  </si>
  <si>
    <t>Component</t>
  </si>
  <si>
    <t>Value ($M)</t>
  </si>
  <si>
    <t>Budget ($M)</t>
  </si>
  <si>
    <t>Variance</t>
  </si>
  <si>
    <t>Begin ARR</t>
  </si>
  <si>
    <t>New Business</t>
  </si>
  <si>
    <t>Expansion</t>
  </si>
  <si>
    <t>Reactivation</t>
  </si>
  <si>
    <t>Contraction</t>
  </si>
  <si>
    <t>Churn</t>
  </si>
  <si>
    <t>End ARR</t>
  </si>
  <si>
    <t xml:space="preserve">  EXECUTIVE COMMENTARY &amp; VARIANCE ANALYSIS</t>
  </si>
  <si>
    <t>Period/Topic</t>
  </si>
  <si>
    <t>Category</t>
  </si>
  <si>
    <t>Variance Driver</t>
  </si>
  <si>
    <t>Narrative &amp; Analysis</t>
  </si>
  <si>
    <t>Impact</t>
  </si>
  <si>
    <t>Action Required</t>
  </si>
  <si>
    <t>Jan 2026</t>
  </si>
  <si>
    <t>+$0.07M vs budget</t>
  </si>
  <si>
    <t>Enterprise segment drove new business outperformance with improved SDR-to-close velocity. Deal structuring improvements contributed to higher average contract values in the West and East regions. 19 closed-won logos vs 17 budget.</t>
  </si>
  <si>
    <t>Favorable</t>
  </si>
  <si>
    <t>Maintain enterprise sales focus; review SMB pipeline velocity</t>
  </si>
  <si>
    <t>Jan–May 2026</t>
  </si>
  <si>
    <t>Expansion ARR</t>
  </si>
  <si>
    <t>+$0.33M FY Fcst vs budget</t>
  </si>
  <si>
    <t>Mid-market Customer Success penetration has added incremental seat expansion and module upsells in enterprise accounts. CS-led expansion plays account for approximately 70% of total expansion bookings. 4 of 5 months outperformed budget.</t>
  </si>
  <si>
    <t>Formalize enterprise expansion playbook; increase CS coverage in mid-market</t>
  </si>
  <si>
    <t>May 2026</t>
  </si>
  <si>
    <t>+$0.21M better than FY budget</t>
  </si>
  <si>
    <t>Gross churn of $0.49M in May is within the $0.50M budget ceiling. SMB cohort continues to represent 78% of gross churn. Churn is on budget but forward-looking GRR risk if SMB segment deteriorates 30–50bps in H2 renewal cycle.</t>
  </si>
  <si>
    <t>Watch</t>
  </si>
  <si>
    <t>Activate SMB retention intervention; define CSM at-risk triggers before Q3</t>
  </si>
  <si>
    <t>NRR</t>
  </si>
  <si>
    <t>100.2% vs 100.0% budget</t>
  </si>
  <si>
    <t>Net dollar retention improved from 100.07% in January to 100.22% in May, reflecting consistent expansion ARR outperformance. Enterprise cohort NRR is estimated at 108–112%. SMB NRR is below 95%. Portfolio NRR is blended favorably by enterprise concentration.</t>
  </si>
  <si>
    <t>Monitor SMB NRR; expand enterprise expansion program to protect blended NRR</t>
  </si>
  <si>
    <t>FY 2026</t>
  </si>
  <si>
    <t>ARR Forecast</t>
  </si>
  <si>
    <t>$97.5M vs $96.1M budget (+$1.4M)</t>
  </si>
  <si>
    <t>Full-year ARR forecast exceeds budget by $1.4M (1.5%). New Business is tracking +$0.8M above budget and Expansion +$0.3M. The forecast assumes continued Q3-Q4 enterprise momentum and mid-market expansion penetration. Churn assumes SMB retention initiative is activated in Q3.</t>
  </si>
  <si>
    <t>Update board forecast to $97.5M; lock before June package</t>
  </si>
  <si>
    <t xml:space="preserve">  ClarityFP · Income Statement · Jan–Dec 2026</t>
  </si>
  <si>
    <t xml:space="preserve">  REVENUE</t>
  </si>
  <si>
    <t>Total Revenue</t>
  </si>
  <si>
    <t xml:space="preserve">  Subscription Rev</t>
  </si>
  <si>
    <t xml:space="preserve">  Services Rev</t>
  </si>
  <si>
    <t xml:space="preserve">  GROSS PROFIT</t>
  </si>
  <si>
    <t>Cost of Revenue</t>
  </si>
  <si>
    <t>Gross Profit</t>
  </si>
  <si>
    <t>Gross Margin %</t>
  </si>
  <si>
    <t xml:space="preserve">  OPERATING EXPENSES</t>
  </si>
  <si>
    <t>Sales &amp; Marketing</t>
  </si>
  <si>
    <t>Research &amp; Development</t>
  </si>
  <si>
    <t>General &amp; Administrative</t>
  </si>
  <si>
    <t>Total OpEx</t>
  </si>
  <si>
    <t xml:space="preserve">  EBITDA</t>
  </si>
  <si>
    <t>EBITDA</t>
  </si>
  <si>
    <t>Depreciation &amp; Amort</t>
  </si>
  <si>
    <t>Operating Income</t>
  </si>
  <si>
    <t xml:space="preserve">  Note: Jun Actual (yellow) is a user-input placeholder — enter when June closes. Q2 and H1 actuals will reflect Apr+May until June is added.</t>
  </si>
  <si>
    <t>Revenue</t>
  </si>
  <si>
    <t>+$0.3M YTD vs budget</t>
  </si>
  <si>
    <t>Subscription revenue outperformed budget in all five periods, reaching $7.18M in May vs $7.17M plan. ARR momentum translating into revenue ahead of schedule. Services revenue tracking at expected $0.33M monthly attach rate. YTD revenue of $34.3M is $0.3M ahead of $34.0M YTD budget.</t>
  </si>
  <si>
    <t>Revenue trajectory supports upward H2 guidance revision</t>
  </si>
  <si>
    <t>All Periods</t>
  </si>
  <si>
    <t>Gross Margin</t>
  </si>
  <si>
    <t>77.0% — on budget all 5 months</t>
  </si>
  <si>
    <t>Gross margin held exactly at 77.0% across all five reported periods, demonstrating COGS discipline as subscription revenue scales. Infrastructure and hosting costs scaled proportionally. No margin compression observed despite revenue volume growth.</t>
  </si>
  <si>
    <t>Neutral/Favorable</t>
  </si>
  <si>
    <t>Maintain COGS discipline as revenue scales into H2</t>
  </si>
  <si>
    <t>$3.73M — marginally on plan in % terms</t>
  </si>
  <si>
    <t>S&amp;M as % of revenue is 51.9% vs 52.1% budget — marginally favorable in percentage terms. However, Paid Search and Paid Social are overrunning their individual channel budgets by $1.16M and $0.90M respectively while delivering sub-2x pipeline efficiency. The overrun is being absorbed by revenue outperformance.</t>
  </si>
  <si>
    <t>GTM channel reallocation from Paid to Partner/Referral — board approval required</t>
  </si>
  <si>
    <t>-$0.22M — $0.01M better than budget</t>
  </si>
  <si>
    <t>EBITDA improved marginally vs budget — revenue outperformance is absorbing the GTM inefficiency in absolute dollar terms. The path to meaningful EBITDA improvement requires either (1) revenue acceleration or (2) deliberate S&amp;M channel reallocation to improve pipeline ROI without increasing total spend.</t>
  </si>
  <si>
    <t>Present GTM reallocation proposal to board as path to EBITDA improvement</t>
  </si>
  <si>
    <t>Operating Leverage</t>
  </si>
  <si>
    <t>Revenue +9% YoY vs HC +4.4%</t>
  </si>
  <si>
    <t>Operating leverage is materializing — revenue growth is outpacing headcount growth. If this ratio holds through H2, EBITDA margin improvement of 150–200bps is achievable without incremental headcount reduction. The primary risk is allowing S&amp;M spend inefficiency to persist.</t>
  </si>
  <si>
    <t>Monitor revenue/HC ratio monthly; maintain hiring discipline in H2</t>
  </si>
  <si>
    <t xml:space="preserve">  ClarityFP · Cash Flow Bridge · Jan–Dec 2026</t>
  </si>
  <si>
    <t xml:space="preserve">  BEGINNING CASH</t>
  </si>
  <si>
    <t>Beginning Cash</t>
  </si>
  <si>
    <t xml:space="preserve">  CASH INFLOWS</t>
  </si>
  <si>
    <t>Collections (from Billings)</t>
  </si>
  <si>
    <t xml:space="preserve">  CASH OUTFLOWS</t>
  </si>
  <si>
    <t>Payroll</t>
  </si>
  <si>
    <t>Commissions</t>
  </si>
  <si>
    <t>Vendor / AP Payments</t>
  </si>
  <si>
    <t>Tax Payments</t>
  </si>
  <si>
    <t>Interest Expense</t>
  </si>
  <si>
    <t>Other Operating Cash Out</t>
  </si>
  <si>
    <t>Capital Expenditures</t>
  </si>
  <si>
    <t>Total Cash Outflows</t>
  </si>
  <si>
    <t>Net Operating Cash Flow</t>
  </si>
  <si>
    <t xml:space="preserve">  ENDING CASH &amp; LIQUIDITY</t>
  </si>
  <si>
    <t>Ending Cash Balance</t>
  </si>
  <si>
    <t>Cash Floor / Minimum</t>
  </si>
  <si>
    <t>Cash Headroom vs Floor</t>
  </si>
  <si>
    <t xml:space="preserve">  Note: Jun Actual (yellow) is a user-input placeholder. Forecast (Jul–Dec) sourced from Forecast_cash_flow_bridge.csv. Actual cash significantly exceeds budget due to annual billing collection timing in Q1.</t>
  </si>
  <si>
    <t>Q1 2026</t>
  </si>
  <si>
    <t>Collections</t>
  </si>
  <si>
    <t>$37.4M above budget — annual billing timing</t>
  </si>
  <si>
    <t>March collections of $13.6M reflect enterprise annual renewal billings concentrated in Q1. This is a structural pattern from the annual billing contract model — not a one-time event. The budget was built with more linear assumptions, creating a $37.4M favorable variance that will unwind in H2 as monthly collections moderate to $6–8M.</t>
  </si>
  <si>
    <t>Favorable but Seasonal</t>
  </si>
  <si>
    <t>Update H2 cash model; communicate H2 moderation to board proactively</t>
  </si>
  <si>
    <t>Cash Floor Coverage</t>
  </si>
  <si>
    <t>$56.0M headroom above $10.0M floor</t>
  </si>
  <si>
    <t>Cash headroom above the $10M operating floor reached $56.0M in May — significantly above the $19.6M budgeted headroom. This provides substantial liquidity cushion for any unexpected operational needs, investment opportunities, or debt service obligations in H2.</t>
  </si>
  <si>
    <t>Evaluate capital allocation options given excess cash position</t>
  </si>
  <si>
    <t>$3.61M — modestly above $3.57M budget</t>
  </si>
  <si>
    <t>Payroll exceeded budget by $0.04M in May reflecting timing of new hire onboarding earlier than planned. Annualized payroll run-rate is within the overall headcount budget. No structural overrun expected if hiring pace maintains plan.</t>
  </si>
  <si>
    <t>Neutral</t>
  </si>
  <si>
    <t>Monitor headcount additions; maintain hiring within approved plan</t>
  </si>
  <si>
    <t>H2 2026</t>
  </si>
  <si>
    <t>Collections Moderation</t>
  </si>
  <si>
    <t>H2 expected $6–8M/month vs Q1 $11M average</t>
  </si>
  <si>
    <t>The Q1 annual billing collections spike will not repeat in H2. July and August are expected to be the lightest collection months at $6–7M each. The cash model should be updated to reflect this pattern. Cash balance will likely decline modestly from the May $66.0M peak before stabilizing.</t>
  </si>
  <si>
    <t>Update H2 cash forecast; scenario plan for $58–62M year-end cash</t>
  </si>
  <si>
    <t>Annual Contract Expansion</t>
  </si>
  <si>
    <t>$5–8M incremental YE cash opportunity</t>
  </si>
  <si>
    <t>Extending annual billing terms to mid-market renewals and new business starting Q3 could add $5–8M to year-end cash position. Revenue recognition is unaffected — this is a billing timing change only. Requires sales team alignment and contract template updates.</t>
  </si>
  <si>
    <t>Opportunity</t>
  </si>
  <si>
    <t>Include annual terms in all mid-market renewal conversations starting Q3</t>
  </si>
  <si>
    <t xml:space="preserve">  ClarityFP · Cash Flow Statement (GAAP Indirect Method) · Jan–Dec 2026</t>
  </si>
  <si>
    <t xml:space="preserve">  OPERATING ACTIVITIES</t>
  </si>
  <si>
    <t>Net Income / (Loss)</t>
  </si>
  <si>
    <t>Add: Depreciation &amp; Amort</t>
  </si>
  <si>
    <t>Change in AR / Collections vs Revenue</t>
  </si>
  <si>
    <t>Change in Deferred Revenue</t>
  </si>
  <si>
    <t>Change in AP &amp; Accrued Liabilities</t>
  </si>
  <si>
    <t>Commissions Paid</t>
  </si>
  <si>
    <t>Cash from Operations (CFO)</t>
  </si>
  <si>
    <t xml:space="preserve">  INVESTING ACTIVITIES</t>
  </si>
  <si>
    <t>Capital Expenditures (CapEx)</t>
  </si>
  <si>
    <t>Cash from Investing (CFI)</t>
  </si>
  <si>
    <t xml:space="preserve">  FINANCING ACTIVITIES</t>
  </si>
  <si>
    <t>Proceeds from Financing</t>
  </si>
  <si>
    <t>Debt Repayments</t>
  </si>
  <si>
    <t>Cash from Financing (CFF)</t>
  </si>
  <si>
    <t xml:space="preserve">  NET CASH MOVEMENT &amp; RECONCILIATION</t>
  </si>
  <si>
    <t>Net Change in Cash</t>
  </si>
  <si>
    <t>Beginning Cash Balance</t>
  </si>
  <si>
    <t xml:space="preserve">  Note: GAAP indirect method approximation using operational data. Deferred revenue and working capital changes are estimated from billing/collection dynamics. Jun Actual (yellow) is a user-input placeholder.</t>
  </si>
  <si>
    <t>YTD 2026</t>
  </si>
  <si>
    <t>CFO</t>
  </si>
  <si>
    <t>$30.6M vs $8.2M budget (+$22.4M)</t>
  </si>
  <si>
    <t>Operating cash generation of $30.6M significantly exceeds budget. The primary driver is collections timing — $52.0M YTD vs $51.7M budget — concentrated in the Q1 annual billing cycle. Deferred revenue build of $2.4M (+$0.6M vs plan) reflects billings ahead of GAAP recognition, confirming contracted backlog. Working capital change of -$1.2M reflects normal AR aging.</t>
  </si>
  <si>
    <t>Note CFO will moderate in H2 as annual billing collections are non-recurring</t>
  </si>
  <si>
    <t>Deferred Revenue</t>
  </si>
  <si>
    <t>$2.4M build vs $1.8M budget (+$0.6M)</t>
  </si>
  <si>
    <t>Deferred revenue increased $2.4M YTD, $0.6M above budget. This confirms that billings are occurring ahead of revenue recognition — a positive indicator of contracted backlog and annual billing program effectiveness. As deferred revenue unwinds in H2, it will support GAAP revenue recognition without requiring new billings.</t>
  </si>
  <si>
    <t>Monitor deferred revenue unwind schedule to ensure revenue recognition aligns with guidance</t>
  </si>
  <si>
    <t>CFI</t>
  </si>
  <si>
    <t>($0.90M) — on budget</t>
  </si>
  <si>
    <t>Capital expenditure of $0.90M is exactly on budget. No unplanned capital projects have been initiated. Infrastructure investment remains disciplined and on plan through Q2. H2 CapEx plan calls for modest increase to $0.22–0.28M per month to support product infrastructure scaling.</t>
  </si>
  <si>
    <t>Review H2 CapEx plan in light of product roadmap requirements</t>
  </si>
  <si>
    <t>CFF</t>
  </si>
  <si>
    <t>$0.0M — no financing required</t>
  </si>
  <si>
    <t>Zero financing activity across all five reported months confirms the business operates sustainably above its $10.0M cash floor without external capital. This validates the operating model's capital efficiency at current ARR scale. The existing debt facility has not been drawn.</t>
  </si>
  <si>
    <t>Maintain covenant compliance visibility; no draw expected in current trajectory</t>
  </si>
  <si>
    <t>Net Cash Change</t>
  </si>
  <si>
    <t>$29.7M vs $7.3M budget (+$22.4M)</t>
  </si>
  <si>
    <t>The $22.4M outperformance vs budget reflects the combined effect of annual billing collection timing and disciplined operating expenses. Beginning cash of $46.1M plus the $29.7M net change yields the $66.04M ending position. The H2 expected net change is +$0 to -$3M as collections normalize.</t>
  </si>
  <si>
    <t>Update H2 cash projection for board; project $62–65M year-end balance</t>
  </si>
  <si>
    <t xml:space="preserve">  ClarityFP · Variance Commentary · May 2026 vs Budget</t>
  </si>
  <si>
    <t>Metric</t>
  </si>
  <si>
    <t>Actual</t>
  </si>
  <si>
    <t>Budget</t>
  </si>
  <si>
    <t>Commentary</t>
  </si>
  <si>
    <t>ARR</t>
  </si>
  <si>
    <t>Ending ARR ($M)</t>
  </si>
  <si>
    <t>$83.45M</t>
  </si>
  <si>
    <t>$83.33M</t>
  </si>
  <si>
    <t>ARR exceeded budget by $0.12M. New Business outperformed by $0.07M driven by improved enterprise close rates. Expansion ARR outperformed by $0.06M from mid-market customer success penetration. Churn held within budget at $0.49M vs $0.50M plan.</t>
  </si>
  <si>
    <t>Net New ARR ($M)</t>
  </si>
  <si>
    <t>$2.06M</t>
  </si>
  <si>
    <t>$1.94M</t>
  </si>
  <si>
    <t>Net new ARR improved 57% from January ($1.31M) to May ($2.06M). The acceleration reflects pipeline maturation from H1 2025 enterprise investments and improving new logo velocity heading into Q2.</t>
  </si>
  <si>
    <t>Revenue ($M)</t>
  </si>
  <si>
    <t>$7.18M</t>
  </si>
  <si>
    <t>$7.10M</t>
  </si>
  <si>
    <t>Revenue outperformed by $0.08M in May and has exceeded budget in every reported period. Subscription revenue driven by ARR progression. Services revenue tracking at expected attach rate.</t>
  </si>
  <si>
    <t>77.0%</t>
  </si>
  <si>
    <t>Gross margin held exactly on budget at 77.0% across all five closed periods. COGS scaling proportionally. Infrastructure and hosting costs well-managed within subscription revenue growth trajectory.</t>
  </si>
  <si>
    <t>P&amp;L</t>
  </si>
  <si>
    <t>EBITDA ($M)</t>
  </si>
  <si>
    <t>-$0.22M</t>
  </si>
  <si>
    <t>-$0.23M</t>
  </si>
  <si>
    <t>EBITDA improved $0.01M vs budget — revenue outperformance offset by S&amp;M overspend of $0.07M. R&amp;D and G&amp;A tracking within budget. Operating leverage requires revenue acceleration or S&amp;M efficiency improvement in H2.</t>
  </si>
  <si>
    <t>GTM</t>
  </si>
  <si>
    <t>S&amp;M ($M)</t>
  </si>
  <si>
    <t>$3.73M</t>
  </si>
  <si>
    <t>$3.66M</t>
  </si>
  <si>
    <t>S&amp;M ran $0.07M over budget at 51.9% of revenue — approximately 40bps above plan. Overspend concentrated in Paid Search and Paid Social at sub-2x pipeline efficiency. Reallocation toward Partner and Organic recommended.</t>
  </si>
  <si>
    <t>Cash</t>
  </si>
  <si>
    <t>Ending Cash ($M)</t>
  </si>
  <si>
    <t>$66.04M</t>
  </si>
  <si>
    <t>$28.64M</t>
  </si>
  <si>
    <t>Cash exceeded budget by $37.4M due to annual billing collection timing. March collections of $13.6M reflected enterprise renewal billings. No financing required. H2 collections will moderate as annual billing concentration unwinds.</t>
  </si>
  <si>
    <t>Collections ($M)</t>
  </si>
  <si>
    <t>$9.65M</t>
  </si>
  <si>
    <t>May collections on budget. YTD collections of $52.0M reflect favorable annual billing timing. AR aging is healthy. Annual contract expansion to mid-market could add $5–8M to year-end cash position.</t>
  </si>
  <si>
    <t xml:space="preserve">  ClarityFP · Risks &amp; Opportunities · Board Decision Matrix · May 2026</t>
  </si>
  <si>
    <t>Type</t>
  </si>
  <si>
    <t>Risk / Opportunity Description</t>
  </si>
  <si>
    <t>Probability</t>
  </si>
  <si>
    <t>Recommended Action</t>
  </si>
  <si>
    <t>RISK</t>
  </si>
  <si>
    <t>HIGH</t>
  </si>
  <si>
    <t>Paid Search + Paid Social absorb 56% of marketing budget at sub-2x pipeline efficiency. Structural ROI gap vs Partner and Organic channels.</t>
  </si>
  <si>
    <t>Reallocate 25% of paid budget to Partner and Organic. Est. incremental pipeline: +$2–3M at same total spend.</t>
  </si>
  <si>
    <t>Retention</t>
  </si>
  <si>
    <t>SMB churn trending above budget thresholds. If uncorrected, GRR could deteriorate 30–50bps in H2, impacting NRR and ARR by ~$0.8M.</t>
  </si>
  <si>
    <t>Activate SMB retention playbook. Define CSM intervention triggers for at-risk accounts.</t>
  </si>
  <si>
    <t>Pipeline</t>
  </si>
  <si>
    <t>MEDIUM</t>
  </si>
  <si>
    <t>Zero closed won ARR from Paid channels YTD despite significant pipeline creation. Cycle time risk for H2 revenue conversion.</t>
  </si>
  <si>
    <t>Sales cycle time analysis. Structured pipeline review for paid-sourced opps.</t>
  </si>
  <si>
    <t>Annual billing concentration in Q1 means H2 collections will be materially lighter than YTD run rate.</t>
  </si>
  <si>
    <t>Update H2 cash model. Scenario plan for light collections in Jul–Aug.</t>
  </si>
  <si>
    <t>OPP</t>
  </si>
  <si>
    <t>Partner channel delivers 9.4x pipeline efficiency with 26.5% closed won rate. Structural reallocation opportunity within existing budget.</t>
  </si>
  <si>
    <t>Increase Partner budget by 25%. Hire Partner success manager.</t>
  </si>
  <si>
    <t>Expansion ARR outperformed budget 4 of 5 months. CS penetration opportunity in enterprise cohorts.</t>
  </si>
  <si>
    <t>Structured expansion plays. Target $0.5M/qtr expansion uplift.</t>
  </si>
  <si>
    <t>Margin</t>
  </si>
  <si>
    <t>Revenue +9% YoY vs HC +4.4% — operating leverage materializing. EBITDA margin improvement path visible.</t>
  </si>
  <si>
    <t>Maintain hiring discipline. Evaluate EBITDA margin improvement roadmap for H2.</t>
  </si>
  <si>
    <t>Annual billing expansion to mid-market could add $5–8M to year-end cash position.</t>
  </si>
  <si>
    <t>Embed annual contract terms in mid-market renewal and new business motions.</t>
  </si>
  <si>
    <t xml:space="preserve">  ClarityFP · Headcount &amp; Productivity · Jan–May 2026</t>
  </si>
  <si>
    <t>Department</t>
  </si>
  <si>
    <t>Budget May</t>
  </si>
  <si>
    <t>ARR / Employee</t>
  </si>
  <si>
    <t>Sales</t>
  </si>
  <si>
    <t>$1.24M/rep</t>
  </si>
  <si>
    <t>Engineering</t>
  </si>
  <si>
    <t>$2.03M/eng</t>
  </si>
  <si>
    <t>Customer Success</t>
  </si>
  <si>
    <t>$4.64M/CSM</t>
  </si>
  <si>
    <t>Marketing</t>
  </si>
  <si>
    <t>$5.96M/mktr</t>
  </si>
  <si>
    <t>G&amp;A</t>
  </si>
  <si>
    <t>$3.79M/head</t>
  </si>
  <si>
    <t>Product</t>
  </si>
  <si>
    <t>$5.56M/PM</t>
  </si>
  <si>
    <t>Total</t>
  </si>
  <si>
    <t>$587K / emp</t>
  </si>
  <si>
    <t xml:space="preserve">  ClarityFP · Assumptions, Color Legend &amp; Data Sources</t>
  </si>
  <si>
    <t>Item</t>
  </si>
  <si>
    <t>Description</t>
  </si>
  <si>
    <t>Source</t>
  </si>
  <si>
    <t>Date</t>
  </si>
  <si>
    <t>COLUMN COLOR CODING</t>
  </si>
  <si>
    <t>Blue column background</t>
  </si>
  <si>
    <t>Actual periods (Jan–May 2026)</t>
  </si>
  <si>
    <t>Convention</t>
  </si>
  <si>
    <t>—</t>
  </si>
  <si>
    <t>Yellow column</t>
  </si>
  <si>
    <t>Jun Actual placeholder — user input</t>
  </si>
  <si>
    <t>Amber column background</t>
  </si>
  <si>
    <t>Forecast periods (Jul–Dec 2026)</t>
  </si>
  <si>
    <t>INPUT COLOR CODING</t>
  </si>
  <si>
    <t>Blue text</t>
  </si>
  <si>
    <t>Hardcoded input / source data from CSV actuals</t>
  </si>
  <si>
    <t>Industry convention</t>
  </si>
  <si>
    <t>Black text</t>
  </si>
  <si>
    <t>Formula-calculated values</t>
  </si>
  <si>
    <t>Green text</t>
  </si>
  <si>
    <t>Favorable budget variance</t>
  </si>
  <si>
    <t>Red text</t>
  </si>
  <si>
    <t>Unfavorable budget variance</t>
  </si>
  <si>
    <t>LAYOUT STRUCTURE</t>
  </si>
  <si>
    <t>Jan–May columns</t>
  </si>
  <si>
    <t>Actual closed periods from CSV data</t>
  </si>
  <si>
    <t>Actual_*.csv files</t>
  </si>
  <si>
    <t>Jun column (yellow)</t>
  </si>
  <si>
    <t>Placeholder — enter when June closes</t>
  </si>
  <si>
    <t>User input</t>
  </si>
  <si>
    <t>Jun 2026</t>
  </si>
  <si>
    <t>Jul–Dec columns</t>
  </si>
  <si>
    <t>Forecast sourced from Forecast_*.csv</t>
  </si>
  <si>
    <t>Forecast_*.csv files</t>
  </si>
  <si>
    <t>Q1 / Q2 Actual subtotals</t>
  </si>
  <si>
    <t>Sum/avg of actual periods in each quarter</t>
  </si>
  <si>
    <t>Computed</t>
  </si>
  <si>
    <t>Ongoing</t>
  </si>
  <si>
    <t>H1 Act+FC subtotal</t>
  </si>
  <si>
    <t>Jan–May actual (Jun treated as open)</t>
  </si>
  <si>
    <t>FY Act+FC subtotal</t>
  </si>
  <si>
    <t>Jan–May actual + Jun–Dec forecast</t>
  </si>
  <si>
    <t>Full year 2026</t>
  </si>
  <si>
    <t>FY Budget subtotal</t>
  </si>
  <si>
    <t>Full-year 2026 approved operating plan</t>
  </si>
  <si>
    <t>Budget_*.csv files</t>
  </si>
  <si>
    <t>Variance columns</t>
  </si>
  <si>
    <t>Actual minus Budget (or FC vs Bud for FY)</t>
  </si>
  <si>
    <t>DATA SOURCES</t>
  </si>
  <si>
    <t>Actual_MRR_Waterfall.csv</t>
  </si>
  <si>
    <t>ARR movement Jan–May 2026</t>
  </si>
  <si>
    <t>ClarityFP operational data</t>
  </si>
  <si>
    <t>Forecast_mrr_waterfall.csv</t>
  </si>
  <si>
    <t>ARR forecast Jun–Dec 2026</t>
  </si>
  <si>
    <t>ClarityFP forecast model</t>
  </si>
  <si>
    <t>Budget_MRR_Waterfall.csv</t>
  </si>
  <si>
    <t>ARR budget full-year 2026</t>
  </si>
  <si>
    <t>Approved FY2026 plan</t>
  </si>
  <si>
    <t>Actual_income_statement.csv</t>
  </si>
  <si>
    <t>GAAP P&amp;L Jan–May 2026</t>
  </si>
  <si>
    <t>Forecast_income_statement.csv</t>
  </si>
  <si>
    <t>P&amp;L forecast Jun–Dec 2026</t>
  </si>
  <si>
    <t>Budget_income_statement.csv</t>
  </si>
  <si>
    <t>P&amp;L budget full-year 2026</t>
  </si>
  <si>
    <t>Actual_cash_flow_bridge.csv</t>
  </si>
  <si>
    <t>Cash bridge Jan–May 2026</t>
  </si>
  <si>
    <t>Forecast_cash_flow_bridge.csv</t>
  </si>
  <si>
    <t>Cash forecast Jun–Dec 2026</t>
  </si>
  <si>
    <t>Budget_cash_flow_bridge.csv</t>
  </si>
  <si>
    <t>Cash budget full-year 2026</t>
  </si>
  <si>
    <t xml:space="preserve">  ClarityFP · GTM Channel Performance — YTD Jan–May 2026 · Actual vs Budget</t>
  </si>
  <si>
    <t xml:space="preserve">  CHANNEL PERFORMANCE — ACTUAL vs BUDGET · Sorted by Pipeline Efficiency (Pipeline per $1 Spend)</t>
  </si>
  <si>
    <t>Channel</t>
  </si>
  <si>
    <t>Act Spend</t>
  </si>
  <si>
    <t>Bud Spend</t>
  </si>
  <si>
    <t>Spend Var</t>
  </si>
  <si>
    <t>Act MQLs</t>
  </si>
  <si>
    <t>Bud MQLs</t>
  </si>
  <si>
    <t>MQL Var</t>
  </si>
  <si>
    <t>Act Pipeline</t>
  </si>
  <si>
    <t>Bud Pipeline</t>
  </si>
  <si>
    <t>Pipe Var $</t>
  </si>
  <si>
    <t>Pipe Var %</t>
  </si>
  <si>
    <t>Act Win Rate</t>
  </si>
  <si>
    <t>Referral</t>
  </si>
  <si>
    <t>Direct</t>
  </si>
  <si>
    <t>Organic Search</t>
  </si>
  <si>
    <t>Partner</t>
  </si>
  <si>
    <t>Outbound</t>
  </si>
  <si>
    <t>Webinar</t>
  </si>
  <si>
    <t>Paid Social</t>
  </si>
  <si>
    <t>Paid Search</t>
  </si>
  <si>
    <t>Content Syndication</t>
  </si>
  <si>
    <t>Field Event</t>
  </si>
  <si>
    <t>TOTAL</t>
  </si>
  <si>
    <t xml:space="preserve">  EFFICIENCY METRICS — Pipeline per $1 Spend · Win Rate · Cost per MQL</t>
  </si>
  <si>
    <t>Pipeline Efficiency (x)</t>
  </si>
  <si>
    <t>Win Rate %</t>
  </si>
  <si>
    <t>Cost per MQL</t>
  </si>
  <si>
    <t>Efficiency Rank</t>
  </si>
  <si>
    <t>WR Rank</t>
  </si>
  <si>
    <t>Near-zero cost, 60.7% win rate — strongest efficiency in portfolio. Formalizing CS-led expansion program could add $2–4M pipeline.</t>
  </si>
  <si>
    <t>65.7% win rate at $0.02M spend. Highest win rate across all channels. Extremely under-invested — formal referral program warranted.</t>
  </si>
  <si>
    <t>70.3x efficiency, 52.9% WR. High-intent inbound demand. Low investment; opportunity to scale with SDR coverage.</t>
  </si>
  <si>
    <t>16.8x efficiency — strong organic demand signal. Marginal spend increase could amplify pipeline significantly.</t>
  </si>
  <si>
    <t>5.8x efficiency, 59.1% WR at $0.51M spend. Under-invested vs $0.74M budget. Top reallocation priority from Paid channels.</t>
  </si>
  <si>
    <t>4.2x efficiency, 7.9% WR. Solid pipeline at manageable cost. WR improvement opportunity through better qualification.</t>
  </si>
  <si>
    <t>2.8x efficiency, 14.5% WR. Mid-tier performance. Content quality and targeting improvements could lift conversion.</t>
  </si>
  <si>
    <t>1.3x efficiency, 5.8% WR. $1.70M spend at sub-2x. Second-lowest win rate in portfolio. Reduce and redirect to Partner.</t>
  </si>
  <si>
    <t>1.2x efficiency, 5.2% WR. $2.14M spend with minimal closed-won output. Significant budget reallocation to Partner/Referral recommended.</t>
  </si>
  <si>
    <t>1.0x efficiency, 9.5% WR. Lowest pipeline-per-dollar in portfolio. Budget should be reallocated to higher-efficiency channels.</t>
  </si>
  <si>
    <t>0.8x efficiency, 18.4% WR. High cost-per-MQL relative to pipeline generated. ROI review recommended before Q3 events.</t>
  </si>
  <si>
    <t xml:space="preserve">  ClarityFP · ARR Waterfall Detail — Forecast vs Budget · Full-Year 2026</t>
  </si>
  <si>
    <t>ARR Component</t>
  </si>
  <si>
    <t>FY Forecast ($M)</t>
  </si>
  <si>
    <t>FY Budget ($M)</t>
  </si>
  <si>
    <t>Variance ($M)</t>
  </si>
  <si>
    <t>Variance %</t>
  </si>
  <si>
    <t>BOP — Beginning ARR</t>
  </si>
  <si>
    <t>Both forecast and budget begin at $75.0M — the Jan 2026 opening ARR confirmed by actual data.</t>
  </si>
  <si>
    <t>Forecast $19.8M exceeds budget $19.0M by $0.79M. Enterprise segment drove outperformance in Apr–May with improved SDR-to-close velocity.</t>
  </si>
  <si>
    <t>Forecast $10.9M vs budget $10.5M (+$0.33M). Mid-market CS penetration and seat expansion in enterprise accounts. 4 of 5 YTD months outperformed expansion budget.</t>
  </si>
  <si>
    <t>Forecast and budget essentially equal at $2.76M. Reactivation pipeline tracking to plan with minor timing variation.</t>
  </si>
  <si>
    <t>– Contraction</t>
  </si>
  <si>
    <t>Contraction forecast at –$3.93M vs –$4.00M budget — slightly better than plan. SMB downgrade frequency is being monitored.</t>
  </si>
  <si>
    <t>– Churn</t>
  </si>
  <si>
    <t>Churn forecast at –$7.00M vs –$7.21M budget — better than plan. SMB represents 78% of gross churn. H2 risk if GRR deteriorates 30–50bps.</t>
  </si>
  <si>
    <t>EOP — Ending ARR</t>
  </si>
  <si>
    <t>Full-year ARR forecast of $97.5M exceeds budget of $96.1M by $1.4M (1.5%). Driven by New Business and Expansion outperformance.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</si>
</sst>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\$#,##0.0;&quot;($&quot;#,##0.0\);\-"/>
    <numFmt numFmtId="165" formatCode="&quot;+$&quot;#,##0.0;&quot;($&quot;#,##0.0\);\-"/>
    <numFmt numFmtId="166" formatCode="\+0.0%;\(0.0%\);\-"/>
    <numFmt numFmtId="167" formatCode="0.0%;\(0.0%\);\-"/>
    <numFmt numFmtId="168" formatCode="\$#,##0.00"/>
    <numFmt numFmtId="169" formatCode="&quot;+$&quot;#,##0.00;&quot;($&quot;#,##0.00\);\-"/>
    <numFmt numFmtId="170" formatCode="\+#,##0;\(#,##0\);\-"/>
    <numFmt numFmtId="171" formatCode="0.0%"/>
    <numFmt numFmtId="172" formatCode="0.0\x"/>
  </numFmts>
  <fonts count="45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9"/>
      <color rgb="FFFFFFFF"/>
      <name val="Arial"/>
      <charset val="1"/>
    </font>
    <font>
      <b/>
      <sz val="8"/>
      <color rgb="FF1B4F72"/>
      <name val="Arial"/>
      <charset val="1"/>
    </font>
    <font>
      <b/>
      <sz val="8"/>
      <color rgb="FF92400E"/>
      <name val="Arial"/>
      <charset val="1"/>
    </font>
    <font>
      <b/>
      <sz val="8"/>
      <color rgb="FF0F6E56"/>
      <name val="Arial"/>
      <charset val="1"/>
    </font>
    <font>
      <b/>
      <sz val="8"/>
      <color rgb="FF374151"/>
      <name val="Arial"/>
      <charset val="1"/>
    </font>
    <font>
      <b/>
      <sz val="10"/>
      <color rgb="FF1E293B"/>
      <name val="Arial"/>
      <charset val="1"/>
    </font>
    <font>
      <b/>
      <sz val="10"/>
      <color rgb="FF0000FF"/>
      <name val="Arial"/>
      <charset val="1"/>
    </font>
    <font>
      <b/>
      <sz val="10"/>
      <color rgb="FF94A3B8"/>
      <name val="Arial"/>
      <charset val="1"/>
    </font>
    <font>
      <b/>
      <sz val="10"/>
      <color rgb="FF1B4F72"/>
      <name val="Arial"/>
      <charset val="1"/>
    </font>
    <font>
      <b/>
      <sz val="10"/>
      <color rgb="FF0F6E56"/>
      <name val="Arial"/>
      <charset val="1"/>
    </font>
    <font>
      <b/>
      <sz val="10"/>
      <color rgb="FFC0392B"/>
      <name val="Arial"/>
      <charset val="1"/>
    </font>
    <font>
      <sz val="10"/>
      <color rgb="FFC0392B"/>
      <name val="Arial"/>
      <charset val="1"/>
    </font>
    <font>
      <i/>
      <sz val="10"/>
      <color rgb="FF1E293B"/>
      <name val="Arial"/>
      <charset val="1"/>
    </font>
    <font>
      <sz val="10"/>
      <color rgb="FF0000FF"/>
      <name val="Arial"/>
      <charset val="1"/>
    </font>
    <font>
      <sz val="10"/>
      <color rgb="FF94A3B8"/>
      <name val="Arial"/>
      <charset val="1"/>
    </font>
    <font>
      <sz val="10"/>
      <color rgb="FF92400E"/>
      <name val="Arial"/>
      <charset val="1"/>
    </font>
    <font>
      <sz val="10"/>
      <color rgb="FF1B4F72"/>
      <name val="Arial"/>
      <charset val="1"/>
    </font>
    <font>
      <sz val="10"/>
      <color rgb="FF0F6E56"/>
      <name val="Arial"/>
      <charset val="1"/>
    </font>
    <font>
      <sz val="10"/>
      <color rgb="FF16A34A"/>
      <name val="Arial"/>
      <charset val="1"/>
    </font>
    <font>
      <sz val="10"/>
      <color rgb="FF475569"/>
      <name val="Arial"/>
      <charset val="1"/>
    </font>
    <font>
      <b/>
      <sz val="10"/>
      <color rgb="FF92400E"/>
      <name val="Arial"/>
      <charset val="1"/>
    </font>
    <font>
      <b/>
      <sz val="10"/>
      <color rgb="FF16A34A"/>
      <name val="Arial"/>
      <charset val="1"/>
    </font>
    <font>
      <sz val="10"/>
      <color rgb="FF1E293B"/>
      <name val="Arial"/>
      <charset val="1"/>
    </font>
    <font>
      <i/>
      <sz val="8"/>
      <color rgb="FF94A3B8"/>
      <name val="Arial"/>
      <charset val="1"/>
    </font>
    <font>
      <b/>
      <sz val="8"/>
      <color rgb="FFFFFFFF"/>
      <name val="Arial"/>
      <charset val="1"/>
    </font>
    <font>
      <b/>
      <sz val="10"/>
      <color rgb="FF0D9488"/>
      <name val="Arial"/>
      <charset val="1"/>
    </font>
    <font>
      <sz val="9.5"/>
      <color rgb="FF475569"/>
      <name val="Arial"/>
      <charset val="1"/>
    </font>
    <font>
      <i/>
      <sz val="8.5"/>
      <color rgb="FF475569"/>
      <name val="Arial"/>
      <charset val="1"/>
    </font>
    <font>
      <b/>
      <sz val="10"/>
      <color rgb="FF475569"/>
      <name val="Arial"/>
      <charset val="1"/>
    </font>
    <font>
      <b/>
      <sz val="9.5"/>
      <color rgb="FF0D9488"/>
      <name val="Arial"/>
      <charset val="1"/>
    </font>
    <font>
      <b/>
      <sz val="9.5"/>
      <color rgb="FF1E293B"/>
      <name val="Arial"/>
      <charset val="1"/>
    </font>
    <font>
      <sz val="9.5"/>
      <color rgb="FF1E293B"/>
      <name val="Arial"/>
      <charset val="1"/>
    </font>
    <font>
      <b/>
      <sz val="9.5"/>
      <color rgb="FFC0392B"/>
      <name val="Arial"/>
      <charset val="1"/>
    </font>
    <font>
      <sz val="9.5"/>
      <color rgb="FFC0392B"/>
      <name val="Arial"/>
      <charset val="1"/>
    </font>
    <font>
      <b/>
      <sz val="9.5"/>
      <color rgb="FFB45309"/>
      <name val="Arial"/>
      <charset val="1"/>
    </font>
    <font>
      <sz val="9.5"/>
      <color rgb="FFB45309"/>
      <name val="Arial"/>
      <charset val="1"/>
    </font>
    <font>
      <b/>
      <sz val="9.5"/>
      <color rgb="FF16A34A"/>
      <name val="Arial"/>
      <charset val="1"/>
    </font>
    <font>
      <b/>
      <sz val="9.5"/>
      <color rgb="FFFFFFFF"/>
      <name val="Arial"/>
      <charset val="1"/>
    </font>
    <font>
      <sz val="9.5"/>
      <color rgb="FF0000FF"/>
      <name val="Arial"/>
      <charset val="1"/>
    </font>
    <font>
      <sz val="9.5"/>
      <color rgb="FF16A34A"/>
      <name val="Arial"/>
      <charset val="1"/>
    </font>
    <font>
      <sz val="10"/>
      <color rgb="FF2D8A5E"/>
      <name val="Arial"/>
      <charset val="1"/>
    </font>
    <font>
      <sz val="10"/>
      <color rgb="FFB45309"/>
      <name val="Arial"/>
      <charset val="1"/>
    </font>
    <font>
      <sz val="9"/>
      <color rgb="FF475569"/>
      <name val="Arial"/>
      <charset val="1"/>
    </font>
  </fonts>
  <fills count="22">
    <fill>
      <patternFill patternType="none"/>
    </fill>
    <fill>
      <patternFill patternType="gray125"/>
    </fill>
    <fill>
      <patternFill patternType="solid">
        <fgColor rgb="FF0D1B2A"/>
        <bgColor rgb="FF1E293B"/>
      </patternFill>
    </fill>
    <fill>
      <patternFill patternType="solid">
        <fgColor rgb="FF1B4F72"/>
        <bgColor rgb="FF1A5C3E"/>
      </patternFill>
    </fill>
    <fill>
      <patternFill patternType="solid">
        <fgColor rgb="FF92400E"/>
        <bgColor rgb="FFB45309"/>
      </patternFill>
    </fill>
    <fill>
      <patternFill patternType="solid">
        <fgColor rgb="FF0F6E56"/>
        <bgColor rgb="FF1A5C3E"/>
      </patternFill>
    </fill>
    <fill>
      <patternFill patternType="solid">
        <fgColor rgb="FF374151"/>
        <bgColor rgb="FF475569"/>
      </patternFill>
    </fill>
    <fill>
      <patternFill patternType="solid">
        <fgColor rgb="FFEFF6FF"/>
        <bgColor rgb="FFF1F5F9"/>
      </patternFill>
    </fill>
    <fill>
      <patternFill patternType="solid">
        <fgColor rgb="FFFFFBEB"/>
        <bgColor rgb="FFF8FAFC"/>
      </patternFill>
    </fill>
    <fill>
      <patternFill patternType="solid">
        <fgColor rgb="FFF0FDF4"/>
        <bgColor rgb="FFEEF9F7"/>
      </patternFill>
    </fill>
    <fill>
      <patternFill patternType="solid">
        <fgColor rgb="FFFFF1F0"/>
        <bgColor rgb="FFFFFBEB"/>
      </patternFill>
    </fill>
    <fill>
      <patternFill patternType="solid">
        <fgColor rgb="FF0D9488"/>
        <bgColor rgb="FF2D8A5E"/>
      </patternFill>
    </fill>
    <fill>
      <patternFill patternType="solid">
        <fgColor rgb="FFEEF9F7"/>
        <bgColor rgb="FFF0FDF4"/>
      </patternFill>
    </fill>
    <fill>
      <patternFill patternType="solid">
        <fgColor rgb="FFFFF9C4"/>
        <bgColor rgb="FFFFFBEB"/>
      </patternFill>
    </fill>
    <fill>
      <patternFill patternType="solid">
        <fgColor rgb="FFF8FAFC"/>
        <bgColor rgb="FFFFFFFF"/>
      </patternFill>
    </fill>
    <fill>
      <patternFill patternType="solid">
        <fgColor rgb="FFDBEAFE"/>
        <bgColor rgb="FFEFF6FF"/>
      </patternFill>
    </fill>
    <fill>
      <patternFill patternType="solid">
        <fgColor rgb="FFDCFCE7"/>
        <bgColor rgb="FFEEF9F7"/>
      </patternFill>
    </fill>
    <fill>
      <patternFill patternType="solid">
        <fgColor rgb="FFF1F5F9"/>
        <bgColor rgb="FFEFF6FF"/>
      </patternFill>
    </fill>
    <fill>
      <patternFill patternType="solid">
        <fgColor rgb="FFFFFFFF"/>
        <bgColor rgb="FFF8FAFC"/>
      </patternFill>
    </fill>
    <fill>
      <patternFill patternType="solid">
        <fgColor rgb="FF1A5C3E"/>
        <bgColor rgb="FF0F6E56"/>
      </patternFill>
    </fill>
    <fill>
      <patternFill patternType="solid">
        <fgColor rgb="FF0D3D2A"/>
        <bgColor rgb="FF1E293B"/>
      </patternFill>
    </fill>
    <fill>
      <patternFill patternType="solid">
        <fgColor rgb="FF2D8A5E"/>
        <bgColor rgb="FF0D9488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90">
    <xf numFmtId="0" fontId="0" fillId="0" borderId="0" xfId="0"/>
    <xf numFmtId="0" fontId="2" fillId="11" borderId="0" xfId="0" applyFont="1" applyFill="1" applyBorder="1" applyAlignment="1">
      <alignment horizontal="left" vertical="center"/>
    </xf>
    <xf numFmtId="0" fontId="1" fillId="20" borderId="0" xfId="0" applyFont="1" applyFill="1" applyBorder="1" applyAlignment="1">
      <alignment horizontal="left" vertical="center"/>
    </xf>
    <xf numFmtId="0" fontId="2" fillId="20" borderId="0" xfId="0" applyFont="1" applyFill="1" applyBorder="1" applyAlignment="1">
      <alignment horizontal="left" vertical="center"/>
    </xf>
    <xf numFmtId="0" fontId="2" fillId="19" borderId="0" xfId="0" applyFont="1" applyFill="1" applyBorder="1" applyAlignment="1">
      <alignment horizontal="left" vertical="center"/>
    </xf>
    <xf numFmtId="0" fontId="25" fillId="14" borderId="0" xfId="0" applyFont="1" applyFill="1" applyBorder="1" applyAlignment="1">
      <alignment horizontal="left" vertical="center" indent="1"/>
    </xf>
    <xf numFmtId="0" fontId="2" fillId="11" borderId="0" xfId="0" applyFont="1" applyFill="1" applyBorder="1" applyAlignment="1">
      <alignment horizontal="left" vertical="center" indent="1"/>
    </xf>
    <xf numFmtId="0" fontId="2" fillId="6" borderId="0" xfId="0" applyFont="1" applyFill="1" applyBorder="1" applyAlignment="1">
      <alignment horizontal="center" vertical="center" wrapText="1"/>
    </xf>
    <xf numFmtId="0" fontId="2" fillId="5" borderId="0" xfId="0" applyFont="1" applyFill="1" applyBorder="1" applyAlignment="1">
      <alignment horizontal="center" vertical="center" wrapText="1"/>
    </xf>
    <xf numFmtId="0" fontId="2" fillId="4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left" vertical="center"/>
    </xf>
    <xf numFmtId="0" fontId="0" fillId="0" borderId="0" xfId="0" applyAlignment="1"/>
    <xf numFmtId="0" fontId="3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left" vertical="center" indent="1"/>
    </xf>
    <xf numFmtId="164" fontId="8" fillId="12" borderId="1" xfId="0" applyNumberFormat="1" applyFont="1" applyFill="1" applyBorder="1" applyAlignment="1">
      <alignment horizontal="right" vertical="center"/>
    </xf>
    <xf numFmtId="164" fontId="9" fillId="13" borderId="1" xfId="0" applyNumberFormat="1" applyFont="1" applyFill="1" applyBorder="1" applyAlignment="1">
      <alignment horizontal="right" vertical="center"/>
    </xf>
    <xf numFmtId="164" fontId="9" fillId="12" borderId="1" xfId="0" applyNumberFormat="1" applyFont="1" applyFill="1" applyBorder="1" applyAlignment="1">
      <alignment horizontal="right" vertical="center"/>
    </xf>
    <xf numFmtId="164" fontId="10" fillId="12" borderId="1" xfId="0" applyNumberFormat="1" applyFont="1" applyFill="1" applyBorder="1" applyAlignment="1">
      <alignment horizontal="right" vertical="center"/>
    </xf>
    <xf numFmtId="164" fontId="11" fillId="12" borderId="1" xfId="0" applyNumberFormat="1" applyFont="1" applyFill="1" applyBorder="1" applyAlignment="1">
      <alignment horizontal="right" vertical="center"/>
    </xf>
    <xf numFmtId="165" fontId="12" fillId="12" borderId="1" xfId="0" applyNumberFormat="1" applyFont="1" applyFill="1" applyBorder="1" applyAlignment="1">
      <alignment horizontal="right" vertical="center"/>
    </xf>
    <xf numFmtId="166" fontId="13" fillId="12" borderId="1" xfId="0" applyNumberFormat="1" applyFont="1" applyFill="1" applyBorder="1" applyAlignment="1">
      <alignment horizontal="right" vertical="center"/>
    </xf>
    <xf numFmtId="0" fontId="14" fillId="14" borderId="1" xfId="0" applyFont="1" applyFill="1" applyBorder="1" applyAlignment="1">
      <alignment horizontal="left" vertical="center" indent="2"/>
    </xf>
    <xf numFmtId="164" fontId="15" fillId="7" borderId="1" xfId="0" applyNumberFormat="1" applyFont="1" applyFill="1" applyBorder="1" applyAlignment="1">
      <alignment horizontal="right" vertical="center"/>
    </xf>
    <xf numFmtId="164" fontId="16" fillId="13" borderId="1" xfId="0" applyNumberFormat="1" applyFont="1" applyFill="1" applyBorder="1" applyAlignment="1">
      <alignment horizontal="right" vertical="center"/>
    </xf>
    <xf numFmtId="164" fontId="17" fillId="8" borderId="1" xfId="0" applyNumberFormat="1" applyFont="1" applyFill="1" applyBorder="1" applyAlignment="1">
      <alignment horizontal="right" vertical="center"/>
    </xf>
    <xf numFmtId="164" fontId="18" fillId="15" borderId="1" xfId="0" applyNumberFormat="1" applyFont="1" applyFill="1" applyBorder="1" applyAlignment="1">
      <alignment horizontal="right" vertical="center"/>
    </xf>
    <xf numFmtId="164" fontId="19" fillId="16" borderId="1" xfId="0" applyNumberFormat="1" applyFont="1" applyFill="1" applyBorder="1" applyAlignment="1">
      <alignment horizontal="right" vertical="center"/>
    </xf>
    <xf numFmtId="165" fontId="20" fillId="17" borderId="1" xfId="0" applyNumberFormat="1" applyFont="1" applyFill="1" applyBorder="1" applyAlignment="1">
      <alignment horizontal="right" vertical="center"/>
    </xf>
    <xf numFmtId="165" fontId="13" fillId="17" borderId="1" xfId="0" applyNumberFormat="1" applyFont="1" applyFill="1" applyBorder="1" applyAlignment="1">
      <alignment horizontal="right" vertical="center"/>
    </xf>
    <xf numFmtId="166" fontId="20" fillId="17" borderId="1" xfId="0" applyNumberFormat="1" applyFont="1" applyFill="1" applyBorder="1" applyAlignment="1">
      <alignment horizontal="right" vertical="center"/>
    </xf>
    <xf numFmtId="166" fontId="13" fillId="17" borderId="1" xfId="0" applyNumberFormat="1" applyFont="1" applyFill="1" applyBorder="1" applyAlignment="1">
      <alignment horizontal="right" vertical="center"/>
    </xf>
    <xf numFmtId="165" fontId="21" fillId="17" borderId="1" xfId="0" applyNumberFormat="1" applyFont="1" applyFill="1" applyBorder="1" applyAlignment="1">
      <alignment horizontal="right" vertical="center"/>
    </xf>
    <xf numFmtId="166" fontId="21" fillId="17" borderId="1" xfId="0" applyNumberFormat="1" applyFont="1" applyFill="1" applyBorder="1" applyAlignment="1">
      <alignment horizontal="right" vertical="center"/>
    </xf>
    <xf numFmtId="0" fontId="0" fillId="18" borderId="0" xfId="0" applyFill="1" applyAlignment="1"/>
    <xf numFmtId="164" fontId="22" fillId="12" borderId="1" xfId="0" applyNumberFormat="1" applyFont="1" applyFill="1" applyBorder="1" applyAlignment="1">
      <alignment horizontal="right" vertical="center"/>
    </xf>
    <xf numFmtId="165" fontId="23" fillId="12" borderId="1" xfId="0" applyNumberFormat="1" applyFont="1" applyFill="1" applyBorder="1" applyAlignment="1">
      <alignment horizontal="right" vertical="center"/>
    </xf>
    <xf numFmtId="166" fontId="20" fillId="12" borderId="1" xfId="0" applyNumberFormat="1" applyFont="1" applyFill="1" applyBorder="1" applyAlignment="1">
      <alignment horizontal="right" vertical="center"/>
    </xf>
    <xf numFmtId="0" fontId="24" fillId="14" borderId="1" xfId="0" applyFont="1" applyFill="1" applyBorder="1" applyAlignment="1">
      <alignment horizontal="left" vertical="center" indent="1"/>
    </xf>
    <xf numFmtId="167" fontId="15" fillId="7" borderId="1" xfId="0" applyNumberFormat="1" applyFont="1" applyFill="1" applyBorder="1" applyAlignment="1">
      <alignment horizontal="right" vertical="center"/>
    </xf>
    <xf numFmtId="167" fontId="16" fillId="13" borderId="1" xfId="0" applyNumberFormat="1" applyFont="1" applyFill="1" applyBorder="1" applyAlignment="1">
      <alignment horizontal="right" vertical="center"/>
    </xf>
    <xf numFmtId="167" fontId="17" fillId="8" borderId="1" xfId="0" applyNumberFormat="1" applyFont="1" applyFill="1" applyBorder="1" applyAlignment="1">
      <alignment horizontal="right" vertical="center"/>
    </xf>
    <xf numFmtId="167" fontId="18" fillId="15" borderId="1" xfId="0" applyNumberFormat="1" applyFont="1" applyFill="1" applyBorder="1" applyAlignment="1">
      <alignment horizontal="right" vertical="center"/>
    </xf>
    <xf numFmtId="167" fontId="19" fillId="16" borderId="1" xfId="0" applyNumberFormat="1" applyFont="1" applyFill="1" applyBorder="1" applyAlignment="1">
      <alignment horizontal="right" vertical="center"/>
    </xf>
    <xf numFmtId="0" fontId="26" fillId="2" borderId="1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left" vertical="center"/>
    </xf>
    <xf numFmtId="168" fontId="15" fillId="14" borderId="1" xfId="0" applyNumberFormat="1" applyFont="1" applyFill="1" applyBorder="1" applyAlignment="1">
      <alignment horizontal="right" vertical="center"/>
    </xf>
    <xf numFmtId="168" fontId="21" fillId="14" borderId="1" xfId="0" applyNumberFormat="1" applyFont="1" applyFill="1" applyBorder="1" applyAlignment="1">
      <alignment horizontal="right" vertical="center"/>
    </xf>
    <xf numFmtId="169" fontId="23" fillId="14" borderId="1" xfId="0" applyNumberFormat="1" applyFont="1" applyFill="1" applyBorder="1" applyAlignment="1">
      <alignment horizontal="right" vertical="center"/>
    </xf>
    <xf numFmtId="0" fontId="7" fillId="18" borderId="1" xfId="0" applyFont="1" applyFill="1" applyBorder="1" applyAlignment="1">
      <alignment horizontal="left" vertical="center"/>
    </xf>
    <xf numFmtId="168" fontId="15" fillId="18" borderId="1" xfId="0" applyNumberFormat="1" applyFont="1" applyFill="1" applyBorder="1" applyAlignment="1">
      <alignment horizontal="right" vertical="center"/>
    </xf>
    <xf numFmtId="168" fontId="21" fillId="18" borderId="1" xfId="0" applyNumberFormat="1" applyFont="1" applyFill="1" applyBorder="1" applyAlignment="1">
      <alignment horizontal="right" vertical="center"/>
    </xf>
    <xf numFmtId="169" fontId="23" fillId="18" borderId="1" xfId="0" applyNumberFormat="1" applyFont="1" applyFill="1" applyBorder="1" applyAlignment="1">
      <alignment horizontal="right" vertical="center"/>
    </xf>
    <xf numFmtId="169" fontId="7" fillId="18" borderId="1" xfId="0" applyNumberFormat="1" applyFont="1" applyFill="1" applyBorder="1" applyAlignment="1">
      <alignment horizontal="right" vertical="center"/>
    </xf>
    <xf numFmtId="169" fontId="12" fillId="14" borderId="1" xfId="0" applyNumberFormat="1" applyFont="1" applyFill="1" applyBorder="1" applyAlignment="1">
      <alignment horizontal="right" vertical="center"/>
    </xf>
    <xf numFmtId="0" fontId="26" fillId="2" borderId="1" xfId="0" applyFont="1" applyFill="1" applyBorder="1" applyAlignment="1">
      <alignment horizontal="left" vertical="center" wrapText="1"/>
    </xf>
    <xf numFmtId="0" fontId="27" fillId="14" borderId="1" xfId="0" applyFont="1" applyFill="1" applyBorder="1" applyAlignment="1">
      <alignment horizontal="left" vertical="center"/>
    </xf>
    <xf numFmtId="0" fontId="24" fillId="14" borderId="1" xfId="0" applyFont="1" applyFill="1" applyBorder="1" applyAlignment="1">
      <alignment horizontal="left" vertical="center"/>
    </xf>
    <xf numFmtId="0" fontId="28" fillId="14" borderId="1" xfId="0" applyFont="1" applyFill="1" applyBorder="1" applyAlignment="1">
      <alignment horizontal="left" vertical="top" wrapText="1" indent="1"/>
    </xf>
    <xf numFmtId="0" fontId="7" fillId="14" borderId="1" xfId="0" applyFont="1" applyFill="1" applyBorder="1" applyAlignment="1">
      <alignment horizontal="center" vertical="center"/>
    </xf>
    <xf numFmtId="0" fontId="29" fillId="14" borderId="1" xfId="0" applyFont="1" applyFill="1" applyBorder="1" applyAlignment="1">
      <alignment horizontal="left" vertical="top" wrapText="1" indent="1"/>
    </xf>
    <xf numFmtId="0" fontId="27" fillId="18" borderId="1" xfId="0" applyFont="1" applyFill="1" applyBorder="1" applyAlignment="1">
      <alignment horizontal="left" vertical="center"/>
    </xf>
    <xf numFmtId="0" fontId="24" fillId="18" borderId="1" xfId="0" applyFont="1" applyFill="1" applyBorder="1" applyAlignment="1">
      <alignment horizontal="left" vertical="center"/>
    </xf>
    <xf numFmtId="0" fontId="28" fillId="18" borderId="1" xfId="0" applyFont="1" applyFill="1" applyBorder="1" applyAlignment="1">
      <alignment horizontal="left" vertical="top" wrapText="1" indent="1"/>
    </xf>
    <xf numFmtId="0" fontId="7" fillId="18" borderId="1" xfId="0" applyFont="1" applyFill="1" applyBorder="1" applyAlignment="1">
      <alignment horizontal="center" vertical="center"/>
    </xf>
    <xf numFmtId="0" fontId="29" fillId="18" borderId="1" xfId="0" applyFont="1" applyFill="1" applyBorder="1" applyAlignment="1">
      <alignment horizontal="left" vertical="top" wrapText="1" indent="1"/>
    </xf>
    <xf numFmtId="165" fontId="30" fillId="12" borderId="1" xfId="0" applyNumberFormat="1" applyFont="1" applyFill="1" applyBorder="1" applyAlignment="1">
      <alignment horizontal="right" vertical="center"/>
    </xf>
    <xf numFmtId="166" fontId="21" fillId="12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 wrapText="1"/>
    </xf>
    <xf numFmtId="0" fontId="31" fillId="14" borderId="1" xfId="0" applyFont="1" applyFill="1" applyBorder="1" applyAlignment="1">
      <alignment horizontal="left" vertical="top" wrapText="1" indent="1"/>
    </xf>
    <xf numFmtId="0" fontId="32" fillId="14" borderId="1" xfId="0" applyFont="1" applyFill="1" applyBorder="1" applyAlignment="1">
      <alignment horizontal="left" vertical="top" wrapText="1" indent="1"/>
    </xf>
    <xf numFmtId="0" fontId="33" fillId="14" borderId="1" xfId="0" applyFont="1" applyFill="1" applyBorder="1" applyAlignment="1">
      <alignment horizontal="right" vertical="top" wrapText="1" indent="1"/>
    </xf>
    <xf numFmtId="0" fontId="33" fillId="14" borderId="1" xfId="0" applyFont="1" applyFill="1" applyBorder="1" applyAlignment="1">
      <alignment horizontal="left" vertical="top" wrapText="1" indent="1"/>
    </xf>
    <xf numFmtId="0" fontId="31" fillId="18" borderId="1" xfId="0" applyFont="1" applyFill="1" applyBorder="1" applyAlignment="1">
      <alignment horizontal="left" vertical="top" wrapText="1" indent="1"/>
    </xf>
    <xf numFmtId="0" fontId="32" fillId="18" borderId="1" xfId="0" applyFont="1" applyFill="1" applyBorder="1" applyAlignment="1">
      <alignment horizontal="left" vertical="top" wrapText="1" indent="1"/>
    </xf>
    <xf numFmtId="0" fontId="33" fillId="18" borderId="1" xfId="0" applyFont="1" applyFill="1" applyBorder="1" applyAlignment="1">
      <alignment horizontal="right" vertical="top" wrapText="1" indent="1"/>
    </xf>
    <xf numFmtId="0" fontId="33" fillId="18" borderId="1" xfId="0" applyFont="1" applyFill="1" applyBorder="1" applyAlignment="1">
      <alignment horizontal="left" vertical="top" wrapText="1" indent="1"/>
    </xf>
    <xf numFmtId="0" fontId="34" fillId="10" borderId="1" xfId="0" applyFont="1" applyFill="1" applyBorder="1" applyAlignment="1">
      <alignment horizontal="center" vertical="top" wrapText="1"/>
    </xf>
    <xf numFmtId="0" fontId="33" fillId="10" borderId="1" xfId="0" applyFont="1" applyFill="1" applyBorder="1" applyAlignment="1">
      <alignment horizontal="center" vertical="top" wrapText="1"/>
    </xf>
    <xf numFmtId="0" fontId="33" fillId="10" borderId="1" xfId="0" applyFont="1" applyFill="1" applyBorder="1" applyAlignment="1">
      <alignment horizontal="left" vertical="top" wrapText="1" indent="1"/>
    </xf>
    <xf numFmtId="0" fontId="35" fillId="10" borderId="1" xfId="0" applyFont="1" applyFill="1" applyBorder="1" applyAlignment="1">
      <alignment horizontal="center" vertical="top" wrapText="1"/>
    </xf>
    <xf numFmtId="0" fontId="36" fillId="10" borderId="1" xfId="0" applyFont="1" applyFill="1" applyBorder="1" applyAlignment="1">
      <alignment horizontal="center" vertical="top" wrapText="1"/>
    </xf>
    <xf numFmtId="0" fontId="37" fillId="10" borderId="1" xfId="0" applyFont="1" applyFill="1" applyBorder="1" applyAlignment="1">
      <alignment horizontal="center" vertical="top" wrapText="1"/>
    </xf>
    <xf numFmtId="0" fontId="38" fillId="9" borderId="1" xfId="0" applyFont="1" applyFill="1" applyBorder="1" applyAlignment="1">
      <alignment horizontal="center" vertical="top" wrapText="1"/>
    </xf>
    <xf numFmtId="0" fontId="33" fillId="9" borderId="1" xfId="0" applyFont="1" applyFill="1" applyBorder="1" applyAlignment="1">
      <alignment horizontal="center" vertical="top" wrapText="1"/>
    </xf>
    <xf numFmtId="0" fontId="34" fillId="9" borderId="1" xfId="0" applyFont="1" applyFill="1" applyBorder="1" applyAlignment="1">
      <alignment horizontal="center" vertical="top" wrapText="1"/>
    </xf>
    <xf numFmtId="0" fontId="33" fillId="9" borderId="1" xfId="0" applyFont="1" applyFill="1" applyBorder="1" applyAlignment="1">
      <alignment horizontal="left" vertical="top" wrapText="1" indent="1"/>
    </xf>
    <xf numFmtId="0" fontId="35" fillId="9" borderId="1" xfId="0" applyFont="1" applyFill="1" applyBorder="1" applyAlignment="1">
      <alignment horizontal="center" vertical="top" wrapText="1"/>
    </xf>
    <xf numFmtId="0" fontId="37" fillId="9" borderId="1" xfId="0" applyFont="1" applyFill="1" applyBorder="1" applyAlignment="1">
      <alignment horizontal="center" vertical="top" wrapText="1"/>
    </xf>
    <xf numFmtId="0" fontId="36" fillId="9" borderId="1" xfId="0" applyFont="1" applyFill="1" applyBorder="1" applyAlignment="1">
      <alignment horizontal="center" vertical="top" wrapText="1"/>
    </xf>
    <xf numFmtId="0" fontId="7" fillId="14" borderId="1" xfId="0" applyFont="1" applyFill="1" applyBorder="1" applyAlignment="1">
      <alignment horizontal="left" vertical="center" indent="1"/>
    </xf>
    <xf numFmtId="0" fontId="15" fillId="14" borderId="1" xfId="0" applyFont="1" applyFill="1" applyBorder="1" applyAlignment="1">
      <alignment horizontal="right" vertical="center" indent="1"/>
    </xf>
    <xf numFmtId="0" fontId="20" fillId="14" borderId="1" xfId="0" applyFont="1" applyFill="1" applyBorder="1" applyAlignment="1">
      <alignment horizontal="right" vertical="center" indent="1"/>
    </xf>
    <xf numFmtId="0" fontId="7" fillId="18" borderId="1" xfId="0" applyFont="1" applyFill="1" applyBorder="1" applyAlignment="1">
      <alignment horizontal="left" vertical="center" indent="1"/>
    </xf>
    <xf numFmtId="0" fontId="15" fillId="18" borderId="1" xfId="0" applyFont="1" applyFill="1" applyBorder="1" applyAlignment="1">
      <alignment horizontal="right" vertical="center" indent="1"/>
    </xf>
    <xf numFmtId="0" fontId="20" fillId="18" borderId="1" xfId="0" applyFont="1" applyFill="1" applyBorder="1" applyAlignment="1">
      <alignment horizontal="right" vertical="center" indent="1"/>
    </xf>
    <xf numFmtId="0" fontId="24" fillId="18" borderId="1" xfId="0" applyFont="1" applyFill="1" applyBorder="1" applyAlignment="1">
      <alignment horizontal="left" vertical="center" indent="1"/>
    </xf>
    <xf numFmtId="0" fontId="24" fillId="14" borderId="1" xfId="0" applyFont="1" applyFill="1" applyBorder="1" applyAlignment="1">
      <alignment horizontal="right" vertical="center" indent="1"/>
    </xf>
    <xf numFmtId="0" fontId="13" fillId="18" borderId="1" xfId="0" applyFont="1" applyFill="1" applyBorder="1" applyAlignment="1">
      <alignment horizontal="right" vertical="center" indent="1"/>
    </xf>
    <xf numFmtId="0" fontId="24" fillId="18" borderId="1" xfId="0" applyFont="1" applyFill="1" applyBorder="1" applyAlignment="1">
      <alignment horizontal="right" vertical="center" indent="1"/>
    </xf>
    <xf numFmtId="0" fontId="7" fillId="12" borderId="1" xfId="0" applyFont="1" applyFill="1" applyBorder="1" applyAlignment="1">
      <alignment horizontal="right" vertical="center" indent="1"/>
    </xf>
    <xf numFmtId="0" fontId="23" fillId="12" borderId="1" xfId="0" applyFont="1" applyFill="1" applyBorder="1" applyAlignment="1">
      <alignment horizontal="right" vertical="center" indent="1"/>
    </xf>
    <xf numFmtId="0" fontId="39" fillId="2" borderId="1" xfId="0" applyFont="1" applyFill="1" applyBorder="1" applyAlignment="1">
      <alignment horizontal="left" vertical="center" indent="1"/>
    </xf>
    <xf numFmtId="0" fontId="33" fillId="18" borderId="1" xfId="0" applyFont="1" applyFill="1" applyBorder="1" applyAlignment="1">
      <alignment horizontal="left" vertical="center" indent="1"/>
    </xf>
    <xf numFmtId="0" fontId="33" fillId="14" borderId="1" xfId="0" applyFont="1" applyFill="1" applyBorder="1" applyAlignment="1">
      <alignment horizontal="left" vertical="center" indent="1"/>
    </xf>
    <xf numFmtId="0" fontId="40" fillId="18" borderId="1" xfId="0" applyFont="1" applyFill="1" applyBorder="1" applyAlignment="1">
      <alignment horizontal="left" vertical="center" indent="1"/>
    </xf>
    <xf numFmtId="0" fontId="41" fillId="18" borderId="1" xfId="0" applyFont="1" applyFill="1" applyBorder="1" applyAlignment="1">
      <alignment horizontal="left" vertical="center" indent="1"/>
    </xf>
    <xf numFmtId="0" fontId="35" fillId="14" borderId="1" xfId="0" applyFont="1" applyFill="1" applyBorder="1" applyAlignment="1">
      <alignment horizontal="left" vertical="center" indent="1"/>
    </xf>
    <xf numFmtId="0" fontId="26" fillId="19" borderId="1" xfId="0" applyFont="1" applyFill="1" applyBorder="1" applyAlignment="1">
      <alignment horizontal="center" vertical="center" wrapText="1"/>
    </xf>
    <xf numFmtId="0" fontId="26" fillId="21" borderId="1" xfId="0" applyFont="1" applyFill="1" applyBorder="1" applyAlignment="1">
      <alignment horizontal="center" vertical="center" wrapText="1"/>
    </xf>
    <xf numFmtId="0" fontId="26" fillId="11" borderId="1" xfId="0" applyFont="1" applyFill="1" applyBorder="1" applyAlignment="1">
      <alignment horizontal="center" vertical="center" wrapText="1"/>
    </xf>
    <xf numFmtId="49" fontId="7" fillId="14" borderId="1" xfId="0" applyNumberFormat="1" applyFont="1" applyFill="1" applyBorder="1" applyAlignment="1">
      <alignment horizontal="left" vertical="center" indent="1"/>
    </xf>
    <xf numFmtId="168" fontId="15" fillId="14" borderId="1" xfId="0" applyNumberFormat="1" applyFont="1" applyFill="1" applyBorder="1" applyAlignment="1">
      <alignment horizontal="right" vertical="center"/>
    </xf>
    <xf numFmtId="168" fontId="21" fillId="14" borderId="1" xfId="0" applyNumberFormat="1" applyFont="1" applyFill="1" applyBorder="1" applyAlignment="1">
      <alignment horizontal="right" vertical="center"/>
    </xf>
    <xf numFmtId="169" fontId="13" fillId="14" borderId="1" xfId="0" applyNumberFormat="1" applyFont="1" applyFill="1" applyBorder="1" applyAlignment="1">
      <alignment horizontal="right" vertical="center"/>
    </xf>
    <xf numFmtId="3" fontId="15" fillId="14" borderId="1" xfId="0" applyNumberFormat="1" applyFont="1" applyFill="1" applyBorder="1" applyAlignment="1">
      <alignment horizontal="right" vertical="center"/>
    </xf>
    <xf numFmtId="3" fontId="21" fillId="14" borderId="1" xfId="0" applyNumberFormat="1" applyFont="1" applyFill="1" applyBorder="1" applyAlignment="1">
      <alignment horizontal="right" vertical="center"/>
    </xf>
    <xf numFmtId="170" fontId="20" fillId="14" borderId="1" xfId="0" applyNumberFormat="1" applyFont="1" applyFill="1" applyBorder="1" applyAlignment="1">
      <alignment horizontal="right" vertical="center"/>
    </xf>
    <xf numFmtId="169" fontId="20" fillId="14" borderId="1" xfId="0" applyNumberFormat="1" applyFont="1" applyFill="1" applyBorder="1" applyAlignment="1">
      <alignment horizontal="right" vertical="center"/>
    </xf>
    <xf numFmtId="166" fontId="20" fillId="14" borderId="1" xfId="0" applyNumberFormat="1" applyFont="1" applyFill="1" applyBorder="1" applyAlignment="1">
      <alignment horizontal="right" vertical="center"/>
    </xf>
    <xf numFmtId="171" fontId="20" fillId="14" borderId="1" xfId="0" applyNumberFormat="1" applyFont="1" applyFill="1" applyBorder="1" applyAlignment="1">
      <alignment horizontal="right" vertical="center"/>
    </xf>
    <xf numFmtId="49" fontId="7" fillId="18" borderId="1" xfId="0" applyNumberFormat="1" applyFont="1" applyFill="1" applyBorder="1" applyAlignment="1">
      <alignment horizontal="left" vertical="center" indent="1"/>
    </xf>
    <xf numFmtId="168" fontId="15" fillId="18" borderId="1" xfId="0" applyNumberFormat="1" applyFont="1" applyFill="1" applyBorder="1" applyAlignment="1">
      <alignment horizontal="right" vertical="center"/>
    </xf>
    <xf numFmtId="168" fontId="21" fillId="18" borderId="1" xfId="0" applyNumberFormat="1" applyFont="1" applyFill="1" applyBorder="1" applyAlignment="1">
      <alignment horizontal="right" vertical="center"/>
    </xf>
    <xf numFmtId="169" fontId="20" fillId="18" borderId="1" xfId="0" applyNumberFormat="1" applyFont="1" applyFill="1" applyBorder="1" applyAlignment="1">
      <alignment horizontal="right" vertical="center"/>
    </xf>
    <xf numFmtId="3" fontId="15" fillId="18" borderId="1" xfId="0" applyNumberFormat="1" applyFont="1" applyFill="1" applyBorder="1" applyAlignment="1">
      <alignment horizontal="right" vertical="center"/>
    </xf>
    <xf numFmtId="3" fontId="21" fillId="18" borderId="1" xfId="0" applyNumberFormat="1" applyFont="1" applyFill="1" applyBorder="1" applyAlignment="1">
      <alignment horizontal="right" vertical="center"/>
    </xf>
    <xf numFmtId="170" fontId="13" fillId="18" borderId="1" xfId="0" applyNumberFormat="1" applyFont="1" applyFill="1" applyBorder="1" applyAlignment="1">
      <alignment horizontal="right" vertical="center"/>
    </xf>
    <xf numFmtId="166" fontId="20" fillId="18" borderId="1" xfId="0" applyNumberFormat="1" applyFont="1" applyFill="1" applyBorder="1" applyAlignment="1">
      <alignment horizontal="right" vertical="center"/>
    </xf>
    <xf numFmtId="171" fontId="20" fillId="18" borderId="1" xfId="0" applyNumberFormat="1" applyFont="1" applyFill="1" applyBorder="1" applyAlignment="1">
      <alignment horizontal="right" vertical="center"/>
    </xf>
    <xf numFmtId="170" fontId="13" fillId="14" borderId="1" xfId="0" applyNumberFormat="1" applyFont="1" applyFill="1" applyBorder="1" applyAlignment="1">
      <alignment horizontal="right" vertical="center"/>
    </xf>
    <xf numFmtId="169" fontId="13" fillId="18" borderId="1" xfId="0" applyNumberFormat="1" applyFont="1" applyFill="1" applyBorder="1" applyAlignment="1">
      <alignment horizontal="right" vertical="center"/>
    </xf>
    <xf numFmtId="166" fontId="13" fillId="18" borderId="1" xfId="0" applyNumberFormat="1" applyFont="1" applyFill="1" applyBorder="1" applyAlignment="1">
      <alignment horizontal="right" vertical="center"/>
    </xf>
    <xf numFmtId="171" fontId="42" fillId="14" borderId="1" xfId="0" applyNumberFormat="1" applyFont="1" applyFill="1" applyBorder="1" applyAlignment="1">
      <alignment horizontal="right" vertical="center"/>
    </xf>
    <xf numFmtId="171" fontId="42" fillId="18" borderId="1" xfId="0" applyNumberFormat="1" applyFont="1" applyFill="1" applyBorder="1" applyAlignment="1">
      <alignment horizontal="right" vertical="center"/>
    </xf>
    <xf numFmtId="166" fontId="13" fillId="14" borderId="1" xfId="0" applyNumberFormat="1" applyFont="1" applyFill="1" applyBorder="1" applyAlignment="1">
      <alignment horizontal="right" vertical="center"/>
    </xf>
    <xf numFmtId="171" fontId="43" fillId="14" borderId="1" xfId="0" applyNumberFormat="1" applyFont="1" applyFill="1" applyBorder="1" applyAlignment="1">
      <alignment horizontal="right" vertical="center"/>
    </xf>
    <xf numFmtId="171" fontId="13" fillId="18" borderId="1" xfId="0" applyNumberFormat="1" applyFont="1" applyFill="1" applyBorder="1" applyAlignment="1">
      <alignment horizontal="right" vertical="center"/>
    </xf>
    <xf numFmtId="171" fontId="13" fillId="14" borderId="1" xfId="0" applyNumberFormat="1" applyFont="1" applyFill="1" applyBorder="1" applyAlignment="1">
      <alignment horizontal="right" vertical="center"/>
    </xf>
    <xf numFmtId="170" fontId="20" fillId="18" borderId="1" xfId="0" applyNumberFormat="1" applyFont="1" applyFill="1" applyBorder="1" applyAlignment="1">
      <alignment horizontal="right" vertical="center"/>
    </xf>
    <xf numFmtId="49" fontId="7" fillId="12" borderId="1" xfId="0" applyNumberFormat="1" applyFont="1" applyFill="1" applyBorder="1" applyAlignment="1">
      <alignment horizontal="left" vertical="center" indent="1"/>
    </xf>
    <xf numFmtId="168" fontId="7" fillId="12" borderId="1" xfId="0" applyNumberFormat="1" applyFont="1" applyFill="1" applyBorder="1" applyAlignment="1">
      <alignment horizontal="right" vertical="center"/>
    </xf>
    <xf numFmtId="168" fontId="30" fillId="12" borderId="1" xfId="0" applyNumberFormat="1" applyFont="1" applyFill="1" applyBorder="1" applyAlignment="1">
      <alignment horizontal="right" vertical="center"/>
    </xf>
    <xf numFmtId="169" fontId="12" fillId="12" borderId="1" xfId="0" applyNumberFormat="1" applyFont="1" applyFill="1" applyBorder="1" applyAlignment="1">
      <alignment horizontal="right" vertical="center"/>
    </xf>
    <xf numFmtId="3" fontId="7" fillId="12" borderId="1" xfId="0" applyNumberFormat="1" applyFont="1" applyFill="1" applyBorder="1" applyAlignment="1">
      <alignment horizontal="right" vertical="center"/>
    </xf>
    <xf numFmtId="3" fontId="30" fillId="12" borderId="1" xfId="0" applyNumberFormat="1" applyFont="1" applyFill="1" applyBorder="1" applyAlignment="1">
      <alignment horizontal="right" vertical="center"/>
    </xf>
    <xf numFmtId="170" fontId="12" fillId="12" borderId="1" xfId="0" applyNumberFormat="1" applyFont="1" applyFill="1" applyBorder="1" applyAlignment="1">
      <alignment horizontal="right" vertical="center"/>
    </xf>
    <xf numFmtId="169" fontId="23" fillId="12" borderId="1" xfId="0" applyNumberFormat="1" applyFont="1" applyFill="1" applyBorder="1" applyAlignment="1">
      <alignment horizontal="right" vertical="center"/>
    </xf>
    <xf numFmtId="166" fontId="23" fillId="12" borderId="1" xfId="0" applyNumberFormat="1" applyFont="1" applyFill="1" applyBorder="1" applyAlignment="1">
      <alignment horizontal="right" vertical="center"/>
    </xf>
    <xf numFmtId="171" fontId="7" fillId="12" borderId="1" xfId="0" applyNumberFormat="1" applyFont="1" applyFill="1" applyBorder="1" applyAlignment="1">
      <alignment horizontal="right" vertical="center"/>
    </xf>
    <xf numFmtId="172" fontId="20" fillId="14" borderId="1" xfId="0" applyNumberFormat="1" applyFont="1" applyFill="1" applyBorder="1" applyAlignment="1">
      <alignment horizontal="right" vertical="center"/>
    </xf>
    <xf numFmtId="1" fontId="24" fillId="14" borderId="1" xfId="0" applyNumberFormat="1" applyFont="1" applyFill="1" applyBorder="1" applyAlignment="1">
      <alignment horizontal="center" vertical="center"/>
    </xf>
    <xf numFmtId="49" fontId="44" fillId="14" borderId="1" xfId="0" applyNumberFormat="1" applyFont="1" applyFill="1" applyBorder="1" applyAlignment="1">
      <alignment horizontal="left" vertical="center" wrapText="1" indent="1"/>
    </xf>
    <xf numFmtId="172" fontId="20" fillId="18" borderId="1" xfId="0" applyNumberFormat="1" applyFont="1" applyFill="1" applyBorder="1" applyAlignment="1">
      <alignment horizontal="right" vertical="center"/>
    </xf>
    <xf numFmtId="1" fontId="24" fillId="18" borderId="1" xfId="0" applyNumberFormat="1" applyFont="1" applyFill="1" applyBorder="1" applyAlignment="1">
      <alignment horizontal="center" vertical="center"/>
    </xf>
    <xf numFmtId="49" fontId="44" fillId="18" borderId="1" xfId="0" applyNumberFormat="1" applyFont="1" applyFill="1" applyBorder="1" applyAlignment="1">
      <alignment horizontal="left" vertical="center" wrapText="1" indent="1"/>
    </xf>
    <xf numFmtId="171" fontId="43" fillId="18" borderId="1" xfId="0" applyNumberFormat="1" applyFont="1" applyFill="1" applyBorder="1" applyAlignment="1">
      <alignment horizontal="right" vertical="center"/>
    </xf>
    <xf numFmtId="172" fontId="42" fillId="14" borderId="1" xfId="0" applyNumberFormat="1" applyFont="1" applyFill="1" applyBorder="1" applyAlignment="1">
      <alignment horizontal="right" vertical="center"/>
    </xf>
    <xf numFmtId="172" fontId="42" fillId="18" borderId="1" xfId="0" applyNumberFormat="1" applyFont="1" applyFill="1" applyBorder="1" applyAlignment="1">
      <alignment horizontal="right" vertical="center"/>
    </xf>
    <xf numFmtId="172" fontId="43" fillId="14" borderId="1" xfId="0" applyNumberFormat="1" applyFont="1" applyFill="1" applyBorder="1" applyAlignment="1">
      <alignment horizontal="right" vertical="center"/>
    </xf>
    <xf numFmtId="172" fontId="13" fillId="18" borderId="1" xfId="0" applyNumberFormat="1" applyFont="1" applyFill="1" applyBorder="1" applyAlignment="1">
      <alignment horizontal="right" vertical="center"/>
    </xf>
    <xf numFmtId="172" fontId="13" fillId="14" borderId="1" xfId="0" applyNumberFormat="1" applyFont="1" applyFill="1" applyBorder="1" applyAlignment="1">
      <alignment horizontal="right" vertical="center"/>
    </xf>
    <xf numFmtId="0" fontId="2" fillId="19" borderId="1" xfId="0" applyFont="1" applyFill="1" applyBorder="1" applyAlignment="1">
      <alignment horizontal="center" vertical="center" wrapText="1"/>
    </xf>
    <xf numFmtId="49" fontId="7" fillId="12" borderId="1" xfId="0" applyNumberFormat="1" applyFont="1" applyFill="1" applyBorder="1" applyAlignment="1">
      <alignment horizontal="left" vertical="top" indent="1"/>
    </xf>
    <xf numFmtId="168" fontId="8" fillId="12" borderId="1" xfId="0" applyNumberFormat="1" applyFont="1" applyFill="1" applyBorder="1" applyAlignment="1">
      <alignment horizontal="right" vertical="top"/>
    </xf>
    <xf numFmtId="168" fontId="30" fillId="12" borderId="1" xfId="0" applyNumberFormat="1" applyFont="1" applyFill="1" applyBorder="1" applyAlignment="1">
      <alignment horizontal="right" vertical="top"/>
    </xf>
    <xf numFmtId="169" fontId="30" fillId="12" borderId="1" xfId="0" applyNumberFormat="1" applyFont="1" applyFill="1" applyBorder="1" applyAlignment="1">
      <alignment horizontal="right" vertical="top"/>
    </xf>
    <xf numFmtId="166" fontId="21" fillId="12" borderId="1" xfId="0" applyNumberFormat="1" applyFont="1" applyFill="1" applyBorder="1" applyAlignment="1">
      <alignment horizontal="right" vertical="top"/>
    </xf>
    <xf numFmtId="49" fontId="21" fillId="12" borderId="1" xfId="0" applyNumberFormat="1" applyFont="1" applyFill="1" applyBorder="1" applyAlignment="1">
      <alignment horizontal="left" vertical="top" wrapText="1" indent="1"/>
    </xf>
    <xf numFmtId="49" fontId="24" fillId="18" borderId="1" xfId="0" applyNumberFormat="1" applyFont="1" applyFill="1" applyBorder="1" applyAlignment="1">
      <alignment horizontal="left" vertical="top" indent="1"/>
    </xf>
    <xf numFmtId="168" fontId="15" fillId="18" borderId="1" xfId="0" applyNumberFormat="1" applyFont="1" applyFill="1" applyBorder="1" applyAlignment="1">
      <alignment horizontal="right" vertical="top"/>
    </xf>
    <xf numFmtId="168" fontId="21" fillId="18" borderId="1" xfId="0" applyNumberFormat="1" applyFont="1" applyFill="1" applyBorder="1" applyAlignment="1">
      <alignment horizontal="right" vertical="top"/>
    </xf>
    <xf numFmtId="169" fontId="20" fillId="18" borderId="1" xfId="0" applyNumberFormat="1" applyFont="1" applyFill="1" applyBorder="1" applyAlignment="1">
      <alignment horizontal="right" vertical="top"/>
    </xf>
    <xf numFmtId="166" fontId="20" fillId="18" borderId="1" xfId="0" applyNumberFormat="1" applyFont="1" applyFill="1" applyBorder="1" applyAlignment="1">
      <alignment horizontal="right" vertical="top"/>
    </xf>
    <xf numFmtId="49" fontId="21" fillId="18" borderId="1" xfId="0" applyNumberFormat="1" applyFont="1" applyFill="1" applyBorder="1" applyAlignment="1">
      <alignment horizontal="left" vertical="top" wrapText="1" indent="1"/>
    </xf>
    <xf numFmtId="49" fontId="24" fillId="14" borderId="1" xfId="0" applyNumberFormat="1" applyFont="1" applyFill="1" applyBorder="1" applyAlignment="1">
      <alignment horizontal="left" vertical="top" indent="1"/>
    </xf>
    <xf numFmtId="168" fontId="15" fillId="14" borderId="1" xfId="0" applyNumberFormat="1" applyFont="1" applyFill="1" applyBorder="1" applyAlignment="1">
      <alignment horizontal="right" vertical="top"/>
    </xf>
    <xf numFmtId="168" fontId="21" fillId="14" borderId="1" xfId="0" applyNumberFormat="1" applyFont="1" applyFill="1" applyBorder="1" applyAlignment="1">
      <alignment horizontal="right" vertical="top"/>
    </xf>
    <xf numFmtId="169" fontId="20" fillId="14" borderId="1" xfId="0" applyNumberFormat="1" applyFont="1" applyFill="1" applyBorder="1" applyAlignment="1">
      <alignment horizontal="right" vertical="top"/>
    </xf>
    <xf numFmtId="166" fontId="20" fillId="14" borderId="1" xfId="0" applyNumberFormat="1" applyFont="1" applyFill="1" applyBorder="1" applyAlignment="1">
      <alignment horizontal="right" vertical="top"/>
    </xf>
    <xf numFmtId="49" fontId="21" fillId="14" borderId="1" xfId="0" applyNumberFormat="1" applyFont="1" applyFill="1" applyBorder="1" applyAlignment="1">
      <alignment horizontal="left" vertical="top" wrapText="1" indent="1"/>
    </xf>
    <xf numFmtId="169" fontId="13" fillId="14" borderId="1" xfId="0" applyNumberFormat="1" applyFont="1" applyFill="1" applyBorder="1" applyAlignment="1">
      <alignment horizontal="right" vertical="top"/>
    </xf>
    <xf numFmtId="166" fontId="13" fillId="14" borderId="1" xfId="0" applyNumberFormat="1" applyFont="1" applyFill="1" applyBorder="1" applyAlignment="1">
      <alignment horizontal="right" vertical="top"/>
    </xf>
    <xf numFmtId="169" fontId="13" fillId="18" borderId="1" xfId="0" applyNumberFormat="1" applyFont="1" applyFill="1" applyBorder="1" applyAlignment="1">
      <alignment horizontal="right" vertical="top"/>
    </xf>
    <xf numFmtId="166" fontId="13" fillId="18" borderId="1" xfId="0" applyNumberFormat="1" applyFont="1" applyFill="1" applyBorder="1" applyAlignment="1">
      <alignment horizontal="right" vertical="top"/>
    </xf>
    <xf numFmtId="169" fontId="23" fillId="12" borderId="1" xfId="0" applyNumberFormat="1" applyFont="1" applyFill="1" applyBorder="1" applyAlignment="1">
      <alignment horizontal="right" vertical="top"/>
    </xf>
    <xf numFmtId="166" fontId="20" fillId="12" borderId="1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EEF9F7"/>
      <rgbColor rgb="FFFF00FF"/>
      <rgbColor rgb="FF00FFFF"/>
      <rgbColor rgb="FF800000"/>
      <rgbColor rgb="FF1A5C3E"/>
      <rgbColor rgb="FF000080"/>
      <rgbColor rgb="FF808000"/>
      <rgbColor rgb="FF800080"/>
      <rgbColor rgb="FF0D9488"/>
      <rgbColor rgb="FFB3B3B3"/>
      <rgbColor rgb="FF808080"/>
      <rgbColor rgb="FFEFF6FF"/>
      <rgbColor rgb="FFC0392B"/>
      <rgbColor rgb="FFFFF9C4"/>
      <rgbColor rgb="FFDCFCE7"/>
      <rgbColor rgb="FF660066"/>
      <rgbColor rgb="FFFF8080"/>
      <rgbColor rgb="FF0066CC"/>
      <rgbColor rgb="FFCBD5E1"/>
      <rgbColor rgb="FF000080"/>
      <rgbColor rgb="FFFF00FF"/>
      <rgbColor rgb="FFF8FAFC"/>
      <rgbColor rgb="FF00FFFF"/>
      <rgbColor rgb="FF800080"/>
      <rgbColor rgb="FF800000"/>
      <rgbColor rgb="FF0F6E56"/>
      <rgbColor rgb="FF0000FF"/>
      <rgbColor rgb="FF00CCFF"/>
      <rgbColor rgb="FFDBEAFE"/>
      <rgbColor rgb="FFF0FDF4"/>
      <rgbColor rgb="FFFFFBEB"/>
      <rgbColor rgb="FFD1D5DB"/>
      <rgbColor rgb="FFFFF1F0"/>
      <rgbColor rgb="FFF1F5F9"/>
      <rgbColor rgb="FFD9D9D9"/>
      <rgbColor rgb="FF3366FF"/>
      <rgbColor rgb="FF16A34A"/>
      <rgbColor rgb="FF99CC00"/>
      <rgbColor rgb="FFFFCC00"/>
      <rgbColor rgb="FFFF9900"/>
      <rgbColor rgb="FFFF6600"/>
      <rgbColor rgb="FF475569"/>
      <rgbColor rgb="FF94A3B8"/>
      <rgbColor rgb="FF1B4F72"/>
      <rgbColor rgb="FF2D8A5E"/>
      <rgbColor rgb="FF0D3D2A"/>
      <rgbColor rgb="FF0D1B2A"/>
      <rgbColor rgb="FF92400E"/>
      <rgbColor rgb="FFB45309"/>
      <rgbColor rgb="FF374151"/>
      <rgbColor rgb="FF1E29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ARR Waterfall — May 2026 vs Budget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'ARR Waterfall'!$B$24</c:f>
              <c:strCache>
                <c:ptCount val="1"/>
                <c:pt idx="0">
                  <c:v>Value ($M)</c:v>
                </c:pt>
              </c:strCache>
            </c:strRef>
          </c:tx>
          <c:spPr>
            <a:solidFill>
              <a:srgbClr val="0D9488"/>
            </a:solidFill>
            <a:ln w="0">
              <a:solidFill>
                <a:srgbClr val="0D9488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'ARR Waterfall'!$A$25:$A$32</c:f>
              <c:strCache>
                <c:ptCount val="7"/>
                <c:pt idx="0">
                  <c:v>Begin ARR</c:v>
                </c:pt>
                <c:pt idx="1">
                  <c:v>New Business</c:v>
                </c:pt>
                <c:pt idx="2">
                  <c:v>Expansion</c:v>
                </c:pt>
                <c:pt idx="3">
                  <c:v>Reactivation</c:v>
                </c:pt>
                <c:pt idx="4">
                  <c:v>Contraction</c:v>
                </c:pt>
                <c:pt idx="5">
                  <c:v>Churn</c:v>
                </c:pt>
                <c:pt idx="6">
                  <c:v>End ARR</c:v>
                </c:pt>
              </c:strCache>
            </c:strRef>
          </c:cat>
          <c:val>
            <c:numRef>
              <c:f>'ARR Waterfall'!$B$25:$B$32</c:f>
              <c:numCache>
                <c:formatCode>\$#,##0.00</c:formatCode>
                <c:ptCount val="8"/>
                <c:pt idx="0">
                  <c:v>81.39</c:v>
                </c:pt>
                <c:pt idx="1">
                  <c:v>1.8</c:v>
                </c:pt>
                <c:pt idx="2">
                  <c:v>0.91</c:v>
                </c:pt>
                <c:pt idx="3">
                  <c:v>0.08</c:v>
                </c:pt>
                <c:pt idx="4">
                  <c:v>-0.24</c:v>
                </c:pt>
                <c:pt idx="5">
                  <c:v>-0.49</c:v>
                </c:pt>
                <c:pt idx="6">
                  <c:v>83.45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AA-460A-8FD6-CF7979167FBB}"/>
            </c:ext>
          </c:extLst>
        </c:ser>
        <c:ser>
          <c:idx val="1"/>
          <c:order val="1"/>
          <c:tx>
            <c:strRef>
              <c:f>'ARR Waterfall'!$C$24</c:f>
              <c:strCache>
                <c:ptCount val="1"/>
                <c:pt idx="0">
                  <c:v>Budget ($M)</c:v>
                </c:pt>
              </c:strCache>
            </c:strRef>
          </c:tx>
          <c:spPr>
            <a:solidFill>
              <a:srgbClr val="D1D5DB"/>
            </a:solidFill>
            <a:ln w="0">
              <a:solidFill>
                <a:srgbClr val="D1D5DB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'ARR Waterfall'!$A$25:$A$32</c:f>
              <c:strCache>
                <c:ptCount val="7"/>
                <c:pt idx="0">
                  <c:v>Begin ARR</c:v>
                </c:pt>
                <c:pt idx="1">
                  <c:v>New Business</c:v>
                </c:pt>
                <c:pt idx="2">
                  <c:v>Expansion</c:v>
                </c:pt>
                <c:pt idx="3">
                  <c:v>Reactivation</c:v>
                </c:pt>
                <c:pt idx="4">
                  <c:v>Contraction</c:v>
                </c:pt>
                <c:pt idx="5">
                  <c:v>Churn</c:v>
                </c:pt>
                <c:pt idx="6">
                  <c:v>End ARR</c:v>
                </c:pt>
              </c:strCache>
            </c:strRef>
          </c:cat>
          <c:val>
            <c:numRef>
              <c:f>'ARR Waterfall'!$C$25:$C$32</c:f>
              <c:numCache>
                <c:formatCode>\$#,##0.00</c:formatCode>
                <c:ptCount val="8"/>
                <c:pt idx="0">
                  <c:v>81.27</c:v>
                </c:pt>
                <c:pt idx="1">
                  <c:v>1.73</c:v>
                </c:pt>
                <c:pt idx="2">
                  <c:v>0.85</c:v>
                </c:pt>
                <c:pt idx="3">
                  <c:v>0.08</c:v>
                </c:pt>
                <c:pt idx="4">
                  <c:v>-0.23</c:v>
                </c:pt>
                <c:pt idx="5">
                  <c:v>-0.5</c:v>
                </c:pt>
                <c:pt idx="6">
                  <c:v>83.33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AA-460A-8FD6-CF7979167F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252785"/>
        <c:axId val="23379993"/>
      </c:barChart>
      <c:catAx>
        <c:axId val="3225278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3379993"/>
        <c:crosses val="autoZero"/>
        <c:auto val="1"/>
        <c:lblAlgn val="ctr"/>
        <c:lblOffset val="100"/>
        <c:noMultiLvlLbl val="0"/>
      </c:catAx>
      <c:valAx>
        <c:axId val="2337999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ARR ($M)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225278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23</xdr:row>
      <xdr:rowOff>0</xdr:rowOff>
    </xdr:from>
    <xdr:to>
      <xdr:col>14</xdr:col>
      <xdr:colOff>292320</xdr:colOff>
      <xdr:row>38</xdr:row>
      <xdr:rowOff>376200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29"/>
  <sheetViews>
    <sheetView showGridLines="0" tabSelected="1" zoomScaleNormal="100" workbookViewId="0">
      <selection sqref="A1:L1"/>
    </sheetView>
  </sheetViews>
  <sheetFormatPr defaultColWidth="8.6328125" defaultRowHeight="14.5" x14ac:dyDescent="0.35"/>
  <cols>
    <col min="1" max="1" width="22" style="12" customWidth="1"/>
    <col min="2" max="2" width="20" style="12" customWidth="1"/>
    <col min="3" max="4" width="14" style="12" customWidth="1"/>
    <col min="5" max="5" width="16" style="12" customWidth="1"/>
    <col min="6" max="6" width="10" style="12" customWidth="1"/>
    <col min="7" max="7" width="50" style="12" customWidth="1"/>
    <col min="8" max="10" width="13" style="12" customWidth="1"/>
    <col min="11" max="11" width="11" style="12" customWidth="1"/>
    <col min="12" max="12" width="12" style="12" customWidth="1"/>
  </cols>
  <sheetData>
    <row r="1" spans="1:12" ht="36" customHeight="1" x14ac:dyDescent="0.35">
      <c r="A1" s="2" t="s">
        <v>370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8" customHeight="1" x14ac:dyDescent="0.35">
      <c r="A2" s="4" t="s">
        <v>371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31.5" customHeight="1" x14ac:dyDescent="0.35">
      <c r="A3" s="47" t="s">
        <v>372</v>
      </c>
      <c r="B3" s="111" t="s">
        <v>373</v>
      </c>
      <c r="C3" s="111" t="s">
        <v>374</v>
      </c>
      <c r="D3" s="111" t="s">
        <v>375</v>
      </c>
      <c r="E3" s="112" t="s">
        <v>376</v>
      </c>
      <c r="F3" s="112" t="s">
        <v>377</v>
      </c>
      <c r="G3" s="112" t="s">
        <v>378</v>
      </c>
      <c r="H3" s="113" t="s">
        <v>379</v>
      </c>
      <c r="I3" s="113" t="s">
        <v>380</v>
      </c>
      <c r="J3" s="113" t="s">
        <v>381</v>
      </c>
      <c r="K3" s="113" t="s">
        <v>382</v>
      </c>
      <c r="L3" s="47" t="s">
        <v>383</v>
      </c>
    </row>
    <row r="4" spans="1:12" ht="18" customHeight="1" x14ac:dyDescent="0.35">
      <c r="A4" s="114" t="s">
        <v>289</v>
      </c>
      <c r="B4" s="115">
        <v>6.9421500000000002E-3</v>
      </c>
      <c r="C4" s="116"/>
      <c r="D4" s="117">
        <v>6.9421500000000002E-3</v>
      </c>
      <c r="E4" s="118">
        <v>303</v>
      </c>
      <c r="F4" s="119"/>
      <c r="G4" s="120">
        <v>303</v>
      </c>
      <c r="H4" s="115">
        <v>2.52788039</v>
      </c>
      <c r="I4" s="116"/>
      <c r="J4" s="121">
        <v>2.52788039</v>
      </c>
      <c r="K4" s="122">
        <v>0</v>
      </c>
      <c r="L4" s="123">
        <v>0.60734661183870298</v>
      </c>
    </row>
    <row r="5" spans="1:12" ht="18" customHeight="1" x14ac:dyDescent="0.35">
      <c r="A5" s="124" t="s">
        <v>384</v>
      </c>
      <c r="B5" s="125">
        <v>1.7737010000000001E-2</v>
      </c>
      <c r="C5" s="126">
        <v>0.87810887999999998</v>
      </c>
      <c r="D5" s="127">
        <v>-0.86037187000000004</v>
      </c>
      <c r="E5" s="128">
        <v>417</v>
      </c>
      <c r="F5" s="129">
        <v>3146</v>
      </c>
      <c r="G5" s="130">
        <v>-2729</v>
      </c>
      <c r="H5" s="125">
        <v>2.5008020399999999</v>
      </c>
      <c r="I5" s="126">
        <v>2.2526974900000001</v>
      </c>
      <c r="J5" s="127">
        <v>0.24810455000000001</v>
      </c>
      <c r="K5" s="131">
        <v>0.110136647775108</v>
      </c>
      <c r="L5" s="132">
        <v>0.65693913541433302</v>
      </c>
    </row>
    <row r="6" spans="1:12" ht="18" customHeight="1" x14ac:dyDescent="0.35">
      <c r="A6" s="114" t="s">
        <v>385</v>
      </c>
      <c r="B6" s="115">
        <v>3.9238839999999997E-2</v>
      </c>
      <c r="C6" s="116">
        <v>0.60212222999999998</v>
      </c>
      <c r="D6" s="121">
        <v>-0.56288338999999998</v>
      </c>
      <c r="E6" s="118">
        <v>927</v>
      </c>
      <c r="F6" s="119">
        <v>3720</v>
      </c>
      <c r="G6" s="133">
        <v>-2793</v>
      </c>
      <c r="H6" s="115">
        <v>2.7573630800000002</v>
      </c>
      <c r="I6" s="116">
        <v>2.3973423299999999</v>
      </c>
      <c r="J6" s="121">
        <v>0.36002075</v>
      </c>
      <c r="K6" s="122">
        <v>0.150174943934686</v>
      </c>
      <c r="L6" s="123">
        <v>0.52898333940120801</v>
      </c>
    </row>
    <row r="7" spans="1:12" ht="18" customHeight="1" x14ac:dyDescent="0.35">
      <c r="A7" s="124" t="s">
        <v>386</v>
      </c>
      <c r="B7" s="125">
        <v>0.11390609</v>
      </c>
      <c r="C7" s="126">
        <v>0.71310801000000001</v>
      </c>
      <c r="D7" s="127">
        <v>-0.59920192000000005</v>
      </c>
      <c r="E7" s="128">
        <v>2143</v>
      </c>
      <c r="F7" s="129">
        <v>4601</v>
      </c>
      <c r="G7" s="130">
        <v>-2458</v>
      </c>
      <c r="H7" s="125">
        <v>1.91207759</v>
      </c>
      <c r="I7" s="126">
        <v>2.4792333499999999</v>
      </c>
      <c r="J7" s="134">
        <v>-0.56715576000000001</v>
      </c>
      <c r="K7" s="135">
        <v>-0.22876255677990101</v>
      </c>
      <c r="L7" s="132">
        <v>0.14639515230132499</v>
      </c>
    </row>
    <row r="8" spans="1:12" ht="18" customHeight="1" x14ac:dyDescent="0.35">
      <c r="A8" s="114" t="s">
        <v>387</v>
      </c>
      <c r="B8" s="115">
        <v>0.50599556000000001</v>
      </c>
      <c r="C8" s="116">
        <v>0.74176063000000003</v>
      </c>
      <c r="D8" s="121">
        <v>-0.23576506999999999</v>
      </c>
      <c r="E8" s="118">
        <v>933</v>
      </c>
      <c r="F8" s="119">
        <v>3770</v>
      </c>
      <c r="G8" s="133">
        <v>-2837</v>
      </c>
      <c r="H8" s="115">
        <v>2.9184811100000001</v>
      </c>
      <c r="I8" s="116">
        <v>2.1811226000000001</v>
      </c>
      <c r="J8" s="121">
        <v>0.73735850999999997</v>
      </c>
      <c r="K8" s="122">
        <v>0.33806376129429899</v>
      </c>
      <c r="L8" s="136">
        <v>0.59079122838660403</v>
      </c>
    </row>
    <row r="9" spans="1:12" ht="18" customHeight="1" x14ac:dyDescent="0.35">
      <c r="A9" s="124" t="s">
        <v>388</v>
      </c>
      <c r="B9" s="125">
        <v>0.42242076000000001</v>
      </c>
      <c r="C9" s="126">
        <v>0.79082078</v>
      </c>
      <c r="D9" s="127">
        <v>-0.36840001999999999</v>
      </c>
      <c r="E9" s="128">
        <v>2129</v>
      </c>
      <c r="F9" s="129">
        <v>3688</v>
      </c>
      <c r="G9" s="130">
        <v>-1559</v>
      </c>
      <c r="H9" s="125">
        <v>1.76948455</v>
      </c>
      <c r="I9" s="126">
        <v>2.0762555900000002</v>
      </c>
      <c r="J9" s="134">
        <v>-0.30677103999999999</v>
      </c>
      <c r="K9" s="135">
        <v>-0.14775205975483999</v>
      </c>
      <c r="L9" s="137">
        <v>7.8961763186912295E-2</v>
      </c>
    </row>
    <row r="10" spans="1:12" ht="18" customHeight="1" x14ac:dyDescent="0.35">
      <c r="A10" s="114" t="s">
        <v>389</v>
      </c>
      <c r="B10" s="115">
        <v>0.46538928000000002</v>
      </c>
      <c r="C10" s="116">
        <v>0.59255283999999997</v>
      </c>
      <c r="D10" s="121">
        <v>-0.12716356000000001</v>
      </c>
      <c r="E10" s="118">
        <v>2092</v>
      </c>
      <c r="F10" s="119">
        <v>2937</v>
      </c>
      <c r="G10" s="133">
        <v>-845</v>
      </c>
      <c r="H10" s="115">
        <v>1.3193201699999999</v>
      </c>
      <c r="I10" s="116">
        <v>2.0165447900000002</v>
      </c>
      <c r="J10" s="117">
        <v>-0.69722461999999996</v>
      </c>
      <c r="K10" s="138">
        <v>-0.34575211195780098</v>
      </c>
      <c r="L10" s="139">
        <v>0.145028670334056</v>
      </c>
    </row>
    <row r="11" spans="1:12" ht="18" customHeight="1" x14ac:dyDescent="0.35">
      <c r="A11" s="124" t="s">
        <v>390</v>
      </c>
      <c r="B11" s="125">
        <v>1.70184582</v>
      </c>
      <c r="C11" s="126">
        <v>0.79505373000000001</v>
      </c>
      <c r="D11" s="134">
        <v>0.90679209000000005</v>
      </c>
      <c r="E11" s="128">
        <v>4608</v>
      </c>
      <c r="F11" s="129">
        <v>4837</v>
      </c>
      <c r="G11" s="130">
        <v>-229</v>
      </c>
      <c r="H11" s="125">
        <v>2.2235165499999998</v>
      </c>
      <c r="I11" s="126">
        <v>2.6933994299999999</v>
      </c>
      <c r="J11" s="134">
        <v>-0.46988288</v>
      </c>
      <c r="K11" s="135">
        <v>-0.17445718402041899</v>
      </c>
      <c r="L11" s="140">
        <v>5.7517620006021501E-2</v>
      </c>
    </row>
    <row r="12" spans="1:12" ht="18" customHeight="1" x14ac:dyDescent="0.35">
      <c r="A12" s="114" t="s">
        <v>391</v>
      </c>
      <c r="B12" s="115">
        <v>2.1405955300000001</v>
      </c>
      <c r="C12" s="116">
        <v>0.98128163000000002</v>
      </c>
      <c r="D12" s="117">
        <v>1.1593138999999999</v>
      </c>
      <c r="E12" s="118">
        <v>3206</v>
      </c>
      <c r="F12" s="119">
        <v>4138</v>
      </c>
      <c r="G12" s="133">
        <v>-932</v>
      </c>
      <c r="H12" s="115">
        <v>2.58828981</v>
      </c>
      <c r="I12" s="116">
        <v>2.5954800499999999</v>
      </c>
      <c r="J12" s="117">
        <v>-7.1902399999997603E-3</v>
      </c>
      <c r="K12" s="138">
        <v>-2.77029291748929E-3</v>
      </c>
      <c r="L12" s="141">
        <v>5.2477639665861102E-2</v>
      </c>
    </row>
    <row r="13" spans="1:12" ht="18" customHeight="1" x14ac:dyDescent="0.35">
      <c r="A13" s="124" t="s">
        <v>392</v>
      </c>
      <c r="B13" s="125">
        <v>1.1091237300000001</v>
      </c>
      <c r="C13" s="126">
        <v>0.47540105999999999</v>
      </c>
      <c r="D13" s="134">
        <v>0.63372267000000004</v>
      </c>
      <c r="E13" s="128">
        <v>2994</v>
      </c>
      <c r="F13" s="129">
        <v>2981</v>
      </c>
      <c r="G13" s="142">
        <v>13</v>
      </c>
      <c r="H13" s="125">
        <v>1.1241010300000001</v>
      </c>
      <c r="I13" s="126">
        <v>1.04103978</v>
      </c>
      <c r="J13" s="127">
        <v>8.30612500000001E-2</v>
      </c>
      <c r="K13" s="131">
        <v>7.9786816599842297E-2</v>
      </c>
      <c r="L13" s="140">
        <v>9.4896666005189895E-2</v>
      </c>
    </row>
    <row r="14" spans="1:12" ht="18" customHeight="1" x14ac:dyDescent="0.35">
      <c r="A14" s="114" t="s">
        <v>393</v>
      </c>
      <c r="B14" s="115">
        <v>1.0286914</v>
      </c>
      <c r="C14" s="116">
        <v>0.71212516999999997</v>
      </c>
      <c r="D14" s="117">
        <v>0.31656623</v>
      </c>
      <c r="E14" s="118">
        <v>775</v>
      </c>
      <c r="F14" s="119">
        <v>4182</v>
      </c>
      <c r="G14" s="133">
        <v>-3407</v>
      </c>
      <c r="H14" s="115">
        <v>0.85868370000000005</v>
      </c>
      <c r="I14" s="116">
        <v>1.8668846100000001</v>
      </c>
      <c r="J14" s="117">
        <v>-1.00820091</v>
      </c>
      <c r="K14" s="138">
        <v>-0.54004457725965205</v>
      </c>
      <c r="L14" s="141">
        <v>0.18358518975031199</v>
      </c>
    </row>
    <row r="15" spans="1:12" ht="18" customHeight="1" x14ac:dyDescent="0.35">
      <c r="A15" s="143" t="s">
        <v>394</v>
      </c>
      <c r="B15" s="144">
        <v>7.5518861700000004</v>
      </c>
      <c r="C15" s="145">
        <v>7.28233496</v>
      </c>
      <c r="D15" s="146">
        <v>0.26955120999999999</v>
      </c>
      <c r="E15" s="147">
        <v>20527</v>
      </c>
      <c r="F15" s="148">
        <v>38000</v>
      </c>
      <c r="G15" s="149">
        <v>-17473</v>
      </c>
      <c r="H15" s="144">
        <v>22.500000020000002</v>
      </c>
      <c r="I15" s="145">
        <v>21.60000002</v>
      </c>
      <c r="J15" s="150">
        <v>0.9</v>
      </c>
      <c r="K15" s="151">
        <v>4.16666666280864E-2</v>
      </c>
      <c r="L15" s="152">
        <v>0.33333333392592601</v>
      </c>
    </row>
    <row r="17" spans="1:12" ht="18" customHeight="1" x14ac:dyDescent="0.35">
      <c r="A17" s="1" t="s">
        <v>395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27.75" customHeight="1" x14ac:dyDescent="0.35">
      <c r="A18" s="113" t="s">
        <v>372</v>
      </c>
      <c r="B18" s="113" t="s">
        <v>396</v>
      </c>
      <c r="C18" s="113" t="s">
        <v>397</v>
      </c>
      <c r="D18" s="113" t="s">
        <v>398</v>
      </c>
      <c r="E18" s="113" t="s">
        <v>399</v>
      </c>
      <c r="F18" s="113" t="s">
        <v>400</v>
      </c>
      <c r="G18" s="113" t="s">
        <v>219</v>
      </c>
    </row>
    <row r="19" spans="1:12" ht="21.75" customHeight="1" x14ac:dyDescent="0.35">
      <c r="A19" s="114" t="s">
        <v>289</v>
      </c>
      <c r="B19" s="153">
        <v>364.135086392544</v>
      </c>
      <c r="C19" s="123">
        <v>0.60734661183870298</v>
      </c>
      <c r="D19" s="115">
        <v>22.911386138613899</v>
      </c>
      <c r="E19" s="154">
        <v>1</v>
      </c>
      <c r="F19" s="154">
        <v>2</v>
      </c>
      <c r="G19" s="155" t="s">
        <v>401</v>
      </c>
    </row>
    <row r="20" spans="1:12" ht="21.75" customHeight="1" x14ac:dyDescent="0.35">
      <c r="A20" s="124" t="s">
        <v>384</v>
      </c>
      <c r="B20" s="156">
        <v>140.993439142223</v>
      </c>
      <c r="C20" s="132">
        <v>0.65693913541433302</v>
      </c>
      <c r="D20" s="125">
        <v>42.534796163069501</v>
      </c>
      <c r="E20" s="157">
        <v>2</v>
      </c>
      <c r="F20" s="157">
        <v>1</v>
      </c>
      <c r="G20" s="158" t="s">
        <v>402</v>
      </c>
    </row>
    <row r="21" spans="1:12" ht="21.75" customHeight="1" x14ac:dyDescent="0.35">
      <c r="A21" s="114" t="s">
        <v>385</v>
      </c>
      <c r="B21" s="153">
        <v>70.271268977370397</v>
      </c>
      <c r="C21" s="123">
        <v>0.52898333940120801</v>
      </c>
      <c r="D21" s="115">
        <v>42.328845738942803</v>
      </c>
      <c r="E21" s="154">
        <v>3</v>
      </c>
      <c r="F21" s="154">
        <v>4</v>
      </c>
      <c r="G21" s="155" t="s">
        <v>403</v>
      </c>
    </row>
    <row r="22" spans="1:12" ht="21.75" customHeight="1" x14ac:dyDescent="0.35">
      <c r="A22" s="124" t="s">
        <v>386</v>
      </c>
      <c r="B22" s="156">
        <v>16.786438635546201</v>
      </c>
      <c r="C22" s="159">
        <v>0.14639515230132499</v>
      </c>
      <c r="D22" s="125">
        <v>53.152631824544997</v>
      </c>
      <c r="E22" s="157">
        <v>4</v>
      </c>
      <c r="F22" s="157">
        <v>6</v>
      </c>
      <c r="G22" s="158" t="s">
        <v>404</v>
      </c>
    </row>
    <row r="23" spans="1:12" ht="21.75" customHeight="1" x14ac:dyDescent="0.35">
      <c r="A23" s="114" t="s">
        <v>387</v>
      </c>
      <c r="B23" s="160">
        <v>5.7677998399827901</v>
      </c>
      <c r="C23" s="123">
        <v>0.59079122838660403</v>
      </c>
      <c r="D23" s="115">
        <v>542.33178992497301</v>
      </c>
      <c r="E23" s="154">
        <v>5</v>
      </c>
      <c r="F23" s="154">
        <v>3</v>
      </c>
      <c r="G23" s="155" t="s">
        <v>405</v>
      </c>
    </row>
    <row r="24" spans="1:12" ht="21.75" customHeight="1" x14ac:dyDescent="0.35">
      <c r="A24" s="124" t="s">
        <v>388</v>
      </c>
      <c r="B24" s="161">
        <v>4.18891474462571</v>
      </c>
      <c r="C24" s="140">
        <v>7.8961763186912295E-2</v>
      </c>
      <c r="D24" s="125">
        <v>198.41275716298699</v>
      </c>
      <c r="E24" s="157">
        <v>6</v>
      </c>
      <c r="F24" s="157">
        <v>9</v>
      </c>
      <c r="G24" s="158" t="s">
        <v>406</v>
      </c>
    </row>
    <row r="25" spans="1:12" ht="21.75" customHeight="1" x14ac:dyDescent="0.35">
      <c r="A25" s="114" t="s">
        <v>389</v>
      </c>
      <c r="B25" s="162">
        <v>2.8348744302834001</v>
      </c>
      <c r="C25" s="139">
        <v>0.145028670334056</v>
      </c>
      <c r="D25" s="115">
        <v>222.46141491395801</v>
      </c>
      <c r="E25" s="154">
        <v>7</v>
      </c>
      <c r="F25" s="154">
        <v>7</v>
      </c>
      <c r="G25" s="155" t="s">
        <v>407</v>
      </c>
    </row>
    <row r="26" spans="1:12" ht="21.75" customHeight="1" x14ac:dyDescent="0.35">
      <c r="A26" s="124" t="s">
        <v>390</v>
      </c>
      <c r="B26" s="163">
        <v>1.3065323097247401</v>
      </c>
      <c r="C26" s="140">
        <v>5.7517620006021501E-2</v>
      </c>
      <c r="D26" s="125">
        <v>369.32417968750002</v>
      </c>
      <c r="E26" s="157">
        <v>8</v>
      </c>
      <c r="F26" s="157">
        <v>10</v>
      </c>
      <c r="G26" s="158" t="s">
        <v>408</v>
      </c>
    </row>
    <row r="27" spans="1:12" ht="21.75" customHeight="1" x14ac:dyDescent="0.35">
      <c r="A27" s="114" t="s">
        <v>391</v>
      </c>
      <c r="B27" s="164">
        <v>1.2091447327277201</v>
      </c>
      <c r="C27" s="141">
        <v>5.2477639665861102E-2</v>
      </c>
      <c r="D27" s="115">
        <v>667.68419525888999</v>
      </c>
      <c r="E27" s="154">
        <v>9</v>
      </c>
      <c r="F27" s="154">
        <v>11</v>
      </c>
      <c r="G27" s="155" t="s">
        <v>409</v>
      </c>
    </row>
    <row r="28" spans="1:12" ht="21.75" customHeight="1" x14ac:dyDescent="0.35">
      <c r="A28" s="124" t="s">
        <v>392</v>
      </c>
      <c r="B28" s="163">
        <v>1.01350372334023</v>
      </c>
      <c r="C28" s="140">
        <v>9.4896666005189895E-2</v>
      </c>
      <c r="D28" s="125">
        <v>370.44880761523098</v>
      </c>
      <c r="E28" s="157">
        <v>10</v>
      </c>
      <c r="F28" s="157">
        <v>8</v>
      </c>
      <c r="G28" s="158" t="s">
        <v>410</v>
      </c>
    </row>
    <row r="29" spans="1:12" ht="21.75" customHeight="1" x14ac:dyDescent="0.35">
      <c r="A29" s="114" t="s">
        <v>393</v>
      </c>
      <c r="B29" s="164">
        <v>0.83473401255225799</v>
      </c>
      <c r="C29" s="139">
        <v>0.18358518975031199</v>
      </c>
      <c r="D29" s="115">
        <v>1327.34374193548</v>
      </c>
      <c r="E29" s="154">
        <v>11</v>
      </c>
      <c r="F29" s="154">
        <v>5</v>
      </c>
      <c r="G29" s="155" t="s">
        <v>411</v>
      </c>
    </row>
  </sheetData>
  <mergeCells count="3">
    <mergeCell ref="A1:L1"/>
    <mergeCell ref="A2:L2"/>
    <mergeCell ref="A17:L1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41"/>
  <sheetViews>
    <sheetView showGridLines="0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AJ1"/>
    </sheetView>
  </sheetViews>
  <sheetFormatPr defaultColWidth="8.6328125" defaultRowHeight="14.5" x14ac:dyDescent="0.35"/>
  <cols>
    <col min="1" max="1" width="17.36328125" style="12" bestFit="1" customWidth="1"/>
    <col min="2" max="6" width="16" style="12" customWidth="1"/>
    <col min="7" max="7" width="11" style="12" customWidth="1"/>
    <col min="8" max="13" width="10" style="12" customWidth="1"/>
    <col min="14" max="29" width="11" style="12" customWidth="1"/>
  </cols>
  <sheetData>
    <row r="1" spans="1:36" ht="36" customHeight="1" x14ac:dyDescent="0.3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</row>
    <row r="2" spans="1:36" ht="19.5" customHeight="1" x14ac:dyDescent="0.35">
      <c r="B2" s="10" t="s">
        <v>1</v>
      </c>
      <c r="C2" s="10"/>
      <c r="D2" s="10"/>
      <c r="E2" s="10"/>
      <c r="F2" s="10"/>
      <c r="G2" s="10"/>
      <c r="H2" s="9" t="s">
        <v>2</v>
      </c>
      <c r="I2" s="9"/>
      <c r="J2" s="9"/>
      <c r="K2" s="9"/>
      <c r="L2" s="9"/>
      <c r="M2" s="9"/>
      <c r="N2" s="10" t="s">
        <v>3</v>
      </c>
      <c r="O2" s="10"/>
      <c r="P2" s="10"/>
      <c r="Q2" s="10"/>
      <c r="R2" s="8" t="s">
        <v>4</v>
      </c>
      <c r="S2" s="8"/>
      <c r="T2" s="8"/>
      <c r="U2" s="8"/>
      <c r="V2" s="7" t="s">
        <v>5</v>
      </c>
      <c r="W2" s="7"/>
      <c r="X2" s="7"/>
      <c r="Y2" s="7"/>
      <c r="Z2" s="7"/>
      <c r="AA2" s="7"/>
      <c r="AB2" s="7"/>
      <c r="AC2" s="7"/>
    </row>
    <row r="3" spans="1:36" ht="39.75" customHeight="1" x14ac:dyDescent="0.35">
      <c r="B3" s="13" t="s">
        <v>6</v>
      </c>
      <c r="C3" s="13" t="s">
        <v>7</v>
      </c>
      <c r="D3" s="13" t="s">
        <v>8</v>
      </c>
      <c r="E3" s="13" t="s">
        <v>9</v>
      </c>
      <c r="F3" s="13" t="s">
        <v>10</v>
      </c>
      <c r="G3" s="13" t="s">
        <v>11</v>
      </c>
      <c r="H3" s="14" t="s">
        <v>12</v>
      </c>
      <c r="I3" s="14" t="s">
        <v>13</v>
      </c>
      <c r="J3" s="14" t="s">
        <v>14</v>
      </c>
      <c r="K3" s="14" t="s">
        <v>15</v>
      </c>
      <c r="L3" s="14" t="s">
        <v>16</v>
      </c>
      <c r="M3" s="14" t="s">
        <v>17</v>
      </c>
      <c r="N3" s="13" t="s">
        <v>18</v>
      </c>
      <c r="O3" s="13" t="s">
        <v>19</v>
      </c>
      <c r="P3" s="13" t="s">
        <v>20</v>
      </c>
      <c r="Q3" s="13" t="s">
        <v>21</v>
      </c>
      <c r="R3" s="15" t="s">
        <v>22</v>
      </c>
      <c r="S3" s="15" t="s">
        <v>23</v>
      </c>
      <c r="T3" s="15" t="s">
        <v>24</v>
      </c>
      <c r="U3" s="15" t="s">
        <v>25</v>
      </c>
      <c r="V3" s="16" t="s">
        <v>26</v>
      </c>
      <c r="W3" s="16" t="s">
        <v>27</v>
      </c>
      <c r="X3" s="16" t="s">
        <v>28</v>
      </c>
      <c r="Y3" s="16" t="s">
        <v>29</v>
      </c>
      <c r="Z3" s="16" t="s">
        <v>30</v>
      </c>
      <c r="AA3" s="16" t="s">
        <v>31</v>
      </c>
      <c r="AB3" s="16" t="s">
        <v>32</v>
      </c>
      <c r="AC3" s="16" t="s">
        <v>33</v>
      </c>
    </row>
    <row r="4" spans="1:36" ht="15.75" customHeight="1" x14ac:dyDescent="0.35">
      <c r="A4" s="6" t="s">
        <v>34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spans="1:36" ht="16.5" customHeight="1" x14ac:dyDescent="0.35">
      <c r="A5" s="17" t="s">
        <v>35</v>
      </c>
      <c r="B5" s="18">
        <v>75</v>
      </c>
      <c r="C5" s="18">
        <v>76.31</v>
      </c>
      <c r="D5" s="18">
        <v>77.819999999999993</v>
      </c>
      <c r="E5" s="18">
        <v>79.510000000000005</v>
      </c>
      <c r="F5" s="18">
        <v>81.39</v>
      </c>
      <c r="G5" s="19"/>
      <c r="H5" s="20"/>
      <c r="I5" s="20"/>
      <c r="J5" s="20"/>
      <c r="K5" s="20"/>
      <c r="L5" s="20"/>
      <c r="M5" s="20"/>
      <c r="N5" s="21">
        <v>229.13</v>
      </c>
      <c r="O5" s="21">
        <v>160.9</v>
      </c>
      <c r="P5" s="21">
        <v>390.03</v>
      </c>
      <c r="Q5" s="21">
        <v>390.03</v>
      </c>
      <c r="R5" s="22">
        <v>233.35</v>
      </c>
      <c r="S5" s="22">
        <v>250</v>
      </c>
      <c r="T5" s="22">
        <v>483.35</v>
      </c>
      <c r="U5" s="22">
        <v>1038.6400000000001</v>
      </c>
      <c r="V5" s="23">
        <v>-4.2200000000000299</v>
      </c>
      <c r="W5" s="23">
        <v>-89.1</v>
      </c>
      <c r="X5" s="23">
        <v>-93.320000000000107</v>
      </c>
      <c r="Y5" s="23">
        <v>-648.61</v>
      </c>
      <c r="Z5" s="24">
        <v>-1.8084422541247199E-2</v>
      </c>
      <c r="AA5" s="24">
        <v>-0.35639999999999999</v>
      </c>
      <c r="AB5" s="24">
        <v>-0.193069204510189</v>
      </c>
      <c r="AC5" s="24">
        <v>-0.62448008934760901</v>
      </c>
    </row>
    <row r="6" spans="1:36" ht="16.5" customHeight="1" x14ac:dyDescent="0.35">
      <c r="A6" s="25" t="s">
        <v>36</v>
      </c>
      <c r="B6" s="26">
        <v>1.2</v>
      </c>
      <c r="C6" s="26">
        <v>1.35</v>
      </c>
      <c r="D6" s="26">
        <v>1.5</v>
      </c>
      <c r="E6" s="26">
        <v>1.65</v>
      </c>
      <c r="F6" s="26">
        <v>1.8</v>
      </c>
      <c r="G6" s="27"/>
      <c r="H6" s="28">
        <v>1.99</v>
      </c>
      <c r="I6" s="28">
        <v>5.33</v>
      </c>
      <c r="J6" s="28">
        <v>1.87</v>
      </c>
      <c r="K6" s="28">
        <v>1.93</v>
      </c>
      <c r="L6" s="28">
        <v>1.87</v>
      </c>
      <c r="M6" s="28">
        <v>1.71</v>
      </c>
      <c r="N6" s="29">
        <v>4.05</v>
      </c>
      <c r="O6" s="29">
        <v>3.45</v>
      </c>
      <c r="P6" s="29">
        <v>7.5</v>
      </c>
      <c r="Q6" s="29">
        <v>24.09</v>
      </c>
      <c r="R6" s="30">
        <v>3.8879999999999999</v>
      </c>
      <c r="S6" s="30">
        <v>5.0810000000000004</v>
      </c>
      <c r="T6" s="30">
        <v>8.9689999999999994</v>
      </c>
      <c r="U6" s="30">
        <v>19.009</v>
      </c>
      <c r="V6" s="31">
        <v>0.16200000000000001</v>
      </c>
      <c r="W6" s="32">
        <v>-1.631</v>
      </c>
      <c r="X6" s="32">
        <v>-1.4690000000000001</v>
      </c>
      <c r="Y6" s="31">
        <v>5.0810000000000004</v>
      </c>
      <c r="Z6" s="33">
        <v>4.1666666666666699E-2</v>
      </c>
      <c r="AA6" s="34">
        <v>-0.32099980318834898</v>
      </c>
      <c r="AB6" s="34">
        <v>-0.16378637529267501</v>
      </c>
      <c r="AC6" s="33">
        <v>0.26729443947603798</v>
      </c>
    </row>
    <row r="7" spans="1:36" ht="16.5" customHeight="1" x14ac:dyDescent="0.35">
      <c r="A7" s="25" t="s">
        <v>37</v>
      </c>
      <c r="B7" s="26">
        <v>0.65</v>
      </c>
      <c r="C7" s="26">
        <v>0.72</v>
      </c>
      <c r="D7" s="26">
        <v>0.78</v>
      </c>
      <c r="E7" s="26">
        <v>0.85</v>
      </c>
      <c r="F7" s="26">
        <v>0.91</v>
      </c>
      <c r="G7" s="27"/>
      <c r="H7" s="28">
        <v>1.18</v>
      </c>
      <c r="I7" s="28">
        <v>2.62</v>
      </c>
      <c r="J7" s="28">
        <v>0.89</v>
      </c>
      <c r="K7" s="28">
        <v>0.94</v>
      </c>
      <c r="L7" s="28">
        <v>0.98</v>
      </c>
      <c r="M7" s="28">
        <v>0.89</v>
      </c>
      <c r="N7" s="29">
        <v>2.15</v>
      </c>
      <c r="O7" s="29">
        <v>1.76</v>
      </c>
      <c r="P7" s="29">
        <v>3.91</v>
      </c>
      <c r="Q7" s="29">
        <v>12.38</v>
      </c>
      <c r="R7" s="30">
        <v>2.0779999999999998</v>
      </c>
      <c r="S7" s="30">
        <v>2.5299999999999998</v>
      </c>
      <c r="T7" s="30">
        <v>4.6079999999999997</v>
      </c>
      <c r="U7" s="30">
        <v>9.8780000000000001</v>
      </c>
      <c r="V7" s="31">
        <v>7.2000000000000106E-2</v>
      </c>
      <c r="W7" s="32">
        <v>-0.77</v>
      </c>
      <c r="X7" s="32">
        <v>-0.69799999999999995</v>
      </c>
      <c r="Y7" s="31">
        <v>2.5019999999999998</v>
      </c>
      <c r="Z7" s="33">
        <v>3.4648700673724803E-2</v>
      </c>
      <c r="AA7" s="34">
        <v>-0.30434782608695699</v>
      </c>
      <c r="AB7" s="34">
        <v>-0.151475694444444</v>
      </c>
      <c r="AC7" s="33">
        <v>0.25329013970439401</v>
      </c>
    </row>
    <row r="8" spans="1:36" ht="16.5" customHeight="1" x14ac:dyDescent="0.35">
      <c r="A8" s="25" t="s">
        <v>38</v>
      </c>
      <c r="B8" s="26">
        <v>0.06</v>
      </c>
      <c r="C8" s="26">
        <v>6.5000000000000002E-2</v>
      </c>
      <c r="D8" s="26">
        <v>7.0000000000000007E-2</v>
      </c>
      <c r="E8" s="26">
        <v>7.4999999999999997E-2</v>
      </c>
      <c r="F8" s="26">
        <v>0.08</v>
      </c>
      <c r="G8" s="27"/>
      <c r="H8" s="28">
        <v>0.15</v>
      </c>
      <c r="I8" s="28">
        <v>0.31</v>
      </c>
      <c r="J8" s="28">
        <v>0.12</v>
      </c>
      <c r="K8" s="28">
        <v>0.13</v>
      </c>
      <c r="L8" s="28">
        <v>0.14000000000000001</v>
      </c>
      <c r="M8" s="28">
        <v>0.12</v>
      </c>
      <c r="N8" s="29">
        <v>0.19500000000000001</v>
      </c>
      <c r="O8" s="29">
        <v>0.155</v>
      </c>
      <c r="P8" s="29">
        <v>0.35</v>
      </c>
      <c r="Q8" s="29">
        <v>1.45</v>
      </c>
      <c r="R8" s="30">
        <v>0.19500000000000001</v>
      </c>
      <c r="S8" s="30">
        <v>0.23499999999999999</v>
      </c>
      <c r="T8" s="30">
        <v>0.43</v>
      </c>
      <c r="U8" s="30">
        <v>0.91700000000000004</v>
      </c>
      <c r="V8" s="35">
        <v>0</v>
      </c>
      <c r="W8" s="32">
        <v>-0.08</v>
      </c>
      <c r="X8" s="32">
        <v>-0.08</v>
      </c>
      <c r="Y8" s="31">
        <v>0.53300000000000003</v>
      </c>
      <c r="Z8" s="36">
        <v>0</v>
      </c>
      <c r="AA8" s="34">
        <v>-0.340425531914894</v>
      </c>
      <c r="AB8" s="34">
        <v>-0.186046511627907</v>
      </c>
      <c r="AC8" s="33">
        <v>0.58124318429661903</v>
      </c>
    </row>
    <row r="9" spans="1:36" ht="16.5" customHeight="1" x14ac:dyDescent="0.35">
      <c r="A9" s="25" t="s">
        <v>39</v>
      </c>
      <c r="B9" s="26">
        <v>0.18</v>
      </c>
      <c r="C9" s="26">
        <v>0.19500000000000001</v>
      </c>
      <c r="D9" s="26">
        <v>0.21</v>
      </c>
      <c r="E9" s="26">
        <v>0.22500000000000001</v>
      </c>
      <c r="F9" s="26">
        <v>0.24</v>
      </c>
      <c r="G9" s="27"/>
      <c r="H9" s="28">
        <v>1.61</v>
      </c>
      <c r="I9" s="28">
        <v>1.55</v>
      </c>
      <c r="J9" s="28">
        <v>0.78</v>
      </c>
      <c r="K9" s="28">
        <v>0.82</v>
      </c>
      <c r="L9" s="28">
        <v>0.86</v>
      </c>
      <c r="M9" s="28">
        <v>0.77</v>
      </c>
      <c r="N9" s="29">
        <v>0.58499999999999996</v>
      </c>
      <c r="O9" s="29">
        <v>0.46500000000000002</v>
      </c>
      <c r="P9" s="29">
        <v>1.05</v>
      </c>
      <c r="Q9" s="29">
        <v>8.27</v>
      </c>
      <c r="R9" s="30">
        <v>0.59299999999999997</v>
      </c>
      <c r="S9" s="30">
        <v>0.70699999999999996</v>
      </c>
      <c r="T9" s="30">
        <v>1.3</v>
      </c>
      <c r="U9" s="30">
        <v>2.766</v>
      </c>
      <c r="V9" s="31">
        <v>-8.0000000000000106E-3</v>
      </c>
      <c r="W9" s="31">
        <v>-0.24199999999999999</v>
      </c>
      <c r="X9" s="31">
        <v>-0.25</v>
      </c>
      <c r="Y9" s="32">
        <v>5.5039999999999996</v>
      </c>
      <c r="Z9" s="33">
        <v>-1.3490725126475599E-2</v>
      </c>
      <c r="AA9" s="33">
        <v>-0.34229137199434201</v>
      </c>
      <c r="AB9" s="33">
        <v>-0.19230769230769201</v>
      </c>
      <c r="AC9" s="34">
        <v>1.98987707881417</v>
      </c>
    </row>
    <row r="10" spans="1:36" ht="16.5" customHeight="1" x14ac:dyDescent="0.35">
      <c r="A10" s="25" t="s">
        <v>40</v>
      </c>
      <c r="B10" s="26">
        <v>0.42</v>
      </c>
      <c r="C10" s="26">
        <v>0.435</v>
      </c>
      <c r="D10" s="26">
        <v>0.45</v>
      </c>
      <c r="E10" s="26">
        <v>0.47</v>
      </c>
      <c r="F10" s="26">
        <v>0.49</v>
      </c>
      <c r="G10" s="27"/>
      <c r="H10" s="28">
        <v>1.89</v>
      </c>
      <c r="I10" s="28">
        <v>1.86</v>
      </c>
      <c r="J10" s="28">
        <v>0.96</v>
      </c>
      <c r="K10" s="28">
        <v>0.99</v>
      </c>
      <c r="L10" s="28">
        <v>1.02</v>
      </c>
      <c r="M10" s="28">
        <v>0.94</v>
      </c>
      <c r="N10" s="29">
        <v>1.3049999999999999</v>
      </c>
      <c r="O10" s="29">
        <v>0.96</v>
      </c>
      <c r="P10" s="29">
        <v>2.2650000000000001</v>
      </c>
      <c r="Q10" s="29">
        <v>10.904999999999999</v>
      </c>
      <c r="R10" s="30">
        <v>1.331</v>
      </c>
      <c r="S10" s="30">
        <v>1.4750000000000001</v>
      </c>
      <c r="T10" s="30">
        <v>2.806</v>
      </c>
      <c r="U10" s="30">
        <v>5.7859999999999996</v>
      </c>
      <c r="V10" s="31">
        <v>-2.5999999999999999E-2</v>
      </c>
      <c r="W10" s="31">
        <v>-0.51500000000000001</v>
      </c>
      <c r="X10" s="31">
        <v>-0.54100000000000004</v>
      </c>
      <c r="Y10" s="32">
        <v>5.1189999999999998</v>
      </c>
      <c r="Z10" s="33">
        <v>-1.9534184823440999E-2</v>
      </c>
      <c r="AA10" s="33">
        <v>-0.34915254237288101</v>
      </c>
      <c r="AB10" s="33">
        <v>-0.19280114041339999</v>
      </c>
      <c r="AC10" s="34">
        <v>0.88472174213619104</v>
      </c>
    </row>
    <row r="11" spans="1:36" ht="6" customHeight="1" x14ac:dyDescent="0.35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</row>
    <row r="12" spans="1:36" ht="15.75" customHeight="1" x14ac:dyDescent="0.35">
      <c r="A12" s="6" t="s">
        <v>41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 spans="1:36" ht="16.5" customHeight="1" x14ac:dyDescent="0.35">
      <c r="A13" s="17" t="s">
        <v>42</v>
      </c>
      <c r="B13" s="18">
        <v>1.31</v>
      </c>
      <c r="C13" s="18">
        <v>1.5049999999999999</v>
      </c>
      <c r="D13" s="18">
        <v>1.69</v>
      </c>
      <c r="E13" s="18">
        <v>1.88</v>
      </c>
      <c r="F13" s="18">
        <v>2.06</v>
      </c>
      <c r="G13" s="19"/>
      <c r="H13" s="38">
        <v>0.12</v>
      </c>
      <c r="I13" s="38">
        <v>2.62</v>
      </c>
      <c r="J13" s="38">
        <v>1.1399999999999999</v>
      </c>
      <c r="K13" s="38">
        <v>1.2</v>
      </c>
      <c r="L13" s="38">
        <v>1.1200000000000001</v>
      </c>
      <c r="M13" s="38">
        <v>0.99</v>
      </c>
      <c r="N13" s="21">
        <v>4.5049999999999999</v>
      </c>
      <c r="O13" s="21">
        <v>3.94</v>
      </c>
      <c r="P13" s="21">
        <v>8.4450000000000003</v>
      </c>
      <c r="Q13" s="21">
        <v>16.815000000000001</v>
      </c>
      <c r="R13" s="22">
        <v>4.2270000000000003</v>
      </c>
      <c r="S13" s="22">
        <v>5.6669999999999998</v>
      </c>
      <c r="T13" s="22">
        <v>9.8940000000000001</v>
      </c>
      <c r="U13" s="22">
        <v>21.103000000000002</v>
      </c>
      <c r="V13" s="39">
        <v>0.27800000000000002</v>
      </c>
      <c r="W13" s="23">
        <v>-1.7270000000000001</v>
      </c>
      <c r="X13" s="23">
        <v>-1.4490000000000001</v>
      </c>
      <c r="Y13" s="23">
        <v>-4.2880000000000003</v>
      </c>
      <c r="Z13" s="40">
        <v>6.5767683936598001E-2</v>
      </c>
      <c r="AA13" s="24">
        <v>-0.3047467796012</v>
      </c>
      <c r="AB13" s="24">
        <v>-0.14645239539114599</v>
      </c>
      <c r="AC13" s="24">
        <v>-0.20319385869307699</v>
      </c>
    </row>
    <row r="14" spans="1:36" ht="16.5" customHeight="1" x14ac:dyDescent="0.35">
      <c r="A14" s="17" t="s">
        <v>43</v>
      </c>
      <c r="B14" s="18">
        <v>76.31</v>
      </c>
      <c r="C14" s="18">
        <v>77.819999999999993</v>
      </c>
      <c r="D14" s="18">
        <v>79.510000000000005</v>
      </c>
      <c r="E14" s="18">
        <v>81.39</v>
      </c>
      <c r="F14" s="18">
        <v>83.45</v>
      </c>
      <c r="G14" s="19"/>
      <c r="H14" s="38">
        <v>85.4</v>
      </c>
      <c r="I14" s="38">
        <v>87.58</v>
      </c>
      <c r="J14" s="38">
        <v>89.67</v>
      </c>
      <c r="K14" s="38">
        <v>91.61</v>
      </c>
      <c r="L14" s="38">
        <v>93.59</v>
      </c>
      <c r="M14" s="38">
        <v>95.47</v>
      </c>
      <c r="N14" s="21">
        <v>233.64</v>
      </c>
      <c r="O14" s="21">
        <v>164.84</v>
      </c>
      <c r="P14" s="21">
        <v>398.48</v>
      </c>
      <c r="Q14" s="21">
        <v>1039.17</v>
      </c>
      <c r="R14" s="22">
        <v>233.35</v>
      </c>
      <c r="S14" s="22">
        <v>250</v>
      </c>
      <c r="T14" s="22">
        <v>483.35</v>
      </c>
      <c r="U14" s="22">
        <v>1038.6400000000001</v>
      </c>
      <c r="V14" s="39">
        <v>0.28999999999996401</v>
      </c>
      <c r="W14" s="23">
        <v>-85.16</v>
      </c>
      <c r="X14" s="23">
        <v>-84.87</v>
      </c>
      <c r="Y14" s="39">
        <v>0.52999999999997305</v>
      </c>
      <c r="Z14" s="40">
        <v>1.2427683736874399E-3</v>
      </c>
      <c r="AA14" s="24">
        <v>-0.34064</v>
      </c>
      <c r="AB14" s="24">
        <v>-0.17558704872245801</v>
      </c>
      <c r="AC14" s="40">
        <v>5.10282677347274E-4</v>
      </c>
    </row>
    <row r="15" spans="1:36" ht="6" customHeight="1" x14ac:dyDescent="0.35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</row>
    <row r="16" spans="1:36" ht="15.75" customHeight="1" x14ac:dyDescent="0.35">
      <c r="A16" s="6" t="s">
        <v>44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 spans="1:29" ht="16.5" customHeight="1" x14ac:dyDescent="0.35">
      <c r="A17" s="41" t="s">
        <v>45</v>
      </c>
      <c r="B17" s="42">
        <v>1.0006999999999999</v>
      </c>
      <c r="C17" s="42">
        <v>1.0012000000000001</v>
      </c>
      <c r="D17" s="42">
        <v>1.0015000000000001</v>
      </c>
      <c r="E17" s="42">
        <v>1.0019</v>
      </c>
      <c r="F17" s="42">
        <v>1.0022</v>
      </c>
      <c r="G17" s="43"/>
      <c r="H17" s="44">
        <v>0.99819999999999998</v>
      </c>
      <c r="I17" s="44">
        <v>0.99819999999999998</v>
      </c>
      <c r="J17" s="44">
        <v>0.99819999999999998</v>
      </c>
      <c r="K17" s="44">
        <v>0.99819999999999998</v>
      </c>
      <c r="L17" s="44">
        <v>0.99819999999999998</v>
      </c>
      <c r="M17" s="44">
        <v>0.99819999999999998</v>
      </c>
      <c r="N17" s="45">
        <v>1.0011333333333301</v>
      </c>
      <c r="O17" s="45">
        <v>1.0020500000000001</v>
      </c>
      <c r="P17" s="45">
        <v>1.0015000000000001</v>
      </c>
      <c r="Q17" s="45">
        <v>0.99957499999999999</v>
      </c>
      <c r="R17" s="46">
        <v>1.0006999999999999</v>
      </c>
      <c r="S17" s="46">
        <v>1.0006999999999999</v>
      </c>
      <c r="T17" s="46">
        <v>1.0006999999999999</v>
      </c>
      <c r="U17" s="46">
        <v>1.0006999999999999</v>
      </c>
      <c r="V17" s="33">
        <v>4.3333333333350798E-4</v>
      </c>
      <c r="W17" s="33">
        <v>1.3500000000000499E-3</v>
      </c>
      <c r="X17" s="33">
        <v>8.0000000000012505E-4</v>
      </c>
      <c r="Y17" s="34">
        <v>-1.12499999999997E-3</v>
      </c>
      <c r="Z17" s="33">
        <v>4.3303021218497802E-4</v>
      </c>
      <c r="AA17" s="33">
        <v>1.34905566103733E-3</v>
      </c>
      <c r="AB17" s="33">
        <v>7.9944039172591701E-4</v>
      </c>
      <c r="AC17" s="34">
        <v>-1.12421305086437E-3</v>
      </c>
    </row>
    <row r="18" spans="1:29" ht="16.5" customHeight="1" x14ac:dyDescent="0.35">
      <c r="A18" s="41" t="s">
        <v>46</v>
      </c>
      <c r="B18" s="42">
        <v>0.99199999999999999</v>
      </c>
      <c r="C18" s="42">
        <v>0.99170000000000003</v>
      </c>
      <c r="D18" s="42">
        <v>0.99150000000000005</v>
      </c>
      <c r="E18" s="42">
        <v>0.99129999999999996</v>
      </c>
      <c r="F18" s="42">
        <v>0.99099999999999999</v>
      </c>
      <c r="G18" s="43"/>
      <c r="H18" s="44">
        <v>0.99099999999999999</v>
      </c>
      <c r="I18" s="44">
        <v>0.99099999999999999</v>
      </c>
      <c r="J18" s="44">
        <v>0.99099999999999999</v>
      </c>
      <c r="K18" s="44">
        <v>0.99099999999999999</v>
      </c>
      <c r="L18" s="44">
        <v>0.99099999999999999</v>
      </c>
      <c r="M18" s="44">
        <v>0.99099999999999999</v>
      </c>
      <c r="N18" s="45">
        <v>0.99173333333333302</v>
      </c>
      <c r="O18" s="45">
        <v>0.99114999999999998</v>
      </c>
      <c r="P18" s="45">
        <v>0.99150000000000005</v>
      </c>
      <c r="Q18" s="45">
        <v>0.99120833333333302</v>
      </c>
      <c r="R18" s="46">
        <v>0.99199999999999999</v>
      </c>
      <c r="S18" s="46">
        <v>0.99199999999999999</v>
      </c>
      <c r="T18" s="46">
        <v>0.99199999999999999</v>
      </c>
      <c r="U18" s="46">
        <v>0.99199999999999999</v>
      </c>
      <c r="V18" s="34">
        <v>-2.6666666666670799E-4</v>
      </c>
      <c r="W18" s="34">
        <v>-8.5000000000007997E-4</v>
      </c>
      <c r="X18" s="34">
        <v>-4.9999999999997204E-4</v>
      </c>
      <c r="Y18" s="34">
        <v>-7.91666666666657E-4</v>
      </c>
      <c r="Z18" s="34">
        <v>-2.6881720430111701E-4</v>
      </c>
      <c r="AA18" s="34">
        <v>-8.56854838709758E-4</v>
      </c>
      <c r="AB18" s="34">
        <v>-5.0403225806448803E-4</v>
      </c>
      <c r="AC18" s="34">
        <v>-7.9805107526880804E-4</v>
      </c>
    </row>
    <row r="20" spans="1:29" ht="24" customHeight="1" x14ac:dyDescent="0.35">
      <c r="A20" s="5" t="s">
        <v>47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  <row r="23" spans="1:29" ht="15.75" customHeight="1" x14ac:dyDescent="0.35">
      <c r="A23" s="4" t="s">
        <v>48</v>
      </c>
      <c r="B23" s="4"/>
      <c r="C23" s="4"/>
      <c r="D23" s="4"/>
      <c r="E23" s="4"/>
      <c r="F23" s="4"/>
      <c r="G23" s="4"/>
      <c r="H23" s="4"/>
      <c r="I23" s="4"/>
      <c r="J23" s="4"/>
    </row>
    <row r="24" spans="1:29" x14ac:dyDescent="0.35">
      <c r="A24" s="47" t="s">
        <v>49</v>
      </c>
      <c r="B24" s="47" t="s">
        <v>50</v>
      </c>
      <c r="C24" s="47" t="s">
        <v>51</v>
      </c>
      <c r="D24" s="47" t="s">
        <v>52</v>
      </c>
    </row>
    <row r="25" spans="1:29" ht="16.5" customHeight="1" x14ac:dyDescent="0.35">
      <c r="A25" s="48" t="s">
        <v>53</v>
      </c>
      <c r="B25" s="49">
        <v>81.39</v>
      </c>
      <c r="C25" s="50">
        <v>81.27</v>
      </c>
      <c r="D25" s="51">
        <v>0.12</v>
      </c>
    </row>
    <row r="26" spans="1:29" ht="16.5" customHeight="1" x14ac:dyDescent="0.35">
      <c r="A26" s="52" t="s">
        <v>54</v>
      </c>
      <c r="B26" s="53">
        <v>1.8</v>
      </c>
      <c r="C26" s="54">
        <v>1.73</v>
      </c>
      <c r="D26" s="55">
        <v>7.0000000000000007E-2</v>
      </c>
    </row>
    <row r="27" spans="1:29" ht="16.5" customHeight="1" x14ac:dyDescent="0.35">
      <c r="A27" s="48" t="s">
        <v>55</v>
      </c>
      <c r="B27" s="49">
        <v>0.91</v>
      </c>
      <c r="C27" s="50">
        <v>0.85</v>
      </c>
      <c r="D27" s="51">
        <v>0.06</v>
      </c>
    </row>
    <row r="28" spans="1:29" ht="16.5" customHeight="1" x14ac:dyDescent="0.35">
      <c r="A28" s="52" t="s">
        <v>56</v>
      </c>
      <c r="B28" s="53">
        <v>0.08</v>
      </c>
      <c r="C28" s="54">
        <v>0.08</v>
      </c>
      <c r="D28" s="56">
        <v>0</v>
      </c>
    </row>
    <row r="29" spans="1:29" ht="16.5" customHeight="1" x14ac:dyDescent="0.35">
      <c r="A29" s="48" t="s">
        <v>57</v>
      </c>
      <c r="B29" s="49">
        <v>-0.24</v>
      </c>
      <c r="C29" s="50">
        <v>-0.23</v>
      </c>
      <c r="D29" s="57">
        <v>-0.01</v>
      </c>
    </row>
    <row r="30" spans="1:29" ht="16.5" customHeight="1" x14ac:dyDescent="0.35">
      <c r="A30" s="52" t="s">
        <v>58</v>
      </c>
      <c r="B30" s="53">
        <v>-0.49</v>
      </c>
      <c r="C30" s="54">
        <v>-0.5</v>
      </c>
      <c r="D30" s="55">
        <v>0.01</v>
      </c>
    </row>
    <row r="31" spans="1:29" ht="16.5" customHeight="1" x14ac:dyDescent="0.35">
      <c r="A31" s="48" t="s">
        <v>59</v>
      </c>
      <c r="B31" s="49">
        <v>83.45</v>
      </c>
      <c r="C31" s="50">
        <v>83.33</v>
      </c>
      <c r="D31" s="51">
        <v>0.12</v>
      </c>
    </row>
    <row r="34" spans="1:6" ht="4.5" customHeight="1" x14ac:dyDescent="0.35"/>
    <row r="35" spans="1:6" ht="18" customHeight="1" x14ac:dyDescent="0.35">
      <c r="A35" s="3" t="s">
        <v>60</v>
      </c>
      <c r="B35" s="3"/>
      <c r="C35" s="3"/>
      <c r="D35" s="3"/>
      <c r="E35" s="3"/>
      <c r="F35" s="3"/>
    </row>
    <row r="36" spans="1:6" ht="24" customHeight="1" x14ac:dyDescent="0.35">
      <c r="A36" s="47" t="s">
        <v>61</v>
      </c>
      <c r="B36" s="47" t="s">
        <v>62</v>
      </c>
      <c r="C36" s="58" t="s">
        <v>63</v>
      </c>
      <c r="D36" s="58" t="s">
        <v>64</v>
      </c>
      <c r="E36" s="47" t="s">
        <v>65</v>
      </c>
      <c r="F36" s="58" t="s">
        <v>66</v>
      </c>
    </row>
    <row r="37" spans="1:6" ht="51.75" customHeight="1" x14ac:dyDescent="0.35">
      <c r="A37" s="48" t="s">
        <v>67</v>
      </c>
      <c r="B37" s="59" t="s">
        <v>54</v>
      </c>
      <c r="C37" s="60" t="s">
        <v>68</v>
      </c>
      <c r="D37" s="61" t="s">
        <v>69</v>
      </c>
      <c r="E37" s="62" t="s">
        <v>70</v>
      </c>
      <c r="F37" s="63" t="s">
        <v>71</v>
      </c>
    </row>
    <row r="38" spans="1:6" ht="51.75" customHeight="1" x14ac:dyDescent="0.35">
      <c r="A38" s="52" t="s">
        <v>72</v>
      </c>
      <c r="B38" s="64" t="s">
        <v>73</v>
      </c>
      <c r="C38" s="65" t="s">
        <v>74</v>
      </c>
      <c r="D38" s="66" t="s">
        <v>75</v>
      </c>
      <c r="E38" s="67" t="s">
        <v>70</v>
      </c>
      <c r="F38" s="68" t="s">
        <v>76</v>
      </c>
    </row>
    <row r="39" spans="1:6" ht="51.75" customHeight="1" x14ac:dyDescent="0.35">
      <c r="A39" s="48" t="s">
        <v>77</v>
      </c>
      <c r="B39" s="59" t="s">
        <v>58</v>
      </c>
      <c r="C39" s="60" t="s">
        <v>78</v>
      </c>
      <c r="D39" s="61" t="s">
        <v>79</v>
      </c>
      <c r="E39" s="62" t="s">
        <v>80</v>
      </c>
      <c r="F39" s="63" t="s">
        <v>81</v>
      </c>
    </row>
    <row r="40" spans="1:6" ht="51.75" customHeight="1" x14ac:dyDescent="0.35">
      <c r="A40" s="52" t="s">
        <v>77</v>
      </c>
      <c r="B40" s="64" t="s">
        <v>82</v>
      </c>
      <c r="C40" s="65" t="s">
        <v>83</v>
      </c>
      <c r="D40" s="66" t="s">
        <v>84</v>
      </c>
      <c r="E40" s="67" t="s">
        <v>70</v>
      </c>
      <c r="F40" s="68" t="s">
        <v>85</v>
      </c>
    </row>
    <row r="41" spans="1:6" ht="51.75" customHeight="1" x14ac:dyDescent="0.35">
      <c r="A41" s="48" t="s">
        <v>86</v>
      </c>
      <c r="B41" s="59" t="s">
        <v>87</v>
      </c>
      <c r="C41" s="60" t="s">
        <v>88</v>
      </c>
      <c r="D41" s="61" t="s">
        <v>89</v>
      </c>
      <c r="E41" s="62" t="s">
        <v>70</v>
      </c>
      <c r="F41" s="63" t="s">
        <v>90</v>
      </c>
    </row>
  </sheetData>
  <mergeCells count="12">
    <mergeCell ref="A35:F35"/>
    <mergeCell ref="A4:AC4"/>
    <mergeCell ref="A12:AC12"/>
    <mergeCell ref="A16:AC16"/>
    <mergeCell ref="A20:M20"/>
    <mergeCell ref="A23:J23"/>
    <mergeCell ref="A1:AJ1"/>
    <mergeCell ref="B2:G2"/>
    <mergeCell ref="H2:M2"/>
    <mergeCell ref="N2:Q2"/>
    <mergeCell ref="R2:U2"/>
    <mergeCell ref="V2:AC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9"/>
  <sheetViews>
    <sheetView showGridLines="0" zoomScaleNormal="100" workbookViewId="0">
      <selection sqref="A1:F1"/>
    </sheetView>
  </sheetViews>
  <sheetFormatPr defaultColWidth="8.6328125" defaultRowHeight="14.5" x14ac:dyDescent="0.35"/>
  <cols>
    <col min="1" max="1" width="26" style="12" customWidth="1"/>
    <col min="2" max="4" width="16" style="12" customWidth="1"/>
    <col min="5" max="5" width="14" style="12" customWidth="1"/>
    <col min="6" max="6" width="65" style="12" customWidth="1"/>
  </cols>
  <sheetData>
    <row r="1" spans="1:6" ht="36" customHeight="1" x14ac:dyDescent="0.35">
      <c r="A1" s="2" t="s">
        <v>412</v>
      </c>
      <c r="B1" s="2"/>
      <c r="C1" s="2"/>
      <c r="D1" s="2"/>
      <c r="E1" s="2"/>
      <c r="F1" s="2"/>
    </row>
    <row r="2" spans="1:6" ht="25.5" customHeight="1" x14ac:dyDescent="0.35">
      <c r="A2" s="165" t="s">
        <v>413</v>
      </c>
      <c r="B2" s="165" t="s">
        <v>414</v>
      </c>
      <c r="C2" s="165" t="s">
        <v>415</v>
      </c>
      <c r="D2" s="165" t="s">
        <v>416</v>
      </c>
      <c r="E2" s="165" t="s">
        <v>417</v>
      </c>
      <c r="F2" s="165" t="s">
        <v>219</v>
      </c>
    </row>
    <row r="3" spans="1:6" ht="39.75" customHeight="1" x14ac:dyDescent="0.35">
      <c r="A3" s="166" t="s">
        <v>418</v>
      </c>
      <c r="B3" s="167">
        <v>75</v>
      </c>
      <c r="C3" s="168">
        <v>75</v>
      </c>
      <c r="D3" s="169">
        <v>0</v>
      </c>
      <c r="E3" s="170">
        <v>0</v>
      </c>
      <c r="F3" s="171" t="s">
        <v>419</v>
      </c>
    </row>
    <row r="4" spans="1:6" ht="39.75" customHeight="1" x14ac:dyDescent="0.35">
      <c r="A4" s="172" t="s">
        <v>36</v>
      </c>
      <c r="B4" s="173">
        <v>19.802130999999999</v>
      </c>
      <c r="C4" s="174">
        <v>19.010045730000002</v>
      </c>
      <c r="D4" s="175">
        <v>0.79208527000000095</v>
      </c>
      <c r="E4" s="176">
        <v>4.1666668310534401E-2</v>
      </c>
      <c r="F4" s="177" t="s">
        <v>420</v>
      </c>
    </row>
    <row r="5" spans="1:6" ht="39.75" customHeight="1" x14ac:dyDescent="0.35">
      <c r="A5" s="178" t="s">
        <v>37</v>
      </c>
      <c r="B5" s="179">
        <v>10.870393999999999</v>
      </c>
      <c r="C5" s="180">
        <v>10.54428223</v>
      </c>
      <c r="D5" s="181">
        <v>0.32611176999999703</v>
      </c>
      <c r="E5" s="182">
        <v>3.0927830162982801E-2</v>
      </c>
      <c r="F5" s="183" t="s">
        <v>421</v>
      </c>
    </row>
    <row r="6" spans="1:6" ht="39.75" customHeight="1" x14ac:dyDescent="0.35">
      <c r="A6" s="172" t="s">
        <v>38</v>
      </c>
      <c r="B6" s="173">
        <v>2.7630180000000002</v>
      </c>
      <c r="C6" s="174">
        <v>2.7630179799999999</v>
      </c>
      <c r="D6" s="175">
        <v>1.99999998784506E-8</v>
      </c>
      <c r="E6" s="176">
        <v>7.2384617194748003E-9</v>
      </c>
      <c r="F6" s="177" t="s">
        <v>422</v>
      </c>
    </row>
    <row r="7" spans="1:6" ht="39.75" customHeight="1" x14ac:dyDescent="0.35">
      <c r="A7" s="178" t="s">
        <v>423</v>
      </c>
      <c r="B7" s="179">
        <v>-3.926256</v>
      </c>
      <c r="C7" s="180">
        <v>-4.0047811099999997</v>
      </c>
      <c r="D7" s="184">
        <v>7.8525110000000606E-2</v>
      </c>
      <c r="E7" s="185">
        <v>1.9607840689200799E-2</v>
      </c>
      <c r="F7" s="183" t="s">
        <v>424</v>
      </c>
    </row>
    <row r="8" spans="1:6" ht="39.75" customHeight="1" x14ac:dyDescent="0.35">
      <c r="A8" s="172" t="s">
        <v>425</v>
      </c>
      <c r="B8" s="173">
        <v>-7.004346</v>
      </c>
      <c r="C8" s="174">
        <v>-7.2144763799999998</v>
      </c>
      <c r="D8" s="186">
        <v>0.210130380000002</v>
      </c>
      <c r="E8" s="187">
        <v>2.9126213592233201E-2</v>
      </c>
      <c r="F8" s="177" t="s">
        <v>426</v>
      </c>
    </row>
    <row r="9" spans="1:6" ht="39.75" customHeight="1" x14ac:dyDescent="0.35">
      <c r="A9" s="166" t="s">
        <v>427</v>
      </c>
      <c r="B9" s="167">
        <v>97.504941000000002</v>
      </c>
      <c r="C9" s="168">
        <v>96.098088450000006</v>
      </c>
      <c r="D9" s="188">
        <v>1.40685255</v>
      </c>
      <c r="E9" s="189">
        <v>1.46397558233636E-2</v>
      </c>
      <c r="F9" s="171" t="s">
        <v>428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37"/>
  <sheetViews>
    <sheetView showGridLines="0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AJ1"/>
    </sheetView>
  </sheetViews>
  <sheetFormatPr defaultColWidth="8.6328125" defaultRowHeight="14.5" x14ac:dyDescent="0.35"/>
  <cols>
    <col min="1" max="1" width="14" style="12" customWidth="1"/>
    <col min="2" max="6" width="16" style="12" customWidth="1"/>
    <col min="7" max="7" width="11" style="12" customWidth="1"/>
    <col min="8" max="13" width="10" style="12" customWidth="1"/>
    <col min="14" max="29" width="11" style="12" customWidth="1"/>
  </cols>
  <sheetData>
    <row r="1" spans="1:36" ht="36" customHeight="1" x14ac:dyDescent="0.35">
      <c r="A1" s="11" t="s">
        <v>130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</row>
    <row r="2" spans="1:36" ht="19.5" customHeight="1" x14ac:dyDescent="0.35">
      <c r="B2" s="10" t="s">
        <v>1</v>
      </c>
      <c r="C2" s="10"/>
      <c r="D2" s="10"/>
      <c r="E2" s="10"/>
      <c r="F2" s="10"/>
      <c r="G2" s="10"/>
      <c r="H2" s="9" t="s">
        <v>2</v>
      </c>
      <c r="I2" s="9"/>
      <c r="J2" s="9"/>
      <c r="K2" s="9"/>
      <c r="L2" s="9"/>
      <c r="M2" s="9"/>
      <c r="N2" s="10" t="s">
        <v>3</v>
      </c>
      <c r="O2" s="10"/>
      <c r="P2" s="10"/>
      <c r="Q2" s="10"/>
      <c r="R2" s="8" t="s">
        <v>4</v>
      </c>
      <c r="S2" s="8"/>
      <c r="T2" s="8"/>
      <c r="U2" s="8"/>
      <c r="V2" s="7" t="s">
        <v>5</v>
      </c>
      <c r="W2" s="7"/>
      <c r="X2" s="7"/>
      <c r="Y2" s="7"/>
      <c r="Z2" s="7"/>
      <c r="AA2" s="7"/>
      <c r="AB2" s="7"/>
      <c r="AC2" s="7"/>
    </row>
    <row r="3" spans="1:36" ht="31.5" customHeight="1" x14ac:dyDescent="0.35">
      <c r="B3" s="13" t="s">
        <v>6</v>
      </c>
      <c r="C3" s="13" t="s">
        <v>7</v>
      </c>
      <c r="D3" s="13" t="s">
        <v>8</v>
      </c>
      <c r="E3" s="13" t="s">
        <v>9</v>
      </c>
      <c r="F3" s="13" t="s">
        <v>10</v>
      </c>
      <c r="G3" s="13" t="s">
        <v>11</v>
      </c>
      <c r="H3" s="14" t="s">
        <v>12</v>
      </c>
      <c r="I3" s="14" t="s">
        <v>13</v>
      </c>
      <c r="J3" s="14" t="s">
        <v>14</v>
      </c>
      <c r="K3" s="14" t="s">
        <v>15</v>
      </c>
      <c r="L3" s="14" t="s">
        <v>16</v>
      </c>
      <c r="M3" s="14" t="s">
        <v>17</v>
      </c>
      <c r="N3" s="13" t="s">
        <v>18</v>
      </c>
      <c r="O3" s="13" t="s">
        <v>19</v>
      </c>
      <c r="P3" s="13" t="s">
        <v>20</v>
      </c>
      <c r="Q3" s="13" t="s">
        <v>21</v>
      </c>
      <c r="R3" s="15" t="s">
        <v>22</v>
      </c>
      <c r="S3" s="15" t="s">
        <v>23</v>
      </c>
      <c r="T3" s="15" t="s">
        <v>24</v>
      </c>
      <c r="U3" s="15" t="s">
        <v>25</v>
      </c>
      <c r="V3" s="16" t="s">
        <v>26</v>
      </c>
      <c r="W3" s="16" t="s">
        <v>27</v>
      </c>
      <c r="X3" s="16" t="s">
        <v>28</v>
      </c>
      <c r="Y3" s="16" t="s">
        <v>29</v>
      </c>
      <c r="Z3" s="16" t="s">
        <v>30</v>
      </c>
      <c r="AA3" s="16" t="s">
        <v>31</v>
      </c>
      <c r="AB3" s="16" t="s">
        <v>32</v>
      </c>
      <c r="AC3" s="16" t="s">
        <v>33</v>
      </c>
    </row>
    <row r="4" spans="1:36" ht="15.75" customHeight="1" x14ac:dyDescent="0.35">
      <c r="A4" s="6" t="s">
        <v>131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spans="1:36" ht="16.5" customHeight="1" x14ac:dyDescent="0.35">
      <c r="A5" s="17" t="s">
        <v>132</v>
      </c>
      <c r="B5" s="18">
        <v>46.1</v>
      </c>
      <c r="C5" s="18">
        <v>48.71</v>
      </c>
      <c r="D5" s="18">
        <v>51.01</v>
      </c>
      <c r="E5" s="18">
        <v>58.09</v>
      </c>
      <c r="F5" s="18">
        <v>62.57</v>
      </c>
      <c r="G5" s="19"/>
      <c r="H5" s="38">
        <v>66.040000000000006</v>
      </c>
      <c r="I5" s="38">
        <v>65.2</v>
      </c>
      <c r="J5" s="38">
        <v>64.540000000000006</v>
      </c>
      <c r="K5" s="38">
        <v>64.16</v>
      </c>
      <c r="L5" s="38">
        <v>64.040000000000006</v>
      </c>
      <c r="M5" s="38">
        <v>64.2</v>
      </c>
      <c r="N5" s="21">
        <v>145.82</v>
      </c>
      <c r="O5" s="21">
        <v>120.66</v>
      </c>
      <c r="P5" s="21">
        <v>266.48</v>
      </c>
      <c r="Q5" s="21">
        <v>719.28</v>
      </c>
      <c r="R5" s="22">
        <v>37.950000000000003</v>
      </c>
      <c r="S5" s="22">
        <v>77.790000000000006</v>
      </c>
      <c r="T5" s="22">
        <v>115.74</v>
      </c>
      <c r="U5" s="22">
        <v>276.04000000000002</v>
      </c>
      <c r="V5" s="39">
        <v>107.87</v>
      </c>
      <c r="W5" s="39">
        <v>42.87</v>
      </c>
      <c r="X5" s="39">
        <v>150.74</v>
      </c>
      <c r="Y5" s="39">
        <v>443.24</v>
      </c>
      <c r="Z5" s="40">
        <v>2.8424242424242401</v>
      </c>
      <c r="AA5" s="40">
        <v>0.55109911299652903</v>
      </c>
      <c r="AB5" s="40">
        <v>1.3024019353723899</v>
      </c>
      <c r="AC5" s="40">
        <v>1.6057093174902199</v>
      </c>
    </row>
    <row r="6" spans="1:36" ht="6" customHeight="1" x14ac:dyDescent="0.35">
      <c r="A6" s="37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</row>
    <row r="7" spans="1:36" ht="15.75" customHeight="1" x14ac:dyDescent="0.35">
      <c r="A7" s="6" t="s">
        <v>133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spans="1:36" ht="16.5" customHeight="1" x14ac:dyDescent="0.35">
      <c r="A8" s="25" t="s">
        <v>134</v>
      </c>
      <c r="B8" s="26">
        <v>9.27</v>
      </c>
      <c r="C8" s="26">
        <v>8.67</v>
      </c>
      <c r="D8" s="26">
        <v>13.59</v>
      </c>
      <c r="E8" s="26">
        <v>10.82</v>
      </c>
      <c r="F8" s="26">
        <v>9.65</v>
      </c>
      <c r="G8" s="27"/>
      <c r="H8" s="28">
        <v>6.21</v>
      </c>
      <c r="I8" s="28">
        <v>6.48</v>
      </c>
      <c r="J8" s="28">
        <v>6.84</v>
      </c>
      <c r="K8" s="28">
        <v>7.21</v>
      </c>
      <c r="L8" s="28">
        <v>7.59</v>
      </c>
      <c r="M8" s="28">
        <v>7.97</v>
      </c>
      <c r="N8" s="29">
        <v>31.53</v>
      </c>
      <c r="O8" s="29">
        <v>20.47</v>
      </c>
      <c r="P8" s="29">
        <v>52</v>
      </c>
      <c r="Q8" s="29">
        <v>102.66</v>
      </c>
      <c r="R8" s="30">
        <v>31.53</v>
      </c>
      <c r="S8" s="30">
        <v>29.38</v>
      </c>
      <c r="T8" s="30">
        <v>60.91</v>
      </c>
      <c r="U8" s="30">
        <v>99.7</v>
      </c>
      <c r="V8" s="35">
        <v>0</v>
      </c>
      <c r="W8" s="32">
        <v>-8.91</v>
      </c>
      <c r="X8" s="32">
        <v>-8.91</v>
      </c>
      <c r="Y8" s="31">
        <v>2.9599999999999902</v>
      </c>
      <c r="Z8" s="36">
        <v>0</v>
      </c>
      <c r="AA8" s="34">
        <v>-0.30326752893124598</v>
      </c>
      <c r="AB8" s="34">
        <v>-0.146281398785093</v>
      </c>
      <c r="AC8" s="33">
        <v>2.9689067201604798E-2</v>
      </c>
    </row>
    <row r="9" spans="1:36" ht="6" customHeight="1" x14ac:dyDescent="0.35">
      <c r="A9" s="37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</row>
    <row r="10" spans="1:36" ht="15.75" customHeight="1" x14ac:dyDescent="0.35">
      <c r="A10" s="6" t="s">
        <v>135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 spans="1:36" ht="16.5" customHeight="1" x14ac:dyDescent="0.35">
      <c r="A11" s="25" t="s">
        <v>136</v>
      </c>
      <c r="B11" s="26">
        <v>3.82</v>
      </c>
      <c r="C11" s="26">
        <v>3.65</v>
      </c>
      <c r="D11" s="26">
        <v>3.74</v>
      </c>
      <c r="E11" s="26">
        <v>3.57</v>
      </c>
      <c r="F11" s="26">
        <v>3.61</v>
      </c>
      <c r="G11" s="27"/>
      <c r="H11" s="28">
        <v>3.93</v>
      </c>
      <c r="I11" s="28">
        <v>4.03</v>
      </c>
      <c r="J11" s="28">
        <v>4.1399999999999997</v>
      </c>
      <c r="K11" s="28">
        <v>4.26</v>
      </c>
      <c r="L11" s="28">
        <v>4.38</v>
      </c>
      <c r="M11" s="28">
        <v>4.51</v>
      </c>
      <c r="N11" s="29">
        <v>11.21</v>
      </c>
      <c r="O11" s="29">
        <v>7.18</v>
      </c>
      <c r="P11" s="29">
        <v>18.39</v>
      </c>
      <c r="Q11" s="29">
        <v>48.29</v>
      </c>
      <c r="R11" s="30">
        <v>11.42</v>
      </c>
      <c r="S11" s="30">
        <v>11.32</v>
      </c>
      <c r="T11" s="30">
        <v>22.74</v>
      </c>
      <c r="U11" s="30">
        <v>49.24</v>
      </c>
      <c r="V11" s="31">
        <v>-0.20999999999999899</v>
      </c>
      <c r="W11" s="31">
        <v>-4.1399999999999997</v>
      </c>
      <c r="X11" s="31">
        <v>-4.3499999999999996</v>
      </c>
      <c r="Y11" s="31">
        <v>-0.95000000000000295</v>
      </c>
      <c r="Z11" s="33">
        <v>-1.8388791593695199E-2</v>
      </c>
      <c r="AA11" s="33">
        <v>-0.36572438162544202</v>
      </c>
      <c r="AB11" s="33">
        <v>-0.191292875989446</v>
      </c>
      <c r="AC11" s="33">
        <v>-1.9293257514216101E-2</v>
      </c>
    </row>
    <row r="12" spans="1:36" ht="16.5" customHeight="1" x14ac:dyDescent="0.35">
      <c r="A12" s="25" t="s">
        <v>137</v>
      </c>
      <c r="B12" s="26">
        <v>0.27</v>
      </c>
      <c r="C12" s="26">
        <v>0.3</v>
      </c>
      <c r="D12" s="26">
        <v>0.31</v>
      </c>
      <c r="E12" s="26">
        <v>0.28000000000000003</v>
      </c>
      <c r="F12" s="26">
        <v>0.28999999999999998</v>
      </c>
      <c r="G12" s="27"/>
      <c r="H12" s="28">
        <v>0.36</v>
      </c>
      <c r="I12" s="28">
        <v>0.39</v>
      </c>
      <c r="J12" s="28">
        <v>0.4</v>
      </c>
      <c r="K12" s="28">
        <v>0.41</v>
      </c>
      <c r="L12" s="28">
        <v>0.42</v>
      </c>
      <c r="M12" s="28">
        <v>0.44</v>
      </c>
      <c r="N12" s="29">
        <v>0.88</v>
      </c>
      <c r="O12" s="29">
        <v>0.56999999999999995</v>
      </c>
      <c r="P12" s="29">
        <v>1.45</v>
      </c>
      <c r="Q12" s="29">
        <v>4.32</v>
      </c>
      <c r="R12" s="30">
        <v>0.91</v>
      </c>
      <c r="S12" s="30">
        <v>0.96</v>
      </c>
      <c r="T12" s="30">
        <v>1.87</v>
      </c>
      <c r="U12" s="30">
        <v>4.38</v>
      </c>
      <c r="V12" s="31">
        <v>-0.03</v>
      </c>
      <c r="W12" s="31">
        <v>-0.39</v>
      </c>
      <c r="X12" s="31">
        <v>-0.42</v>
      </c>
      <c r="Y12" s="31">
        <v>-5.9999999999999602E-2</v>
      </c>
      <c r="Z12" s="33">
        <v>-3.2967032967033003E-2</v>
      </c>
      <c r="AA12" s="33">
        <v>-0.40625</v>
      </c>
      <c r="AB12" s="33">
        <v>-0.22459893048128399</v>
      </c>
      <c r="AC12" s="33">
        <v>-1.36986301369862E-2</v>
      </c>
    </row>
    <row r="13" spans="1:36" ht="16.5" customHeight="1" x14ac:dyDescent="0.35">
      <c r="A13" s="25" t="s">
        <v>138</v>
      </c>
      <c r="B13" s="26">
        <v>1.38</v>
      </c>
      <c r="C13" s="26">
        <v>1.38</v>
      </c>
      <c r="D13" s="26">
        <v>1.37</v>
      </c>
      <c r="E13" s="26">
        <v>1.36</v>
      </c>
      <c r="F13" s="26">
        <v>1.38</v>
      </c>
      <c r="G13" s="27"/>
      <c r="H13" s="28">
        <v>1.5</v>
      </c>
      <c r="I13" s="28">
        <v>1.42</v>
      </c>
      <c r="J13" s="28">
        <v>1.46</v>
      </c>
      <c r="K13" s="28">
        <v>1.49</v>
      </c>
      <c r="L13" s="28">
        <v>1.52</v>
      </c>
      <c r="M13" s="28">
        <v>1.55</v>
      </c>
      <c r="N13" s="29">
        <v>4.13</v>
      </c>
      <c r="O13" s="29">
        <v>2.74</v>
      </c>
      <c r="P13" s="29">
        <v>6.87</v>
      </c>
      <c r="Q13" s="29">
        <v>17.39</v>
      </c>
      <c r="R13" s="30">
        <v>4.13</v>
      </c>
      <c r="S13" s="30">
        <v>4.17</v>
      </c>
      <c r="T13" s="30">
        <v>8.3000000000000007</v>
      </c>
      <c r="U13" s="30">
        <v>17.62</v>
      </c>
      <c r="V13" s="35">
        <v>0</v>
      </c>
      <c r="W13" s="31">
        <v>-1.43</v>
      </c>
      <c r="X13" s="31">
        <v>-1.43</v>
      </c>
      <c r="Y13" s="31">
        <v>-0.23</v>
      </c>
      <c r="Z13" s="36">
        <v>0</v>
      </c>
      <c r="AA13" s="33">
        <v>-0.34292565947242198</v>
      </c>
      <c r="AB13" s="33">
        <v>-0.17228915662650601</v>
      </c>
      <c r="AC13" s="33">
        <v>-1.30533484676504E-2</v>
      </c>
    </row>
    <row r="14" spans="1:36" ht="16.5" customHeight="1" x14ac:dyDescent="0.35">
      <c r="A14" s="25" t="s">
        <v>139</v>
      </c>
      <c r="B14" s="26">
        <v>9.6000000000000002E-2</v>
      </c>
      <c r="C14" s="26">
        <v>9.6000000000000002E-2</v>
      </c>
      <c r="D14" s="26">
        <v>9.5000000000000001E-2</v>
      </c>
      <c r="E14" s="26">
        <v>9.5000000000000001E-2</v>
      </c>
      <c r="F14" s="26">
        <v>9.6000000000000002E-2</v>
      </c>
      <c r="G14" s="27"/>
      <c r="H14" s="28">
        <v>0.105</v>
      </c>
      <c r="I14" s="28">
        <v>0.11</v>
      </c>
      <c r="J14" s="28">
        <v>0.115</v>
      </c>
      <c r="K14" s="28">
        <v>0.12</v>
      </c>
      <c r="L14" s="28">
        <v>0.125</v>
      </c>
      <c r="M14" s="28">
        <v>0.13</v>
      </c>
      <c r="N14" s="29">
        <v>0.28699999999999998</v>
      </c>
      <c r="O14" s="29">
        <v>0.191</v>
      </c>
      <c r="P14" s="29">
        <v>0.47799999999999998</v>
      </c>
      <c r="Q14" s="29">
        <v>1.3180000000000001</v>
      </c>
      <c r="R14" s="30">
        <v>0.28699999999999998</v>
      </c>
      <c r="S14" s="30">
        <v>0.29599999999999999</v>
      </c>
      <c r="T14" s="30">
        <v>0.58299999999999996</v>
      </c>
      <c r="U14" s="30">
        <v>1.3180000000000001</v>
      </c>
      <c r="V14" s="35">
        <v>0</v>
      </c>
      <c r="W14" s="31">
        <v>-0.105</v>
      </c>
      <c r="X14" s="31">
        <v>-0.105</v>
      </c>
      <c r="Y14" s="35">
        <v>0</v>
      </c>
      <c r="Z14" s="36">
        <v>0</v>
      </c>
      <c r="AA14" s="33">
        <v>-0.35472972972972999</v>
      </c>
      <c r="AB14" s="33">
        <v>-0.180102915951973</v>
      </c>
      <c r="AC14" s="36">
        <v>0</v>
      </c>
    </row>
    <row r="15" spans="1:36" ht="16.5" customHeight="1" x14ac:dyDescent="0.35">
      <c r="A15" s="25" t="s">
        <v>140</v>
      </c>
      <c r="B15" s="26">
        <v>3.5000000000000003E-2</v>
      </c>
      <c r="C15" s="26">
        <v>3.5000000000000003E-2</v>
      </c>
      <c r="D15" s="26">
        <v>3.5000000000000003E-2</v>
      </c>
      <c r="E15" s="26">
        <v>3.5000000000000003E-2</v>
      </c>
      <c r="F15" s="26">
        <v>3.5000000000000003E-2</v>
      </c>
      <c r="G15" s="27"/>
      <c r="H15" s="28">
        <v>5.5E-2</v>
      </c>
      <c r="I15" s="28">
        <v>5.8000000000000003E-2</v>
      </c>
      <c r="J15" s="28">
        <v>0.06</v>
      </c>
      <c r="K15" s="28">
        <v>6.2E-2</v>
      </c>
      <c r="L15" s="28">
        <v>6.4000000000000001E-2</v>
      </c>
      <c r="M15" s="28">
        <v>6.6000000000000003E-2</v>
      </c>
      <c r="N15" s="29">
        <v>0.105</v>
      </c>
      <c r="O15" s="29">
        <v>7.0000000000000007E-2</v>
      </c>
      <c r="P15" s="29">
        <v>0.17499999999999999</v>
      </c>
      <c r="Q15" s="29">
        <v>0.60799999999999998</v>
      </c>
      <c r="R15" s="30">
        <v>0.105</v>
      </c>
      <c r="S15" s="30">
        <v>0.125</v>
      </c>
      <c r="T15" s="30">
        <v>0.23</v>
      </c>
      <c r="U15" s="30">
        <v>0.60799999999999998</v>
      </c>
      <c r="V15" s="35">
        <v>0</v>
      </c>
      <c r="W15" s="31">
        <v>-5.5E-2</v>
      </c>
      <c r="X15" s="31">
        <v>-5.5E-2</v>
      </c>
      <c r="Y15" s="35">
        <v>0</v>
      </c>
      <c r="Z15" s="36">
        <v>0</v>
      </c>
      <c r="AA15" s="33">
        <v>-0.44</v>
      </c>
      <c r="AB15" s="33">
        <v>-0.23913043478260901</v>
      </c>
      <c r="AC15" s="36">
        <v>0</v>
      </c>
    </row>
    <row r="16" spans="1:36" ht="16.5" customHeight="1" x14ac:dyDescent="0.35">
      <c r="A16" s="25" t="s">
        <v>141</v>
      </c>
      <c r="B16" s="26">
        <v>0.89500000000000002</v>
      </c>
      <c r="C16" s="26">
        <v>0.73</v>
      </c>
      <c r="D16" s="26">
        <v>0.78</v>
      </c>
      <c r="E16" s="26">
        <v>0.82099999999999995</v>
      </c>
      <c r="F16" s="26">
        <v>0.85</v>
      </c>
      <c r="G16" s="27"/>
      <c r="H16" s="28">
        <v>0.88500000000000001</v>
      </c>
      <c r="I16" s="28">
        <v>0.91</v>
      </c>
      <c r="J16" s="28">
        <v>0.93500000000000005</v>
      </c>
      <c r="K16" s="28">
        <v>0.96</v>
      </c>
      <c r="L16" s="28">
        <v>0.98499999999999999</v>
      </c>
      <c r="M16" s="28">
        <v>1.01</v>
      </c>
      <c r="N16" s="29">
        <v>2.4049999999999998</v>
      </c>
      <c r="O16" s="29">
        <v>1.671</v>
      </c>
      <c r="P16" s="29">
        <v>4.0759999999999996</v>
      </c>
      <c r="Q16" s="29">
        <v>10.795999999999999</v>
      </c>
      <c r="R16" s="30">
        <v>2.452</v>
      </c>
      <c r="S16" s="30">
        <v>2.6389999999999998</v>
      </c>
      <c r="T16" s="30">
        <v>5.0910000000000002</v>
      </c>
      <c r="U16" s="30">
        <v>11.226000000000001</v>
      </c>
      <c r="V16" s="31">
        <v>-4.6999999999999702E-2</v>
      </c>
      <c r="W16" s="31">
        <v>-0.96799999999999997</v>
      </c>
      <c r="X16" s="31">
        <v>-1.0149999999999999</v>
      </c>
      <c r="Y16" s="31">
        <v>-0.43</v>
      </c>
      <c r="Z16" s="33">
        <v>-1.9168026101141801E-2</v>
      </c>
      <c r="AA16" s="33">
        <v>-0.36680560818491897</v>
      </c>
      <c r="AB16" s="33">
        <v>-0.199371439795718</v>
      </c>
      <c r="AC16" s="33">
        <v>-3.8303937288437499E-2</v>
      </c>
    </row>
    <row r="17" spans="1:29" ht="16.5" customHeight="1" x14ac:dyDescent="0.35">
      <c r="A17" s="25" t="s">
        <v>142</v>
      </c>
      <c r="B17" s="26">
        <v>0.18</v>
      </c>
      <c r="C17" s="26">
        <v>0.18</v>
      </c>
      <c r="D17" s="26">
        <v>0.18</v>
      </c>
      <c r="E17" s="26">
        <v>0.18</v>
      </c>
      <c r="F17" s="26">
        <v>0.18</v>
      </c>
      <c r="G17" s="27"/>
      <c r="H17" s="28">
        <v>0.22</v>
      </c>
      <c r="I17" s="28">
        <v>0.23</v>
      </c>
      <c r="J17" s="28">
        <v>0.24</v>
      </c>
      <c r="K17" s="28">
        <v>0.25</v>
      </c>
      <c r="L17" s="28">
        <v>0.26</v>
      </c>
      <c r="M17" s="28">
        <v>0.27</v>
      </c>
      <c r="N17" s="29">
        <v>0.54</v>
      </c>
      <c r="O17" s="29">
        <v>0.36</v>
      </c>
      <c r="P17" s="29">
        <v>0.9</v>
      </c>
      <c r="Q17" s="29">
        <v>2.65</v>
      </c>
      <c r="R17" s="30">
        <v>0.54</v>
      </c>
      <c r="S17" s="30">
        <v>0.57999999999999996</v>
      </c>
      <c r="T17" s="30">
        <v>1.1200000000000001</v>
      </c>
      <c r="U17" s="30">
        <v>2.65</v>
      </c>
      <c r="V17" s="35">
        <v>0</v>
      </c>
      <c r="W17" s="31">
        <v>-0.22</v>
      </c>
      <c r="X17" s="31">
        <v>-0.22</v>
      </c>
      <c r="Y17" s="35">
        <v>0</v>
      </c>
      <c r="Z17" s="36">
        <v>0</v>
      </c>
      <c r="AA17" s="33">
        <v>-0.37931034482758602</v>
      </c>
      <c r="AB17" s="33">
        <v>-0.19642857142857101</v>
      </c>
      <c r="AC17" s="36">
        <v>0</v>
      </c>
    </row>
    <row r="18" spans="1:29" ht="6" customHeight="1" x14ac:dyDescent="0.35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</row>
    <row r="19" spans="1:29" ht="16.5" customHeight="1" x14ac:dyDescent="0.35">
      <c r="A19" s="17" t="s">
        <v>143</v>
      </c>
      <c r="B19" s="18">
        <v>6.6760000000000002</v>
      </c>
      <c r="C19" s="18">
        <v>6.3710000000000004</v>
      </c>
      <c r="D19" s="18">
        <v>6.51</v>
      </c>
      <c r="E19" s="18">
        <v>6.3410000000000002</v>
      </c>
      <c r="F19" s="18">
        <v>6.4409999999999998</v>
      </c>
      <c r="G19" s="19"/>
      <c r="H19" s="38">
        <v>7.0549999999999997</v>
      </c>
      <c r="I19" s="38">
        <v>7.1479999999999997</v>
      </c>
      <c r="J19" s="38">
        <v>7.35</v>
      </c>
      <c r="K19" s="38">
        <v>7.5519999999999996</v>
      </c>
      <c r="L19" s="38">
        <v>7.7539999999999996</v>
      </c>
      <c r="M19" s="38">
        <v>7.976</v>
      </c>
      <c r="N19" s="21">
        <v>19.556999999999999</v>
      </c>
      <c r="O19" s="21">
        <v>12.782</v>
      </c>
      <c r="P19" s="21">
        <v>32.338999999999999</v>
      </c>
      <c r="Q19" s="21">
        <v>85.372</v>
      </c>
      <c r="R19" s="22">
        <v>19.844000000000001</v>
      </c>
      <c r="S19" s="22">
        <v>20.09</v>
      </c>
      <c r="T19" s="22">
        <v>39.933999999999997</v>
      </c>
      <c r="U19" s="22">
        <v>87.042000000000002</v>
      </c>
      <c r="V19" s="39">
        <v>-0.28699999999999898</v>
      </c>
      <c r="W19" s="39">
        <v>-7.3079999999999998</v>
      </c>
      <c r="X19" s="39">
        <v>-7.5949999999999998</v>
      </c>
      <c r="Y19" s="39">
        <v>-1.67</v>
      </c>
      <c r="Z19" s="40">
        <v>-1.4462809917355299E-2</v>
      </c>
      <c r="AA19" s="40">
        <v>-0.36376306620209098</v>
      </c>
      <c r="AB19" s="40">
        <v>-0.19018881153903899</v>
      </c>
      <c r="AC19" s="40">
        <v>-1.9186140024356101E-2</v>
      </c>
    </row>
    <row r="20" spans="1:29" ht="16.5" customHeight="1" x14ac:dyDescent="0.35">
      <c r="A20" s="17" t="s">
        <v>144</v>
      </c>
      <c r="B20" s="18">
        <v>2.5939999999999999</v>
      </c>
      <c r="C20" s="18">
        <v>2.2989999999999999</v>
      </c>
      <c r="D20" s="18">
        <v>7.08</v>
      </c>
      <c r="E20" s="18">
        <v>4.4790000000000001</v>
      </c>
      <c r="F20" s="18">
        <v>3.2090000000000001</v>
      </c>
      <c r="G20" s="19"/>
      <c r="H20" s="38">
        <v>-0.84499999999999997</v>
      </c>
      <c r="I20" s="38">
        <v>-0.66800000000000004</v>
      </c>
      <c r="J20" s="38">
        <v>-0.51</v>
      </c>
      <c r="K20" s="38">
        <v>-0.34200000000000003</v>
      </c>
      <c r="L20" s="38">
        <v>-0.16400000000000001</v>
      </c>
      <c r="M20" s="38">
        <v>-6.00000000000023E-3</v>
      </c>
      <c r="N20" s="21">
        <v>11.973000000000001</v>
      </c>
      <c r="O20" s="21">
        <v>7.6879999999999997</v>
      </c>
      <c r="P20" s="21">
        <v>19.661000000000001</v>
      </c>
      <c r="Q20" s="21">
        <v>17.288</v>
      </c>
      <c r="R20" s="22">
        <v>11.686</v>
      </c>
      <c r="S20" s="22">
        <v>9.2899999999999991</v>
      </c>
      <c r="T20" s="22">
        <v>20.975999999999999</v>
      </c>
      <c r="U20" s="22">
        <v>12.657999999999999</v>
      </c>
      <c r="V20" s="39">
        <v>0.28699999999999898</v>
      </c>
      <c r="W20" s="23">
        <v>-1.6020000000000001</v>
      </c>
      <c r="X20" s="23">
        <v>-1.3149999999999999</v>
      </c>
      <c r="Y20" s="39">
        <v>4.63</v>
      </c>
      <c r="Z20" s="40">
        <v>2.4559301728563999E-2</v>
      </c>
      <c r="AA20" s="24">
        <v>-0.17244348762109801</v>
      </c>
      <c r="AB20" s="24">
        <v>-6.2690694126620802E-2</v>
      </c>
      <c r="AC20" s="40">
        <v>0.36577658397851198</v>
      </c>
    </row>
    <row r="21" spans="1:29" ht="6" customHeight="1" x14ac:dyDescent="0.35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</row>
    <row r="22" spans="1:29" ht="15.75" customHeight="1" x14ac:dyDescent="0.35">
      <c r="A22" s="6" t="s">
        <v>145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 spans="1:29" ht="16.5" customHeight="1" x14ac:dyDescent="0.35">
      <c r="A23" s="17" t="s">
        <v>146</v>
      </c>
      <c r="B23" s="18">
        <v>48.71</v>
      </c>
      <c r="C23" s="18">
        <v>51.01</v>
      </c>
      <c r="D23" s="18">
        <v>58.09</v>
      </c>
      <c r="E23" s="18">
        <v>62.57</v>
      </c>
      <c r="F23" s="18">
        <v>66.040000000000006</v>
      </c>
      <c r="G23" s="19"/>
      <c r="H23" s="38">
        <v>65.2</v>
      </c>
      <c r="I23" s="38">
        <v>64.540000000000006</v>
      </c>
      <c r="J23" s="38">
        <v>64.16</v>
      </c>
      <c r="K23" s="38">
        <v>64.040000000000006</v>
      </c>
      <c r="L23" s="38">
        <v>64.2</v>
      </c>
      <c r="M23" s="38">
        <v>64.62</v>
      </c>
      <c r="N23" s="21">
        <v>157.81</v>
      </c>
      <c r="O23" s="21">
        <v>128.61000000000001</v>
      </c>
      <c r="P23" s="21">
        <v>286.42</v>
      </c>
      <c r="Q23" s="21">
        <v>738.51</v>
      </c>
      <c r="R23" s="22">
        <v>49.62</v>
      </c>
      <c r="S23" s="22">
        <v>87.33</v>
      </c>
      <c r="T23" s="22">
        <v>136.94999999999999</v>
      </c>
      <c r="U23" s="22">
        <v>289.64</v>
      </c>
      <c r="V23" s="39">
        <v>108.19</v>
      </c>
      <c r="W23" s="39">
        <v>41.28</v>
      </c>
      <c r="X23" s="39">
        <v>149.47</v>
      </c>
      <c r="Y23" s="39">
        <v>448.87</v>
      </c>
      <c r="Z23" s="40">
        <v>2.18037081821846</v>
      </c>
      <c r="AA23" s="40">
        <v>0.47268979732050898</v>
      </c>
      <c r="AB23" s="40">
        <v>1.0914202263599899</v>
      </c>
      <c r="AC23" s="40">
        <v>1.54975141555034</v>
      </c>
    </row>
    <row r="24" spans="1:29" ht="16.5" customHeight="1" x14ac:dyDescent="0.35">
      <c r="A24" s="25" t="s">
        <v>147</v>
      </c>
      <c r="B24" s="26">
        <v>10</v>
      </c>
      <c r="C24" s="26">
        <v>10</v>
      </c>
      <c r="D24" s="26">
        <v>10</v>
      </c>
      <c r="E24" s="26">
        <v>10</v>
      </c>
      <c r="F24" s="26">
        <v>10</v>
      </c>
      <c r="G24" s="27"/>
      <c r="H24" s="28">
        <v>10</v>
      </c>
      <c r="I24" s="28">
        <v>10</v>
      </c>
      <c r="J24" s="28">
        <v>10</v>
      </c>
      <c r="K24" s="28">
        <v>10</v>
      </c>
      <c r="L24" s="28">
        <v>10</v>
      </c>
      <c r="M24" s="28">
        <v>10</v>
      </c>
      <c r="N24" s="29">
        <v>30</v>
      </c>
      <c r="O24" s="29">
        <v>20</v>
      </c>
      <c r="P24" s="29">
        <v>50</v>
      </c>
      <c r="Q24" s="29">
        <v>120</v>
      </c>
      <c r="R24" s="30">
        <v>30</v>
      </c>
      <c r="S24" s="30">
        <v>30</v>
      </c>
      <c r="T24" s="30">
        <v>60</v>
      </c>
      <c r="U24" s="30">
        <v>120</v>
      </c>
      <c r="V24" s="35">
        <v>0</v>
      </c>
      <c r="W24" s="32">
        <v>-10</v>
      </c>
      <c r="X24" s="32">
        <v>-10</v>
      </c>
      <c r="Y24" s="35">
        <v>0</v>
      </c>
      <c r="Z24" s="36">
        <v>0</v>
      </c>
      <c r="AA24" s="34">
        <v>-0.33333333333333298</v>
      </c>
      <c r="AB24" s="34">
        <v>-0.16666666666666699</v>
      </c>
      <c r="AC24" s="36">
        <v>0</v>
      </c>
    </row>
    <row r="25" spans="1:29" ht="16.5" customHeight="1" x14ac:dyDescent="0.35">
      <c r="A25" s="41" t="s">
        <v>148</v>
      </c>
      <c r="B25" s="26">
        <v>38.71</v>
      </c>
      <c r="C25" s="26">
        <v>41.01</v>
      </c>
      <c r="D25" s="26">
        <v>48.09</v>
      </c>
      <c r="E25" s="26">
        <v>52.57</v>
      </c>
      <c r="F25" s="26">
        <v>56.04</v>
      </c>
      <c r="G25" s="27"/>
      <c r="H25" s="28">
        <v>55.2</v>
      </c>
      <c r="I25" s="28">
        <v>54.54</v>
      </c>
      <c r="J25" s="28">
        <v>54.16</v>
      </c>
      <c r="K25" s="28">
        <v>54.04</v>
      </c>
      <c r="L25" s="28">
        <v>54.2</v>
      </c>
      <c r="M25" s="28">
        <v>54.62</v>
      </c>
      <c r="N25" s="29">
        <v>127.81</v>
      </c>
      <c r="O25" s="29">
        <v>108.61</v>
      </c>
      <c r="P25" s="29">
        <v>236.42</v>
      </c>
      <c r="Q25" s="29">
        <v>618.51</v>
      </c>
      <c r="R25" s="30">
        <v>19.62</v>
      </c>
      <c r="S25" s="30">
        <v>57.33</v>
      </c>
      <c r="T25" s="30">
        <v>76.95</v>
      </c>
      <c r="U25" s="30">
        <v>169.64</v>
      </c>
      <c r="V25" s="31">
        <v>108.19</v>
      </c>
      <c r="W25" s="31">
        <v>51.28</v>
      </c>
      <c r="X25" s="31">
        <v>159.47</v>
      </c>
      <c r="Y25" s="31">
        <v>448.87</v>
      </c>
      <c r="Z25" s="33">
        <v>5.5142711518858301</v>
      </c>
      <c r="AA25" s="33">
        <v>0.894470608756323</v>
      </c>
      <c r="AB25" s="33">
        <v>2.0723846653671201</v>
      </c>
      <c r="AC25" s="33">
        <v>2.6460150907804798</v>
      </c>
    </row>
    <row r="27" spans="1:29" ht="24" customHeight="1" x14ac:dyDescent="0.35">
      <c r="A27" s="5" t="s">
        <v>149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30" spans="1:29" ht="4.5" customHeight="1" x14ac:dyDescent="0.35"/>
    <row r="31" spans="1:29" ht="18" customHeight="1" x14ac:dyDescent="0.35">
      <c r="A31" s="3" t="s">
        <v>60</v>
      </c>
      <c r="B31" s="3"/>
      <c r="C31" s="3"/>
      <c r="D31" s="3"/>
      <c r="E31" s="3"/>
      <c r="F31" s="3"/>
    </row>
    <row r="32" spans="1:29" ht="24" customHeight="1" x14ac:dyDescent="0.35">
      <c r="A32" s="47" t="s">
        <v>61</v>
      </c>
      <c r="B32" s="47" t="s">
        <v>62</v>
      </c>
      <c r="C32" s="58" t="s">
        <v>63</v>
      </c>
      <c r="D32" s="58" t="s">
        <v>64</v>
      </c>
      <c r="E32" s="47" t="s">
        <v>65</v>
      </c>
      <c r="F32" s="58" t="s">
        <v>66</v>
      </c>
    </row>
    <row r="33" spans="1:6" ht="51.75" customHeight="1" x14ac:dyDescent="0.35">
      <c r="A33" s="48" t="s">
        <v>150</v>
      </c>
      <c r="B33" s="59" t="s">
        <v>151</v>
      </c>
      <c r="C33" s="60" t="s">
        <v>152</v>
      </c>
      <c r="D33" s="61" t="s">
        <v>153</v>
      </c>
      <c r="E33" s="62" t="s">
        <v>154</v>
      </c>
      <c r="F33" s="63" t="s">
        <v>155</v>
      </c>
    </row>
    <row r="34" spans="1:6" ht="51.75" customHeight="1" x14ac:dyDescent="0.35">
      <c r="A34" s="52" t="s">
        <v>114</v>
      </c>
      <c r="B34" s="64" t="s">
        <v>156</v>
      </c>
      <c r="C34" s="65" t="s">
        <v>157</v>
      </c>
      <c r="D34" s="66" t="s">
        <v>158</v>
      </c>
      <c r="E34" s="67" t="s">
        <v>70</v>
      </c>
      <c r="F34" s="68" t="s">
        <v>159</v>
      </c>
    </row>
    <row r="35" spans="1:6" ht="51.75" customHeight="1" x14ac:dyDescent="0.35">
      <c r="A35" s="48" t="s">
        <v>77</v>
      </c>
      <c r="B35" s="59" t="s">
        <v>136</v>
      </c>
      <c r="C35" s="60" t="s">
        <v>160</v>
      </c>
      <c r="D35" s="61" t="s">
        <v>161</v>
      </c>
      <c r="E35" s="62" t="s">
        <v>162</v>
      </c>
      <c r="F35" s="63" t="s">
        <v>163</v>
      </c>
    </row>
    <row r="36" spans="1:6" ht="51.75" customHeight="1" x14ac:dyDescent="0.35">
      <c r="A36" s="52" t="s">
        <v>164</v>
      </c>
      <c r="B36" s="64" t="s">
        <v>165</v>
      </c>
      <c r="C36" s="65" t="s">
        <v>166</v>
      </c>
      <c r="D36" s="66" t="s">
        <v>167</v>
      </c>
      <c r="E36" s="67" t="s">
        <v>80</v>
      </c>
      <c r="F36" s="68" t="s">
        <v>168</v>
      </c>
    </row>
    <row r="37" spans="1:6" ht="51.75" customHeight="1" x14ac:dyDescent="0.35">
      <c r="A37" s="48" t="s">
        <v>86</v>
      </c>
      <c r="B37" s="59" t="s">
        <v>169</v>
      </c>
      <c r="C37" s="60" t="s">
        <v>170</v>
      </c>
      <c r="D37" s="61" t="s">
        <v>171</v>
      </c>
      <c r="E37" s="62" t="s">
        <v>172</v>
      </c>
      <c r="F37" s="63" t="s">
        <v>173</v>
      </c>
    </row>
  </sheetData>
  <mergeCells count="12">
    <mergeCell ref="A31:F31"/>
    <mergeCell ref="A4:AC4"/>
    <mergeCell ref="A7:AC7"/>
    <mergeCell ref="A10:AC10"/>
    <mergeCell ref="A22:AC22"/>
    <mergeCell ref="A27:M27"/>
    <mergeCell ref="A1:AJ1"/>
    <mergeCell ref="B2:G2"/>
    <mergeCell ref="H2:M2"/>
    <mergeCell ref="N2:Q2"/>
    <mergeCell ref="R2:U2"/>
    <mergeCell ref="V2:AC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38"/>
  <sheetViews>
    <sheetView showGridLines="0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2" sqref="A2"/>
    </sheetView>
  </sheetViews>
  <sheetFormatPr defaultColWidth="8.6328125" defaultRowHeight="14.5" x14ac:dyDescent="0.35"/>
  <cols>
    <col min="1" max="1" width="36.54296875" style="12" bestFit="1" customWidth="1"/>
    <col min="2" max="3" width="16" style="12" customWidth="1"/>
    <col min="4" max="4" width="44.26953125" style="12" customWidth="1"/>
    <col min="5" max="5" width="16" style="12" customWidth="1"/>
    <col min="6" max="6" width="32.36328125" style="12" customWidth="1"/>
    <col min="7" max="7" width="11" style="12" customWidth="1"/>
    <col min="8" max="13" width="10" style="12" customWidth="1"/>
    <col min="14" max="29" width="11" style="12" customWidth="1"/>
  </cols>
  <sheetData>
    <row r="1" spans="1:36" ht="36" customHeight="1" x14ac:dyDescent="0.35">
      <c r="A1" s="11" t="s">
        <v>174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</row>
    <row r="2" spans="1:36" ht="19.5" customHeight="1" x14ac:dyDescent="0.35">
      <c r="B2" s="10" t="s">
        <v>1</v>
      </c>
      <c r="C2" s="10"/>
      <c r="D2" s="10"/>
      <c r="E2" s="10"/>
      <c r="F2" s="10"/>
      <c r="G2" s="10"/>
      <c r="H2" s="9" t="s">
        <v>2</v>
      </c>
      <c r="I2" s="9"/>
      <c r="J2" s="9"/>
      <c r="K2" s="9"/>
      <c r="L2" s="9"/>
      <c r="M2" s="9"/>
      <c r="N2" s="10" t="s">
        <v>3</v>
      </c>
      <c r="O2" s="10"/>
      <c r="P2" s="10"/>
      <c r="Q2" s="10"/>
      <c r="R2" s="8" t="s">
        <v>4</v>
      </c>
      <c r="S2" s="8"/>
      <c r="T2" s="8"/>
      <c r="U2" s="8"/>
      <c r="V2" s="7" t="s">
        <v>5</v>
      </c>
      <c r="W2" s="7"/>
      <c r="X2" s="7"/>
      <c r="Y2" s="7"/>
      <c r="Z2" s="7"/>
      <c r="AA2" s="7"/>
      <c r="AB2" s="7"/>
      <c r="AC2" s="7"/>
    </row>
    <row r="3" spans="1:36" ht="31.5" customHeight="1" x14ac:dyDescent="0.35">
      <c r="B3" s="13" t="s">
        <v>6</v>
      </c>
      <c r="C3" s="13" t="s">
        <v>7</v>
      </c>
      <c r="D3" s="13" t="s">
        <v>8</v>
      </c>
      <c r="E3" s="13" t="s">
        <v>9</v>
      </c>
      <c r="F3" s="13" t="s">
        <v>10</v>
      </c>
      <c r="G3" s="13" t="s">
        <v>11</v>
      </c>
      <c r="H3" s="14" t="s">
        <v>12</v>
      </c>
      <c r="I3" s="14" t="s">
        <v>13</v>
      </c>
      <c r="J3" s="14" t="s">
        <v>14</v>
      </c>
      <c r="K3" s="14" t="s">
        <v>15</v>
      </c>
      <c r="L3" s="14" t="s">
        <v>16</v>
      </c>
      <c r="M3" s="14" t="s">
        <v>17</v>
      </c>
      <c r="N3" s="13" t="s">
        <v>18</v>
      </c>
      <c r="O3" s="13" t="s">
        <v>19</v>
      </c>
      <c r="P3" s="13" t="s">
        <v>20</v>
      </c>
      <c r="Q3" s="13" t="s">
        <v>21</v>
      </c>
      <c r="R3" s="15" t="s">
        <v>22</v>
      </c>
      <c r="S3" s="15" t="s">
        <v>23</v>
      </c>
      <c r="T3" s="15" t="s">
        <v>24</v>
      </c>
      <c r="U3" s="15" t="s">
        <v>25</v>
      </c>
      <c r="V3" s="16" t="s">
        <v>26</v>
      </c>
      <c r="W3" s="16" t="s">
        <v>27</v>
      </c>
      <c r="X3" s="16" t="s">
        <v>28</v>
      </c>
      <c r="Y3" s="16" t="s">
        <v>29</v>
      </c>
      <c r="Z3" s="16" t="s">
        <v>30</v>
      </c>
      <c r="AA3" s="16" t="s">
        <v>31</v>
      </c>
      <c r="AB3" s="16" t="s">
        <v>32</v>
      </c>
      <c r="AC3" s="16" t="s">
        <v>33</v>
      </c>
    </row>
    <row r="4" spans="1:36" ht="15.75" customHeight="1" x14ac:dyDescent="0.35">
      <c r="A4" s="6" t="s">
        <v>175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spans="1:36" ht="16.5" customHeight="1" x14ac:dyDescent="0.35">
      <c r="A5" s="25" t="s">
        <v>176</v>
      </c>
      <c r="B5" s="26">
        <v>-0.36499999999999999</v>
      </c>
      <c r="C5" s="26">
        <v>-0.36799999999999999</v>
      </c>
      <c r="D5" s="26">
        <v>-0.38100000000000001</v>
      </c>
      <c r="E5" s="26">
        <v>-0.38500000000000001</v>
      </c>
      <c r="F5" s="26">
        <v>-0.39900000000000002</v>
      </c>
      <c r="G5" s="27"/>
      <c r="H5" s="28">
        <v>-0.40400000000000003</v>
      </c>
      <c r="I5" s="28">
        <v>-0.41899999999999998</v>
      </c>
      <c r="J5" s="28">
        <v>-0.42299999999999999</v>
      </c>
      <c r="K5" s="28">
        <v>-0.437</v>
      </c>
      <c r="L5" s="28">
        <v>-0.442</v>
      </c>
      <c r="M5" s="28">
        <v>-0.45600000000000002</v>
      </c>
      <c r="N5" s="29">
        <v>-1.1140000000000001</v>
      </c>
      <c r="O5" s="29">
        <v>-0.78400000000000003</v>
      </c>
      <c r="P5" s="29">
        <v>-1.8979999999999999</v>
      </c>
      <c r="Q5" s="29">
        <v>-4.9400000000000004</v>
      </c>
      <c r="R5" s="30">
        <v>-1.105</v>
      </c>
      <c r="S5" s="30">
        <v>-1.1779999999999999</v>
      </c>
      <c r="T5" s="30">
        <v>-2.2829999999999999</v>
      </c>
      <c r="U5" s="30">
        <v>-4.8869999999999996</v>
      </c>
      <c r="V5" s="32">
        <v>-8.9999999999999004E-3</v>
      </c>
      <c r="W5" s="31">
        <v>0.39400000000000002</v>
      </c>
      <c r="X5" s="31">
        <v>0.38500000000000001</v>
      </c>
      <c r="Y5" s="32">
        <v>-5.2999999999999901E-2</v>
      </c>
      <c r="Z5" s="34">
        <v>-8.1447963800904098E-3</v>
      </c>
      <c r="AA5" s="33">
        <v>0.33446519524618001</v>
      </c>
      <c r="AB5" s="33">
        <v>0.168637757336837</v>
      </c>
      <c r="AC5" s="34">
        <v>-1.0845099242889299E-2</v>
      </c>
    </row>
    <row r="6" spans="1:36" ht="16.5" customHeight="1" x14ac:dyDescent="0.35">
      <c r="A6" s="25" t="s">
        <v>177</v>
      </c>
      <c r="B6" s="26">
        <v>0.16500000000000001</v>
      </c>
      <c r="C6" s="26">
        <v>0.16800000000000001</v>
      </c>
      <c r="D6" s="26">
        <v>0.17100000000000001</v>
      </c>
      <c r="E6" s="26">
        <v>0.17499999999999999</v>
      </c>
      <c r="F6" s="26">
        <v>0.17899999999999999</v>
      </c>
      <c r="G6" s="27"/>
      <c r="H6" s="28">
        <v>0.184</v>
      </c>
      <c r="I6" s="28">
        <v>0.189</v>
      </c>
      <c r="J6" s="28">
        <v>0.193</v>
      </c>
      <c r="K6" s="28">
        <v>0.19700000000000001</v>
      </c>
      <c r="L6" s="28">
        <v>0.20200000000000001</v>
      </c>
      <c r="M6" s="28">
        <v>0.20599999999999999</v>
      </c>
      <c r="N6" s="29">
        <v>0.504</v>
      </c>
      <c r="O6" s="29">
        <v>0.35399999999999998</v>
      </c>
      <c r="P6" s="29">
        <v>0.85799999999999998</v>
      </c>
      <c r="Q6" s="29">
        <v>2.2400000000000002</v>
      </c>
      <c r="R6" s="30">
        <v>0.495</v>
      </c>
      <c r="S6" s="30">
        <v>0.52800000000000002</v>
      </c>
      <c r="T6" s="30">
        <v>1.0229999999999999</v>
      </c>
      <c r="U6" s="30">
        <v>2.1869999999999998</v>
      </c>
      <c r="V6" s="31">
        <v>9.0000000000000097E-3</v>
      </c>
      <c r="W6" s="32">
        <v>-0.17399999999999999</v>
      </c>
      <c r="X6" s="32">
        <v>-0.16500000000000001</v>
      </c>
      <c r="Y6" s="31">
        <v>5.3000000000000401E-2</v>
      </c>
      <c r="Z6" s="33">
        <v>1.8181818181818198E-2</v>
      </c>
      <c r="AA6" s="34">
        <v>-0.32954545454545497</v>
      </c>
      <c r="AB6" s="34">
        <v>-0.16129032258064499</v>
      </c>
      <c r="AC6" s="33">
        <v>2.42341106538639E-2</v>
      </c>
    </row>
    <row r="7" spans="1:36" ht="16.5" customHeight="1" x14ac:dyDescent="0.35">
      <c r="A7" s="25" t="s">
        <v>178</v>
      </c>
      <c r="B7" s="26">
        <v>2.68</v>
      </c>
      <c r="C7" s="26">
        <v>1.96</v>
      </c>
      <c r="D7" s="26">
        <v>6.74</v>
      </c>
      <c r="E7" s="26">
        <v>3.81</v>
      </c>
      <c r="F7" s="26">
        <v>2.4700000000000002</v>
      </c>
      <c r="G7" s="27"/>
      <c r="H7" s="28">
        <v>-1.1499999999999999</v>
      </c>
      <c r="I7" s="28">
        <v>-1.06</v>
      </c>
      <c r="J7" s="28">
        <v>-0.89000000000000101</v>
      </c>
      <c r="K7" s="28">
        <v>-0.69</v>
      </c>
      <c r="L7" s="28">
        <v>-0.49</v>
      </c>
      <c r="M7" s="28">
        <v>-0.27000000000000102</v>
      </c>
      <c r="N7" s="29">
        <v>11.38</v>
      </c>
      <c r="O7" s="29">
        <v>6.28</v>
      </c>
      <c r="P7" s="29">
        <v>17.66</v>
      </c>
      <c r="Q7" s="29">
        <v>13.06</v>
      </c>
      <c r="R7" s="30">
        <v>11.39</v>
      </c>
      <c r="S7" s="30">
        <v>7.86</v>
      </c>
      <c r="T7" s="30">
        <v>19.25</v>
      </c>
      <c r="U7" s="30">
        <v>10.17</v>
      </c>
      <c r="V7" s="32">
        <v>-1.00000000000016E-2</v>
      </c>
      <c r="W7" s="32">
        <v>-1.58</v>
      </c>
      <c r="X7" s="32">
        <v>-1.59</v>
      </c>
      <c r="Y7" s="31">
        <v>2.89</v>
      </c>
      <c r="Z7" s="34">
        <v>-8.77963125548864E-4</v>
      </c>
      <c r="AA7" s="34">
        <v>-0.20101781170483499</v>
      </c>
      <c r="AB7" s="34">
        <v>-8.25974025974026E-2</v>
      </c>
      <c r="AC7" s="33">
        <v>0.28416912487708901</v>
      </c>
    </row>
    <row r="8" spans="1:36" ht="16.5" customHeight="1" x14ac:dyDescent="0.35">
      <c r="A8" s="25" t="s">
        <v>179</v>
      </c>
      <c r="B8" s="26">
        <v>2.68</v>
      </c>
      <c r="C8" s="26">
        <v>1.96</v>
      </c>
      <c r="D8" s="26">
        <v>6.74</v>
      </c>
      <c r="E8" s="26">
        <v>3.81</v>
      </c>
      <c r="F8" s="26">
        <v>2.4700000000000002</v>
      </c>
      <c r="G8" s="27"/>
      <c r="H8" s="28">
        <v>0.5</v>
      </c>
      <c r="I8" s="28">
        <v>0.5</v>
      </c>
      <c r="J8" s="28">
        <v>0.5</v>
      </c>
      <c r="K8" s="28">
        <v>0.5</v>
      </c>
      <c r="L8" s="28">
        <v>0.5</v>
      </c>
      <c r="M8" s="28">
        <v>0.5</v>
      </c>
      <c r="N8" s="29">
        <v>11.38</v>
      </c>
      <c r="O8" s="29">
        <v>6.28</v>
      </c>
      <c r="P8" s="29">
        <v>17.66</v>
      </c>
      <c r="Q8" s="29">
        <v>21.16</v>
      </c>
      <c r="R8" s="30">
        <v>0.9</v>
      </c>
      <c r="S8" s="30">
        <v>0.9</v>
      </c>
      <c r="T8" s="30">
        <v>1.8</v>
      </c>
      <c r="U8" s="30">
        <v>3.6</v>
      </c>
      <c r="V8" s="31">
        <v>10.48</v>
      </c>
      <c r="W8" s="31">
        <v>5.38</v>
      </c>
      <c r="X8" s="31">
        <v>15.86</v>
      </c>
      <c r="Y8" s="31">
        <v>17.559999999999999</v>
      </c>
      <c r="Z8" s="33">
        <v>11.6444444444444</v>
      </c>
      <c r="AA8" s="33">
        <v>5.9777777777777796</v>
      </c>
      <c r="AB8" s="33">
        <v>8.81111111111111</v>
      </c>
      <c r="AC8" s="33">
        <v>4.87777777777778</v>
      </c>
    </row>
    <row r="9" spans="1:36" ht="16.5" customHeight="1" x14ac:dyDescent="0.35">
      <c r="A9" s="25" t="s">
        <v>180</v>
      </c>
      <c r="B9" s="26">
        <v>-6.9000000000000006E-2</v>
      </c>
      <c r="C9" s="26">
        <v>-6.9000000000000006E-2</v>
      </c>
      <c r="D9" s="26">
        <v>-6.8500000000000005E-2</v>
      </c>
      <c r="E9" s="26">
        <v>-6.8000000000000005E-2</v>
      </c>
      <c r="F9" s="26">
        <v>-6.9000000000000006E-2</v>
      </c>
      <c r="G9" s="27"/>
      <c r="H9" s="28">
        <v>0.05</v>
      </c>
      <c r="I9" s="28">
        <v>0.05</v>
      </c>
      <c r="J9" s="28">
        <v>0.05</v>
      </c>
      <c r="K9" s="28">
        <v>0.05</v>
      </c>
      <c r="L9" s="28">
        <v>0.05</v>
      </c>
      <c r="M9" s="28">
        <v>0.05</v>
      </c>
      <c r="N9" s="29">
        <v>-0.20649999999999999</v>
      </c>
      <c r="O9" s="29">
        <v>-0.13700000000000001</v>
      </c>
      <c r="P9" s="29">
        <v>-0.34350000000000003</v>
      </c>
      <c r="Q9" s="29">
        <v>6.5000000000000301E-3</v>
      </c>
      <c r="R9" s="30">
        <v>0.12</v>
      </c>
      <c r="S9" s="30">
        <v>0.12</v>
      </c>
      <c r="T9" s="30">
        <v>0.24</v>
      </c>
      <c r="U9" s="30">
        <v>0.48</v>
      </c>
      <c r="V9" s="32">
        <v>-0.32650000000000001</v>
      </c>
      <c r="W9" s="32">
        <v>-0.25700000000000001</v>
      </c>
      <c r="X9" s="32">
        <v>-0.58350000000000002</v>
      </c>
      <c r="Y9" s="32">
        <v>-0.47349999999999998</v>
      </c>
      <c r="Z9" s="34">
        <v>-2.7208333333333301</v>
      </c>
      <c r="AA9" s="34">
        <v>-2.1416666666666702</v>
      </c>
      <c r="AB9" s="34">
        <v>-2.4312499999999999</v>
      </c>
      <c r="AC9" s="34">
        <v>-0.98645833333333299</v>
      </c>
    </row>
    <row r="10" spans="1:36" ht="16.5" customHeight="1" x14ac:dyDescent="0.35">
      <c r="A10" s="25" t="s">
        <v>181</v>
      </c>
      <c r="B10" s="26">
        <v>-0.27</v>
      </c>
      <c r="C10" s="26">
        <v>-0.3</v>
      </c>
      <c r="D10" s="26">
        <v>-0.31</v>
      </c>
      <c r="E10" s="26">
        <v>-0.28000000000000003</v>
      </c>
      <c r="F10" s="26">
        <v>-0.28999999999999998</v>
      </c>
      <c r="G10" s="27"/>
      <c r="H10" s="28">
        <v>-0.36</v>
      </c>
      <c r="I10" s="28">
        <v>-0.39</v>
      </c>
      <c r="J10" s="28">
        <v>-0.4</v>
      </c>
      <c r="K10" s="28">
        <v>-0.41</v>
      </c>
      <c r="L10" s="28">
        <v>-0.42</v>
      </c>
      <c r="M10" s="28">
        <v>-0.44</v>
      </c>
      <c r="N10" s="29">
        <v>-0.88</v>
      </c>
      <c r="O10" s="29">
        <v>-0.56999999999999995</v>
      </c>
      <c r="P10" s="29">
        <v>-1.45</v>
      </c>
      <c r="Q10" s="29">
        <v>-4.32</v>
      </c>
      <c r="R10" s="30">
        <v>-0.91</v>
      </c>
      <c r="S10" s="30">
        <v>-0.96</v>
      </c>
      <c r="T10" s="30">
        <v>-1.87</v>
      </c>
      <c r="U10" s="30">
        <v>-4.38</v>
      </c>
      <c r="V10" s="32">
        <v>0.03</v>
      </c>
      <c r="W10" s="32">
        <v>0.39</v>
      </c>
      <c r="X10" s="32">
        <v>0.42</v>
      </c>
      <c r="Y10" s="32">
        <v>5.9999999999999602E-2</v>
      </c>
      <c r="Z10" s="34">
        <v>3.2967032967033003E-2</v>
      </c>
      <c r="AA10" s="34">
        <v>0.40625</v>
      </c>
      <c r="AB10" s="34">
        <v>0.22459893048128399</v>
      </c>
      <c r="AC10" s="34">
        <v>1.36986301369862E-2</v>
      </c>
    </row>
    <row r="11" spans="1:36" ht="6" customHeight="1" x14ac:dyDescent="0.35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</row>
    <row r="12" spans="1:36" ht="16.5" customHeight="1" x14ac:dyDescent="0.35">
      <c r="A12" s="17" t="s">
        <v>182</v>
      </c>
      <c r="B12" s="18">
        <v>2.7589999999999999</v>
      </c>
      <c r="C12" s="18">
        <v>2.4670000000000001</v>
      </c>
      <c r="D12" s="18">
        <v>7.2510000000000003</v>
      </c>
      <c r="E12" s="18">
        <v>4.6539999999999999</v>
      </c>
      <c r="F12" s="18">
        <v>3.3879999999999999</v>
      </c>
      <c r="G12" s="19"/>
      <c r="H12" s="38">
        <v>-0.66100000000000003</v>
      </c>
      <c r="I12" s="38">
        <v>-0.47899999999999998</v>
      </c>
      <c r="J12" s="38">
        <v>-0.317</v>
      </c>
      <c r="K12" s="38">
        <v>-0.14499999999999999</v>
      </c>
      <c r="L12" s="38">
        <v>3.8000000000000297E-2</v>
      </c>
      <c r="M12" s="38">
        <v>0.2</v>
      </c>
      <c r="N12" s="21">
        <v>12.477</v>
      </c>
      <c r="O12" s="21">
        <v>8.0419999999999998</v>
      </c>
      <c r="P12" s="21">
        <v>20.518999999999998</v>
      </c>
      <c r="Q12" s="21">
        <v>19.527999999999999</v>
      </c>
      <c r="R12" s="22">
        <v>12.180999999999999</v>
      </c>
      <c r="S12" s="22">
        <v>9.8179999999999996</v>
      </c>
      <c r="T12" s="22">
        <v>21.998999999999999</v>
      </c>
      <c r="U12" s="22">
        <v>14.845000000000001</v>
      </c>
      <c r="V12" s="39">
        <v>0.29599999999999899</v>
      </c>
      <c r="W12" s="23">
        <v>-1.776</v>
      </c>
      <c r="X12" s="23">
        <v>-1.48</v>
      </c>
      <c r="Y12" s="39">
        <v>4.6829999999999998</v>
      </c>
      <c r="Z12" s="40">
        <v>2.43001395616123E-2</v>
      </c>
      <c r="AA12" s="24">
        <v>-0.180892238745162</v>
      </c>
      <c r="AB12" s="24">
        <v>-6.72757852629665E-2</v>
      </c>
      <c r="AC12" s="40">
        <v>0.315459750757831</v>
      </c>
    </row>
    <row r="13" spans="1:36" ht="6" customHeight="1" x14ac:dyDescent="0.35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</row>
    <row r="14" spans="1:36" ht="15.75" customHeight="1" x14ac:dyDescent="0.35">
      <c r="A14" s="6" t="s">
        <v>183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 spans="1:36" ht="16.5" customHeight="1" x14ac:dyDescent="0.35">
      <c r="A15" s="25" t="s">
        <v>184</v>
      </c>
      <c r="B15" s="26">
        <v>-0.18</v>
      </c>
      <c r="C15" s="26">
        <v>-0.18</v>
      </c>
      <c r="D15" s="26">
        <v>-0.18</v>
      </c>
      <c r="E15" s="26">
        <v>-0.18</v>
      </c>
      <c r="F15" s="26">
        <v>-0.18</v>
      </c>
      <c r="G15" s="27"/>
      <c r="H15" s="28">
        <v>-0.22</v>
      </c>
      <c r="I15" s="28">
        <v>-0.23</v>
      </c>
      <c r="J15" s="28">
        <v>-0.24</v>
      </c>
      <c r="K15" s="28">
        <v>-0.25</v>
      </c>
      <c r="L15" s="28">
        <v>-0.26</v>
      </c>
      <c r="M15" s="28">
        <v>-0.27</v>
      </c>
      <c r="N15" s="29">
        <v>-0.54</v>
      </c>
      <c r="O15" s="29">
        <v>-0.36</v>
      </c>
      <c r="P15" s="29">
        <v>-0.9</v>
      </c>
      <c r="Q15" s="29">
        <v>-2.65</v>
      </c>
      <c r="R15" s="30">
        <v>-0.54</v>
      </c>
      <c r="S15" s="30">
        <v>-0.57999999999999996</v>
      </c>
      <c r="T15" s="30">
        <v>-1.1200000000000001</v>
      </c>
      <c r="U15" s="30">
        <v>-2.65</v>
      </c>
      <c r="V15" s="35">
        <v>0</v>
      </c>
      <c r="W15" s="32">
        <v>0.22</v>
      </c>
      <c r="X15" s="32">
        <v>0.22</v>
      </c>
      <c r="Y15" s="35">
        <v>0</v>
      </c>
      <c r="Z15" s="36">
        <v>0</v>
      </c>
      <c r="AA15" s="34">
        <v>0.37931034482758602</v>
      </c>
      <c r="AB15" s="34">
        <v>0.19642857142857101</v>
      </c>
      <c r="AC15" s="36">
        <v>0</v>
      </c>
    </row>
    <row r="16" spans="1:36" ht="16.5" customHeight="1" x14ac:dyDescent="0.35">
      <c r="A16" s="17" t="s">
        <v>185</v>
      </c>
      <c r="B16" s="18">
        <v>-0.18</v>
      </c>
      <c r="C16" s="18">
        <v>-0.18</v>
      </c>
      <c r="D16" s="18">
        <v>-0.18</v>
      </c>
      <c r="E16" s="18">
        <v>-0.18</v>
      </c>
      <c r="F16" s="18">
        <v>-0.18</v>
      </c>
      <c r="G16" s="19"/>
      <c r="H16" s="38">
        <v>-0.22</v>
      </c>
      <c r="I16" s="38">
        <v>-0.23</v>
      </c>
      <c r="J16" s="38">
        <v>-0.24</v>
      </c>
      <c r="K16" s="38">
        <v>-0.25</v>
      </c>
      <c r="L16" s="38">
        <v>-0.26</v>
      </c>
      <c r="M16" s="38">
        <v>-0.27</v>
      </c>
      <c r="N16" s="21">
        <v>-0.54</v>
      </c>
      <c r="O16" s="21">
        <v>-0.36</v>
      </c>
      <c r="P16" s="21">
        <v>-0.9</v>
      </c>
      <c r="Q16" s="21">
        <v>-2.65</v>
      </c>
      <c r="R16" s="22">
        <v>-0.54</v>
      </c>
      <c r="S16" s="22">
        <v>-0.57999999999999996</v>
      </c>
      <c r="T16" s="22">
        <v>-1.1200000000000001</v>
      </c>
      <c r="U16" s="22">
        <v>-2.65</v>
      </c>
      <c r="V16" s="69">
        <v>0</v>
      </c>
      <c r="W16" s="39">
        <v>0.22</v>
      </c>
      <c r="X16" s="39">
        <v>0.22</v>
      </c>
      <c r="Y16" s="69">
        <v>0</v>
      </c>
      <c r="Z16" s="70">
        <v>0</v>
      </c>
      <c r="AA16" s="40">
        <v>0.37931034482758602</v>
      </c>
      <c r="AB16" s="40">
        <v>0.19642857142857101</v>
      </c>
      <c r="AC16" s="70">
        <v>0</v>
      </c>
    </row>
    <row r="17" spans="1:29" ht="6" customHeight="1" x14ac:dyDescent="0.35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</row>
    <row r="18" spans="1:29" ht="15.75" customHeight="1" x14ac:dyDescent="0.35">
      <c r="A18" s="6" t="s">
        <v>186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 spans="1:29" ht="16.5" customHeight="1" x14ac:dyDescent="0.35">
      <c r="A19" s="25" t="s">
        <v>187</v>
      </c>
      <c r="B19" s="26">
        <v>0</v>
      </c>
      <c r="C19" s="26">
        <v>0</v>
      </c>
      <c r="D19" s="26">
        <v>0</v>
      </c>
      <c r="E19" s="26">
        <v>0</v>
      </c>
      <c r="F19" s="26">
        <v>0</v>
      </c>
      <c r="G19" s="27"/>
      <c r="H19" s="28">
        <v>0</v>
      </c>
      <c r="I19" s="28">
        <v>0</v>
      </c>
      <c r="J19" s="28">
        <v>0</v>
      </c>
      <c r="K19" s="28">
        <v>0</v>
      </c>
      <c r="L19" s="28">
        <v>0</v>
      </c>
      <c r="M19" s="28">
        <v>0</v>
      </c>
      <c r="N19" s="29">
        <v>0</v>
      </c>
      <c r="O19" s="29">
        <v>0</v>
      </c>
      <c r="P19" s="29">
        <v>0</v>
      </c>
      <c r="Q19" s="29">
        <v>0</v>
      </c>
      <c r="R19" s="30">
        <v>0</v>
      </c>
      <c r="S19" s="30">
        <v>0</v>
      </c>
      <c r="T19" s="30">
        <v>0</v>
      </c>
      <c r="U19" s="30">
        <v>0</v>
      </c>
      <c r="V19" s="35">
        <v>0</v>
      </c>
      <c r="W19" s="35">
        <v>0</v>
      </c>
      <c r="X19" s="35">
        <v>0</v>
      </c>
      <c r="Y19" s="35">
        <v>0</v>
      </c>
      <c r="Z19" s="36">
        <v>0</v>
      </c>
      <c r="AA19" s="36">
        <v>0</v>
      </c>
      <c r="AB19" s="36">
        <v>0</v>
      </c>
      <c r="AC19" s="36">
        <v>0</v>
      </c>
    </row>
    <row r="20" spans="1:29" ht="16.5" customHeight="1" x14ac:dyDescent="0.35">
      <c r="A20" s="25" t="s">
        <v>188</v>
      </c>
      <c r="B20" s="26">
        <v>0</v>
      </c>
      <c r="C20" s="26">
        <v>0</v>
      </c>
      <c r="D20" s="26">
        <v>0</v>
      </c>
      <c r="E20" s="26">
        <v>0</v>
      </c>
      <c r="F20" s="26">
        <v>0</v>
      </c>
      <c r="G20" s="27"/>
      <c r="H20" s="28">
        <v>0</v>
      </c>
      <c r="I20" s="28">
        <v>0</v>
      </c>
      <c r="J20" s="28">
        <v>0</v>
      </c>
      <c r="K20" s="28">
        <v>0</v>
      </c>
      <c r="L20" s="28">
        <v>0</v>
      </c>
      <c r="M20" s="28">
        <v>0</v>
      </c>
      <c r="N20" s="29">
        <v>0</v>
      </c>
      <c r="O20" s="29">
        <v>0</v>
      </c>
      <c r="P20" s="29">
        <v>0</v>
      </c>
      <c r="Q20" s="29">
        <v>0</v>
      </c>
      <c r="R20" s="30">
        <v>0</v>
      </c>
      <c r="S20" s="30">
        <v>0</v>
      </c>
      <c r="T20" s="30">
        <v>0</v>
      </c>
      <c r="U20" s="30">
        <v>0</v>
      </c>
      <c r="V20" s="35">
        <v>0</v>
      </c>
      <c r="W20" s="35">
        <v>0</v>
      </c>
      <c r="X20" s="35">
        <v>0</v>
      </c>
      <c r="Y20" s="35">
        <v>0</v>
      </c>
      <c r="Z20" s="36">
        <v>0</v>
      </c>
      <c r="AA20" s="36">
        <v>0</v>
      </c>
      <c r="AB20" s="36">
        <v>0</v>
      </c>
      <c r="AC20" s="36">
        <v>0</v>
      </c>
    </row>
    <row r="21" spans="1:29" ht="16.5" customHeight="1" x14ac:dyDescent="0.35">
      <c r="A21" s="17" t="s">
        <v>189</v>
      </c>
      <c r="B21" s="18">
        <v>0</v>
      </c>
      <c r="C21" s="18">
        <v>0</v>
      </c>
      <c r="D21" s="18">
        <v>0</v>
      </c>
      <c r="E21" s="18">
        <v>0</v>
      </c>
      <c r="F21" s="18">
        <v>0</v>
      </c>
      <c r="G21" s="19"/>
      <c r="H21" s="38">
        <v>0</v>
      </c>
      <c r="I21" s="38">
        <v>0</v>
      </c>
      <c r="J21" s="38">
        <v>0</v>
      </c>
      <c r="K21" s="38">
        <v>0</v>
      </c>
      <c r="L21" s="38">
        <v>0</v>
      </c>
      <c r="M21" s="38">
        <v>0</v>
      </c>
      <c r="N21" s="21">
        <v>0</v>
      </c>
      <c r="O21" s="21">
        <v>0</v>
      </c>
      <c r="P21" s="21">
        <v>0</v>
      </c>
      <c r="Q21" s="21">
        <v>0</v>
      </c>
      <c r="R21" s="22">
        <v>0</v>
      </c>
      <c r="S21" s="22">
        <v>0</v>
      </c>
      <c r="T21" s="22">
        <v>0</v>
      </c>
      <c r="U21" s="22">
        <v>0</v>
      </c>
      <c r="V21" s="69">
        <v>0</v>
      </c>
      <c r="W21" s="69">
        <v>0</v>
      </c>
      <c r="X21" s="69">
        <v>0</v>
      </c>
      <c r="Y21" s="69">
        <v>0</v>
      </c>
      <c r="Z21" s="70">
        <v>0</v>
      </c>
      <c r="AA21" s="70">
        <v>0</v>
      </c>
      <c r="AB21" s="70">
        <v>0</v>
      </c>
      <c r="AC21" s="70">
        <v>0</v>
      </c>
    </row>
    <row r="22" spans="1:29" ht="6" customHeight="1" x14ac:dyDescent="0.35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</row>
    <row r="23" spans="1:29" ht="15.75" customHeight="1" x14ac:dyDescent="0.35">
      <c r="A23" s="6" t="s">
        <v>190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 spans="1:29" ht="16.5" customHeight="1" x14ac:dyDescent="0.35">
      <c r="A24" s="17" t="s">
        <v>191</v>
      </c>
      <c r="B24" s="18">
        <v>2.5790000000000002</v>
      </c>
      <c r="C24" s="18">
        <v>2.2869999999999999</v>
      </c>
      <c r="D24" s="18">
        <v>7.0709999999999997</v>
      </c>
      <c r="E24" s="18">
        <v>4.4740000000000002</v>
      </c>
      <c r="F24" s="18">
        <v>3.2080000000000002</v>
      </c>
      <c r="G24" s="19"/>
      <c r="H24" s="38">
        <v>-0.88100000000000001</v>
      </c>
      <c r="I24" s="38">
        <v>-0.70899999999999996</v>
      </c>
      <c r="J24" s="38">
        <v>-0.55700000000000005</v>
      </c>
      <c r="K24" s="38">
        <v>-0.39500000000000002</v>
      </c>
      <c r="L24" s="38">
        <v>-0.222</v>
      </c>
      <c r="M24" s="38">
        <v>-7.0000000000000298E-2</v>
      </c>
      <c r="N24" s="21">
        <v>11.936999999999999</v>
      </c>
      <c r="O24" s="21">
        <v>7.6820000000000004</v>
      </c>
      <c r="P24" s="21">
        <v>19.619</v>
      </c>
      <c r="Q24" s="21">
        <v>16.878</v>
      </c>
      <c r="R24" s="22">
        <v>11.641</v>
      </c>
      <c r="S24" s="22">
        <v>9.2379999999999995</v>
      </c>
      <c r="T24" s="22">
        <v>20.879000000000001</v>
      </c>
      <c r="U24" s="22">
        <v>12.195</v>
      </c>
      <c r="V24" s="39">
        <v>0.29599999999999899</v>
      </c>
      <c r="W24" s="23">
        <v>-1.556</v>
      </c>
      <c r="X24" s="23">
        <v>-1.26</v>
      </c>
      <c r="Y24" s="39">
        <v>4.6829999999999998</v>
      </c>
      <c r="Z24" s="40">
        <v>2.5427368782750599E-2</v>
      </c>
      <c r="AA24" s="24">
        <v>-0.168434726131197</v>
      </c>
      <c r="AB24" s="24">
        <v>-6.0347717802576799E-2</v>
      </c>
      <c r="AC24" s="40">
        <v>0.384009840098401</v>
      </c>
    </row>
    <row r="25" spans="1:29" ht="16.5" customHeight="1" x14ac:dyDescent="0.35">
      <c r="A25" s="25" t="s">
        <v>192</v>
      </c>
      <c r="B25" s="26">
        <v>46.1</v>
      </c>
      <c r="C25" s="26">
        <v>48.71</v>
      </c>
      <c r="D25" s="26">
        <v>51.01</v>
      </c>
      <c r="E25" s="26">
        <v>58.09</v>
      </c>
      <c r="F25" s="26">
        <v>62.57</v>
      </c>
      <c r="G25" s="27"/>
      <c r="H25" s="28">
        <v>66.040000000000006</v>
      </c>
      <c r="I25" s="28">
        <v>65.2</v>
      </c>
      <c r="J25" s="28">
        <v>64.540000000000006</v>
      </c>
      <c r="K25" s="28">
        <v>64.16</v>
      </c>
      <c r="L25" s="28">
        <v>64.040000000000006</v>
      </c>
      <c r="M25" s="28">
        <v>64.2</v>
      </c>
      <c r="N25" s="29">
        <v>145.82</v>
      </c>
      <c r="O25" s="29">
        <v>120.66</v>
      </c>
      <c r="P25" s="29">
        <v>266.48</v>
      </c>
      <c r="Q25" s="29">
        <v>719.28</v>
      </c>
      <c r="R25" s="30">
        <v>37.950000000000003</v>
      </c>
      <c r="S25" s="30">
        <v>77.790000000000006</v>
      </c>
      <c r="T25" s="30">
        <v>115.74</v>
      </c>
      <c r="U25" s="30">
        <v>276.04000000000002</v>
      </c>
      <c r="V25" s="31">
        <v>107.87</v>
      </c>
      <c r="W25" s="31">
        <v>42.87</v>
      </c>
      <c r="X25" s="31">
        <v>150.74</v>
      </c>
      <c r="Y25" s="31">
        <v>443.24</v>
      </c>
      <c r="Z25" s="33">
        <v>2.8424242424242401</v>
      </c>
      <c r="AA25" s="33">
        <v>0.55109911299652903</v>
      </c>
      <c r="AB25" s="33">
        <v>1.3024019353723899</v>
      </c>
      <c r="AC25" s="33">
        <v>1.6057093174902199</v>
      </c>
    </row>
    <row r="26" spans="1:29" ht="16.5" customHeight="1" x14ac:dyDescent="0.35">
      <c r="A26" s="17" t="s">
        <v>146</v>
      </c>
      <c r="B26" s="18">
        <v>48.71</v>
      </c>
      <c r="C26" s="18">
        <v>51.01</v>
      </c>
      <c r="D26" s="18">
        <v>58.09</v>
      </c>
      <c r="E26" s="18">
        <v>62.57</v>
      </c>
      <c r="F26" s="18">
        <v>66.040000000000006</v>
      </c>
      <c r="G26" s="19"/>
      <c r="H26" s="38">
        <v>65.2</v>
      </c>
      <c r="I26" s="38">
        <v>64.540000000000006</v>
      </c>
      <c r="J26" s="38">
        <v>64.16</v>
      </c>
      <c r="K26" s="38">
        <v>64.040000000000006</v>
      </c>
      <c r="L26" s="38">
        <v>64.2</v>
      </c>
      <c r="M26" s="38">
        <v>64.62</v>
      </c>
      <c r="N26" s="21">
        <v>157.81</v>
      </c>
      <c r="O26" s="21">
        <v>128.61000000000001</v>
      </c>
      <c r="P26" s="21">
        <v>286.42</v>
      </c>
      <c r="Q26" s="21">
        <v>738.51</v>
      </c>
      <c r="R26" s="22">
        <v>49.62</v>
      </c>
      <c r="S26" s="22">
        <v>87.33</v>
      </c>
      <c r="T26" s="22">
        <v>136.94999999999999</v>
      </c>
      <c r="U26" s="22">
        <v>289.64</v>
      </c>
      <c r="V26" s="39">
        <v>108.19</v>
      </c>
      <c r="W26" s="39">
        <v>41.28</v>
      </c>
      <c r="X26" s="39">
        <v>149.47</v>
      </c>
      <c r="Y26" s="39">
        <v>448.87</v>
      </c>
      <c r="Z26" s="40">
        <v>2.18037081821846</v>
      </c>
      <c r="AA26" s="40">
        <v>0.47268979732050898</v>
      </c>
      <c r="AB26" s="40">
        <v>1.0914202263599899</v>
      </c>
      <c r="AC26" s="40">
        <v>1.54975141555034</v>
      </c>
    </row>
    <row r="28" spans="1:29" ht="24" customHeight="1" x14ac:dyDescent="0.35">
      <c r="A28" s="5" t="s">
        <v>193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31" spans="1:29" ht="4.5" customHeight="1" x14ac:dyDescent="0.35"/>
    <row r="32" spans="1:29" ht="18" customHeight="1" x14ac:dyDescent="0.35">
      <c r="A32" s="3" t="s">
        <v>60</v>
      </c>
      <c r="B32" s="3"/>
      <c r="C32" s="3"/>
      <c r="D32" s="3"/>
      <c r="E32" s="3"/>
      <c r="F32" s="3"/>
    </row>
    <row r="33" spans="1:6" ht="24" customHeight="1" x14ac:dyDescent="0.35">
      <c r="A33" s="47" t="s">
        <v>61</v>
      </c>
      <c r="B33" s="47" t="s">
        <v>62</v>
      </c>
      <c r="C33" s="58" t="s">
        <v>63</v>
      </c>
      <c r="D33" s="58" t="s">
        <v>64</v>
      </c>
      <c r="E33" s="47" t="s">
        <v>65</v>
      </c>
      <c r="F33" s="58" t="s">
        <v>66</v>
      </c>
    </row>
    <row r="34" spans="1:6" ht="96" x14ac:dyDescent="0.35">
      <c r="A34" s="48" t="s">
        <v>194</v>
      </c>
      <c r="B34" s="59" t="s">
        <v>195</v>
      </c>
      <c r="C34" s="60" t="s">
        <v>196</v>
      </c>
      <c r="D34" s="61" t="s">
        <v>197</v>
      </c>
      <c r="E34" s="62" t="s">
        <v>70</v>
      </c>
      <c r="F34" s="63" t="s">
        <v>198</v>
      </c>
    </row>
    <row r="35" spans="1:6" ht="84" x14ac:dyDescent="0.35">
      <c r="A35" s="52" t="s">
        <v>194</v>
      </c>
      <c r="B35" s="64" t="s">
        <v>199</v>
      </c>
      <c r="C35" s="65" t="s">
        <v>200</v>
      </c>
      <c r="D35" s="66" t="s">
        <v>201</v>
      </c>
      <c r="E35" s="67" t="s">
        <v>70</v>
      </c>
      <c r="F35" s="68" t="s">
        <v>202</v>
      </c>
    </row>
    <row r="36" spans="1:6" ht="89" customHeight="1" x14ac:dyDescent="0.35">
      <c r="A36" s="48" t="s">
        <v>194</v>
      </c>
      <c r="B36" s="59" t="s">
        <v>203</v>
      </c>
      <c r="C36" s="60" t="s">
        <v>204</v>
      </c>
      <c r="D36" s="61" t="s">
        <v>205</v>
      </c>
      <c r="E36" s="62" t="s">
        <v>162</v>
      </c>
      <c r="F36" s="63" t="s">
        <v>206</v>
      </c>
    </row>
    <row r="37" spans="1:6" ht="89" customHeight="1" x14ac:dyDescent="0.35">
      <c r="A37" s="52" t="s">
        <v>194</v>
      </c>
      <c r="B37" s="64" t="s">
        <v>207</v>
      </c>
      <c r="C37" s="65" t="s">
        <v>208</v>
      </c>
      <c r="D37" s="66" t="s">
        <v>209</v>
      </c>
      <c r="E37" s="67" t="s">
        <v>70</v>
      </c>
      <c r="F37" s="68" t="s">
        <v>210</v>
      </c>
    </row>
    <row r="38" spans="1:6" ht="89" customHeight="1" x14ac:dyDescent="0.35">
      <c r="A38" s="48" t="s">
        <v>194</v>
      </c>
      <c r="B38" s="59" t="s">
        <v>211</v>
      </c>
      <c r="C38" s="60" t="s">
        <v>212</v>
      </c>
      <c r="D38" s="61" t="s">
        <v>213</v>
      </c>
      <c r="E38" s="62" t="s">
        <v>70</v>
      </c>
      <c r="F38" s="63" t="s">
        <v>214</v>
      </c>
    </row>
  </sheetData>
  <mergeCells count="12">
    <mergeCell ref="A32:F32"/>
    <mergeCell ref="A4:AC4"/>
    <mergeCell ref="A14:AC14"/>
    <mergeCell ref="A18:AC18"/>
    <mergeCell ref="A23:AC23"/>
    <mergeCell ref="A28:M28"/>
    <mergeCell ref="A1:AJ1"/>
    <mergeCell ref="B2:G2"/>
    <mergeCell ref="H2:M2"/>
    <mergeCell ref="N2:Q2"/>
    <mergeCell ref="R2:U2"/>
    <mergeCell ref="V2:AC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35"/>
  <sheetViews>
    <sheetView showGridLines="0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31" sqref="A31:F35"/>
    </sheetView>
  </sheetViews>
  <sheetFormatPr defaultColWidth="8.6328125" defaultRowHeight="14.5" x14ac:dyDescent="0.35"/>
  <cols>
    <col min="1" max="1" width="14" style="12" customWidth="1"/>
    <col min="2" max="2" width="16" style="12" customWidth="1"/>
    <col min="3" max="3" width="33.7265625" style="12" bestFit="1" customWidth="1"/>
    <col min="4" max="6" width="16" style="12" customWidth="1"/>
    <col min="7" max="7" width="11" style="12" customWidth="1"/>
    <col min="8" max="13" width="10" style="12" customWidth="1"/>
    <col min="14" max="29" width="11" style="12" customWidth="1"/>
  </cols>
  <sheetData>
    <row r="1" spans="1:36" ht="36" customHeight="1" x14ac:dyDescent="0.35">
      <c r="A1" s="11" t="s">
        <v>91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</row>
    <row r="2" spans="1:36" ht="19.5" customHeight="1" x14ac:dyDescent="0.35">
      <c r="B2" s="10" t="s">
        <v>1</v>
      </c>
      <c r="C2" s="10"/>
      <c r="D2" s="10"/>
      <c r="E2" s="10"/>
      <c r="F2" s="10"/>
      <c r="G2" s="10"/>
      <c r="H2" s="9" t="s">
        <v>2</v>
      </c>
      <c r="I2" s="9"/>
      <c r="J2" s="9"/>
      <c r="K2" s="9"/>
      <c r="L2" s="9"/>
      <c r="M2" s="9"/>
      <c r="N2" s="10" t="s">
        <v>3</v>
      </c>
      <c r="O2" s="10"/>
      <c r="P2" s="10"/>
      <c r="Q2" s="10"/>
      <c r="R2" s="8" t="s">
        <v>4</v>
      </c>
      <c r="S2" s="8"/>
      <c r="T2" s="8"/>
      <c r="U2" s="8"/>
      <c r="V2" s="7" t="s">
        <v>5</v>
      </c>
      <c r="W2" s="7"/>
      <c r="X2" s="7"/>
      <c r="Y2" s="7"/>
      <c r="Z2" s="7"/>
      <c r="AA2" s="7"/>
      <c r="AB2" s="7"/>
      <c r="AC2" s="7"/>
    </row>
    <row r="3" spans="1:36" ht="31.5" customHeight="1" x14ac:dyDescent="0.35">
      <c r="B3" s="13" t="s">
        <v>6</v>
      </c>
      <c r="C3" s="13" t="s">
        <v>7</v>
      </c>
      <c r="D3" s="13" t="s">
        <v>8</v>
      </c>
      <c r="E3" s="13" t="s">
        <v>9</v>
      </c>
      <c r="F3" s="13" t="s">
        <v>10</v>
      </c>
      <c r="G3" s="13" t="s">
        <v>11</v>
      </c>
      <c r="H3" s="14" t="s">
        <v>12</v>
      </c>
      <c r="I3" s="14" t="s">
        <v>13</v>
      </c>
      <c r="J3" s="14" t="s">
        <v>14</v>
      </c>
      <c r="K3" s="14" t="s">
        <v>15</v>
      </c>
      <c r="L3" s="14" t="s">
        <v>16</v>
      </c>
      <c r="M3" s="14" t="s">
        <v>17</v>
      </c>
      <c r="N3" s="13" t="s">
        <v>18</v>
      </c>
      <c r="O3" s="13" t="s">
        <v>19</v>
      </c>
      <c r="P3" s="13" t="s">
        <v>20</v>
      </c>
      <c r="Q3" s="13" t="s">
        <v>21</v>
      </c>
      <c r="R3" s="15" t="s">
        <v>22</v>
      </c>
      <c r="S3" s="15" t="s">
        <v>23</v>
      </c>
      <c r="T3" s="15" t="s">
        <v>24</v>
      </c>
      <c r="U3" s="15" t="s">
        <v>25</v>
      </c>
      <c r="V3" s="16" t="s">
        <v>26</v>
      </c>
      <c r="W3" s="16" t="s">
        <v>27</v>
      </c>
      <c r="X3" s="16" t="s">
        <v>28</v>
      </c>
      <c r="Y3" s="16" t="s">
        <v>29</v>
      </c>
      <c r="Z3" s="16" t="s">
        <v>30</v>
      </c>
      <c r="AA3" s="16" t="s">
        <v>31</v>
      </c>
      <c r="AB3" s="16" t="s">
        <v>32</v>
      </c>
      <c r="AC3" s="16" t="s">
        <v>33</v>
      </c>
    </row>
    <row r="4" spans="1:36" ht="15.75" customHeight="1" x14ac:dyDescent="0.35">
      <c r="A4" s="6" t="s">
        <v>92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spans="1:36" ht="16.5" customHeight="1" x14ac:dyDescent="0.35">
      <c r="A5" s="17" t="s">
        <v>93</v>
      </c>
      <c r="B5" s="18">
        <v>6.59</v>
      </c>
      <c r="C5" s="18">
        <v>6.71</v>
      </c>
      <c r="D5" s="18">
        <v>6.85</v>
      </c>
      <c r="E5" s="18">
        <v>7.01</v>
      </c>
      <c r="F5" s="18">
        <v>7.18</v>
      </c>
      <c r="G5" s="19"/>
      <c r="H5" s="38">
        <v>7.36</v>
      </c>
      <c r="I5" s="38">
        <v>7.54</v>
      </c>
      <c r="J5" s="38">
        <v>7.73</v>
      </c>
      <c r="K5" s="38">
        <v>7.9</v>
      </c>
      <c r="L5" s="38">
        <v>8.08</v>
      </c>
      <c r="M5" s="38">
        <v>8.24</v>
      </c>
      <c r="N5" s="21">
        <v>20.149999999999999</v>
      </c>
      <c r="O5" s="21">
        <v>14.19</v>
      </c>
      <c r="P5" s="21">
        <v>34.340000000000003</v>
      </c>
      <c r="Q5" s="21">
        <v>89.6</v>
      </c>
      <c r="R5" s="22">
        <v>20.14</v>
      </c>
      <c r="S5" s="22">
        <v>21.52</v>
      </c>
      <c r="T5" s="22">
        <v>41.66</v>
      </c>
      <c r="U5" s="22">
        <v>89.53</v>
      </c>
      <c r="V5" s="39">
        <v>9.9999999999980105E-3</v>
      </c>
      <c r="W5" s="23">
        <v>-7.33</v>
      </c>
      <c r="X5" s="23">
        <v>-7.32</v>
      </c>
      <c r="Y5" s="39">
        <v>6.9999999999993207E-2</v>
      </c>
      <c r="Z5" s="40">
        <v>4.9652432969205602E-4</v>
      </c>
      <c r="AA5" s="24">
        <v>-0.340613382899628</v>
      </c>
      <c r="AB5" s="24">
        <v>-0.17570811329812799</v>
      </c>
      <c r="AC5" s="40">
        <v>7.8186082877240205E-4</v>
      </c>
    </row>
    <row r="6" spans="1:36" ht="16.5" customHeight="1" x14ac:dyDescent="0.35">
      <c r="A6" s="25" t="s">
        <v>94</v>
      </c>
      <c r="B6" s="26">
        <v>6.29</v>
      </c>
      <c r="C6" s="26">
        <v>6.41</v>
      </c>
      <c r="D6" s="26">
        <v>6.54</v>
      </c>
      <c r="E6" s="26">
        <v>6.69</v>
      </c>
      <c r="F6" s="26">
        <v>6.85</v>
      </c>
      <c r="G6" s="27"/>
      <c r="H6" s="28">
        <v>7.0288000000000004</v>
      </c>
      <c r="I6" s="28">
        <v>7.2007000000000003</v>
      </c>
      <c r="J6" s="28">
        <v>7.3821500000000002</v>
      </c>
      <c r="K6" s="28">
        <v>7.5445000000000002</v>
      </c>
      <c r="L6" s="28">
        <v>7.7164000000000001</v>
      </c>
      <c r="M6" s="28">
        <v>7.8692000000000002</v>
      </c>
      <c r="N6" s="29">
        <v>19.239999999999998</v>
      </c>
      <c r="O6" s="29">
        <v>13.54</v>
      </c>
      <c r="P6" s="29">
        <v>32.78</v>
      </c>
      <c r="Q6" s="29">
        <v>85.553299999999993</v>
      </c>
      <c r="R6" s="30">
        <v>19.233699999999999</v>
      </c>
      <c r="S6" s="30">
        <v>20.551600000000001</v>
      </c>
      <c r="T6" s="30">
        <v>39.785299999999999</v>
      </c>
      <c r="U6" s="30">
        <v>85.501149999999996</v>
      </c>
      <c r="V6" s="31">
        <v>6.30000000000308E-3</v>
      </c>
      <c r="W6" s="32">
        <v>-7.0115999999999996</v>
      </c>
      <c r="X6" s="32">
        <v>-7.0053000000000001</v>
      </c>
      <c r="Y6" s="31">
        <v>5.2150000000011701E-2</v>
      </c>
      <c r="Z6" s="33">
        <v>3.2755008136775999E-4</v>
      </c>
      <c r="AA6" s="34">
        <v>-0.34117051713735203</v>
      </c>
      <c r="AB6" s="34">
        <v>-0.17607759649921001</v>
      </c>
      <c r="AC6" s="33">
        <v>6.0993331668652E-4</v>
      </c>
    </row>
    <row r="7" spans="1:36" ht="16.5" customHeight="1" x14ac:dyDescent="0.35">
      <c r="A7" s="25" t="s">
        <v>95</v>
      </c>
      <c r="B7" s="26">
        <v>0.3</v>
      </c>
      <c r="C7" s="26">
        <v>0.3</v>
      </c>
      <c r="D7" s="26">
        <v>0.31</v>
      </c>
      <c r="E7" s="26">
        <v>0.32</v>
      </c>
      <c r="F7" s="26">
        <v>0.33</v>
      </c>
      <c r="G7" s="27"/>
      <c r="H7" s="28">
        <v>0.33119999999999999</v>
      </c>
      <c r="I7" s="28">
        <v>0.33929999999999999</v>
      </c>
      <c r="J7" s="28">
        <v>0.34784999999999999</v>
      </c>
      <c r="K7" s="28">
        <v>0.35549999999999998</v>
      </c>
      <c r="L7" s="28">
        <v>0.36359999999999998</v>
      </c>
      <c r="M7" s="28">
        <v>0.37080000000000002</v>
      </c>
      <c r="N7" s="29">
        <v>0.91</v>
      </c>
      <c r="O7" s="29">
        <v>0.65</v>
      </c>
      <c r="P7" s="29">
        <v>1.56</v>
      </c>
      <c r="Q7" s="29">
        <v>4.0467000000000004</v>
      </c>
      <c r="R7" s="30">
        <v>0.90629999999999999</v>
      </c>
      <c r="S7" s="30">
        <v>0.96840000000000004</v>
      </c>
      <c r="T7" s="30">
        <v>1.8747</v>
      </c>
      <c r="U7" s="30">
        <v>4.0288500000000003</v>
      </c>
      <c r="V7" s="31">
        <v>3.7000000000000401E-3</v>
      </c>
      <c r="W7" s="32">
        <v>-0.31840000000000002</v>
      </c>
      <c r="X7" s="32">
        <v>-0.31469999999999998</v>
      </c>
      <c r="Y7" s="31">
        <v>1.78499999999993E-2</v>
      </c>
      <c r="Z7" s="33">
        <v>4.0825333774688697E-3</v>
      </c>
      <c r="AA7" s="34">
        <v>-0.32878975629905</v>
      </c>
      <c r="AB7" s="34">
        <v>-0.16786685869739201</v>
      </c>
      <c r="AC7" s="33">
        <v>4.4305446963771901E-3</v>
      </c>
    </row>
    <row r="8" spans="1:36" ht="6" customHeight="1" x14ac:dyDescent="0.35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</row>
    <row r="9" spans="1:36" ht="15.75" customHeight="1" x14ac:dyDescent="0.35">
      <c r="A9" s="6" t="s">
        <v>96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 spans="1:36" ht="16.5" customHeight="1" x14ac:dyDescent="0.35">
      <c r="A10" s="25" t="s">
        <v>97</v>
      </c>
      <c r="B10" s="26">
        <v>1.52</v>
      </c>
      <c r="C10" s="26">
        <v>1.54</v>
      </c>
      <c r="D10" s="26">
        <v>1.58</v>
      </c>
      <c r="E10" s="26">
        <v>1.61</v>
      </c>
      <c r="F10" s="26">
        <v>1.65</v>
      </c>
      <c r="G10" s="27"/>
      <c r="H10" s="28">
        <v>1.69</v>
      </c>
      <c r="I10" s="28">
        <v>1.73</v>
      </c>
      <c r="J10" s="28">
        <v>1.78</v>
      </c>
      <c r="K10" s="28">
        <v>1.82</v>
      </c>
      <c r="L10" s="28">
        <v>1.86</v>
      </c>
      <c r="M10" s="28">
        <v>1.9</v>
      </c>
      <c r="N10" s="29">
        <v>4.6399999999999997</v>
      </c>
      <c r="O10" s="29">
        <v>3.26</v>
      </c>
      <c r="P10" s="29">
        <v>7.9</v>
      </c>
      <c r="Q10" s="29">
        <v>20.61</v>
      </c>
      <c r="R10" s="30">
        <v>4.63</v>
      </c>
      <c r="S10" s="30">
        <v>4.95</v>
      </c>
      <c r="T10" s="30">
        <v>9.58</v>
      </c>
      <c r="U10" s="30">
        <v>20.6</v>
      </c>
      <c r="V10" s="32">
        <v>1.0000000000000699E-2</v>
      </c>
      <c r="W10" s="31">
        <v>-1.69</v>
      </c>
      <c r="X10" s="31">
        <v>-1.68</v>
      </c>
      <c r="Y10" s="32">
        <v>9.9999999999980105E-3</v>
      </c>
      <c r="Z10" s="34">
        <v>2.15982721382304E-3</v>
      </c>
      <c r="AA10" s="33">
        <v>-0.341414141414142</v>
      </c>
      <c r="AB10" s="33">
        <v>-0.17536534446764099</v>
      </c>
      <c r="AC10" s="34">
        <v>4.8543689320378698E-4</v>
      </c>
    </row>
    <row r="11" spans="1:36" ht="16.5" customHeight="1" x14ac:dyDescent="0.35">
      <c r="A11" s="17" t="s">
        <v>98</v>
      </c>
      <c r="B11" s="18">
        <v>5.07</v>
      </c>
      <c r="C11" s="18">
        <v>5.17</v>
      </c>
      <c r="D11" s="18">
        <v>5.27</v>
      </c>
      <c r="E11" s="18">
        <v>5.39</v>
      </c>
      <c r="F11" s="18">
        <v>5.53</v>
      </c>
      <c r="G11" s="19"/>
      <c r="H11" s="38">
        <v>5.67</v>
      </c>
      <c r="I11" s="38">
        <v>5.81</v>
      </c>
      <c r="J11" s="38">
        <v>5.95</v>
      </c>
      <c r="K11" s="38">
        <v>6.08</v>
      </c>
      <c r="L11" s="38">
        <v>6.22</v>
      </c>
      <c r="M11" s="38">
        <v>6.34</v>
      </c>
      <c r="N11" s="21">
        <v>15.51</v>
      </c>
      <c r="O11" s="21">
        <v>10.92</v>
      </c>
      <c r="P11" s="21">
        <v>26.43</v>
      </c>
      <c r="Q11" s="21">
        <v>68.98</v>
      </c>
      <c r="R11" s="22">
        <v>15.5</v>
      </c>
      <c r="S11" s="22">
        <v>16.57</v>
      </c>
      <c r="T11" s="22">
        <v>32.07</v>
      </c>
      <c r="U11" s="22">
        <v>68.92</v>
      </c>
      <c r="V11" s="39">
        <v>9.9999999999997903E-3</v>
      </c>
      <c r="W11" s="23">
        <v>-5.65</v>
      </c>
      <c r="X11" s="23">
        <v>-5.64</v>
      </c>
      <c r="Y11" s="39">
        <v>6.0000000000002301E-2</v>
      </c>
      <c r="Z11" s="40">
        <v>6.4516129032256698E-4</v>
      </c>
      <c r="AA11" s="24">
        <v>-0.34097767048883498</v>
      </c>
      <c r="AB11" s="24">
        <v>-0.17586529466791401</v>
      </c>
      <c r="AC11" s="40">
        <v>8.7057457922232E-4</v>
      </c>
    </row>
    <row r="12" spans="1:36" ht="16.5" customHeight="1" x14ac:dyDescent="0.35">
      <c r="A12" s="25" t="s">
        <v>99</v>
      </c>
      <c r="B12" s="42">
        <v>0.77</v>
      </c>
      <c r="C12" s="42">
        <v>0.77</v>
      </c>
      <c r="D12" s="42">
        <v>0.77</v>
      </c>
      <c r="E12" s="42">
        <v>0.77</v>
      </c>
      <c r="F12" s="42">
        <v>0.77</v>
      </c>
      <c r="G12" s="43"/>
      <c r="H12" s="44">
        <v>0.77</v>
      </c>
      <c r="I12" s="44">
        <v>0.77</v>
      </c>
      <c r="J12" s="44">
        <v>0.77</v>
      </c>
      <c r="K12" s="44">
        <v>0.77</v>
      </c>
      <c r="L12" s="44">
        <v>0.77</v>
      </c>
      <c r="M12" s="44">
        <v>0.77</v>
      </c>
      <c r="N12" s="45">
        <v>0.77</v>
      </c>
      <c r="O12" s="45">
        <v>0.77</v>
      </c>
      <c r="P12" s="45">
        <v>0.77</v>
      </c>
      <c r="Q12" s="45">
        <v>0.77</v>
      </c>
      <c r="R12" s="46">
        <v>0.77</v>
      </c>
      <c r="S12" s="46">
        <v>0.77</v>
      </c>
      <c r="T12" s="46">
        <v>0.77</v>
      </c>
      <c r="U12" s="46">
        <v>0.77</v>
      </c>
      <c r="V12" s="36">
        <v>0</v>
      </c>
      <c r="W12" s="36">
        <v>0</v>
      </c>
      <c r="X12" s="36">
        <v>0</v>
      </c>
      <c r="Y12" s="36">
        <v>0</v>
      </c>
      <c r="Z12" s="36">
        <v>0</v>
      </c>
      <c r="AA12" s="36">
        <v>0</v>
      </c>
      <c r="AB12" s="36">
        <v>0</v>
      </c>
      <c r="AC12" s="36">
        <v>0</v>
      </c>
    </row>
    <row r="13" spans="1:36" ht="6" customHeight="1" x14ac:dyDescent="0.35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</row>
    <row r="14" spans="1:36" ht="15.75" customHeight="1" x14ac:dyDescent="0.35">
      <c r="A14" s="6" t="s">
        <v>100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 spans="1:36" ht="16.5" customHeight="1" x14ac:dyDescent="0.35">
      <c r="A15" s="25" t="s">
        <v>101</v>
      </c>
      <c r="B15" s="26">
        <v>3.43</v>
      </c>
      <c r="C15" s="26">
        <v>3.49</v>
      </c>
      <c r="D15" s="26">
        <v>3.56</v>
      </c>
      <c r="E15" s="26">
        <v>3.64</v>
      </c>
      <c r="F15" s="26">
        <v>3.73</v>
      </c>
      <c r="G15" s="27"/>
      <c r="H15" s="28">
        <v>3.83</v>
      </c>
      <c r="I15" s="28">
        <v>3.92</v>
      </c>
      <c r="J15" s="28">
        <v>4.0199999999999996</v>
      </c>
      <c r="K15" s="28">
        <v>4.1100000000000003</v>
      </c>
      <c r="L15" s="28">
        <v>4.2</v>
      </c>
      <c r="M15" s="28">
        <v>4.28</v>
      </c>
      <c r="N15" s="29">
        <v>10.48</v>
      </c>
      <c r="O15" s="29">
        <v>7.37</v>
      </c>
      <c r="P15" s="29">
        <v>17.850000000000001</v>
      </c>
      <c r="Q15" s="29">
        <v>46.58</v>
      </c>
      <c r="R15" s="30">
        <v>10.47</v>
      </c>
      <c r="S15" s="30">
        <v>11.19</v>
      </c>
      <c r="T15" s="30">
        <v>21.66</v>
      </c>
      <c r="U15" s="30">
        <v>46.56</v>
      </c>
      <c r="V15" s="32">
        <v>9.9999999999997903E-3</v>
      </c>
      <c r="W15" s="31">
        <v>-3.82</v>
      </c>
      <c r="X15" s="31">
        <v>-3.81</v>
      </c>
      <c r="Y15" s="32">
        <v>1.9999999999996E-2</v>
      </c>
      <c r="Z15" s="34">
        <v>9.5510983763130697E-4</v>
      </c>
      <c r="AA15" s="33">
        <v>-0.34137622877569301</v>
      </c>
      <c r="AB15" s="33">
        <v>-0.17590027700831001</v>
      </c>
      <c r="AC15" s="34">
        <v>4.2955326460472599E-4</v>
      </c>
    </row>
    <row r="16" spans="1:36" ht="16.5" customHeight="1" x14ac:dyDescent="0.35">
      <c r="A16" s="25" t="s">
        <v>102</v>
      </c>
      <c r="B16" s="26">
        <v>1.1200000000000001</v>
      </c>
      <c r="C16" s="26">
        <v>1.1399999999999999</v>
      </c>
      <c r="D16" s="26">
        <v>1.1599999999999999</v>
      </c>
      <c r="E16" s="26">
        <v>1.19</v>
      </c>
      <c r="F16" s="26">
        <v>1.22</v>
      </c>
      <c r="G16" s="27"/>
      <c r="H16" s="28">
        <v>1.25</v>
      </c>
      <c r="I16" s="28">
        <v>1.28</v>
      </c>
      <c r="J16" s="28">
        <v>1.32</v>
      </c>
      <c r="K16" s="28">
        <v>1.35</v>
      </c>
      <c r="L16" s="28">
        <v>1.38</v>
      </c>
      <c r="M16" s="28">
        <v>1.41</v>
      </c>
      <c r="N16" s="29">
        <v>3.42</v>
      </c>
      <c r="O16" s="29">
        <v>2.41</v>
      </c>
      <c r="P16" s="29">
        <v>5.83</v>
      </c>
      <c r="Q16" s="29">
        <v>15.26</v>
      </c>
      <c r="R16" s="30">
        <v>3.36</v>
      </c>
      <c r="S16" s="30">
        <v>3.59</v>
      </c>
      <c r="T16" s="30">
        <v>6.95</v>
      </c>
      <c r="U16" s="30">
        <v>14.96</v>
      </c>
      <c r="V16" s="32">
        <v>5.9999999999999602E-2</v>
      </c>
      <c r="W16" s="31">
        <v>-1.18</v>
      </c>
      <c r="X16" s="31">
        <v>-1.1200000000000001</v>
      </c>
      <c r="Y16" s="32">
        <v>0.29999999999999899</v>
      </c>
      <c r="Z16" s="34">
        <v>1.78571428571427E-2</v>
      </c>
      <c r="AA16" s="33">
        <v>-0.32869080779944299</v>
      </c>
      <c r="AB16" s="33">
        <v>-0.16115107913669099</v>
      </c>
      <c r="AC16" s="34">
        <v>2.0053475935828801E-2</v>
      </c>
    </row>
    <row r="17" spans="1:29" ht="16.5" customHeight="1" x14ac:dyDescent="0.35">
      <c r="A17" s="25" t="s">
        <v>103</v>
      </c>
      <c r="B17" s="26">
        <v>0.72</v>
      </c>
      <c r="C17" s="26">
        <v>0.74</v>
      </c>
      <c r="D17" s="26">
        <v>0.75</v>
      </c>
      <c r="E17" s="26">
        <v>0.77</v>
      </c>
      <c r="F17" s="26">
        <v>0.79</v>
      </c>
      <c r="G17" s="27"/>
      <c r="H17" s="28">
        <v>0.81</v>
      </c>
      <c r="I17" s="28">
        <v>0.83</v>
      </c>
      <c r="J17" s="28">
        <v>0.85</v>
      </c>
      <c r="K17" s="28">
        <v>0.87</v>
      </c>
      <c r="L17" s="28">
        <v>0.89</v>
      </c>
      <c r="M17" s="28">
        <v>0.91</v>
      </c>
      <c r="N17" s="29">
        <v>2.21</v>
      </c>
      <c r="O17" s="29">
        <v>1.56</v>
      </c>
      <c r="P17" s="29">
        <v>3.77</v>
      </c>
      <c r="Q17" s="29">
        <v>9.86</v>
      </c>
      <c r="R17" s="30">
        <v>2.15</v>
      </c>
      <c r="S17" s="30">
        <v>2.31</v>
      </c>
      <c r="T17" s="30">
        <v>4.46</v>
      </c>
      <c r="U17" s="30">
        <v>9.6199999999999992</v>
      </c>
      <c r="V17" s="32">
        <v>6.0000000000000102E-2</v>
      </c>
      <c r="W17" s="31">
        <v>-0.75</v>
      </c>
      <c r="X17" s="31">
        <v>-0.69</v>
      </c>
      <c r="Y17" s="32">
        <v>0.24</v>
      </c>
      <c r="Z17" s="34">
        <v>2.7906976744186102E-2</v>
      </c>
      <c r="AA17" s="33">
        <v>-0.32467532467532501</v>
      </c>
      <c r="AB17" s="33">
        <v>-0.15470852017937201</v>
      </c>
      <c r="AC17" s="34">
        <v>2.4948024948025001E-2</v>
      </c>
    </row>
    <row r="18" spans="1:29" ht="16.5" customHeight="1" x14ac:dyDescent="0.35">
      <c r="A18" s="17" t="s">
        <v>104</v>
      </c>
      <c r="B18" s="18">
        <v>5.27</v>
      </c>
      <c r="C18" s="18">
        <v>5.37</v>
      </c>
      <c r="D18" s="18">
        <v>5.47</v>
      </c>
      <c r="E18" s="18">
        <v>5.6</v>
      </c>
      <c r="F18" s="18">
        <v>5.74</v>
      </c>
      <c r="G18" s="19"/>
      <c r="H18" s="38">
        <v>5.89</v>
      </c>
      <c r="I18" s="38">
        <v>6.03</v>
      </c>
      <c r="J18" s="38">
        <v>6.19</v>
      </c>
      <c r="K18" s="38">
        <v>6.33</v>
      </c>
      <c r="L18" s="38">
        <v>6.47</v>
      </c>
      <c r="M18" s="38">
        <v>6.6</v>
      </c>
      <c r="N18" s="21">
        <v>16.11</v>
      </c>
      <c r="O18" s="21">
        <v>11.34</v>
      </c>
      <c r="P18" s="21">
        <v>27.45</v>
      </c>
      <c r="Q18" s="21">
        <v>71.7</v>
      </c>
      <c r="R18" s="22">
        <v>15.98</v>
      </c>
      <c r="S18" s="22">
        <v>17.09</v>
      </c>
      <c r="T18" s="22">
        <v>33.07</v>
      </c>
      <c r="U18" s="22">
        <v>71.14</v>
      </c>
      <c r="V18" s="23">
        <v>0.12999999999999901</v>
      </c>
      <c r="W18" s="39">
        <v>-5.75</v>
      </c>
      <c r="X18" s="39">
        <v>-5.62</v>
      </c>
      <c r="Y18" s="23">
        <v>0.56000000000000205</v>
      </c>
      <c r="Z18" s="24">
        <v>8.1351689612014395E-3</v>
      </c>
      <c r="AA18" s="40">
        <v>-0.33645406670567601</v>
      </c>
      <c r="AB18" s="40">
        <v>-0.16994254611430301</v>
      </c>
      <c r="AC18" s="24">
        <v>7.8718020804048692E-3</v>
      </c>
    </row>
    <row r="19" spans="1:29" ht="6" customHeight="1" x14ac:dyDescent="0.35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</row>
    <row r="20" spans="1:29" ht="15.75" customHeight="1" x14ac:dyDescent="0.35">
      <c r="A20" s="6" t="s">
        <v>105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 spans="1:29" ht="16.5" customHeight="1" x14ac:dyDescent="0.35">
      <c r="A21" s="17" t="s">
        <v>106</v>
      </c>
      <c r="B21" s="18">
        <v>-0.2</v>
      </c>
      <c r="C21" s="18">
        <v>-0.2</v>
      </c>
      <c r="D21" s="18">
        <v>-0.21</v>
      </c>
      <c r="E21" s="18">
        <v>-0.21</v>
      </c>
      <c r="F21" s="18">
        <v>-0.22</v>
      </c>
      <c r="G21" s="19"/>
      <c r="H21" s="38">
        <v>-0.22</v>
      </c>
      <c r="I21" s="38">
        <v>-0.23</v>
      </c>
      <c r="J21" s="38">
        <v>-0.23</v>
      </c>
      <c r="K21" s="38">
        <v>-0.24</v>
      </c>
      <c r="L21" s="38">
        <v>-0.24</v>
      </c>
      <c r="M21" s="38">
        <v>-0.25</v>
      </c>
      <c r="N21" s="21">
        <v>-0.61</v>
      </c>
      <c r="O21" s="21">
        <v>-0.43</v>
      </c>
      <c r="P21" s="21">
        <v>-1.04</v>
      </c>
      <c r="Q21" s="21">
        <v>-2.7</v>
      </c>
      <c r="R21" s="22">
        <v>-0.61</v>
      </c>
      <c r="S21" s="22">
        <v>-0.65</v>
      </c>
      <c r="T21" s="22">
        <v>-1.26</v>
      </c>
      <c r="U21" s="22">
        <v>-2.7</v>
      </c>
      <c r="V21" s="69">
        <v>0</v>
      </c>
      <c r="W21" s="39">
        <v>0.22</v>
      </c>
      <c r="X21" s="39">
        <v>0.22</v>
      </c>
      <c r="Y21" s="69">
        <v>0</v>
      </c>
      <c r="Z21" s="70">
        <v>0</v>
      </c>
      <c r="AA21" s="40">
        <v>0.33846153846153898</v>
      </c>
      <c r="AB21" s="40">
        <v>0.17460317460317501</v>
      </c>
      <c r="AC21" s="70">
        <v>0</v>
      </c>
    </row>
    <row r="22" spans="1:29" ht="16.5" customHeight="1" x14ac:dyDescent="0.35">
      <c r="A22" s="25" t="s">
        <v>107</v>
      </c>
      <c r="B22" s="26">
        <v>0.16500000000000001</v>
      </c>
      <c r="C22" s="26">
        <v>0.16800000000000001</v>
      </c>
      <c r="D22" s="26">
        <v>0.17100000000000001</v>
      </c>
      <c r="E22" s="26">
        <v>0.17499999999999999</v>
      </c>
      <c r="F22" s="26">
        <v>0.17899999999999999</v>
      </c>
      <c r="G22" s="27"/>
      <c r="H22" s="28">
        <v>0.184</v>
      </c>
      <c r="I22" s="28">
        <v>0.189</v>
      </c>
      <c r="J22" s="28">
        <v>0.193</v>
      </c>
      <c r="K22" s="28">
        <v>0.19700000000000001</v>
      </c>
      <c r="L22" s="28">
        <v>0.20200000000000001</v>
      </c>
      <c r="M22" s="28">
        <v>0.20599999999999999</v>
      </c>
      <c r="N22" s="29">
        <v>0.504</v>
      </c>
      <c r="O22" s="29">
        <v>0.35399999999999998</v>
      </c>
      <c r="P22" s="29">
        <v>0.85799999999999998</v>
      </c>
      <c r="Q22" s="29">
        <v>2.2400000000000002</v>
      </c>
      <c r="R22" s="30">
        <v>0.495</v>
      </c>
      <c r="S22" s="30">
        <v>0.52800000000000002</v>
      </c>
      <c r="T22" s="30">
        <v>1.0229999999999999</v>
      </c>
      <c r="U22" s="30">
        <v>2.1869999999999998</v>
      </c>
      <c r="V22" s="32">
        <v>9.0000000000000097E-3</v>
      </c>
      <c r="W22" s="31">
        <v>-0.17399999999999999</v>
      </c>
      <c r="X22" s="31">
        <v>-0.16500000000000001</v>
      </c>
      <c r="Y22" s="32">
        <v>5.3000000000000401E-2</v>
      </c>
      <c r="Z22" s="34">
        <v>1.8181818181818198E-2</v>
      </c>
      <c r="AA22" s="33">
        <v>-0.32954545454545497</v>
      </c>
      <c r="AB22" s="33">
        <v>-0.16129032258064499</v>
      </c>
      <c r="AC22" s="34">
        <v>2.42341106538639E-2</v>
      </c>
    </row>
    <row r="23" spans="1:29" ht="16.5" customHeight="1" x14ac:dyDescent="0.35">
      <c r="A23" s="17" t="s">
        <v>108</v>
      </c>
      <c r="B23" s="18">
        <v>-0.36499999999999999</v>
      </c>
      <c r="C23" s="18">
        <v>-0.36799999999999999</v>
      </c>
      <c r="D23" s="18">
        <v>-0.38100000000000001</v>
      </c>
      <c r="E23" s="18">
        <v>-0.38500000000000001</v>
      </c>
      <c r="F23" s="18">
        <v>-0.39900000000000002</v>
      </c>
      <c r="G23" s="19"/>
      <c r="H23" s="38">
        <v>-0.40400000000000003</v>
      </c>
      <c r="I23" s="38">
        <v>-0.41899999999999998</v>
      </c>
      <c r="J23" s="38">
        <v>-0.42299999999999999</v>
      </c>
      <c r="K23" s="38">
        <v>-0.437</v>
      </c>
      <c r="L23" s="38">
        <v>-0.442</v>
      </c>
      <c r="M23" s="38">
        <v>-0.45600000000000002</v>
      </c>
      <c r="N23" s="21">
        <v>-1.1140000000000001</v>
      </c>
      <c r="O23" s="21">
        <v>-0.78400000000000003</v>
      </c>
      <c r="P23" s="21">
        <v>-1.8979999999999999</v>
      </c>
      <c r="Q23" s="21">
        <v>-4.9400000000000004</v>
      </c>
      <c r="R23" s="22">
        <v>-1.105</v>
      </c>
      <c r="S23" s="22">
        <v>-1.1779999999999999</v>
      </c>
      <c r="T23" s="22">
        <v>-2.2829999999999999</v>
      </c>
      <c r="U23" s="22">
        <v>-4.8869999999999996</v>
      </c>
      <c r="V23" s="23">
        <v>-8.9999999999999004E-3</v>
      </c>
      <c r="W23" s="39">
        <v>0.39400000000000002</v>
      </c>
      <c r="X23" s="39">
        <v>0.38500000000000001</v>
      </c>
      <c r="Y23" s="23">
        <v>-5.2999999999999901E-2</v>
      </c>
      <c r="Z23" s="24">
        <v>-8.1447963800904098E-3</v>
      </c>
      <c r="AA23" s="40">
        <v>0.33446519524618001</v>
      </c>
      <c r="AB23" s="40">
        <v>0.168637757336837</v>
      </c>
      <c r="AC23" s="24">
        <v>-1.0845099242889299E-2</v>
      </c>
    </row>
    <row r="25" spans="1:29" ht="24" customHeight="1" x14ac:dyDescent="0.35">
      <c r="A25" s="5" t="s">
        <v>109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8" spans="1:29" ht="4.5" customHeight="1" x14ac:dyDescent="0.35"/>
    <row r="29" spans="1:29" ht="18" customHeight="1" x14ac:dyDescent="0.35">
      <c r="A29" s="3" t="s">
        <v>60</v>
      </c>
      <c r="B29" s="3"/>
      <c r="C29" s="3"/>
      <c r="D29" s="3"/>
      <c r="E29" s="3"/>
      <c r="F29" s="3"/>
    </row>
    <row r="30" spans="1:29" ht="24" customHeight="1" x14ac:dyDescent="0.35">
      <c r="A30" s="47" t="s">
        <v>61</v>
      </c>
      <c r="B30" s="47" t="s">
        <v>62</v>
      </c>
      <c r="C30" s="58" t="s">
        <v>63</v>
      </c>
      <c r="D30" s="58" t="s">
        <v>64</v>
      </c>
      <c r="E30" s="47" t="s">
        <v>65</v>
      </c>
      <c r="F30" s="58" t="s">
        <v>66</v>
      </c>
    </row>
    <row r="31" spans="1:29" ht="51.75" customHeight="1" x14ac:dyDescent="0.35">
      <c r="A31" s="48" t="s">
        <v>72</v>
      </c>
      <c r="B31" s="59" t="s">
        <v>110</v>
      </c>
      <c r="C31" s="60" t="s">
        <v>111</v>
      </c>
      <c r="D31" s="61" t="s">
        <v>112</v>
      </c>
      <c r="E31" s="62" t="s">
        <v>70</v>
      </c>
      <c r="F31" s="63" t="s">
        <v>113</v>
      </c>
    </row>
    <row r="32" spans="1:29" ht="51.75" customHeight="1" x14ac:dyDescent="0.35">
      <c r="A32" s="52" t="s">
        <v>114</v>
      </c>
      <c r="B32" s="64" t="s">
        <v>115</v>
      </c>
      <c r="C32" s="65" t="s">
        <v>116</v>
      </c>
      <c r="D32" s="66" t="s">
        <v>117</v>
      </c>
      <c r="E32" s="67" t="s">
        <v>118</v>
      </c>
      <c r="F32" s="68" t="s">
        <v>119</v>
      </c>
    </row>
    <row r="33" spans="1:6" ht="51.75" customHeight="1" x14ac:dyDescent="0.35">
      <c r="A33" s="48" t="s">
        <v>77</v>
      </c>
      <c r="B33" s="59" t="s">
        <v>101</v>
      </c>
      <c r="C33" s="60" t="s">
        <v>120</v>
      </c>
      <c r="D33" s="61" t="s">
        <v>121</v>
      </c>
      <c r="E33" s="62" t="s">
        <v>80</v>
      </c>
      <c r="F33" s="63" t="s">
        <v>122</v>
      </c>
    </row>
    <row r="34" spans="1:6" ht="51.75" customHeight="1" x14ac:dyDescent="0.35">
      <c r="A34" s="52" t="s">
        <v>77</v>
      </c>
      <c r="B34" s="64" t="s">
        <v>106</v>
      </c>
      <c r="C34" s="65" t="s">
        <v>123</v>
      </c>
      <c r="D34" s="66" t="s">
        <v>124</v>
      </c>
      <c r="E34" s="67" t="s">
        <v>118</v>
      </c>
      <c r="F34" s="68" t="s">
        <v>125</v>
      </c>
    </row>
    <row r="35" spans="1:6" ht="51.75" customHeight="1" x14ac:dyDescent="0.35">
      <c r="A35" s="48" t="s">
        <v>86</v>
      </c>
      <c r="B35" s="59" t="s">
        <v>126</v>
      </c>
      <c r="C35" s="60" t="s">
        <v>127</v>
      </c>
      <c r="D35" s="61" t="s">
        <v>128</v>
      </c>
      <c r="E35" s="62" t="s">
        <v>70</v>
      </c>
      <c r="F35" s="63" t="s">
        <v>129</v>
      </c>
    </row>
  </sheetData>
  <mergeCells count="12">
    <mergeCell ref="A29:F29"/>
    <mergeCell ref="A4:AC4"/>
    <mergeCell ref="A9:AC9"/>
    <mergeCell ref="A14:AC14"/>
    <mergeCell ref="A20:AC20"/>
    <mergeCell ref="A25:M25"/>
    <mergeCell ref="A1:AJ1"/>
    <mergeCell ref="B2:G2"/>
    <mergeCell ref="H2:M2"/>
    <mergeCell ref="N2:Q2"/>
    <mergeCell ref="R2:U2"/>
    <mergeCell ref="V2:AC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9"/>
  <sheetViews>
    <sheetView showGridLines="0" zoomScaleNormal="100" workbookViewId="0">
      <selection sqref="A1:H1"/>
    </sheetView>
  </sheetViews>
  <sheetFormatPr defaultColWidth="8.6328125" defaultRowHeight="14.5" x14ac:dyDescent="0.35"/>
  <cols>
    <col min="1" max="1" width="22" style="12" customWidth="1"/>
    <col min="2" max="8" width="12" style="12" customWidth="1"/>
    <col min="9" max="9" width="13.90625" style="12" bestFit="1" customWidth="1"/>
  </cols>
  <sheetData>
    <row r="1" spans="1:9" ht="36" customHeight="1" x14ac:dyDescent="0.35">
      <c r="A1" s="11" t="s">
        <v>281</v>
      </c>
      <c r="B1" s="11"/>
      <c r="C1" s="11"/>
      <c r="D1" s="11"/>
      <c r="E1" s="11"/>
      <c r="F1" s="11"/>
      <c r="G1" s="11"/>
      <c r="H1" s="11"/>
    </row>
    <row r="2" spans="1:9" ht="21.75" customHeight="1" x14ac:dyDescent="0.35">
      <c r="A2" s="71" t="s">
        <v>282</v>
      </c>
      <c r="B2" s="71" t="s">
        <v>6</v>
      </c>
      <c r="C2" s="71" t="s">
        <v>7</v>
      </c>
      <c r="D2" s="71" t="s">
        <v>8</v>
      </c>
      <c r="E2" s="71" t="s">
        <v>9</v>
      </c>
      <c r="F2" s="71" t="s">
        <v>10</v>
      </c>
      <c r="G2" s="71" t="s">
        <v>283</v>
      </c>
      <c r="H2" s="71" t="s">
        <v>52</v>
      </c>
      <c r="I2" s="71" t="s">
        <v>284</v>
      </c>
    </row>
    <row r="3" spans="1:9" ht="18" customHeight="1" x14ac:dyDescent="0.35">
      <c r="A3" s="93" t="s">
        <v>285</v>
      </c>
      <c r="B3" s="94">
        <v>29</v>
      </c>
      <c r="C3" s="94">
        <v>30</v>
      </c>
      <c r="D3" s="94">
        <v>30</v>
      </c>
      <c r="E3" s="94">
        <v>31</v>
      </c>
      <c r="F3" s="94">
        <v>32</v>
      </c>
      <c r="G3" s="94">
        <v>31</v>
      </c>
      <c r="H3" s="95">
        <v>1</v>
      </c>
      <c r="I3" s="41" t="s">
        <v>286</v>
      </c>
    </row>
    <row r="4" spans="1:9" ht="18" customHeight="1" x14ac:dyDescent="0.35">
      <c r="A4" s="96" t="s">
        <v>287</v>
      </c>
      <c r="B4" s="97">
        <v>39</v>
      </c>
      <c r="C4" s="97">
        <v>39</v>
      </c>
      <c r="D4" s="97">
        <v>40</v>
      </c>
      <c r="E4" s="97">
        <v>40</v>
      </c>
      <c r="F4" s="97">
        <v>41</v>
      </c>
      <c r="G4" s="97">
        <v>40</v>
      </c>
      <c r="H4" s="98">
        <v>1</v>
      </c>
      <c r="I4" s="99" t="s">
        <v>288</v>
      </c>
    </row>
    <row r="5" spans="1:9" ht="18" customHeight="1" x14ac:dyDescent="0.35">
      <c r="A5" s="93" t="s">
        <v>289</v>
      </c>
      <c r="B5" s="94">
        <v>17</v>
      </c>
      <c r="C5" s="94">
        <v>17</v>
      </c>
      <c r="D5" s="94">
        <v>17</v>
      </c>
      <c r="E5" s="94">
        <v>18</v>
      </c>
      <c r="F5" s="94">
        <v>18</v>
      </c>
      <c r="G5" s="94">
        <v>18</v>
      </c>
      <c r="H5" s="100">
        <v>0</v>
      </c>
      <c r="I5" s="41" t="s">
        <v>290</v>
      </c>
    </row>
    <row r="6" spans="1:9" ht="18" customHeight="1" x14ac:dyDescent="0.35">
      <c r="A6" s="96" t="s">
        <v>291</v>
      </c>
      <c r="B6" s="97">
        <v>14</v>
      </c>
      <c r="C6" s="97">
        <v>14</v>
      </c>
      <c r="D6" s="97">
        <v>14</v>
      </c>
      <c r="E6" s="97">
        <v>14</v>
      </c>
      <c r="F6" s="97">
        <v>14</v>
      </c>
      <c r="G6" s="97">
        <v>15</v>
      </c>
      <c r="H6" s="101">
        <v>-1</v>
      </c>
      <c r="I6" s="99" t="s">
        <v>292</v>
      </c>
    </row>
    <row r="7" spans="1:9" ht="18" customHeight="1" x14ac:dyDescent="0.35">
      <c r="A7" s="93" t="s">
        <v>293</v>
      </c>
      <c r="B7" s="94">
        <v>22</v>
      </c>
      <c r="C7" s="94">
        <v>22</v>
      </c>
      <c r="D7" s="94">
        <v>22</v>
      </c>
      <c r="E7" s="94">
        <v>22</v>
      </c>
      <c r="F7" s="94">
        <v>22</v>
      </c>
      <c r="G7" s="94">
        <v>22</v>
      </c>
      <c r="H7" s="100">
        <v>0</v>
      </c>
      <c r="I7" s="41" t="s">
        <v>294</v>
      </c>
    </row>
    <row r="8" spans="1:9" ht="18" customHeight="1" x14ac:dyDescent="0.35">
      <c r="A8" s="96" t="s">
        <v>295</v>
      </c>
      <c r="B8" s="97">
        <v>14</v>
      </c>
      <c r="C8" s="97">
        <v>14</v>
      </c>
      <c r="D8" s="97">
        <v>15</v>
      </c>
      <c r="E8" s="97">
        <v>15</v>
      </c>
      <c r="F8" s="97">
        <v>15</v>
      </c>
      <c r="G8" s="97">
        <v>15</v>
      </c>
      <c r="H8" s="102">
        <v>0</v>
      </c>
      <c r="I8" s="99" t="s">
        <v>296</v>
      </c>
    </row>
    <row r="9" spans="1:9" ht="18" customHeight="1" x14ac:dyDescent="0.35">
      <c r="A9" s="17" t="s">
        <v>297</v>
      </c>
      <c r="B9" s="103">
        <v>135</v>
      </c>
      <c r="C9" s="103">
        <v>136</v>
      </c>
      <c r="D9" s="103">
        <v>138</v>
      </c>
      <c r="E9" s="103">
        <v>140</v>
      </c>
      <c r="F9" s="103">
        <v>142</v>
      </c>
      <c r="G9" s="103">
        <v>141</v>
      </c>
      <c r="H9" s="104">
        <v>1</v>
      </c>
      <c r="I9" s="17" t="s">
        <v>298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"/>
  <sheetViews>
    <sheetView showGridLines="0" zoomScaleNormal="100" workbookViewId="0">
      <selection sqref="A1:H1"/>
    </sheetView>
  </sheetViews>
  <sheetFormatPr defaultColWidth="8.6328125" defaultRowHeight="14.5" x14ac:dyDescent="0.35"/>
  <cols>
    <col min="1" max="1" width="14" style="12" customWidth="1"/>
    <col min="2" max="2" width="22" style="12" customWidth="1"/>
    <col min="3" max="4" width="12" style="12" customWidth="1"/>
    <col min="5" max="5" width="75" style="12" customWidth="1"/>
  </cols>
  <sheetData>
    <row r="1" spans="1:8" ht="36" customHeight="1" x14ac:dyDescent="0.35">
      <c r="A1" s="11" t="s">
        <v>215</v>
      </c>
      <c r="B1" s="11"/>
      <c r="C1" s="11"/>
      <c r="D1" s="11"/>
      <c r="E1" s="11"/>
      <c r="F1" s="11"/>
      <c r="G1" s="11"/>
      <c r="H1" s="11"/>
    </row>
    <row r="2" spans="1:8" ht="15" customHeight="1" x14ac:dyDescent="0.35">
      <c r="A2" s="71" t="s">
        <v>62</v>
      </c>
      <c r="B2" s="71" t="s">
        <v>216</v>
      </c>
      <c r="C2" s="71" t="s">
        <v>217</v>
      </c>
      <c r="D2" s="71" t="s">
        <v>218</v>
      </c>
      <c r="E2" s="71" t="s">
        <v>219</v>
      </c>
    </row>
    <row r="3" spans="1:8" ht="54.75" customHeight="1" x14ac:dyDescent="0.35">
      <c r="A3" s="72" t="s">
        <v>220</v>
      </c>
      <c r="B3" s="73" t="s">
        <v>221</v>
      </c>
      <c r="C3" s="74" t="s">
        <v>222</v>
      </c>
      <c r="D3" s="74" t="s">
        <v>223</v>
      </c>
      <c r="E3" s="75" t="s">
        <v>224</v>
      </c>
    </row>
    <row r="4" spans="1:8" ht="54.75" customHeight="1" x14ac:dyDescent="0.35">
      <c r="A4" s="76" t="s">
        <v>220</v>
      </c>
      <c r="B4" s="77" t="s">
        <v>225</v>
      </c>
      <c r="C4" s="78" t="s">
        <v>226</v>
      </c>
      <c r="D4" s="78" t="s">
        <v>227</v>
      </c>
      <c r="E4" s="79" t="s">
        <v>228</v>
      </c>
    </row>
    <row r="5" spans="1:8" ht="54.75" customHeight="1" x14ac:dyDescent="0.35">
      <c r="A5" s="72" t="s">
        <v>110</v>
      </c>
      <c r="B5" s="73" t="s">
        <v>229</v>
      </c>
      <c r="C5" s="74" t="s">
        <v>230</v>
      </c>
      <c r="D5" s="74" t="s">
        <v>231</v>
      </c>
      <c r="E5" s="75" t="s">
        <v>232</v>
      </c>
    </row>
    <row r="6" spans="1:8" ht="54.75" customHeight="1" x14ac:dyDescent="0.35">
      <c r="A6" s="76" t="s">
        <v>110</v>
      </c>
      <c r="B6" s="77" t="s">
        <v>99</v>
      </c>
      <c r="C6" s="78" t="s">
        <v>233</v>
      </c>
      <c r="D6" s="78" t="s">
        <v>233</v>
      </c>
      <c r="E6" s="79" t="s">
        <v>234</v>
      </c>
    </row>
    <row r="7" spans="1:8" ht="54.75" customHeight="1" x14ac:dyDescent="0.35">
      <c r="A7" s="72" t="s">
        <v>235</v>
      </c>
      <c r="B7" s="73" t="s">
        <v>236</v>
      </c>
      <c r="C7" s="74" t="s">
        <v>237</v>
      </c>
      <c r="D7" s="74" t="s">
        <v>238</v>
      </c>
      <c r="E7" s="75" t="s">
        <v>239</v>
      </c>
    </row>
    <row r="8" spans="1:8" ht="54.75" customHeight="1" x14ac:dyDescent="0.35">
      <c r="A8" s="76" t="s">
        <v>240</v>
      </c>
      <c r="B8" s="77" t="s">
        <v>241</v>
      </c>
      <c r="C8" s="78" t="s">
        <v>242</v>
      </c>
      <c r="D8" s="78" t="s">
        <v>243</v>
      </c>
      <c r="E8" s="79" t="s">
        <v>244</v>
      </c>
    </row>
    <row r="9" spans="1:8" ht="54.75" customHeight="1" x14ac:dyDescent="0.35">
      <c r="A9" s="72" t="s">
        <v>245</v>
      </c>
      <c r="B9" s="73" t="s">
        <v>246</v>
      </c>
      <c r="C9" s="74" t="s">
        <v>247</v>
      </c>
      <c r="D9" s="74" t="s">
        <v>248</v>
      </c>
      <c r="E9" s="75" t="s">
        <v>249</v>
      </c>
    </row>
    <row r="10" spans="1:8" ht="54.75" customHeight="1" x14ac:dyDescent="0.35">
      <c r="A10" s="76" t="s">
        <v>245</v>
      </c>
      <c r="B10" s="77" t="s">
        <v>250</v>
      </c>
      <c r="C10" s="78" t="s">
        <v>251</v>
      </c>
      <c r="D10" s="78" t="s">
        <v>251</v>
      </c>
      <c r="E10" s="79" t="s">
        <v>252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"/>
  <sheetViews>
    <sheetView showGridLines="0" zoomScaleNormal="100" workbookViewId="0">
      <selection sqref="A1:H1"/>
    </sheetView>
  </sheetViews>
  <sheetFormatPr defaultColWidth="8.6328125" defaultRowHeight="14.5" x14ac:dyDescent="0.35"/>
  <cols>
    <col min="1" max="1" width="8" style="12" customWidth="1"/>
    <col min="2" max="2" width="14" style="12" customWidth="1"/>
    <col min="3" max="3" width="8" style="12" customWidth="1"/>
    <col min="4" max="4" width="55" style="12" customWidth="1"/>
    <col min="5" max="5" width="14" style="12" customWidth="1"/>
    <col min="6" max="6" width="55" style="12" customWidth="1"/>
  </cols>
  <sheetData>
    <row r="1" spans="1:8" ht="36" customHeight="1" x14ac:dyDescent="0.35">
      <c r="A1" s="11" t="s">
        <v>253</v>
      </c>
      <c r="B1" s="11"/>
      <c r="C1" s="11"/>
      <c r="D1" s="11"/>
      <c r="E1" s="11"/>
      <c r="F1" s="11"/>
      <c r="G1" s="11"/>
      <c r="H1" s="11"/>
    </row>
    <row r="2" spans="1:8" ht="15" customHeight="1" x14ac:dyDescent="0.35">
      <c r="A2" s="71" t="s">
        <v>254</v>
      </c>
      <c r="B2" s="71" t="s">
        <v>62</v>
      </c>
      <c r="C2" s="71" t="s">
        <v>65</v>
      </c>
      <c r="D2" s="71" t="s">
        <v>255</v>
      </c>
      <c r="E2" s="71" t="s">
        <v>256</v>
      </c>
      <c r="F2" s="71" t="s">
        <v>257</v>
      </c>
    </row>
    <row r="3" spans="1:8" ht="49.5" customHeight="1" x14ac:dyDescent="0.35">
      <c r="A3" s="80" t="s">
        <v>258</v>
      </c>
      <c r="B3" s="81" t="s">
        <v>240</v>
      </c>
      <c r="C3" s="80" t="s">
        <v>259</v>
      </c>
      <c r="D3" s="82" t="s">
        <v>260</v>
      </c>
      <c r="E3" s="83" t="s">
        <v>259</v>
      </c>
      <c r="F3" s="82" t="s">
        <v>261</v>
      </c>
    </row>
    <row r="4" spans="1:8" ht="49.5" customHeight="1" x14ac:dyDescent="0.35">
      <c r="A4" s="80" t="s">
        <v>258</v>
      </c>
      <c r="B4" s="81" t="s">
        <v>262</v>
      </c>
      <c r="C4" s="80" t="s">
        <v>259</v>
      </c>
      <c r="D4" s="82" t="s">
        <v>263</v>
      </c>
      <c r="E4" s="83" t="s">
        <v>259</v>
      </c>
      <c r="F4" s="82" t="s">
        <v>264</v>
      </c>
    </row>
    <row r="5" spans="1:8" ht="49.5" customHeight="1" x14ac:dyDescent="0.35">
      <c r="A5" s="80" t="s">
        <v>258</v>
      </c>
      <c r="B5" s="81" t="s">
        <v>265</v>
      </c>
      <c r="C5" s="84" t="s">
        <v>266</v>
      </c>
      <c r="D5" s="82" t="s">
        <v>267</v>
      </c>
      <c r="E5" s="85" t="s">
        <v>266</v>
      </c>
      <c r="F5" s="82" t="s">
        <v>268</v>
      </c>
    </row>
    <row r="6" spans="1:8" ht="49.5" customHeight="1" x14ac:dyDescent="0.35">
      <c r="A6" s="80" t="s">
        <v>258</v>
      </c>
      <c r="B6" s="81" t="s">
        <v>245</v>
      </c>
      <c r="C6" s="84" t="s">
        <v>266</v>
      </c>
      <c r="D6" s="82" t="s">
        <v>269</v>
      </c>
      <c r="E6" s="83" t="s">
        <v>259</v>
      </c>
      <c r="F6" s="82" t="s">
        <v>270</v>
      </c>
    </row>
    <row r="7" spans="1:8" ht="49.5" customHeight="1" x14ac:dyDescent="0.35">
      <c r="A7" s="86" t="s">
        <v>271</v>
      </c>
      <c r="B7" s="87" t="s">
        <v>240</v>
      </c>
      <c r="C7" s="88" t="s">
        <v>259</v>
      </c>
      <c r="D7" s="89" t="s">
        <v>272</v>
      </c>
      <c r="E7" s="90" t="s">
        <v>259</v>
      </c>
      <c r="F7" s="89" t="s">
        <v>273</v>
      </c>
    </row>
    <row r="8" spans="1:8" ht="49.5" customHeight="1" x14ac:dyDescent="0.35">
      <c r="A8" s="86" t="s">
        <v>271</v>
      </c>
      <c r="B8" s="87" t="s">
        <v>220</v>
      </c>
      <c r="C8" s="88" t="s">
        <v>259</v>
      </c>
      <c r="D8" s="89" t="s">
        <v>274</v>
      </c>
      <c r="E8" s="91" t="s">
        <v>266</v>
      </c>
      <c r="F8" s="89" t="s">
        <v>275</v>
      </c>
    </row>
    <row r="9" spans="1:8" ht="49.5" customHeight="1" x14ac:dyDescent="0.35">
      <c r="A9" s="86" t="s">
        <v>271</v>
      </c>
      <c r="B9" s="87" t="s">
        <v>276</v>
      </c>
      <c r="C9" s="92" t="s">
        <v>266</v>
      </c>
      <c r="D9" s="89" t="s">
        <v>277</v>
      </c>
      <c r="E9" s="90" t="s">
        <v>259</v>
      </c>
      <c r="F9" s="89" t="s">
        <v>278</v>
      </c>
    </row>
    <row r="10" spans="1:8" ht="49.5" customHeight="1" x14ac:dyDescent="0.35">
      <c r="A10" s="86" t="s">
        <v>271</v>
      </c>
      <c r="B10" s="87" t="s">
        <v>245</v>
      </c>
      <c r="C10" s="92" t="s">
        <v>266</v>
      </c>
      <c r="D10" s="89" t="s">
        <v>279</v>
      </c>
      <c r="E10" s="91" t="s">
        <v>266</v>
      </c>
      <c r="F10" s="89" t="s">
        <v>280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0"/>
  <sheetViews>
    <sheetView showGridLines="0" zoomScaleNormal="100" workbookViewId="0">
      <selection sqref="A1:H1"/>
    </sheetView>
  </sheetViews>
  <sheetFormatPr defaultColWidth="8.6328125" defaultRowHeight="14.5" x14ac:dyDescent="0.35"/>
  <cols>
    <col min="1" max="1" width="32" style="12" customWidth="1"/>
    <col min="2" max="2" width="55" style="12" customWidth="1"/>
    <col min="3" max="3" width="30" style="12" customWidth="1"/>
    <col min="4" max="4" width="12" style="12" customWidth="1"/>
  </cols>
  <sheetData>
    <row r="1" spans="1:8" ht="36" customHeight="1" x14ac:dyDescent="0.35">
      <c r="A1" s="11" t="s">
        <v>299</v>
      </c>
      <c r="B1" s="11"/>
      <c r="C1" s="11"/>
      <c r="D1" s="11"/>
      <c r="E1" s="11"/>
      <c r="F1" s="11"/>
      <c r="G1" s="11"/>
      <c r="H1" s="11"/>
    </row>
    <row r="2" spans="1:8" ht="15" customHeight="1" x14ac:dyDescent="0.35">
      <c r="A2" s="71" t="s">
        <v>300</v>
      </c>
      <c r="B2" s="71" t="s">
        <v>301</v>
      </c>
      <c r="C2" s="71" t="s">
        <v>302</v>
      </c>
      <c r="D2" s="71" t="s">
        <v>303</v>
      </c>
    </row>
    <row r="3" spans="1:8" ht="18" customHeight="1" x14ac:dyDescent="0.35">
      <c r="A3" s="105" t="s">
        <v>304</v>
      </c>
      <c r="B3" s="105"/>
      <c r="C3" s="105"/>
      <c r="D3" s="105"/>
    </row>
    <row r="4" spans="1:8" ht="18" customHeight="1" x14ac:dyDescent="0.35">
      <c r="A4" s="106" t="s">
        <v>305</v>
      </c>
      <c r="B4" s="106" t="s">
        <v>306</v>
      </c>
      <c r="C4" s="106" t="s">
        <v>307</v>
      </c>
      <c r="D4" s="106" t="s">
        <v>308</v>
      </c>
    </row>
    <row r="5" spans="1:8" ht="18" customHeight="1" x14ac:dyDescent="0.35">
      <c r="A5" s="107" t="s">
        <v>309</v>
      </c>
      <c r="B5" s="107" t="s">
        <v>310</v>
      </c>
      <c r="C5" s="107" t="s">
        <v>307</v>
      </c>
      <c r="D5" s="107" t="s">
        <v>308</v>
      </c>
    </row>
    <row r="6" spans="1:8" ht="18" customHeight="1" x14ac:dyDescent="0.35">
      <c r="A6" s="106" t="s">
        <v>311</v>
      </c>
      <c r="B6" s="106" t="s">
        <v>312</v>
      </c>
      <c r="C6" s="106" t="s">
        <v>307</v>
      </c>
      <c r="D6" s="106" t="s">
        <v>308</v>
      </c>
    </row>
    <row r="7" spans="1:8" ht="18" customHeight="1" x14ac:dyDescent="0.35">
      <c r="A7" s="105" t="s">
        <v>313</v>
      </c>
      <c r="B7" s="105"/>
      <c r="C7" s="105"/>
      <c r="D7" s="105"/>
    </row>
    <row r="8" spans="1:8" ht="18" customHeight="1" x14ac:dyDescent="0.35">
      <c r="A8" s="108" t="s">
        <v>314</v>
      </c>
      <c r="B8" s="108" t="s">
        <v>315</v>
      </c>
      <c r="C8" s="108" t="s">
        <v>316</v>
      </c>
      <c r="D8" s="108" t="s">
        <v>308</v>
      </c>
    </row>
    <row r="9" spans="1:8" ht="18" customHeight="1" x14ac:dyDescent="0.35">
      <c r="A9" s="107" t="s">
        <v>317</v>
      </c>
      <c r="B9" s="107" t="s">
        <v>318</v>
      </c>
      <c r="C9" s="107" t="s">
        <v>316</v>
      </c>
      <c r="D9" s="107" t="s">
        <v>308</v>
      </c>
    </row>
    <row r="10" spans="1:8" ht="18" customHeight="1" x14ac:dyDescent="0.35">
      <c r="A10" s="109" t="s">
        <v>319</v>
      </c>
      <c r="B10" s="109" t="s">
        <v>320</v>
      </c>
      <c r="C10" s="109" t="s">
        <v>316</v>
      </c>
      <c r="D10" s="109" t="s">
        <v>308</v>
      </c>
    </row>
    <row r="11" spans="1:8" ht="18" customHeight="1" x14ac:dyDescent="0.35">
      <c r="A11" s="110" t="s">
        <v>321</v>
      </c>
      <c r="B11" s="110" t="s">
        <v>322</v>
      </c>
      <c r="C11" s="110" t="s">
        <v>316</v>
      </c>
      <c r="D11" s="110" t="s">
        <v>308</v>
      </c>
    </row>
    <row r="12" spans="1:8" ht="18" customHeight="1" x14ac:dyDescent="0.35">
      <c r="A12" s="105" t="s">
        <v>323</v>
      </c>
      <c r="B12" s="105"/>
      <c r="C12" s="105"/>
      <c r="D12" s="105"/>
    </row>
    <row r="13" spans="1:8" ht="18" customHeight="1" x14ac:dyDescent="0.35">
      <c r="A13" s="107" t="s">
        <v>324</v>
      </c>
      <c r="B13" s="107" t="s">
        <v>325</v>
      </c>
      <c r="C13" s="107" t="s">
        <v>326</v>
      </c>
      <c r="D13" s="107" t="s">
        <v>77</v>
      </c>
    </row>
    <row r="14" spans="1:8" ht="18" customHeight="1" x14ac:dyDescent="0.35">
      <c r="A14" s="106" t="s">
        <v>327</v>
      </c>
      <c r="B14" s="106" t="s">
        <v>328</v>
      </c>
      <c r="C14" s="106" t="s">
        <v>329</v>
      </c>
      <c r="D14" s="106" t="s">
        <v>330</v>
      </c>
    </row>
    <row r="15" spans="1:8" ht="18" customHeight="1" x14ac:dyDescent="0.35">
      <c r="A15" s="107" t="s">
        <v>331</v>
      </c>
      <c r="B15" s="107" t="s">
        <v>332</v>
      </c>
      <c r="C15" s="107" t="s">
        <v>333</v>
      </c>
      <c r="D15" s="107" t="s">
        <v>77</v>
      </c>
    </row>
    <row r="16" spans="1:8" ht="18" customHeight="1" x14ac:dyDescent="0.35">
      <c r="A16" s="106" t="s">
        <v>334</v>
      </c>
      <c r="B16" s="106" t="s">
        <v>335</v>
      </c>
      <c r="C16" s="106" t="s">
        <v>336</v>
      </c>
      <c r="D16" s="106" t="s">
        <v>337</v>
      </c>
    </row>
    <row r="17" spans="1:4" ht="18" customHeight="1" x14ac:dyDescent="0.35">
      <c r="A17" s="107" t="s">
        <v>338</v>
      </c>
      <c r="B17" s="107" t="s">
        <v>339</v>
      </c>
      <c r="C17" s="107" t="s">
        <v>336</v>
      </c>
      <c r="D17" s="107" t="s">
        <v>337</v>
      </c>
    </row>
    <row r="18" spans="1:4" ht="18" customHeight="1" x14ac:dyDescent="0.35">
      <c r="A18" s="106" t="s">
        <v>340</v>
      </c>
      <c r="B18" s="106" t="s">
        <v>341</v>
      </c>
      <c r="C18" s="106" t="s">
        <v>336</v>
      </c>
      <c r="D18" s="106" t="s">
        <v>342</v>
      </c>
    </row>
    <row r="19" spans="1:4" ht="18" customHeight="1" x14ac:dyDescent="0.35">
      <c r="A19" s="107" t="s">
        <v>343</v>
      </c>
      <c r="B19" s="107" t="s">
        <v>344</v>
      </c>
      <c r="C19" s="107" t="s">
        <v>345</v>
      </c>
      <c r="D19" s="107" t="s">
        <v>67</v>
      </c>
    </row>
    <row r="20" spans="1:4" ht="18" customHeight="1" x14ac:dyDescent="0.35">
      <c r="A20" s="106" t="s">
        <v>346</v>
      </c>
      <c r="B20" s="106" t="s">
        <v>347</v>
      </c>
      <c r="C20" s="106" t="s">
        <v>336</v>
      </c>
      <c r="D20" s="106" t="s">
        <v>337</v>
      </c>
    </row>
    <row r="21" spans="1:4" ht="18" customHeight="1" x14ac:dyDescent="0.35">
      <c r="A21" s="105" t="s">
        <v>348</v>
      </c>
      <c r="B21" s="105"/>
      <c r="C21" s="105"/>
      <c r="D21" s="105"/>
    </row>
    <row r="22" spans="1:4" ht="18" customHeight="1" x14ac:dyDescent="0.35">
      <c r="A22" s="106" t="s">
        <v>349</v>
      </c>
      <c r="B22" s="106" t="s">
        <v>350</v>
      </c>
      <c r="C22" s="106" t="s">
        <v>351</v>
      </c>
      <c r="D22" s="106" t="s">
        <v>77</v>
      </c>
    </row>
    <row r="23" spans="1:4" ht="18" customHeight="1" x14ac:dyDescent="0.35">
      <c r="A23" s="107" t="s">
        <v>352</v>
      </c>
      <c r="B23" s="107" t="s">
        <v>353</v>
      </c>
      <c r="C23" s="107" t="s">
        <v>354</v>
      </c>
      <c r="D23" s="107" t="s">
        <v>77</v>
      </c>
    </row>
    <row r="24" spans="1:4" ht="18" customHeight="1" x14ac:dyDescent="0.35">
      <c r="A24" s="106" t="s">
        <v>355</v>
      </c>
      <c r="B24" s="106" t="s">
        <v>356</v>
      </c>
      <c r="C24" s="106" t="s">
        <v>357</v>
      </c>
      <c r="D24" s="106" t="s">
        <v>67</v>
      </c>
    </row>
    <row r="25" spans="1:4" ht="18" customHeight="1" x14ac:dyDescent="0.35">
      <c r="A25" s="107" t="s">
        <v>358</v>
      </c>
      <c r="B25" s="107" t="s">
        <v>359</v>
      </c>
      <c r="C25" s="107" t="s">
        <v>351</v>
      </c>
      <c r="D25" s="107" t="s">
        <v>77</v>
      </c>
    </row>
    <row r="26" spans="1:4" ht="18" customHeight="1" x14ac:dyDescent="0.35">
      <c r="A26" s="106" t="s">
        <v>360</v>
      </c>
      <c r="B26" s="106" t="s">
        <v>361</v>
      </c>
      <c r="C26" s="106" t="s">
        <v>354</v>
      </c>
      <c r="D26" s="106" t="s">
        <v>77</v>
      </c>
    </row>
    <row r="27" spans="1:4" ht="18" customHeight="1" x14ac:dyDescent="0.35">
      <c r="A27" s="107" t="s">
        <v>362</v>
      </c>
      <c r="B27" s="107" t="s">
        <v>363</v>
      </c>
      <c r="C27" s="107" t="s">
        <v>357</v>
      </c>
      <c r="D27" s="107" t="s">
        <v>67</v>
      </c>
    </row>
    <row r="28" spans="1:4" ht="18" customHeight="1" x14ac:dyDescent="0.35">
      <c r="A28" s="106" t="s">
        <v>364</v>
      </c>
      <c r="B28" s="106" t="s">
        <v>365</v>
      </c>
      <c r="C28" s="106" t="s">
        <v>351</v>
      </c>
      <c r="D28" s="106" t="s">
        <v>77</v>
      </c>
    </row>
    <row r="29" spans="1:4" ht="18" customHeight="1" x14ac:dyDescent="0.35">
      <c r="A29" s="107" t="s">
        <v>366</v>
      </c>
      <c r="B29" s="107" t="s">
        <v>367</v>
      </c>
      <c r="C29" s="107" t="s">
        <v>354</v>
      </c>
      <c r="D29" s="107" t="s">
        <v>77</v>
      </c>
    </row>
    <row r="30" spans="1:4" ht="18" customHeight="1" x14ac:dyDescent="0.35">
      <c r="A30" s="106" t="s">
        <v>368</v>
      </c>
      <c r="B30" s="106" t="s">
        <v>369</v>
      </c>
      <c r="C30" s="106" t="s">
        <v>357</v>
      </c>
      <c r="D30" s="106" t="s">
        <v>67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GTM Review</vt:lpstr>
      <vt:lpstr>ARR Waterfall</vt:lpstr>
      <vt:lpstr>ARR Waterfall Detail</vt:lpstr>
      <vt:lpstr>Cash Forecast</vt:lpstr>
      <vt:lpstr>Cash Flow Statement</vt:lpstr>
      <vt:lpstr>Income Statement</vt:lpstr>
      <vt:lpstr>Headcount</vt:lpstr>
      <vt:lpstr>Variance Commentary</vt:lpstr>
      <vt:lpstr>Risks &amp; Opportunities</vt:lpstr>
      <vt:lpstr>Assumptions &amp; 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Matt Justice</cp:lastModifiedBy>
  <cp:revision>1</cp:revision>
  <dcterms:created xsi:type="dcterms:W3CDTF">2026-05-22T01:55:08Z</dcterms:created>
  <dcterms:modified xsi:type="dcterms:W3CDTF">2026-05-22T13:09:50Z</dcterms:modified>
  <dc:language>en-US</dc:language>
</cp:coreProperties>
</file>