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j\.cursor\projects\empty-window\saas-financial-intelligence\docs\reference-decks\"/>
    </mc:Choice>
  </mc:AlternateContent>
  <xr:revisionPtr revIDLastSave="0" documentId="13_ncr:9_{3BE27F3B-CD8E-4E35-B958-36A351A2E77C}" xr6:coauthVersionLast="47" xr6:coauthVersionMax="47" xr10:uidLastSave="{00000000-0000-0000-0000-000000000000}"/>
  <bookViews>
    <workbookView xWindow="-110" yWindow="-110" windowWidth="25820" windowHeight="13900" activeTab="2" xr2:uid="{18557DC0-7763-4667-A61D-B61E1FDAD3C0}"/>
  </bookViews>
  <sheets>
    <sheet name="Summary Comparison" sheetId="8" r:id="rId1"/>
    <sheet name="Budget Summary" sheetId="7" r:id="rId2"/>
    <sheet name="Forecast Summary" sheetId="4" r:id="rId3"/>
    <sheet name="Trended Forecast Pipeline" sheetId="5" r:id="rId4"/>
    <sheet name="Actual_marketing_pipeline" sheetId="1" r:id="rId5"/>
    <sheet name="Forecast_marketing_pipeline" sheetId="2" r:id="rId6"/>
    <sheet name="Budget_marketing_pipeline" sheetId="3" r:id="rId7"/>
  </sheets>
  <calcPr calcId="0"/>
</workbook>
</file>

<file path=xl/calcChain.xml><?xml version="1.0" encoding="utf-8"?>
<calcChain xmlns="http://schemas.openxmlformats.org/spreadsheetml/2006/main">
  <c r="C64" i="7" l="1"/>
  <c r="D64" i="7"/>
  <c r="E64" i="7"/>
  <c r="F64" i="7"/>
  <c r="G64" i="7"/>
  <c r="H64" i="7"/>
  <c r="Q64" i="7" s="1"/>
  <c r="I64" i="7"/>
  <c r="I75" i="7" s="1"/>
  <c r="J64" i="7"/>
  <c r="K64" i="7"/>
  <c r="L64" i="7"/>
  <c r="M64" i="7"/>
  <c r="C65" i="7"/>
  <c r="D65" i="7"/>
  <c r="E65" i="7"/>
  <c r="F65" i="7"/>
  <c r="G65" i="7"/>
  <c r="H65" i="7"/>
  <c r="Q65" i="7" s="1"/>
  <c r="I65" i="7"/>
  <c r="J65" i="7"/>
  <c r="K65" i="7"/>
  <c r="L65" i="7"/>
  <c r="M65" i="7"/>
  <c r="M75" i="7" s="1"/>
  <c r="C66" i="7"/>
  <c r="C75" i="7" s="1"/>
  <c r="D66" i="7"/>
  <c r="O66" i="7" s="1"/>
  <c r="E66" i="7"/>
  <c r="P66" i="7" s="1"/>
  <c r="F66" i="7"/>
  <c r="G66" i="7"/>
  <c r="H66" i="7"/>
  <c r="I66" i="7"/>
  <c r="J66" i="7"/>
  <c r="K66" i="7"/>
  <c r="R66" i="7" s="1"/>
  <c r="L66" i="7"/>
  <c r="M66" i="7"/>
  <c r="C67" i="7"/>
  <c r="D67" i="7"/>
  <c r="E67" i="7"/>
  <c r="P67" i="7" s="1"/>
  <c r="F67" i="7"/>
  <c r="G67" i="7"/>
  <c r="H67" i="7"/>
  <c r="I67" i="7"/>
  <c r="J67" i="7"/>
  <c r="K67" i="7"/>
  <c r="L67" i="7"/>
  <c r="M67" i="7"/>
  <c r="R67" i="7" s="1"/>
  <c r="C68" i="7"/>
  <c r="D68" i="7"/>
  <c r="E68" i="7"/>
  <c r="P68" i="7" s="1"/>
  <c r="F68" i="7"/>
  <c r="G68" i="7"/>
  <c r="H68" i="7"/>
  <c r="I68" i="7"/>
  <c r="J68" i="7"/>
  <c r="K68" i="7"/>
  <c r="L68" i="7"/>
  <c r="M68" i="7"/>
  <c r="R68" i="7" s="1"/>
  <c r="C69" i="7"/>
  <c r="D69" i="7"/>
  <c r="E69" i="7"/>
  <c r="F69" i="7"/>
  <c r="G69" i="7"/>
  <c r="H69" i="7"/>
  <c r="I69" i="7"/>
  <c r="Q69" i="7" s="1"/>
  <c r="J69" i="7"/>
  <c r="K69" i="7"/>
  <c r="R69" i="7" s="1"/>
  <c r="L69" i="7"/>
  <c r="M69" i="7"/>
  <c r="C70" i="7"/>
  <c r="D70" i="7"/>
  <c r="E70" i="7"/>
  <c r="P70" i="7" s="1"/>
  <c r="F70" i="7"/>
  <c r="G70" i="7"/>
  <c r="H70" i="7"/>
  <c r="Q70" i="7" s="1"/>
  <c r="I70" i="7"/>
  <c r="J70" i="7"/>
  <c r="K70" i="7"/>
  <c r="R70" i="7" s="1"/>
  <c r="L70" i="7"/>
  <c r="M70" i="7"/>
  <c r="C71" i="7"/>
  <c r="D71" i="7"/>
  <c r="E71" i="7"/>
  <c r="F71" i="7"/>
  <c r="G71" i="7"/>
  <c r="H71" i="7"/>
  <c r="I71" i="7"/>
  <c r="J71" i="7"/>
  <c r="K71" i="7"/>
  <c r="L71" i="7"/>
  <c r="R71" i="7" s="1"/>
  <c r="M71" i="7"/>
  <c r="C72" i="7"/>
  <c r="D72" i="7"/>
  <c r="E72" i="7"/>
  <c r="F72" i="7"/>
  <c r="G72" i="7"/>
  <c r="H72" i="7"/>
  <c r="Q72" i="7" s="1"/>
  <c r="I72" i="7"/>
  <c r="J72" i="7"/>
  <c r="K72" i="7"/>
  <c r="L72" i="7"/>
  <c r="M72" i="7"/>
  <c r="C73" i="7"/>
  <c r="D73" i="7"/>
  <c r="E73" i="7"/>
  <c r="P73" i="7" s="1"/>
  <c r="F73" i="7"/>
  <c r="G73" i="7"/>
  <c r="H73" i="7"/>
  <c r="Q73" i="7" s="1"/>
  <c r="I73" i="7"/>
  <c r="J73" i="7"/>
  <c r="K73" i="7"/>
  <c r="L73" i="7"/>
  <c r="M73" i="7"/>
  <c r="R73" i="7" s="1"/>
  <c r="C74" i="7"/>
  <c r="D74" i="7"/>
  <c r="O74" i="7" s="1"/>
  <c r="T74" i="7" s="1"/>
  <c r="E74" i="7"/>
  <c r="F74" i="7"/>
  <c r="G74" i="7"/>
  <c r="H74" i="7"/>
  <c r="I74" i="7"/>
  <c r="J74" i="7"/>
  <c r="Q74" i="7" s="1"/>
  <c r="K74" i="7"/>
  <c r="R74" i="7" s="1"/>
  <c r="L74" i="7"/>
  <c r="M74" i="7"/>
  <c r="B65" i="7"/>
  <c r="B66" i="7"/>
  <c r="B67" i="7"/>
  <c r="B68" i="7"/>
  <c r="B69" i="7"/>
  <c r="B70" i="7"/>
  <c r="B71" i="7"/>
  <c r="B72" i="7"/>
  <c r="B73" i="7"/>
  <c r="B74" i="7"/>
  <c r="B64" i="7"/>
  <c r="C49" i="7"/>
  <c r="D49" i="7"/>
  <c r="E49" i="7"/>
  <c r="F49" i="7"/>
  <c r="G49" i="7"/>
  <c r="H49" i="7"/>
  <c r="I49" i="7"/>
  <c r="J49" i="7"/>
  <c r="J60" i="7" s="1"/>
  <c r="K49" i="7"/>
  <c r="L49" i="7"/>
  <c r="M49" i="7"/>
  <c r="C50" i="7"/>
  <c r="D50" i="7"/>
  <c r="D80" i="7" s="1"/>
  <c r="E50" i="7"/>
  <c r="P50" i="7" s="1"/>
  <c r="F50" i="7"/>
  <c r="G50" i="7"/>
  <c r="H50" i="7"/>
  <c r="I50" i="7"/>
  <c r="J50" i="7"/>
  <c r="Q50" i="7" s="1"/>
  <c r="K50" i="7"/>
  <c r="R50" i="7" s="1"/>
  <c r="L50" i="7"/>
  <c r="M50" i="7"/>
  <c r="C51" i="7"/>
  <c r="C81" i="7" s="1"/>
  <c r="D51" i="7"/>
  <c r="E51" i="7"/>
  <c r="F51" i="7"/>
  <c r="G51" i="7"/>
  <c r="H51" i="7"/>
  <c r="I51" i="7"/>
  <c r="J51" i="7"/>
  <c r="K51" i="7"/>
  <c r="R51" i="7" s="1"/>
  <c r="L51" i="7"/>
  <c r="M51" i="7"/>
  <c r="C52" i="7"/>
  <c r="D52" i="7"/>
  <c r="E52" i="7"/>
  <c r="F52" i="7"/>
  <c r="F82" i="7" s="1"/>
  <c r="G52" i="7"/>
  <c r="H52" i="7"/>
  <c r="Q52" i="7" s="1"/>
  <c r="I52" i="7"/>
  <c r="I82" i="7" s="1"/>
  <c r="J52" i="7"/>
  <c r="K52" i="7"/>
  <c r="L52" i="7"/>
  <c r="M52" i="7"/>
  <c r="R52" i="7" s="1"/>
  <c r="C53" i="7"/>
  <c r="D53" i="7"/>
  <c r="E53" i="7"/>
  <c r="F53" i="7"/>
  <c r="P53" i="7" s="1"/>
  <c r="G53" i="7"/>
  <c r="H53" i="7"/>
  <c r="I53" i="7"/>
  <c r="J53" i="7"/>
  <c r="K53" i="7"/>
  <c r="L53" i="7"/>
  <c r="M53" i="7"/>
  <c r="R53" i="7" s="1"/>
  <c r="C54" i="7"/>
  <c r="C60" i="7" s="1"/>
  <c r="D54" i="7"/>
  <c r="E54" i="7"/>
  <c r="F54" i="7"/>
  <c r="G54" i="7"/>
  <c r="H54" i="7"/>
  <c r="I54" i="7"/>
  <c r="I84" i="7" s="1"/>
  <c r="J54" i="7"/>
  <c r="K54" i="7"/>
  <c r="K84" i="7" s="1"/>
  <c r="L54" i="7"/>
  <c r="M54" i="7"/>
  <c r="C55" i="7"/>
  <c r="D55" i="7"/>
  <c r="E55" i="7"/>
  <c r="P55" i="7" s="1"/>
  <c r="F55" i="7"/>
  <c r="G55" i="7"/>
  <c r="H55" i="7"/>
  <c r="Q55" i="7" s="1"/>
  <c r="I55" i="7"/>
  <c r="J55" i="7"/>
  <c r="K55" i="7"/>
  <c r="L55" i="7"/>
  <c r="M55" i="7"/>
  <c r="C56" i="7"/>
  <c r="D56" i="7"/>
  <c r="E56" i="7"/>
  <c r="P56" i="7" s="1"/>
  <c r="F56" i="7"/>
  <c r="F86" i="7" s="1"/>
  <c r="G56" i="7"/>
  <c r="H56" i="7"/>
  <c r="I56" i="7"/>
  <c r="J56" i="7"/>
  <c r="K56" i="7"/>
  <c r="R56" i="7" s="1"/>
  <c r="L56" i="7"/>
  <c r="M56" i="7"/>
  <c r="C57" i="7"/>
  <c r="D57" i="7"/>
  <c r="E57" i="7"/>
  <c r="F57" i="7"/>
  <c r="P57" i="7" s="1"/>
  <c r="G57" i="7"/>
  <c r="H57" i="7"/>
  <c r="I57" i="7"/>
  <c r="I87" i="7" s="1"/>
  <c r="J57" i="7"/>
  <c r="K57" i="7"/>
  <c r="R57" i="7" s="1"/>
  <c r="L57" i="7"/>
  <c r="M57" i="7"/>
  <c r="C58" i="7"/>
  <c r="C88" i="7" s="1"/>
  <c r="D58" i="7"/>
  <c r="E58" i="7"/>
  <c r="P58" i="7" s="1"/>
  <c r="F58" i="7"/>
  <c r="G58" i="7"/>
  <c r="H58" i="7"/>
  <c r="I58" i="7"/>
  <c r="J58" i="7"/>
  <c r="J88" i="7" s="1"/>
  <c r="K58" i="7"/>
  <c r="K88" i="7" s="1"/>
  <c r="L58" i="7"/>
  <c r="M58" i="7"/>
  <c r="C59" i="7"/>
  <c r="O59" i="7" s="1"/>
  <c r="D59" i="7"/>
  <c r="E59" i="7"/>
  <c r="F59" i="7"/>
  <c r="G59" i="7"/>
  <c r="P59" i="7" s="1"/>
  <c r="H59" i="7"/>
  <c r="I59" i="7"/>
  <c r="J59" i="7"/>
  <c r="K59" i="7"/>
  <c r="R59" i="7" s="1"/>
  <c r="L59" i="7"/>
  <c r="M59" i="7"/>
  <c r="B50" i="7"/>
  <c r="B51" i="7"/>
  <c r="B52" i="7"/>
  <c r="B53" i="7"/>
  <c r="B54" i="7"/>
  <c r="B55" i="7"/>
  <c r="B56" i="7"/>
  <c r="B57" i="7"/>
  <c r="B58" i="7"/>
  <c r="B59" i="7"/>
  <c r="B49" i="7"/>
  <c r="C34" i="7"/>
  <c r="D34" i="7"/>
  <c r="E34" i="7"/>
  <c r="F34" i="7"/>
  <c r="G34" i="7"/>
  <c r="H34" i="7"/>
  <c r="H45" i="7" s="1"/>
  <c r="I34" i="7"/>
  <c r="J34" i="7"/>
  <c r="J45" i="7" s="1"/>
  <c r="K34" i="7"/>
  <c r="R34" i="7" s="1"/>
  <c r="L34" i="7"/>
  <c r="M34" i="7"/>
  <c r="C35" i="7"/>
  <c r="O35" i="7" s="1"/>
  <c r="D35" i="7"/>
  <c r="D45" i="7" s="1"/>
  <c r="E35" i="7"/>
  <c r="F35" i="7"/>
  <c r="G35" i="7"/>
  <c r="P35" i="7" s="1"/>
  <c r="H35" i="7"/>
  <c r="I35" i="7"/>
  <c r="J35" i="7"/>
  <c r="K35" i="7"/>
  <c r="L35" i="7"/>
  <c r="M35" i="7"/>
  <c r="C36" i="7"/>
  <c r="D36" i="7"/>
  <c r="O36" i="7" s="1"/>
  <c r="E36" i="7"/>
  <c r="F36" i="7"/>
  <c r="G36" i="7"/>
  <c r="H36" i="7"/>
  <c r="Q36" i="7" s="1"/>
  <c r="I36" i="7"/>
  <c r="J36" i="7"/>
  <c r="K36" i="7"/>
  <c r="R36" i="7" s="1"/>
  <c r="L36" i="7"/>
  <c r="M36" i="7"/>
  <c r="C37" i="7"/>
  <c r="D37" i="7"/>
  <c r="E37" i="7"/>
  <c r="F37" i="7"/>
  <c r="G37" i="7"/>
  <c r="H37" i="7"/>
  <c r="Q37" i="7" s="1"/>
  <c r="I37" i="7"/>
  <c r="J37" i="7"/>
  <c r="K37" i="7"/>
  <c r="L37" i="7"/>
  <c r="M37" i="7"/>
  <c r="C38" i="7"/>
  <c r="D38" i="7"/>
  <c r="E38" i="7"/>
  <c r="P38" i="7" s="1"/>
  <c r="T38" i="7" s="1"/>
  <c r="F38" i="7"/>
  <c r="G38" i="7"/>
  <c r="H38" i="7"/>
  <c r="I38" i="7"/>
  <c r="J38" i="7"/>
  <c r="K38" i="7"/>
  <c r="R38" i="7" s="1"/>
  <c r="L38" i="7"/>
  <c r="M38" i="7"/>
  <c r="C39" i="7"/>
  <c r="O39" i="7" s="1"/>
  <c r="D39" i="7"/>
  <c r="E39" i="7"/>
  <c r="F39" i="7"/>
  <c r="P39" i="7" s="1"/>
  <c r="G39" i="7"/>
  <c r="H39" i="7"/>
  <c r="I39" i="7"/>
  <c r="J39" i="7"/>
  <c r="Q39" i="7" s="1"/>
  <c r="K39" i="7"/>
  <c r="L39" i="7"/>
  <c r="M39" i="7"/>
  <c r="C40" i="7"/>
  <c r="D40" i="7"/>
  <c r="E40" i="7"/>
  <c r="F40" i="7"/>
  <c r="G40" i="7"/>
  <c r="H40" i="7"/>
  <c r="Q40" i="7" s="1"/>
  <c r="I40" i="7"/>
  <c r="J40" i="7"/>
  <c r="K40" i="7"/>
  <c r="L40" i="7"/>
  <c r="M40" i="7"/>
  <c r="R40" i="7" s="1"/>
  <c r="C41" i="7"/>
  <c r="D41" i="7"/>
  <c r="E41" i="7"/>
  <c r="P41" i="7" s="1"/>
  <c r="F41" i="7"/>
  <c r="G41" i="7"/>
  <c r="H41" i="7"/>
  <c r="Q41" i="7" s="1"/>
  <c r="I41" i="7"/>
  <c r="J41" i="7"/>
  <c r="K41" i="7"/>
  <c r="L41" i="7"/>
  <c r="R41" i="7" s="1"/>
  <c r="M41" i="7"/>
  <c r="C42" i="7"/>
  <c r="D42" i="7"/>
  <c r="E42" i="7"/>
  <c r="F42" i="7"/>
  <c r="G42" i="7"/>
  <c r="H42" i="7"/>
  <c r="I42" i="7"/>
  <c r="J42" i="7"/>
  <c r="K42" i="7"/>
  <c r="L42" i="7"/>
  <c r="M42" i="7"/>
  <c r="C43" i="7"/>
  <c r="D43" i="7"/>
  <c r="E43" i="7"/>
  <c r="F43" i="7"/>
  <c r="P43" i="7" s="1"/>
  <c r="G43" i="7"/>
  <c r="H43" i="7"/>
  <c r="Q43" i="7" s="1"/>
  <c r="I43" i="7"/>
  <c r="J43" i="7"/>
  <c r="K43" i="7"/>
  <c r="L43" i="7"/>
  <c r="M43" i="7"/>
  <c r="C44" i="7"/>
  <c r="O44" i="7" s="1"/>
  <c r="D44" i="7"/>
  <c r="E44" i="7"/>
  <c r="P44" i="7" s="1"/>
  <c r="F44" i="7"/>
  <c r="G44" i="7"/>
  <c r="H44" i="7"/>
  <c r="I44" i="7"/>
  <c r="J44" i="7"/>
  <c r="K44" i="7"/>
  <c r="R44" i="7" s="1"/>
  <c r="L44" i="7"/>
  <c r="M44" i="7"/>
  <c r="B35" i="7"/>
  <c r="B36" i="7"/>
  <c r="B37" i="7"/>
  <c r="O37" i="7" s="1"/>
  <c r="B38" i="7"/>
  <c r="B39" i="7"/>
  <c r="B40" i="7"/>
  <c r="B41" i="7"/>
  <c r="B42" i="7"/>
  <c r="O42" i="7" s="1"/>
  <c r="B43" i="7"/>
  <c r="B44" i="7"/>
  <c r="B34" i="7"/>
  <c r="B20" i="7"/>
  <c r="C20" i="7"/>
  <c r="D20" i="7"/>
  <c r="E20" i="7"/>
  <c r="F20" i="7"/>
  <c r="P20" i="7" s="1"/>
  <c r="G20" i="7"/>
  <c r="H20" i="7"/>
  <c r="Q20" i="7" s="1"/>
  <c r="I20" i="7"/>
  <c r="J20" i="7"/>
  <c r="K20" i="7"/>
  <c r="L20" i="7"/>
  <c r="M20" i="7"/>
  <c r="B21" i="7"/>
  <c r="C21" i="7"/>
  <c r="D21" i="7"/>
  <c r="O21" i="7" s="1"/>
  <c r="E21" i="7"/>
  <c r="F21" i="7"/>
  <c r="G21" i="7"/>
  <c r="H21" i="7"/>
  <c r="I21" i="7"/>
  <c r="J21" i="7"/>
  <c r="K21" i="7"/>
  <c r="L21" i="7"/>
  <c r="M21" i="7"/>
  <c r="B22" i="7"/>
  <c r="C22" i="7"/>
  <c r="D22" i="7"/>
  <c r="E22" i="7"/>
  <c r="P22" i="7" s="1"/>
  <c r="F22" i="7"/>
  <c r="G22" i="7"/>
  <c r="H22" i="7"/>
  <c r="Q22" i="7" s="1"/>
  <c r="I22" i="7"/>
  <c r="J22" i="7"/>
  <c r="K22" i="7"/>
  <c r="L22" i="7"/>
  <c r="M22" i="7"/>
  <c r="B23" i="7"/>
  <c r="O23" i="7" s="1"/>
  <c r="C23" i="7"/>
  <c r="D23" i="7"/>
  <c r="E23" i="7"/>
  <c r="F23" i="7"/>
  <c r="G23" i="7"/>
  <c r="H23" i="7"/>
  <c r="I23" i="7"/>
  <c r="J23" i="7"/>
  <c r="K23" i="7"/>
  <c r="L23" i="7"/>
  <c r="R23" i="7" s="1"/>
  <c r="M23" i="7"/>
  <c r="B24" i="7"/>
  <c r="C24" i="7"/>
  <c r="D24" i="7"/>
  <c r="E24" i="7"/>
  <c r="P24" i="7" s="1"/>
  <c r="F24" i="7"/>
  <c r="G24" i="7"/>
  <c r="H24" i="7"/>
  <c r="I24" i="7"/>
  <c r="J24" i="7"/>
  <c r="K24" i="7"/>
  <c r="L24" i="7"/>
  <c r="M24" i="7"/>
  <c r="R24" i="7" s="1"/>
  <c r="B25" i="7"/>
  <c r="C25" i="7"/>
  <c r="D25" i="7"/>
  <c r="E25" i="7"/>
  <c r="P25" i="7" s="1"/>
  <c r="F25" i="7"/>
  <c r="G25" i="7"/>
  <c r="H25" i="7"/>
  <c r="I25" i="7"/>
  <c r="J25" i="7"/>
  <c r="K25" i="7"/>
  <c r="L25" i="7"/>
  <c r="M25" i="7"/>
  <c r="B26" i="7"/>
  <c r="C26" i="7"/>
  <c r="D26" i="7"/>
  <c r="E26" i="7"/>
  <c r="P26" i="7" s="1"/>
  <c r="F26" i="7"/>
  <c r="G26" i="7"/>
  <c r="H26" i="7"/>
  <c r="Q26" i="7" s="1"/>
  <c r="I26" i="7"/>
  <c r="J26" i="7"/>
  <c r="K26" i="7"/>
  <c r="L26" i="7"/>
  <c r="M26" i="7"/>
  <c r="B27" i="7"/>
  <c r="O27" i="7" s="1"/>
  <c r="C27" i="7"/>
  <c r="D27" i="7"/>
  <c r="E27" i="7"/>
  <c r="P27" i="7" s="1"/>
  <c r="F27" i="7"/>
  <c r="G27" i="7"/>
  <c r="H27" i="7"/>
  <c r="I27" i="7"/>
  <c r="J27" i="7"/>
  <c r="K27" i="7"/>
  <c r="L27" i="7"/>
  <c r="M27" i="7"/>
  <c r="B28" i="7"/>
  <c r="C28" i="7"/>
  <c r="D28" i="7"/>
  <c r="E28" i="7"/>
  <c r="F28" i="7"/>
  <c r="G28" i="7"/>
  <c r="P28" i="7" s="1"/>
  <c r="H28" i="7"/>
  <c r="Q28" i="7" s="1"/>
  <c r="I28" i="7"/>
  <c r="J28" i="7"/>
  <c r="K28" i="7"/>
  <c r="L28" i="7"/>
  <c r="M28" i="7"/>
  <c r="R28" i="7" s="1"/>
  <c r="B29" i="7"/>
  <c r="O29" i="7" s="1"/>
  <c r="C29" i="7"/>
  <c r="D29" i="7"/>
  <c r="E29" i="7"/>
  <c r="P29" i="7" s="1"/>
  <c r="F29" i="7"/>
  <c r="G29" i="7"/>
  <c r="H29" i="7"/>
  <c r="I29" i="7"/>
  <c r="J29" i="7"/>
  <c r="K29" i="7"/>
  <c r="L29" i="7"/>
  <c r="M29" i="7"/>
  <c r="C19" i="7"/>
  <c r="D19" i="7"/>
  <c r="E19" i="7"/>
  <c r="P19" i="7" s="1"/>
  <c r="F19" i="7"/>
  <c r="G19" i="7"/>
  <c r="H19" i="7"/>
  <c r="I19" i="7"/>
  <c r="J19" i="7"/>
  <c r="K19" i="7"/>
  <c r="L19" i="7"/>
  <c r="M19" i="7"/>
  <c r="B19" i="7"/>
  <c r="C4" i="7"/>
  <c r="D4" i="7"/>
  <c r="E4" i="7"/>
  <c r="F4" i="7"/>
  <c r="P4" i="7" s="1"/>
  <c r="G4" i="7"/>
  <c r="H4" i="7"/>
  <c r="I4" i="7"/>
  <c r="J4" i="7"/>
  <c r="K4" i="7"/>
  <c r="L4" i="7"/>
  <c r="M4" i="7"/>
  <c r="C5" i="7"/>
  <c r="D5" i="7"/>
  <c r="E5" i="7"/>
  <c r="F5" i="7"/>
  <c r="G5" i="7"/>
  <c r="H5" i="7"/>
  <c r="I5" i="7"/>
  <c r="J5" i="7"/>
  <c r="J80" i="7" s="1"/>
  <c r="K5" i="7"/>
  <c r="L5" i="7"/>
  <c r="M5" i="7"/>
  <c r="C6" i="7"/>
  <c r="D6" i="7"/>
  <c r="E6" i="7"/>
  <c r="F6" i="7"/>
  <c r="G6" i="7"/>
  <c r="G81" i="7" s="1"/>
  <c r="H6" i="7"/>
  <c r="Q6" i="7" s="1"/>
  <c r="I6" i="7"/>
  <c r="J6" i="7"/>
  <c r="K6" i="7"/>
  <c r="L6" i="7"/>
  <c r="M6" i="7"/>
  <c r="C7" i="7"/>
  <c r="D7" i="7"/>
  <c r="D82" i="7" s="1"/>
  <c r="E7" i="7"/>
  <c r="F7" i="7"/>
  <c r="G7" i="7"/>
  <c r="H7" i="7"/>
  <c r="Q7" i="7" s="1"/>
  <c r="I7" i="7"/>
  <c r="J7" i="7"/>
  <c r="K7" i="7"/>
  <c r="L7" i="7"/>
  <c r="M7" i="7"/>
  <c r="R7" i="7" s="1"/>
  <c r="C8" i="7"/>
  <c r="D8" i="7"/>
  <c r="E8" i="7"/>
  <c r="P8" i="7" s="1"/>
  <c r="F8" i="7"/>
  <c r="G8" i="7"/>
  <c r="H8" i="7"/>
  <c r="I8" i="7"/>
  <c r="J8" i="7"/>
  <c r="K8" i="7"/>
  <c r="R8" i="7" s="1"/>
  <c r="L8" i="7"/>
  <c r="M8" i="7"/>
  <c r="C9" i="7"/>
  <c r="D9" i="7"/>
  <c r="E9" i="7"/>
  <c r="F9" i="7"/>
  <c r="F84" i="7" s="1"/>
  <c r="G9" i="7"/>
  <c r="G84" i="7" s="1"/>
  <c r="H9" i="7"/>
  <c r="I9" i="7"/>
  <c r="J9" i="7"/>
  <c r="K9" i="7"/>
  <c r="R9" i="7" s="1"/>
  <c r="L9" i="7"/>
  <c r="M9" i="7"/>
  <c r="C10" i="7"/>
  <c r="D10" i="7"/>
  <c r="D85" i="7" s="1"/>
  <c r="E10" i="7"/>
  <c r="F10" i="7"/>
  <c r="G10" i="7"/>
  <c r="H10" i="7"/>
  <c r="I10" i="7"/>
  <c r="J10" i="7"/>
  <c r="K10" i="7"/>
  <c r="K85" i="7" s="1"/>
  <c r="L10" i="7"/>
  <c r="M10" i="7"/>
  <c r="C11" i="7"/>
  <c r="O11" i="7" s="1"/>
  <c r="D11" i="7"/>
  <c r="E11" i="7"/>
  <c r="F11" i="7"/>
  <c r="G11" i="7"/>
  <c r="H11" i="7"/>
  <c r="I11" i="7"/>
  <c r="J11" i="7"/>
  <c r="K11" i="7"/>
  <c r="L11" i="7"/>
  <c r="M11" i="7"/>
  <c r="C12" i="7"/>
  <c r="D12" i="7"/>
  <c r="E12" i="7"/>
  <c r="E87" i="7" s="1"/>
  <c r="F12" i="7"/>
  <c r="F87" i="7" s="1"/>
  <c r="G12" i="7"/>
  <c r="H12" i="7"/>
  <c r="I12" i="7"/>
  <c r="J12" i="7"/>
  <c r="Q12" i="7" s="1"/>
  <c r="K12" i="7"/>
  <c r="L12" i="7"/>
  <c r="M12" i="7"/>
  <c r="C13" i="7"/>
  <c r="D13" i="7"/>
  <c r="E13" i="7"/>
  <c r="F13" i="7"/>
  <c r="G13" i="7"/>
  <c r="H13" i="7"/>
  <c r="I13" i="7"/>
  <c r="J13" i="7"/>
  <c r="Q13" i="7" s="1"/>
  <c r="K13" i="7"/>
  <c r="L13" i="7"/>
  <c r="M13" i="7"/>
  <c r="C14" i="7"/>
  <c r="D14" i="7"/>
  <c r="E14" i="7"/>
  <c r="F14" i="7"/>
  <c r="G14" i="7"/>
  <c r="H14" i="7"/>
  <c r="I14" i="7"/>
  <c r="J14" i="7"/>
  <c r="K14" i="7"/>
  <c r="L14" i="7"/>
  <c r="M14" i="7"/>
  <c r="B5" i="7"/>
  <c r="B6" i="7"/>
  <c r="B7" i="7"/>
  <c r="B8" i="7"/>
  <c r="B9" i="7"/>
  <c r="B84" i="7" s="1"/>
  <c r="B10" i="7"/>
  <c r="O10" i="7" s="1"/>
  <c r="B11" i="7"/>
  <c r="B12" i="7"/>
  <c r="B13" i="7"/>
  <c r="B14" i="7"/>
  <c r="B4" i="7"/>
  <c r="T90" i="7"/>
  <c r="R90" i="7"/>
  <c r="Q90" i="7"/>
  <c r="P90" i="7"/>
  <c r="O90" i="7"/>
  <c r="M90" i="7"/>
  <c r="L90" i="7"/>
  <c r="K90" i="7"/>
  <c r="J90" i="7"/>
  <c r="I90" i="7"/>
  <c r="H90" i="7"/>
  <c r="G90" i="7"/>
  <c r="F90" i="7"/>
  <c r="E90" i="7"/>
  <c r="D90" i="7"/>
  <c r="C90" i="7"/>
  <c r="B90" i="7"/>
  <c r="I88" i="7"/>
  <c r="C85" i="7"/>
  <c r="D84" i="7"/>
  <c r="E82" i="7"/>
  <c r="C82" i="7"/>
  <c r="F81" i="7"/>
  <c r="P74" i="7"/>
  <c r="O73" i="7"/>
  <c r="P72" i="7"/>
  <c r="Q71" i="7"/>
  <c r="P71" i="7"/>
  <c r="Q68" i="7"/>
  <c r="O68" i="7"/>
  <c r="R65" i="7"/>
  <c r="O65" i="7"/>
  <c r="Q59" i="7"/>
  <c r="G89" i="7"/>
  <c r="F89" i="7"/>
  <c r="R58" i="7"/>
  <c r="Q58" i="7"/>
  <c r="H88" i="7"/>
  <c r="J86" i="7"/>
  <c r="C86" i="7"/>
  <c r="J85" i="7"/>
  <c r="L84" i="7"/>
  <c r="M82" i="7"/>
  <c r="O52" i="7"/>
  <c r="Q51" i="7"/>
  <c r="P51" i="7"/>
  <c r="K79" i="7"/>
  <c r="P49" i="7"/>
  <c r="G45" i="7"/>
  <c r="Q44" i="7"/>
  <c r="R42" i="7"/>
  <c r="P42" i="7"/>
  <c r="O40" i="7"/>
  <c r="P40" i="7"/>
  <c r="R39" i="7"/>
  <c r="Q38" i="7"/>
  <c r="O38" i="7"/>
  <c r="P37" i="7"/>
  <c r="R37" i="7"/>
  <c r="P36" i="7"/>
  <c r="Q35" i="7"/>
  <c r="R29" i="7"/>
  <c r="O28" i="7"/>
  <c r="Q27" i="7"/>
  <c r="R27" i="7"/>
  <c r="R26" i="7"/>
  <c r="O26" i="7"/>
  <c r="Q25" i="7"/>
  <c r="R25" i="7"/>
  <c r="O24" i="7"/>
  <c r="Q23" i="7"/>
  <c r="P23" i="7"/>
  <c r="R22" i="7"/>
  <c r="O22" i="7"/>
  <c r="Q21" i="7"/>
  <c r="P21" i="7"/>
  <c r="R20" i="7"/>
  <c r="O20" i="7"/>
  <c r="R19" i="7"/>
  <c r="M89" i="7"/>
  <c r="L88" i="7"/>
  <c r="M87" i="7"/>
  <c r="L87" i="7"/>
  <c r="G87" i="7"/>
  <c r="D87" i="7"/>
  <c r="H86" i="7"/>
  <c r="G86" i="7"/>
  <c r="I85" i="7"/>
  <c r="H84" i="7"/>
  <c r="Q8" i="7"/>
  <c r="K83" i="7"/>
  <c r="I83" i="7"/>
  <c r="H83" i="7"/>
  <c r="G83" i="7"/>
  <c r="L82" i="7"/>
  <c r="K82" i="7"/>
  <c r="J82" i="7"/>
  <c r="M81" i="7"/>
  <c r="H81" i="7"/>
  <c r="I80" i="7"/>
  <c r="Q5" i="7"/>
  <c r="L79" i="7"/>
  <c r="D79" i="7"/>
  <c r="B65" i="4"/>
  <c r="O65" i="4" s="1"/>
  <c r="B66" i="4"/>
  <c r="B67" i="4"/>
  <c r="B68" i="4"/>
  <c r="O68" i="4" s="1"/>
  <c r="B69" i="4"/>
  <c r="B70" i="4"/>
  <c r="O70" i="4" s="1"/>
  <c r="B71" i="4"/>
  <c r="O71" i="4" s="1"/>
  <c r="B72" i="4"/>
  <c r="O72" i="4" s="1"/>
  <c r="B73" i="4"/>
  <c r="B74" i="4"/>
  <c r="B64" i="4"/>
  <c r="O64" i="4" s="1"/>
  <c r="M74" i="4"/>
  <c r="L74" i="4"/>
  <c r="R74" i="4" s="1"/>
  <c r="K74" i="4"/>
  <c r="J74" i="4"/>
  <c r="I74" i="4"/>
  <c r="H74" i="4"/>
  <c r="Q74" i="4" s="1"/>
  <c r="G74" i="4"/>
  <c r="F74" i="4"/>
  <c r="E74" i="4"/>
  <c r="P74" i="4" s="1"/>
  <c r="D74" i="4"/>
  <c r="O74" i="4" s="1"/>
  <c r="C74" i="4"/>
  <c r="O73" i="4"/>
  <c r="M73" i="4"/>
  <c r="R73" i="4" s="1"/>
  <c r="L73" i="4"/>
  <c r="K73" i="4"/>
  <c r="J73" i="4"/>
  <c r="I73" i="4"/>
  <c r="H73" i="4"/>
  <c r="Q73" i="4" s="1"/>
  <c r="G73" i="4"/>
  <c r="F73" i="4"/>
  <c r="E73" i="4"/>
  <c r="P73" i="4" s="1"/>
  <c r="D73" i="4"/>
  <c r="C73" i="4"/>
  <c r="R72" i="4"/>
  <c r="Q72" i="4"/>
  <c r="M72" i="4"/>
  <c r="L72" i="4"/>
  <c r="K72" i="4"/>
  <c r="J72" i="4"/>
  <c r="I72" i="4"/>
  <c r="H72" i="4"/>
  <c r="G72" i="4"/>
  <c r="F72" i="4"/>
  <c r="P72" i="4" s="1"/>
  <c r="E72" i="4"/>
  <c r="D72" i="4"/>
  <c r="C72" i="4"/>
  <c r="R71" i="4"/>
  <c r="M71" i="4"/>
  <c r="L71" i="4"/>
  <c r="K71" i="4"/>
  <c r="J71" i="4"/>
  <c r="I71" i="4"/>
  <c r="H71" i="4"/>
  <c r="Q71" i="4" s="1"/>
  <c r="G71" i="4"/>
  <c r="P71" i="4" s="1"/>
  <c r="F71" i="4"/>
  <c r="E71" i="4"/>
  <c r="D71" i="4"/>
  <c r="C71" i="4"/>
  <c r="R70" i="4"/>
  <c r="M70" i="4"/>
  <c r="L70" i="4"/>
  <c r="K70" i="4"/>
  <c r="J70" i="4"/>
  <c r="I70" i="4"/>
  <c r="H70" i="4"/>
  <c r="Q70" i="4" s="1"/>
  <c r="G70" i="4"/>
  <c r="F70" i="4"/>
  <c r="E70" i="4"/>
  <c r="P70" i="4" s="1"/>
  <c r="D70" i="4"/>
  <c r="C70" i="4"/>
  <c r="R69" i="4"/>
  <c r="M69" i="4"/>
  <c r="L69" i="4"/>
  <c r="K69" i="4"/>
  <c r="J69" i="4"/>
  <c r="I69" i="4"/>
  <c r="H69" i="4"/>
  <c r="Q69" i="4" s="1"/>
  <c r="G69" i="4"/>
  <c r="F69" i="4"/>
  <c r="E69" i="4"/>
  <c r="P69" i="4" s="1"/>
  <c r="D69" i="4"/>
  <c r="C69" i="4"/>
  <c r="O69" i="4"/>
  <c r="T69" i="4" s="1"/>
  <c r="M68" i="4"/>
  <c r="L68" i="4"/>
  <c r="K68" i="4"/>
  <c r="R68" i="4" s="1"/>
  <c r="J68" i="4"/>
  <c r="I68" i="4"/>
  <c r="H68" i="4"/>
  <c r="Q68" i="4" s="1"/>
  <c r="G68" i="4"/>
  <c r="F68" i="4"/>
  <c r="E68" i="4"/>
  <c r="P68" i="4" s="1"/>
  <c r="D68" i="4"/>
  <c r="C68" i="4"/>
  <c r="M67" i="4"/>
  <c r="L67" i="4"/>
  <c r="K67" i="4"/>
  <c r="R67" i="4" s="1"/>
  <c r="J67" i="4"/>
  <c r="I67" i="4"/>
  <c r="H67" i="4"/>
  <c r="Q67" i="4" s="1"/>
  <c r="G67" i="4"/>
  <c r="F67" i="4"/>
  <c r="E67" i="4"/>
  <c r="P67" i="4" s="1"/>
  <c r="D67" i="4"/>
  <c r="C67" i="4"/>
  <c r="O67" i="4" s="1"/>
  <c r="T67" i="4" s="1"/>
  <c r="M66" i="4"/>
  <c r="L66" i="4"/>
  <c r="R66" i="4" s="1"/>
  <c r="K66" i="4"/>
  <c r="J66" i="4"/>
  <c r="I66" i="4"/>
  <c r="H66" i="4"/>
  <c r="Q66" i="4" s="1"/>
  <c r="G66" i="4"/>
  <c r="F66" i="4"/>
  <c r="E66" i="4"/>
  <c r="P66" i="4" s="1"/>
  <c r="D66" i="4"/>
  <c r="O66" i="4" s="1"/>
  <c r="C66" i="4"/>
  <c r="M65" i="4"/>
  <c r="M75" i="4" s="1"/>
  <c r="L65" i="4"/>
  <c r="K65" i="4"/>
  <c r="J65" i="4"/>
  <c r="I65" i="4"/>
  <c r="H65" i="4"/>
  <c r="Q65" i="4" s="1"/>
  <c r="G65" i="4"/>
  <c r="F65" i="4"/>
  <c r="E65" i="4"/>
  <c r="E75" i="4" s="1"/>
  <c r="P75" i="4" s="1"/>
  <c r="D65" i="4"/>
  <c r="C65" i="4"/>
  <c r="R64" i="4"/>
  <c r="M64" i="4"/>
  <c r="L64" i="4"/>
  <c r="K64" i="4"/>
  <c r="J64" i="4"/>
  <c r="J75" i="4" s="1"/>
  <c r="I64" i="4"/>
  <c r="I75" i="4" s="1"/>
  <c r="H64" i="4"/>
  <c r="H75" i="4" s="1"/>
  <c r="Q75" i="4" s="1"/>
  <c r="G64" i="4"/>
  <c r="G75" i="4" s="1"/>
  <c r="F64" i="4"/>
  <c r="F75" i="4" s="1"/>
  <c r="E64" i="4"/>
  <c r="D64" i="4"/>
  <c r="C64" i="4"/>
  <c r="T90" i="4"/>
  <c r="R90" i="4"/>
  <c r="Q90" i="4"/>
  <c r="P90" i="4"/>
  <c r="O90" i="4"/>
  <c r="P53" i="4"/>
  <c r="O53" i="4"/>
  <c r="O42" i="4"/>
  <c r="R39" i="4"/>
  <c r="P23" i="4"/>
  <c r="P14" i="4"/>
  <c r="B14" i="4"/>
  <c r="C14" i="4"/>
  <c r="C89" i="4" s="1"/>
  <c r="D14" i="4"/>
  <c r="E14" i="4"/>
  <c r="F14" i="4"/>
  <c r="G14" i="4"/>
  <c r="H14" i="4"/>
  <c r="I14" i="4"/>
  <c r="I89" i="4" s="1"/>
  <c r="J14" i="4"/>
  <c r="J89" i="4" s="1"/>
  <c r="K14" i="4"/>
  <c r="L14" i="4"/>
  <c r="M14" i="4"/>
  <c r="C90" i="4"/>
  <c r="D90" i="4"/>
  <c r="E90" i="4"/>
  <c r="F90" i="4"/>
  <c r="G90" i="4"/>
  <c r="H90" i="4"/>
  <c r="I90" i="4"/>
  <c r="J90" i="4"/>
  <c r="K90" i="4"/>
  <c r="L90" i="4"/>
  <c r="M90" i="4"/>
  <c r="B90" i="4"/>
  <c r="C49" i="4"/>
  <c r="D49" i="4"/>
  <c r="E49" i="4"/>
  <c r="F49" i="4"/>
  <c r="G49" i="4"/>
  <c r="H49" i="4"/>
  <c r="I49" i="4"/>
  <c r="J49" i="4"/>
  <c r="K49" i="4"/>
  <c r="L49" i="4"/>
  <c r="M49" i="4"/>
  <c r="C50" i="4"/>
  <c r="D50" i="4"/>
  <c r="E50" i="4"/>
  <c r="F50" i="4"/>
  <c r="G50" i="4"/>
  <c r="H50" i="4"/>
  <c r="I50" i="4"/>
  <c r="J50" i="4"/>
  <c r="K50" i="4"/>
  <c r="R50" i="4" s="1"/>
  <c r="L50" i="4"/>
  <c r="M50" i="4"/>
  <c r="C51" i="4"/>
  <c r="D51" i="4"/>
  <c r="E51" i="4"/>
  <c r="F51" i="4"/>
  <c r="G51" i="4"/>
  <c r="H51" i="4"/>
  <c r="I51" i="4"/>
  <c r="J51" i="4"/>
  <c r="K51" i="4"/>
  <c r="L51" i="4"/>
  <c r="M51" i="4"/>
  <c r="C52" i="4"/>
  <c r="D52" i="4"/>
  <c r="E52" i="4"/>
  <c r="F52" i="4"/>
  <c r="G52" i="4"/>
  <c r="H52" i="4"/>
  <c r="I52" i="4"/>
  <c r="J52" i="4"/>
  <c r="K52" i="4"/>
  <c r="L52" i="4"/>
  <c r="R52" i="4" s="1"/>
  <c r="M52" i="4"/>
  <c r="C53" i="4"/>
  <c r="D53" i="4"/>
  <c r="E53" i="4"/>
  <c r="F53" i="4"/>
  <c r="G53" i="4"/>
  <c r="H53" i="4"/>
  <c r="Q53" i="4" s="1"/>
  <c r="I53" i="4"/>
  <c r="J53" i="4"/>
  <c r="K53" i="4"/>
  <c r="L53" i="4"/>
  <c r="M53" i="4"/>
  <c r="C54" i="4"/>
  <c r="D54" i="4"/>
  <c r="E54" i="4"/>
  <c r="F54" i="4"/>
  <c r="G54" i="4"/>
  <c r="H54" i="4"/>
  <c r="I54" i="4"/>
  <c r="J54" i="4"/>
  <c r="K54" i="4"/>
  <c r="L54" i="4"/>
  <c r="M54" i="4"/>
  <c r="C55" i="4"/>
  <c r="D55" i="4"/>
  <c r="E55" i="4"/>
  <c r="P55" i="4" s="1"/>
  <c r="F55" i="4"/>
  <c r="G55" i="4"/>
  <c r="H55" i="4"/>
  <c r="I55" i="4"/>
  <c r="J55" i="4"/>
  <c r="K55" i="4"/>
  <c r="R55" i="4" s="1"/>
  <c r="L55" i="4"/>
  <c r="M55" i="4"/>
  <c r="C56" i="4"/>
  <c r="D56" i="4"/>
  <c r="E56" i="4"/>
  <c r="F56" i="4"/>
  <c r="G56" i="4"/>
  <c r="H56" i="4"/>
  <c r="Q56" i="4" s="1"/>
  <c r="I56" i="4"/>
  <c r="J56" i="4"/>
  <c r="K56" i="4"/>
  <c r="L56" i="4"/>
  <c r="M56" i="4"/>
  <c r="C57" i="4"/>
  <c r="D57" i="4"/>
  <c r="E57" i="4"/>
  <c r="F57" i="4"/>
  <c r="G57" i="4"/>
  <c r="H57" i="4"/>
  <c r="I57" i="4"/>
  <c r="J57" i="4"/>
  <c r="K57" i="4"/>
  <c r="L57" i="4"/>
  <c r="M57" i="4"/>
  <c r="C58" i="4"/>
  <c r="D58" i="4"/>
  <c r="E58" i="4"/>
  <c r="F58" i="4"/>
  <c r="G58" i="4"/>
  <c r="H58" i="4"/>
  <c r="I58" i="4"/>
  <c r="J58" i="4"/>
  <c r="K58" i="4"/>
  <c r="L58" i="4"/>
  <c r="R58" i="4" s="1"/>
  <c r="M58" i="4"/>
  <c r="C59" i="4"/>
  <c r="D59" i="4"/>
  <c r="E59" i="4"/>
  <c r="F59" i="4"/>
  <c r="G59" i="4"/>
  <c r="H59" i="4"/>
  <c r="I59" i="4"/>
  <c r="J59" i="4"/>
  <c r="K59" i="4"/>
  <c r="L59" i="4"/>
  <c r="M59" i="4"/>
  <c r="B50" i="4"/>
  <c r="B51" i="4"/>
  <c r="B52" i="4"/>
  <c r="B53" i="4"/>
  <c r="B54" i="4"/>
  <c r="B55" i="4"/>
  <c r="B56" i="4"/>
  <c r="O56" i="4" s="1"/>
  <c r="B57" i="4"/>
  <c r="B58" i="4"/>
  <c r="B59" i="4"/>
  <c r="B49" i="4"/>
  <c r="C34" i="4"/>
  <c r="D34" i="4"/>
  <c r="E34" i="4"/>
  <c r="P34" i="4" s="1"/>
  <c r="F34" i="4"/>
  <c r="G34" i="4"/>
  <c r="H34" i="4"/>
  <c r="Q34" i="4" s="1"/>
  <c r="I34" i="4"/>
  <c r="J34" i="4"/>
  <c r="K34" i="4"/>
  <c r="L34" i="4"/>
  <c r="M34" i="4"/>
  <c r="C35" i="4"/>
  <c r="D35" i="4"/>
  <c r="E35" i="4"/>
  <c r="F35" i="4"/>
  <c r="G35" i="4"/>
  <c r="H35" i="4"/>
  <c r="I35" i="4"/>
  <c r="J35" i="4"/>
  <c r="K35" i="4"/>
  <c r="L35" i="4"/>
  <c r="M35" i="4"/>
  <c r="C36" i="4"/>
  <c r="D36" i="4"/>
  <c r="E36" i="4"/>
  <c r="P36" i="4" s="1"/>
  <c r="F36" i="4"/>
  <c r="G36" i="4"/>
  <c r="H36" i="4"/>
  <c r="I36" i="4"/>
  <c r="J36" i="4"/>
  <c r="K36" i="4"/>
  <c r="R36" i="4" s="1"/>
  <c r="L36" i="4"/>
  <c r="M36" i="4"/>
  <c r="C37" i="4"/>
  <c r="D37" i="4"/>
  <c r="E37" i="4"/>
  <c r="F37" i="4"/>
  <c r="G37" i="4"/>
  <c r="H37" i="4"/>
  <c r="Q37" i="4" s="1"/>
  <c r="I37" i="4"/>
  <c r="J37" i="4"/>
  <c r="K37" i="4"/>
  <c r="L37" i="4"/>
  <c r="M37" i="4"/>
  <c r="C38" i="4"/>
  <c r="D38" i="4"/>
  <c r="E38" i="4"/>
  <c r="F38" i="4"/>
  <c r="G38" i="4"/>
  <c r="H38" i="4"/>
  <c r="I38" i="4"/>
  <c r="J38" i="4"/>
  <c r="K38" i="4"/>
  <c r="L38" i="4"/>
  <c r="M38" i="4"/>
  <c r="C39" i="4"/>
  <c r="D39" i="4"/>
  <c r="E39" i="4"/>
  <c r="F39" i="4"/>
  <c r="G39" i="4"/>
  <c r="H39" i="4"/>
  <c r="I39" i="4"/>
  <c r="J39" i="4"/>
  <c r="K39" i="4"/>
  <c r="L39" i="4"/>
  <c r="M39" i="4"/>
  <c r="C40" i="4"/>
  <c r="D40" i="4"/>
  <c r="E40" i="4"/>
  <c r="F40" i="4"/>
  <c r="G40" i="4"/>
  <c r="H40" i="4"/>
  <c r="I40" i="4"/>
  <c r="J40" i="4"/>
  <c r="K40" i="4"/>
  <c r="L40" i="4"/>
  <c r="M40" i="4"/>
  <c r="C41" i="4"/>
  <c r="D41" i="4"/>
  <c r="E41" i="4"/>
  <c r="F41" i="4"/>
  <c r="G41" i="4"/>
  <c r="H41" i="4"/>
  <c r="I41" i="4"/>
  <c r="J41" i="4"/>
  <c r="K41" i="4"/>
  <c r="L41" i="4"/>
  <c r="R41" i="4" s="1"/>
  <c r="M41" i="4"/>
  <c r="C42" i="4"/>
  <c r="D42" i="4"/>
  <c r="E42" i="4"/>
  <c r="P42" i="4" s="1"/>
  <c r="F42" i="4"/>
  <c r="G42" i="4"/>
  <c r="H42" i="4"/>
  <c r="Q42" i="4" s="1"/>
  <c r="I42" i="4"/>
  <c r="J42" i="4"/>
  <c r="K42" i="4"/>
  <c r="L42" i="4"/>
  <c r="M42" i="4"/>
  <c r="C43" i="4"/>
  <c r="D43" i="4"/>
  <c r="E43" i="4"/>
  <c r="F43" i="4"/>
  <c r="G43" i="4"/>
  <c r="H43" i="4"/>
  <c r="I43" i="4"/>
  <c r="J43" i="4"/>
  <c r="K43" i="4"/>
  <c r="L43" i="4"/>
  <c r="M43" i="4"/>
  <c r="C44" i="4"/>
  <c r="D44" i="4"/>
  <c r="E44" i="4"/>
  <c r="P44" i="4" s="1"/>
  <c r="F44" i="4"/>
  <c r="G44" i="4"/>
  <c r="H44" i="4"/>
  <c r="I44" i="4"/>
  <c r="J44" i="4"/>
  <c r="K44" i="4"/>
  <c r="R44" i="4" s="1"/>
  <c r="L44" i="4"/>
  <c r="M44" i="4"/>
  <c r="B35" i="4"/>
  <c r="B36" i="4"/>
  <c r="B37" i="4"/>
  <c r="O37" i="4" s="1"/>
  <c r="B38" i="4"/>
  <c r="B39" i="4"/>
  <c r="B40" i="4"/>
  <c r="B41" i="4"/>
  <c r="B42" i="4"/>
  <c r="B43" i="4"/>
  <c r="B44" i="4"/>
  <c r="B34" i="4"/>
  <c r="O34" i="4" s="1"/>
  <c r="C4" i="4"/>
  <c r="C79" i="4" s="1"/>
  <c r="D4" i="4"/>
  <c r="D79" i="4" s="1"/>
  <c r="E4" i="4"/>
  <c r="E79" i="4" s="1"/>
  <c r="F4" i="4"/>
  <c r="F79" i="4" s="1"/>
  <c r="G4" i="4"/>
  <c r="G79" i="4" s="1"/>
  <c r="H4" i="4"/>
  <c r="H79" i="4" s="1"/>
  <c r="I4" i="4"/>
  <c r="I79" i="4" s="1"/>
  <c r="J4" i="4"/>
  <c r="J79" i="4" s="1"/>
  <c r="K4" i="4"/>
  <c r="L4" i="4"/>
  <c r="L79" i="4" s="1"/>
  <c r="M4" i="4"/>
  <c r="M79" i="4" s="1"/>
  <c r="C5" i="4"/>
  <c r="C80" i="4" s="1"/>
  <c r="D5" i="4"/>
  <c r="D80" i="4" s="1"/>
  <c r="E5" i="4"/>
  <c r="E80" i="4" s="1"/>
  <c r="F5" i="4"/>
  <c r="F80" i="4" s="1"/>
  <c r="G5" i="4"/>
  <c r="P5" i="4" s="1"/>
  <c r="H5" i="4"/>
  <c r="I5" i="4"/>
  <c r="I80" i="4" s="1"/>
  <c r="J5" i="4"/>
  <c r="J80" i="4" s="1"/>
  <c r="K5" i="4"/>
  <c r="L5" i="4"/>
  <c r="L80" i="4" s="1"/>
  <c r="M5" i="4"/>
  <c r="M80" i="4" s="1"/>
  <c r="C6" i="4"/>
  <c r="C81" i="4" s="1"/>
  <c r="D6" i="4"/>
  <c r="D81" i="4" s="1"/>
  <c r="E6" i="4"/>
  <c r="E81" i="4" s="1"/>
  <c r="F6" i="4"/>
  <c r="F81" i="4" s="1"/>
  <c r="G6" i="4"/>
  <c r="G81" i="4" s="1"/>
  <c r="H6" i="4"/>
  <c r="H81" i="4" s="1"/>
  <c r="I6" i="4"/>
  <c r="I81" i="4" s="1"/>
  <c r="J6" i="4"/>
  <c r="J81" i="4" s="1"/>
  <c r="K6" i="4"/>
  <c r="K81" i="4" s="1"/>
  <c r="L6" i="4"/>
  <c r="L81" i="4" s="1"/>
  <c r="M6" i="4"/>
  <c r="M81" i="4" s="1"/>
  <c r="C7" i="4"/>
  <c r="C82" i="4" s="1"/>
  <c r="D7" i="4"/>
  <c r="D82" i="4" s="1"/>
  <c r="E7" i="4"/>
  <c r="E82" i="4" s="1"/>
  <c r="F7" i="4"/>
  <c r="F82" i="4" s="1"/>
  <c r="G7" i="4"/>
  <c r="G82" i="4" s="1"/>
  <c r="H7" i="4"/>
  <c r="I7" i="4"/>
  <c r="I82" i="4" s="1"/>
  <c r="J7" i="4"/>
  <c r="J82" i="4" s="1"/>
  <c r="K7" i="4"/>
  <c r="K82" i="4" s="1"/>
  <c r="L7" i="4"/>
  <c r="L82" i="4" s="1"/>
  <c r="M7" i="4"/>
  <c r="M82" i="4" s="1"/>
  <c r="C8" i="4"/>
  <c r="C83" i="4" s="1"/>
  <c r="D8" i="4"/>
  <c r="D83" i="4" s="1"/>
  <c r="E8" i="4"/>
  <c r="E83" i="4" s="1"/>
  <c r="F8" i="4"/>
  <c r="F83" i="4" s="1"/>
  <c r="G8" i="4"/>
  <c r="G83" i="4" s="1"/>
  <c r="H8" i="4"/>
  <c r="H83" i="4" s="1"/>
  <c r="I8" i="4"/>
  <c r="I83" i="4" s="1"/>
  <c r="J8" i="4"/>
  <c r="J83" i="4" s="1"/>
  <c r="K8" i="4"/>
  <c r="K83" i="4" s="1"/>
  <c r="L8" i="4"/>
  <c r="L83" i="4" s="1"/>
  <c r="M8" i="4"/>
  <c r="M83" i="4" s="1"/>
  <c r="C9" i="4"/>
  <c r="C84" i="4" s="1"/>
  <c r="D9" i="4"/>
  <c r="D84" i="4" s="1"/>
  <c r="E9" i="4"/>
  <c r="E84" i="4" s="1"/>
  <c r="F9" i="4"/>
  <c r="F84" i="4" s="1"/>
  <c r="G9" i="4"/>
  <c r="G84" i="4" s="1"/>
  <c r="H9" i="4"/>
  <c r="I9" i="4"/>
  <c r="I84" i="4" s="1"/>
  <c r="J9" i="4"/>
  <c r="J84" i="4" s="1"/>
  <c r="K9" i="4"/>
  <c r="L9" i="4"/>
  <c r="L84" i="4" s="1"/>
  <c r="M9" i="4"/>
  <c r="M84" i="4" s="1"/>
  <c r="C10" i="4"/>
  <c r="C85" i="4" s="1"/>
  <c r="D10" i="4"/>
  <c r="D85" i="4" s="1"/>
  <c r="E10" i="4"/>
  <c r="E85" i="4" s="1"/>
  <c r="F10" i="4"/>
  <c r="F85" i="4" s="1"/>
  <c r="G10" i="4"/>
  <c r="G85" i="4" s="1"/>
  <c r="H10" i="4"/>
  <c r="H85" i="4" s="1"/>
  <c r="I10" i="4"/>
  <c r="I85" i="4" s="1"/>
  <c r="J10" i="4"/>
  <c r="J85" i="4" s="1"/>
  <c r="K10" i="4"/>
  <c r="K85" i="4" s="1"/>
  <c r="L10" i="4"/>
  <c r="L85" i="4" s="1"/>
  <c r="M10" i="4"/>
  <c r="M85" i="4" s="1"/>
  <c r="C11" i="4"/>
  <c r="C86" i="4" s="1"/>
  <c r="D11" i="4"/>
  <c r="D86" i="4" s="1"/>
  <c r="E11" i="4"/>
  <c r="F11" i="4"/>
  <c r="F86" i="4" s="1"/>
  <c r="G11" i="4"/>
  <c r="G86" i="4" s="1"/>
  <c r="H11" i="4"/>
  <c r="I11" i="4"/>
  <c r="I86" i="4" s="1"/>
  <c r="J11" i="4"/>
  <c r="J86" i="4" s="1"/>
  <c r="K11" i="4"/>
  <c r="K86" i="4" s="1"/>
  <c r="L11" i="4"/>
  <c r="L86" i="4" s="1"/>
  <c r="M11" i="4"/>
  <c r="M86" i="4" s="1"/>
  <c r="C12" i="4"/>
  <c r="C87" i="4" s="1"/>
  <c r="D12" i="4"/>
  <c r="D87" i="4" s="1"/>
  <c r="E12" i="4"/>
  <c r="E87" i="4" s="1"/>
  <c r="F12" i="4"/>
  <c r="F87" i="4" s="1"/>
  <c r="G12" i="4"/>
  <c r="G87" i="4" s="1"/>
  <c r="H12" i="4"/>
  <c r="H87" i="4" s="1"/>
  <c r="I12" i="4"/>
  <c r="I87" i="4" s="1"/>
  <c r="J12" i="4"/>
  <c r="K12" i="4"/>
  <c r="K87" i="4" s="1"/>
  <c r="L12" i="4"/>
  <c r="L87" i="4" s="1"/>
  <c r="M12" i="4"/>
  <c r="M87" i="4" s="1"/>
  <c r="C13" i="4"/>
  <c r="C88" i="4" s="1"/>
  <c r="D13" i="4"/>
  <c r="D88" i="4" s="1"/>
  <c r="E13" i="4"/>
  <c r="E88" i="4" s="1"/>
  <c r="F13" i="4"/>
  <c r="F88" i="4" s="1"/>
  <c r="G13" i="4"/>
  <c r="G88" i="4" s="1"/>
  <c r="H13" i="4"/>
  <c r="I13" i="4"/>
  <c r="I88" i="4" s="1"/>
  <c r="J13" i="4"/>
  <c r="J88" i="4" s="1"/>
  <c r="K13" i="4"/>
  <c r="K88" i="4" s="1"/>
  <c r="L13" i="4"/>
  <c r="L88" i="4" s="1"/>
  <c r="M13" i="4"/>
  <c r="M88" i="4" s="1"/>
  <c r="B5" i="4"/>
  <c r="O5" i="4" s="1"/>
  <c r="B6" i="4"/>
  <c r="B7" i="4"/>
  <c r="O7" i="4" s="1"/>
  <c r="B8" i="4"/>
  <c r="O8" i="4" s="1"/>
  <c r="B9" i="4"/>
  <c r="O9" i="4" s="1"/>
  <c r="B10" i="4"/>
  <c r="O10" i="4" s="1"/>
  <c r="B11" i="4"/>
  <c r="B12" i="4"/>
  <c r="B13" i="4"/>
  <c r="B4" i="4"/>
  <c r="B20" i="4"/>
  <c r="C20" i="4"/>
  <c r="D20" i="4"/>
  <c r="E20" i="4"/>
  <c r="F20" i="4"/>
  <c r="G20" i="4"/>
  <c r="H20" i="4"/>
  <c r="I20" i="4"/>
  <c r="J20" i="4"/>
  <c r="K20" i="4"/>
  <c r="R20" i="4" s="1"/>
  <c r="L20" i="4"/>
  <c r="M20" i="4"/>
  <c r="B21" i="4"/>
  <c r="C21" i="4"/>
  <c r="D21" i="4"/>
  <c r="E21" i="4"/>
  <c r="F21" i="4"/>
  <c r="G21" i="4"/>
  <c r="H21" i="4"/>
  <c r="I21" i="4"/>
  <c r="J21" i="4"/>
  <c r="K21" i="4"/>
  <c r="L21" i="4"/>
  <c r="M21" i="4"/>
  <c r="B22" i="4"/>
  <c r="C22" i="4"/>
  <c r="D22" i="4"/>
  <c r="E22" i="4"/>
  <c r="F22" i="4"/>
  <c r="G22" i="4"/>
  <c r="H22" i="4"/>
  <c r="I22" i="4"/>
  <c r="J22" i="4"/>
  <c r="K22" i="4"/>
  <c r="L22" i="4"/>
  <c r="M22" i="4"/>
  <c r="B23" i="4"/>
  <c r="O23" i="4" s="1"/>
  <c r="C23" i="4"/>
  <c r="D23" i="4"/>
  <c r="E23" i="4"/>
  <c r="F23" i="4"/>
  <c r="G23" i="4"/>
  <c r="H23" i="4"/>
  <c r="Q23" i="4" s="1"/>
  <c r="I23" i="4"/>
  <c r="J23" i="4"/>
  <c r="K23" i="4"/>
  <c r="L23" i="4"/>
  <c r="M23" i="4"/>
  <c r="B24" i="4"/>
  <c r="C24" i="4"/>
  <c r="D24" i="4"/>
  <c r="E24" i="4"/>
  <c r="F24" i="4"/>
  <c r="G24" i="4"/>
  <c r="H24" i="4"/>
  <c r="I24" i="4"/>
  <c r="J24" i="4"/>
  <c r="K24" i="4"/>
  <c r="L24" i="4"/>
  <c r="M24" i="4"/>
  <c r="B25" i="4"/>
  <c r="C25" i="4"/>
  <c r="D25" i="4"/>
  <c r="E25" i="4"/>
  <c r="F25" i="4"/>
  <c r="G25" i="4"/>
  <c r="H25" i="4"/>
  <c r="Q25" i="4" s="1"/>
  <c r="I25" i="4"/>
  <c r="J25" i="4"/>
  <c r="K25" i="4"/>
  <c r="L25" i="4"/>
  <c r="M25" i="4"/>
  <c r="B26" i="4"/>
  <c r="C26" i="4"/>
  <c r="D26" i="4"/>
  <c r="E26" i="4"/>
  <c r="F26" i="4"/>
  <c r="G26" i="4"/>
  <c r="H26" i="4"/>
  <c r="I26" i="4"/>
  <c r="J26" i="4"/>
  <c r="K26" i="4"/>
  <c r="R26" i="4" s="1"/>
  <c r="L26" i="4"/>
  <c r="M26" i="4"/>
  <c r="B27" i="4"/>
  <c r="C27" i="4"/>
  <c r="D27" i="4"/>
  <c r="E27" i="4"/>
  <c r="F27" i="4"/>
  <c r="G27" i="4"/>
  <c r="H27" i="4"/>
  <c r="Q27" i="4" s="1"/>
  <c r="I27" i="4"/>
  <c r="J27" i="4"/>
  <c r="K27" i="4"/>
  <c r="L27" i="4"/>
  <c r="M27" i="4"/>
  <c r="B28" i="4"/>
  <c r="C28" i="4"/>
  <c r="D28" i="4"/>
  <c r="E28" i="4"/>
  <c r="F28" i="4"/>
  <c r="G28" i="4"/>
  <c r="H28" i="4"/>
  <c r="I28" i="4"/>
  <c r="J28" i="4"/>
  <c r="K28" i="4"/>
  <c r="R28" i="4" s="1"/>
  <c r="L28" i="4"/>
  <c r="M28" i="4"/>
  <c r="B29" i="4"/>
  <c r="C29" i="4"/>
  <c r="D29" i="4"/>
  <c r="E29" i="4"/>
  <c r="F29" i="4"/>
  <c r="G29" i="4"/>
  <c r="H29" i="4"/>
  <c r="I29" i="4"/>
  <c r="J29" i="4"/>
  <c r="K29" i="4"/>
  <c r="L29" i="4"/>
  <c r="M29" i="4"/>
  <c r="C19" i="4"/>
  <c r="D19" i="4"/>
  <c r="E19" i="4"/>
  <c r="F19" i="4"/>
  <c r="G19" i="4"/>
  <c r="H19" i="4"/>
  <c r="I19" i="4"/>
  <c r="J19" i="4"/>
  <c r="K19" i="4"/>
  <c r="L19" i="4"/>
  <c r="M19" i="4"/>
  <c r="B19" i="4"/>
  <c r="O19" i="4" s="1"/>
  <c r="O64" i="7" l="1"/>
  <c r="O69" i="7"/>
  <c r="O72" i="7"/>
  <c r="O70" i="7"/>
  <c r="T70" i="7" s="1"/>
  <c r="O71" i="7"/>
  <c r="T71" i="7" s="1"/>
  <c r="R82" i="7"/>
  <c r="Q88" i="7"/>
  <c r="O54" i="7"/>
  <c r="O53" i="7"/>
  <c r="P52" i="7"/>
  <c r="M86" i="7"/>
  <c r="C84" i="7"/>
  <c r="D81" i="7"/>
  <c r="G80" i="7"/>
  <c r="C89" i="7"/>
  <c r="F88" i="7"/>
  <c r="G85" i="7"/>
  <c r="J84" i="7"/>
  <c r="M83" i="7"/>
  <c r="K81" i="7"/>
  <c r="F80" i="7"/>
  <c r="J89" i="7"/>
  <c r="M88" i="7"/>
  <c r="F85" i="7"/>
  <c r="J81" i="7"/>
  <c r="M80" i="7"/>
  <c r="O58" i="7"/>
  <c r="O50" i="7"/>
  <c r="Q54" i="7"/>
  <c r="D88" i="7"/>
  <c r="C83" i="7"/>
  <c r="L80" i="7"/>
  <c r="G79" i="7"/>
  <c r="B80" i="7"/>
  <c r="Q81" i="7"/>
  <c r="T58" i="7"/>
  <c r="Q80" i="7"/>
  <c r="B87" i="7"/>
  <c r="T59" i="7"/>
  <c r="P83" i="7"/>
  <c r="Q82" i="7"/>
  <c r="P79" i="7"/>
  <c r="O41" i="7"/>
  <c r="T37" i="7"/>
  <c r="T39" i="7"/>
  <c r="T36" i="7"/>
  <c r="T28" i="7"/>
  <c r="T23" i="7"/>
  <c r="T26" i="7"/>
  <c r="T27" i="7"/>
  <c r="E30" i="7"/>
  <c r="P30" i="7" s="1"/>
  <c r="H30" i="7"/>
  <c r="H92" i="7" s="1"/>
  <c r="C30" i="7"/>
  <c r="P5" i="7"/>
  <c r="P80" i="7" s="1"/>
  <c r="O9" i="7"/>
  <c r="H87" i="7"/>
  <c r="L85" i="7"/>
  <c r="G88" i="7"/>
  <c r="D83" i="7"/>
  <c r="L83" i="7"/>
  <c r="H89" i="7"/>
  <c r="I86" i="7"/>
  <c r="B85" i="7"/>
  <c r="O12" i="7"/>
  <c r="M85" i="7"/>
  <c r="R10" i="7"/>
  <c r="T68" i="7"/>
  <c r="C80" i="7"/>
  <c r="O5" i="7"/>
  <c r="I89" i="7"/>
  <c r="Q14" i="7"/>
  <c r="Q89" i="7" s="1"/>
  <c r="B60" i="7"/>
  <c r="O49" i="7"/>
  <c r="O56" i="7"/>
  <c r="B86" i="7"/>
  <c r="T65" i="7"/>
  <c r="O84" i="7"/>
  <c r="C93" i="7"/>
  <c r="F75" i="7"/>
  <c r="G75" i="7"/>
  <c r="L75" i="7"/>
  <c r="L81" i="7"/>
  <c r="R6" i="7"/>
  <c r="R81" i="7" s="1"/>
  <c r="C15" i="7"/>
  <c r="R35" i="7"/>
  <c r="T35" i="7" s="1"/>
  <c r="K45" i="7"/>
  <c r="I45" i="7"/>
  <c r="T41" i="7"/>
  <c r="O43" i="7"/>
  <c r="R43" i="7"/>
  <c r="C45" i="7"/>
  <c r="O57" i="7"/>
  <c r="Q57" i="7"/>
  <c r="Q87" i="7" s="1"/>
  <c r="J87" i="7"/>
  <c r="K60" i="7"/>
  <c r="P69" i="7"/>
  <c r="T69" i="7" s="1"/>
  <c r="P10" i="7"/>
  <c r="P85" i="7" s="1"/>
  <c r="E85" i="7"/>
  <c r="I60" i="7"/>
  <c r="I79" i="7"/>
  <c r="T50" i="7"/>
  <c r="K80" i="7"/>
  <c r="R5" i="7"/>
  <c r="R80" i="7" s="1"/>
  <c r="K15" i="7"/>
  <c r="B45" i="7"/>
  <c r="O34" i="7"/>
  <c r="H75" i="7"/>
  <c r="Q66" i="7"/>
  <c r="B89" i="7"/>
  <c r="O14" i="7"/>
  <c r="P54" i="7"/>
  <c r="E84" i="7"/>
  <c r="M84" i="7"/>
  <c r="R54" i="7"/>
  <c r="R84" i="7" s="1"/>
  <c r="P9" i="7"/>
  <c r="E75" i="7"/>
  <c r="P64" i="7"/>
  <c r="B15" i="7"/>
  <c r="O4" i="7"/>
  <c r="B79" i="7"/>
  <c r="J15" i="7"/>
  <c r="J79" i="7"/>
  <c r="P12" i="7"/>
  <c r="P87" i="7" s="1"/>
  <c r="L89" i="7"/>
  <c r="E86" i="7"/>
  <c r="P11" i="7"/>
  <c r="P86" i="7" s="1"/>
  <c r="F30" i="7"/>
  <c r="T20" i="7"/>
  <c r="D75" i="7"/>
  <c r="H82" i="7"/>
  <c r="J83" i="7"/>
  <c r="D15" i="7"/>
  <c r="G30" i="7"/>
  <c r="G92" i="7" s="1"/>
  <c r="Q19" i="7"/>
  <c r="T22" i="7"/>
  <c r="D92" i="7"/>
  <c r="F60" i="7"/>
  <c r="M60" i="7"/>
  <c r="G82" i="7"/>
  <c r="P7" i="7"/>
  <c r="P82" i="7" s="1"/>
  <c r="Q9" i="7"/>
  <c r="K89" i="7"/>
  <c r="R14" i="7"/>
  <c r="R89" i="7" s="1"/>
  <c r="G15" i="7"/>
  <c r="I15" i="7"/>
  <c r="E45" i="7"/>
  <c r="T44" i="7"/>
  <c r="T52" i="7"/>
  <c r="C79" i="7"/>
  <c r="F83" i="7"/>
  <c r="K86" i="7"/>
  <c r="I81" i="7"/>
  <c r="R12" i="7"/>
  <c r="R87" i="7" s="1"/>
  <c r="K87" i="7"/>
  <c r="K30" i="7"/>
  <c r="P34" i="7"/>
  <c r="T40" i="7"/>
  <c r="R49" i="7"/>
  <c r="G60" i="7"/>
  <c r="R11" i="7"/>
  <c r="R86" i="7" s="1"/>
  <c r="L15" i="7"/>
  <c r="L30" i="7"/>
  <c r="R21" i="7"/>
  <c r="T21" i="7" s="1"/>
  <c r="R83" i="7"/>
  <c r="I30" i="7"/>
  <c r="Q45" i="7"/>
  <c r="T66" i="7"/>
  <c r="B75" i="7"/>
  <c r="O75" i="7" s="1"/>
  <c r="E79" i="7"/>
  <c r="E15" i="7"/>
  <c r="M79" i="7"/>
  <c r="M15" i="7"/>
  <c r="H85" i="7"/>
  <c r="Q10" i="7"/>
  <c r="Q85" i="7" s="1"/>
  <c r="Q11" i="7"/>
  <c r="Q86" i="7" s="1"/>
  <c r="B88" i="7"/>
  <c r="O13" i="7"/>
  <c r="D89" i="7"/>
  <c r="H15" i="7"/>
  <c r="B30" i="7"/>
  <c r="J30" i="7"/>
  <c r="J92" i="7" s="1"/>
  <c r="L45" i="7"/>
  <c r="T73" i="7"/>
  <c r="E80" i="7"/>
  <c r="E83" i="7"/>
  <c r="F15" i="7"/>
  <c r="F79" i="7"/>
  <c r="O8" i="7"/>
  <c r="B83" i="7"/>
  <c r="E89" i="7"/>
  <c r="P14" i="7"/>
  <c r="P89" i="7" s="1"/>
  <c r="M45" i="7"/>
  <c r="B82" i="7"/>
  <c r="O7" i="7"/>
  <c r="C87" i="7"/>
  <c r="J75" i="7"/>
  <c r="K75" i="7"/>
  <c r="R75" i="7" s="1"/>
  <c r="H80" i="7"/>
  <c r="Q4" i="7"/>
  <c r="B81" i="7"/>
  <c r="O6" i="7"/>
  <c r="P13" i="7"/>
  <c r="P88" i="7" s="1"/>
  <c r="E88" i="7"/>
  <c r="D30" i="7"/>
  <c r="Q42" i="7"/>
  <c r="T42" i="7" s="1"/>
  <c r="E60" i="7"/>
  <c r="O67" i="7"/>
  <c r="R13" i="7"/>
  <c r="R88" i="7" s="1"/>
  <c r="O19" i="7"/>
  <c r="M30" i="7"/>
  <c r="Q24" i="7"/>
  <c r="T24" i="7" s="1"/>
  <c r="O25" i="7"/>
  <c r="T25" i="7" s="1"/>
  <c r="Q29" i="7"/>
  <c r="T29" i="7" s="1"/>
  <c r="Q34" i="7"/>
  <c r="H79" i="7"/>
  <c r="H60" i="7"/>
  <c r="Q49" i="7"/>
  <c r="D60" i="7"/>
  <c r="O51" i="7"/>
  <c r="T51" i="7" s="1"/>
  <c r="L60" i="7"/>
  <c r="Q56" i="7"/>
  <c r="O55" i="7"/>
  <c r="R64" i="7"/>
  <c r="Q67" i="7"/>
  <c r="R4" i="7"/>
  <c r="E81" i="7"/>
  <c r="P6" i="7"/>
  <c r="P81" i="7" s="1"/>
  <c r="D86" i="7"/>
  <c r="L86" i="7"/>
  <c r="F45" i="7"/>
  <c r="Q53" i="7"/>
  <c r="R55" i="7"/>
  <c r="P65" i="7"/>
  <c r="R72" i="7"/>
  <c r="B75" i="4"/>
  <c r="O75" i="4" s="1"/>
  <c r="T71" i="4"/>
  <c r="T72" i="4"/>
  <c r="T68" i="4"/>
  <c r="T70" i="4"/>
  <c r="T74" i="4"/>
  <c r="T73" i="4"/>
  <c r="T34" i="4"/>
  <c r="T66" i="4"/>
  <c r="K75" i="4"/>
  <c r="P43" i="4"/>
  <c r="P54" i="4"/>
  <c r="T53" i="4"/>
  <c r="P64" i="4"/>
  <c r="T64" i="4" s="1"/>
  <c r="Q39" i="4"/>
  <c r="P51" i="4"/>
  <c r="P9" i="4"/>
  <c r="D75" i="4"/>
  <c r="P40" i="4"/>
  <c r="Q58" i="4"/>
  <c r="Q50" i="4"/>
  <c r="Q64" i="4"/>
  <c r="P65" i="4"/>
  <c r="O40" i="4"/>
  <c r="T42" i="4"/>
  <c r="O29" i="4"/>
  <c r="Q28" i="4"/>
  <c r="R25" i="4"/>
  <c r="O21" i="4"/>
  <c r="Q20" i="4"/>
  <c r="O13" i="4"/>
  <c r="O44" i="4"/>
  <c r="T44" i="4" s="1"/>
  <c r="O36" i="4"/>
  <c r="R42" i="4"/>
  <c r="R37" i="4"/>
  <c r="R34" i="4"/>
  <c r="O55" i="4"/>
  <c r="T55" i="4" s="1"/>
  <c r="R56" i="4"/>
  <c r="R53" i="4"/>
  <c r="P12" i="4"/>
  <c r="R65" i="4"/>
  <c r="L75" i="4"/>
  <c r="Q36" i="4"/>
  <c r="O57" i="4"/>
  <c r="R49" i="4"/>
  <c r="P27" i="4"/>
  <c r="B81" i="4"/>
  <c r="Q43" i="4"/>
  <c r="Q40" i="4"/>
  <c r="Q38" i="4"/>
  <c r="Q35" i="4"/>
  <c r="Q59" i="4"/>
  <c r="Q57" i="4"/>
  <c r="Q54" i="4"/>
  <c r="Q51" i="4"/>
  <c r="Q49" i="4"/>
  <c r="R10" i="4"/>
  <c r="R85" i="4" s="1"/>
  <c r="C75" i="4"/>
  <c r="Q8" i="4"/>
  <c r="Q83" i="4" s="1"/>
  <c r="R57" i="4"/>
  <c r="B89" i="4"/>
  <c r="P29" i="4"/>
  <c r="P21" i="4"/>
  <c r="R7" i="4"/>
  <c r="G30" i="4"/>
  <c r="P38" i="4"/>
  <c r="P57" i="4"/>
  <c r="P49" i="4"/>
  <c r="P10" i="4"/>
  <c r="P85" i="4" s="1"/>
  <c r="R22" i="4"/>
  <c r="O38" i="4"/>
  <c r="R38" i="4"/>
  <c r="P59" i="4"/>
  <c r="Q55" i="4"/>
  <c r="O49" i="4"/>
  <c r="P25" i="4"/>
  <c r="Q44" i="4"/>
  <c r="O59" i="4"/>
  <c r="T59" i="4" s="1"/>
  <c r="O51" i="4"/>
  <c r="T51" i="4" s="1"/>
  <c r="Q29" i="4"/>
  <c r="T29" i="4" s="1"/>
  <c r="Q21" i="4"/>
  <c r="P19" i="4"/>
  <c r="R24" i="4"/>
  <c r="O41" i="4"/>
  <c r="O52" i="4"/>
  <c r="O82" i="4" s="1"/>
  <c r="K89" i="4"/>
  <c r="R14" i="4"/>
  <c r="H80" i="4"/>
  <c r="Q5" i="4"/>
  <c r="Q80" i="4" s="1"/>
  <c r="L45" i="4"/>
  <c r="Q10" i="4"/>
  <c r="Q85" i="4" s="1"/>
  <c r="E86" i="4"/>
  <c r="P11" i="4"/>
  <c r="R43" i="4"/>
  <c r="D45" i="4"/>
  <c r="K84" i="4"/>
  <c r="R9" i="4"/>
  <c r="P6" i="4"/>
  <c r="P81" i="4" s="1"/>
  <c r="Q24" i="4"/>
  <c r="R40" i="4"/>
  <c r="R59" i="4"/>
  <c r="R51" i="4"/>
  <c r="O6" i="4"/>
  <c r="Q19" i="4"/>
  <c r="T19" i="4" s="1"/>
  <c r="R27" i="4"/>
  <c r="R21" i="4"/>
  <c r="T21" i="4" s="1"/>
  <c r="O27" i="4"/>
  <c r="R82" i="4"/>
  <c r="H88" i="4"/>
  <c r="Q13" i="4"/>
  <c r="K79" i="4"/>
  <c r="R4" i="4"/>
  <c r="G45" i="4"/>
  <c r="G92" i="4" s="1"/>
  <c r="B79" i="4"/>
  <c r="O4" i="4"/>
  <c r="J87" i="4"/>
  <c r="Q12" i="4"/>
  <c r="Q87" i="4" s="1"/>
  <c r="B45" i="4"/>
  <c r="R35" i="4"/>
  <c r="T56" i="4"/>
  <c r="R54" i="4"/>
  <c r="Q26" i="4"/>
  <c r="Q22" i="4"/>
  <c r="T36" i="4"/>
  <c r="Q41" i="4"/>
  <c r="Q52" i="4"/>
  <c r="R29" i="4"/>
  <c r="R23" i="4"/>
  <c r="T23" i="4" s="1"/>
  <c r="O12" i="4"/>
  <c r="P89" i="4"/>
  <c r="O25" i="4"/>
  <c r="R12" i="4"/>
  <c r="R87" i="4" s="1"/>
  <c r="P8" i="4"/>
  <c r="P56" i="4"/>
  <c r="O83" i="4"/>
  <c r="P87" i="4"/>
  <c r="O35" i="4"/>
  <c r="O54" i="4"/>
  <c r="P58" i="4"/>
  <c r="P26" i="4"/>
  <c r="I30" i="4"/>
  <c r="I92" i="4" s="1"/>
  <c r="B85" i="4"/>
  <c r="P37" i="4"/>
  <c r="T37" i="4" s="1"/>
  <c r="Q14" i="4"/>
  <c r="Q89" i="4" s="1"/>
  <c r="P50" i="4"/>
  <c r="P80" i="4" s="1"/>
  <c r="B30" i="4"/>
  <c r="P20" i="4"/>
  <c r="Q4" i="4"/>
  <c r="Q79" i="4" s="1"/>
  <c r="O14" i="4"/>
  <c r="R11" i="4"/>
  <c r="R86" i="4" s="1"/>
  <c r="E30" i="4"/>
  <c r="H30" i="4"/>
  <c r="Q30" i="4" s="1"/>
  <c r="K80" i="4"/>
  <c r="R5" i="4"/>
  <c r="R80" i="4" s="1"/>
  <c r="O39" i="4"/>
  <c r="J45" i="4"/>
  <c r="O58" i="4"/>
  <c r="P52" i="4"/>
  <c r="O50" i="4"/>
  <c r="P4" i="4"/>
  <c r="P79" i="4" s="1"/>
  <c r="R13" i="4"/>
  <c r="R88" i="4" s="1"/>
  <c r="R6" i="4"/>
  <c r="F45" i="4"/>
  <c r="H82" i="4"/>
  <c r="Q7" i="4"/>
  <c r="B86" i="4"/>
  <c r="O43" i="4"/>
  <c r="T43" i="4" s="1"/>
  <c r="P39" i="4"/>
  <c r="P7" i="4"/>
  <c r="F30" i="4"/>
  <c r="P28" i="4"/>
  <c r="P24" i="4"/>
  <c r="P22" i="4"/>
  <c r="H84" i="4"/>
  <c r="Q9" i="4"/>
  <c r="Q84" i="4" s="1"/>
  <c r="M30" i="4"/>
  <c r="M92" i="4" s="1"/>
  <c r="B84" i="4"/>
  <c r="P41" i="4"/>
  <c r="L30" i="4"/>
  <c r="D30" i="4"/>
  <c r="D92" i="4" s="1"/>
  <c r="O28" i="4"/>
  <c r="O26" i="4"/>
  <c r="O24" i="4"/>
  <c r="O22" i="4"/>
  <c r="T22" i="4" s="1"/>
  <c r="O20" i="4"/>
  <c r="B83" i="4"/>
  <c r="H86" i="4"/>
  <c r="Q11" i="4"/>
  <c r="Q86" i="4" s="1"/>
  <c r="I45" i="4"/>
  <c r="M89" i="4"/>
  <c r="E89" i="4"/>
  <c r="P13" i="4"/>
  <c r="O11" i="4"/>
  <c r="R8" i="4"/>
  <c r="R83" i="4" s="1"/>
  <c r="Q6" i="4"/>
  <c r="Q81" i="4" s="1"/>
  <c r="R19" i="4"/>
  <c r="K30" i="4"/>
  <c r="C30" i="4"/>
  <c r="J30" i="4"/>
  <c r="B82" i="4"/>
  <c r="K45" i="4"/>
  <c r="C45" i="4"/>
  <c r="M45" i="4"/>
  <c r="E45" i="4"/>
  <c r="H45" i="4"/>
  <c r="F89" i="4"/>
  <c r="L89" i="4"/>
  <c r="D89" i="4"/>
  <c r="P35" i="4"/>
  <c r="C60" i="4"/>
  <c r="C93" i="4" s="1"/>
  <c r="G15" i="4"/>
  <c r="J60" i="4"/>
  <c r="I60" i="4"/>
  <c r="I15" i="4"/>
  <c r="H60" i="4"/>
  <c r="B15" i="4"/>
  <c r="J15" i="4"/>
  <c r="L60" i="4"/>
  <c r="L93" i="4" s="1"/>
  <c r="D60" i="4"/>
  <c r="G60" i="4"/>
  <c r="H89" i="4"/>
  <c r="C15" i="4"/>
  <c r="K15" i="4"/>
  <c r="B60" i="4"/>
  <c r="F60" i="4"/>
  <c r="G89" i="4"/>
  <c r="D15" i="4"/>
  <c r="L15" i="4"/>
  <c r="F15" i="4"/>
  <c r="K60" i="4"/>
  <c r="H15" i="4"/>
  <c r="B88" i="4"/>
  <c r="B80" i="4"/>
  <c r="B87" i="4"/>
  <c r="M60" i="4"/>
  <c r="E60" i="4"/>
  <c r="E15" i="4"/>
  <c r="P15" i="4" s="1"/>
  <c r="M15" i="4"/>
  <c r="G80" i="4"/>
  <c r="T67" i="7" l="1"/>
  <c r="T72" i="7"/>
  <c r="T64" i="7"/>
  <c r="T53" i="7"/>
  <c r="Q79" i="7"/>
  <c r="T54" i="7"/>
  <c r="Q84" i="7"/>
  <c r="T55" i="7"/>
  <c r="L93" i="7"/>
  <c r="L92" i="7"/>
  <c r="G93" i="7"/>
  <c r="Q30" i="7"/>
  <c r="M93" i="7"/>
  <c r="F92" i="7"/>
  <c r="F93" i="7"/>
  <c r="J93" i="7"/>
  <c r="I93" i="7"/>
  <c r="C92" i="7"/>
  <c r="T19" i="7"/>
  <c r="O15" i="7"/>
  <c r="P60" i="7"/>
  <c r="P93" i="7" s="1"/>
  <c r="E93" i="7"/>
  <c r="T34" i="7"/>
  <c r="P75" i="7"/>
  <c r="Q92" i="7"/>
  <c r="Q83" i="7"/>
  <c r="T10" i="7"/>
  <c r="T85" i="7" s="1"/>
  <c r="T11" i="7"/>
  <c r="D93" i="7"/>
  <c r="T7" i="7"/>
  <c r="T82" i="7" s="1"/>
  <c r="O82" i="7"/>
  <c r="Q15" i="7"/>
  <c r="T12" i="7"/>
  <c r="R15" i="7"/>
  <c r="B93" i="7"/>
  <c r="O60" i="7"/>
  <c r="R85" i="7"/>
  <c r="T57" i="7"/>
  <c r="O45" i="7"/>
  <c r="B92" i="7"/>
  <c r="O80" i="7"/>
  <c r="T5" i="7"/>
  <c r="T80" i="7" s="1"/>
  <c r="O83" i="7"/>
  <c r="T8" i="7"/>
  <c r="T83" i="7" s="1"/>
  <c r="T56" i="7"/>
  <c r="O30" i="7"/>
  <c r="O85" i="7"/>
  <c r="T49" i="7"/>
  <c r="R79" i="7"/>
  <c r="O81" i="7"/>
  <c r="T6" i="7"/>
  <c r="T81" i="7" s="1"/>
  <c r="R30" i="7"/>
  <c r="O87" i="7"/>
  <c r="R60" i="7"/>
  <c r="K93" i="7"/>
  <c r="I92" i="7"/>
  <c r="T14" i="7"/>
  <c r="T89" i="7" s="1"/>
  <c r="O89" i="7"/>
  <c r="T43" i="7"/>
  <c r="O86" i="7"/>
  <c r="P15" i="7"/>
  <c r="H93" i="7"/>
  <c r="Q60" i="7"/>
  <c r="Q93" i="7" s="1"/>
  <c r="M92" i="7"/>
  <c r="O88" i="7"/>
  <c r="T13" i="7"/>
  <c r="T88" i="7" s="1"/>
  <c r="P45" i="7"/>
  <c r="P92" i="7" s="1"/>
  <c r="E92" i="7"/>
  <c r="T4" i="7"/>
  <c r="O79" i="7"/>
  <c r="P84" i="7"/>
  <c r="Q75" i="7"/>
  <c r="K92" i="7"/>
  <c r="R45" i="7"/>
  <c r="T9" i="7"/>
  <c r="T84" i="7" s="1"/>
  <c r="T65" i="4"/>
  <c r="O85" i="4"/>
  <c r="R79" i="4"/>
  <c r="T57" i="4"/>
  <c r="P84" i="4"/>
  <c r="O15" i="4"/>
  <c r="C92" i="4"/>
  <c r="T41" i="4"/>
  <c r="R81" i="4"/>
  <c r="O30" i="4"/>
  <c r="T52" i="4"/>
  <c r="T49" i="4"/>
  <c r="R15" i="4"/>
  <c r="R45" i="4"/>
  <c r="T20" i="4"/>
  <c r="T54" i="4"/>
  <c r="T25" i="4"/>
  <c r="Q88" i="4"/>
  <c r="L92" i="4"/>
  <c r="R75" i="4"/>
  <c r="T75" i="4" s="1"/>
  <c r="R84" i="4"/>
  <c r="I93" i="4"/>
  <c r="G93" i="4"/>
  <c r="T40" i="4"/>
  <c r="R89" i="4"/>
  <c r="T38" i="4"/>
  <c r="D93" i="4"/>
  <c r="Q45" i="4"/>
  <c r="T28" i="4"/>
  <c r="Q82" i="4"/>
  <c r="O88" i="4"/>
  <c r="T27" i="4"/>
  <c r="P88" i="4"/>
  <c r="Q15" i="4"/>
  <c r="H92" i="4"/>
  <c r="T50" i="4"/>
  <c r="T12" i="4"/>
  <c r="O87" i="4"/>
  <c r="T9" i="4"/>
  <c r="T84" i="4" s="1"/>
  <c r="T26" i="4"/>
  <c r="T5" i="4"/>
  <c r="E93" i="4"/>
  <c r="P60" i="4"/>
  <c r="P93" i="4" s="1"/>
  <c r="J93" i="4"/>
  <c r="J92" i="4"/>
  <c r="P83" i="4"/>
  <c r="T8" i="4"/>
  <c r="T83" i="4" s="1"/>
  <c r="T10" i="4"/>
  <c r="T85" i="4" s="1"/>
  <c r="P86" i="4"/>
  <c r="T4" i="4"/>
  <c r="O79" i="4"/>
  <c r="F93" i="4"/>
  <c r="T11" i="4"/>
  <c r="T86" i="4" s="1"/>
  <c r="O86" i="4"/>
  <c r="T7" i="4"/>
  <c r="P82" i="4"/>
  <c r="B93" i="4"/>
  <c r="O60" i="4"/>
  <c r="T35" i="4"/>
  <c r="H93" i="4"/>
  <c r="Q60" i="4"/>
  <c r="Q93" i="4" s="1"/>
  <c r="T24" i="4"/>
  <c r="P30" i="4"/>
  <c r="K93" i="4"/>
  <c r="R60" i="4"/>
  <c r="E92" i="4"/>
  <c r="O84" i="4"/>
  <c r="Q92" i="4"/>
  <c r="R30" i="4"/>
  <c r="T58" i="4"/>
  <c r="O89" i="4"/>
  <c r="T14" i="4"/>
  <c r="T89" i="4" s="1"/>
  <c r="O80" i="4"/>
  <c r="B92" i="4"/>
  <c r="O45" i="4"/>
  <c r="T6" i="4"/>
  <c r="T81" i="4" s="1"/>
  <c r="O81" i="4"/>
  <c r="P45" i="4"/>
  <c r="M93" i="4"/>
  <c r="K92" i="4"/>
  <c r="F92" i="4"/>
  <c r="T39" i="4"/>
  <c r="T13" i="4"/>
  <c r="T88" i="4" s="1"/>
  <c r="T75" i="7" l="1"/>
  <c r="T87" i="7"/>
  <c r="R93" i="7"/>
  <c r="T30" i="7"/>
  <c r="R92" i="7"/>
  <c r="T15" i="7"/>
  <c r="T79" i="7"/>
  <c r="O92" i="7"/>
  <c r="T45" i="7"/>
  <c r="T60" i="7"/>
  <c r="O93" i="7"/>
  <c r="T86" i="7"/>
  <c r="R92" i="4"/>
  <c r="T79" i="4"/>
  <c r="T15" i="4"/>
  <c r="T30" i="4"/>
  <c r="T82" i="4"/>
  <c r="T87" i="4"/>
  <c r="T45" i="4"/>
  <c r="O92" i="4"/>
  <c r="T80" i="4"/>
  <c r="T60" i="4"/>
  <c r="O93" i="4"/>
  <c r="R93" i="4"/>
  <c r="P92" i="4"/>
  <c r="T93" i="7" l="1"/>
  <c r="T92" i="7"/>
  <c r="T92" i="4"/>
  <c r="T93" i="4"/>
</calcChain>
</file>

<file path=xl/sharedStrings.xml><?xml version="1.0" encoding="utf-8"?>
<sst xmlns="http://schemas.openxmlformats.org/spreadsheetml/2006/main" count="2427" uniqueCount="66">
  <si>
    <t>organization_id</t>
  </si>
  <si>
    <t>version</t>
  </si>
  <si>
    <t>period</t>
  </si>
  <si>
    <t>marketing_channel</t>
  </si>
  <si>
    <t>mqls</t>
  </si>
  <si>
    <t>sqls</t>
  </si>
  <si>
    <t>sals</t>
  </si>
  <si>
    <t>opportunities_created</t>
  </si>
  <si>
    <t>pipeline_arr_created</t>
  </si>
  <si>
    <t>closed_won_arr</t>
  </si>
  <si>
    <t>closed_lost_arr</t>
  </si>
  <si>
    <t>slipped_pipeline_arr</t>
  </si>
  <si>
    <t>beginning_pipeline_arr</t>
  </si>
  <si>
    <t>ending_pipeline_arr</t>
  </si>
  <si>
    <t>marketing_spend</t>
  </si>
  <si>
    <t>cost_per_mql</t>
  </si>
  <si>
    <t>cost_per_sql</t>
  </si>
  <si>
    <t>pipeline_per_dollar_spend</t>
  </si>
  <si>
    <t>win_rate_on_pipeline_created</t>
  </si>
  <si>
    <t>marketing_cac_proxy</t>
  </si>
  <si>
    <t>notes</t>
  </si>
  <si>
    <t>pipeline_coverage_ratio</t>
  </si>
  <si>
    <t>8571e520-0687-4516-bdee-379f37c58c1f</t>
  </si>
  <si>
    <t>Actual</t>
  </si>
  <si>
    <t>2026-01</t>
  </si>
  <si>
    <t>Paid Search</t>
  </si>
  <si>
    <t>Actual board-reporting marketing funnel by channel; closed won ARR ties to actual opportunities where available.</t>
  </si>
  <si>
    <t>Paid Social</t>
  </si>
  <si>
    <t>Organic Search</t>
  </si>
  <si>
    <t>Partner</t>
  </si>
  <si>
    <t>Webinar</t>
  </si>
  <si>
    <t>Field Event</t>
  </si>
  <si>
    <t>Referral</t>
  </si>
  <si>
    <t>Direct</t>
  </si>
  <si>
    <t>Content Syndication</t>
  </si>
  <si>
    <t>Outbound</t>
  </si>
  <si>
    <t>Customer Success</t>
  </si>
  <si>
    <t>2026-02</t>
  </si>
  <si>
    <t>2026-03</t>
  </si>
  <si>
    <t>2026-04</t>
  </si>
  <si>
    <t>2026-05</t>
  </si>
  <si>
    <t>expected_closed_won_arr</t>
  </si>
  <si>
    <t>Forecast</t>
  </si>
  <si>
    <t>2026-06</t>
  </si>
  <si>
    <t>Refreshed forecast scaled for ~$75M ARR SaaS company targeting ~30% growth.</t>
  </si>
  <si>
    <t>2026-07</t>
  </si>
  <si>
    <t>2026-08</t>
  </si>
  <si>
    <t>2026-09</t>
  </si>
  <si>
    <t>2026-10</t>
  </si>
  <si>
    <t>2026-11</t>
  </si>
  <si>
    <t>2026-12</t>
  </si>
  <si>
    <t>Budget</t>
  </si>
  <si>
    <t>MQL</t>
  </si>
  <si>
    <t>Spending</t>
  </si>
  <si>
    <t>SQL</t>
  </si>
  <si>
    <t>Q1</t>
  </si>
  <si>
    <t>Q2</t>
  </si>
  <si>
    <t>Q3</t>
  </si>
  <si>
    <t>Q4</t>
  </si>
  <si>
    <t>SAL</t>
  </si>
  <si>
    <t>Cost Per SAL</t>
  </si>
  <si>
    <t>MQL to SQL</t>
  </si>
  <si>
    <t>MQL to SAL</t>
  </si>
  <si>
    <t>Total</t>
  </si>
  <si>
    <t>FY26</t>
  </si>
  <si>
    <t>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</si>
</sst>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_(&quot;$&quot;* #,##0_);_(&quot;$&quot;* \(#,##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43" fontId="0" fillId="0" borderId="0" xfId="1" applyFont="1"/>
    <xf numFmtId="165" fontId="0" fillId="0" borderId="0" xfId="1" applyNumberFormat="1" applyFont="1"/>
    <xf numFmtId="167" fontId="0" fillId="0" borderId="0" xfId="2" applyNumberFormat="1" applyFont="1"/>
    <xf numFmtId="167" fontId="0" fillId="0" borderId="0" xfId="0" applyNumberFormat="1"/>
    <xf numFmtId="9" fontId="0" fillId="0" borderId="0" xfId="3" applyFont="1"/>
    <xf numFmtId="0" fontId="16" fillId="0" borderId="0" xfId="0" applyFont="1"/>
    <xf numFmtId="165" fontId="16" fillId="0" borderId="0" xfId="1" applyNumberFormat="1" applyFont="1"/>
    <xf numFmtId="167" fontId="16" fillId="0" borderId="0" xfId="2" applyNumberFormat="1" applyFont="1"/>
    <xf numFmtId="0" fontId="16" fillId="0" borderId="0" xfId="0" applyFont="1" applyAlignment="1">
      <alignment horizont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0F34B-3CB2-4074-8A0F-EA3C7E97139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A975-B529-44AA-B919-81919FA2960B}">
  <dimension ref="A1:T93"/>
  <sheetViews>
    <sheetView topLeftCell="E1" workbookViewId="0">
      <selection activeCell="T1" sqref="T1"/>
    </sheetView>
  </sheetViews>
  <sheetFormatPr defaultRowHeight="14.5" x14ac:dyDescent="0.35"/>
  <cols>
    <col min="1" max="1" width="17.26953125" bestFit="1" customWidth="1"/>
    <col min="2" max="13" width="13.90625" bestFit="1" customWidth="1"/>
    <col min="15" max="18" width="13.90625" bestFit="1" customWidth="1"/>
    <col min="20" max="20" width="14.81640625" bestFit="1" customWidth="1"/>
  </cols>
  <sheetData>
    <row r="1" spans="1:20" s="7" customFormat="1" x14ac:dyDescent="0.35">
      <c r="B1" s="10" t="s">
        <v>51</v>
      </c>
      <c r="C1" s="10" t="s">
        <v>51</v>
      </c>
      <c r="D1" s="10" t="s">
        <v>51</v>
      </c>
      <c r="E1" s="10" t="s">
        <v>51</v>
      </c>
      <c r="F1" s="10" t="s">
        <v>51</v>
      </c>
      <c r="G1" s="10" t="s">
        <v>51</v>
      </c>
      <c r="H1" s="10" t="s">
        <v>51</v>
      </c>
      <c r="I1" s="10" t="s">
        <v>51</v>
      </c>
      <c r="J1" s="10" t="s">
        <v>51</v>
      </c>
      <c r="K1" s="10" t="s">
        <v>51</v>
      </c>
      <c r="L1" s="10" t="s">
        <v>51</v>
      </c>
      <c r="M1" s="10" t="s">
        <v>51</v>
      </c>
      <c r="O1" s="10" t="s">
        <v>51</v>
      </c>
      <c r="P1" s="10" t="s">
        <v>51</v>
      </c>
      <c r="Q1" s="10" t="s">
        <v>51</v>
      </c>
      <c r="R1" s="10" t="s">
        <v>51</v>
      </c>
      <c r="T1" s="10" t="s">
        <v>51</v>
      </c>
    </row>
    <row r="2" spans="1:20" s="7" customFormat="1" x14ac:dyDescent="0.35">
      <c r="A2" s="7" t="s">
        <v>53</v>
      </c>
      <c r="B2" s="10" t="s">
        <v>55</v>
      </c>
      <c r="C2" s="10" t="s">
        <v>55</v>
      </c>
      <c r="D2" s="10" t="s">
        <v>55</v>
      </c>
      <c r="E2" s="10" t="s">
        <v>56</v>
      </c>
      <c r="F2" s="10" t="s">
        <v>56</v>
      </c>
      <c r="G2" s="10" t="s">
        <v>56</v>
      </c>
      <c r="H2" s="10" t="s">
        <v>57</v>
      </c>
      <c r="I2" s="10" t="s">
        <v>57</v>
      </c>
      <c r="J2" s="10" t="s">
        <v>57</v>
      </c>
      <c r="K2" s="10" t="s">
        <v>58</v>
      </c>
      <c r="L2" s="10" t="s">
        <v>58</v>
      </c>
      <c r="M2" s="10" t="s">
        <v>58</v>
      </c>
    </row>
    <row r="3" spans="1:20" s="7" customFormat="1" x14ac:dyDescent="0.35">
      <c r="A3" s="7" t="s">
        <v>3</v>
      </c>
      <c r="B3" s="10" t="s">
        <v>24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43</v>
      </c>
      <c r="H3" s="10" t="s">
        <v>45</v>
      </c>
      <c r="I3" s="10" t="s">
        <v>46</v>
      </c>
      <c r="J3" s="10" t="s">
        <v>47</v>
      </c>
      <c r="K3" s="10" t="s">
        <v>48</v>
      </c>
      <c r="L3" s="10" t="s">
        <v>49</v>
      </c>
      <c r="M3" s="10" t="s">
        <v>50</v>
      </c>
      <c r="O3" s="10" t="s">
        <v>55</v>
      </c>
      <c r="P3" s="10" t="s">
        <v>56</v>
      </c>
      <c r="Q3" s="10" t="s">
        <v>57</v>
      </c>
      <c r="R3" s="10" t="s">
        <v>58</v>
      </c>
      <c r="T3" s="10" t="s">
        <v>64</v>
      </c>
    </row>
    <row r="4" spans="1:20" x14ac:dyDescent="0.35">
      <c r="A4" t="s">
        <v>25</v>
      </c>
      <c r="B4" s="4">
        <f>SUMIFS(Budget_marketing_pipeline!$J:$J,Budget_marketing_pipeline!$D:$D,'Budget Summary'!$A4,Budget_marketing_pipeline!$C:$C,'Budget Summary'!B$3)</f>
        <v>119854.26</v>
      </c>
      <c r="C4" s="4">
        <f>SUMIFS(Budget_marketing_pipeline!$J:$J,Budget_marketing_pipeline!$D:$D,'Budget Summary'!$A4,Budget_marketing_pipeline!$C:$C,'Budget Summary'!C$3)</f>
        <v>225376.12</v>
      </c>
      <c r="D4" s="4">
        <f>SUMIFS(Budget_marketing_pipeline!$J:$J,Budget_marketing_pipeline!$D:$D,'Budget Summary'!$A4,Budget_marketing_pipeline!$C:$C,'Budget Summary'!D$3)</f>
        <v>147063.74</v>
      </c>
      <c r="E4" s="4">
        <f>SUMIFS(Budget_marketing_pipeline!$J:$J,Budget_marketing_pipeline!$D:$D,'Budget Summary'!$A4,Budget_marketing_pipeline!$C:$C,'Budget Summary'!E$3)</f>
        <v>313308.46999999997</v>
      </c>
      <c r="F4" s="4">
        <f>SUMIFS(Budget_marketing_pipeline!$J:$J,Budget_marketing_pipeline!$D:$D,'Budget Summary'!$A4,Budget_marketing_pipeline!$C:$C,'Budget Summary'!F$3)</f>
        <v>175679.04</v>
      </c>
      <c r="G4" s="4">
        <f>SUMIFS(Budget_marketing_pipeline!$J:$J,Budget_marketing_pipeline!$D:$D,'Budget Summary'!$A4,Budget_marketing_pipeline!$C:$C,'Budget Summary'!G$3)</f>
        <v>252801.57</v>
      </c>
      <c r="H4" s="4">
        <f>SUMIFS(Budget_marketing_pipeline!$J:$J,Budget_marketing_pipeline!$D:$D,'Budget Summary'!$A4,Budget_marketing_pipeline!$C:$C,'Budget Summary'!H$3)</f>
        <v>110408.61</v>
      </c>
      <c r="I4" s="4">
        <f>SUMIFS(Budget_marketing_pipeline!$J:$J,Budget_marketing_pipeline!$D:$D,'Budget Summary'!$A4,Budget_marketing_pipeline!$C:$C,'Budget Summary'!I$3)</f>
        <v>262671.51</v>
      </c>
      <c r="J4" s="4">
        <f>SUMIFS(Budget_marketing_pipeline!$J:$J,Budget_marketing_pipeline!$D:$D,'Budget Summary'!$A4,Budget_marketing_pipeline!$C:$C,'Budget Summary'!J$3)</f>
        <v>159692.38</v>
      </c>
      <c r="K4" s="4">
        <f>SUMIFS(Budget_marketing_pipeline!$J:$J,Budget_marketing_pipeline!$D:$D,'Budget Summary'!$A4,Budget_marketing_pipeline!$C:$C,'Budget Summary'!K$3)</f>
        <v>54457.79</v>
      </c>
      <c r="L4" s="4">
        <f>SUMIFS(Budget_marketing_pipeline!$J:$J,Budget_marketing_pipeline!$D:$D,'Budget Summary'!$A4,Budget_marketing_pipeline!$C:$C,'Budget Summary'!L$3)</f>
        <v>135364.89000000001</v>
      </c>
      <c r="M4" s="4">
        <f>SUMIFS(Budget_marketing_pipeline!$J:$J,Budget_marketing_pipeline!$D:$D,'Budget Summary'!$A4,Budget_marketing_pipeline!$C:$C,'Budget Summary'!M$3)</f>
        <v>149056.22</v>
      </c>
      <c r="O4" s="4">
        <f>SUMIFS($B4:$M4,$B$2:$M$2,O$3)</f>
        <v>492294.12</v>
      </c>
      <c r="P4" s="4">
        <f t="shared" ref="P4:R15" si="0">SUMIFS($B4:$M4,$B$2:$M$2,P$3)</f>
        <v>741789.08000000007</v>
      </c>
      <c r="Q4" s="4">
        <f t="shared" si="0"/>
        <v>532772.5</v>
      </c>
      <c r="R4" s="4">
        <f t="shared" si="0"/>
        <v>338878.9</v>
      </c>
      <c r="T4" s="5">
        <f>SUM(O4:R4)</f>
        <v>2105734.6</v>
      </c>
    </row>
    <row r="5" spans="1:20" x14ac:dyDescent="0.35">
      <c r="A5" t="s">
        <v>27</v>
      </c>
      <c r="B5" s="4">
        <f>SUMIFS(Budget_marketing_pipeline!$J:$J,Budget_marketing_pipeline!$D:$D,'Budget Summary'!$A5,Budget_marketing_pipeline!$C:$C,'Budget Summary'!B$3)</f>
        <v>153150.62</v>
      </c>
      <c r="C5" s="4">
        <f>SUMIFS(Budget_marketing_pipeline!$J:$J,Budget_marketing_pipeline!$D:$D,'Budget Summary'!$A5,Budget_marketing_pipeline!$C:$C,'Budget Summary'!C$3)</f>
        <v>45477.59</v>
      </c>
      <c r="D5" s="4">
        <f>SUMIFS(Budget_marketing_pipeline!$J:$J,Budget_marketing_pipeline!$D:$D,'Budget Summary'!$A5,Budget_marketing_pipeline!$C:$C,'Budget Summary'!D$3)</f>
        <v>208865.88</v>
      </c>
      <c r="E5" s="4">
        <f>SUMIFS(Budget_marketing_pipeline!$J:$J,Budget_marketing_pipeline!$D:$D,'Budget Summary'!$A5,Budget_marketing_pipeline!$C:$C,'Budget Summary'!E$3)</f>
        <v>265825.90000000002</v>
      </c>
      <c r="F5" s="4">
        <f>SUMIFS(Budget_marketing_pipeline!$J:$J,Budget_marketing_pipeline!$D:$D,'Budget Summary'!$A5,Budget_marketing_pipeline!$C:$C,'Budget Summary'!F$3)</f>
        <v>121733.74</v>
      </c>
      <c r="G5" s="4">
        <f>SUMIFS(Budget_marketing_pipeline!$J:$J,Budget_marketing_pipeline!$D:$D,'Budget Summary'!$A5,Budget_marketing_pipeline!$C:$C,'Budget Summary'!G$3)</f>
        <v>67656.320000000007</v>
      </c>
      <c r="H5" s="4">
        <f>SUMIFS(Budget_marketing_pipeline!$J:$J,Budget_marketing_pipeline!$D:$D,'Budget Summary'!$A5,Budget_marketing_pipeline!$C:$C,'Budget Summary'!H$3)</f>
        <v>174632.31</v>
      </c>
      <c r="I5" s="4">
        <f>SUMIFS(Budget_marketing_pipeline!$J:$J,Budget_marketing_pipeline!$D:$D,'Budget Summary'!$A5,Budget_marketing_pipeline!$C:$C,'Budget Summary'!I$3)</f>
        <v>112923.21</v>
      </c>
      <c r="J5" s="4">
        <f>SUMIFS(Budget_marketing_pipeline!$J:$J,Budget_marketing_pipeline!$D:$D,'Budget Summary'!$A5,Budget_marketing_pipeline!$C:$C,'Budget Summary'!J$3)</f>
        <v>68059.81</v>
      </c>
      <c r="K5" s="4">
        <f>SUMIFS(Budget_marketing_pipeline!$J:$J,Budget_marketing_pipeline!$D:$D,'Budget Summary'!$A5,Budget_marketing_pipeline!$C:$C,'Budget Summary'!K$3)</f>
        <v>117462.01</v>
      </c>
      <c r="L5" s="4">
        <f>SUMIFS(Budget_marketing_pipeline!$J:$J,Budget_marketing_pipeline!$D:$D,'Budget Summary'!$A5,Budget_marketing_pipeline!$C:$C,'Budget Summary'!L$3)</f>
        <v>100349</v>
      </c>
      <c r="M5" s="4">
        <f>SUMIFS(Budget_marketing_pipeline!$J:$J,Budget_marketing_pipeline!$D:$D,'Budget Summary'!$A5,Budget_marketing_pipeline!$C:$C,'Budget Summary'!M$3)</f>
        <v>59227.8</v>
      </c>
      <c r="O5" s="4">
        <f t="shared" ref="O5:O15" si="1">SUMIFS($B5:$M5,$B$2:$M$2,O$3)</f>
        <v>407494.08999999997</v>
      </c>
      <c r="P5" s="4">
        <f t="shared" si="0"/>
        <v>455215.96</v>
      </c>
      <c r="Q5" s="4">
        <f t="shared" si="0"/>
        <v>355615.33</v>
      </c>
      <c r="R5" s="4">
        <f t="shared" si="0"/>
        <v>277038.81</v>
      </c>
      <c r="T5" s="5">
        <f t="shared" ref="T5:T15" si="2">SUM(O5:R5)</f>
        <v>1495364.1900000002</v>
      </c>
    </row>
    <row r="6" spans="1:20" x14ac:dyDescent="0.35">
      <c r="A6" t="s">
        <v>28</v>
      </c>
      <c r="B6" s="4">
        <f>SUMIFS(Budget_marketing_pipeline!$J:$J,Budget_marketing_pipeline!$D:$D,'Budget Summary'!$A6,Budget_marketing_pipeline!$C:$C,'Budget Summary'!B$3)</f>
        <v>156837.96</v>
      </c>
      <c r="C6" s="4">
        <f>SUMIFS(Budget_marketing_pipeline!$J:$J,Budget_marketing_pipeline!$D:$D,'Budget Summary'!$A6,Budget_marketing_pipeline!$C:$C,'Budget Summary'!C$3)</f>
        <v>218418.4</v>
      </c>
      <c r="D6" s="4">
        <f>SUMIFS(Budget_marketing_pipeline!$J:$J,Budget_marketing_pipeline!$D:$D,'Budget Summary'!$A6,Budget_marketing_pipeline!$C:$C,'Budget Summary'!D$3)</f>
        <v>133280.94</v>
      </c>
      <c r="E6" s="4">
        <f>SUMIFS(Budget_marketing_pipeline!$J:$J,Budget_marketing_pipeline!$D:$D,'Budget Summary'!$A6,Budget_marketing_pipeline!$C:$C,'Budget Summary'!E$3)</f>
        <v>68355.64</v>
      </c>
      <c r="F6" s="4">
        <f>SUMIFS(Budget_marketing_pipeline!$J:$J,Budget_marketing_pipeline!$D:$D,'Budget Summary'!$A6,Budget_marketing_pipeline!$C:$C,'Budget Summary'!F$3)</f>
        <v>136215.07</v>
      </c>
      <c r="G6" s="4">
        <f>SUMIFS(Budget_marketing_pipeline!$J:$J,Budget_marketing_pipeline!$D:$D,'Budget Summary'!$A6,Budget_marketing_pipeline!$C:$C,'Budget Summary'!G$3)</f>
        <v>157268.95000000001</v>
      </c>
      <c r="H6" s="4">
        <f>SUMIFS(Budget_marketing_pipeline!$J:$J,Budget_marketing_pipeline!$D:$D,'Budget Summary'!$A6,Budget_marketing_pipeline!$C:$C,'Budget Summary'!H$3)</f>
        <v>97209.05</v>
      </c>
      <c r="I6" s="4">
        <f>SUMIFS(Budget_marketing_pipeline!$J:$J,Budget_marketing_pipeline!$D:$D,'Budget Summary'!$A6,Budget_marketing_pipeline!$C:$C,'Budget Summary'!I$3)</f>
        <v>93368.45</v>
      </c>
      <c r="J6" s="4">
        <f>SUMIFS(Budget_marketing_pipeline!$J:$J,Budget_marketing_pipeline!$D:$D,'Budget Summary'!$A6,Budget_marketing_pipeline!$C:$C,'Budget Summary'!J$3)</f>
        <v>262073.96</v>
      </c>
      <c r="K6" s="4">
        <f>SUMIFS(Budget_marketing_pipeline!$J:$J,Budget_marketing_pipeline!$D:$D,'Budget Summary'!$A6,Budget_marketing_pipeline!$C:$C,'Budget Summary'!K$3)</f>
        <v>184571.36</v>
      </c>
      <c r="L6" s="4">
        <f>SUMIFS(Budget_marketing_pipeline!$J:$J,Budget_marketing_pipeline!$D:$D,'Budget Summary'!$A6,Budget_marketing_pipeline!$C:$C,'Budget Summary'!L$3)</f>
        <v>151678.32</v>
      </c>
      <c r="M6" s="4">
        <f>SUMIFS(Budget_marketing_pipeline!$J:$J,Budget_marketing_pipeline!$D:$D,'Budget Summary'!$A6,Budget_marketing_pipeline!$C:$C,'Budget Summary'!M$3)</f>
        <v>139652.43</v>
      </c>
      <c r="O6" s="4">
        <f t="shared" si="1"/>
        <v>508537.3</v>
      </c>
      <c r="P6" s="4">
        <f t="shared" si="0"/>
        <v>361839.66000000003</v>
      </c>
      <c r="Q6" s="4">
        <f t="shared" si="0"/>
        <v>452651.45999999996</v>
      </c>
      <c r="R6" s="4">
        <f t="shared" si="0"/>
        <v>475902.11</v>
      </c>
      <c r="T6" s="5">
        <f t="shared" si="2"/>
        <v>1798930.5299999998</v>
      </c>
    </row>
    <row r="7" spans="1:20" x14ac:dyDescent="0.35">
      <c r="A7" t="s">
        <v>29</v>
      </c>
      <c r="B7" s="4">
        <f>SUMIFS(Budget_marketing_pipeline!$J:$J,Budget_marketing_pipeline!$D:$D,'Budget Summary'!$A7,Budget_marketing_pipeline!$C:$C,'Budget Summary'!B$3)</f>
        <v>99640.66</v>
      </c>
      <c r="C7" s="4">
        <f>SUMIFS(Budget_marketing_pipeline!$J:$J,Budget_marketing_pipeline!$D:$D,'Budget Summary'!$A7,Budget_marketing_pipeline!$C:$C,'Budget Summary'!C$3)</f>
        <v>328585.82</v>
      </c>
      <c r="D7" s="4">
        <f>SUMIFS(Budget_marketing_pipeline!$J:$J,Budget_marketing_pipeline!$D:$D,'Budget Summary'!$A7,Budget_marketing_pipeline!$C:$C,'Budget Summary'!D$3)</f>
        <v>106696.77</v>
      </c>
      <c r="E7" s="4">
        <f>SUMIFS(Budget_marketing_pipeline!$J:$J,Budget_marketing_pipeline!$D:$D,'Budget Summary'!$A7,Budget_marketing_pipeline!$C:$C,'Budget Summary'!E$3)</f>
        <v>135354.25</v>
      </c>
      <c r="F7" s="4">
        <f>SUMIFS(Budget_marketing_pipeline!$J:$J,Budget_marketing_pipeline!$D:$D,'Budget Summary'!$A7,Budget_marketing_pipeline!$C:$C,'Budget Summary'!F$3)</f>
        <v>71483.13</v>
      </c>
      <c r="G7" s="4">
        <f>SUMIFS(Budget_marketing_pipeline!$J:$J,Budget_marketing_pipeline!$D:$D,'Budget Summary'!$A7,Budget_marketing_pipeline!$C:$C,'Budget Summary'!G$3)</f>
        <v>268720.40000000002</v>
      </c>
      <c r="H7" s="4">
        <f>SUMIFS(Budget_marketing_pipeline!$J:$J,Budget_marketing_pipeline!$D:$D,'Budget Summary'!$A7,Budget_marketing_pipeline!$C:$C,'Budget Summary'!H$3)</f>
        <v>273851.78999999998</v>
      </c>
      <c r="I7" s="4">
        <f>SUMIFS(Budget_marketing_pipeline!$J:$J,Budget_marketing_pipeline!$D:$D,'Budget Summary'!$A7,Budget_marketing_pipeline!$C:$C,'Budget Summary'!I$3)</f>
        <v>190299.51999999999</v>
      </c>
      <c r="J7" s="4">
        <f>SUMIFS(Budget_marketing_pipeline!$J:$J,Budget_marketing_pipeline!$D:$D,'Budget Summary'!$A7,Budget_marketing_pipeline!$C:$C,'Budget Summary'!J$3)</f>
        <v>121819.01</v>
      </c>
      <c r="K7" s="4">
        <f>SUMIFS(Budget_marketing_pipeline!$J:$J,Budget_marketing_pipeline!$D:$D,'Budget Summary'!$A7,Budget_marketing_pipeline!$C:$C,'Budget Summary'!K$3)</f>
        <v>268262.78999999998</v>
      </c>
      <c r="L7" s="4">
        <f>SUMIFS(Budget_marketing_pipeline!$J:$J,Budget_marketing_pipeline!$D:$D,'Budget Summary'!$A7,Budget_marketing_pipeline!$C:$C,'Budget Summary'!L$3)</f>
        <v>154997.38</v>
      </c>
      <c r="M7" s="4">
        <f>SUMIFS(Budget_marketing_pipeline!$J:$J,Budget_marketing_pipeline!$D:$D,'Budget Summary'!$A7,Budget_marketing_pipeline!$C:$C,'Budget Summary'!M$3)</f>
        <v>135389.07999999999</v>
      </c>
      <c r="O7" s="4">
        <f t="shared" si="1"/>
        <v>534923.25</v>
      </c>
      <c r="P7" s="4">
        <f t="shared" si="0"/>
        <v>475557.78</v>
      </c>
      <c r="Q7" s="4">
        <f t="shared" si="0"/>
        <v>585970.31999999995</v>
      </c>
      <c r="R7" s="4">
        <f t="shared" si="0"/>
        <v>558649.25</v>
      </c>
      <c r="T7" s="5">
        <f t="shared" si="2"/>
        <v>2155100.6</v>
      </c>
    </row>
    <row r="8" spans="1:20" x14ac:dyDescent="0.35">
      <c r="A8" t="s">
        <v>30</v>
      </c>
      <c r="B8" s="4">
        <f>SUMIFS(Budget_marketing_pipeline!$J:$J,Budget_marketing_pipeline!$D:$D,'Budget Summary'!$A8,Budget_marketing_pipeline!$C:$C,'Budget Summary'!B$3)</f>
        <v>23296.59</v>
      </c>
      <c r="C8" s="4">
        <f>SUMIFS(Budget_marketing_pipeline!$J:$J,Budget_marketing_pipeline!$D:$D,'Budget Summary'!$A8,Budget_marketing_pipeline!$C:$C,'Budget Summary'!C$3)</f>
        <v>109176.4</v>
      </c>
      <c r="D8" s="4">
        <f>SUMIFS(Budget_marketing_pipeline!$J:$J,Budget_marketing_pipeline!$D:$D,'Budget Summary'!$A8,Budget_marketing_pipeline!$C:$C,'Budget Summary'!D$3)</f>
        <v>58808</v>
      </c>
      <c r="E8" s="4">
        <f>SUMIFS(Budget_marketing_pipeline!$J:$J,Budget_marketing_pipeline!$D:$D,'Budget Summary'!$A8,Budget_marketing_pipeline!$C:$C,'Budget Summary'!E$3)</f>
        <v>214667.53</v>
      </c>
      <c r="F8" s="4">
        <f>SUMIFS(Budget_marketing_pipeline!$J:$J,Budget_marketing_pipeline!$D:$D,'Budget Summary'!$A8,Budget_marketing_pipeline!$C:$C,'Budget Summary'!F$3)</f>
        <v>186604.32</v>
      </c>
      <c r="G8" s="4">
        <f>SUMIFS(Budget_marketing_pipeline!$J:$J,Budget_marketing_pipeline!$D:$D,'Budget Summary'!$A8,Budget_marketing_pipeline!$C:$C,'Budget Summary'!G$3)</f>
        <v>50351.47</v>
      </c>
      <c r="H8" s="4">
        <f>SUMIFS(Budget_marketing_pipeline!$J:$J,Budget_marketing_pipeline!$D:$D,'Budget Summary'!$A8,Budget_marketing_pipeline!$C:$C,'Budget Summary'!H$3)</f>
        <v>135263.45000000001</v>
      </c>
      <c r="I8" s="4">
        <f>SUMIFS(Budget_marketing_pipeline!$J:$J,Budget_marketing_pipeline!$D:$D,'Budget Summary'!$A8,Budget_marketing_pipeline!$C:$C,'Budget Summary'!I$3)</f>
        <v>197031.09</v>
      </c>
      <c r="J8" s="4">
        <f>SUMIFS(Budget_marketing_pipeline!$J:$J,Budget_marketing_pipeline!$D:$D,'Budget Summary'!$A8,Budget_marketing_pipeline!$C:$C,'Budget Summary'!J$3)</f>
        <v>141074.6</v>
      </c>
      <c r="K8" s="4">
        <f>SUMIFS(Budget_marketing_pipeline!$J:$J,Budget_marketing_pipeline!$D:$D,'Budget Summary'!$A8,Budget_marketing_pipeline!$C:$C,'Budget Summary'!K$3)</f>
        <v>135354.07999999999</v>
      </c>
      <c r="L8" s="4">
        <f>SUMIFS(Budget_marketing_pipeline!$J:$J,Budget_marketing_pipeline!$D:$D,'Budget Summary'!$A8,Budget_marketing_pipeline!$C:$C,'Budget Summary'!L$3)</f>
        <v>42984.59</v>
      </c>
      <c r="M8" s="4">
        <f>SUMIFS(Budget_marketing_pipeline!$J:$J,Budget_marketing_pipeline!$D:$D,'Budget Summary'!$A8,Budget_marketing_pipeline!$C:$C,'Budget Summary'!M$3)</f>
        <v>81476.56</v>
      </c>
      <c r="O8" s="4">
        <f t="shared" si="1"/>
        <v>191280.99</v>
      </c>
      <c r="P8" s="4">
        <f t="shared" si="0"/>
        <v>451623.31999999995</v>
      </c>
      <c r="Q8" s="4">
        <f t="shared" si="0"/>
        <v>473369.14</v>
      </c>
      <c r="R8" s="4">
        <f t="shared" si="0"/>
        <v>259815.22999999998</v>
      </c>
      <c r="T8" s="5">
        <f t="shared" si="2"/>
        <v>1376088.68</v>
      </c>
    </row>
    <row r="9" spans="1:20" x14ac:dyDescent="0.35">
      <c r="A9" t="s">
        <v>31</v>
      </c>
      <c r="B9" s="4">
        <f>SUMIFS(Budget_marketing_pipeline!$J:$J,Budget_marketing_pipeline!$D:$D,'Budget Summary'!$A9,Budget_marketing_pipeline!$C:$C,'Budget Summary'!B$3)</f>
        <v>124159.28</v>
      </c>
      <c r="C9" s="4">
        <f>SUMIFS(Budget_marketing_pipeline!$J:$J,Budget_marketing_pipeline!$D:$D,'Budget Summary'!$A9,Budget_marketing_pipeline!$C:$C,'Budget Summary'!C$3)</f>
        <v>165485.13</v>
      </c>
      <c r="D9" s="4">
        <f>SUMIFS(Budget_marketing_pipeline!$J:$J,Budget_marketing_pipeline!$D:$D,'Budget Summary'!$A9,Budget_marketing_pipeline!$C:$C,'Budget Summary'!D$3)</f>
        <v>91391.72</v>
      </c>
      <c r="E9" s="4">
        <f>SUMIFS(Budget_marketing_pipeline!$J:$J,Budget_marketing_pipeline!$D:$D,'Budget Summary'!$A9,Budget_marketing_pipeline!$C:$C,'Budget Summary'!E$3)</f>
        <v>51779.83</v>
      </c>
      <c r="F9" s="4">
        <f>SUMIFS(Budget_marketing_pipeline!$J:$J,Budget_marketing_pipeline!$D:$D,'Budget Summary'!$A9,Budget_marketing_pipeline!$C:$C,'Budget Summary'!F$3)</f>
        <v>279309.21000000002</v>
      </c>
      <c r="G9" s="4">
        <f>SUMIFS(Budget_marketing_pipeline!$J:$J,Budget_marketing_pipeline!$D:$D,'Budget Summary'!$A9,Budget_marketing_pipeline!$C:$C,'Budget Summary'!G$3)</f>
        <v>195157.26</v>
      </c>
      <c r="H9" s="4">
        <f>SUMIFS(Budget_marketing_pipeline!$J:$J,Budget_marketing_pipeline!$D:$D,'Budget Summary'!$A9,Budget_marketing_pipeline!$C:$C,'Budget Summary'!H$3)</f>
        <v>73668.509999999995</v>
      </c>
      <c r="I9" s="4">
        <f>SUMIFS(Budget_marketing_pipeline!$J:$J,Budget_marketing_pipeline!$D:$D,'Budget Summary'!$A9,Budget_marketing_pipeline!$C:$C,'Budget Summary'!I$3)</f>
        <v>175601.2</v>
      </c>
      <c r="J9" s="4">
        <f>SUMIFS(Budget_marketing_pipeline!$J:$J,Budget_marketing_pipeline!$D:$D,'Budget Summary'!$A9,Budget_marketing_pipeline!$C:$C,'Budget Summary'!J$3)</f>
        <v>318206.87</v>
      </c>
      <c r="K9" s="4">
        <f>SUMIFS(Budget_marketing_pipeline!$J:$J,Budget_marketing_pipeline!$D:$D,'Budget Summary'!$A9,Budget_marketing_pipeline!$C:$C,'Budget Summary'!K$3)</f>
        <v>217749.96</v>
      </c>
      <c r="L9" s="4">
        <f>SUMIFS(Budget_marketing_pipeline!$J:$J,Budget_marketing_pipeline!$D:$D,'Budget Summary'!$A9,Budget_marketing_pipeline!$C:$C,'Budget Summary'!L$3)</f>
        <v>120199</v>
      </c>
      <c r="M9" s="4">
        <f>SUMIFS(Budget_marketing_pipeline!$J:$J,Budget_marketing_pipeline!$D:$D,'Budget Summary'!$A9,Budget_marketing_pipeline!$C:$C,'Budget Summary'!M$3)</f>
        <v>72954.399999999994</v>
      </c>
      <c r="O9" s="4">
        <f t="shared" si="1"/>
        <v>381036.13</v>
      </c>
      <c r="P9" s="4">
        <f t="shared" si="0"/>
        <v>526246.30000000005</v>
      </c>
      <c r="Q9" s="4">
        <f t="shared" si="0"/>
        <v>567476.58000000007</v>
      </c>
      <c r="R9" s="4">
        <f t="shared" si="0"/>
        <v>410903.36</v>
      </c>
      <c r="T9" s="5">
        <f t="shared" si="2"/>
        <v>1885662.37</v>
      </c>
    </row>
    <row r="10" spans="1:20" x14ac:dyDescent="0.35">
      <c r="A10" t="s">
        <v>32</v>
      </c>
      <c r="B10" s="4">
        <f>SUMIFS(Budget_marketing_pipeline!$J:$J,Budget_marketing_pipeline!$D:$D,'Budget Summary'!$A10,Budget_marketing_pipeline!$C:$C,'Budget Summary'!B$3)</f>
        <v>157604.62</v>
      </c>
      <c r="C10" s="4">
        <f>SUMIFS(Budget_marketing_pipeline!$J:$J,Budget_marketing_pipeline!$D:$D,'Budget Summary'!$A10,Budget_marketing_pipeline!$C:$C,'Budget Summary'!C$3)</f>
        <v>153525.13</v>
      </c>
      <c r="D10" s="4">
        <f>SUMIFS(Budget_marketing_pipeline!$J:$J,Budget_marketing_pipeline!$D:$D,'Budget Summary'!$A10,Budget_marketing_pipeline!$C:$C,'Budget Summary'!D$3)</f>
        <v>251581.54</v>
      </c>
      <c r="E10" s="4">
        <f>SUMIFS(Budget_marketing_pipeline!$J:$J,Budget_marketing_pipeline!$D:$D,'Budget Summary'!$A10,Budget_marketing_pipeline!$C:$C,'Budget Summary'!E$3)</f>
        <v>99946.4</v>
      </c>
      <c r="F10" s="4">
        <f>SUMIFS(Budget_marketing_pipeline!$J:$J,Budget_marketing_pipeline!$D:$D,'Budget Summary'!$A10,Budget_marketing_pipeline!$C:$C,'Budget Summary'!F$3)</f>
        <v>215451.19</v>
      </c>
      <c r="G10" s="4">
        <f>SUMIFS(Budget_marketing_pipeline!$J:$J,Budget_marketing_pipeline!$D:$D,'Budget Summary'!$A10,Budget_marketing_pipeline!$C:$C,'Budget Summary'!G$3)</f>
        <v>297414.53000000003</v>
      </c>
      <c r="H10" s="4">
        <f>SUMIFS(Budget_marketing_pipeline!$J:$J,Budget_marketing_pipeline!$D:$D,'Budget Summary'!$A10,Budget_marketing_pipeline!$C:$C,'Budget Summary'!H$3)</f>
        <v>286237.13</v>
      </c>
      <c r="I10" s="4">
        <f>SUMIFS(Budget_marketing_pipeline!$J:$J,Budget_marketing_pipeline!$D:$D,'Budget Summary'!$A10,Budget_marketing_pipeline!$C:$C,'Budget Summary'!I$3)</f>
        <v>82481.990000000005</v>
      </c>
      <c r="J10" s="4">
        <f>SUMIFS(Budget_marketing_pipeline!$J:$J,Budget_marketing_pipeline!$D:$D,'Budget Summary'!$A10,Budget_marketing_pipeline!$C:$C,'Budget Summary'!J$3)</f>
        <v>260667.76</v>
      </c>
      <c r="K10" s="4">
        <f>SUMIFS(Budget_marketing_pipeline!$J:$J,Budget_marketing_pipeline!$D:$D,'Budget Summary'!$A10,Budget_marketing_pipeline!$C:$C,'Budget Summary'!K$3)</f>
        <v>226857.66</v>
      </c>
      <c r="L10" s="4">
        <f>SUMIFS(Budget_marketing_pipeline!$J:$J,Budget_marketing_pipeline!$D:$D,'Budget Summary'!$A10,Budget_marketing_pipeline!$C:$C,'Budget Summary'!L$3)</f>
        <v>74705.73</v>
      </c>
      <c r="M10" s="4">
        <f>SUMIFS(Budget_marketing_pipeline!$J:$J,Budget_marketing_pipeline!$D:$D,'Budget Summary'!$A10,Budget_marketing_pipeline!$C:$C,'Budget Summary'!M$3)</f>
        <v>267053.02</v>
      </c>
      <c r="O10" s="4">
        <f t="shared" si="1"/>
        <v>562711.29</v>
      </c>
      <c r="P10" s="4">
        <f t="shared" si="0"/>
        <v>612812.12</v>
      </c>
      <c r="Q10" s="4">
        <f t="shared" si="0"/>
        <v>629386.88</v>
      </c>
      <c r="R10" s="4">
        <f t="shared" si="0"/>
        <v>568616.41</v>
      </c>
      <c r="T10" s="5">
        <f t="shared" si="2"/>
        <v>2373526.7000000002</v>
      </c>
    </row>
    <row r="11" spans="1:20" x14ac:dyDescent="0.35">
      <c r="A11" t="s">
        <v>33</v>
      </c>
      <c r="B11" s="4">
        <f>SUMIFS(Budget_marketing_pipeline!$J:$J,Budget_marketing_pipeline!$D:$D,'Budget Summary'!$A11,Budget_marketing_pipeline!$C:$C,'Budget Summary'!B$3)</f>
        <v>74267.490000000005</v>
      </c>
      <c r="C11" s="4">
        <f>SUMIFS(Budget_marketing_pipeline!$J:$J,Budget_marketing_pipeline!$D:$D,'Budget Summary'!$A11,Budget_marketing_pipeline!$C:$C,'Budget Summary'!C$3)</f>
        <v>97835.91</v>
      </c>
      <c r="D11" s="4">
        <f>SUMIFS(Budget_marketing_pipeline!$J:$J,Budget_marketing_pipeline!$D:$D,'Budget Summary'!$A11,Budget_marketing_pipeline!$C:$C,'Budget Summary'!D$3)</f>
        <v>109612.81</v>
      </c>
      <c r="E11" s="4">
        <f>SUMIFS(Budget_marketing_pipeline!$J:$J,Budget_marketing_pipeline!$D:$D,'Budget Summary'!$A11,Budget_marketing_pipeline!$C:$C,'Budget Summary'!E$3)</f>
        <v>77863.58</v>
      </c>
      <c r="F11" s="4">
        <f>SUMIFS(Budget_marketing_pipeline!$J:$J,Budget_marketing_pipeline!$D:$D,'Budget Summary'!$A11,Budget_marketing_pipeline!$C:$C,'Budget Summary'!F$3)</f>
        <v>242542.44</v>
      </c>
      <c r="G11" s="4">
        <f>SUMIFS(Budget_marketing_pipeline!$J:$J,Budget_marketing_pipeline!$D:$D,'Budget Summary'!$A11,Budget_marketing_pipeline!$C:$C,'Budget Summary'!G$3)</f>
        <v>131532.89000000001</v>
      </c>
      <c r="H11" s="4">
        <f>SUMIFS(Budget_marketing_pipeline!$J:$J,Budget_marketing_pipeline!$D:$D,'Budget Summary'!$A11,Budget_marketing_pipeline!$C:$C,'Budget Summary'!H$3)</f>
        <v>74148.710000000006</v>
      </c>
      <c r="I11" s="4">
        <f>SUMIFS(Budget_marketing_pipeline!$J:$J,Budget_marketing_pipeline!$D:$D,'Budget Summary'!$A11,Budget_marketing_pipeline!$C:$C,'Budget Summary'!I$3)</f>
        <v>203008.51</v>
      </c>
      <c r="J11" s="4">
        <f>SUMIFS(Budget_marketing_pipeline!$J:$J,Budget_marketing_pipeline!$D:$D,'Budget Summary'!$A11,Budget_marketing_pipeline!$C:$C,'Budget Summary'!J$3)</f>
        <v>115741.37</v>
      </c>
      <c r="K11" s="4">
        <f>SUMIFS(Budget_marketing_pipeline!$J:$J,Budget_marketing_pipeline!$D:$D,'Budget Summary'!$A11,Budget_marketing_pipeline!$C:$C,'Budget Summary'!K$3)</f>
        <v>90371.47</v>
      </c>
      <c r="L11" s="4">
        <f>SUMIFS(Budget_marketing_pipeline!$J:$J,Budget_marketing_pipeline!$D:$D,'Budget Summary'!$A11,Budget_marketing_pipeline!$C:$C,'Budget Summary'!L$3)</f>
        <v>224383.46</v>
      </c>
      <c r="M11" s="4">
        <f>SUMIFS(Budget_marketing_pipeline!$J:$J,Budget_marketing_pipeline!$D:$D,'Budget Summary'!$A11,Budget_marketing_pipeline!$C:$C,'Budget Summary'!M$3)</f>
        <v>113386.66</v>
      </c>
      <c r="O11" s="4">
        <f t="shared" si="1"/>
        <v>281716.21000000002</v>
      </c>
      <c r="P11" s="4">
        <f t="shared" si="0"/>
        <v>451938.91000000003</v>
      </c>
      <c r="Q11" s="4">
        <f t="shared" si="0"/>
        <v>392898.59</v>
      </c>
      <c r="R11" s="4">
        <f t="shared" si="0"/>
        <v>428141.58999999997</v>
      </c>
      <c r="T11" s="5">
        <f t="shared" si="2"/>
        <v>1554695.3000000003</v>
      </c>
    </row>
    <row r="12" spans="1:20" x14ac:dyDescent="0.35">
      <c r="A12" t="s">
        <v>34</v>
      </c>
      <c r="B12" s="4">
        <f>SUMIFS(Budget_marketing_pipeline!$J:$J,Budget_marketing_pipeline!$D:$D,'Budget Summary'!$A12,Budget_marketing_pipeline!$C:$C,'Budget Summary'!B$3)</f>
        <v>71910.240000000005</v>
      </c>
      <c r="C12" s="4">
        <f>SUMIFS(Budget_marketing_pipeline!$J:$J,Budget_marketing_pipeline!$D:$D,'Budget Summary'!$A12,Budget_marketing_pipeline!$C:$C,'Budget Summary'!C$3)</f>
        <v>136485.64000000001</v>
      </c>
      <c r="D12" s="4">
        <f>SUMIFS(Budget_marketing_pipeline!$J:$J,Budget_marketing_pipeline!$D:$D,'Budget Summary'!$A12,Budget_marketing_pipeline!$C:$C,'Budget Summary'!D$3)</f>
        <v>71870.350000000006</v>
      </c>
      <c r="E12" s="4">
        <f>SUMIFS(Budget_marketing_pipeline!$J:$J,Budget_marketing_pipeline!$D:$D,'Budget Summary'!$A12,Budget_marketing_pipeline!$C:$C,'Budget Summary'!E$3)</f>
        <v>100912.24</v>
      </c>
      <c r="F12" s="4">
        <f>SUMIFS(Budget_marketing_pipeline!$J:$J,Budget_marketing_pipeline!$D:$D,'Budget Summary'!$A12,Budget_marketing_pipeline!$C:$C,'Budget Summary'!F$3)</f>
        <v>94222.59</v>
      </c>
      <c r="G12" s="4">
        <f>SUMIFS(Budget_marketing_pipeline!$J:$J,Budget_marketing_pipeline!$D:$D,'Budget Summary'!$A12,Budget_marketing_pipeline!$C:$C,'Budget Summary'!G$3)</f>
        <v>173294.63</v>
      </c>
      <c r="H12" s="4">
        <f>SUMIFS(Budget_marketing_pipeline!$J:$J,Budget_marketing_pipeline!$D:$D,'Budget Summary'!$A12,Budget_marketing_pipeline!$C:$C,'Budget Summary'!H$3)</f>
        <v>242621.21</v>
      </c>
      <c r="I12" s="4">
        <f>SUMIFS(Budget_marketing_pipeline!$J:$J,Budget_marketing_pipeline!$D:$D,'Budget Summary'!$A12,Budget_marketing_pipeline!$C:$C,'Budget Summary'!I$3)</f>
        <v>136000.32999999999</v>
      </c>
      <c r="J12" s="4">
        <f>SUMIFS(Budget_marketing_pipeline!$J:$J,Budget_marketing_pipeline!$D:$D,'Budget Summary'!$A12,Budget_marketing_pipeline!$C:$C,'Budget Summary'!J$3)</f>
        <v>124685.23</v>
      </c>
      <c r="K12" s="4">
        <f>SUMIFS(Budget_marketing_pipeline!$J:$J,Budget_marketing_pipeline!$D:$D,'Budget Summary'!$A12,Budget_marketing_pipeline!$C:$C,'Budget Summary'!K$3)</f>
        <v>278301.86</v>
      </c>
      <c r="L12" s="4">
        <f>SUMIFS(Budget_marketing_pipeline!$J:$J,Budget_marketing_pipeline!$D:$D,'Budget Summary'!$A12,Budget_marketing_pipeline!$C:$C,'Budget Summary'!L$3)</f>
        <v>141939.06</v>
      </c>
      <c r="M12" s="4">
        <f>SUMIFS(Budget_marketing_pipeline!$J:$J,Budget_marketing_pipeline!$D:$D,'Budget Summary'!$A12,Budget_marketing_pipeline!$C:$C,'Budget Summary'!M$3)</f>
        <v>235500.65</v>
      </c>
      <c r="O12" s="4">
        <f t="shared" si="1"/>
        <v>280266.23</v>
      </c>
      <c r="P12" s="4">
        <f t="shared" si="0"/>
        <v>368429.46</v>
      </c>
      <c r="Q12" s="4">
        <f t="shared" si="0"/>
        <v>503306.76999999996</v>
      </c>
      <c r="R12" s="4">
        <f t="shared" si="0"/>
        <v>655741.56999999995</v>
      </c>
      <c r="T12" s="5">
        <f t="shared" si="2"/>
        <v>1807744.0299999998</v>
      </c>
    </row>
    <row r="13" spans="1:20" x14ac:dyDescent="0.35">
      <c r="A13" t="s">
        <v>35</v>
      </c>
      <c r="B13" s="4">
        <f>SUMIFS(Budget_marketing_pipeline!$J:$J,Budget_marketing_pipeline!$D:$D,'Budget Summary'!$A13,Budget_marketing_pipeline!$C:$C,'Budget Summary'!B$3)</f>
        <v>66111.34</v>
      </c>
      <c r="C13" s="4">
        <f>SUMIFS(Budget_marketing_pipeline!$J:$J,Budget_marketing_pipeline!$D:$D,'Budget Summary'!$A13,Budget_marketing_pipeline!$C:$C,'Budget Summary'!C$3)</f>
        <v>54991.97</v>
      </c>
      <c r="D13" s="4">
        <f>SUMIFS(Budget_marketing_pipeline!$J:$J,Budget_marketing_pipeline!$D:$D,'Budget Summary'!$A13,Budget_marketing_pipeline!$C:$C,'Budget Summary'!D$3)</f>
        <v>271057.86</v>
      </c>
      <c r="E13" s="4">
        <f>SUMIFS(Budget_marketing_pipeline!$J:$J,Budget_marketing_pipeline!$D:$D,'Budget Summary'!$A13,Budget_marketing_pipeline!$C:$C,'Budget Summary'!E$3)</f>
        <v>228055.47</v>
      </c>
      <c r="F13" s="4">
        <f>SUMIFS(Budget_marketing_pipeline!$J:$J,Budget_marketing_pipeline!$D:$D,'Budget Summary'!$A13,Budget_marketing_pipeline!$C:$C,'Budget Summary'!F$3)</f>
        <v>170604.14</v>
      </c>
      <c r="G13" s="4">
        <f>SUMIFS(Budget_marketing_pipeline!$J:$J,Budget_marketing_pipeline!$D:$D,'Budget Summary'!$A13,Budget_marketing_pipeline!$C:$C,'Budget Summary'!G$3)</f>
        <v>209653.88</v>
      </c>
      <c r="H13" s="4">
        <f>SUMIFS(Budget_marketing_pipeline!$J:$J,Budget_marketing_pipeline!$D:$D,'Budget Summary'!$A13,Budget_marketing_pipeline!$C:$C,'Budget Summary'!H$3)</f>
        <v>84111.14</v>
      </c>
      <c r="I13" s="4">
        <f>SUMIFS(Budget_marketing_pipeline!$J:$J,Budget_marketing_pipeline!$D:$D,'Budget Summary'!$A13,Budget_marketing_pipeline!$C:$C,'Budget Summary'!I$3)</f>
        <v>461546.2</v>
      </c>
      <c r="J13" s="4">
        <f>SUMIFS(Budget_marketing_pipeline!$J:$J,Budget_marketing_pipeline!$D:$D,'Budget Summary'!$A13,Budget_marketing_pipeline!$C:$C,'Budget Summary'!J$3)</f>
        <v>176806.08</v>
      </c>
      <c r="K13" s="4">
        <f>SUMIFS(Budget_marketing_pipeline!$J:$J,Budget_marketing_pipeline!$D:$D,'Budget Summary'!$A13,Budget_marketing_pipeline!$C:$C,'Budget Summary'!K$3)</f>
        <v>34929.93</v>
      </c>
      <c r="L13" s="4">
        <f>SUMIFS(Budget_marketing_pipeline!$J:$J,Budget_marketing_pipeline!$D:$D,'Budget Summary'!$A13,Budget_marketing_pipeline!$C:$C,'Budget Summary'!L$3)</f>
        <v>160033.09</v>
      </c>
      <c r="M13" s="4">
        <f>SUMIFS(Budget_marketing_pipeline!$J:$J,Budget_marketing_pipeline!$D:$D,'Budget Summary'!$A13,Budget_marketing_pipeline!$C:$C,'Budget Summary'!M$3)</f>
        <v>146392.20000000001</v>
      </c>
      <c r="O13" s="4">
        <f t="shared" si="1"/>
        <v>392161.17</v>
      </c>
      <c r="P13" s="4">
        <f t="shared" si="0"/>
        <v>608313.49</v>
      </c>
      <c r="Q13" s="4">
        <f t="shared" si="0"/>
        <v>722463.41999999993</v>
      </c>
      <c r="R13" s="4">
        <f t="shared" si="0"/>
        <v>341355.22</v>
      </c>
      <c r="T13" s="5">
        <f t="shared" si="2"/>
        <v>2064293.2999999998</v>
      </c>
    </row>
    <row r="14" spans="1:20" x14ac:dyDescent="0.35">
      <c r="A14" t="s">
        <v>36</v>
      </c>
      <c r="B14" s="4">
        <f>SUMIFS(Budget_marketing_pipeline!$J:$J,Budget_marketing_pipeline!$D:$D,'Budget Summary'!$A14,Budget_marketing_pipeline!$C:$C,'Budget Summary'!B$3)</f>
        <v>0</v>
      </c>
      <c r="C14" s="4">
        <f>SUMIFS(Budget_marketing_pipeline!$J:$J,Budget_marketing_pipeline!$D:$D,'Budget Summary'!$A14,Budget_marketing_pipeline!$C:$C,'Budget Summary'!C$3)</f>
        <v>0</v>
      </c>
      <c r="D14" s="4">
        <f>SUMIFS(Budget_marketing_pipeline!$J:$J,Budget_marketing_pipeline!$D:$D,'Budget Summary'!$A14,Budget_marketing_pipeline!$C:$C,'Budget Summary'!D$3)</f>
        <v>0</v>
      </c>
      <c r="E14" s="4">
        <f>SUMIFS(Budget_marketing_pipeline!$J:$J,Budget_marketing_pipeline!$D:$D,'Budget Summary'!$A14,Budget_marketing_pipeline!$C:$C,'Budget Summary'!E$3)</f>
        <v>0</v>
      </c>
      <c r="F14" s="4">
        <f>SUMIFS(Budget_marketing_pipeline!$J:$J,Budget_marketing_pipeline!$D:$D,'Budget Summary'!$A14,Budget_marketing_pipeline!$C:$C,'Budget Summary'!F$3)</f>
        <v>0</v>
      </c>
      <c r="G14" s="4">
        <f>SUMIFS(Budget_marketing_pipeline!$J:$J,Budget_marketing_pipeline!$D:$D,'Budget Summary'!$A14,Budget_marketing_pipeline!$C:$C,'Budget Summary'!G$3)</f>
        <v>0</v>
      </c>
      <c r="H14" s="4">
        <f>SUMIFS(Budget_marketing_pipeline!$J:$J,Budget_marketing_pipeline!$D:$D,'Budget Summary'!$A14,Budget_marketing_pipeline!$C:$C,'Budget Summary'!H$3)</f>
        <v>0</v>
      </c>
      <c r="I14" s="4">
        <f>SUMIFS(Budget_marketing_pipeline!$J:$J,Budget_marketing_pipeline!$D:$D,'Budget Summary'!$A14,Budget_marketing_pipeline!$C:$C,'Budget Summary'!I$3)</f>
        <v>0</v>
      </c>
      <c r="J14" s="4">
        <f>SUMIFS(Budget_marketing_pipeline!$J:$J,Budget_marketing_pipeline!$D:$D,'Budget Summary'!$A14,Budget_marketing_pipeline!$C:$C,'Budget Summary'!J$3)</f>
        <v>0</v>
      </c>
      <c r="K14" s="4">
        <f>SUMIFS(Budget_marketing_pipeline!$J:$J,Budget_marketing_pipeline!$D:$D,'Budget Summary'!$A14,Budget_marketing_pipeline!$C:$C,'Budget Summary'!K$3)</f>
        <v>0</v>
      </c>
      <c r="L14" s="4">
        <f>SUMIFS(Budget_marketing_pipeline!$J:$J,Budget_marketing_pipeline!$D:$D,'Budget Summary'!$A14,Budget_marketing_pipeline!$C:$C,'Budget Summary'!L$3)</f>
        <v>0</v>
      </c>
      <c r="M14" s="4">
        <f>SUMIFS(Budget_marketing_pipeline!$J:$J,Budget_marketing_pipeline!$D:$D,'Budget Summary'!$A14,Budget_marketing_pipeline!$C:$C,'Budget Summary'!M$3)</f>
        <v>0</v>
      </c>
      <c r="O14" s="4">
        <f t="shared" si="1"/>
        <v>0</v>
      </c>
      <c r="P14" s="4">
        <f t="shared" si="0"/>
        <v>0</v>
      </c>
      <c r="Q14" s="4">
        <f t="shared" si="0"/>
        <v>0</v>
      </c>
      <c r="R14" s="4">
        <f t="shared" si="0"/>
        <v>0</v>
      </c>
      <c r="T14" s="5">
        <f t="shared" si="2"/>
        <v>0</v>
      </c>
    </row>
    <row r="15" spans="1:20" s="9" customFormat="1" x14ac:dyDescent="0.35">
      <c r="A15" s="9" t="s">
        <v>63</v>
      </c>
      <c r="B15" s="9">
        <f>SUM(B4:B14)</f>
        <v>1046833.0599999999</v>
      </c>
      <c r="C15" s="9">
        <f t="shared" ref="C15:M15" si="3">SUM(C4:C14)</f>
        <v>1535358.1099999996</v>
      </c>
      <c r="D15" s="9">
        <f t="shared" si="3"/>
        <v>1450229.6099999999</v>
      </c>
      <c r="E15" s="9">
        <f t="shared" si="3"/>
        <v>1556069.31</v>
      </c>
      <c r="F15" s="9">
        <f t="shared" si="3"/>
        <v>1693844.87</v>
      </c>
      <c r="G15" s="9">
        <f t="shared" si="3"/>
        <v>1803851.9</v>
      </c>
      <c r="H15" s="9">
        <f t="shared" si="3"/>
        <v>1552151.91</v>
      </c>
      <c r="I15" s="9">
        <f t="shared" si="3"/>
        <v>1914932.01</v>
      </c>
      <c r="J15" s="9">
        <f t="shared" si="3"/>
        <v>1748827.0699999998</v>
      </c>
      <c r="K15" s="9">
        <f t="shared" si="3"/>
        <v>1608318.91</v>
      </c>
      <c r="L15" s="9">
        <f t="shared" si="3"/>
        <v>1306634.52</v>
      </c>
      <c r="M15" s="9">
        <f t="shared" si="3"/>
        <v>1400089.02</v>
      </c>
      <c r="O15" s="9">
        <f t="shared" si="1"/>
        <v>4032420.7799999993</v>
      </c>
      <c r="P15" s="9">
        <f t="shared" si="0"/>
        <v>5053766.08</v>
      </c>
      <c r="Q15" s="9">
        <f t="shared" si="0"/>
        <v>5215910.99</v>
      </c>
      <c r="R15" s="9">
        <f t="shared" si="0"/>
        <v>4315042.4499999993</v>
      </c>
      <c r="T15" s="9">
        <f t="shared" si="2"/>
        <v>18617140.299999997</v>
      </c>
    </row>
    <row r="17" spans="1:20" s="7" customFormat="1" x14ac:dyDescent="0.35">
      <c r="A17" s="7" t="s">
        <v>52</v>
      </c>
      <c r="B17" s="10" t="s">
        <v>55</v>
      </c>
      <c r="C17" s="10" t="s">
        <v>55</v>
      </c>
      <c r="D17" s="10" t="s">
        <v>55</v>
      </c>
      <c r="E17" s="10" t="s">
        <v>56</v>
      </c>
      <c r="F17" s="10" t="s">
        <v>56</v>
      </c>
      <c r="G17" s="10" t="s">
        <v>56</v>
      </c>
      <c r="H17" s="10" t="s">
        <v>57</v>
      </c>
      <c r="I17" s="10" t="s">
        <v>57</v>
      </c>
      <c r="J17" s="10" t="s">
        <v>57</v>
      </c>
      <c r="K17" s="10" t="s">
        <v>58</v>
      </c>
      <c r="L17" s="10" t="s">
        <v>58</v>
      </c>
      <c r="M17" s="10" t="s">
        <v>58</v>
      </c>
    </row>
    <row r="18" spans="1:20" s="7" customFormat="1" x14ac:dyDescent="0.35">
      <c r="A18" s="7" t="s">
        <v>3</v>
      </c>
      <c r="B18" s="10" t="s">
        <v>24</v>
      </c>
      <c r="C18" s="10" t="s">
        <v>37</v>
      </c>
      <c r="D18" s="10" t="s">
        <v>38</v>
      </c>
      <c r="E18" s="10" t="s">
        <v>39</v>
      </c>
      <c r="F18" s="10" t="s">
        <v>40</v>
      </c>
      <c r="G18" s="10" t="s">
        <v>43</v>
      </c>
      <c r="H18" s="10" t="s">
        <v>45</v>
      </c>
      <c r="I18" s="10" t="s">
        <v>46</v>
      </c>
      <c r="J18" s="10" t="s">
        <v>47</v>
      </c>
      <c r="K18" s="10" t="s">
        <v>48</v>
      </c>
      <c r="L18" s="10" t="s">
        <v>49</v>
      </c>
      <c r="M18" s="10" t="s">
        <v>50</v>
      </c>
      <c r="O18" s="10" t="s">
        <v>55</v>
      </c>
      <c r="P18" s="10" t="s">
        <v>56</v>
      </c>
      <c r="Q18" s="10" t="s">
        <v>57</v>
      </c>
      <c r="R18" s="10" t="s">
        <v>58</v>
      </c>
      <c r="T18" s="10" t="s">
        <v>64</v>
      </c>
    </row>
    <row r="19" spans="1:20" s="3" customFormat="1" x14ac:dyDescent="0.35">
      <c r="A19" s="3" t="s">
        <v>25</v>
      </c>
      <c r="B19" s="3">
        <f>SUMIFS(Budget_marketing_pipeline!$E:$E,Budget_marketing_pipeline!$D:$D,'Budget Summary'!$A19,Budget_marketing_pipeline!$C:$C,'Budget Summary'!B$3)</f>
        <v>560</v>
      </c>
      <c r="C19" s="3">
        <f>SUMIFS(Budget_marketing_pipeline!$E:$E,Budget_marketing_pipeline!$D:$D,'Budget Summary'!$A19,Budget_marketing_pipeline!$C:$C,'Budget Summary'!C$3)</f>
        <v>932</v>
      </c>
      <c r="D19" s="3">
        <f>SUMIFS(Budget_marketing_pipeline!$E:$E,Budget_marketing_pipeline!$D:$D,'Budget Summary'!$A19,Budget_marketing_pipeline!$C:$C,'Budget Summary'!D$3)</f>
        <v>741</v>
      </c>
      <c r="E19" s="3">
        <f>SUMIFS(Budget_marketing_pipeline!$E:$E,Budget_marketing_pipeline!$D:$D,'Budget Summary'!$A19,Budget_marketing_pipeline!$C:$C,'Budget Summary'!E$3)</f>
        <v>978</v>
      </c>
      <c r="F19" s="3">
        <f>SUMIFS(Budget_marketing_pipeline!$E:$E,Budget_marketing_pipeline!$D:$D,'Budget Summary'!$A19,Budget_marketing_pipeline!$C:$C,'Budget Summary'!F$3)</f>
        <v>927</v>
      </c>
      <c r="G19" s="3">
        <f>SUMIFS(Budget_marketing_pipeline!$E:$E,Budget_marketing_pipeline!$D:$D,'Budget Summary'!$A19,Budget_marketing_pipeline!$C:$C,'Budget Summary'!G$3)</f>
        <v>1027</v>
      </c>
      <c r="H19" s="3">
        <f>SUMIFS(Budget_marketing_pipeline!$E:$E,Budget_marketing_pipeline!$D:$D,'Budget Summary'!$A19,Budget_marketing_pipeline!$C:$C,'Budget Summary'!H$3)</f>
        <v>562</v>
      </c>
      <c r="I19" s="3">
        <f>SUMIFS(Budget_marketing_pipeline!$E:$E,Budget_marketing_pipeline!$D:$D,'Budget Summary'!$A19,Budget_marketing_pipeline!$C:$C,'Budget Summary'!I$3)</f>
        <v>934</v>
      </c>
      <c r="J19" s="3">
        <f>SUMIFS(Budget_marketing_pipeline!$E:$E,Budget_marketing_pipeline!$D:$D,'Budget Summary'!$A19,Budget_marketing_pipeline!$C:$C,'Budget Summary'!J$3)</f>
        <v>610</v>
      </c>
      <c r="K19" s="3">
        <f>SUMIFS(Budget_marketing_pipeline!$E:$E,Budget_marketing_pipeline!$D:$D,'Budget Summary'!$A19,Budget_marketing_pipeline!$C:$C,'Budget Summary'!K$3)</f>
        <v>330</v>
      </c>
      <c r="L19" s="3">
        <f>SUMIFS(Budget_marketing_pipeline!$E:$E,Budget_marketing_pipeline!$D:$D,'Budget Summary'!$A19,Budget_marketing_pipeline!$C:$C,'Budget Summary'!L$3)</f>
        <v>1470</v>
      </c>
      <c r="M19" s="3">
        <f>SUMIFS(Budget_marketing_pipeline!$E:$E,Budget_marketing_pipeline!$D:$D,'Budget Summary'!$A19,Budget_marketing_pipeline!$C:$C,'Budget Summary'!M$3)</f>
        <v>1148</v>
      </c>
      <c r="O19" s="3">
        <f>SUMIFS($B19:$M19,$B$2:$M$2,O$3)</f>
        <v>2233</v>
      </c>
      <c r="P19" s="3">
        <f t="shared" ref="P19:R30" si="4">SUMIFS($B19:$M19,$B$2:$M$2,P$3)</f>
        <v>2932</v>
      </c>
      <c r="Q19" s="3">
        <f t="shared" si="4"/>
        <v>2106</v>
      </c>
      <c r="R19" s="3">
        <f t="shared" si="4"/>
        <v>2948</v>
      </c>
      <c r="T19" s="3">
        <f>SUM(O19:R19)</f>
        <v>10219</v>
      </c>
    </row>
    <row r="20" spans="1:20" s="3" customFormat="1" x14ac:dyDescent="0.35">
      <c r="A20" s="3" t="s">
        <v>27</v>
      </c>
      <c r="B20" s="3">
        <f>SUMIFS(Budget_marketing_pipeline!$E:$E,Budget_marketing_pipeline!$D:$D,'Budget Summary'!$A20,Budget_marketing_pipeline!$C:$C,'Budget Summary'!B$3)</f>
        <v>875</v>
      </c>
      <c r="C20" s="3">
        <f>SUMIFS(Budget_marketing_pipeline!$E:$E,Budget_marketing_pipeline!$D:$D,'Budget Summary'!$A20,Budget_marketing_pipeline!$C:$C,'Budget Summary'!C$3)</f>
        <v>448</v>
      </c>
      <c r="D20" s="3">
        <f>SUMIFS(Budget_marketing_pipeline!$E:$E,Budget_marketing_pipeline!$D:$D,'Budget Summary'!$A20,Budget_marketing_pipeline!$C:$C,'Budget Summary'!D$3)</f>
        <v>1534</v>
      </c>
      <c r="E20" s="3">
        <f>SUMIFS(Budget_marketing_pipeline!$E:$E,Budget_marketing_pipeline!$D:$D,'Budget Summary'!$A20,Budget_marketing_pipeline!$C:$C,'Budget Summary'!E$3)</f>
        <v>1406</v>
      </c>
      <c r="F20" s="3">
        <f>SUMIFS(Budget_marketing_pipeline!$E:$E,Budget_marketing_pipeline!$D:$D,'Budget Summary'!$A20,Budget_marketing_pipeline!$C:$C,'Budget Summary'!F$3)</f>
        <v>574</v>
      </c>
      <c r="G20" s="3">
        <f>SUMIFS(Budget_marketing_pipeline!$E:$E,Budget_marketing_pipeline!$D:$D,'Budget Summary'!$A20,Budget_marketing_pipeline!$C:$C,'Budget Summary'!G$3)</f>
        <v>288</v>
      </c>
      <c r="H20" s="3">
        <f>SUMIFS(Budget_marketing_pipeline!$E:$E,Budget_marketing_pipeline!$D:$D,'Budget Summary'!$A20,Budget_marketing_pipeline!$C:$C,'Budget Summary'!H$3)</f>
        <v>571</v>
      </c>
      <c r="I20" s="3">
        <f>SUMIFS(Budget_marketing_pipeline!$E:$E,Budget_marketing_pipeline!$D:$D,'Budget Summary'!$A20,Budget_marketing_pipeline!$C:$C,'Budget Summary'!I$3)</f>
        <v>493</v>
      </c>
      <c r="J20" s="3">
        <f>SUMIFS(Budget_marketing_pipeline!$E:$E,Budget_marketing_pipeline!$D:$D,'Budget Summary'!$A20,Budget_marketing_pipeline!$C:$C,'Budget Summary'!J$3)</f>
        <v>569</v>
      </c>
      <c r="K20" s="3">
        <f>SUMIFS(Budget_marketing_pipeline!$E:$E,Budget_marketing_pipeline!$D:$D,'Budget Summary'!$A20,Budget_marketing_pipeline!$C:$C,'Budget Summary'!K$3)</f>
        <v>796</v>
      </c>
      <c r="L20" s="3">
        <f>SUMIFS(Budget_marketing_pipeline!$E:$E,Budget_marketing_pipeline!$D:$D,'Budget Summary'!$A20,Budget_marketing_pipeline!$C:$C,'Budget Summary'!L$3)</f>
        <v>714</v>
      </c>
      <c r="M20" s="3">
        <f>SUMIFS(Budget_marketing_pipeline!$E:$E,Budget_marketing_pipeline!$D:$D,'Budget Summary'!$A20,Budget_marketing_pipeline!$C:$C,'Budget Summary'!M$3)</f>
        <v>649</v>
      </c>
      <c r="O20" s="3">
        <f t="shared" ref="O20:O30" si="5">SUMIFS($B20:$M20,$B$2:$M$2,O$3)</f>
        <v>2857</v>
      </c>
      <c r="P20" s="3">
        <f t="shared" si="4"/>
        <v>2268</v>
      </c>
      <c r="Q20" s="3">
        <f t="shared" si="4"/>
        <v>1633</v>
      </c>
      <c r="R20" s="3">
        <f t="shared" si="4"/>
        <v>2159</v>
      </c>
      <c r="T20" s="3">
        <f t="shared" ref="T20:T30" si="6">SUM(O20:R20)</f>
        <v>8917</v>
      </c>
    </row>
    <row r="21" spans="1:20" s="3" customFormat="1" x14ac:dyDescent="0.35">
      <c r="A21" s="3" t="s">
        <v>28</v>
      </c>
      <c r="B21" s="3">
        <f>SUMIFS(Budget_marketing_pipeline!$E:$E,Budget_marketing_pipeline!$D:$D,'Budget Summary'!$A21,Budget_marketing_pipeline!$C:$C,'Budget Summary'!B$3)</f>
        <v>1290</v>
      </c>
      <c r="C21" s="3">
        <f>SUMIFS(Budget_marketing_pipeline!$E:$E,Budget_marketing_pipeline!$D:$D,'Budget Summary'!$A21,Budget_marketing_pipeline!$C:$C,'Budget Summary'!C$3)</f>
        <v>1078</v>
      </c>
      <c r="D21" s="3">
        <f>SUMIFS(Budget_marketing_pipeline!$E:$E,Budget_marketing_pipeline!$D:$D,'Budget Summary'!$A21,Budget_marketing_pipeline!$C:$C,'Budget Summary'!D$3)</f>
        <v>666</v>
      </c>
      <c r="E21" s="3">
        <f>SUMIFS(Budget_marketing_pipeline!$E:$E,Budget_marketing_pipeline!$D:$D,'Budget Summary'!$A21,Budget_marketing_pipeline!$C:$C,'Budget Summary'!E$3)</f>
        <v>484</v>
      </c>
      <c r="F21" s="3">
        <f>SUMIFS(Budget_marketing_pipeline!$E:$E,Budget_marketing_pipeline!$D:$D,'Budget Summary'!$A21,Budget_marketing_pipeline!$C:$C,'Budget Summary'!F$3)</f>
        <v>1083</v>
      </c>
      <c r="G21" s="3">
        <f>SUMIFS(Budget_marketing_pipeline!$E:$E,Budget_marketing_pipeline!$D:$D,'Budget Summary'!$A21,Budget_marketing_pipeline!$C:$C,'Budget Summary'!G$3)</f>
        <v>917</v>
      </c>
      <c r="H21" s="3">
        <f>SUMIFS(Budget_marketing_pipeline!$E:$E,Budget_marketing_pipeline!$D:$D,'Budget Summary'!$A21,Budget_marketing_pipeline!$C:$C,'Budget Summary'!H$3)</f>
        <v>628</v>
      </c>
      <c r="I21" s="3">
        <f>SUMIFS(Budget_marketing_pipeline!$E:$E,Budget_marketing_pipeline!$D:$D,'Budget Summary'!$A21,Budget_marketing_pipeline!$C:$C,'Budget Summary'!I$3)</f>
        <v>580</v>
      </c>
      <c r="J21" s="3">
        <f>SUMIFS(Budget_marketing_pipeline!$E:$E,Budget_marketing_pipeline!$D:$D,'Budget Summary'!$A21,Budget_marketing_pipeline!$C:$C,'Budget Summary'!J$3)</f>
        <v>1317</v>
      </c>
      <c r="K21" s="3">
        <f>SUMIFS(Budget_marketing_pipeline!$E:$E,Budget_marketing_pipeline!$D:$D,'Budget Summary'!$A21,Budget_marketing_pipeline!$C:$C,'Budget Summary'!K$3)</f>
        <v>797</v>
      </c>
      <c r="L21" s="3">
        <f>SUMIFS(Budget_marketing_pipeline!$E:$E,Budget_marketing_pipeline!$D:$D,'Budget Summary'!$A21,Budget_marketing_pipeline!$C:$C,'Budget Summary'!L$3)</f>
        <v>969</v>
      </c>
      <c r="M21" s="3">
        <f>SUMIFS(Budget_marketing_pipeline!$E:$E,Budget_marketing_pipeline!$D:$D,'Budget Summary'!$A21,Budget_marketing_pipeline!$C:$C,'Budget Summary'!M$3)</f>
        <v>1016</v>
      </c>
      <c r="O21" s="3">
        <f t="shared" si="5"/>
        <v>3034</v>
      </c>
      <c r="P21" s="3">
        <f t="shared" si="4"/>
        <v>2484</v>
      </c>
      <c r="Q21" s="3">
        <f t="shared" si="4"/>
        <v>2525</v>
      </c>
      <c r="R21" s="3">
        <f t="shared" si="4"/>
        <v>2782</v>
      </c>
      <c r="T21" s="3">
        <f t="shared" si="6"/>
        <v>10825</v>
      </c>
    </row>
    <row r="22" spans="1:20" s="3" customFormat="1" x14ac:dyDescent="0.35">
      <c r="A22" s="3" t="s">
        <v>29</v>
      </c>
      <c r="B22" s="3">
        <f>SUMIFS(Budget_marketing_pipeline!$E:$E,Budget_marketing_pipeline!$D:$D,'Budget Summary'!$A22,Budget_marketing_pipeline!$C:$C,'Budget Summary'!B$3)</f>
        <v>907</v>
      </c>
      <c r="C22" s="3">
        <f>SUMIFS(Budget_marketing_pipeline!$E:$E,Budget_marketing_pipeline!$D:$D,'Budget Summary'!$A22,Budget_marketing_pipeline!$C:$C,'Budget Summary'!C$3)</f>
        <v>1188</v>
      </c>
      <c r="D22" s="3">
        <f>SUMIFS(Budget_marketing_pipeline!$E:$E,Budget_marketing_pipeline!$D:$D,'Budget Summary'!$A22,Budget_marketing_pipeline!$C:$C,'Budget Summary'!D$3)</f>
        <v>495</v>
      </c>
      <c r="E22" s="3">
        <f>SUMIFS(Budget_marketing_pipeline!$E:$E,Budget_marketing_pipeline!$D:$D,'Budget Summary'!$A22,Budget_marketing_pipeline!$C:$C,'Budget Summary'!E$3)</f>
        <v>844</v>
      </c>
      <c r="F22" s="3">
        <f>SUMIFS(Budget_marketing_pipeline!$E:$E,Budget_marketing_pipeline!$D:$D,'Budget Summary'!$A22,Budget_marketing_pipeline!$C:$C,'Budget Summary'!F$3)</f>
        <v>336</v>
      </c>
      <c r="G22" s="3">
        <f>SUMIFS(Budget_marketing_pipeline!$E:$E,Budget_marketing_pipeline!$D:$D,'Budget Summary'!$A22,Budget_marketing_pipeline!$C:$C,'Budget Summary'!G$3)</f>
        <v>645</v>
      </c>
      <c r="H22" s="3">
        <f>SUMIFS(Budget_marketing_pipeline!$E:$E,Budget_marketing_pipeline!$D:$D,'Budget Summary'!$A22,Budget_marketing_pipeline!$C:$C,'Budget Summary'!H$3)</f>
        <v>1233</v>
      </c>
      <c r="I22" s="3">
        <f>SUMIFS(Budget_marketing_pipeline!$E:$E,Budget_marketing_pipeline!$D:$D,'Budget Summary'!$A22,Budget_marketing_pipeline!$C:$C,'Budget Summary'!I$3)</f>
        <v>519</v>
      </c>
      <c r="J22" s="3">
        <f>SUMIFS(Budget_marketing_pipeline!$E:$E,Budget_marketing_pipeline!$D:$D,'Budget Summary'!$A22,Budget_marketing_pipeline!$C:$C,'Budget Summary'!J$3)</f>
        <v>432</v>
      </c>
      <c r="K22" s="3">
        <f>SUMIFS(Budget_marketing_pipeline!$E:$E,Budget_marketing_pipeline!$D:$D,'Budget Summary'!$A22,Budget_marketing_pipeline!$C:$C,'Budget Summary'!K$3)</f>
        <v>1184</v>
      </c>
      <c r="L22" s="3">
        <f>SUMIFS(Budget_marketing_pipeline!$E:$E,Budget_marketing_pipeline!$D:$D,'Budget Summary'!$A22,Budget_marketing_pipeline!$C:$C,'Budget Summary'!L$3)</f>
        <v>1341</v>
      </c>
      <c r="M22" s="3">
        <f>SUMIFS(Budget_marketing_pipeline!$E:$E,Budget_marketing_pipeline!$D:$D,'Budget Summary'!$A22,Budget_marketing_pipeline!$C:$C,'Budget Summary'!M$3)</f>
        <v>700</v>
      </c>
      <c r="O22" s="3">
        <f t="shared" si="5"/>
        <v>2590</v>
      </c>
      <c r="P22" s="3">
        <f t="shared" si="4"/>
        <v>1825</v>
      </c>
      <c r="Q22" s="3">
        <f t="shared" si="4"/>
        <v>2184</v>
      </c>
      <c r="R22" s="3">
        <f t="shared" si="4"/>
        <v>3225</v>
      </c>
      <c r="T22" s="3">
        <f t="shared" si="6"/>
        <v>9824</v>
      </c>
    </row>
    <row r="23" spans="1:20" s="3" customFormat="1" x14ac:dyDescent="0.35">
      <c r="A23" s="3" t="s">
        <v>30</v>
      </c>
      <c r="B23" s="3">
        <f>SUMIFS(Budget_marketing_pipeline!$E:$E,Budget_marketing_pipeline!$D:$D,'Budget Summary'!$A23,Budget_marketing_pipeline!$C:$C,'Budget Summary'!B$3)</f>
        <v>302</v>
      </c>
      <c r="C23" s="3">
        <f>SUMIFS(Budget_marketing_pipeline!$E:$E,Budget_marketing_pipeline!$D:$D,'Budget Summary'!$A23,Budget_marketing_pipeline!$C:$C,'Budget Summary'!C$3)</f>
        <v>599</v>
      </c>
      <c r="D23" s="3">
        <f>SUMIFS(Budget_marketing_pipeline!$E:$E,Budget_marketing_pipeline!$D:$D,'Budget Summary'!$A23,Budget_marketing_pipeline!$C:$C,'Budget Summary'!D$3)</f>
        <v>274</v>
      </c>
      <c r="E23" s="3">
        <f>SUMIFS(Budget_marketing_pipeline!$E:$E,Budget_marketing_pipeline!$D:$D,'Budget Summary'!$A23,Budget_marketing_pipeline!$C:$C,'Budget Summary'!E$3)</f>
        <v>1107</v>
      </c>
      <c r="F23" s="3">
        <f>SUMIFS(Budget_marketing_pipeline!$E:$E,Budget_marketing_pipeline!$D:$D,'Budget Summary'!$A23,Budget_marketing_pipeline!$C:$C,'Budget Summary'!F$3)</f>
        <v>655</v>
      </c>
      <c r="G23" s="3">
        <f>SUMIFS(Budget_marketing_pipeline!$E:$E,Budget_marketing_pipeline!$D:$D,'Budget Summary'!$A23,Budget_marketing_pipeline!$C:$C,'Budget Summary'!G$3)</f>
        <v>375</v>
      </c>
      <c r="H23" s="3">
        <f>SUMIFS(Budget_marketing_pipeline!$E:$E,Budget_marketing_pipeline!$D:$D,'Budget Summary'!$A23,Budget_marketing_pipeline!$C:$C,'Budget Summary'!H$3)</f>
        <v>1026</v>
      </c>
      <c r="I23" s="3">
        <f>SUMIFS(Budget_marketing_pipeline!$E:$E,Budget_marketing_pipeline!$D:$D,'Budget Summary'!$A23,Budget_marketing_pipeline!$C:$C,'Budget Summary'!I$3)</f>
        <v>550</v>
      </c>
      <c r="J23" s="3">
        <f>SUMIFS(Budget_marketing_pipeline!$E:$E,Budget_marketing_pipeline!$D:$D,'Budget Summary'!$A23,Budget_marketing_pipeline!$C:$C,'Budget Summary'!J$3)</f>
        <v>368</v>
      </c>
      <c r="K23" s="3">
        <f>SUMIFS(Budget_marketing_pipeline!$E:$E,Budget_marketing_pipeline!$D:$D,'Budget Summary'!$A23,Budget_marketing_pipeline!$C:$C,'Budget Summary'!K$3)</f>
        <v>945</v>
      </c>
      <c r="L23" s="3">
        <f>SUMIFS(Budget_marketing_pipeline!$E:$E,Budget_marketing_pipeline!$D:$D,'Budget Summary'!$A23,Budget_marketing_pipeline!$C:$C,'Budget Summary'!L$3)</f>
        <v>557</v>
      </c>
      <c r="M23" s="3">
        <f>SUMIFS(Budget_marketing_pipeline!$E:$E,Budget_marketing_pipeline!$D:$D,'Budget Summary'!$A23,Budget_marketing_pipeline!$C:$C,'Budget Summary'!M$3)</f>
        <v>489</v>
      </c>
      <c r="O23" s="3">
        <f t="shared" si="5"/>
        <v>1175</v>
      </c>
      <c r="P23" s="3">
        <f t="shared" si="4"/>
        <v>2137</v>
      </c>
      <c r="Q23" s="3">
        <f t="shared" si="4"/>
        <v>1944</v>
      </c>
      <c r="R23" s="3">
        <f t="shared" si="4"/>
        <v>1991</v>
      </c>
      <c r="T23" s="3">
        <f t="shared" si="6"/>
        <v>7247</v>
      </c>
    </row>
    <row r="24" spans="1:20" s="3" customFormat="1" x14ac:dyDescent="0.35">
      <c r="A24" s="3" t="s">
        <v>31</v>
      </c>
      <c r="B24" s="3">
        <f>SUMIFS(Budget_marketing_pipeline!$E:$E,Budget_marketing_pipeline!$D:$D,'Budget Summary'!$A24,Budget_marketing_pipeline!$C:$C,'Budget Summary'!B$3)</f>
        <v>617</v>
      </c>
      <c r="C24" s="3">
        <f>SUMIFS(Budget_marketing_pipeline!$E:$E,Budget_marketing_pipeline!$D:$D,'Budget Summary'!$A24,Budget_marketing_pipeline!$C:$C,'Budget Summary'!C$3)</f>
        <v>974</v>
      </c>
      <c r="D24" s="3">
        <f>SUMIFS(Budget_marketing_pipeline!$E:$E,Budget_marketing_pipeline!$D:$D,'Budget Summary'!$A24,Budget_marketing_pipeline!$C:$C,'Budget Summary'!D$3)</f>
        <v>668</v>
      </c>
      <c r="E24" s="3">
        <f>SUMIFS(Budget_marketing_pipeline!$E:$E,Budget_marketing_pipeline!$D:$D,'Budget Summary'!$A24,Budget_marketing_pipeline!$C:$C,'Budget Summary'!E$3)</f>
        <v>642</v>
      </c>
      <c r="F24" s="3">
        <f>SUMIFS(Budget_marketing_pipeline!$E:$E,Budget_marketing_pipeline!$D:$D,'Budget Summary'!$A24,Budget_marketing_pipeline!$C:$C,'Budget Summary'!F$3)</f>
        <v>1281</v>
      </c>
      <c r="G24" s="3">
        <f>SUMIFS(Budget_marketing_pipeline!$E:$E,Budget_marketing_pipeline!$D:$D,'Budget Summary'!$A24,Budget_marketing_pipeline!$C:$C,'Budget Summary'!G$3)</f>
        <v>566</v>
      </c>
      <c r="H24" s="3">
        <f>SUMIFS(Budget_marketing_pipeline!$E:$E,Budget_marketing_pipeline!$D:$D,'Budget Summary'!$A24,Budget_marketing_pipeline!$C:$C,'Budget Summary'!H$3)</f>
        <v>691</v>
      </c>
      <c r="I24" s="3">
        <f>SUMIFS(Budget_marketing_pipeline!$E:$E,Budget_marketing_pipeline!$D:$D,'Budget Summary'!$A24,Budget_marketing_pipeline!$C:$C,'Budget Summary'!I$3)</f>
        <v>945</v>
      </c>
      <c r="J24" s="3">
        <f>SUMIFS(Budget_marketing_pipeline!$E:$E,Budget_marketing_pipeline!$D:$D,'Budget Summary'!$A24,Budget_marketing_pipeline!$C:$C,'Budget Summary'!J$3)</f>
        <v>932</v>
      </c>
      <c r="K24" s="3">
        <f>SUMIFS(Budget_marketing_pipeline!$E:$E,Budget_marketing_pipeline!$D:$D,'Budget Summary'!$A24,Budget_marketing_pipeline!$C:$C,'Budget Summary'!K$3)</f>
        <v>815</v>
      </c>
      <c r="L24" s="3">
        <f>SUMIFS(Budget_marketing_pipeline!$E:$E,Budget_marketing_pipeline!$D:$D,'Budget Summary'!$A24,Budget_marketing_pipeline!$C:$C,'Budget Summary'!L$3)</f>
        <v>648</v>
      </c>
      <c r="M24" s="3">
        <f>SUMIFS(Budget_marketing_pipeline!$E:$E,Budget_marketing_pipeline!$D:$D,'Budget Summary'!$A24,Budget_marketing_pipeline!$C:$C,'Budget Summary'!M$3)</f>
        <v>731</v>
      </c>
      <c r="O24" s="3">
        <f t="shared" si="5"/>
        <v>2259</v>
      </c>
      <c r="P24" s="3">
        <f t="shared" si="4"/>
        <v>2489</v>
      </c>
      <c r="Q24" s="3">
        <f t="shared" si="4"/>
        <v>2568</v>
      </c>
      <c r="R24" s="3">
        <f t="shared" si="4"/>
        <v>2194</v>
      </c>
      <c r="T24" s="3">
        <f t="shared" si="6"/>
        <v>9510</v>
      </c>
    </row>
    <row r="25" spans="1:20" s="3" customFormat="1" x14ac:dyDescent="0.35">
      <c r="A25" s="3" t="s">
        <v>32</v>
      </c>
      <c r="B25" s="3">
        <f>SUMIFS(Budget_marketing_pipeline!$E:$E,Budget_marketing_pipeline!$D:$D,'Budget Summary'!$A25,Budget_marketing_pipeline!$C:$C,'Budget Summary'!B$3)</f>
        <v>655</v>
      </c>
      <c r="C25" s="3">
        <f>SUMIFS(Budget_marketing_pipeline!$E:$E,Budget_marketing_pipeline!$D:$D,'Budget Summary'!$A25,Budget_marketing_pipeline!$C:$C,'Budget Summary'!C$3)</f>
        <v>600</v>
      </c>
      <c r="D25" s="3">
        <f>SUMIFS(Budget_marketing_pipeline!$E:$E,Budget_marketing_pipeline!$D:$D,'Budget Summary'!$A25,Budget_marketing_pipeline!$C:$C,'Budget Summary'!D$3)</f>
        <v>868</v>
      </c>
      <c r="E25" s="3">
        <f>SUMIFS(Budget_marketing_pipeline!$E:$E,Budget_marketing_pipeline!$D:$D,'Budget Summary'!$A25,Budget_marketing_pipeline!$C:$C,'Budget Summary'!E$3)</f>
        <v>366</v>
      </c>
      <c r="F25" s="3">
        <f>SUMIFS(Budget_marketing_pipeline!$E:$E,Budget_marketing_pipeline!$D:$D,'Budget Summary'!$A25,Budget_marketing_pipeline!$C:$C,'Budget Summary'!F$3)</f>
        <v>657</v>
      </c>
      <c r="G25" s="3">
        <f>SUMIFS(Budget_marketing_pipeline!$E:$E,Budget_marketing_pipeline!$D:$D,'Budget Summary'!$A25,Budget_marketing_pipeline!$C:$C,'Budget Summary'!G$3)</f>
        <v>1380</v>
      </c>
      <c r="H25" s="3">
        <f>SUMIFS(Budget_marketing_pipeline!$E:$E,Budget_marketing_pipeline!$D:$D,'Budget Summary'!$A25,Budget_marketing_pipeline!$C:$C,'Budget Summary'!H$3)</f>
        <v>1307</v>
      </c>
      <c r="I25" s="3">
        <f>SUMIFS(Budget_marketing_pipeline!$E:$E,Budget_marketing_pipeline!$D:$D,'Budget Summary'!$A25,Budget_marketing_pipeline!$C:$C,'Budget Summary'!I$3)</f>
        <v>670</v>
      </c>
      <c r="J25" s="3">
        <f>SUMIFS(Budget_marketing_pipeline!$E:$E,Budget_marketing_pipeline!$D:$D,'Budget Summary'!$A25,Budget_marketing_pipeline!$C:$C,'Budget Summary'!J$3)</f>
        <v>861</v>
      </c>
      <c r="K25" s="3">
        <f>SUMIFS(Budget_marketing_pipeline!$E:$E,Budget_marketing_pipeline!$D:$D,'Budget Summary'!$A25,Budget_marketing_pipeline!$C:$C,'Budget Summary'!K$3)</f>
        <v>763</v>
      </c>
      <c r="L25" s="3">
        <f>SUMIFS(Budget_marketing_pipeline!$E:$E,Budget_marketing_pipeline!$D:$D,'Budget Summary'!$A25,Budget_marketing_pipeline!$C:$C,'Budget Summary'!L$3)</f>
        <v>445</v>
      </c>
      <c r="M25" s="3">
        <f>SUMIFS(Budget_marketing_pipeline!$E:$E,Budget_marketing_pipeline!$D:$D,'Budget Summary'!$A25,Budget_marketing_pipeline!$C:$C,'Budget Summary'!M$3)</f>
        <v>959</v>
      </c>
      <c r="O25" s="3">
        <f t="shared" si="5"/>
        <v>2123</v>
      </c>
      <c r="P25" s="3">
        <f t="shared" si="4"/>
        <v>2403</v>
      </c>
      <c r="Q25" s="3">
        <f t="shared" si="4"/>
        <v>2838</v>
      </c>
      <c r="R25" s="3">
        <f t="shared" si="4"/>
        <v>2167</v>
      </c>
      <c r="T25" s="3">
        <f t="shared" si="6"/>
        <v>9531</v>
      </c>
    </row>
    <row r="26" spans="1:20" s="3" customFormat="1" x14ac:dyDescent="0.35">
      <c r="A26" s="3" t="s">
        <v>33</v>
      </c>
      <c r="B26" s="3">
        <f>SUMIFS(Budget_marketing_pipeline!$E:$E,Budget_marketing_pipeline!$D:$D,'Budget Summary'!$A26,Budget_marketing_pipeline!$C:$C,'Budget Summary'!B$3)</f>
        <v>302</v>
      </c>
      <c r="C26" s="3">
        <f>SUMIFS(Budget_marketing_pipeline!$E:$E,Budget_marketing_pipeline!$D:$D,'Budget Summary'!$A26,Budget_marketing_pipeline!$C:$C,'Budget Summary'!C$3)</f>
        <v>695</v>
      </c>
      <c r="D26" s="3">
        <f>SUMIFS(Budget_marketing_pipeline!$E:$E,Budget_marketing_pipeline!$D:$D,'Budget Summary'!$A26,Budget_marketing_pipeline!$C:$C,'Budget Summary'!D$3)</f>
        <v>745</v>
      </c>
      <c r="E26" s="3">
        <f>SUMIFS(Budget_marketing_pipeline!$E:$E,Budget_marketing_pipeline!$D:$D,'Budget Summary'!$A26,Budget_marketing_pipeline!$C:$C,'Budget Summary'!E$3)</f>
        <v>511</v>
      </c>
      <c r="F26" s="3">
        <f>SUMIFS(Budget_marketing_pipeline!$E:$E,Budget_marketing_pipeline!$D:$D,'Budget Summary'!$A26,Budget_marketing_pipeline!$C:$C,'Budget Summary'!F$3)</f>
        <v>1467</v>
      </c>
      <c r="G26" s="3">
        <f>SUMIFS(Budget_marketing_pipeline!$E:$E,Budget_marketing_pipeline!$D:$D,'Budget Summary'!$A26,Budget_marketing_pipeline!$C:$C,'Budget Summary'!G$3)</f>
        <v>1307</v>
      </c>
      <c r="H26" s="3">
        <f>SUMIFS(Budget_marketing_pipeline!$E:$E,Budget_marketing_pipeline!$D:$D,'Budget Summary'!$A26,Budget_marketing_pipeline!$C:$C,'Budget Summary'!H$3)</f>
        <v>911</v>
      </c>
      <c r="I26" s="3">
        <f>SUMIFS(Budget_marketing_pipeline!$E:$E,Budget_marketing_pipeline!$D:$D,'Budget Summary'!$A26,Budget_marketing_pipeline!$C:$C,'Budget Summary'!I$3)</f>
        <v>846</v>
      </c>
      <c r="J26" s="3">
        <f>SUMIFS(Budget_marketing_pipeline!$E:$E,Budget_marketing_pipeline!$D:$D,'Budget Summary'!$A26,Budget_marketing_pipeline!$C:$C,'Budget Summary'!J$3)</f>
        <v>497</v>
      </c>
      <c r="K26" s="3">
        <f>SUMIFS(Budget_marketing_pipeline!$E:$E,Budget_marketing_pipeline!$D:$D,'Budget Summary'!$A26,Budget_marketing_pipeline!$C:$C,'Budget Summary'!K$3)</f>
        <v>586</v>
      </c>
      <c r="L26" s="3">
        <f>SUMIFS(Budget_marketing_pipeline!$E:$E,Budget_marketing_pipeline!$D:$D,'Budget Summary'!$A26,Budget_marketing_pipeline!$C:$C,'Budget Summary'!L$3)</f>
        <v>903</v>
      </c>
      <c r="M26" s="3">
        <f>SUMIFS(Budget_marketing_pipeline!$E:$E,Budget_marketing_pipeline!$D:$D,'Budget Summary'!$A26,Budget_marketing_pipeline!$C:$C,'Budget Summary'!M$3)</f>
        <v>1185</v>
      </c>
      <c r="O26" s="3">
        <f t="shared" si="5"/>
        <v>1742</v>
      </c>
      <c r="P26" s="3">
        <f t="shared" si="4"/>
        <v>3285</v>
      </c>
      <c r="Q26" s="3">
        <f t="shared" si="4"/>
        <v>2254</v>
      </c>
      <c r="R26" s="3">
        <f t="shared" si="4"/>
        <v>2674</v>
      </c>
      <c r="T26" s="3">
        <f t="shared" si="6"/>
        <v>9955</v>
      </c>
    </row>
    <row r="27" spans="1:20" s="3" customFormat="1" x14ac:dyDescent="0.35">
      <c r="A27" s="3" t="s">
        <v>34</v>
      </c>
      <c r="B27" s="3">
        <f>SUMIFS(Budget_marketing_pipeline!$E:$E,Budget_marketing_pipeline!$D:$D,'Budget Summary'!$A27,Budget_marketing_pipeline!$C:$C,'Budget Summary'!B$3)</f>
        <v>422</v>
      </c>
      <c r="C27" s="3">
        <f>SUMIFS(Budget_marketing_pipeline!$E:$E,Budget_marketing_pipeline!$D:$D,'Budget Summary'!$A27,Budget_marketing_pipeline!$C:$C,'Budget Summary'!C$3)</f>
        <v>1121</v>
      </c>
      <c r="D27" s="3">
        <f>SUMIFS(Budget_marketing_pipeline!$E:$E,Budget_marketing_pipeline!$D:$D,'Budget Summary'!$A27,Budget_marketing_pipeline!$C:$C,'Budget Summary'!D$3)</f>
        <v>415</v>
      </c>
      <c r="E27" s="3">
        <f>SUMIFS(Budget_marketing_pipeline!$E:$E,Budget_marketing_pipeline!$D:$D,'Budget Summary'!$A27,Budget_marketing_pipeline!$C:$C,'Budget Summary'!E$3)</f>
        <v>559</v>
      </c>
      <c r="F27" s="3">
        <f>SUMIFS(Budget_marketing_pipeline!$E:$E,Budget_marketing_pipeline!$D:$D,'Budget Summary'!$A27,Budget_marketing_pipeline!$C:$C,'Budget Summary'!F$3)</f>
        <v>464</v>
      </c>
      <c r="G27" s="3">
        <f>SUMIFS(Budget_marketing_pipeline!$E:$E,Budget_marketing_pipeline!$D:$D,'Budget Summary'!$A27,Budget_marketing_pipeline!$C:$C,'Budget Summary'!G$3)</f>
        <v>1070</v>
      </c>
      <c r="H27" s="3">
        <f>SUMIFS(Budget_marketing_pipeline!$E:$E,Budget_marketing_pipeline!$D:$D,'Budget Summary'!$A27,Budget_marketing_pipeline!$C:$C,'Budget Summary'!H$3)</f>
        <v>922</v>
      </c>
      <c r="I27" s="3">
        <f>SUMIFS(Budget_marketing_pipeline!$E:$E,Budget_marketing_pipeline!$D:$D,'Budget Summary'!$A27,Budget_marketing_pipeline!$C:$C,'Budget Summary'!I$3)</f>
        <v>357</v>
      </c>
      <c r="J27" s="3">
        <f>SUMIFS(Budget_marketing_pipeline!$E:$E,Budget_marketing_pipeline!$D:$D,'Budget Summary'!$A27,Budget_marketing_pipeline!$C:$C,'Budget Summary'!J$3)</f>
        <v>421</v>
      </c>
      <c r="K27" s="3">
        <f>SUMIFS(Budget_marketing_pipeline!$E:$E,Budget_marketing_pipeline!$D:$D,'Budget Summary'!$A27,Budget_marketing_pipeline!$C:$C,'Budget Summary'!K$3)</f>
        <v>1062</v>
      </c>
      <c r="L27" s="3">
        <f>SUMIFS(Budget_marketing_pipeline!$E:$E,Budget_marketing_pipeline!$D:$D,'Budget Summary'!$A27,Budget_marketing_pipeline!$C:$C,'Budget Summary'!L$3)</f>
        <v>1502</v>
      </c>
      <c r="M27" s="3">
        <f>SUMIFS(Budget_marketing_pipeline!$E:$E,Budget_marketing_pipeline!$D:$D,'Budget Summary'!$A27,Budget_marketing_pipeline!$C:$C,'Budget Summary'!M$3)</f>
        <v>902</v>
      </c>
      <c r="O27" s="3">
        <f t="shared" si="5"/>
        <v>1958</v>
      </c>
      <c r="P27" s="3">
        <f t="shared" si="4"/>
        <v>2093</v>
      </c>
      <c r="Q27" s="3">
        <f t="shared" si="4"/>
        <v>1700</v>
      </c>
      <c r="R27" s="3">
        <f t="shared" si="4"/>
        <v>3466</v>
      </c>
      <c r="T27" s="3">
        <f t="shared" si="6"/>
        <v>9217</v>
      </c>
    </row>
    <row r="28" spans="1:20" s="3" customFormat="1" x14ac:dyDescent="0.35">
      <c r="A28" s="3" t="s">
        <v>35</v>
      </c>
      <c r="B28" s="3">
        <f>SUMIFS(Budget_marketing_pipeline!$E:$E,Budget_marketing_pipeline!$D:$D,'Budget Summary'!$A28,Budget_marketing_pipeline!$C:$C,'Budget Summary'!B$3)</f>
        <v>658</v>
      </c>
      <c r="C28" s="3">
        <f>SUMIFS(Budget_marketing_pipeline!$E:$E,Budget_marketing_pipeline!$D:$D,'Budget Summary'!$A28,Budget_marketing_pipeline!$C:$C,'Budget Summary'!C$3)</f>
        <v>403</v>
      </c>
      <c r="D28" s="3">
        <f>SUMIFS(Budget_marketing_pipeline!$E:$E,Budget_marketing_pipeline!$D:$D,'Budget Summary'!$A28,Budget_marketing_pipeline!$C:$C,'Budget Summary'!D$3)</f>
        <v>1408</v>
      </c>
      <c r="E28" s="3">
        <f>SUMIFS(Budget_marketing_pipeline!$E:$E,Budget_marketing_pipeline!$D:$D,'Budget Summary'!$A28,Budget_marketing_pipeline!$C:$C,'Budget Summary'!E$3)</f>
        <v>702</v>
      </c>
      <c r="F28" s="3">
        <f>SUMIFS(Budget_marketing_pipeline!$E:$E,Budget_marketing_pipeline!$D:$D,'Budget Summary'!$A28,Budget_marketing_pipeline!$C:$C,'Budget Summary'!F$3)</f>
        <v>517</v>
      </c>
      <c r="G28" s="3">
        <f>SUMIFS(Budget_marketing_pipeline!$E:$E,Budget_marketing_pipeline!$D:$D,'Budget Summary'!$A28,Budget_marketing_pipeline!$C:$C,'Budget Summary'!G$3)</f>
        <v>1049</v>
      </c>
      <c r="H28" s="3">
        <f>SUMIFS(Budget_marketing_pipeline!$E:$E,Budget_marketing_pipeline!$D:$D,'Budget Summary'!$A28,Budget_marketing_pipeline!$C:$C,'Budget Summary'!H$3)</f>
        <v>516</v>
      </c>
      <c r="I28" s="3">
        <f>SUMIFS(Budget_marketing_pipeline!$E:$E,Budget_marketing_pipeline!$D:$D,'Budget Summary'!$A28,Budget_marketing_pipeline!$C:$C,'Budget Summary'!I$3)</f>
        <v>1242</v>
      </c>
      <c r="J28" s="3">
        <f>SUMIFS(Budget_marketing_pipeline!$E:$E,Budget_marketing_pipeline!$D:$D,'Budget Summary'!$A28,Budget_marketing_pipeline!$C:$C,'Budget Summary'!J$3)</f>
        <v>525</v>
      </c>
      <c r="K28" s="3">
        <f>SUMIFS(Budget_marketing_pipeline!$E:$E,Budget_marketing_pipeline!$D:$D,'Budget Summary'!$A28,Budget_marketing_pipeline!$C:$C,'Budget Summary'!K$3)</f>
        <v>382</v>
      </c>
      <c r="L28" s="3">
        <f>SUMIFS(Budget_marketing_pipeline!$E:$E,Budget_marketing_pipeline!$D:$D,'Budget Summary'!$A28,Budget_marketing_pipeline!$C:$C,'Budget Summary'!L$3)</f>
        <v>759</v>
      </c>
      <c r="M28" s="3">
        <f>SUMIFS(Budget_marketing_pipeline!$E:$E,Budget_marketing_pipeline!$D:$D,'Budget Summary'!$A28,Budget_marketing_pipeline!$C:$C,'Budget Summary'!M$3)</f>
        <v>421</v>
      </c>
      <c r="O28" s="3">
        <f t="shared" si="5"/>
        <v>2469</v>
      </c>
      <c r="P28" s="3">
        <f t="shared" si="4"/>
        <v>2268</v>
      </c>
      <c r="Q28" s="3">
        <f t="shared" si="4"/>
        <v>2283</v>
      </c>
      <c r="R28" s="3">
        <f t="shared" si="4"/>
        <v>1562</v>
      </c>
      <c r="T28" s="3">
        <f t="shared" si="6"/>
        <v>8582</v>
      </c>
    </row>
    <row r="29" spans="1:20" s="3" customFormat="1" x14ac:dyDescent="0.35">
      <c r="A29" s="3" t="s">
        <v>36</v>
      </c>
      <c r="B29" s="3">
        <f>SUMIFS(Budget_marketing_pipeline!$E:$E,Budget_marketing_pipeline!$D:$D,'Budget Summary'!$A29,Budget_marketing_pipeline!$C:$C,'Budget Summary'!B$3)</f>
        <v>0</v>
      </c>
      <c r="C29" s="3">
        <f>SUMIFS(Budget_marketing_pipeline!$E:$E,Budget_marketing_pipeline!$D:$D,'Budget Summary'!$A29,Budget_marketing_pipeline!$C:$C,'Budget Summary'!C$3)</f>
        <v>0</v>
      </c>
      <c r="D29" s="3">
        <f>SUMIFS(Budget_marketing_pipeline!$E:$E,Budget_marketing_pipeline!$D:$D,'Budget Summary'!$A29,Budget_marketing_pipeline!$C:$C,'Budget Summary'!D$3)</f>
        <v>0</v>
      </c>
      <c r="E29" s="3">
        <f>SUMIFS(Budget_marketing_pipeline!$E:$E,Budget_marketing_pipeline!$D:$D,'Budget Summary'!$A29,Budget_marketing_pipeline!$C:$C,'Budget Summary'!E$3)</f>
        <v>0</v>
      </c>
      <c r="F29" s="3">
        <f>SUMIFS(Budget_marketing_pipeline!$E:$E,Budget_marketing_pipeline!$D:$D,'Budget Summary'!$A29,Budget_marketing_pipeline!$C:$C,'Budget Summary'!F$3)</f>
        <v>0</v>
      </c>
      <c r="G29" s="3">
        <f>SUMIFS(Budget_marketing_pipeline!$E:$E,Budget_marketing_pipeline!$D:$D,'Budget Summary'!$A29,Budget_marketing_pipeline!$C:$C,'Budget Summary'!G$3)</f>
        <v>0</v>
      </c>
      <c r="H29" s="3">
        <f>SUMIFS(Budget_marketing_pipeline!$E:$E,Budget_marketing_pipeline!$D:$D,'Budget Summary'!$A29,Budget_marketing_pipeline!$C:$C,'Budget Summary'!H$3)</f>
        <v>0</v>
      </c>
      <c r="I29" s="3">
        <f>SUMIFS(Budget_marketing_pipeline!$E:$E,Budget_marketing_pipeline!$D:$D,'Budget Summary'!$A29,Budget_marketing_pipeline!$C:$C,'Budget Summary'!I$3)</f>
        <v>0</v>
      </c>
      <c r="J29" s="3">
        <f>SUMIFS(Budget_marketing_pipeline!$E:$E,Budget_marketing_pipeline!$D:$D,'Budget Summary'!$A29,Budget_marketing_pipeline!$C:$C,'Budget Summary'!J$3)</f>
        <v>0</v>
      </c>
      <c r="K29" s="3">
        <f>SUMIFS(Budget_marketing_pipeline!$E:$E,Budget_marketing_pipeline!$D:$D,'Budget Summary'!$A29,Budget_marketing_pipeline!$C:$C,'Budget Summary'!K$3)</f>
        <v>0</v>
      </c>
      <c r="L29" s="3">
        <f>SUMIFS(Budget_marketing_pipeline!$E:$E,Budget_marketing_pipeline!$D:$D,'Budget Summary'!$A29,Budget_marketing_pipeline!$C:$C,'Budget Summary'!L$3)</f>
        <v>0</v>
      </c>
      <c r="M29" s="3">
        <f>SUMIFS(Budget_marketing_pipeline!$E:$E,Budget_marketing_pipeline!$D:$D,'Budget Summary'!$A29,Budget_marketing_pipeline!$C:$C,'Budget Summary'!M$3)</f>
        <v>0</v>
      </c>
      <c r="O29" s="3">
        <f t="shared" si="5"/>
        <v>0</v>
      </c>
      <c r="P29" s="3">
        <f t="shared" si="4"/>
        <v>0</v>
      </c>
      <c r="Q29" s="3">
        <f t="shared" si="4"/>
        <v>0</v>
      </c>
      <c r="R29" s="3">
        <f t="shared" si="4"/>
        <v>0</v>
      </c>
      <c r="T29" s="3">
        <f t="shared" si="6"/>
        <v>0</v>
      </c>
    </row>
    <row r="30" spans="1:20" s="3" customFormat="1" x14ac:dyDescent="0.35">
      <c r="A30" s="3" t="s">
        <v>63</v>
      </c>
      <c r="B30" s="3">
        <f>SUM(B19:B29)</f>
        <v>6588</v>
      </c>
      <c r="C30" s="3">
        <f t="shared" ref="C30:M30" si="7">SUM(C19:C29)</f>
        <v>8038</v>
      </c>
      <c r="D30" s="3">
        <f t="shared" si="7"/>
        <v>7814</v>
      </c>
      <c r="E30" s="3">
        <f t="shared" si="7"/>
        <v>7599</v>
      </c>
      <c r="F30" s="3">
        <f t="shared" si="7"/>
        <v>7961</v>
      </c>
      <c r="G30" s="3">
        <f t="shared" si="7"/>
        <v>8624</v>
      </c>
      <c r="H30" s="3">
        <f t="shared" si="7"/>
        <v>8367</v>
      </c>
      <c r="I30" s="3">
        <f t="shared" si="7"/>
        <v>7136</v>
      </c>
      <c r="J30" s="3">
        <f t="shared" si="7"/>
        <v>6532</v>
      </c>
      <c r="K30" s="3">
        <f t="shared" si="7"/>
        <v>7660</v>
      </c>
      <c r="L30" s="3">
        <f t="shared" si="7"/>
        <v>9308</v>
      </c>
      <c r="M30" s="3">
        <f t="shared" si="7"/>
        <v>8200</v>
      </c>
      <c r="O30" s="3">
        <f t="shared" si="5"/>
        <v>22440</v>
      </c>
      <c r="P30" s="3">
        <f t="shared" si="4"/>
        <v>24184</v>
      </c>
      <c r="Q30" s="3">
        <f t="shared" si="4"/>
        <v>22035</v>
      </c>
      <c r="R30" s="3">
        <f t="shared" si="4"/>
        <v>25168</v>
      </c>
      <c r="T30" s="3">
        <f t="shared" si="6"/>
        <v>93827</v>
      </c>
    </row>
    <row r="32" spans="1:20" s="7" customFormat="1" x14ac:dyDescent="0.35">
      <c r="A32" s="7" t="s">
        <v>54</v>
      </c>
      <c r="B32" s="10" t="s">
        <v>55</v>
      </c>
      <c r="C32" s="10" t="s">
        <v>55</v>
      </c>
      <c r="D32" s="10" t="s">
        <v>55</v>
      </c>
      <c r="E32" s="10" t="s">
        <v>56</v>
      </c>
      <c r="F32" s="10" t="s">
        <v>56</v>
      </c>
      <c r="G32" s="10" t="s">
        <v>56</v>
      </c>
      <c r="H32" s="10" t="s">
        <v>57</v>
      </c>
      <c r="I32" s="10" t="s">
        <v>57</v>
      </c>
      <c r="J32" s="10" t="s">
        <v>57</v>
      </c>
      <c r="K32" s="10" t="s">
        <v>58</v>
      </c>
      <c r="L32" s="10" t="s">
        <v>58</v>
      </c>
      <c r="M32" s="10" t="s">
        <v>58</v>
      </c>
    </row>
    <row r="33" spans="1:20" s="7" customFormat="1" x14ac:dyDescent="0.35">
      <c r="A33" s="7" t="s">
        <v>3</v>
      </c>
      <c r="B33" s="10" t="s">
        <v>24</v>
      </c>
      <c r="C33" s="10" t="s">
        <v>37</v>
      </c>
      <c r="D33" s="10" t="s">
        <v>38</v>
      </c>
      <c r="E33" s="10" t="s">
        <v>39</v>
      </c>
      <c r="F33" s="10" t="s">
        <v>40</v>
      </c>
      <c r="G33" s="10" t="s">
        <v>43</v>
      </c>
      <c r="H33" s="10" t="s">
        <v>45</v>
      </c>
      <c r="I33" s="10" t="s">
        <v>46</v>
      </c>
      <c r="J33" s="10" t="s">
        <v>47</v>
      </c>
      <c r="K33" s="10" t="s">
        <v>48</v>
      </c>
      <c r="L33" s="10" t="s">
        <v>49</v>
      </c>
      <c r="M33" s="10" t="s">
        <v>50</v>
      </c>
      <c r="O33" s="10" t="s">
        <v>55</v>
      </c>
      <c r="P33" s="10" t="s">
        <v>56</v>
      </c>
      <c r="Q33" s="10" t="s">
        <v>57</v>
      </c>
      <c r="R33" s="10" t="s">
        <v>58</v>
      </c>
      <c r="T33" s="10" t="s">
        <v>64</v>
      </c>
    </row>
    <row r="34" spans="1:20" s="3" customFormat="1" x14ac:dyDescent="0.35">
      <c r="A34" s="3" t="s">
        <v>25</v>
      </c>
      <c r="B34" s="3">
        <f>SUMIFS(Budget_marketing_pipeline!$F:$F,Budget_marketing_pipeline!$D:$D,'Budget Summary'!$A34,Budget_marketing_pipeline!$C:$C,'Budget Summary'!B$3)</f>
        <v>240</v>
      </c>
      <c r="C34" s="3">
        <f>SUMIFS(Budget_marketing_pipeline!$F:$F,Budget_marketing_pipeline!$D:$D,'Budget Summary'!$A34,Budget_marketing_pipeline!$C:$C,'Budget Summary'!C$3)</f>
        <v>293</v>
      </c>
      <c r="D34" s="3">
        <f>SUMIFS(Budget_marketing_pipeline!$F:$F,Budget_marketing_pipeline!$D:$D,'Budget Summary'!$A34,Budget_marketing_pipeline!$C:$C,'Budget Summary'!D$3)</f>
        <v>199</v>
      </c>
      <c r="E34" s="3">
        <f>SUMIFS(Budget_marketing_pipeline!$F:$F,Budget_marketing_pipeline!$D:$D,'Budget Summary'!$A34,Budget_marketing_pipeline!$C:$C,'Budget Summary'!E$3)</f>
        <v>402</v>
      </c>
      <c r="F34" s="3">
        <f>SUMIFS(Budget_marketing_pipeline!$F:$F,Budget_marketing_pipeline!$D:$D,'Budget Summary'!$A34,Budget_marketing_pipeline!$C:$C,'Budget Summary'!F$3)</f>
        <v>273</v>
      </c>
      <c r="G34" s="3">
        <f>SUMIFS(Budget_marketing_pipeline!$F:$F,Budget_marketing_pipeline!$D:$D,'Budget Summary'!$A34,Budget_marketing_pipeline!$C:$C,'Budget Summary'!G$3)</f>
        <v>371</v>
      </c>
      <c r="H34" s="3">
        <f>SUMIFS(Budget_marketing_pipeline!$F:$F,Budget_marketing_pipeline!$D:$D,'Budget Summary'!$A34,Budget_marketing_pipeline!$C:$C,'Budget Summary'!H$3)</f>
        <v>259</v>
      </c>
      <c r="I34" s="3">
        <f>SUMIFS(Budget_marketing_pipeline!$F:$F,Budget_marketing_pipeline!$D:$D,'Budget Summary'!$A34,Budget_marketing_pipeline!$C:$C,'Budget Summary'!I$3)</f>
        <v>312</v>
      </c>
      <c r="J34" s="3">
        <f>SUMIFS(Budget_marketing_pipeline!$F:$F,Budget_marketing_pipeline!$D:$D,'Budget Summary'!$A34,Budget_marketing_pipeline!$C:$C,'Budget Summary'!J$3)</f>
        <v>164</v>
      </c>
      <c r="K34" s="3">
        <f>SUMIFS(Budget_marketing_pipeline!$F:$F,Budget_marketing_pipeline!$D:$D,'Budget Summary'!$A34,Budget_marketing_pipeline!$C:$C,'Budget Summary'!K$3)</f>
        <v>148</v>
      </c>
      <c r="L34" s="3">
        <f>SUMIFS(Budget_marketing_pipeline!$F:$F,Budget_marketing_pipeline!$D:$D,'Budget Summary'!$A34,Budget_marketing_pipeline!$C:$C,'Budget Summary'!L$3)</f>
        <v>399</v>
      </c>
      <c r="M34" s="3">
        <f>SUMIFS(Budget_marketing_pipeline!$F:$F,Budget_marketing_pipeline!$D:$D,'Budget Summary'!$A34,Budget_marketing_pipeline!$C:$C,'Budget Summary'!M$3)</f>
        <v>389</v>
      </c>
      <c r="O34" s="3">
        <f>SUMIFS($B34:$M34,$B$2:$M$2,O$3)</f>
        <v>732</v>
      </c>
      <c r="P34" s="3">
        <f t="shared" ref="P34:R45" si="8">SUMIFS($B34:$M34,$B$2:$M$2,P$3)</f>
        <v>1046</v>
      </c>
      <c r="Q34" s="3">
        <f t="shared" si="8"/>
        <v>735</v>
      </c>
      <c r="R34" s="3">
        <f t="shared" si="8"/>
        <v>936</v>
      </c>
      <c r="T34" s="3">
        <f>SUM(O34:R34)</f>
        <v>3449</v>
      </c>
    </row>
    <row r="35" spans="1:20" s="3" customFormat="1" x14ac:dyDescent="0.35">
      <c r="A35" s="3" t="s">
        <v>27</v>
      </c>
      <c r="B35" s="3">
        <f>SUMIFS(Budget_marketing_pipeline!$F:$F,Budget_marketing_pipeline!$D:$D,'Budget Summary'!$A35,Budget_marketing_pipeline!$C:$C,'Budget Summary'!B$3)</f>
        <v>266</v>
      </c>
      <c r="C35" s="3">
        <f>SUMIFS(Budget_marketing_pipeline!$F:$F,Budget_marketing_pipeline!$D:$D,'Budget Summary'!$A35,Budget_marketing_pipeline!$C:$C,'Budget Summary'!C$3)</f>
        <v>122</v>
      </c>
      <c r="D35" s="3">
        <f>SUMIFS(Budget_marketing_pipeline!$F:$F,Budget_marketing_pipeline!$D:$D,'Budget Summary'!$A35,Budget_marketing_pipeline!$C:$C,'Budget Summary'!D$3)</f>
        <v>419</v>
      </c>
      <c r="E35" s="3">
        <f>SUMIFS(Budget_marketing_pipeline!$F:$F,Budget_marketing_pipeline!$D:$D,'Budget Summary'!$A35,Budget_marketing_pipeline!$C:$C,'Budget Summary'!E$3)</f>
        <v>384</v>
      </c>
      <c r="F35" s="3">
        <f>SUMIFS(Budget_marketing_pipeline!$F:$F,Budget_marketing_pipeline!$D:$D,'Budget Summary'!$A35,Budget_marketing_pipeline!$C:$C,'Budget Summary'!F$3)</f>
        <v>251</v>
      </c>
      <c r="G35" s="3">
        <f>SUMIFS(Budget_marketing_pipeline!$F:$F,Budget_marketing_pipeline!$D:$D,'Budget Summary'!$A35,Budget_marketing_pipeline!$C:$C,'Budget Summary'!G$3)</f>
        <v>123</v>
      </c>
      <c r="H35" s="3">
        <f>SUMIFS(Budget_marketing_pipeline!$F:$F,Budget_marketing_pipeline!$D:$D,'Budget Summary'!$A35,Budget_marketing_pipeline!$C:$C,'Budget Summary'!H$3)</f>
        <v>276</v>
      </c>
      <c r="I35" s="3">
        <f>SUMIFS(Budget_marketing_pipeline!$F:$F,Budget_marketing_pipeline!$D:$D,'Budget Summary'!$A35,Budget_marketing_pipeline!$C:$C,'Budget Summary'!I$3)</f>
        <v>174</v>
      </c>
      <c r="J35" s="3">
        <f>SUMIFS(Budget_marketing_pipeline!$F:$F,Budget_marketing_pipeline!$D:$D,'Budget Summary'!$A35,Budget_marketing_pipeline!$C:$C,'Budget Summary'!J$3)</f>
        <v>171</v>
      </c>
      <c r="K35" s="3">
        <f>SUMIFS(Budget_marketing_pipeline!$F:$F,Budget_marketing_pipeline!$D:$D,'Budget Summary'!$A35,Budget_marketing_pipeline!$C:$C,'Budget Summary'!K$3)</f>
        <v>252</v>
      </c>
      <c r="L35" s="3">
        <f>SUMIFS(Budget_marketing_pipeline!$F:$F,Budget_marketing_pipeline!$D:$D,'Budget Summary'!$A35,Budget_marketing_pipeline!$C:$C,'Budget Summary'!L$3)</f>
        <v>339</v>
      </c>
      <c r="M35" s="3">
        <f>SUMIFS(Budget_marketing_pipeline!$F:$F,Budget_marketing_pipeline!$D:$D,'Budget Summary'!$A35,Budget_marketing_pipeline!$C:$C,'Budget Summary'!M$3)</f>
        <v>172</v>
      </c>
      <c r="O35" s="3">
        <f t="shared" ref="O35:O45" si="9">SUMIFS($B35:$M35,$B$2:$M$2,O$3)</f>
        <v>807</v>
      </c>
      <c r="P35" s="3">
        <f t="shared" si="8"/>
        <v>758</v>
      </c>
      <c r="Q35" s="3">
        <f t="shared" si="8"/>
        <v>621</v>
      </c>
      <c r="R35" s="3">
        <f t="shared" si="8"/>
        <v>763</v>
      </c>
      <c r="T35" s="3">
        <f t="shared" ref="T35:T45" si="10">SUM(O35:R35)</f>
        <v>2949</v>
      </c>
    </row>
    <row r="36" spans="1:20" s="3" customFormat="1" x14ac:dyDescent="0.35">
      <c r="A36" s="3" t="s">
        <v>28</v>
      </c>
      <c r="B36" s="3">
        <f>SUMIFS(Budget_marketing_pipeline!$F:$F,Budget_marketing_pipeline!$D:$D,'Budget Summary'!$A36,Budget_marketing_pipeline!$C:$C,'Budget Summary'!B$3)</f>
        <v>414</v>
      </c>
      <c r="C36" s="3">
        <f>SUMIFS(Budget_marketing_pipeline!$F:$F,Budget_marketing_pipeline!$D:$D,'Budget Summary'!$A36,Budget_marketing_pipeline!$C:$C,'Budget Summary'!C$3)</f>
        <v>331</v>
      </c>
      <c r="D36" s="3">
        <f>SUMIFS(Budget_marketing_pipeline!$F:$F,Budget_marketing_pipeline!$D:$D,'Budget Summary'!$A36,Budget_marketing_pipeline!$C:$C,'Budget Summary'!D$3)</f>
        <v>245</v>
      </c>
      <c r="E36" s="3">
        <f>SUMIFS(Budget_marketing_pipeline!$F:$F,Budget_marketing_pipeline!$D:$D,'Budget Summary'!$A36,Budget_marketing_pipeline!$C:$C,'Budget Summary'!E$3)</f>
        <v>150</v>
      </c>
      <c r="F36" s="3">
        <f>SUMIFS(Budget_marketing_pipeline!$F:$F,Budget_marketing_pipeline!$D:$D,'Budget Summary'!$A36,Budget_marketing_pipeline!$C:$C,'Budget Summary'!F$3)</f>
        <v>401</v>
      </c>
      <c r="G36" s="3">
        <f>SUMIFS(Budget_marketing_pipeline!$F:$F,Budget_marketing_pipeline!$D:$D,'Budget Summary'!$A36,Budget_marketing_pipeline!$C:$C,'Budget Summary'!G$3)</f>
        <v>419</v>
      </c>
      <c r="H36" s="3">
        <f>SUMIFS(Budget_marketing_pipeline!$F:$F,Budget_marketing_pipeline!$D:$D,'Budget Summary'!$A36,Budget_marketing_pipeline!$C:$C,'Budget Summary'!H$3)</f>
        <v>188</v>
      </c>
      <c r="I36" s="3">
        <f>SUMIFS(Budget_marketing_pipeline!$F:$F,Budget_marketing_pipeline!$D:$D,'Budget Summary'!$A36,Budget_marketing_pipeline!$C:$C,'Budget Summary'!I$3)</f>
        <v>153</v>
      </c>
      <c r="J36" s="3">
        <f>SUMIFS(Budget_marketing_pipeline!$F:$F,Budget_marketing_pipeline!$D:$D,'Budget Summary'!$A36,Budget_marketing_pipeline!$C:$C,'Budget Summary'!J$3)</f>
        <v>363</v>
      </c>
      <c r="K36" s="3">
        <f>SUMIFS(Budget_marketing_pipeline!$F:$F,Budget_marketing_pipeline!$D:$D,'Budget Summary'!$A36,Budget_marketing_pipeline!$C:$C,'Budget Summary'!K$3)</f>
        <v>304</v>
      </c>
      <c r="L36" s="3">
        <f>SUMIFS(Budget_marketing_pipeline!$F:$F,Budget_marketing_pipeline!$D:$D,'Budget Summary'!$A36,Budget_marketing_pipeline!$C:$C,'Budget Summary'!L$3)</f>
        <v>284</v>
      </c>
      <c r="M36" s="3">
        <f>SUMIFS(Budget_marketing_pipeline!$F:$F,Budget_marketing_pipeline!$D:$D,'Budget Summary'!$A36,Budget_marketing_pipeline!$C:$C,'Budget Summary'!M$3)</f>
        <v>417</v>
      </c>
      <c r="O36" s="3">
        <f t="shared" si="9"/>
        <v>990</v>
      </c>
      <c r="P36" s="3">
        <f t="shared" si="8"/>
        <v>970</v>
      </c>
      <c r="Q36" s="3">
        <f t="shared" si="8"/>
        <v>704</v>
      </c>
      <c r="R36" s="3">
        <f t="shared" si="8"/>
        <v>1005</v>
      </c>
      <c r="T36" s="3">
        <f t="shared" si="10"/>
        <v>3669</v>
      </c>
    </row>
    <row r="37" spans="1:20" s="3" customFormat="1" x14ac:dyDescent="0.35">
      <c r="A37" s="3" t="s">
        <v>29</v>
      </c>
      <c r="B37" s="3">
        <f>SUMIFS(Budget_marketing_pipeline!$F:$F,Budget_marketing_pipeline!$D:$D,'Budget Summary'!$A37,Budget_marketing_pipeline!$C:$C,'Budget Summary'!B$3)</f>
        <v>321</v>
      </c>
      <c r="C37" s="3">
        <f>SUMIFS(Budget_marketing_pipeline!$F:$F,Budget_marketing_pipeline!$D:$D,'Budget Summary'!$A37,Budget_marketing_pipeline!$C:$C,'Budget Summary'!C$3)</f>
        <v>377</v>
      </c>
      <c r="D37" s="3">
        <f>SUMIFS(Budget_marketing_pipeline!$F:$F,Budget_marketing_pipeline!$D:$D,'Budget Summary'!$A37,Budget_marketing_pipeline!$C:$C,'Budget Summary'!D$3)</f>
        <v>199</v>
      </c>
      <c r="E37" s="3">
        <f>SUMIFS(Budget_marketing_pipeline!$F:$F,Budget_marketing_pipeline!$D:$D,'Budget Summary'!$A37,Budget_marketing_pipeline!$C:$C,'Budget Summary'!E$3)</f>
        <v>241</v>
      </c>
      <c r="F37" s="3">
        <f>SUMIFS(Budget_marketing_pipeline!$F:$F,Budget_marketing_pipeline!$D:$D,'Budget Summary'!$A37,Budget_marketing_pipeline!$C:$C,'Budget Summary'!F$3)</f>
        <v>133</v>
      </c>
      <c r="G37" s="3">
        <f>SUMIFS(Budget_marketing_pipeline!$F:$F,Budget_marketing_pipeline!$D:$D,'Budget Summary'!$A37,Budget_marketing_pipeline!$C:$C,'Budget Summary'!G$3)</f>
        <v>321</v>
      </c>
      <c r="H37" s="3">
        <f>SUMIFS(Budget_marketing_pipeline!$F:$F,Budget_marketing_pipeline!$D:$D,'Budget Summary'!$A37,Budget_marketing_pipeline!$C:$C,'Budget Summary'!H$3)</f>
        <v>397</v>
      </c>
      <c r="I37" s="3">
        <f>SUMIFS(Budget_marketing_pipeline!$F:$F,Budget_marketing_pipeline!$D:$D,'Budget Summary'!$A37,Budget_marketing_pipeline!$C:$C,'Budget Summary'!I$3)</f>
        <v>208</v>
      </c>
      <c r="J37" s="3">
        <f>SUMIFS(Budget_marketing_pipeline!$F:$F,Budget_marketing_pipeline!$D:$D,'Budget Summary'!$A37,Budget_marketing_pipeline!$C:$C,'Budget Summary'!J$3)</f>
        <v>179</v>
      </c>
      <c r="K37" s="3">
        <f>SUMIFS(Budget_marketing_pipeline!$F:$F,Budget_marketing_pipeline!$D:$D,'Budget Summary'!$A37,Budget_marketing_pipeline!$C:$C,'Budget Summary'!K$3)</f>
        <v>355</v>
      </c>
      <c r="L37" s="3">
        <f>SUMIFS(Budget_marketing_pipeline!$F:$F,Budget_marketing_pipeline!$D:$D,'Budget Summary'!$A37,Budget_marketing_pipeline!$C:$C,'Budget Summary'!L$3)</f>
        <v>375</v>
      </c>
      <c r="M37" s="3">
        <f>SUMIFS(Budget_marketing_pipeline!$F:$F,Budget_marketing_pipeline!$D:$D,'Budget Summary'!$A37,Budget_marketing_pipeline!$C:$C,'Budget Summary'!M$3)</f>
        <v>318</v>
      </c>
      <c r="O37" s="3">
        <f t="shared" si="9"/>
        <v>897</v>
      </c>
      <c r="P37" s="3">
        <f t="shared" si="8"/>
        <v>695</v>
      </c>
      <c r="Q37" s="3">
        <f t="shared" si="8"/>
        <v>784</v>
      </c>
      <c r="R37" s="3">
        <f t="shared" si="8"/>
        <v>1048</v>
      </c>
      <c r="T37" s="3">
        <f t="shared" si="10"/>
        <v>3424</v>
      </c>
    </row>
    <row r="38" spans="1:20" s="3" customFormat="1" x14ac:dyDescent="0.35">
      <c r="A38" s="3" t="s">
        <v>30</v>
      </c>
      <c r="B38" s="3">
        <f>SUMIFS(Budget_marketing_pipeline!$F:$F,Budget_marketing_pipeline!$D:$D,'Budget Summary'!$A38,Budget_marketing_pipeline!$C:$C,'Budget Summary'!B$3)</f>
        <v>123</v>
      </c>
      <c r="C38" s="3">
        <f>SUMIFS(Budget_marketing_pipeline!$F:$F,Budget_marketing_pipeline!$D:$D,'Budget Summary'!$A38,Budget_marketing_pipeline!$C:$C,'Budget Summary'!C$3)</f>
        <v>223</v>
      </c>
      <c r="D38" s="3">
        <f>SUMIFS(Budget_marketing_pipeline!$F:$F,Budget_marketing_pipeline!$D:$D,'Budget Summary'!$A38,Budget_marketing_pipeline!$C:$C,'Budget Summary'!D$3)</f>
        <v>129</v>
      </c>
      <c r="E38" s="3">
        <f>SUMIFS(Budget_marketing_pipeline!$F:$F,Budget_marketing_pipeline!$D:$D,'Budget Summary'!$A38,Budget_marketing_pipeline!$C:$C,'Budget Summary'!E$3)</f>
        <v>380</v>
      </c>
      <c r="F38" s="3">
        <f>SUMIFS(Budget_marketing_pipeline!$F:$F,Budget_marketing_pipeline!$D:$D,'Budget Summary'!$A38,Budget_marketing_pipeline!$C:$C,'Budget Summary'!F$3)</f>
        <v>197</v>
      </c>
      <c r="G38" s="3">
        <f>SUMIFS(Budget_marketing_pipeline!$F:$F,Budget_marketing_pipeline!$D:$D,'Budget Summary'!$A38,Budget_marketing_pipeline!$C:$C,'Budget Summary'!G$3)</f>
        <v>131</v>
      </c>
      <c r="H38" s="3">
        <f>SUMIFS(Budget_marketing_pipeline!$F:$F,Budget_marketing_pipeline!$D:$D,'Budget Summary'!$A38,Budget_marketing_pipeline!$C:$C,'Budget Summary'!H$3)</f>
        <v>413</v>
      </c>
      <c r="I38" s="3">
        <f>SUMIFS(Budget_marketing_pipeline!$F:$F,Budget_marketing_pipeline!$D:$D,'Budget Summary'!$A38,Budget_marketing_pipeline!$C:$C,'Budget Summary'!I$3)</f>
        <v>146</v>
      </c>
      <c r="J38" s="3">
        <f>SUMIFS(Budget_marketing_pipeline!$F:$F,Budget_marketing_pipeline!$D:$D,'Budget Summary'!$A38,Budget_marketing_pipeline!$C:$C,'Budget Summary'!J$3)</f>
        <v>120</v>
      </c>
      <c r="K38" s="3">
        <f>SUMIFS(Budget_marketing_pipeline!$F:$F,Budget_marketing_pipeline!$D:$D,'Budget Summary'!$A38,Budget_marketing_pipeline!$C:$C,'Budget Summary'!K$3)</f>
        <v>292</v>
      </c>
      <c r="L38" s="3">
        <f>SUMIFS(Budget_marketing_pipeline!$F:$F,Budget_marketing_pipeline!$D:$D,'Budget Summary'!$A38,Budget_marketing_pipeline!$C:$C,'Budget Summary'!L$3)</f>
        <v>222</v>
      </c>
      <c r="M38" s="3">
        <f>SUMIFS(Budget_marketing_pipeline!$F:$F,Budget_marketing_pipeline!$D:$D,'Budget Summary'!$A38,Budget_marketing_pipeline!$C:$C,'Budget Summary'!M$3)</f>
        <v>163</v>
      </c>
      <c r="O38" s="3">
        <f t="shared" si="9"/>
        <v>475</v>
      </c>
      <c r="P38" s="3">
        <f t="shared" si="8"/>
        <v>708</v>
      </c>
      <c r="Q38" s="3">
        <f t="shared" si="8"/>
        <v>679</v>
      </c>
      <c r="R38" s="3">
        <f t="shared" si="8"/>
        <v>677</v>
      </c>
      <c r="T38" s="3">
        <f t="shared" si="10"/>
        <v>2539</v>
      </c>
    </row>
    <row r="39" spans="1:20" s="3" customFormat="1" x14ac:dyDescent="0.35">
      <c r="A39" s="3" t="s">
        <v>31</v>
      </c>
      <c r="B39" s="3">
        <f>SUMIFS(Budget_marketing_pipeline!$F:$F,Budget_marketing_pipeline!$D:$D,'Budget Summary'!$A39,Budget_marketing_pipeline!$C:$C,'Budget Summary'!B$3)</f>
        <v>219</v>
      </c>
      <c r="C39" s="3">
        <f>SUMIFS(Budget_marketing_pipeline!$F:$F,Budget_marketing_pipeline!$D:$D,'Budget Summary'!$A39,Budget_marketing_pipeline!$C:$C,'Budget Summary'!C$3)</f>
        <v>277</v>
      </c>
      <c r="D39" s="3">
        <f>SUMIFS(Budget_marketing_pipeline!$F:$F,Budget_marketing_pipeline!$D:$D,'Budget Summary'!$A39,Budget_marketing_pipeline!$C:$C,'Budget Summary'!D$3)</f>
        <v>191</v>
      </c>
      <c r="E39" s="3">
        <f>SUMIFS(Budget_marketing_pipeline!$F:$F,Budget_marketing_pipeline!$D:$D,'Budget Summary'!$A39,Budget_marketing_pipeline!$C:$C,'Budget Summary'!E$3)</f>
        <v>189</v>
      </c>
      <c r="F39" s="3">
        <f>SUMIFS(Budget_marketing_pipeline!$F:$F,Budget_marketing_pipeline!$D:$D,'Budget Summary'!$A39,Budget_marketing_pipeline!$C:$C,'Budget Summary'!F$3)</f>
        <v>375</v>
      </c>
      <c r="G39" s="3">
        <f>SUMIFS(Budget_marketing_pipeline!$F:$F,Budget_marketing_pipeline!$D:$D,'Budget Summary'!$A39,Budget_marketing_pipeline!$C:$C,'Budget Summary'!G$3)</f>
        <v>241</v>
      </c>
      <c r="H39" s="3">
        <f>SUMIFS(Budget_marketing_pipeline!$F:$F,Budget_marketing_pipeline!$D:$D,'Budget Summary'!$A39,Budget_marketing_pipeline!$C:$C,'Budget Summary'!H$3)</f>
        <v>297</v>
      </c>
      <c r="I39" s="3">
        <f>SUMIFS(Budget_marketing_pipeline!$F:$F,Budget_marketing_pipeline!$D:$D,'Budget Summary'!$A39,Budget_marketing_pipeline!$C:$C,'Budget Summary'!I$3)</f>
        <v>276</v>
      </c>
      <c r="J39" s="3">
        <f>SUMIFS(Budget_marketing_pipeline!$F:$F,Budget_marketing_pipeline!$D:$D,'Budget Summary'!$A39,Budget_marketing_pipeline!$C:$C,'Budget Summary'!J$3)</f>
        <v>309</v>
      </c>
      <c r="K39" s="3">
        <f>SUMIFS(Budget_marketing_pipeline!$F:$F,Budget_marketing_pipeline!$D:$D,'Budget Summary'!$A39,Budget_marketing_pipeline!$C:$C,'Budget Summary'!K$3)</f>
        <v>403</v>
      </c>
      <c r="L39" s="3">
        <f>SUMIFS(Budget_marketing_pipeline!$F:$F,Budget_marketing_pipeline!$D:$D,'Budget Summary'!$A39,Budget_marketing_pipeline!$C:$C,'Budget Summary'!L$3)</f>
        <v>259</v>
      </c>
      <c r="M39" s="3">
        <f>SUMIFS(Budget_marketing_pipeline!$F:$F,Budget_marketing_pipeline!$D:$D,'Budget Summary'!$A39,Budget_marketing_pipeline!$C:$C,'Budget Summary'!M$3)</f>
        <v>250</v>
      </c>
      <c r="O39" s="3">
        <f t="shared" si="9"/>
        <v>687</v>
      </c>
      <c r="P39" s="3">
        <f t="shared" si="8"/>
        <v>805</v>
      </c>
      <c r="Q39" s="3">
        <f t="shared" si="8"/>
        <v>882</v>
      </c>
      <c r="R39" s="3">
        <f t="shared" si="8"/>
        <v>912</v>
      </c>
      <c r="T39" s="3">
        <f t="shared" si="10"/>
        <v>3286</v>
      </c>
    </row>
    <row r="40" spans="1:20" s="3" customFormat="1" x14ac:dyDescent="0.35">
      <c r="A40" s="3" t="s">
        <v>32</v>
      </c>
      <c r="B40" s="3">
        <f>SUMIFS(Budget_marketing_pipeline!$F:$F,Budget_marketing_pipeline!$D:$D,'Budget Summary'!$A40,Budget_marketing_pipeline!$C:$C,'Budget Summary'!B$3)</f>
        <v>287</v>
      </c>
      <c r="C40" s="3">
        <f>SUMIFS(Budget_marketing_pipeline!$F:$F,Budget_marketing_pipeline!$D:$D,'Budget Summary'!$A40,Budget_marketing_pipeline!$C:$C,'Budget Summary'!C$3)</f>
        <v>245</v>
      </c>
      <c r="D40" s="3">
        <f>SUMIFS(Budget_marketing_pipeline!$F:$F,Budget_marketing_pipeline!$D:$D,'Budget Summary'!$A40,Budget_marketing_pipeline!$C:$C,'Budget Summary'!D$3)</f>
        <v>404</v>
      </c>
      <c r="E40" s="3">
        <f>SUMIFS(Budget_marketing_pipeline!$F:$F,Budget_marketing_pipeline!$D:$D,'Budget Summary'!$A40,Budget_marketing_pipeline!$C:$C,'Budget Summary'!E$3)</f>
        <v>121</v>
      </c>
      <c r="F40" s="3">
        <f>SUMIFS(Budget_marketing_pipeline!$F:$F,Budget_marketing_pipeline!$D:$D,'Budget Summary'!$A40,Budget_marketing_pipeline!$C:$C,'Budget Summary'!F$3)</f>
        <v>262</v>
      </c>
      <c r="G40" s="3">
        <f>SUMIFS(Budget_marketing_pipeline!$F:$F,Budget_marketing_pipeline!$D:$D,'Budget Summary'!$A40,Budget_marketing_pipeline!$C:$C,'Budget Summary'!G$3)</f>
        <v>393</v>
      </c>
      <c r="H40" s="3">
        <f>SUMIFS(Budget_marketing_pipeline!$F:$F,Budget_marketing_pipeline!$D:$D,'Budget Summary'!$A40,Budget_marketing_pipeline!$C:$C,'Budget Summary'!H$3)</f>
        <v>391</v>
      </c>
      <c r="I40" s="3">
        <f>SUMIFS(Budget_marketing_pipeline!$F:$F,Budget_marketing_pipeline!$D:$D,'Budget Summary'!$A40,Budget_marketing_pipeline!$C:$C,'Budget Summary'!I$3)</f>
        <v>178</v>
      </c>
      <c r="J40" s="3">
        <f>SUMIFS(Budget_marketing_pipeline!$F:$F,Budget_marketing_pipeline!$D:$D,'Budget Summary'!$A40,Budget_marketing_pipeline!$C:$C,'Budget Summary'!J$3)</f>
        <v>248</v>
      </c>
      <c r="K40" s="3">
        <f>SUMIFS(Budget_marketing_pipeline!$F:$F,Budget_marketing_pipeline!$D:$D,'Budget Summary'!$A40,Budget_marketing_pipeline!$C:$C,'Budget Summary'!K$3)</f>
        <v>364</v>
      </c>
      <c r="L40" s="3">
        <f>SUMIFS(Budget_marketing_pipeline!$F:$F,Budget_marketing_pipeline!$D:$D,'Budget Summary'!$A40,Budget_marketing_pipeline!$C:$C,'Budget Summary'!L$3)</f>
        <v>181</v>
      </c>
      <c r="M40" s="3">
        <f>SUMIFS(Budget_marketing_pipeline!$F:$F,Budget_marketing_pipeline!$D:$D,'Budget Summary'!$A40,Budget_marketing_pipeline!$C:$C,'Budget Summary'!M$3)</f>
        <v>344</v>
      </c>
      <c r="O40" s="3">
        <f t="shared" si="9"/>
        <v>936</v>
      </c>
      <c r="P40" s="3">
        <f t="shared" si="8"/>
        <v>776</v>
      </c>
      <c r="Q40" s="3">
        <f t="shared" si="8"/>
        <v>817</v>
      </c>
      <c r="R40" s="3">
        <f t="shared" si="8"/>
        <v>889</v>
      </c>
      <c r="T40" s="3">
        <f t="shared" si="10"/>
        <v>3418</v>
      </c>
    </row>
    <row r="41" spans="1:20" s="3" customFormat="1" x14ac:dyDescent="0.35">
      <c r="A41" s="3" t="s">
        <v>33</v>
      </c>
      <c r="B41" s="3">
        <f>SUMIFS(Budget_marketing_pipeline!$F:$F,Budget_marketing_pipeline!$D:$D,'Budget Summary'!$A41,Budget_marketing_pipeline!$C:$C,'Budget Summary'!B$3)</f>
        <v>133</v>
      </c>
      <c r="C41" s="3">
        <f>SUMIFS(Budget_marketing_pipeline!$F:$F,Budget_marketing_pipeline!$D:$D,'Budget Summary'!$A41,Budget_marketing_pipeline!$C:$C,'Budget Summary'!C$3)</f>
        <v>328</v>
      </c>
      <c r="D41" s="3">
        <f>SUMIFS(Budget_marketing_pipeline!$F:$F,Budget_marketing_pipeline!$D:$D,'Budget Summary'!$A41,Budget_marketing_pipeline!$C:$C,'Budget Summary'!D$3)</f>
        <v>290</v>
      </c>
      <c r="E41" s="3">
        <f>SUMIFS(Budget_marketing_pipeline!$F:$F,Budget_marketing_pipeline!$D:$D,'Budget Summary'!$A41,Budget_marketing_pipeline!$C:$C,'Budget Summary'!E$3)</f>
        <v>233</v>
      </c>
      <c r="F41" s="3">
        <f>SUMIFS(Budget_marketing_pipeline!$F:$F,Budget_marketing_pipeline!$D:$D,'Budget Summary'!$A41,Budget_marketing_pipeline!$C:$C,'Budget Summary'!F$3)</f>
        <v>391</v>
      </c>
      <c r="G41" s="3">
        <f>SUMIFS(Budget_marketing_pipeline!$F:$F,Budget_marketing_pipeline!$D:$D,'Budget Summary'!$A41,Budget_marketing_pipeline!$C:$C,'Budget Summary'!G$3)</f>
        <v>386</v>
      </c>
      <c r="H41" s="3">
        <f>SUMIFS(Budget_marketing_pipeline!$F:$F,Budget_marketing_pipeline!$D:$D,'Budget Summary'!$A41,Budget_marketing_pipeline!$C:$C,'Budget Summary'!H$3)</f>
        <v>264</v>
      </c>
      <c r="I41" s="3">
        <f>SUMIFS(Budget_marketing_pipeline!$F:$F,Budget_marketing_pipeline!$D:$D,'Budget Summary'!$A41,Budget_marketing_pipeline!$C:$C,'Budget Summary'!I$3)</f>
        <v>294</v>
      </c>
      <c r="J41" s="3">
        <f>SUMIFS(Budget_marketing_pipeline!$F:$F,Budget_marketing_pipeline!$D:$D,'Budget Summary'!$A41,Budget_marketing_pipeline!$C:$C,'Budget Summary'!J$3)</f>
        <v>185</v>
      </c>
      <c r="K41" s="3">
        <f>SUMIFS(Budget_marketing_pipeline!$F:$F,Budget_marketing_pipeline!$D:$D,'Budget Summary'!$A41,Budget_marketing_pipeline!$C:$C,'Budget Summary'!K$3)</f>
        <v>216</v>
      </c>
      <c r="L41" s="3">
        <f>SUMIFS(Budget_marketing_pipeline!$F:$F,Budget_marketing_pipeline!$D:$D,'Budget Summary'!$A41,Budget_marketing_pipeline!$C:$C,'Budget Summary'!L$3)</f>
        <v>410</v>
      </c>
      <c r="M41" s="3">
        <f>SUMIFS(Budget_marketing_pipeline!$F:$F,Budget_marketing_pipeline!$D:$D,'Budget Summary'!$A41,Budget_marketing_pipeline!$C:$C,'Budget Summary'!M$3)</f>
        <v>324</v>
      </c>
      <c r="O41" s="3">
        <f t="shared" si="9"/>
        <v>751</v>
      </c>
      <c r="P41" s="3">
        <f t="shared" si="8"/>
        <v>1010</v>
      </c>
      <c r="Q41" s="3">
        <f t="shared" si="8"/>
        <v>743</v>
      </c>
      <c r="R41" s="3">
        <f t="shared" si="8"/>
        <v>950</v>
      </c>
      <c r="T41" s="3">
        <f t="shared" si="10"/>
        <v>3454</v>
      </c>
    </row>
    <row r="42" spans="1:20" s="3" customFormat="1" x14ac:dyDescent="0.35">
      <c r="A42" s="3" t="s">
        <v>34</v>
      </c>
      <c r="B42" s="3">
        <f>SUMIFS(Budget_marketing_pipeline!$F:$F,Budget_marketing_pipeline!$D:$D,'Budget Summary'!$A42,Budget_marketing_pipeline!$C:$C,'Budget Summary'!B$3)</f>
        <v>174</v>
      </c>
      <c r="C42" s="3">
        <f>SUMIFS(Budget_marketing_pipeline!$F:$F,Budget_marketing_pipeline!$D:$D,'Budget Summary'!$A42,Budget_marketing_pipeline!$C:$C,'Budget Summary'!C$3)</f>
        <v>313</v>
      </c>
      <c r="D42" s="3">
        <f>SUMIFS(Budget_marketing_pipeline!$F:$F,Budget_marketing_pipeline!$D:$D,'Budget Summary'!$A42,Budget_marketing_pipeline!$C:$C,'Budget Summary'!D$3)</f>
        <v>135</v>
      </c>
      <c r="E42" s="3">
        <f>SUMIFS(Budget_marketing_pipeline!$F:$F,Budget_marketing_pipeline!$D:$D,'Budget Summary'!$A42,Budget_marketing_pipeline!$C:$C,'Budget Summary'!E$3)</f>
        <v>162</v>
      </c>
      <c r="F42" s="3">
        <f>SUMIFS(Budget_marketing_pipeline!$F:$F,Budget_marketing_pipeline!$D:$D,'Budget Summary'!$A42,Budget_marketing_pipeline!$C:$C,'Budget Summary'!F$3)</f>
        <v>125</v>
      </c>
      <c r="G42" s="3">
        <f>SUMIFS(Budget_marketing_pipeline!$F:$F,Budget_marketing_pipeline!$D:$D,'Budget Summary'!$A42,Budget_marketing_pipeline!$C:$C,'Budget Summary'!G$3)</f>
        <v>327</v>
      </c>
      <c r="H42" s="3">
        <f>SUMIFS(Budget_marketing_pipeline!$F:$F,Budget_marketing_pipeline!$D:$D,'Budget Summary'!$A42,Budget_marketing_pipeline!$C:$C,'Budget Summary'!H$3)</f>
        <v>366</v>
      </c>
      <c r="I42" s="3">
        <f>SUMIFS(Budget_marketing_pipeline!$F:$F,Budget_marketing_pipeline!$D:$D,'Budget Summary'!$A42,Budget_marketing_pipeline!$C:$C,'Budget Summary'!I$3)</f>
        <v>121</v>
      </c>
      <c r="J42" s="3">
        <f>SUMIFS(Budget_marketing_pipeline!$F:$F,Budget_marketing_pipeline!$D:$D,'Budget Summary'!$A42,Budget_marketing_pipeline!$C:$C,'Budget Summary'!J$3)</f>
        <v>196</v>
      </c>
      <c r="K42" s="3">
        <f>SUMIFS(Budget_marketing_pipeline!$F:$F,Budget_marketing_pipeline!$D:$D,'Budget Summary'!$A42,Budget_marketing_pipeline!$C:$C,'Budget Summary'!K$3)</f>
        <v>364</v>
      </c>
      <c r="L42" s="3">
        <f>SUMIFS(Budget_marketing_pipeline!$F:$F,Budget_marketing_pipeline!$D:$D,'Budget Summary'!$A42,Budget_marketing_pipeline!$C:$C,'Budget Summary'!L$3)</f>
        <v>403</v>
      </c>
      <c r="M42" s="3">
        <f>SUMIFS(Budget_marketing_pipeline!$F:$F,Budget_marketing_pipeline!$D:$D,'Budget Summary'!$A42,Budget_marketing_pipeline!$C:$C,'Budget Summary'!M$3)</f>
        <v>314</v>
      </c>
      <c r="O42" s="3">
        <f t="shared" si="9"/>
        <v>622</v>
      </c>
      <c r="P42" s="3">
        <f t="shared" si="8"/>
        <v>614</v>
      </c>
      <c r="Q42" s="3">
        <f t="shared" si="8"/>
        <v>683</v>
      </c>
      <c r="R42" s="3">
        <f t="shared" si="8"/>
        <v>1081</v>
      </c>
      <c r="T42" s="3">
        <f t="shared" si="10"/>
        <v>3000</v>
      </c>
    </row>
    <row r="43" spans="1:20" s="3" customFormat="1" x14ac:dyDescent="0.35">
      <c r="A43" s="3" t="s">
        <v>35</v>
      </c>
      <c r="B43" s="3">
        <f>SUMIFS(Budget_marketing_pipeline!$F:$F,Budget_marketing_pipeline!$D:$D,'Budget Summary'!$A43,Budget_marketing_pipeline!$C:$C,'Budget Summary'!B$3)</f>
        <v>194</v>
      </c>
      <c r="C43" s="3">
        <f>SUMIFS(Budget_marketing_pipeline!$F:$F,Budget_marketing_pipeline!$D:$D,'Budget Summary'!$A43,Budget_marketing_pipeline!$C:$C,'Budget Summary'!C$3)</f>
        <v>180</v>
      </c>
      <c r="D43" s="3">
        <f>SUMIFS(Budget_marketing_pipeline!$F:$F,Budget_marketing_pipeline!$D:$D,'Budget Summary'!$A43,Budget_marketing_pipeline!$C:$C,'Budget Summary'!D$3)</f>
        <v>411</v>
      </c>
      <c r="E43" s="3">
        <f>SUMIFS(Budget_marketing_pipeline!$F:$F,Budget_marketing_pipeline!$D:$D,'Budget Summary'!$A43,Budget_marketing_pipeline!$C:$C,'Budget Summary'!E$3)</f>
        <v>330</v>
      </c>
      <c r="F43" s="3">
        <f>SUMIFS(Budget_marketing_pipeline!$F:$F,Budget_marketing_pipeline!$D:$D,'Budget Summary'!$A43,Budget_marketing_pipeline!$C:$C,'Budget Summary'!F$3)</f>
        <v>239</v>
      </c>
      <c r="G43" s="3">
        <f>SUMIFS(Budget_marketing_pipeline!$F:$F,Budget_marketing_pipeline!$D:$D,'Budget Summary'!$A43,Budget_marketing_pipeline!$C:$C,'Budget Summary'!G$3)</f>
        <v>397</v>
      </c>
      <c r="H43" s="3">
        <f>SUMIFS(Budget_marketing_pipeline!$F:$F,Budget_marketing_pipeline!$D:$D,'Budget Summary'!$A43,Budget_marketing_pipeline!$C:$C,'Budget Summary'!H$3)</f>
        <v>247</v>
      </c>
      <c r="I43" s="3">
        <f>SUMIFS(Budget_marketing_pipeline!$F:$F,Budget_marketing_pipeline!$D:$D,'Budget Summary'!$A43,Budget_marketing_pipeline!$C:$C,'Budget Summary'!I$3)</f>
        <v>343</v>
      </c>
      <c r="J43" s="3">
        <f>SUMIFS(Budget_marketing_pipeline!$F:$F,Budget_marketing_pipeline!$D:$D,'Budget Summary'!$A43,Budget_marketing_pipeline!$C:$C,'Budget Summary'!J$3)</f>
        <v>173</v>
      </c>
      <c r="K43" s="3">
        <f>SUMIFS(Budget_marketing_pipeline!$F:$F,Budget_marketing_pipeline!$D:$D,'Budget Summary'!$A43,Budget_marketing_pipeline!$C:$C,'Budget Summary'!K$3)</f>
        <v>126</v>
      </c>
      <c r="L43" s="3">
        <f>SUMIFS(Budget_marketing_pipeline!$F:$F,Budget_marketing_pipeline!$D:$D,'Budget Summary'!$A43,Budget_marketing_pipeline!$C:$C,'Budget Summary'!L$3)</f>
        <v>315</v>
      </c>
      <c r="M43" s="3">
        <f>SUMIFS(Budget_marketing_pipeline!$F:$F,Budget_marketing_pipeline!$D:$D,'Budget Summary'!$A43,Budget_marketing_pipeline!$C:$C,'Budget Summary'!M$3)</f>
        <v>204</v>
      </c>
      <c r="O43" s="3">
        <f t="shared" si="9"/>
        <v>785</v>
      </c>
      <c r="P43" s="3">
        <f t="shared" si="8"/>
        <v>966</v>
      </c>
      <c r="Q43" s="3">
        <f t="shared" si="8"/>
        <v>763</v>
      </c>
      <c r="R43" s="3">
        <f t="shared" si="8"/>
        <v>645</v>
      </c>
      <c r="T43" s="3">
        <f t="shared" si="10"/>
        <v>3159</v>
      </c>
    </row>
    <row r="44" spans="1:20" s="3" customFormat="1" x14ac:dyDescent="0.35">
      <c r="A44" s="3" t="s">
        <v>36</v>
      </c>
      <c r="B44" s="3">
        <f>SUMIFS(Budget_marketing_pipeline!$F:$F,Budget_marketing_pipeline!$D:$D,'Budget Summary'!$A44,Budget_marketing_pipeline!$C:$C,'Budget Summary'!B$3)</f>
        <v>0</v>
      </c>
      <c r="C44" s="3">
        <f>SUMIFS(Budget_marketing_pipeline!$F:$F,Budget_marketing_pipeline!$D:$D,'Budget Summary'!$A44,Budget_marketing_pipeline!$C:$C,'Budget Summary'!C$3)</f>
        <v>0</v>
      </c>
      <c r="D44" s="3">
        <f>SUMIFS(Budget_marketing_pipeline!$F:$F,Budget_marketing_pipeline!$D:$D,'Budget Summary'!$A44,Budget_marketing_pipeline!$C:$C,'Budget Summary'!D$3)</f>
        <v>0</v>
      </c>
      <c r="E44" s="3">
        <f>SUMIFS(Budget_marketing_pipeline!$F:$F,Budget_marketing_pipeline!$D:$D,'Budget Summary'!$A44,Budget_marketing_pipeline!$C:$C,'Budget Summary'!E$3)</f>
        <v>0</v>
      </c>
      <c r="F44" s="3">
        <f>SUMIFS(Budget_marketing_pipeline!$F:$F,Budget_marketing_pipeline!$D:$D,'Budget Summary'!$A44,Budget_marketing_pipeline!$C:$C,'Budget Summary'!F$3)</f>
        <v>0</v>
      </c>
      <c r="G44" s="3">
        <f>SUMIFS(Budget_marketing_pipeline!$F:$F,Budget_marketing_pipeline!$D:$D,'Budget Summary'!$A44,Budget_marketing_pipeline!$C:$C,'Budget Summary'!G$3)</f>
        <v>0</v>
      </c>
      <c r="H44" s="3">
        <f>SUMIFS(Budget_marketing_pipeline!$F:$F,Budget_marketing_pipeline!$D:$D,'Budget Summary'!$A44,Budget_marketing_pipeline!$C:$C,'Budget Summary'!H$3)</f>
        <v>0</v>
      </c>
      <c r="I44" s="3">
        <f>SUMIFS(Budget_marketing_pipeline!$F:$F,Budget_marketing_pipeline!$D:$D,'Budget Summary'!$A44,Budget_marketing_pipeline!$C:$C,'Budget Summary'!I$3)</f>
        <v>0</v>
      </c>
      <c r="J44" s="3">
        <f>SUMIFS(Budget_marketing_pipeline!$F:$F,Budget_marketing_pipeline!$D:$D,'Budget Summary'!$A44,Budget_marketing_pipeline!$C:$C,'Budget Summary'!J$3)</f>
        <v>0</v>
      </c>
      <c r="K44" s="3">
        <f>SUMIFS(Budget_marketing_pipeline!$F:$F,Budget_marketing_pipeline!$D:$D,'Budget Summary'!$A44,Budget_marketing_pipeline!$C:$C,'Budget Summary'!K$3)</f>
        <v>0</v>
      </c>
      <c r="L44" s="3">
        <f>SUMIFS(Budget_marketing_pipeline!$F:$F,Budget_marketing_pipeline!$D:$D,'Budget Summary'!$A44,Budget_marketing_pipeline!$C:$C,'Budget Summary'!L$3)</f>
        <v>0</v>
      </c>
      <c r="M44" s="3">
        <f>SUMIFS(Budget_marketing_pipeline!$F:$F,Budget_marketing_pipeline!$D:$D,'Budget Summary'!$A44,Budget_marketing_pipeline!$C:$C,'Budget Summary'!M$3)</f>
        <v>0</v>
      </c>
      <c r="O44" s="3">
        <f t="shared" si="9"/>
        <v>0</v>
      </c>
      <c r="P44" s="3">
        <f t="shared" si="8"/>
        <v>0</v>
      </c>
      <c r="Q44" s="3">
        <f t="shared" si="8"/>
        <v>0</v>
      </c>
      <c r="R44" s="3">
        <f t="shared" si="8"/>
        <v>0</v>
      </c>
      <c r="T44" s="3">
        <f t="shared" si="10"/>
        <v>0</v>
      </c>
    </row>
    <row r="45" spans="1:20" s="8" customFormat="1" x14ac:dyDescent="0.35">
      <c r="A45" s="8" t="s">
        <v>63</v>
      </c>
      <c r="B45" s="8">
        <f>SUM(B34:B44)</f>
        <v>2371</v>
      </c>
      <c r="C45" s="8">
        <f t="shared" ref="C45:M45" si="11">SUM(C34:C44)</f>
        <v>2689</v>
      </c>
      <c r="D45" s="8">
        <f t="shared" si="11"/>
        <v>2622</v>
      </c>
      <c r="E45" s="8">
        <f t="shared" si="11"/>
        <v>2592</v>
      </c>
      <c r="F45" s="8">
        <f t="shared" si="11"/>
        <v>2647</v>
      </c>
      <c r="G45" s="8">
        <f t="shared" si="11"/>
        <v>3109</v>
      </c>
      <c r="H45" s="8">
        <f t="shared" si="11"/>
        <v>3098</v>
      </c>
      <c r="I45" s="8">
        <f t="shared" si="11"/>
        <v>2205</v>
      </c>
      <c r="J45" s="8">
        <f t="shared" si="11"/>
        <v>2108</v>
      </c>
      <c r="K45" s="8">
        <f t="shared" si="11"/>
        <v>2824</v>
      </c>
      <c r="L45" s="8">
        <f t="shared" si="11"/>
        <v>3187</v>
      </c>
      <c r="M45" s="8">
        <f t="shared" si="11"/>
        <v>2895</v>
      </c>
      <c r="O45" s="8">
        <f t="shared" si="9"/>
        <v>7682</v>
      </c>
      <c r="P45" s="8">
        <f t="shared" si="8"/>
        <v>8348</v>
      </c>
      <c r="Q45" s="8">
        <f t="shared" si="8"/>
        <v>7411</v>
      </c>
      <c r="R45" s="8">
        <f t="shared" si="8"/>
        <v>8906</v>
      </c>
      <c r="T45" s="8">
        <f t="shared" si="10"/>
        <v>32347</v>
      </c>
    </row>
    <row r="47" spans="1:20" s="7" customFormat="1" x14ac:dyDescent="0.35">
      <c r="A47" s="7" t="s">
        <v>59</v>
      </c>
      <c r="B47" s="10" t="s">
        <v>55</v>
      </c>
      <c r="C47" s="10" t="s">
        <v>55</v>
      </c>
      <c r="D47" s="10" t="s">
        <v>55</v>
      </c>
      <c r="E47" s="10" t="s">
        <v>56</v>
      </c>
      <c r="F47" s="10" t="s">
        <v>56</v>
      </c>
      <c r="G47" s="10" t="s">
        <v>56</v>
      </c>
      <c r="H47" s="10" t="s">
        <v>57</v>
      </c>
      <c r="I47" s="10" t="s">
        <v>57</v>
      </c>
      <c r="J47" s="10" t="s">
        <v>57</v>
      </c>
      <c r="K47" s="10" t="s">
        <v>58</v>
      </c>
      <c r="L47" s="10" t="s">
        <v>58</v>
      </c>
      <c r="M47" s="10" t="s">
        <v>58</v>
      </c>
    </row>
    <row r="48" spans="1:20" s="7" customFormat="1" x14ac:dyDescent="0.35">
      <c r="A48" s="7" t="s">
        <v>3</v>
      </c>
      <c r="B48" s="10" t="s">
        <v>24</v>
      </c>
      <c r="C48" s="10" t="s">
        <v>37</v>
      </c>
      <c r="D48" s="10" t="s">
        <v>38</v>
      </c>
      <c r="E48" s="10" t="s">
        <v>39</v>
      </c>
      <c r="F48" s="10" t="s">
        <v>40</v>
      </c>
      <c r="G48" s="10" t="s">
        <v>43</v>
      </c>
      <c r="H48" s="10" t="s">
        <v>45</v>
      </c>
      <c r="I48" s="10" t="s">
        <v>46</v>
      </c>
      <c r="J48" s="10" t="s">
        <v>47</v>
      </c>
      <c r="K48" s="10" t="s">
        <v>48</v>
      </c>
      <c r="L48" s="10" t="s">
        <v>49</v>
      </c>
      <c r="M48" s="10" t="s">
        <v>50</v>
      </c>
      <c r="O48" s="10" t="s">
        <v>55</v>
      </c>
      <c r="P48" s="10" t="s">
        <v>56</v>
      </c>
      <c r="Q48" s="10" t="s">
        <v>57</v>
      </c>
      <c r="R48" s="10" t="s">
        <v>58</v>
      </c>
      <c r="T48" s="10" t="s">
        <v>64</v>
      </c>
    </row>
    <row r="49" spans="1:20" s="3" customFormat="1" x14ac:dyDescent="0.35">
      <c r="A49" s="3" t="s">
        <v>25</v>
      </c>
      <c r="B49" s="3">
        <f>SUMIFS(Budget_marketing_pipeline!$G:$G,Budget_marketing_pipeline!$D:$D,'Budget Summary'!$A49,Budget_marketing_pipeline!$C:$C,'Budget Summary'!B$3)</f>
        <v>108</v>
      </c>
      <c r="C49" s="3">
        <f>SUMIFS(Budget_marketing_pipeline!$G:$G,Budget_marketing_pipeline!$D:$D,'Budget Summary'!$A49,Budget_marketing_pipeline!$C:$C,'Budget Summary'!C$3)</f>
        <v>86</v>
      </c>
      <c r="D49" s="3">
        <f>SUMIFS(Budget_marketing_pipeline!$G:$G,Budget_marketing_pipeline!$D:$D,'Budget Summary'!$A49,Budget_marketing_pipeline!$C:$C,'Budget Summary'!D$3)</f>
        <v>67</v>
      </c>
      <c r="E49" s="3">
        <f>SUMIFS(Budget_marketing_pipeline!$G:$G,Budget_marketing_pipeline!$D:$D,'Budget Summary'!$A49,Budget_marketing_pipeline!$C:$C,'Budget Summary'!E$3)</f>
        <v>173</v>
      </c>
      <c r="F49" s="3">
        <f>SUMIFS(Budget_marketing_pipeline!$G:$G,Budget_marketing_pipeline!$D:$D,'Budget Summary'!$A49,Budget_marketing_pipeline!$C:$C,'Budget Summary'!F$3)</f>
        <v>120</v>
      </c>
      <c r="G49" s="3">
        <f>SUMIFS(Budget_marketing_pipeline!$G:$G,Budget_marketing_pipeline!$D:$D,'Budget Summary'!$A49,Budget_marketing_pipeline!$C:$C,'Budget Summary'!G$3)</f>
        <v>157</v>
      </c>
      <c r="H49" s="3">
        <f>SUMIFS(Budget_marketing_pipeline!$G:$G,Budget_marketing_pipeline!$D:$D,'Budget Summary'!$A49,Budget_marketing_pipeline!$C:$C,'Budget Summary'!H$3)</f>
        <v>97</v>
      </c>
      <c r="I49" s="3">
        <f>SUMIFS(Budget_marketing_pipeline!$G:$G,Budget_marketing_pipeline!$D:$D,'Budget Summary'!$A49,Budget_marketing_pipeline!$C:$C,'Budget Summary'!I$3)</f>
        <v>95</v>
      </c>
      <c r="J49" s="3">
        <f>SUMIFS(Budget_marketing_pipeline!$G:$G,Budget_marketing_pipeline!$D:$D,'Budget Summary'!$A49,Budget_marketing_pipeline!$C:$C,'Budget Summary'!J$3)</f>
        <v>68</v>
      </c>
      <c r="K49" s="3">
        <f>SUMIFS(Budget_marketing_pipeline!$G:$G,Budget_marketing_pipeline!$D:$D,'Budget Summary'!$A49,Budget_marketing_pipeline!$C:$C,'Budget Summary'!K$3)</f>
        <v>49</v>
      </c>
      <c r="L49" s="3">
        <f>SUMIFS(Budget_marketing_pipeline!$G:$G,Budget_marketing_pipeline!$D:$D,'Budget Summary'!$A49,Budget_marketing_pipeline!$C:$C,'Budget Summary'!L$3)</f>
        <v>108</v>
      </c>
      <c r="M49" s="3">
        <f>SUMIFS(Budget_marketing_pipeline!$G:$G,Budget_marketing_pipeline!$D:$D,'Budget Summary'!$A49,Budget_marketing_pipeline!$C:$C,'Budget Summary'!M$3)</f>
        <v>127</v>
      </c>
      <c r="O49" s="3">
        <f>SUMIFS($B49:$M49,$B$2:$M$2,O$3)</f>
        <v>261</v>
      </c>
      <c r="P49" s="3">
        <f t="shared" ref="P49:R60" si="12">SUMIFS($B49:$M49,$B$2:$M$2,P$3)</f>
        <v>450</v>
      </c>
      <c r="Q49" s="3">
        <f t="shared" si="12"/>
        <v>260</v>
      </c>
      <c r="R49" s="3">
        <f t="shared" si="12"/>
        <v>284</v>
      </c>
      <c r="T49" s="3">
        <f>SUM(O49:R49)</f>
        <v>1255</v>
      </c>
    </row>
    <row r="50" spans="1:20" s="3" customFormat="1" x14ac:dyDescent="0.35">
      <c r="A50" s="3" t="s">
        <v>27</v>
      </c>
      <c r="B50" s="3">
        <f>SUMIFS(Budget_marketing_pipeline!$G:$G,Budget_marketing_pipeline!$D:$D,'Budget Summary'!$A50,Budget_marketing_pipeline!$C:$C,'Budget Summary'!B$3)</f>
        <v>98</v>
      </c>
      <c r="C50" s="3">
        <f>SUMIFS(Budget_marketing_pipeline!$G:$G,Budget_marketing_pipeline!$D:$D,'Budget Summary'!$A50,Budget_marketing_pipeline!$C:$C,'Budget Summary'!C$3)</f>
        <v>48</v>
      </c>
      <c r="D50" s="3">
        <f>SUMIFS(Budget_marketing_pipeline!$G:$G,Budget_marketing_pipeline!$D:$D,'Budget Summary'!$A50,Budget_marketing_pipeline!$C:$C,'Budget Summary'!D$3)</f>
        <v>158</v>
      </c>
      <c r="E50" s="3">
        <f>SUMIFS(Budget_marketing_pipeline!$G:$G,Budget_marketing_pipeline!$D:$D,'Budget Summary'!$A50,Budget_marketing_pipeline!$C:$C,'Budget Summary'!E$3)</f>
        <v>119</v>
      </c>
      <c r="F50" s="3">
        <f>SUMIFS(Budget_marketing_pipeline!$G:$G,Budget_marketing_pipeline!$D:$D,'Budget Summary'!$A50,Budget_marketing_pipeline!$C:$C,'Budget Summary'!F$3)</f>
        <v>98</v>
      </c>
      <c r="G50" s="3">
        <f>SUMIFS(Budget_marketing_pipeline!$G:$G,Budget_marketing_pipeline!$D:$D,'Budget Summary'!$A50,Budget_marketing_pipeline!$C:$C,'Budget Summary'!G$3)</f>
        <v>29</v>
      </c>
      <c r="H50" s="3">
        <f>SUMIFS(Budget_marketing_pipeline!$G:$G,Budget_marketing_pipeline!$D:$D,'Budget Summary'!$A50,Budget_marketing_pipeline!$C:$C,'Budget Summary'!H$3)</f>
        <v>75</v>
      </c>
      <c r="I50" s="3">
        <f>SUMIFS(Budget_marketing_pipeline!$G:$G,Budget_marketing_pipeline!$D:$D,'Budget Summary'!$A50,Budget_marketing_pipeline!$C:$C,'Budget Summary'!I$3)</f>
        <v>75</v>
      </c>
      <c r="J50" s="3">
        <f>SUMIFS(Budget_marketing_pipeline!$G:$G,Budget_marketing_pipeline!$D:$D,'Budget Summary'!$A50,Budget_marketing_pipeline!$C:$C,'Budget Summary'!J$3)</f>
        <v>81</v>
      </c>
      <c r="K50" s="3">
        <f>SUMIFS(Budget_marketing_pipeline!$G:$G,Budget_marketing_pipeline!$D:$D,'Budget Summary'!$A50,Budget_marketing_pipeline!$C:$C,'Budget Summary'!K$3)</f>
        <v>80</v>
      </c>
      <c r="L50" s="3">
        <f>SUMIFS(Budget_marketing_pipeline!$G:$G,Budget_marketing_pipeline!$D:$D,'Budget Summary'!$A50,Budget_marketing_pipeline!$C:$C,'Budget Summary'!L$3)</f>
        <v>95</v>
      </c>
      <c r="M50" s="3">
        <f>SUMIFS(Budget_marketing_pipeline!$G:$G,Budget_marketing_pipeline!$D:$D,'Budget Summary'!$A50,Budget_marketing_pipeline!$C:$C,'Budget Summary'!M$3)</f>
        <v>44</v>
      </c>
      <c r="O50" s="3">
        <f t="shared" ref="O50:O60" si="13">SUMIFS($B50:$M50,$B$2:$M$2,O$3)</f>
        <v>304</v>
      </c>
      <c r="P50" s="3">
        <f t="shared" si="12"/>
        <v>246</v>
      </c>
      <c r="Q50" s="3">
        <f t="shared" si="12"/>
        <v>231</v>
      </c>
      <c r="R50" s="3">
        <f t="shared" si="12"/>
        <v>219</v>
      </c>
      <c r="T50" s="3">
        <f t="shared" ref="T50:T60" si="14">SUM(O50:R50)</f>
        <v>1000</v>
      </c>
    </row>
    <row r="51" spans="1:20" s="3" customFormat="1" x14ac:dyDescent="0.35">
      <c r="A51" s="3" t="s">
        <v>28</v>
      </c>
      <c r="B51" s="3">
        <f>SUMIFS(Budget_marketing_pipeline!$G:$G,Budget_marketing_pipeline!$D:$D,'Budget Summary'!$A51,Budget_marketing_pipeline!$C:$C,'Budget Summary'!B$3)</f>
        <v>109</v>
      </c>
      <c r="C51" s="3">
        <f>SUMIFS(Budget_marketing_pipeline!$G:$G,Budget_marketing_pipeline!$D:$D,'Budget Summary'!$A51,Budget_marketing_pipeline!$C:$C,'Budget Summary'!C$3)</f>
        <v>83</v>
      </c>
      <c r="D51" s="3">
        <f>SUMIFS(Budget_marketing_pipeline!$G:$G,Budget_marketing_pipeline!$D:$D,'Budget Summary'!$A51,Budget_marketing_pipeline!$C:$C,'Budget Summary'!D$3)</f>
        <v>94</v>
      </c>
      <c r="E51" s="3">
        <f>SUMIFS(Budget_marketing_pipeline!$G:$G,Budget_marketing_pipeline!$D:$D,'Budget Summary'!$A51,Budget_marketing_pipeline!$C:$C,'Budget Summary'!E$3)</f>
        <v>37</v>
      </c>
      <c r="F51" s="3">
        <f>SUMIFS(Budget_marketing_pipeline!$G:$G,Budget_marketing_pipeline!$D:$D,'Budget Summary'!$A51,Budget_marketing_pipeline!$C:$C,'Budget Summary'!F$3)</f>
        <v>100</v>
      </c>
      <c r="G51" s="3">
        <f>SUMIFS(Budget_marketing_pipeline!$G:$G,Budget_marketing_pipeline!$D:$D,'Budget Summary'!$A51,Budget_marketing_pipeline!$C:$C,'Budget Summary'!G$3)</f>
        <v>150</v>
      </c>
      <c r="H51" s="3">
        <f>SUMIFS(Budget_marketing_pipeline!$G:$G,Budget_marketing_pipeline!$D:$D,'Budget Summary'!$A51,Budget_marketing_pipeline!$C:$C,'Budget Summary'!H$3)</f>
        <v>72</v>
      </c>
      <c r="I51" s="3">
        <f>SUMIFS(Budget_marketing_pipeline!$G:$G,Budget_marketing_pipeline!$D:$D,'Budget Summary'!$A51,Budget_marketing_pipeline!$C:$C,'Budget Summary'!I$3)</f>
        <v>66</v>
      </c>
      <c r="J51" s="3">
        <f>SUMIFS(Budget_marketing_pipeline!$G:$G,Budget_marketing_pipeline!$D:$D,'Budget Summary'!$A51,Budget_marketing_pipeline!$C:$C,'Budget Summary'!J$3)</f>
        <v>95</v>
      </c>
      <c r="K51" s="3">
        <f>SUMIFS(Budget_marketing_pipeline!$G:$G,Budget_marketing_pipeline!$D:$D,'Budget Summary'!$A51,Budget_marketing_pipeline!$C:$C,'Budget Summary'!K$3)</f>
        <v>142</v>
      </c>
      <c r="L51" s="3">
        <f>SUMIFS(Budget_marketing_pipeline!$G:$G,Budget_marketing_pipeline!$D:$D,'Budget Summary'!$A51,Budget_marketing_pipeline!$C:$C,'Budget Summary'!L$3)</f>
        <v>110</v>
      </c>
      <c r="M51" s="3">
        <f>SUMIFS(Budget_marketing_pipeline!$G:$G,Budget_marketing_pipeline!$D:$D,'Budget Summary'!$A51,Budget_marketing_pipeline!$C:$C,'Budget Summary'!M$3)</f>
        <v>181</v>
      </c>
      <c r="O51" s="3">
        <f t="shared" si="13"/>
        <v>286</v>
      </c>
      <c r="P51" s="3">
        <f t="shared" si="12"/>
        <v>287</v>
      </c>
      <c r="Q51" s="3">
        <f t="shared" si="12"/>
        <v>233</v>
      </c>
      <c r="R51" s="3">
        <f t="shared" si="12"/>
        <v>433</v>
      </c>
      <c r="T51" s="3">
        <f t="shared" si="14"/>
        <v>1239</v>
      </c>
    </row>
    <row r="52" spans="1:20" s="3" customFormat="1" x14ac:dyDescent="0.35">
      <c r="A52" s="3" t="s">
        <v>29</v>
      </c>
      <c r="B52" s="3">
        <f>SUMIFS(Budget_marketing_pipeline!$G:$G,Budget_marketing_pipeline!$D:$D,'Budget Summary'!$A52,Budget_marketing_pipeline!$C:$C,'Budget Summary'!B$3)</f>
        <v>153</v>
      </c>
      <c r="C52" s="3">
        <f>SUMIFS(Budget_marketing_pipeline!$G:$G,Budget_marketing_pipeline!$D:$D,'Budget Summary'!$A52,Budget_marketing_pipeline!$C:$C,'Budget Summary'!C$3)</f>
        <v>92</v>
      </c>
      <c r="D52" s="3">
        <f>SUMIFS(Budget_marketing_pipeline!$G:$G,Budget_marketing_pipeline!$D:$D,'Budget Summary'!$A52,Budget_marketing_pipeline!$C:$C,'Budget Summary'!D$3)</f>
        <v>50</v>
      </c>
      <c r="E52" s="3">
        <f>SUMIFS(Budget_marketing_pipeline!$G:$G,Budget_marketing_pipeline!$D:$D,'Budget Summary'!$A52,Budget_marketing_pipeline!$C:$C,'Budget Summary'!E$3)</f>
        <v>101</v>
      </c>
      <c r="F52" s="3">
        <f>SUMIFS(Budget_marketing_pipeline!$G:$G,Budget_marketing_pipeline!$D:$D,'Budget Summary'!$A52,Budget_marketing_pipeline!$C:$C,'Budget Summary'!F$3)</f>
        <v>44</v>
      </c>
      <c r="G52" s="3">
        <f>SUMIFS(Budget_marketing_pipeline!$G:$G,Budget_marketing_pipeline!$D:$D,'Budget Summary'!$A52,Budget_marketing_pipeline!$C:$C,'Budget Summary'!G$3)</f>
        <v>99</v>
      </c>
      <c r="H52" s="3">
        <f>SUMIFS(Budget_marketing_pipeline!$G:$G,Budget_marketing_pipeline!$D:$D,'Budget Summary'!$A52,Budget_marketing_pipeline!$C:$C,'Budget Summary'!H$3)</f>
        <v>188</v>
      </c>
      <c r="I52" s="3">
        <f>SUMIFS(Budget_marketing_pipeline!$G:$G,Budget_marketing_pipeline!$D:$D,'Budget Summary'!$A52,Budget_marketing_pipeline!$C:$C,'Budget Summary'!I$3)</f>
        <v>51</v>
      </c>
      <c r="J52" s="3">
        <f>SUMIFS(Budget_marketing_pipeline!$G:$G,Budget_marketing_pipeline!$D:$D,'Budget Summary'!$A52,Budget_marketing_pipeline!$C:$C,'Budget Summary'!J$3)</f>
        <v>79</v>
      </c>
      <c r="K52" s="3">
        <f>SUMIFS(Budget_marketing_pipeline!$G:$G,Budget_marketing_pipeline!$D:$D,'Budget Summary'!$A52,Budget_marketing_pipeline!$C:$C,'Budget Summary'!K$3)</f>
        <v>161</v>
      </c>
      <c r="L52" s="3">
        <f>SUMIFS(Budget_marketing_pipeline!$G:$G,Budget_marketing_pipeline!$D:$D,'Budget Summary'!$A52,Budget_marketing_pipeline!$C:$C,'Budget Summary'!L$3)</f>
        <v>118</v>
      </c>
      <c r="M52" s="3">
        <f>SUMIFS(Budget_marketing_pipeline!$G:$G,Budget_marketing_pipeline!$D:$D,'Budget Summary'!$A52,Budget_marketing_pipeline!$C:$C,'Budget Summary'!M$3)</f>
        <v>111</v>
      </c>
      <c r="O52" s="3">
        <f t="shared" si="13"/>
        <v>295</v>
      </c>
      <c r="P52" s="3">
        <f t="shared" si="12"/>
        <v>244</v>
      </c>
      <c r="Q52" s="3">
        <f t="shared" si="12"/>
        <v>318</v>
      </c>
      <c r="R52" s="3">
        <f t="shared" si="12"/>
        <v>390</v>
      </c>
      <c r="T52" s="3">
        <f t="shared" si="14"/>
        <v>1247</v>
      </c>
    </row>
    <row r="53" spans="1:20" s="3" customFormat="1" x14ac:dyDescent="0.35">
      <c r="A53" s="3" t="s">
        <v>30</v>
      </c>
      <c r="B53" s="3">
        <f>SUMIFS(Budget_marketing_pipeline!$G:$G,Budget_marketing_pipeline!$D:$D,'Budget Summary'!$A53,Budget_marketing_pipeline!$C:$C,'Budget Summary'!B$3)</f>
        <v>38</v>
      </c>
      <c r="C53" s="3">
        <f>SUMIFS(Budget_marketing_pipeline!$G:$G,Budget_marketing_pipeline!$D:$D,'Budget Summary'!$A53,Budget_marketing_pipeline!$C:$C,'Budget Summary'!C$3)</f>
        <v>101</v>
      </c>
      <c r="D53" s="3">
        <f>SUMIFS(Budget_marketing_pipeline!$G:$G,Budget_marketing_pipeline!$D:$D,'Budget Summary'!$A53,Budget_marketing_pipeline!$C:$C,'Budget Summary'!D$3)</f>
        <v>39</v>
      </c>
      <c r="E53" s="3">
        <f>SUMIFS(Budget_marketing_pipeline!$G:$G,Budget_marketing_pipeline!$D:$D,'Budget Summary'!$A53,Budget_marketing_pipeline!$C:$C,'Budget Summary'!E$3)</f>
        <v>155</v>
      </c>
      <c r="F53" s="3">
        <f>SUMIFS(Budget_marketing_pipeline!$G:$G,Budget_marketing_pipeline!$D:$D,'Budget Summary'!$A53,Budget_marketing_pipeline!$C:$C,'Budget Summary'!F$3)</f>
        <v>50</v>
      </c>
      <c r="G53" s="3">
        <f>SUMIFS(Budget_marketing_pipeline!$G:$G,Budget_marketing_pipeline!$D:$D,'Budget Summary'!$A53,Budget_marketing_pipeline!$C:$C,'Budget Summary'!G$3)</f>
        <v>39</v>
      </c>
      <c r="H53" s="3">
        <f>SUMIFS(Budget_marketing_pipeline!$G:$G,Budget_marketing_pipeline!$D:$D,'Budget Summary'!$A53,Budget_marketing_pipeline!$C:$C,'Budget Summary'!H$3)</f>
        <v>108</v>
      </c>
      <c r="I53" s="3">
        <f>SUMIFS(Budget_marketing_pipeline!$G:$G,Budget_marketing_pipeline!$D:$D,'Budget Summary'!$A53,Budget_marketing_pipeline!$C:$C,'Budget Summary'!I$3)</f>
        <v>54</v>
      </c>
      <c r="J53" s="3">
        <f>SUMIFS(Budget_marketing_pipeline!$G:$G,Budget_marketing_pipeline!$D:$D,'Budget Summary'!$A53,Budget_marketing_pipeline!$C:$C,'Budget Summary'!J$3)</f>
        <v>43</v>
      </c>
      <c r="K53" s="3">
        <f>SUMIFS(Budget_marketing_pipeline!$G:$G,Budget_marketing_pipeline!$D:$D,'Budget Summary'!$A53,Budget_marketing_pipeline!$C:$C,'Budget Summary'!K$3)</f>
        <v>124</v>
      </c>
      <c r="L53" s="3">
        <f>SUMIFS(Budget_marketing_pipeline!$G:$G,Budget_marketing_pipeline!$D:$D,'Budget Summary'!$A53,Budget_marketing_pipeline!$C:$C,'Budget Summary'!L$3)</f>
        <v>55</v>
      </c>
      <c r="M53" s="3">
        <f>SUMIFS(Budget_marketing_pipeline!$G:$G,Budget_marketing_pipeline!$D:$D,'Budget Summary'!$A53,Budget_marketing_pipeline!$C:$C,'Budget Summary'!M$3)</f>
        <v>77</v>
      </c>
      <c r="O53" s="3">
        <f t="shared" si="13"/>
        <v>178</v>
      </c>
      <c r="P53" s="3">
        <f t="shared" si="12"/>
        <v>244</v>
      </c>
      <c r="Q53" s="3">
        <f t="shared" si="12"/>
        <v>205</v>
      </c>
      <c r="R53" s="3">
        <f t="shared" si="12"/>
        <v>256</v>
      </c>
      <c r="T53" s="3">
        <f t="shared" si="14"/>
        <v>883</v>
      </c>
    </row>
    <row r="54" spans="1:20" s="3" customFormat="1" x14ac:dyDescent="0.35">
      <c r="A54" s="3" t="s">
        <v>31</v>
      </c>
      <c r="B54" s="3">
        <f>SUMIFS(Budget_marketing_pipeline!$G:$G,Budget_marketing_pipeline!$D:$D,'Budget Summary'!$A54,Budget_marketing_pipeline!$C:$C,'Budget Summary'!B$3)</f>
        <v>79</v>
      </c>
      <c r="C54" s="3">
        <f>SUMIFS(Budget_marketing_pipeline!$G:$G,Budget_marketing_pipeline!$D:$D,'Budget Summary'!$A54,Budget_marketing_pipeline!$C:$C,'Budget Summary'!C$3)</f>
        <v>88</v>
      </c>
      <c r="D54" s="3">
        <f>SUMIFS(Budget_marketing_pipeline!$G:$G,Budget_marketing_pipeline!$D:$D,'Budget Summary'!$A54,Budget_marketing_pipeline!$C:$C,'Budget Summary'!D$3)</f>
        <v>62</v>
      </c>
      <c r="E54" s="3">
        <f>SUMIFS(Budget_marketing_pipeline!$G:$G,Budget_marketing_pipeline!$D:$D,'Budget Summary'!$A54,Budget_marketing_pipeline!$C:$C,'Budget Summary'!E$3)</f>
        <v>53</v>
      </c>
      <c r="F54" s="3">
        <f>SUMIFS(Budget_marketing_pipeline!$G:$G,Budget_marketing_pipeline!$D:$D,'Budget Summary'!$A54,Budget_marketing_pipeline!$C:$C,'Budget Summary'!F$3)</f>
        <v>174</v>
      </c>
      <c r="G54" s="3">
        <f>SUMIFS(Budget_marketing_pipeline!$G:$G,Budget_marketing_pipeline!$D:$D,'Budget Summary'!$A54,Budget_marketing_pipeline!$C:$C,'Budget Summary'!G$3)</f>
        <v>62</v>
      </c>
      <c r="H54" s="3">
        <f>SUMIFS(Budget_marketing_pipeline!$G:$G,Budget_marketing_pipeline!$D:$D,'Budget Summary'!$A54,Budget_marketing_pipeline!$C:$C,'Budget Summary'!H$3)</f>
        <v>81</v>
      </c>
      <c r="I54" s="3">
        <f>SUMIFS(Budget_marketing_pipeline!$G:$G,Budget_marketing_pipeline!$D:$D,'Budget Summary'!$A54,Budget_marketing_pipeline!$C:$C,'Budget Summary'!I$3)</f>
        <v>129</v>
      </c>
      <c r="J54" s="3">
        <f>SUMIFS(Budget_marketing_pipeline!$G:$G,Budget_marketing_pipeline!$D:$D,'Budget Summary'!$A54,Budget_marketing_pipeline!$C:$C,'Budget Summary'!J$3)</f>
        <v>110</v>
      </c>
      <c r="K54" s="3">
        <f>SUMIFS(Budget_marketing_pipeline!$G:$G,Budget_marketing_pipeline!$D:$D,'Budget Summary'!$A54,Budget_marketing_pipeline!$C:$C,'Budget Summary'!K$3)</f>
        <v>108</v>
      </c>
      <c r="L54" s="3">
        <f>SUMIFS(Budget_marketing_pipeline!$G:$G,Budget_marketing_pipeline!$D:$D,'Budget Summary'!$A54,Budget_marketing_pipeline!$C:$C,'Budget Summary'!L$3)</f>
        <v>104</v>
      </c>
      <c r="M54" s="3">
        <f>SUMIFS(Budget_marketing_pipeline!$G:$G,Budget_marketing_pipeline!$D:$D,'Budget Summary'!$A54,Budget_marketing_pipeline!$C:$C,'Budget Summary'!M$3)</f>
        <v>101</v>
      </c>
      <c r="O54" s="3">
        <f t="shared" si="13"/>
        <v>229</v>
      </c>
      <c r="P54" s="3">
        <f t="shared" si="12"/>
        <v>289</v>
      </c>
      <c r="Q54" s="3">
        <f t="shared" si="12"/>
        <v>320</v>
      </c>
      <c r="R54" s="3">
        <f t="shared" si="12"/>
        <v>313</v>
      </c>
      <c r="T54" s="3">
        <f t="shared" si="14"/>
        <v>1151</v>
      </c>
    </row>
    <row r="55" spans="1:20" s="3" customFormat="1" x14ac:dyDescent="0.35">
      <c r="A55" s="3" t="s">
        <v>32</v>
      </c>
      <c r="B55" s="3">
        <f>SUMIFS(Budget_marketing_pipeline!$G:$G,Budget_marketing_pipeline!$D:$D,'Budget Summary'!$A55,Budget_marketing_pipeline!$C:$C,'Budget Summary'!B$3)</f>
        <v>121</v>
      </c>
      <c r="C55" s="3">
        <f>SUMIFS(Budget_marketing_pipeline!$G:$G,Budget_marketing_pipeline!$D:$D,'Budget Summary'!$A55,Budget_marketing_pipeline!$C:$C,'Budget Summary'!C$3)</f>
        <v>87</v>
      </c>
      <c r="D55" s="3">
        <f>SUMIFS(Budget_marketing_pipeline!$G:$G,Budget_marketing_pipeline!$D:$D,'Budget Summary'!$A55,Budget_marketing_pipeline!$C:$C,'Budget Summary'!D$3)</f>
        <v>144</v>
      </c>
      <c r="E55" s="3">
        <f>SUMIFS(Budget_marketing_pipeline!$G:$G,Budget_marketing_pipeline!$D:$D,'Budget Summary'!$A55,Budget_marketing_pipeline!$C:$C,'Budget Summary'!E$3)</f>
        <v>34</v>
      </c>
      <c r="F55" s="3">
        <f>SUMIFS(Budget_marketing_pipeline!$G:$G,Budget_marketing_pipeline!$D:$D,'Budget Summary'!$A55,Budget_marketing_pipeline!$C:$C,'Budget Summary'!F$3)</f>
        <v>66</v>
      </c>
      <c r="G55" s="3">
        <f>SUMIFS(Budget_marketing_pipeline!$G:$G,Budget_marketing_pipeline!$D:$D,'Budget Summary'!$A55,Budget_marketing_pipeline!$C:$C,'Budget Summary'!G$3)</f>
        <v>108</v>
      </c>
      <c r="H55" s="3">
        <f>SUMIFS(Budget_marketing_pipeline!$G:$G,Budget_marketing_pipeline!$D:$D,'Budget Summary'!$A55,Budget_marketing_pipeline!$C:$C,'Budget Summary'!H$3)</f>
        <v>176</v>
      </c>
      <c r="I55" s="3">
        <f>SUMIFS(Budget_marketing_pipeline!$G:$G,Budget_marketing_pipeline!$D:$D,'Budget Summary'!$A55,Budget_marketing_pipeline!$C:$C,'Budget Summary'!I$3)</f>
        <v>63</v>
      </c>
      <c r="J55" s="3">
        <f>SUMIFS(Budget_marketing_pipeline!$G:$G,Budget_marketing_pipeline!$D:$D,'Budget Summary'!$A55,Budget_marketing_pipeline!$C:$C,'Budget Summary'!J$3)</f>
        <v>84</v>
      </c>
      <c r="K55" s="3">
        <f>SUMIFS(Budget_marketing_pipeline!$G:$G,Budget_marketing_pipeline!$D:$D,'Budget Summary'!$A55,Budget_marketing_pipeline!$C:$C,'Budget Summary'!K$3)</f>
        <v>139</v>
      </c>
      <c r="L55" s="3">
        <f>SUMIFS(Budget_marketing_pipeline!$G:$G,Budget_marketing_pipeline!$D:$D,'Budget Summary'!$A55,Budget_marketing_pipeline!$C:$C,'Budget Summary'!L$3)</f>
        <v>58</v>
      </c>
      <c r="M55" s="3">
        <f>SUMIFS(Budget_marketing_pipeline!$G:$G,Budget_marketing_pipeline!$D:$D,'Budget Summary'!$A55,Budget_marketing_pipeline!$C:$C,'Budget Summary'!M$3)</f>
        <v>115</v>
      </c>
      <c r="O55" s="3">
        <f t="shared" si="13"/>
        <v>352</v>
      </c>
      <c r="P55" s="3">
        <f t="shared" si="12"/>
        <v>208</v>
      </c>
      <c r="Q55" s="3">
        <f t="shared" si="12"/>
        <v>323</v>
      </c>
      <c r="R55" s="3">
        <f t="shared" si="12"/>
        <v>312</v>
      </c>
      <c r="T55" s="3">
        <f t="shared" si="14"/>
        <v>1195</v>
      </c>
    </row>
    <row r="56" spans="1:20" s="3" customFormat="1" x14ac:dyDescent="0.35">
      <c r="A56" s="3" t="s">
        <v>33</v>
      </c>
      <c r="B56" s="3">
        <f>SUMIFS(Budget_marketing_pipeline!$G:$G,Budget_marketing_pipeline!$D:$D,'Budget Summary'!$A56,Budget_marketing_pipeline!$C:$C,'Budget Summary'!B$3)</f>
        <v>51</v>
      </c>
      <c r="C56" s="3">
        <f>SUMIFS(Budget_marketing_pipeline!$G:$G,Budget_marketing_pipeline!$D:$D,'Budget Summary'!$A56,Budget_marketing_pipeline!$C:$C,'Budget Summary'!C$3)</f>
        <v>85</v>
      </c>
      <c r="D56" s="3">
        <f>SUMIFS(Budget_marketing_pipeline!$G:$G,Budget_marketing_pipeline!$D:$D,'Budget Summary'!$A56,Budget_marketing_pipeline!$C:$C,'Budget Summary'!D$3)</f>
        <v>118</v>
      </c>
      <c r="E56" s="3">
        <f>SUMIFS(Budget_marketing_pipeline!$G:$G,Budget_marketing_pipeline!$D:$D,'Budget Summary'!$A56,Budget_marketing_pipeline!$C:$C,'Budget Summary'!E$3)</f>
        <v>78</v>
      </c>
      <c r="F56" s="3">
        <f>SUMIFS(Budget_marketing_pipeline!$G:$G,Budget_marketing_pipeline!$D:$D,'Budget Summary'!$A56,Budget_marketing_pipeline!$C:$C,'Budget Summary'!F$3)</f>
        <v>175</v>
      </c>
      <c r="G56" s="3">
        <f>SUMIFS(Budget_marketing_pipeline!$G:$G,Budget_marketing_pipeline!$D:$D,'Budget Summary'!$A56,Budget_marketing_pipeline!$C:$C,'Budget Summary'!G$3)</f>
        <v>142</v>
      </c>
      <c r="H56" s="3">
        <f>SUMIFS(Budget_marketing_pipeline!$G:$G,Budget_marketing_pipeline!$D:$D,'Budget Summary'!$A56,Budget_marketing_pipeline!$C:$C,'Budget Summary'!H$3)</f>
        <v>64</v>
      </c>
      <c r="I56" s="3">
        <f>SUMIFS(Budget_marketing_pipeline!$G:$G,Budget_marketing_pipeline!$D:$D,'Budget Summary'!$A56,Budget_marketing_pipeline!$C:$C,'Budget Summary'!I$3)</f>
        <v>125</v>
      </c>
      <c r="J56" s="3">
        <f>SUMIFS(Budget_marketing_pipeline!$G:$G,Budget_marketing_pipeline!$D:$D,'Budget Summary'!$A56,Budget_marketing_pipeline!$C:$C,'Budget Summary'!J$3)</f>
        <v>57</v>
      </c>
      <c r="K56" s="3">
        <f>SUMIFS(Budget_marketing_pipeline!$G:$G,Budget_marketing_pipeline!$D:$D,'Budget Summary'!$A56,Budget_marketing_pipeline!$C:$C,'Budget Summary'!K$3)</f>
        <v>90</v>
      </c>
      <c r="L56" s="3">
        <f>SUMIFS(Budget_marketing_pipeline!$G:$G,Budget_marketing_pipeline!$D:$D,'Budget Summary'!$A56,Budget_marketing_pipeline!$C:$C,'Budget Summary'!L$3)</f>
        <v>144</v>
      </c>
      <c r="M56" s="3">
        <f>SUMIFS(Budget_marketing_pipeline!$G:$G,Budget_marketing_pipeline!$D:$D,'Budget Summary'!$A56,Budget_marketing_pipeline!$C:$C,'Budget Summary'!M$3)</f>
        <v>94</v>
      </c>
      <c r="O56" s="3">
        <f t="shared" si="13"/>
        <v>254</v>
      </c>
      <c r="P56" s="3">
        <f t="shared" si="12"/>
        <v>395</v>
      </c>
      <c r="Q56" s="3">
        <f t="shared" si="12"/>
        <v>246</v>
      </c>
      <c r="R56" s="3">
        <f t="shared" si="12"/>
        <v>328</v>
      </c>
      <c r="T56" s="3">
        <f t="shared" si="14"/>
        <v>1223</v>
      </c>
    </row>
    <row r="57" spans="1:20" s="3" customFormat="1" x14ac:dyDescent="0.35">
      <c r="A57" s="3" t="s">
        <v>34</v>
      </c>
      <c r="B57" s="3">
        <f>SUMIFS(Budget_marketing_pipeline!$G:$G,Budget_marketing_pipeline!$D:$D,'Budget Summary'!$A57,Budget_marketing_pipeline!$C:$C,'Budget Summary'!B$3)</f>
        <v>48</v>
      </c>
      <c r="C57" s="3">
        <f>SUMIFS(Budget_marketing_pipeline!$G:$G,Budget_marketing_pipeline!$D:$D,'Budget Summary'!$A57,Budget_marketing_pipeline!$C:$C,'Budget Summary'!C$3)</f>
        <v>105</v>
      </c>
      <c r="D57" s="3">
        <f>SUMIFS(Budget_marketing_pipeline!$G:$G,Budget_marketing_pipeline!$D:$D,'Budget Summary'!$A57,Budget_marketing_pipeline!$C:$C,'Budget Summary'!D$3)</f>
        <v>54</v>
      </c>
      <c r="E57" s="3">
        <f>SUMIFS(Budget_marketing_pipeline!$G:$G,Budget_marketing_pipeline!$D:$D,'Budget Summary'!$A57,Budget_marketing_pipeline!$C:$C,'Budget Summary'!E$3)</f>
        <v>49</v>
      </c>
      <c r="F57" s="3">
        <f>SUMIFS(Budget_marketing_pipeline!$G:$G,Budget_marketing_pipeline!$D:$D,'Budget Summary'!$A57,Budget_marketing_pipeline!$C:$C,'Budget Summary'!F$3)</f>
        <v>52</v>
      </c>
      <c r="G57" s="3">
        <f>SUMIFS(Budget_marketing_pipeline!$G:$G,Budget_marketing_pipeline!$D:$D,'Budget Summary'!$A57,Budget_marketing_pipeline!$C:$C,'Budget Summary'!G$3)</f>
        <v>146</v>
      </c>
      <c r="H57" s="3">
        <f>SUMIFS(Budget_marketing_pipeline!$G:$G,Budget_marketing_pipeline!$D:$D,'Budget Summary'!$A57,Budget_marketing_pipeline!$C:$C,'Budget Summary'!H$3)</f>
        <v>151</v>
      </c>
      <c r="I57" s="3">
        <f>SUMIFS(Budget_marketing_pipeline!$G:$G,Budget_marketing_pipeline!$D:$D,'Budget Summary'!$A57,Budget_marketing_pipeline!$C:$C,'Budget Summary'!I$3)</f>
        <v>54</v>
      </c>
      <c r="J57" s="3">
        <f>SUMIFS(Budget_marketing_pipeline!$G:$G,Budget_marketing_pipeline!$D:$D,'Budget Summary'!$A57,Budget_marketing_pipeline!$C:$C,'Budget Summary'!J$3)</f>
        <v>84</v>
      </c>
      <c r="K57" s="3">
        <f>SUMIFS(Budget_marketing_pipeline!$G:$G,Budget_marketing_pipeline!$D:$D,'Budget Summary'!$A57,Budget_marketing_pipeline!$C:$C,'Budget Summary'!K$3)</f>
        <v>138</v>
      </c>
      <c r="L57" s="3">
        <f>SUMIFS(Budget_marketing_pipeline!$G:$G,Budget_marketing_pipeline!$D:$D,'Budget Summary'!$A57,Budget_marketing_pipeline!$C:$C,'Budget Summary'!L$3)</f>
        <v>120</v>
      </c>
      <c r="M57" s="3">
        <f>SUMIFS(Budget_marketing_pipeline!$G:$G,Budget_marketing_pipeline!$D:$D,'Budget Summary'!$A57,Budget_marketing_pipeline!$C:$C,'Budget Summary'!M$3)</f>
        <v>93</v>
      </c>
      <c r="O57" s="3">
        <f t="shared" si="13"/>
        <v>207</v>
      </c>
      <c r="P57" s="3">
        <f t="shared" si="12"/>
        <v>247</v>
      </c>
      <c r="Q57" s="3">
        <f t="shared" si="12"/>
        <v>289</v>
      </c>
      <c r="R57" s="3">
        <f t="shared" si="12"/>
        <v>351</v>
      </c>
      <c r="T57" s="3">
        <f t="shared" si="14"/>
        <v>1094</v>
      </c>
    </row>
    <row r="58" spans="1:20" s="3" customFormat="1" x14ac:dyDescent="0.35">
      <c r="A58" s="3" t="s">
        <v>35</v>
      </c>
      <c r="B58" s="3">
        <f>SUMIFS(Budget_marketing_pipeline!$G:$G,Budget_marketing_pipeline!$D:$D,'Budget Summary'!$A58,Budget_marketing_pipeline!$C:$C,'Budget Summary'!B$3)</f>
        <v>51</v>
      </c>
      <c r="C58" s="3">
        <f>SUMIFS(Budget_marketing_pipeline!$G:$G,Budget_marketing_pipeline!$D:$D,'Budget Summary'!$A58,Budget_marketing_pipeline!$C:$C,'Budget Summary'!C$3)</f>
        <v>61</v>
      </c>
      <c r="D58" s="3">
        <f>SUMIFS(Budget_marketing_pipeline!$G:$G,Budget_marketing_pipeline!$D:$D,'Budget Summary'!$A58,Budget_marketing_pipeline!$C:$C,'Budget Summary'!D$3)</f>
        <v>159</v>
      </c>
      <c r="E58" s="3">
        <f>SUMIFS(Budget_marketing_pipeline!$G:$G,Budget_marketing_pipeline!$D:$D,'Budget Summary'!$A58,Budget_marketing_pipeline!$C:$C,'Budget Summary'!E$3)</f>
        <v>99</v>
      </c>
      <c r="F58" s="3">
        <f>SUMIFS(Budget_marketing_pipeline!$G:$G,Budget_marketing_pipeline!$D:$D,'Budget Summary'!$A58,Budget_marketing_pipeline!$C:$C,'Budget Summary'!F$3)</f>
        <v>79</v>
      </c>
      <c r="G58" s="3">
        <f>SUMIFS(Budget_marketing_pipeline!$G:$G,Budget_marketing_pipeline!$D:$D,'Budget Summary'!$A58,Budget_marketing_pipeline!$C:$C,'Budget Summary'!G$3)</f>
        <v>179</v>
      </c>
      <c r="H58" s="3">
        <f>SUMIFS(Budget_marketing_pipeline!$G:$G,Budget_marketing_pipeline!$D:$D,'Budget Summary'!$A58,Budget_marketing_pipeline!$C:$C,'Budget Summary'!H$3)</f>
        <v>85</v>
      </c>
      <c r="I58" s="3">
        <f>SUMIFS(Budget_marketing_pipeline!$G:$G,Budget_marketing_pipeline!$D:$D,'Budget Summary'!$A58,Budget_marketing_pipeline!$C:$C,'Budget Summary'!I$3)</f>
        <v>155</v>
      </c>
      <c r="J58" s="3">
        <f>SUMIFS(Budget_marketing_pipeline!$G:$G,Budget_marketing_pipeline!$D:$D,'Budget Summary'!$A58,Budget_marketing_pipeline!$C:$C,'Budget Summary'!J$3)</f>
        <v>69</v>
      </c>
      <c r="K58" s="3">
        <f>SUMIFS(Budget_marketing_pipeline!$G:$G,Budget_marketing_pipeline!$D:$D,'Budget Summary'!$A58,Budget_marketing_pipeline!$C:$C,'Budget Summary'!K$3)</f>
        <v>54</v>
      </c>
      <c r="L58" s="3">
        <f>SUMIFS(Budget_marketing_pipeline!$G:$G,Budget_marketing_pipeline!$D:$D,'Budget Summary'!$A58,Budget_marketing_pipeline!$C:$C,'Budget Summary'!L$3)</f>
        <v>89</v>
      </c>
      <c r="M58" s="3">
        <f>SUMIFS(Budget_marketing_pipeline!$G:$G,Budget_marketing_pipeline!$D:$D,'Budget Summary'!$A58,Budget_marketing_pipeline!$C:$C,'Budget Summary'!M$3)</f>
        <v>58</v>
      </c>
      <c r="O58" s="3">
        <f t="shared" si="13"/>
        <v>271</v>
      </c>
      <c r="P58" s="3">
        <f t="shared" si="12"/>
        <v>357</v>
      </c>
      <c r="Q58" s="3">
        <f t="shared" si="12"/>
        <v>309</v>
      </c>
      <c r="R58" s="3">
        <f t="shared" si="12"/>
        <v>201</v>
      </c>
      <c r="T58" s="3">
        <f t="shared" si="14"/>
        <v>1138</v>
      </c>
    </row>
    <row r="59" spans="1:20" s="3" customFormat="1" x14ac:dyDescent="0.35">
      <c r="A59" s="3" t="s">
        <v>36</v>
      </c>
      <c r="B59" s="3">
        <f>SUMIFS(Budget_marketing_pipeline!$G:$G,Budget_marketing_pipeline!$D:$D,'Budget Summary'!$A59,Budget_marketing_pipeline!$C:$C,'Budget Summary'!B$3)</f>
        <v>0</v>
      </c>
      <c r="C59" s="3">
        <f>SUMIFS(Budget_marketing_pipeline!$G:$G,Budget_marketing_pipeline!$D:$D,'Budget Summary'!$A59,Budget_marketing_pipeline!$C:$C,'Budget Summary'!C$3)</f>
        <v>0</v>
      </c>
      <c r="D59" s="3">
        <f>SUMIFS(Budget_marketing_pipeline!$G:$G,Budget_marketing_pipeline!$D:$D,'Budget Summary'!$A59,Budget_marketing_pipeline!$C:$C,'Budget Summary'!D$3)</f>
        <v>0</v>
      </c>
      <c r="E59" s="3">
        <f>SUMIFS(Budget_marketing_pipeline!$G:$G,Budget_marketing_pipeline!$D:$D,'Budget Summary'!$A59,Budget_marketing_pipeline!$C:$C,'Budget Summary'!E$3)</f>
        <v>0</v>
      </c>
      <c r="F59" s="3">
        <f>SUMIFS(Budget_marketing_pipeline!$G:$G,Budget_marketing_pipeline!$D:$D,'Budget Summary'!$A59,Budget_marketing_pipeline!$C:$C,'Budget Summary'!F$3)</f>
        <v>0</v>
      </c>
      <c r="G59" s="3">
        <f>SUMIFS(Budget_marketing_pipeline!$G:$G,Budget_marketing_pipeline!$D:$D,'Budget Summary'!$A59,Budget_marketing_pipeline!$C:$C,'Budget Summary'!G$3)</f>
        <v>0</v>
      </c>
      <c r="H59" s="3">
        <f>SUMIFS(Budget_marketing_pipeline!$G:$G,Budget_marketing_pipeline!$D:$D,'Budget Summary'!$A59,Budget_marketing_pipeline!$C:$C,'Budget Summary'!H$3)</f>
        <v>0</v>
      </c>
      <c r="I59" s="3">
        <f>SUMIFS(Budget_marketing_pipeline!$G:$G,Budget_marketing_pipeline!$D:$D,'Budget Summary'!$A59,Budget_marketing_pipeline!$C:$C,'Budget Summary'!I$3)</f>
        <v>0</v>
      </c>
      <c r="J59" s="3">
        <f>SUMIFS(Budget_marketing_pipeline!$G:$G,Budget_marketing_pipeline!$D:$D,'Budget Summary'!$A59,Budget_marketing_pipeline!$C:$C,'Budget Summary'!J$3)</f>
        <v>0</v>
      </c>
      <c r="K59" s="3">
        <f>SUMIFS(Budget_marketing_pipeline!$G:$G,Budget_marketing_pipeline!$D:$D,'Budget Summary'!$A59,Budget_marketing_pipeline!$C:$C,'Budget Summary'!K$3)</f>
        <v>0</v>
      </c>
      <c r="L59" s="3">
        <f>SUMIFS(Budget_marketing_pipeline!$G:$G,Budget_marketing_pipeline!$D:$D,'Budget Summary'!$A59,Budget_marketing_pipeline!$C:$C,'Budget Summary'!L$3)</f>
        <v>0</v>
      </c>
      <c r="M59" s="3">
        <f>SUMIFS(Budget_marketing_pipeline!$G:$G,Budget_marketing_pipeline!$D:$D,'Budget Summary'!$A59,Budget_marketing_pipeline!$C:$C,'Budget Summary'!M$3)</f>
        <v>0</v>
      </c>
      <c r="O59" s="3">
        <f t="shared" si="13"/>
        <v>0</v>
      </c>
      <c r="P59" s="3">
        <f t="shared" si="12"/>
        <v>0</v>
      </c>
      <c r="Q59" s="3">
        <f t="shared" si="12"/>
        <v>0</v>
      </c>
      <c r="R59" s="3">
        <f t="shared" si="12"/>
        <v>0</v>
      </c>
      <c r="T59" s="3">
        <f t="shared" si="14"/>
        <v>0</v>
      </c>
    </row>
    <row r="60" spans="1:20" s="8" customFormat="1" x14ac:dyDescent="0.35">
      <c r="A60" s="8" t="s">
        <v>63</v>
      </c>
      <c r="B60" s="8">
        <f>SUM(B49:B59)</f>
        <v>856</v>
      </c>
      <c r="C60" s="8">
        <f t="shared" ref="C60:M60" si="15">SUM(C49:C59)</f>
        <v>836</v>
      </c>
      <c r="D60" s="8">
        <f t="shared" si="15"/>
        <v>945</v>
      </c>
      <c r="E60" s="8">
        <f t="shared" si="15"/>
        <v>898</v>
      </c>
      <c r="F60" s="8">
        <f t="shared" si="15"/>
        <v>958</v>
      </c>
      <c r="G60" s="8">
        <f t="shared" si="15"/>
        <v>1111</v>
      </c>
      <c r="H60" s="8">
        <f t="shared" si="15"/>
        <v>1097</v>
      </c>
      <c r="I60" s="8">
        <f t="shared" si="15"/>
        <v>867</v>
      </c>
      <c r="J60" s="8">
        <f t="shared" si="15"/>
        <v>770</v>
      </c>
      <c r="K60" s="8">
        <f t="shared" si="15"/>
        <v>1085</v>
      </c>
      <c r="L60" s="8">
        <f t="shared" si="15"/>
        <v>1001</v>
      </c>
      <c r="M60" s="8">
        <f t="shared" si="15"/>
        <v>1001</v>
      </c>
      <c r="O60" s="8">
        <f t="shared" si="13"/>
        <v>2637</v>
      </c>
      <c r="P60" s="8">
        <f t="shared" si="12"/>
        <v>2967</v>
      </c>
      <c r="Q60" s="8">
        <f t="shared" si="12"/>
        <v>2734</v>
      </c>
      <c r="R60" s="8">
        <f t="shared" si="12"/>
        <v>3087</v>
      </c>
      <c r="T60" s="8">
        <f t="shared" si="14"/>
        <v>11425</v>
      </c>
    </row>
    <row r="62" spans="1:20" s="7" customFormat="1" x14ac:dyDescent="0.35">
      <c r="A62" s="7" t="s">
        <v>65</v>
      </c>
      <c r="B62" s="10" t="s">
        <v>55</v>
      </c>
      <c r="C62" s="10" t="s">
        <v>55</v>
      </c>
      <c r="D62" s="10" t="s">
        <v>55</v>
      </c>
      <c r="E62" s="10" t="s">
        <v>56</v>
      </c>
      <c r="F62" s="10" t="s">
        <v>56</v>
      </c>
      <c r="G62" s="10" t="s">
        <v>56</v>
      </c>
      <c r="H62" s="10" t="s">
        <v>57</v>
      </c>
      <c r="I62" s="10" t="s">
        <v>57</v>
      </c>
      <c r="J62" s="10" t="s">
        <v>57</v>
      </c>
      <c r="K62" s="10" t="s">
        <v>58</v>
      </c>
      <c r="L62" s="10" t="s">
        <v>58</v>
      </c>
      <c r="M62" s="10" t="s">
        <v>58</v>
      </c>
    </row>
    <row r="63" spans="1:20" s="7" customFormat="1" x14ac:dyDescent="0.35">
      <c r="A63" s="7" t="s">
        <v>3</v>
      </c>
      <c r="B63" s="10" t="s">
        <v>24</v>
      </c>
      <c r="C63" s="10" t="s">
        <v>37</v>
      </c>
      <c r="D63" s="10" t="s">
        <v>38</v>
      </c>
      <c r="E63" s="10" t="s">
        <v>39</v>
      </c>
      <c r="F63" s="10" t="s">
        <v>40</v>
      </c>
      <c r="G63" s="10" t="s">
        <v>43</v>
      </c>
      <c r="H63" s="10" t="s">
        <v>45</v>
      </c>
      <c r="I63" s="10" t="s">
        <v>46</v>
      </c>
      <c r="J63" s="10" t="s">
        <v>47</v>
      </c>
      <c r="K63" s="10" t="s">
        <v>48</v>
      </c>
      <c r="L63" s="10" t="s">
        <v>49</v>
      </c>
      <c r="M63" s="10" t="s">
        <v>50</v>
      </c>
      <c r="O63" s="10" t="s">
        <v>55</v>
      </c>
      <c r="P63" s="10" t="s">
        <v>56</v>
      </c>
      <c r="Q63" s="10" t="s">
        <v>57</v>
      </c>
      <c r="R63" s="10" t="s">
        <v>58</v>
      </c>
      <c r="T63" s="10" t="s">
        <v>64</v>
      </c>
    </row>
    <row r="64" spans="1:20" s="3" customFormat="1" x14ac:dyDescent="0.35">
      <c r="A64" s="3" t="s">
        <v>25</v>
      </c>
      <c r="B64" s="3">
        <f>SUMIFS(Budget_marketing_pipeline!$G:$G,Budget_marketing_pipeline!$D:$D,'Budget Summary'!$A64,Budget_marketing_pipeline!$C:$C,'Budget Summary'!B$3)</f>
        <v>108</v>
      </c>
      <c r="C64" s="3">
        <f>SUMIFS(Budget_marketing_pipeline!$G:$G,Budget_marketing_pipeline!$D:$D,'Budget Summary'!$A64,Budget_marketing_pipeline!$C:$C,'Budget Summary'!C$3)</f>
        <v>86</v>
      </c>
      <c r="D64" s="3">
        <f>SUMIFS(Budget_marketing_pipeline!$G:$G,Budget_marketing_pipeline!$D:$D,'Budget Summary'!$A64,Budget_marketing_pipeline!$C:$C,'Budget Summary'!D$3)</f>
        <v>67</v>
      </c>
      <c r="E64" s="3">
        <f>SUMIFS(Budget_marketing_pipeline!$G:$G,Budget_marketing_pipeline!$D:$D,'Budget Summary'!$A64,Budget_marketing_pipeline!$C:$C,'Budget Summary'!E$3)</f>
        <v>173</v>
      </c>
      <c r="F64" s="3">
        <f>SUMIFS(Budget_marketing_pipeline!$G:$G,Budget_marketing_pipeline!$D:$D,'Budget Summary'!$A64,Budget_marketing_pipeline!$C:$C,'Budget Summary'!F$3)</f>
        <v>120</v>
      </c>
      <c r="G64" s="3">
        <f>SUMIFS(Budget_marketing_pipeline!$G:$G,Budget_marketing_pipeline!$D:$D,'Budget Summary'!$A64,Budget_marketing_pipeline!$C:$C,'Budget Summary'!G$3)</f>
        <v>157</v>
      </c>
      <c r="H64" s="3">
        <f>SUMIFS(Budget_marketing_pipeline!$G:$G,Budget_marketing_pipeline!$D:$D,'Budget Summary'!$A64,Budget_marketing_pipeline!$C:$C,'Budget Summary'!H$3)</f>
        <v>97</v>
      </c>
      <c r="I64" s="3">
        <f>SUMIFS(Budget_marketing_pipeline!$G:$G,Budget_marketing_pipeline!$D:$D,'Budget Summary'!$A64,Budget_marketing_pipeline!$C:$C,'Budget Summary'!I$3)</f>
        <v>95</v>
      </c>
      <c r="J64" s="3">
        <f>SUMIFS(Budget_marketing_pipeline!$G:$G,Budget_marketing_pipeline!$D:$D,'Budget Summary'!$A64,Budget_marketing_pipeline!$C:$C,'Budget Summary'!J$3)</f>
        <v>68</v>
      </c>
      <c r="K64" s="3">
        <f>SUMIFS(Budget_marketing_pipeline!$G:$G,Budget_marketing_pipeline!$D:$D,'Budget Summary'!$A64,Budget_marketing_pipeline!$C:$C,'Budget Summary'!K$3)</f>
        <v>49</v>
      </c>
      <c r="L64" s="3">
        <f>SUMIFS(Budget_marketing_pipeline!$G:$G,Budget_marketing_pipeline!$D:$D,'Budget Summary'!$A64,Budget_marketing_pipeline!$C:$C,'Budget Summary'!L$3)</f>
        <v>108</v>
      </c>
      <c r="M64" s="3">
        <f>SUMIFS(Budget_marketing_pipeline!$G:$G,Budget_marketing_pipeline!$D:$D,'Budget Summary'!$A64,Budget_marketing_pipeline!$C:$C,'Budget Summary'!M$3)</f>
        <v>127</v>
      </c>
      <c r="O64" s="3">
        <f>SUMIFS($B64:$M64,$B$2:$M$2,O$3)</f>
        <v>261</v>
      </c>
      <c r="P64" s="3">
        <f t="shared" ref="P64:R75" si="16">SUMIFS($B64:$M64,$B$2:$M$2,P$3)</f>
        <v>450</v>
      </c>
      <c r="Q64" s="3">
        <f t="shared" si="16"/>
        <v>260</v>
      </c>
      <c r="R64" s="3">
        <f t="shared" si="16"/>
        <v>284</v>
      </c>
      <c r="T64" s="3">
        <f>SUM(O64:R64)</f>
        <v>1255</v>
      </c>
    </row>
    <row r="65" spans="1:20" s="3" customFormat="1" x14ac:dyDescent="0.35">
      <c r="A65" s="3" t="s">
        <v>27</v>
      </c>
      <c r="B65" s="3">
        <f>SUMIFS(Budget_marketing_pipeline!$G:$G,Budget_marketing_pipeline!$D:$D,'Budget Summary'!$A65,Budget_marketing_pipeline!$C:$C,'Budget Summary'!B$3)</f>
        <v>98</v>
      </c>
      <c r="C65" s="3">
        <f>SUMIFS(Budget_marketing_pipeline!$G:$G,Budget_marketing_pipeline!$D:$D,'Budget Summary'!$A65,Budget_marketing_pipeline!$C:$C,'Budget Summary'!C$3)</f>
        <v>48</v>
      </c>
      <c r="D65" s="3">
        <f>SUMIFS(Budget_marketing_pipeline!$G:$G,Budget_marketing_pipeline!$D:$D,'Budget Summary'!$A65,Budget_marketing_pipeline!$C:$C,'Budget Summary'!D$3)</f>
        <v>158</v>
      </c>
      <c r="E65" s="3">
        <f>SUMIFS(Budget_marketing_pipeline!$G:$G,Budget_marketing_pipeline!$D:$D,'Budget Summary'!$A65,Budget_marketing_pipeline!$C:$C,'Budget Summary'!E$3)</f>
        <v>119</v>
      </c>
      <c r="F65" s="3">
        <f>SUMIFS(Budget_marketing_pipeline!$G:$G,Budget_marketing_pipeline!$D:$D,'Budget Summary'!$A65,Budget_marketing_pipeline!$C:$C,'Budget Summary'!F$3)</f>
        <v>98</v>
      </c>
      <c r="G65" s="3">
        <f>SUMIFS(Budget_marketing_pipeline!$G:$G,Budget_marketing_pipeline!$D:$D,'Budget Summary'!$A65,Budget_marketing_pipeline!$C:$C,'Budget Summary'!G$3)</f>
        <v>29</v>
      </c>
      <c r="H65" s="3">
        <f>SUMIFS(Budget_marketing_pipeline!$G:$G,Budget_marketing_pipeline!$D:$D,'Budget Summary'!$A65,Budget_marketing_pipeline!$C:$C,'Budget Summary'!H$3)</f>
        <v>75</v>
      </c>
      <c r="I65" s="3">
        <f>SUMIFS(Budget_marketing_pipeline!$G:$G,Budget_marketing_pipeline!$D:$D,'Budget Summary'!$A65,Budget_marketing_pipeline!$C:$C,'Budget Summary'!I$3)</f>
        <v>75</v>
      </c>
      <c r="J65" s="3">
        <f>SUMIFS(Budget_marketing_pipeline!$G:$G,Budget_marketing_pipeline!$D:$D,'Budget Summary'!$A65,Budget_marketing_pipeline!$C:$C,'Budget Summary'!J$3)</f>
        <v>81</v>
      </c>
      <c r="K65" s="3">
        <f>SUMIFS(Budget_marketing_pipeline!$G:$G,Budget_marketing_pipeline!$D:$D,'Budget Summary'!$A65,Budget_marketing_pipeline!$C:$C,'Budget Summary'!K$3)</f>
        <v>80</v>
      </c>
      <c r="L65" s="3">
        <f>SUMIFS(Budget_marketing_pipeline!$G:$G,Budget_marketing_pipeline!$D:$D,'Budget Summary'!$A65,Budget_marketing_pipeline!$C:$C,'Budget Summary'!L$3)</f>
        <v>95</v>
      </c>
      <c r="M65" s="3">
        <f>SUMIFS(Budget_marketing_pipeline!$G:$G,Budget_marketing_pipeline!$D:$D,'Budget Summary'!$A65,Budget_marketing_pipeline!$C:$C,'Budget Summary'!M$3)</f>
        <v>44</v>
      </c>
      <c r="O65" s="3">
        <f t="shared" ref="O65:O75" si="17">SUMIFS($B65:$M65,$B$2:$M$2,O$3)</f>
        <v>304</v>
      </c>
      <c r="P65" s="3">
        <f t="shared" si="16"/>
        <v>246</v>
      </c>
      <c r="Q65" s="3">
        <f t="shared" si="16"/>
        <v>231</v>
      </c>
      <c r="R65" s="3">
        <f t="shared" si="16"/>
        <v>219</v>
      </c>
      <c r="T65" s="3">
        <f t="shared" ref="T65:T75" si="18">SUM(O65:R65)</f>
        <v>1000</v>
      </c>
    </row>
    <row r="66" spans="1:20" s="3" customFormat="1" x14ac:dyDescent="0.35">
      <c r="A66" s="3" t="s">
        <v>28</v>
      </c>
      <c r="B66" s="3">
        <f>SUMIFS(Budget_marketing_pipeline!$G:$G,Budget_marketing_pipeline!$D:$D,'Budget Summary'!$A66,Budget_marketing_pipeline!$C:$C,'Budget Summary'!B$3)</f>
        <v>109</v>
      </c>
      <c r="C66" s="3">
        <f>SUMIFS(Budget_marketing_pipeline!$G:$G,Budget_marketing_pipeline!$D:$D,'Budget Summary'!$A66,Budget_marketing_pipeline!$C:$C,'Budget Summary'!C$3)</f>
        <v>83</v>
      </c>
      <c r="D66" s="3">
        <f>SUMIFS(Budget_marketing_pipeline!$G:$G,Budget_marketing_pipeline!$D:$D,'Budget Summary'!$A66,Budget_marketing_pipeline!$C:$C,'Budget Summary'!D$3)</f>
        <v>94</v>
      </c>
      <c r="E66" s="3">
        <f>SUMIFS(Budget_marketing_pipeline!$G:$G,Budget_marketing_pipeline!$D:$D,'Budget Summary'!$A66,Budget_marketing_pipeline!$C:$C,'Budget Summary'!E$3)</f>
        <v>37</v>
      </c>
      <c r="F66" s="3">
        <f>SUMIFS(Budget_marketing_pipeline!$G:$G,Budget_marketing_pipeline!$D:$D,'Budget Summary'!$A66,Budget_marketing_pipeline!$C:$C,'Budget Summary'!F$3)</f>
        <v>100</v>
      </c>
      <c r="G66" s="3">
        <f>SUMIFS(Budget_marketing_pipeline!$G:$G,Budget_marketing_pipeline!$D:$D,'Budget Summary'!$A66,Budget_marketing_pipeline!$C:$C,'Budget Summary'!G$3)</f>
        <v>150</v>
      </c>
      <c r="H66" s="3">
        <f>SUMIFS(Budget_marketing_pipeline!$G:$G,Budget_marketing_pipeline!$D:$D,'Budget Summary'!$A66,Budget_marketing_pipeline!$C:$C,'Budget Summary'!H$3)</f>
        <v>72</v>
      </c>
      <c r="I66" s="3">
        <f>SUMIFS(Budget_marketing_pipeline!$G:$G,Budget_marketing_pipeline!$D:$D,'Budget Summary'!$A66,Budget_marketing_pipeline!$C:$C,'Budget Summary'!I$3)</f>
        <v>66</v>
      </c>
      <c r="J66" s="3">
        <f>SUMIFS(Budget_marketing_pipeline!$G:$G,Budget_marketing_pipeline!$D:$D,'Budget Summary'!$A66,Budget_marketing_pipeline!$C:$C,'Budget Summary'!J$3)</f>
        <v>95</v>
      </c>
      <c r="K66" s="3">
        <f>SUMIFS(Budget_marketing_pipeline!$G:$G,Budget_marketing_pipeline!$D:$D,'Budget Summary'!$A66,Budget_marketing_pipeline!$C:$C,'Budget Summary'!K$3)</f>
        <v>142</v>
      </c>
      <c r="L66" s="3">
        <f>SUMIFS(Budget_marketing_pipeline!$G:$G,Budget_marketing_pipeline!$D:$D,'Budget Summary'!$A66,Budget_marketing_pipeline!$C:$C,'Budget Summary'!L$3)</f>
        <v>110</v>
      </c>
      <c r="M66" s="3">
        <f>SUMIFS(Budget_marketing_pipeline!$G:$G,Budget_marketing_pipeline!$D:$D,'Budget Summary'!$A66,Budget_marketing_pipeline!$C:$C,'Budget Summary'!M$3)</f>
        <v>181</v>
      </c>
      <c r="O66" s="3">
        <f t="shared" si="17"/>
        <v>286</v>
      </c>
      <c r="P66" s="3">
        <f t="shared" si="16"/>
        <v>287</v>
      </c>
      <c r="Q66" s="3">
        <f t="shared" si="16"/>
        <v>233</v>
      </c>
      <c r="R66" s="3">
        <f t="shared" si="16"/>
        <v>433</v>
      </c>
      <c r="T66" s="3">
        <f t="shared" si="18"/>
        <v>1239</v>
      </c>
    </row>
    <row r="67" spans="1:20" s="3" customFormat="1" x14ac:dyDescent="0.35">
      <c r="A67" s="3" t="s">
        <v>29</v>
      </c>
      <c r="B67" s="3">
        <f>SUMIFS(Budget_marketing_pipeline!$G:$G,Budget_marketing_pipeline!$D:$D,'Budget Summary'!$A67,Budget_marketing_pipeline!$C:$C,'Budget Summary'!B$3)</f>
        <v>153</v>
      </c>
      <c r="C67" s="3">
        <f>SUMIFS(Budget_marketing_pipeline!$G:$G,Budget_marketing_pipeline!$D:$D,'Budget Summary'!$A67,Budget_marketing_pipeline!$C:$C,'Budget Summary'!C$3)</f>
        <v>92</v>
      </c>
      <c r="D67" s="3">
        <f>SUMIFS(Budget_marketing_pipeline!$G:$G,Budget_marketing_pipeline!$D:$D,'Budget Summary'!$A67,Budget_marketing_pipeline!$C:$C,'Budget Summary'!D$3)</f>
        <v>50</v>
      </c>
      <c r="E67" s="3">
        <f>SUMIFS(Budget_marketing_pipeline!$G:$G,Budget_marketing_pipeline!$D:$D,'Budget Summary'!$A67,Budget_marketing_pipeline!$C:$C,'Budget Summary'!E$3)</f>
        <v>101</v>
      </c>
      <c r="F67" s="3">
        <f>SUMIFS(Budget_marketing_pipeline!$G:$G,Budget_marketing_pipeline!$D:$D,'Budget Summary'!$A67,Budget_marketing_pipeline!$C:$C,'Budget Summary'!F$3)</f>
        <v>44</v>
      </c>
      <c r="G67" s="3">
        <f>SUMIFS(Budget_marketing_pipeline!$G:$G,Budget_marketing_pipeline!$D:$D,'Budget Summary'!$A67,Budget_marketing_pipeline!$C:$C,'Budget Summary'!G$3)</f>
        <v>99</v>
      </c>
      <c r="H67" s="3">
        <f>SUMIFS(Budget_marketing_pipeline!$G:$G,Budget_marketing_pipeline!$D:$D,'Budget Summary'!$A67,Budget_marketing_pipeline!$C:$C,'Budget Summary'!H$3)</f>
        <v>188</v>
      </c>
      <c r="I67" s="3">
        <f>SUMIFS(Budget_marketing_pipeline!$G:$G,Budget_marketing_pipeline!$D:$D,'Budget Summary'!$A67,Budget_marketing_pipeline!$C:$C,'Budget Summary'!I$3)</f>
        <v>51</v>
      </c>
      <c r="J67" s="3">
        <f>SUMIFS(Budget_marketing_pipeline!$G:$G,Budget_marketing_pipeline!$D:$D,'Budget Summary'!$A67,Budget_marketing_pipeline!$C:$C,'Budget Summary'!J$3)</f>
        <v>79</v>
      </c>
      <c r="K67" s="3">
        <f>SUMIFS(Budget_marketing_pipeline!$G:$G,Budget_marketing_pipeline!$D:$D,'Budget Summary'!$A67,Budget_marketing_pipeline!$C:$C,'Budget Summary'!K$3)</f>
        <v>161</v>
      </c>
      <c r="L67" s="3">
        <f>SUMIFS(Budget_marketing_pipeline!$G:$G,Budget_marketing_pipeline!$D:$D,'Budget Summary'!$A67,Budget_marketing_pipeline!$C:$C,'Budget Summary'!L$3)</f>
        <v>118</v>
      </c>
      <c r="M67" s="3">
        <f>SUMIFS(Budget_marketing_pipeline!$G:$G,Budget_marketing_pipeline!$D:$D,'Budget Summary'!$A67,Budget_marketing_pipeline!$C:$C,'Budget Summary'!M$3)</f>
        <v>111</v>
      </c>
      <c r="O67" s="3">
        <f t="shared" si="17"/>
        <v>295</v>
      </c>
      <c r="P67" s="3">
        <f t="shared" si="16"/>
        <v>244</v>
      </c>
      <c r="Q67" s="3">
        <f t="shared" si="16"/>
        <v>318</v>
      </c>
      <c r="R67" s="3">
        <f t="shared" si="16"/>
        <v>390</v>
      </c>
      <c r="T67" s="3">
        <f t="shared" si="18"/>
        <v>1247</v>
      </c>
    </row>
    <row r="68" spans="1:20" s="3" customFormat="1" x14ac:dyDescent="0.35">
      <c r="A68" s="3" t="s">
        <v>30</v>
      </c>
      <c r="B68" s="3">
        <f>SUMIFS(Budget_marketing_pipeline!$G:$G,Budget_marketing_pipeline!$D:$D,'Budget Summary'!$A68,Budget_marketing_pipeline!$C:$C,'Budget Summary'!B$3)</f>
        <v>38</v>
      </c>
      <c r="C68" s="3">
        <f>SUMIFS(Budget_marketing_pipeline!$G:$G,Budget_marketing_pipeline!$D:$D,'Budget Summary'!$A68,Budget_marketing_pipeline!$C:$C,'Budget Summary'!C$3)</f>
        <v>101</v>
      </c>
      <c r="D68" s="3">
        <f>SUMIFS(Budget_marketing_pipeline!$G:$G,Budget_marketing_pipeline!$D:$D,'Budget Summary'!$A68,Budget_marketing_pipeline!$C:$C,'Budget Summary'!D$3)</f>
        <v>39</v>
      </c>
      <c r="E68" s="3">
        <f>SUMIFS(Budget_marketing_pipeline!$G:$G,Budget_marketing_pipeline!$D:$D,'Budget Summary'!$A68,Budget_marketing_pipeline!$C:$C,'Budget Summary'!E$3)</f>
        <v>155</v>
      </c>
      <c r="F68" s="3">
        <f>SUMIFS(Budget_marketing_pipeline!$G:$G,Budget_marketing_pipeline!$D:$D,'Budget Summary'!$A68,Budget_marketing_pipeline!$C:$C,'Budget Summary'!F$3)</f>
        <v>50</v>
      </c>
      <c r="G68" s="3">
        <f>SUMIFS(Budget_marketing_pipeline!$G:$G,Budget_marketing_pipeline!$D:$D,'Budget Summary'!$A68,Budget_marketing_pipeline!$C:$C,'Budget Summary'!G$3)</f>
        <v>39</v>
      </c>
      <c r="H68" s="3">
        <f>SUMIFS(Budget_marketing_pipeline!$G:$G,Budget_marketing_pipeline!$D:$D,'Budget Summary'!$A68,Budget_marketing_pipeline!$C:$C,'Budget Summary'!H$3)</f>
        <v>108</v>
      </c>
      <c r="I68" s="3">
        <f>SUMIFS(Budget_marketing_pipeline!$G:$G,Budget_marketing_pipeline!$D:$D,'Budget Summary'!$A68,Budget_marketing_pipeline!$C:$C,'Budget Summary'!I$3)</f>
        <v>54</v>
      </c>
      <c r="J68" s="3">
        <f>SUMIFS(Budget_marketing_pipeline!$G:$G,Budget_marketing_pipeline!$D:$D,'Budget Summary'!$A68,Budget_marketing_pipeline!$C:$C,'Budget Summary'!J$3)</f>
        <v>43</v>
      </c>
      <c r="K68" s="3">
        <f>SUMIFS(Budget_marketing_pipeline!$G:$G,Budget_marketing_pipeline!$D:$D,'Budget Summary'!$A68,Budget_marketing_pipeline!$C:$C,'Budget Summary'!K$3)</f>
        <v>124</v>
      </c>
      <c r="L68" s="3">
        <f>SUMIFS(Budget_marketing_pipeline!$G:$G,Budget_marketing_pipeline!$D:$D,'Budget Summary'!$A68,Budget_marketing_pipeline!$C:$C,'Budget Summary'!L$3)</f>
        <v>55</v>
      </c>
      <c r="M68" s="3">
        <f>SUMIFS(Budget_marketing_pipeline!$G:$G,Budget_marketing_pipeline!$D:$D,'Budget Summary'!$A68,Budget_marketing_pipeline!$C:$C,'Budget Summary'!M$3)</f>
        <v>77</v>
      </c>
      <c r="O68" s="3">
        <f t="shared" si="17"/>
        <v>178</v>
      </c>
      <c r="P68" s="3">
        <f t="shared" si="16"/>
        <v>244</v>
      </c>
      <c r="Q68" s="3">
        <f t="shared" si="16"/>
        <v>205</v>
      </c>
      <c r="R68" s="3">
        <f t="shared" si="16"/>
        <v>256</v>
      </c>
      <c r="T68" s="3">
        <f t="shared" si="18"/>
        <v>883</v>
      </c>
    </row>
    <row r="69" spans="1:20" s="3" customFormat="1" x14ac:dyDescent="0.35">
      <c r="A69" s="3" t="s">
        <v>31</v>
      </c>
      <c r="B69" s="3">
        <f>SUMIFS(Budget_marketing_pipeline!$G:$G,Budget_marketing_pipeline!$D:$D,'Budget Summary'!$A69,Budget_marketing_pipeline!$C:$C,'Budget Summary'!B$3)</f>
        <v>79</v>
      </c>
      <c r="C69" s="3">
        <f>SUMIFS(Budget_marketing_pipeline!$G:$G,Budget_marketing_pipeline!$D:$D,'Budget Summary'!$A69,Budget_marketing_pipeline!$C:$C,'Budget Summary'!C$3)</f>
        <v>88</v>
      </c>
      <c r="D69" s="3">
        <f>SUMIFS(Budget_marketing_pipeline!$G:$G,Budget_marketing_pipeline!$D:$D,'Budget Summary'!$A69,Budget_marketing_pipeline!$C:$C,'Budget Summary'!D$3)</f>
        <v>62</v>
      </c>
      <c r="E69" s="3">
        <f>SUMIFS(Budget_marketing_pipeline!$G:$G,Budget_marketing_pipeline!$D:$D,'Budget Summary'!$A69,Budget_marketing_pipeline!$C:$C,'Budget Summary'!E$3)</f>
        <v>53</v>
      </c>
      <c r="F69" s="3">
        <f>SUMIFS(Budget_marketing_pipeline!$G:$G,Budget_marketing_pipeline!$D:$D,'Budget Summary'!$A69,Budget_marketing_pipeline!$C:$C,'Budget Summary'!F$3)</f>
        <v>174</v>
      </c>
      <c r="G69" s="3">
        <f>SUMIFS(Budget_marketing_pipeline!$G:$G,Budget_marketing_pipeline!$D:$D,'Budget Summary'!$A69,Budget_marketing_pipeline!$C:$C,'Budget Summary'!G$3)</f>
        <v>62</v>
      </c>
      <c r="H69" s="3">
        <f>SUMIFS(Budget_marketing_pipeline!$G:$G,Budget_marketing_pipeline!$D:$D,'Budget Summary'!$A69,Budget_marketing_pipeline!$C:$C,'Budget Summary'!H$3)</f>
        <v>81</v>
      </c>
      <c r="I69" s="3">
        <f>SUMIFS(Budget_marketing_pipeline!$G:$G,Budget_marketing_pipeline!$D:$D,'Budget Summary'!$A69,Budget_marketing_pipeline!$C:$C,'Budget Summary'!I$3)</f>
        <v>129</v>
      </c>
      <c r="J69" s="3">
        <f>SUMIFS(Budget_marketing_pipeline!$G:$G,Budget_marketing_pipeline!$D:$D,'Budget Summary'!$A69,Budget_marketing_pipeline!$C:$C,'Budget Summary'!J$3)</f>
        <v>110</v>
      </c>
      <c r="K69" s="3">
        <f>SUMIFS(Budget_marketing_pipeline!$G:$G,Budget_marketing_pipeline!$D:$D,'Budget Summary'!$A69,Budget_marketing_pipeline!$C:$C,'Budget Summary'!K$3)</f>
        <v>108</v>
      </c>
      <c r="L69" s="3">
        <f>SUMIFS(Budget_marketing_pipeline!$G:$G,Budget_marketing_pipeline!$D:$D,'Budget Summary'!$A69,Budget_marketing_pipeline!$C:$C,'Budget Summary'!L$3)</f>
        <v>104</v>
      </c>
      <c r="M69" s="3">
        <f>SUMIFS(Budget_marketing_pipeline!$G:$G,Budget_marketing_pipeline!$D:$D,'Budget Summary'!$A69,Budget_marketing_pipeline!$C:$C,'Budget Summary'!M$3)</f>
        <v>101</v>
      </c>
      <c r="O69" s="3">
        <f t="shared" si="17"/>
        <v>229</v>
      </c>
      <c r="P69" s="3">
        <f t="shared" si="16"/>
        <v>289</v>
      </c>
      <c r="Q69" s="3">
        <f t="shared" si="16"/>
        <v>320</v>
      </c>
      <c r="R69" s="3">
        <f t="shared" si="16"/>
        <v>313</v>
      </c>
      <c r="T69" s="3">
        <f t="shared" si="18"/>
        <v>1151</v>
      </c>
    </row>
    <row r="70" spans="1:20" s="3" customFormat="1" x14ac:dyDescent="0.35">
      <c r="A70" s="3" t="s">
        <v>32</v>
      </c>
      <c r="B70" s="3">
        <f>SUMIFS(Budget_marketing_pipeline!$G:$G,Budget_marketing_pipeline!$D:$D,'Budget Summary'!$A70,Budget_marketing_pipeline!$C:$C,'Budget Summary'!B$3)</f>
        <v>121</v>
      </c>
      <c r="C70" s="3">
        <f>SUMIFS(Budget_marketing_pipeline!$G:$G,Budget_marketing_pipeline!$D:$D,'Budget Summary'!$A70,Budget_marketing_pipeline!$C:$C,'Budget Summary'!C$3)</f>
        <v>87</v>
      </c>
      <c r="D70" s="3">
        <f>SUMIFS(Budget_marketing_pipeline!$G:$G,Budget_marketing_pipeline!$D:$D,'Budget Summary'!$A70,Budget_marketing_pipeline!$C:$C,'Budget Summary'!D$3)</f>
        <v>144</v>
      </c>
      <c r="E70" s="3">
        <f>SUMIFS(Budget_marketing_pipeline!$G:$G,Budget_marketing_pipeline!$D:$D,'Budget Summary'!$A70,Budget_marketing_pipeline!$C:$C,'Budget Summary'!E$3)</f>
        <v>34</v>
      </c>
      <c r="F70" s="3">
        <f>SUMIFS(Budget_marketing_pipeline!$G:$G,Budget_marketing_pipeline!$D:$D,'Budget Summary'!$A70,Budget_marketing_pipeline!$C:$C,'Budget Summary'!F$3)</f>
        <v>66</v>
      </c>
      <c r="G70" s="3">
        <f>SUMIFS(Budget_marketing_pipeline!$G:$G,Budget_marketing_pipeline!$D:$D,'Budget Summary'!$A70,Budget_marketing_pipeline!$C:$C,'Budget Summary'!G$3)</f>
        <v>108</v>
      </c>
      <c r="H70" s="3">
        <f>SUMIFS(Budget_marketing_pipeline!$G:$G,Budget_marketing_pipeline!$D:$D,'Budget Summary'!$A70,Budget_marketing_pipeline!$C:$C,'Budget Summary'!H$3)</f>
        <v>176</v>
      </c>
      <c r="I70" s="3">
        <f>SUMIFS(Budget_marketing_pipeline!$G:$G,Budget_marketing_pipeline!$D:$D,'Budget Summary'!$A70,Budget_marketing_pipeline!$C:$C,'Budget Summary'!I$3)</f>
        <v>63</v>
      </c>
      <c r="J70" s="3">
        <f>SUMIFS(Budget_marketing_pipeline!$G:$G,Budget_marketing_pipeline!$D:$D,'Budget Summary'!$A70,Budget_marketing_pipeline!$C:$C,'Budget Summary'!J$3)</f>
        <v>84</v>
      </c>
      <c r="K70" s="3">
        <f>SUMIFS(Budget_marketing_pipeline!$G:$G,Budget_marketing_pipeline!$D:$D,'Budget Summary'!$A70,Budget_marketing_pipeline!$C:$C,'Budget Summary'!K$3)</f>
        <v>139</v>
      </c>
      <c r="L70" s="3">
        <f>SUMIFS(Budget_marketing_pipeline!$G:$G,Budget_marketing_pipeline!$D:$D,'Budget Summary'!$A70,Budget_marketing_pipeline!$C:$C,'Budget Summary'!L$3)</f>
        <v>58</v>
      </c>
      <c r="M70" s="3">
        <f>SUMIFS(Budget_marketing_pipeline!$G:$G,Budget_marketing_pipeline!$D:$D,'Budget Summary'!$A70,Budget_marketing_pipeline!$C:$C,'Budget Summary'!M$3)</f>
        <v>115</v>
      </c>
      <c r="O70" s="3">
        <f t="shared" si="17"/>
        <v>352</v>
      </c>
      <c r="P70" s="3">
        <f t="shared" si="16"/>
        <v>208</v>
      </c>
      <c r="Q70" s="3">
        <f t="shared" si="16"/>
        <v>323</v>
      </c>
      <c r="R70" s="3">
        <f t="shared" si="16"/>
        <v>312</v>
      </c>
      <c r="T70" s="3">
        <f t="shared" si="18"/>
        <v>1195</v>
      </c>
    </row>
    <row r="71" spans="1:20" s="3" customFormat="1" x14ac:dyDescent="0.35">
      <c r="A71" s="3" t="s">
        <v>33</v>
      </c>
      <c r="B71" s="3">
        <f>SUMIFS(Budget_marketing_pipeline!$G:$G,Budget_marketing_pipeline!$D:$D,'Budget Summary'!$A71,Budget_marketing_pipeline!$C:$C,'Budget Summary'!B$3)</f>
        <v>51</v>
      </c>
      <c r="C71" s="3">
        <f>SUMIFS(Budget_marketing_pipeline!$G:$G,Budget_marketing_pipeline!$D:$D,'Budget Summary'!$A71,Budget_marketing_pipeline!$C:$C,'Budget Summary'!C$3)</f>
        <v>85</v>
      </c>
      <c r="D71" s="3">
        <f>SUMIFS(Budget_marketing_pipeline!$G:$G,Budget_marketing_pipeline!$D:$D,'Budget Summary'!$A71,Budget_marketing_pipeline!$C:$C,'Budget Summary'!D$3)</f>
        <v>118</v>
      </c>
      <c r="E71" s="3">
        <f>SUMIFS(Budget_marketing_pipeline!$G:$G,Budget_marketing_pipeline!$D:$D,'Budget Summary'!$A71,Budget_marketing_pipeline!$C:$C,'Budget Summary'!E$3)</f>
        <v>78</v>
      </c>
      <c r="F71" s="3">
        <f>SUMIFS(Budget_marketing_pipeline!$G:$G,Budget_marketing_pipeline!$D:$D,'Budget Summary'!$A71,Budget_marketing_pipeline!$C:$C,'Budget Summary'!F$3)</f>
        <v>175</v>
      </c>
      <c r="G71" s="3">
        <f>SUMIFS(Budget_marketing_pipeline!$G:$G,Budget_marketing_pipeline!$D:$D,'Budget Summary'!$A71,Budget_marketing_pipeline!$C:$C,'Budget Summary'!G$3)</f>
        <v>142</v>
      </c>
      <c r="H71" s="3">
        <f>SUMIFS(Budget_marketing_pipeline!$G:$G,Budget_marketing_pipeline!$D:$D,'Budget Summary'!$A71,Budget_marketing_pipeline!$C:$C,'Budget Summary'!H$3)</f>
        <v>64</v>
      </c>
      <c r="I71" s="3">
        <f>SUMIFS(Budget_marketing_pipeline!$G:$G,Budget_marketing_pipeline!$D:$D,'Budget Summary'!$A71,Budget_marketing_pipeline!$C:$C,'Budget Summary'!I$3)</f>
        <v>125</v>
      </c>
      <c r="J71" s="3">
        <f>SUMIFS(Budget_marketing_pipeline!$G:$G,Budget_marketing_pipeline!$D:$D,'Budget Summary'!$A71,Budget_marketing_pipeline!$C:$C,'Budget Summary'!J$3)</f>
        <v>57</v>
      </c>
      <c r="K71" s="3">
        <f>SUMIFS(Budget_marketing_pipeline!$G:$G,Budget_marketing_pipeline!$D:$D,'Budget Summary'!$A71,Budget_marketing_pipeline!$C:$C,'Budget Summary'!K$3)</f>
        <v>90</v>
      </c>
      <c r="L71" s="3">
        <f>SUMIFS(Budget_marketing_pipeline!$G:$G,Budget_marketing_pipeline!$D:$D,'Budget Summary'!$A71,Budget_marketing_pipeline!$C:$C,'Budget Summary'!L$3)</f>
        <v>144</v>
      </c>
      <c r="M71" s="3">
        <f>SUMIFS(Budget_marketing_pipeline!$G:$G,Budget_marketing_pipeline!$D:$D,'Budget Summary'!$A71,Budget_marketing_pipeline!$C:$C,'Budget Summary'!M$3)</f>
        <v>94</v>
      </c>
      <c r="O71" s="3">
        <f t="shared" si="17"/>
        <v>254</v>
      </c>
      <c r="P71" s="3">
        <f t="shared" si="16"/>
        <v>395</v>
      </c>
      <c r="Q71" s="3">
        <f t="shared" si="16"/>
        <v>246</v>
      </c>
      <c r="R71" s="3">
        <f t="shared" si="16"/>
        <v>328</v>
      </c>
      <c r="T71" s="3">
        <f t="shared" si="18"/>
        <v>1223</v>
      </c>
    </row>
    <row r="72" spans="1:20" s="3" customFormat="1" x14ac:dyDescent="0.35">
      <c r="A72" s="3" t="s">
        <v>34</v>
      </c>
      <c r="B72" s="3">
        <f>SUMIFS(Budget_marketing_pipeline!$G:$G,Budget_marketing_pipeline!$D:$D,'Budget Summary'!$A72,Budget_marketing_pipeline!$C:$C,'Budget Summary'!B$3)</f>
        <v>48</v>
      </c>
      <c r="C72" s="3">
        <f>SUMIFS(Budget_marketing_pipeline!$G:$G,Budget_marketing_pipeline!$D:$D,'Budget Summary'!$A72,Budget_marketing_pipeline!$C:$C,'Budget Summary'!C$3)</f>
        <v>105</v>
      </c>
      <c r="D72" s="3">
        <f>SUMIFS(Budget_marketing_pipeline!$G:$G,Budget_marketing_pipeline!$D:$D,'Budget Summary'!$A72,Budget_marketing_pipeline!$C:$C,'Budget Summary'!D$3)</f>
        <v>54</v>
      </c>
      <c r="E72" s="3">
        <f>SUMIFS(Budget_marketing_pipeline!$G:$G,Budget_marketing_pipeline!$D:$D,'Budget Summary'!$A72,Budget_marketing_pipeline!$C:$C,'Budget Summary'!E$3)</f>
        <v>49</v>
      </c>
      <c r="F72" s="3">
        <f>SUMIFS(Budget_marketing_pipeline!$G:$G,Budget_marketing_pipeline!$D:$D,'Budget Summary'!$A72,Budget_marketing_pipeline!$C:$C,'Budget Summary'!F$3)</f>
        <v>52</v>
      </c>
      <c r="G72" s="3">
        <f>SUMIFS(Budget_marketing_pipeline!$G:$G,Budget_marketing_pipeline!$D:$D,'Budget Summary'!$A72,Budget_marketing_pipeline!$C:$C,'Budget Summary'!G$3)</f>
        <v>146</v>
      </c>
      <c r="H72" s="3">
        <f>SUMIFS(Budget_marketing_pipeline!$G:$G,Budget_marketing_pipeline!$D:$D,'Budget Summary'!$A72,Budget_marketing_pipeline!$C:$C,'Budget Summary'!H$3)</f>
        <v>151</v>
      </c>
      <c r="I72" s="3">
        <f>SUMIFS(Budget_marketing_pipeline!$G:$G,Budget_marketing_pipeline!$D:$D,'Budget Summary'!$A72,Budget_marketing_pipeline!$C:$C,'Budget Summary'!I$3)</f>
        <v>54</v>
      </c>
      <c r="J72" s="3">
        <f>SUMIFS(Budget_marketing_pipeline!$G:$G,Budget_marketing_pipeline!$D:$D,'Budget Summary'!$A72,Budget_marketing_pipeline!$C:$C,'Budget Summary'!J$3)</f>
        <v>84</v>
      </c>
      <c r="K72" s="3">
        <f>SUMIFS(Budget_marketing_pipeline!$G:$G,Budget_marketing_pipeline!$D:$D,'Budget Summary'!$A72,Budget_marketing_pipeline!$C:$C,'Budget Summary'!K$3)</f>
        <v>138</v>
      </c>
      <c r="L72" s="3">
        <f>SUMIFS(Budget_marketing_pipeline!$G:$G,Budget_marketing_pipeline!$D:$D,'Budget Summary'!$A72,Budget_marketing_pipeline!$C:$C,'Budget Summary'!L$3)</f>
        <v>120</v>
      </c>
      <c r="M72" s="3">
        <f>SUMIFS(Budget_marketing_pipeline!$G:$G,Budget_marketing_pipeline!$D:$D,'Budget Summary'!$A72,Budget_marketing_pipeline!$C:$C,'Budget Summary'!M$3)</f>
        <v>93</v>
      </c>
      <c r="O72" s="3">
        <f t="shared" si="17"/>
        <v>207</v>
      </c>
      <c r="P72" s="3">
        <f t="shared" si="16"/>
        <v>247</v>
      </c>
      <c r="Q72" s="3">
        <f t="shared" si="16"/>
        <v>289</v>
      </c>
      <c r="R72" s="3">
        <f t="shared" si="16"/>
        <v>351</v>
      </c>
      <c r="T72" s="3">
        <f t="shared" si="18"/>
        <v>1094</v>
      </c>
    </row>
    <row r="73" spans="1:20" s="3" customFormat="1" x14ac:dyDescent="0.35">
      <c r="A73" s="3" t="s">
        <v>35</v>
      </c>
      <c r="B73" s="3">
        <f>SUMIFS(Budget_marketing_pipeline!$G:$G,Budget_marketing_pipeline!$D:$D,'Budget Summary'!$A73,Budget_marketing_pipeline!$C:$C,'Budget Summary'!B$3)</f>
        <v>51</v>
      </c>
      <c r="C73" s="3">
        <f>SUMIFS(Budget_marketing_pipeline!$G:$G,Budget_marketing_pipeline!$D:$D,'Budget Summary'!$A73,Budget_marketing_pipeline!$C:$C,'Budget Summary'!C$3)</f>
        <v>61</v>
      </c>
      <c r="D73" s="3">
        <f>SUMIFS(Budget_marketing_pipeline!$G:$G,Budget_marketing_pipeline!$D:$D,'Budget Summary'!$A73,Budget_marketing_pipeline!$C:$C,'Budget Summary'!D$3)</f>
        <v>159</v>
      </c>
      <c r="E73" s="3">
        <f>SUMIFS(Budget_marketing_pipeline!$G:$G,Budget_marketing_pipeline!$D:$D,'Budget Summary'!$A73,Budget_marketing_pipeline!$C:$C,'Budget Summary'!E$3)</f>
        <v>99</v>
      </c>
      <c r="F73" s="3">
        <f>SUMIFS(Budget_marketing_pipeline!$G:$G,Budget_marketing_pipeline!$D:$D,'Budget Summary'!$A73,Budget_marketing_pipeline!$C:$C,'Budget Summary'!F$3)</f>
        <v>79</v>
      </c>
      <c r="G73" s="3">
        <f>SUMIFS(Budget_marketing_pipeline!$G:$G,Budget_marketing_pipeline!$D:$D,'Budget Summary'!$A73,Budget_marketing_pipeline!$C:$C,'Budget Summary'!G$3)</f>
        <v>179</v>
      </c>
      <c r="H73" s="3">
        <f>SUMIFS(Budget_marketing_pipeline!$G:$G,Budget_marketing_pipeline!$D:$D,'Budget Summary'!$A73,Budget_marketing_pipeline!$C:$C,'Budget Summary'!H$3)</f>
        <v>85</v>
      </c>
      <c r="I73" s="3">
        <f>SUMIFS(Budget_marketing_pipeline!$G:$G,Budget_marketing_pipeline!$D:$D,'Budget Summary'!$A73,Budget_marketing_pipeline!$C:$C,'Budget Summary'!I$3)</f>
        <v>155</v>
      </c>
      <c r="J73" s="3">
        <f>SUMIFS(Budget_marketing_pipeline!$G:$G,Budget_marketing_pipeline!$D:$D,'Budget Summary'!$A73,Budget_marketing_pipeline!$C:$C,'Budget Summary'!J$3)</f>
        <v>69</v>
      </c>
      <c r="K73" s="3">
        <f>SUMIFS(Budget_marketing_pipeline!$G:$G,Budget_marketing_pipeline!$D:$D,'Budget Summary'!$A73,Budget_marketing_pipeline!$C:$C,'Budget Summary'!K$3)</f>
        <v>54</v>
      </c>
      <c r="L73" s="3">
        <f>SUMIFS(Budget_marketing_pipeline!$G:$G,Budget_marketing_pipeline!$D:$D,'Budget Summary'!$A73,Budget_marketing_pipeline!$C:$C,'Budget Summary'!L$3)</f>
        <v>89</v>
      </c>
      <c r="M73" s="3">
        <f>SUMIFS(Budget_marketing_pipeline!$G:$G,Budget_marketing_pipeline!$D:$D,'Budget Summary'!$A73,Budget_marketing_pipeline!$C:$C,'Budget Summary'!M$3)</f>
        <v>58</v>
      </c>
      <c r="O73" s="3">
        <f t="shared" si="17"/>
        <v>271</v>
      </c>
      <c r="P73" s="3">
        <f t="shared" si="16"/>
        <v>357</v>
      </c>
      <c r="Q73" s="3">
        <f t="shared" si="16"/>
        <v>309</v>
      </c>
      <c r="R73" s="3">
        <f t="shared" si="16"/>
        <v>201</v>
      </c>
      <c r="T73" s="3">
        <f t="shared" si="18"/>
        <v>1138</v>
      </c>
    </row>
    <row r="74" spans="1:20" s="3" customFormat="1" x14ac:dyDescent="0.35">
      <c r="A74" s="3" t="s">
        <v>36</v>
      </c>
      <c r="B74" s="3">
        <f>SUMIFS(Budget_marketing_pipeline!$G:$G,Budget_marketing_pipeline!$D:$D,'Budget Summary'!$A74,Budget_marketing_pipeline!$C:$C,'Budget Summary'!B$3)</f>
        <v>0</v>
      </c>
      <c r="C74" s="3">
        <f>SUMIFS(Budget_marketing_pipeline!$G:$G,Budget_marketing_pipeline!$D:$D,'Budget Summary'!$A74,Budget_marketing_pipeline!$C:$C,'Budget Summary'!C$3)</f>
        <v>0</v>
      </c>
      <c r="D74" s="3">
        <f>SUMIFS(Budget_marketing_pipeline!$G:$G,Budget_marketing_pipeline!$D:$D,'Budget Summary'!$A74,Budget_marketing_pipeline!$C:$C,'Budget Summary'!D$3)</f>
        <v>0</v>
      </c>
      <c r="E74" s="3">
        <f>SUMIFS(Budget_marketing_pipeline!$G:$G,Budget_marketing_pipeline!$D:$D,'Budget Summary'!$A74,Budget_marketing_pipeline!$C:$C,'Budget Summary'!E$3)</f>
        <v>0</v>
      </c>
      <c r="F74" s="3">
        <f>SUMIFS(Budget_marketing_pipeline!$G:$G,Budget_marketing_pipeline!$D:$D,'Budget Summary'!$A74,Budget_marketing_pipeline!$C:$C,'Budget Summary'!F$3)</f>
        <v>0</v>
      </c>
      <c r="G74" s="3">
        <f>SUMIFS(Budget_marketing_pipeline!$G:$G,Budget_marketing_pipeline!$D:$D,'Budget Summary'!$A74,Budget_marketing_pipeline!$C:$C,'Budget Summary'!G$3)</f>
        <v>0</v>
      </c>
      <c r="H74" s="3">
        <f>SUMIFS(Budget_marketing_pipeline!$G:$G,Budget_marketing_pipeline!$D:$D,'Budget Summary'!$A74,Budget_marketing_pipeline!$C:$C,'Budget Summary'!H$3)</f>
        <v>0</v>
      </c>
      <c r="I74" s="3">
        <f>SUMIFS(Budget_marketing_pipeline!$G:$G,Budget_marketing_pipeline!$D:$D,'Budget Summary'!$A74,Budget_marketing_pipeline!$C:$C,'Budget Summary'!I$3)</f>
        <v>0</v>
      </c>
      <c r="J74" s="3">
        <f>SUMIFS(Budget_marketing_pipeline!$G:$G,Budget_marketing_pipeline!$D:$D,'Budget Summary'!$A74,Budget_marketing_pipeline!$C:$C,'Budget Summary'!J$3)</f>
        <v>0</v>
      </c>
      <c r="K74" s="3">
        <f>SUMIFS(Budget_marketing_pipeline!$G:$G,Budget_marketing_pipeline!$D:$D,'Budget Summary'!$A74,Budget_marketing_pipeline!$C:$C,'Budget Summary'!K$3)</f>
        <v>0</v>
      </c>
      <c r="L74" s="3">
        <f>SUMIFS(Budget_marketing_pipeline!$G:$G,Budget_marketing_pipeline!$D:$D,'Budget Summary'!$A74,Budget_marketing_pipeline!$C:$C,'Budget Summary'!L$3)</f>
        <v>0</v>
      </c>
      <c r="M74" s="3">
        <f>SUMIFS(Budget_marketing_pipeline!$G:$G,Budget_marketing_pipeline!$D:$D,'Budget Summary'!$A74,Budget_marketing_pipeline!$C:$C,'Budget Summary'!M$3)</f>
        <v>0</v>
      </c>
      <c r="O74" s="3">
        <f t="shared" si="17"/>
        <v>0</v>
      </c>
      <c r="P74" s="3">
        <f t="shared" si="16"/>
        <v>0</v>
      </c>
      <c r="Q74" s="3">
        <f t="shared" si="16"/>
        <v>0</v>
      </c>
      <c r="R74" s="3">
        <f t="shared" si="16"/>
        <v>0</v>
      </c>
      <c r="T74" s="3">
        <f t="shared" si="18"/>
        <v>0</v>
      </c>
    </row>
    <row r="75" spans="1:20" s="3" customFormat="1" x14ac:dyDescent="0.35">
      <c r="A75" s="8" t="s">
        <v>63</v>
      </c>
      <c r="B75" s="8">
        <f>SUM(B64:B74)</f>
        <v>856</v>
      </c>
      <c r="C75" s="8">
        <f t="shared" ref="C75:M75" si="19">SUM(C64:C74)</f>
        <v>836</v>
      </c>
      <c r="D75" s="8">
        <f t="shared" si="19"/>
        <v>945</v>
      </c>
      <c r="E75" s="8">
        <f t="shared" si="19"/>
        <v>898</v>
      </c>
      <c r="F75" s="8">
        <f t="shared" si="19"/>
        <v>958</v>
      </c>
      <c r="G75" s="8">
        <f t="shared" si="19"/>
        <v>1111</v>
      </c>
      <c r="H75" s="8">
        <f t="shared" si="19"/>
        <v>1097</v>
      </c>
      <c r="I75" s="8">
        <f t="shared" si="19"/>
        <v>867</v>
      </c>
      <c r="J75" s="8">
        <f t="shared" si="19"/>
        <v>770</v>
      </c>
      <c r="K75" s="8">
        <f t="shared" si="19"/>
        <v>1085</v>
      </c>
      <c r="L75" s="8">
        <f t="shared" si="19"/>
        <v>1001</v>
      </c>
      <c r="M75" s="8">
        <f t="shared" si="19"/>
        <v>1001</v>
      </c>
      <c r="N75" s="8"/>
      <c r="O75" s="8">
        <f t="shared" si="17"/>
        <v>2637</v>
      </c>
      <c r="P75" s="8">
        <f t="shared" si="16"/>
        <v>2967</v>
      </c>
      <c r="Q75" s="8">
        <f t="shared" si="16"/>
        <v>2734</v>
      </c>
      <c r="R75" s="8">
        <f t="shared" si="16"/>
        <v>3087</v>
      </c>
      <c r="S75" s="8"/>
      <c r="T75" s="8">
        <f t="shared" si="18"/>
        <v>11425</v>
      </c>
    </row>
    <row r="77" spans="1:20" s="7" customFormat="1" x14ac:dyDescent="0.35">
      <c r="B77" s="10" t="s">
        <v>55</v>
      </c>
      <c r="C77" s="10" t="s">
        <v>55</v>
      </c>
      <c r="D77" s="10" t="s">
        <v>55</v>
      </c>
      <c r="E77" s="10" t="s">
        <v>56</v>
      </c>
      <c r="F77" s="10" t="s">
        <v>56</v>
      </c>
      <c r="G77" s="10" t="s">
        <v>56</v>
      </c>
      <c r="H77" s="10" t="s">
        <v>57</v>
      </c>
      <c r="I77" s="10" t="s">
        <v>57</v>
      </c>
      <c r="J77" s="10" t="s">
        <v>57</v>
      </c>
      <c r="K77" s="10" t="s">
        <v>58</v>
      </c>
      <c r="L77" s="10" t="s">
        <v>58</v>
      </c>
      <c r="M77" s="10" t="s">
        <v>58</v>
      </c>
    </row>
    <row r="78" spans="1:20" s="7" customFormat="1" x14ac:dyDescent="0.35">
      <c r="A78" s="7" t="s">
        <v>60</v>
      </c>
      <c r="B78" s="10" t="s">
        <v>24</v>
      </c>
      <c r="C78" s="10" t="s">
        <v>37</v>
      </c>
      <c r="D78" s="10" t="s">
        <v>38</v>
      </c>
      <c r="E78" s="10" t="s">
        <v>39</v>
      </c>
      <c r="F78" s="10" t="s">
        <v>40</v>
      </c>
      <c r="G78" s="10" t="s">
        <v>43</v>
      </c>
      <c r="H78" s="10" t="s">
        <v>45</v>
      </c>
      <c r="I78" s="10" t="s">
        <v>46</v>
      </c>
      <c r="J78" s="10" t="s">
        <v>47</v>
      </c>
      <c r="K78" s="10" t="s">
        <v>48</v>
      </c>
      <c r="L78" s="10" t="s">
        <v>49</v>
      </c>
      <c r="M78" s="10" t="s">
        <v>50</v>
      </c>
      <c r="O78" s="10" t="s">
        <v>55</v>
      </c>
      <c r="P78" s="10" t="s">
        <v>56</v>
      </c>
      <c r="Q78" s="10" t="s">
        <v>57</v>
      </c>
      <c r="R78" s="10" t="s">
        <v>58</v>
      </c>
      <c r="T78" s="10" t="s">
        <v>64</v>
      </c>
    </row>
    <row r="79" spans="1:20" x14ac:dyDescent="0.35">
      <c r="A79" t="s">
        <v>3</v>
      </c>
      <c r="B79" s="5">
        <f>IFERROR(B4/B49,0)</f>
        <v>1109.7616666666665</v>
      </c>
      <c r="C79" s="5">
        <f t="shared" ref="C79:M79" si="20">IFERROR(C4/C49,0)</f>
        <v>2620.6525581395349</v>
      </c>
      <c r="D79" s="5">
        <f t="shared" si="20"/>
        <v>2194.9811940298505</v>
      </c>
      <c r="E79" s="5">
        <f t="shared" si="20"/>
        <v>1811.0316184971098</v>
      </c>
      <c r="F79" s="5">
        <f t="shared" si="20"/>
        <v>1463.992</v>
      </c>
      <c r="G79" s="5">
        <f t="shared" si="20"/>
        <v>1610.2010828025477</v>
      </c>
      <c r="H79" s="5">
        <f t="shared" si="20"/>
        <v>1138.2330927835051</v>
      </c>
      <c r="I79" s="5">
        <f t="shared" si="20"/>
        <v>2764.9632631578947</v>
      </c>
      <c r="J79" s="5">
        <f t="shared" si="20"/>
        <v>2348.4173529411764</v>
      </c>
      <c r="K79" s="5">
        <f t="shared" si="20"/>
        <v>1111.3834693877552</v>
      </c>
      <c r="L79" s="5">
        <f t="shared" si="20"/>
        <v>1253.3786111111112</v>
      </c>
      <c r="M79" s="5">
        <f t="shared" si="20"/>
        <v>1173.6710236220472</v>
      </c>
      <c r="O79" s="5">
        <f t="shared" ref="O79:R79" si="21">IFERROR(O4/O49,0)</f>
        <v>1886.1843678160919</v>
      </c>
      <c r="P79" s="5">
        <f t="shared" si="21"/>
        <v>1648.420177777778</v>
      </c>
      <c r="Q79" s="5">
        <f t="shared" si="21"/>
        <v>2049.125</v>
      </c>
      <c r="R79" s="5">
        <f t="shared" si="21"/>
        <v>1193.2355633802817</v>
      </c>
      <c r="T79" s="5">
        <f t="shared" ref="T79" si="22">IFERROR(T4/T49,0)</f>
        <v>1677.8761752988048</v>
      </c>
    </row>
    <row r="80" spans="1:20" x14ac:dyDescent="0.35">
      <c r="A80" t="s">
        <v>25</v>
      </c>
      <c r="B80" s="5">
        <f>IFERROR(B5/B50,0)</f>
        <v>1562.7614285714285</v>
      </c>
      <c r="C80" s="5">
        <f>IFERROR(C5/C50,0)</f>
        <v>947.44979166666656</v>
      </c>
      <c r="D80" s="5">
        <f>IFERROR(D5/D50,0)</f>
        <v>1321.9359493670886</v>
      </c>
      <c r="E80" s="5">
        <f>IFERROR(E5/E50,0)</f>
        <v>2233.8310924369748</v>
      </c>
      <c r="F80" s="5">
        <f>IFERROR(F5/F50,0)</f>
        <v>1242.1810204081632</v>
      </c>
      <c r="G80" s="5">
        <f>IFERROR(G5/G50,0)</f>
        <v>2332.9765517241381</v>
      </c>
      <c r="H80" s="5">
        <f>IFERROR(H5/H50,0)</f>
        <v>2328.4308000000001</v>
      </c>
      <c r="I80" s="5">
        <f>IFERROR(I5/I50,0)</f>
        <v>1505.6428000000001</v>
      </c>
      <c r="J80" s="5">
        <f>IFERROR(J5/J50,0)</f>
        <v>840.24456790123452</v>
      </c>
      <c r="K80" s="5">
        <f>IFERROR(K5/K50,0)</f>
        <v>1468.2751249999999</v>
      </c>
      <c r="L80" s="5">
        <f>IFERROR(L5/L50,0)</f>
        <v>1056.3052631578948</v>
      </c>
      <c r="M80" s="5">
        <f>IFERROR(M5/M50,0)</f>
        <v>1346.0863636363638</v>
      </c>
      <c r="O80" s="5">
        <f>IFERROR(O5/O50,0)</f>
        <v>1340.4410855263156</v>
      </c>
      <c r="P80" s="5">
        <f>IFERROR(P5/P50,0)</f>
        <v>1850.4713821138212</v>
      </c>
      <c r="Q80" s="5">
        <f>IFERROR(Q5/Q50,0)</f>
        <v>1539.4603030303031</v>
      </c>
      <c r="R80" s="5">
        <f>IFERROR(R5/R50,0)</f>
        <v>1265.017397260274</v>
      </c>
      <c r="T80" s="5">
        <f>IFERROR(T5/T50,0)</f>
        <v>1495.3641900000002</v>
      </c>
    </row>
    <row r="81" spans="1:20" x14ac:dyDescent="0.35">
      <c r="A81" t="s">
        <v>27</v>
      </c>
      <c r="B81" s="5">
        <f>IFERROR(B6/B51,0)</f>
        <v>1438.8803669724771</v>
      </c>
      <c r="C81" s="5">
        <f>IFERROR(C6/C51,0)</f>
        <v>2631.5469879518073</v>
      </c>
      <c r="D81" s="5">
        <f>IFERROR(D6/D51,0)</f>
        <v>1417.882340425532</v>
      </c>
      <c r="E81" s="5">
        <f>IFERROR(E6/E51,0)</f>
        <v>1847.4497297297298</v>
      </c>
      <c r="F81" s="5">
        <f>IFERROR(F6/F51,0)</f>
        <v>1362.1507000000001</v>
      </c>
      <c r="G81" s="5">
        <f>IFERROR(G6/G51,0)</f>
        <v>1048.4596666666666</v>
      </c>
      <c r="H81" s="5">
        <f>IFERROR(H6/H51,0)</f>
        <v>1350.1256944444444</v>
      </c>
      <c r="I81" s="5">
        <f>IFERROR(I6/I51,0)</f>
        <v>1414.6734848484848</v>
      </c>
      <c r="J81" s="5">
        <f>IFERROR(J6/J51,0)</f>
        <v>2758.6732631578948</v>
      </c>
      <c r="K81" s="5">
        <f>IFERROR(K6/K51,0)</f>
        <v>1299.7983098591549</v>
      </c>
      <c r="L81" s="5">
        <f>IFERROR(L6/L51,0)</f>
        <v>1378.8938181818182</v>
      </c>
      <c r="M81" s="5">
        <f>IFERROR(M6/M51,0)</f>
        <v>771.56038674033141</v>
      </c>
      <c r="O81" s="5">
        <f>IFERROR(O6/O51,0)</f>
        <v>1778.1024475524475</v>
      </c>
      <c r="P81" s="5">
        <f>IFERROR(P6/P51,0)</f>
        <v>1260.7653658536587</v>
      </c>
      <c r="Q81" s="5">
        <f>IFERROR(Q6/Q51,0)</f>
        <v>1942.7101287553646</v>
      </c>
      <c r="R81" s="5">
        <f>IFERROR(R6/R51,0)</f>
        <v>1099.0810854503463</v>
      </c>
      <c r="T81" s="5">
        <f>IFERROR(T6/T51,0)</f>
        <v>1451.9213317191281</v>
      </c>
    </row>
    <row r="82" spans="1:20" x14ac:dyDescent="0.35">
      <c r="A82" t="s">
        <v>28</v>
      </c>
      <c r="B82" s="5">
        <f>IFERROR(B7/B52,0)</f>
        <v>651.24614379084971</v>
      </c>
      <c r="C82" s="5">
        <f>IFERROR(C7/C52,0)</f>
        <v>3571.585</v>
      </c>
      <c r="D82" s="5">
        <f>IFERROR(D7/D52,0)</f>
        <v>2133.9354000000003</v>
      </c>
      <c r="E82" s="5">
        <f>IFERROR(E7/E52,0)</f>
        <v>1340.1410891089108</v>
      </c>
      <c r="F82" s="5">
        <f>IFERROR(F7/F52,0)</f>
        <v>1624.616590909091</v>
      </c>
      <c r="G82" s="5">
        <f>IFERROR(G7/G52,0)</f>
        <v>2714.3474747474752</v>
      </c>
      <c r="H82" s="5">
        <f>IFERROR(H7/H52,0)</f>
        <v>1456.6584574468084</v>
      </c>
      <c r="I82" s="5">
        <f>IFERROR(I7/I52,0)</f>
        <v>3731.3631372549016</v>
      </c>
      <c r="J82" s="5">
        <f>IFERROR(J7/J52,0)</f>
        <v>1542.0127848101265</v>
      </c>
      <c r="K82" s="5">
        <f>IFERROR(K7/K52,0)</f>
        <v>1666.22850931677</v>
      </c>
      <c r="L82" s="5">
        <f>IFERROR(L7/L52,0)</f>
        <v>1313.5371186440677</v>
      </c>
      <c r="M82" s="5">
        <f>IFERROR(M7/M52,0)</f>
        <v>1219.7214414414414</v>
      </c>
      <c r="O82" s="5">
        <f>IFERROR(O7/O52,0)</f>
        <v>1813.2991525423729</v>
      </c>
      <c r="P82" s="5">
        <f>IFERROR(P7/P52,0)</f>
        <v>1949.0072950819674</v>
      </c>
      <c r="Q82" s="5">
        <f>IFERROR(Q7/Q52,0)</f>
        <v>1842.6739622641508</v>
      </c>
      <c r="R82" s="5">
        <f>IFERROR(R7/R52,0)</f>
        <v>1432.4339743589744</v>
      </c>
      <c r="T82" s="5">
        <f>IFERROR(T7/T52,0)</f>
        <v>1728.228227746592</v>
      </c>
    </row>
    <row r="83" spans="1:20" x14ac:dyDescent="0.35">
      <c r="A83" t="s">
        <v>29</v>
      </c>
      <c r="B83" s="5">
        <f>IFERROR(B8/B53,0)</f>
        <v>613.06815789473683</v>
      </c>
      <c r="C83" s="5">
        <f>IFERROR(C8/C53,0)</f>
        <v>1080.9544554455445</v>
      </c>
      <c r="D83" s="5">
        <f>IFERROR(D8/D53,0)</f>
        <v>1507.8974358974358</v>
      </c>
      <c r="E83" s="5">
        <f>IFERROR(E8/E53,0)</f>
        <v>1384.9518064516128</v>
      </c>
      <c r="F83" s="5">
        <f>IFERROR(F8/F53,0)</f>
        <v>3732.0864000000001</v>
      </c>
      <c r="G83" s="5">
        <f>IFERROR(G8/G53,0)</f>
        <v>1291.0633333333333</v>
      </c>
      <c r="H83" s="5">
        <f>IFERROR(H8/H53,0)</f>
        <v>1252.4393518518521</v>
      </c>
      <c r="I83" s="5">
        <f>IFERROR(I8/I53,0)</f>
        <v>3648.7238888888887</v>
      </c>
      <c r="J83" s="5">
        <f>IFERROR(J8/J53,0)</f>
        <v>3280.8046511627908</v>
      </c>
      <c r="K83" s="5">
        <f>IFERROR(K8/K53,0)</f>
        <v>1091.5651612903225</v>
      </c>
      <c r="L83" s="5">
        <f>IFERROR(L8/L53,0)</f>
        <v>781.5379999999999</v>
      </c>
      <c r="M83" s="5">
        <f>IFERROR(M8/M53,0)</f>
        <v>1058.1371428571429</v>
      </c>
      <c r="O83" s="5">
        <f>IFERROR(O8/O53,0)</f>
        <v>1074.6123033707865</v>
      </c>
      <c r="P83" s="5">
        <f>IFERROR(P8/P53,0)</f>
        <v>1850.9152459016391</v>
      </c>
      <c r="Q83" s="5">
        <f>IFERROR(Q8/Q53,0)</f>
        <v>2309.1177560975611</v>
      </c>
      <c r="R83" s="5">
        <f>IFERROR(R8/R53,0)</f>
        <v>1014.9032421874999</v>
      </c>
      <c r="T83" s="5">
        <f>IFERROR(T8/T53,0)</f>
        <v>1558.4243261608153</v>
      </c>
    </row>
    <row r="84" spans="1:20" x14ac:dyDescent="0.35">
      <c r="A84" t="s">
        <v>30</v>
      </c>
      <c r="B84" s="5">
        <f>IFERROR(B9/B54,0)</f>
        <v>1571.6364556962026</v>
      </c>
      <c r="C84" s="5">
        <f>IFERROR(C9/C54,0)</f>
        <v>1880.512840909091</v>
      </c>
      <c r="D84" s="5">
        <f>IFERROR(D9/D54,0)</f>
        <v>1474.06</v>
      </c>
      <c r="E84" s="5">
        <f>IFERROR(E9/E54,0)</f>
        <v>976.97792452830197</v>
      </c>
      <c r="F84" s="5">
        <f>IFERROR(F9/F54,0)</f>
        <v>1605.2253448275862</v>
      </c>
      <c r="G84" s="5">
        <f>IFERROR(G9/G54,0)</f>
        <v>3147.6977419354839</v>
      </c>
      <c r="H84" s="5">
        <f>IFERROR(H9/H54,0)</f>
        <v>909.48777777777775</v>
      </c>
      <c r="I84" s="5">
        <f>IFERROR(I9/I54,0)</f>
        <v>1361.2496124031009</v>
      </c>
      <c r="J84" s="5">
        <f>IFERROR(J9/J54,0)</f>
        <v>2892.7897272727273</v>
      </c>
      <c r="K84" s="5">
        <f>IFERROR(K9/K54,0)</f>
        <v>2016.2033333333331</v>
      </c>
      <c r="L84" s="5">
        <f>IFERROR(L9/L54,0)</f>
        <v>1155.7596153846155</v>
      </c>
      <c r="M84" s="5">
        <f>IFERROR(M9/M54,0)</f>
        <v>722.32079207920788</v>
      </c>
      <c r="O84" s="5">
        <f>IFERROR(O9/O54,0)</f>
        <v>1663.9132314410481</v>
      </c>
      <c r="P84" s="5">
        <f>IFERROR(P9/P54,0)</f>
        <v>1820.9214532871974</v>
      </c>
      <c r="Q84" s="5">
        <f>IFERROR(Q9/Q54,0)</f>
        <v>1773.3643125000003</v>
      </c>
      <c r="R84" s="5">
        <f>IFERROR(R9/R54,0)</f>
        <v>1312.7902875399361</v>
      </c>
      <c r="T84" s="5">
        <f>IFERROR(T9/T54,0)</f>
        <v>1638.2818158123373</v>
      </c>
    </row>
    <row r="85" spans="1:20" x14ac:dyDescent="0.35">
      <c r="A85" t="s">
        <v>31</v>
      </c>
      <c r="B85" s="5">
        <f>IFERROR(B10/B55,0)</f>
        <v>1302.5175206611571</v>
      </c>
      <c r="C85" s="5">
        <f>IFERROR(C10/C55,0)</f>
        <v>1764.6566666666668</v>
      </c>
      <c r="D85" s="5">
        <f>IFERROR(D10/D55,0)</f>
        <v>1747.0940277777779</v>
      </c>
      <c r="E85" s="5">
        <f>IFERROR(E10/E55,0)</f>
        <v>2939.6</v>
      </c>
      <c r="F85" s="5">
        <f>IFERROR(F10/F55,0)</f>
        <v>3264.4119696969697</v>
      </c>
      <c r="G85" s="5">
        <f>IFERROR(G10/G55,0)</f>
        <v>2753.8382407407412</v>
      </c>
      <c r="H85" s="5">
        <f>IFERROR(H10/H55,0)</f>
        <v>1626.3473295454546</v>
      </c>
      <c r="I85" s="5">
        <f>IFERROR(I10/I55,0)</f>
        <v>1309.2379365079366</v>
      </c>
      <c r="J85" s="5">
        <f>IFERROR(J10/J55,0)</f>
        <v>3103.1876190476191</v>
      </c>
      <c r="K85" s="5">
        <f>IFERROR(K10/K55,0)</f>
        <v>1632.0694964028778</v>
      </c>
      <c r="L85" s="5">
        <f>IFERROR(L10/L55,0)</f>
        <v>1288.0298275862069</v>
      </c>
      <c r="M85" s="5">
        <f>IFERROR(M10/M55,0)</f>
        <v>2322.2001739130437</v>
      </c>
      <c r="O85" s="5">
        <f>IFERROR(O10/O55,0)</f>
        <v>1598.611619318182</v>
      </c>
      <c r="P85" s="5">
        <f>IFERROR(P10/P55,0)</f>
        <v>2946.2121153846156</v>
      </c>
      <c r="Q85" s="5">
        <f>IFERROR(Q10/Q55,0)</f>
        <v>1948.5661919504644</v>
      </c>
      <c r="R85" s="5">
        <f>IFERROR(R10/R55,0)</f>
        <v>1822.4884935897437</v>
      </c>
      <c r="T85" s="5">
        <f>IFERROR(T10/T55,0)</f>
        <v>1986.2148117154813</v>
      </c>
    </row>
    <row r="86" spans="1:20" x14ac:dyDescent="0.35">
      <c r="A86" t="s">
        <v>32</v>
      </c>
      <c r="B86" s="5">
        <f>IFERROR(B11/B56,0)</f>
        <v>1456.2252941176471</v>
      </c>
      <c r="C86" s="5">
        <f>IFERROR(C11/C56,0)</f>
        <v>1151.010705882353</v>
      </c>
      <c r="D86" s="5">
        <f>IFERROR(D11/D56,0)</f>
        <v>928.92211864406772</v>
      </c>
      <c r="E86" s="5">
        <f>IFERROR(E11/E56,0)</f>
        <v>998.25102564102565</v>
      </c>
      <c r="F86" s="5">
        <f>IFERROR(F11/F56,0)</f>
        <v>1385.9567999999999</v>
      </c>
      <c r="G86" s="5">
        <f>IFERROR(G11/G56,0)</f>
        <v>926.28795774647892</v>
      </c>
      <c r="H86" s="5">
        <f>IFERROR(H11/H56,0)</f>
        <v>1158.5735937500001</v>
      </c>
      <c r="I86" s="5">
        <f>IFERROR(I11/I56,0)</f>
        <v>1624.06808</v>
      </c>
      <c r="J86" s="5">
        <f>IFERROR(J11/J56,0)</f>
        <v>2030.5503508771928</v>
      </c>
      <c r="K86" s="5">
        <f>IFERROR(K11/K56,0)</f>
        <v>1004.1274444444444</v>
      </c>
      <c r="L86" s="5">
        <f>IFERROR(L11/L56,0)</f>
        <v>1558.2184722222221</v>
      </c>
      <c r="M86" s="5">
        <f>IFERROR(M11/M56,0)</f>
        <v>1206.2410638297872</v>
      </c>
      <c r="O86" s="5">
        <f>IFERROR(O11/O56,0)</f>
        <v>1109.1189370078741</v>
      </c>
      <c r="P86" s="5">
        <f>IFERROR(P11/P56,0)</f>
        <v>1144.1491392405064</v>
      </c>
      <c r="Q86" s="5">
        <f>IFERROR(Q11/Q56,0)</f>
        <v>1597.1487398373986</v>
      </c>
      <c r="R86" s="5">
        <f>IFERROR(R11/R56,0)</f>
        <v>1305.309725609756</v>
      </c>
      <c r="T86" s="5">
        <f>IFERROR(T11/T56,0)</f>
        <v>1271.2144726083404</v>
      </c>
    </row>
    <row r="87" spans="1:20" x14ac:dyDescent="0.35">
      <c r="A87" t="s">
        <v>33</v>
      </c>
      <c r="B87" s="5">
        <f>IFERROR(B12/B57,0)</f>
        <v>1498.13</v>
      </c>
      <c r="C87" s="5">
        <f>IFERROR(C12/C57,0)</f>
        <v>1299.8632380952383</v>
      </c>
      <c r="D87" s="5">
        <f>IFERROR(D12/D57,0)</f>
        <v>1330.9324074074075</v>
      </c>
      <c r="E87" s="5">
        <f>IFERROR(E12/E57,0)</f>
        <v>2059.4334693877554</v>
      </c>
      <c r="F87" s="5">
        <f>IFERROR(F12/F57,0)</f>
        <v>1811.9728846153846</v>
      </c>
      <c r="G87" s="5">
        <f>IFERROR(G12/G57,0)</f>
        <v>1186.9495205479452</v>
      </c>
      <c r="H87" s="5">
        <f>IFERROR(H12/H57,0)</f>
        <v>1606.7629801324504</v>
      </c>
      <c r="I87" s="5">
        <f>IFERROR(I12/I57,0)</f>
        <v>2518.5246296296295</v>
      </c>
      <c r="J87" s="5">
        <f>IFERROR(J12/J57,0)</f>
        <v>1484.3479761904762</v>
      </c>
      <c r="K87" s="5">
        <f>IFERROR(K12/K57,0)</f>
        <v>2016.680144927536</v>
      </c>
      <c r="L87" s="5">
        <f>IFERROR(L12/L57,0)</f>
        <v>1182.8254999999999</v>
      </c>
      <c r="M87" s="5">
        <f>IFERROR(M12/M57,0)</f>
        <v>2532.2650537634408</v>
      </c>
      <c r="O87" s="5">
        <f>IFERROR(O12/O57,0)</f>
        <v>1353.9431400966182</v>
      </c>
      <c r="P87" s="5">
        <f>IFERROR(P12/P57,0)</f>
        <v>1491.6172469635628</v>
      </c>
      <c r="Q87" s="5">
        <f>IFERROR(Q12/Q57,0)</f>
        <v>1741.5459169550172</v>
      </c>
      <c r="R87" s="5">
        <f>IFERROR(R12/R57,0)</f>
        <v>1868.2096011396011</v>
      </c>
      <c r="T87" s="5">
        <f>IFERROR(T12/T57,0)</f>
        <v>1652.4168464351003</v>
      </c>
    </row>
    <row r="88" spans="1:20" x14ac:dyDescent="0.35">
      <c r="A88" t="s">
        <v>34</v>
      </c>
      <c r="B88" s="5">
        <f>IFERROR(B13/B58,0)</f>
        <v>1296.3007843137254</v>
      </c>
      <c r="C88" s="5">
        <f>IFERROR(C13/C58,0)</f>
        <v>901.5077049180328</v>
      </c>
      <c r="D88" s="5">
        <f>IFERROR(D13/D58,0)</f>
        <v>1704.7664150943394</v>
      </c>
      <c r="E88" s="5">
        <f>IFERROR(E13/E58,0)</f>
        <v>2303.5906060606062</v>
      </c>
      <c r="F88" s="5">
        <f>IFERROR(F13/F58,0)</f>
        <v>2159.5460759493672</v>
      </c>
      <c r="G88" s="5">
        <f>IFERROR(G13/G58,0)</f>
        <v>1171.2507262569832</v>
      </c>
      <c r="H88" s="5">
        <f>IFERROR(H13/H58,0)</f>
        <v>989.54282352941175</v>
      </c>
      <c r="I88" s="5">
        <f>IFERROR(I13/I58,0)</f>
        <v>2977.717419354839</v>
      </c>
      <c r="J88" s="5">
        <f>IFERROR(J13/J58,0)</f>
        <v>2562.4069565217387</v>
      </c>
      <c r="K88" s="5">
        <f>IFERROR(K13/K58,0)</f>
        <v>646.85055555555562</v>
      </c>
      <c r="L88" s="5">
        <f>IFERROR(L13/L58,0)</f>
        <v>1798.124606741573</v>
      </c>
      <c r="M88" s="5">
        <f>IFERROR(M13/M58,0)</f>
        <v>2524.0034482758624</v>
      </c>
      <c r="O88" s="5">
        <f>IFERROR(O13/O58,0)</f>
        <v>1447.0891881918819</v>
      </c>
      <c r="P88" s="5">
        <f>IFERROR(P13/P58,0)</f>
        <v>1703.9593557422968</v>
      </c>
      <c r="Q88" s="5">
        <f>IFERROR(Q13/Q58,0)</f>
        <v>2338.0693203883493</v>
      </c>
      <c r="R88" s="5">
        <f>IFERROR(R13/R58,0)</f>
        <v>1698.2846766169152</v>
      </c>
      <c r="T88" s="5">
        <f>IFERROR(T13/T58,0)</f>
        <v>1813.9659929701229</v>
      </c>
    </row>
    <row r="89" spans="1:20" x14ac:dyDescent="0.35">
      <c r="A89" t="s">
        <v>35</v>
      </c>
      <c r="B89" s="5">
        <f>IFERROR(B14/B59,0)</f>
        <v>0</v>
      </c>
      <c r="C89" s="5">
        <f>IFERROR(C14/C59,0)</f>
        <v>0</v>
      </c>
      <c r="D89" s="5">
        <f>IFERROR(D14/D59,0)</f>
        <v>0</v>
      </c>
      <c r="E89" s="5">
        <f>IFERROR(E14/E59,0)</f>
        <v>0</v>
      </c>
      <c r="F89" s="5">
        <f>IFERROR(F14/F59,0)</f>
        <v>0</v>
      </c>
      <c r="G89" s="5">
        <f>IFERROR(G14/G59,0)</f>
        <v>0</v>
      </c>
      <c r="H89" s="5">
        <f>IFERROR(H14/H59,0)</f>
        <v>0</v>
      </c>
      <c r="I89" s="5">
        <f>IFERROR(I14/I59,0)</f>
        <v>0</v>
      </c>
      <c r="J89" s="5">
        <f>IFERROR(J14/J59,0)</f>
        <v>0</v>
      </c>
      <c r="K89" s="5">
        <f>IFERROR(K14/K59,0)</f>
        <v>0</v>
      </c>
      <c r="L89" s="5">
        <f>IFERROR(L14/L59,0)</f>
        <v>0</v>
      </c>
      <c r="M89" s="5">
        <f>IFERROR(M14/M59,0)</f>
        <v>0</v>
      </c>
      <c r="O89" s="5">
        <f>IFERROR(O14/O59,0)</f>
        <v>0</v>
      </c>
      <c r="P89" s="5">
        <f>IFERROR(P14/P59,0)</f>
        <v>0</v>
      </c>
      <c r="Q89" s="5">
        <f>IFERROR(Q14/Q59,0)</f>
        <v>0</v>
      </c>
      <c r="R89" s="5">
        <f>IFERROR(R14/R59,0)</f>
        <v>0</v>
      </c>
      <c r="T89" s="5">
        <f>IFERROR(T14/T59,0)</f>
        <v>0</v>
      </c>
    </row>
    <row r="90" spans="1:20" x14ac:dyDescent="0.35">
      <c r="A90" t="s">
        <v>36</v>
      </c>
      <c r="B90" s="5">
        <f t="shared" ref="B90:M90" si="23">IFERROR(B16/B76,0)</f>
        <v>0</v>
      </c>
      <c r="C90" s="5">
        <f t="shared" si="23"/>
        <v>0</v>
      </c>
      <c r="D90" s="5">
        <f t="shared" si="23"/>
        <v>0</v>
      </c>
      <c r="E90" s="5">
        <f t="shared" si="23"/>
        <v>0</v>
      </c>
      <c r="F90" s="5">
        <f t="shared" si="23"/>
        <v>0</v>
      </c>
      <c r="G90" s="5">
        <f t="shared" si="23"/>
        <v>0</v>
      </c>
      <c r="H90" s="5">
        <f t="shared" si="23"/>
        <v>0</v>
      </c>
      <c r="I90" s="5">
        <f t="shared" si="23"/>
        <v>0</v>
      </c>
      <c r="J90" s="5">
        <f t="shared" si="23"/>
        <v>0</v>
      </c>
      <c r="K90" s="5">
        <f t="shared" si="23"/>
        <v>0</v>
      </c>
      <c r="L90" s="5">
        <f t="shared" si="23"/>
        <v>0</v>
      </c>
      <c r="M90" s="5">
        <f t="shared" si="23"/>
        <v>0</v>
      </c>
      <c r="O90" s="5">
        <f t="shared" ref="O90:R90" si="24">IFERROR(O16/O76,0)</f>
        <v>0</v>
      </c>
      <c r="P90" s="5">
        <f t="shared" si="24"/>
        <v>0</v>
      </c>
      <c r="Q90" s="5">
        <f t="shared" si="24"/>
        <v>0</v>
      </c>
      <c r="R90" s="5">
        <f t="shared" si="24"/>
        <v>0</v>
      </c>
      <c r="T90" s="5">
        <f t="shared" ref="T90" si="25">IFERROR(T16/T76,0)</f>
        <v>0</v>
      </c>
    </row>
    <row r="92" spans="1:20" x14ac:dyDescent="0.35">
      <c r="A92" t="s">
        <v>61</v>
      </c>
      <c r="B92" s="6">
        <f>B45/B30</f>
        <v>0.35989678202792957</v>
      </c>
      <c r="C92" s="6">
        <f t="shared" ref="C92:M92" si="26">C45/C30</f>
        <v>0.33453595421746701</v>
      </c>
      <c r="D92" s="6">
        <f t="shared" si="26"/>
        <v>0.33555157409777325</v>
      </c>
      <c r="E92" s="6">
        <f t="shared" si="26"/>
        <v>0.34109751283063561</v>
      </c>
      <c r="F92" s="6">
        <f t="shared" si="26"/>
        <v>0.33249591759829167</v>
      </c>
      <c r="G92" s="6">
        <f t="shared" si="26"/>
        <v>0.36050556586270871</v>
      </c>
      <c r="H92" s="6">
        <f t="shared" si="26"/>
        <v>0.37026413290307159</v>
      </c>
      <c r="I92" s="6">
        <f t="shared" si="26"/>
        <v>0.30899663677130046</v>
      </c>
      <c r="J92" s="6">
        <f t="shared" si="26"/>
        <v>0.32271892222902632</v>
      </c>
      <c r="K92" s="6">
        <f t="shared" si="26"/>
        <v>0.36866840731070494</v>
      </c>
      <c r="L92" s="6">
        <f t="shared" si="26"/>
        <v>0.34239363987967342</v>
      </c>
      <c r="M92" s="6">
        <f t="shared" si="26"/>
        <v>0.35304878048780486</v>
      </c>
      <c r="O92" s="6">
        <f t="shared" ref="O92:R92" si="27">O45/O30</f>
        <v>0.34233511586452764</v>
      </c>
      <c r="P92" s="6">
        <f t="shared" si="27"/>
        <v>0.34518690043003641</v>
      </c>
      <c r="Q92" s="6">
        <f t="shared" si="27"/>
        <v>0.33632856818697526</v>
      </c>
      <c r="R92" s="6">
        <f t="shared" si="27"/>
        <v>0.3538620470438652</v>
      </c>
      <c r="T92" s="6">
        <f t="shared" ref="T92" si="28">T45/T30</f>
        <v>0.34475151075916316</v>
      </c>
    </row>
    <row r="93" spans="1:20" x14ac:dyDescent="0.35">
      <c r="A93" t="s">
        <v>62</v>
      </c>
      <c r="B93" s="6">
        <f>B60/B30</f>
        <v>0.12993321190042501</v>
      </c>
      <c r="C93" s="6">
        <f t="shared" ref="C93:M93" si="29">C60/C30</f>
        <v>0.104005971634735</v>
      </c>
      <c r="D93" s="6">
        <f t="shared" si="29"/>
        <v>0.12093678013821346</v>
      </c>
      <c r="E93" s="6">
        <f t="shared" si="29"/>
        <v>0.11817344387419397</v>
      </c>
      <c r="F93" s="6">
        <f t="shared" si="29"/>
        <v>0.12033664112548675</v>
      </c>
      <c r="G93" s="6">
        <f t="shared" si="29"/>
        <v>0.12882653061224489</v>
      </c>
      <c r="H93" s="6">
        <f t="shared" si="29"/>
        <v>0.13111031433010636</v>
      </c>
      <c r="I93" s="6">
        <f t="shared" si="29"/>
        <v>0.12149663677130045</v>
      </c>
      <c r="J93" s="6">
        <f t="shared" si="29"/>
        <v>0.11788120024494794</v>
      </c>
      <c r="K93" s="6">
        <f t="shared" si="29"/>
        <v>0.141644908616188</v>
      </c>
      <c r="L93" s="6">
        <f t="shared" si="29"/>
        <v>0.10754189944134078</v>
      </c>
      <c r="M93" s="6">
        <f t="shared" si="29"/>
        <v>0.12207317073170731</v>
      </c>
      <c r="O93" s="6">
        <f t="shared" ref="O93:R93" si="30">O60/O30</f>
        <v>0.11751336898395721</v>
      </c>
      <c r="P93" s="6">
        <f t="shared" si="30"/>
        <v>0.12268441945087662</v>
      </c>
      <c r="Q93" s="6">
        <f t="shared" si="30"/>
        <v>0.12407533469480372</v>
      </c>
      <c r="R93" s="6">
        <f t="shared" si="30"/>
        <v>0.12265575333757152</v>
      </c>
      <c r="T93" s="6">
        <f t="shared" ref="T93" si="31">T60/T30</f>
        <v>0.12176665565348993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3A5F9-83C3-4945-A7A9-B93F4E18F6E7}">
  <dimension ref="A1:T93"/>
  <sheetViews>
    <sheetView tabSelected="1" workbookViewId="0"/>
  </sheetViews>
  <sheetFormatPr defaultRowHeight="14.5" x14ac:dyDescent="0.35"/>
  <cols>
    <col min="1" max="1" width="17.26953125" bestFit="1" customWidth="1"/>
    <col min="2" max="13" width="13.90625" bestFit="1" customWidth="1"/>
    <col min="15" max="18" width="13.90625" bestFit="1" customWidth="1"/>
    <col min="20" max="20" width="14.81640625" bestFit="1" customWidth="1"/>
  </cols>
  <sheetData>
    <row r="1" spans="1:20" s="7" customFormat="1" x14ac:dyDescent="0.35">
      <c r="B1" s="10" t="s">
        <v>23</v>
      </c>
      <c r="C1" s="10" t="s">
        <v>23</v>
      </c>
      <c r="D1" s="10" t="s">
        <v>23</v>
      </c>
      <c r="E1" s="10" t="s">
        <v>23</v>
      </c>
      <c r="F1" s="10" t="s">
        <v>23</v>
      </c>
      <c r="G1" s="10" t="s">
        <v>42</v>
      </c>
      <c r="H1" s="10" t="s">
        <v>42</v>
      </c>
      <c r="I1" s="10" t="s">
        <v>42</v>
      </c>
      <c r="J1" s="10" t="s">
        <v>42</v>
      </c>
      <c r="K1" s="10" t="s">
        <v>42</v>
      </c>
      <c r="L1" s="10" t="s">
        <v>42</v>
      </c>
      <c r="M1" s="10" t="s">
        <v>42</v>
      </c>
      <c r="O1" s="10" t="s">
        <v>23</v>
      </c>
      <c r="P1" s="10" t="s">
        <v>23</v>
      </c>
      <c r="Q1" s="10" t="s">
        <v>42</v>
      </c>
      <c r="R1" s="10" t="s">
        <v>42</v>
      </c>
    </row>
    <row r="2" spans="1:20" s="7" customFormat="1" x14ac:dyDescent="0.35">
      <c r="A2" s="7" t="s">
        <v>53</v>
      </c>
      <c r="B2" s="10" t="s">
        <v>55</v>
      </c>
      <c r="C2" s="10" t="s">
        <v>55</v>
      </c>
      <c r="D2" s="10" t="s">
        <v>55</v>
      </c>
      <c r="E2" s="10" t="s">
        <v>56</v>
      </c>
      <c r="F2" s="10" t="s">
        <v>56</v>
      </c>
      <c r="G2" s="10" t="s">
        <v>56</v>
      </c>
      <c r="H2" s="10" t="s">
        <v>57</v>
      </c>
      <c r="I2" s="10" t="s">
        <v>57</v>
      </c>
      <c r="J2" s="10" t="s">
        <v>57</v>
      </c>
      <c r="K2" s="10" t="s">
        <v>58</v>
      </c>
      <c r="L2" s="10" t="s">
        <v>58</v>
      </c>
      <c r="M2" s="10" t="s">
        <v>58</v>
      </c>
    </row>
    <row r="3" spans="1:20" s="7" customFormat="1" x14ac:dyDescent="0.35">
      <c r="A3" s="7" t="s">
        <v>3</v>
      </c>
      <c r="B3" s="10" t="s">
        <v>24</v>
      </c>
      <c r="C3" s="10" t="s">
        <v>37</v>
      </c>
      <c r="D3" s="10" t="s">
        <v>38</v>
      </c>
      <c r="E3" s="10" t="s">
        <v>39</v>
      </c>
      <c r="F3" s="10" t="s">
        <v>40</v>
      </c>
      <c r="G3" s="10" t="s">
        <v>43</v>
      </c>
      <c r="H3" s="10" t="s">
        <v>45</v>
      </c>
      <c r="I3" s="10" t="s">
        <v>46</v>
      </c>
      <c r="J3" s="10" t="s">
        <v>47</v>
      </c>
      <c r="K3" s="10" t="s">
        <v>48</v>
      </c>
      <c r="L3" s="10" t="s">
        <v>49</v>
      </c>
      <c r="M3" s="10" t="s">
        <v>50</v>
      </c>
      <c r="O3" s="10" t="s">
        <v>55</v>
      </c>
      <c r="P3" s="10" t="s">
        <v>56</v>
      </c>
      <c r="Q3" s="10" t="s">
        <v>57</v>
      </c>
      <c r="R3" s="10" t="s">
        <v>58</v>
      </c>
      <c r="T3" s="10" t="s">
        <v>64</v>
      </c>
    </row>
    <row r="4" spans="1:20" x14ac:dyDescent="0.35">
      <c r="A4" t="s">
        <v>25</v>
      </c>
      <c r="B4" s="4">
        <f>SUMIFS('Trended Forecast Pipeline'!$O:$O,'Trended Forecast Pipeline'!$D:$D,'Forecast Summary'!$A4,'Trended Forecast Pipeline'!$C:$C,'Forecast Summary'!B$18)</f>
        <v>311718.32</v>
      </c>
      <c r="C4" s="4">
        <f>SUMIFS('Trended Forecast Pipeline'!$O:$O,'Trended Forecast Pipeline'!$D:$D,'Forecast Summary'!$A4,'Trended Forecast Pipeline'!$C:$C,'Forecast Summary'!C$18)</f>
        <v>362154.33</v>
      </c>
      <c r="D4" s="4">
        <f>SUMIFS('Trended Forecast Pipeline'!$O:$O,'Trended Forecast Pipeline'!$D:$D,'Forecast Summary'!$A4,'Trended Forecast Pipeline'!$C:$C,'Forecast Summary'!D$18)</f>
        <v>516622.86</v>
      </c>
      <c r="E4" s="4">
        <f>SUMIFS('Trended Forecast Pipeline'!$O:$O,'Trended Forecast Pipeline'!$D:$D,'Forecast Summary'!$A4,'Trended Forecast Pipeline'!$C:$C,'Forecast Summary'!E$18)</f>
        <v>411801.63</v>
      </c>
      <c r="F4" s="4">
        <f>SUMIFS('Trended Forecast Pipeline'!$O:$O,'Trended Forecast Pipeline'!$D:$D,'Forecast Summary'!$A4,'Trended Forecast Pipeline'!$C:$C,'Forecast Summary'!F$18)</f>
        <v>538298.39</v>
      </c>
      <c r="G4" s="4">
        <f>SUMIFS('Trended Forecast Pipeline'!$O:$O,'Trended Forecast Pipeline'!$D:$D,'Forecast Summary'!$A4,'Trended Forecast Pipeline'!$C:$C,'Forecast Summary'!G$18)</f>
        <v>574115.93999999994</v>
      </c>
      <c r="H4" s="4">
        <f>SUMIFS('Trended Forecast Pipeline'!$O:$O,'Trended Forecast Pipeline'!$D:$D,'Forecast Summary'!$A4,'Trended Forecast Pipeline'!$C:$C,'Forecast Summary'!H$18)</f>
        <v>484707.29</v>
      </c>
      <c r="I4" s="4">
        <f>SUMIFS('Trended Forecast Pipeline'!$O:$O,'Trended Forecast Pipeline'!$D:$D,'Forecast Summary'!$A4,'Trended Forecast Pipeline'!$C:$C,'Forecast Summary'!I$18)</f>
        <v>489581.55</v>
      </c>
      <c r="J4" s="4">
        <f>SUMIFS('Trended Forecast Pipeline'!$O:$O,'Trended Forecast Pipeline'!$D:$D,'Forecast Summary'!$A4,'Trended Forecast Pipeline'!$C:$C,'Forecast Summary'!J$18)</f>
        <v>439987.07</v>
      </c>
      <c r="K4" s="4">
        <f>SUMIFS('Trended Forecast Pipeline'!$O:$O,'Trended Forecast Pipeline'!$D:$D,'Forecast Summary'!$A4,'Trended Forecast Pipeline'!$C:$C,'Forecast Summary'!K$18)</f>
        <v>366795.43</v>
      </c>
      <c r="L4" s="4">
        <f>SUMIFS('Trended Forecast Pipeline'!$O:$O,'Trended Forecast Pipeline'!$D:$D,'Forecast Summary'!$A4,'Trended Forecast Pipeline'!$C:$C,'Forecast Summary'!L$18)</f>
        <v>414379.81</v>
      </c>
      <c r="M4" s="4">
        <f>SUMIFS('Trended Forecast Pipeline'!$O:$O,'Trended Forecast Pipeline'!$D:$D,'Forecast Summary'!$A4,'Trended Forecast Pipeline'!$C:$C,'Forecast Summary'!M$18)</f>
        <v>429866.95</v>
      </c>
      <c r="O4" s="4">
        <f>SUMIFS($B4:$M4,$B$2:$M$2,O$3)</f>
        <v>1190495.51</v>
      </c>
      <c r="P4" s="4">
        <f t="shared" ref="P4:R15" si="0">SUMIFS($B4:$M4,$B$2:$M$2,P$3)</f>
        <v>1524215.96</v>
      </c>
      <c r="Q4" s="4">
        <f t="shared" si="0"/>
        <v>1414275.91</v>
      </c>
      <c r="R4" s="4">
        <f t="shared" si="0"/>
        <v>1211042.19</v>
      </c>
      <c r="T4" s="5">
        <f>SUM(O4:R4)</f>
        <v>5340029.57</v>
      </c>
    </row>
    <row r="5" spans="1:20" x14ac:dyDescent="0.35">
      <c r="A5" t="s">
        <v>27</v>
      </c>
      <c r="B5" s="4">
        <f>SUMIFS('Trended Forecast Pipeline'!$O:$O,'Trended Forecast Pipeline'!$D:$D,'Forecast Summary'!$A5,'Trended Forecast Pipeline'!$C:$C,'Forecast Summary'!B$18)</f>
        <v>253030.8</v>
      </c>
      <c r="C5" s="4">
        <f>SUMIFS('Trended Forecast Pipeline'!$O:$O,'Trended Forecast Pipeline'!$D:$D,'Forecast Summary'!$A5,'Trended Forecast Pipeline'!$C:$C,'Forecast Summary'!C$18)</f>
        <v>271874.14</v>
      </c>
      <c r="D5" s="4">
        <f>SUMIFS('Trended Forecast Pipeline'!$O:$O,'Trended Forecast Pipeline'!$D:$D,'Forecast Summary'!$A5,'Trended Forecast Pipeline'!$C:$C,'Forecast Summary'!D$18)</f>
        <v>409763.31</v>
      </c>
      <c r="E5" s="4">
        <f>SUMIFS('Trended Forecast Pipeline'!$O:$O,'Trended Forecast Pipeline'!$D:$D,'Forecast Summary'!$A5,'Trended Forecast Pipeline'!$C:$C,'Forecast Summary'!E$18)</f>
        <v>356762.81</v>
      </c>
      <c r="F5" s="4">
        <f>SUMIFS('Trended Forecast Pipeline'!$O:$O,'Trended Forecast Pipeline'!$D:$D,'Forecast Summary'!$A5,'Trended Forecast Pipeline'!$C:$C,'Forecast Summary'!F$18)</f>
        <v>410414.76</v>
      </c>
      <c r="G5" s="4">
        <f>SUMIFS('Trended Forecast Pipeline'!$O:$O,'Trended Forecast Pipeline'!$D:$D,'Forecast Summary'!$A5,'Trended Forecast Pipeline'!$C:$C,'Forecast Summary'!G$18)</f>
        <v>393756.03</v>
      </c>
      <c r="H5" s="4">
        <f>SUMIFS('Trended Forecast Pipeline'!$O:$O,'Trended Forecast Pipeline'!$D:$D,'Forecast Summary'!$A5,'Trended Forecast Pipeline'!$C:$C,'Forecast Summary'!H$18)</f>
        <v>318414.88</v>
      </c>
      <c r="I5" s="4">
        <f>SUMIFS('Trended Forecast Pipeline'!$O:$O,'Trended Forecast Pipeline'!$D:$D,'Forecast Summary'!$A5,'Trended Forecast Pipeline'!$C:$C,'Forecast Summary'!I$18)</f>
        <v>344671.14</v>
      </c>
      <c r="J5" s="4">
        <f>SUMIFS('Trended Forecast Pipeline'!$O:$O,'Trended Forecast Pipeline'!$D:$D,'Forecast Summary'!$A5,'Trended Forecast Pipeline'!$C:$C,'Forecast Summary'!J$18)</f>
        <v>289323.95</v>
      </c>
      <c r="K5" s="4">
        <f>SUMIFS('Trended Forecast Pipeline'!$O:$O,'Trended Forecast Pipeline'!$D:$D,'Forecast Summary'!$A5,'Trended Forecast Pipeline'!$C:$C,'Forecast Summary'!K$18)</f>
        <v>262788.75</v>
      </c>
      <c r="L5" s="4">
        <f>SUMIFS('Trended Forecast Pipeline'!$O:$O,'Trended Forecast Pipeline'!$D:$D,'Forecast Summary'!$A5,'Trended Forecast Pipeline'!$C:$C,'Forecast Summary'!L$18)</f>
        <v>277993.59000000003</v>
      </c>
      <c r="M5" s="4">
        <f>SUMIFS('Trended Forecast Pipeline'!$O:$O,'Trended Forecast Pipeline'!$D:$D,'Forecast Summary'!$A5,'Trended Forecast Pipeline'!$C:$C,'Forecast Summary'!M$18)</f>
        <v>306178.21999999997</v>
      </c>
      <c r="O5" s="4">
        <f t="shared" ref="O5:O15" si="1">SUMIFS($B5:$M5,$B$2:$M$2,O$3)</f>
        <v>934668.25</v>
      </c>
      <c r="P5" s="4">
        <f t="shared" si="0"/>
        <v>1160933.6000000001</v>
      </c>
      <c r="Q5" s="4">
        <f t="shared" si="0"/>
        <v>952409.97</v>
      </c>
      <c r="R5" s="4">
        <f t="shared" si="0"/>
        <v>846960.56</v>
      </c>
      <c r="T5" s="5">
        <f t="shared" ref="T5:T15" si="2">SUM(O5:R5)</f>
        <v>3894972.3800000004</v>
      </c>
    </row>
    <row r="6" spans="1:20" x14ac:dyDescent="0.35">
      <c r="A6" t="s">
        <v>28</v>
      </c>
      <c r="B6" s="4">
        <f>SUMIFS('Trended Forecast Pipeline'!$O:$O,'Trended Forecast Pipeline'!$D:$D,'Forecast Summary'!$A6,'Trended Forecast Pipeline'!$C:$C,'Forecast Summary'!B$18)</f>
        <v>15303.96</v>
      </c>
      <c r="C6" s="4">
        <f>SUMIFS('Trended Forecast Pipeline'!$O:$O,'Trended Forecast Pipeline'!$D:$D,'Forecast Summary'!$A6,'Trended Forecast Pipeline'!$C:$C,'Forecast Summary'!C$18)</f>
        <v>19768.43</v>
      </c>
      <c r="D6" s="4">
        <f>SUMIFS('Trended Forecast Pipeline'!$O:$O,'Trended Forecast Pipeline'!$D:$D,'Forecast Summary'!$A6,'Trended Forecast Pipeline'!$C:$C,'Forecast Summary'!D$18)</f>
        <v>28664.82</v>
      </c>
      <c r="E6" s="4">
        <f>SUMIFS('Trended Forecast Pipeline'!$O:$O,'Trended Forecast Pipeline'!$D:$D,'Forecast Summary'!$A6,'Trended Forecast Pipeline'!$C:$C,'Forecast Summary'!E$18)</f>
        <v>22711.86</v>
      </c>
      <c r="F6" s="4">
        <f>SUMIFS('Trended Forecast Pipeline'!$O:$O,'Trended Forecast Pipeline'!$D:$D,'Forecast Summary'!$A6,'Trended Forecast Pipeline'!$C:$C,'Forecast Summary'!F$18)</f>
        <v>27457.02</v>
      </c>
      <c r="G6" s="4">
        <f>SUMIFS('Trended Forecast Pipeline'!$O:$O,'Trended Forecast Pipeline'!$D:$D,'Forecast Summary'!$A6,'Trended Forecast Pipeline'!$C:$C,'Forecast Summary'!G$18)</f>
        <v>54814.95</v>
      </c>
      <c r="H6" s="4">
        <f>SUMIFS('Trended Forecast Pipeline'!$O:$O,'Trended Forecast Pipeline'!$D:$D,'Forecast Summary'!$A6,'Trended Forecast Pipeline'!$C:$C,'Forecast Summary'!H$18)</f>
        <v>45307.38</v>
      </c>
      <c r="I6" s="4">
        <f>SUMIFS('Trended Forecast Pipeline'!$O:$O,'Trended Forecast Pipeline'!$D:$D,'Forecast Summary'!$A6,'Trended Forecast Pipeline'!$C:$C,'Forecast Summary'!I$18)</f>
        <v>59262.91</v>
      </c>
      <c r="J6" s="4">
        <f>SUMIFS('Trended Forecast Pipeline'!$O:$O,'Trended Forecast Pipeline'!$D:$D,'Forecast Summary'!$A6,'Trended Forecast Pipeline'!$C:$C,'Forecast Summary'!J$18)</f>
        <v>41759.230000000003</v>
      </c>
      <c r="K6" s="4">
        <f>SUMIFS('Trended Forecast Pipeline'!$O:$O,'Trended Forecast Pipeline'!$D:$D,'Forecast Summary'!$A6,'Trended Forecast Pipeline'!$C:$C,'Forecast Summary'!K$18)</f>
        <v>43073.5</v>
      </c>
      <c r="L6" s="4">
        <f>SUMIFS('Trended Forecast Pipeline'!$O:$O,'Trended Forecast Pipeline'!$D:$D,'Forecast Summary'!$A6,'Trended Forecast Pipeline'!$C:$C,'Forecast Summary'!L$18)</f>
        <v>43497.88</v>
      </c>
      <c r="M6" s="4">
        <f>SUMIFS('Trended Forecast Pipeline'!$O:$O,'Trended Forecast Pipeline'!$D:$D,'Forecast Summary'!$A6,'Trended Forecast Pipeline'!$C:$C,'Forecast Summary'!M$18)</f>
        <v>41646.36</v>
      </c>
      <c r="O6" s="4">
        <f t="shared" si="1"/>
        <v>63737.21</v>
      </c>
      <c r="P6" s="4">
        <f t="shared" si="0"/>
        <v>104983.83</v>
      </c>
      <c r="Q6" s="4">
        <f t="shared" si="0"/>
        <v>146329.52000000002</v>
      </c>
      <c r="R6" s="4">
        <f t="shared" si="0"/>
        <v>128217.74</v>
      </c>
      <c r="T6" s="5">
        <f t="shared" si="2"/>
        <v>443268.30000000005</v>
      </c>
    </row>
    <row r="7" spans="1:20" x14ac:dyDescent="0.35">
      <c r="A7" t="s">
        <v>29</v>
      </c>
      <c r="B7" s="4">
        <f>SUMIFS('Trended Forecast Pipeline'!$O:$O,'Trended Forecast Pipeline'!$D:$D,'Forecast Summary'!$A7,'Trended Forecast Pipeline'!$C:$C,'Forecast Summary'!B$18)</f>
        <v>65196.13</v>
      </c>
      <c r="C7" s="4">
        <f>SUMIFS('Trended Forecast Pipeline'!$O:$O,'Trended Forecast Pipeline'!$D:$D,'Forecast Summary'!$A7,'Trended Forecast Pipeline'!$C:$C,'Forecast Summary'!C$18)</f>
        <v>80506.75</v>
      </c>
      <c r="D7" s="4">
        <f>SUMIFS('Trended Forecast Pipeline'!$O:$O,'Trended Forecast Pipeline'!$D:$D,'Forecast Summary'!$A7,'Trended Forecast Pipeline'!$C:$C,'Forecast Summary'!D$18)</f>
        <v>133146.19</v>
      </c>
      <c r="E7" s="4">
        <f>SUMIFS('Trended Forecast Pipeline'!$O:$O,'Trended Forecast Pipeline'!$D:$D,'Forecast Summary'!$A7,'Trended Forecast Pipeline'!$C:$C,'Forecast Summary'!E$18)</f>
        <v>105029.53</v>
      </c>
      <c r="F7" s="4">
        <f>SUMIFS('Trended Forecast Pipeline'!$O:$O,'Trended Forecast Pipeline'!$D:$D,'Forecast Summary'!$A7,'Trended Forecast Pipeline'!$C:$C,'Forecast Summary'!F$18)</f>
        <v>122116.96</v>
      </c>
      <c r="G7" s="4">
        <f>SUMIFS('Trended Forecast Pipeline'!$O:$O,'Trended Forecast Pipeline'!$D:$D,'Forecast Summary'!$A7,'Trended Forecast Pipeline'!$C:$C,'Forecast Summary'!G$18)</f>
        <v>175064.99</v>
      </c>
      <c r="H7" s="4">
        <f>SUMIFS('Trended Forecast Pipeline'!$O:$O,'Trended Forecast Pipeline'!$D:$D,'Forecast Summary'!$A7,'Trended Forecast Pipeline'!$C:$C,'Forecast Summary'!H$18)</f>
        <v>136124.26</v>
      </c>
      <c r="I7" s="4">
        <f>SUMIFS('Trended Forecast Pipeline'!$O:$O,'Trended Forecast Pipeline'!$D:$D,'Forecast Summary'!$A7,'Trended Forecast Pipeline'!$C:$C,'Forecast Summary'!I$18)</f>
        <v>179321.34</v>
      </c>
      <c r="J7" s="4">
        <f>SUMIFS('Trended Forecast Pipeline'!$O:$O,'Trended Forecast Pipeline'!$D:$D,'Forecast Summary'!$A7,'Trended Forecast Pipeline'!$C:$C,'Forecast Summary'!J$18)</f>
        <v>162146.92000000001</v>
      </c>
      <c r="K7" s="4">
        <f>SUMIFS('Trended Forecast Pipeline'!$O:$O,'Trended Forecast Pipeline'!$D:$D,'Forecast Summary'!$A7,'Trended Forecast Pipeline'!$C:$C,'Forecast Summary'!K$18)</f>
        <v>150016.85</v>
      </c>
      <c r="L7" s="4">
        <f>SUMIFS('Trended Forecast Pipeline'!$O:$O,'Trended Forecast Pipeline'!$D:$D,'Forecast Summary'!$A7,'Trended Forecast Pipeline'!$C:$C,'Forecast Summary'!L$18)</f>
        <v>163411.5</v>
      </c>
      <c r="M7" s="4">
        <f>SUMIFS('Trended Forecast Pipeline'!$O:$O,'Trended Forecast Pipeline'!$D:$D,'Forecast Summary'!$A7,'Trended Forecast Pipeline'!$C:$C,'Forecast Summary'!M$18)</f>
        <v>139427.69</v>
      </c>
      <c r="O7" s="4">
        <f t="shared" si="1"/>
        <v>278849.07</v>
      </c>
      <c r="P7" s="4">
        <f t="shared" si="0"/>
        <v>402211.48</v>
      </c>
      <c r="Q7" s="4">
        <f t="shared" si="0"/>
        <v>477592.52</v>
      </c>
      <c r="R7" s="4">
        <f t="shared" si="0"/>
        <v>452856.04</v>
      </c>
      <c r="T7" s="5">
        <f t="shared" si="2"/>
        <v>1611509.11</v>
      </c>
    </row>
    <row r="8" spans="1:20" x14ac:dyDescent="0.35">
      <c r="A8" t="s">
        <v>30</v>
      </c>
      <c r="B8" s="4">
        <f>SUMIFS('Trended Forecast Pipeline'!$O:$O,'Trended Forecast Pipeline'!$D:$D,'Forecast Summary'!$A8,'Trended Forecast Pipeline'!$C:$C,'Forecast Summary'!B$18)</f>
        <v>65013.53</v>
      </c>
      <c r="C8" s="4">
        <f>SUMIFS('Trended Forecast Pipeline'!$O:$O,'Trended Forecast Pipeline'!$D:$D,'Forecast Summary'!$A8,'Trended Forecast Pipeline'!$C:$C,'Forecast Summary'!C$18)</f>
        <v>69216.37</v>
      </c>
      <c r="D8" s="4">
        <f>SUMIFS('Trended Forecast Pipeline'!$O:$O,'Trended Forecast Pipeline'!$D:$D,'Forecast Summary'!$A8,'Trended Forecast Pipeline'!$C:$C,'Forecast Summary'!D$18)</f>
        <v>134899.07</v>
      </c>
      <c r="E8" s="4">
        <f>SUMIFS('Trended Forecast Pipeline'!$O:$O,'Trended Forecast Pipeline'!$D:$D,'Forecast Summary'!$A8,'Trended Forecast Pipeline'!$C:$C,'Forecast Summary'!E$18)</f>
        <v>92901.31</v>
      </c>
      <c r="F8" s="4">
        <f>SUMIFS('Trended Forecast Pipeline'!$O:$O,'Trended Forecast Pipeline'!$D:$D,'Forecast Summary'!$A8,'Trended Forecast Pipeline'!$C:$C,'Forecast Summary'!F$18)</f>
        <v>103359</v>
      </c>
      <c r="G8" s="4">
        <f>SUMIFS('Trended Forecast Pipeline'!$O:$O,'Trended Forecast Pipeline'!$D:$D,'Forecast Summary'!$A8,'Trended Forecast Pipeline'!$C:$C,'Forecast Summary'!G$18)</f>
        <v>156506.01999999999</v>
      </c>
      <c r="H8" s="4">
        <f>SUMIFS('Trended Forecast Pipeline'!$O:$O,'Trended Forecast Pipeline'!$D:$D,'Forecast Summary'!$A8,'Trended Forecast Pipeline'!$C:$C,'Forecast Summary'!H$18)</f>
        <v>143841.19</v>
      </c>
      <c r="I8" s="4">
        <f>SUMIFS('Trended Forecast Pipeline'!$O:$O,'Trended Forecast Pipeline'!$D:$D,'Forecast Summary'!$A8,'Trended Forecast Pipeline'!$C:$C,'Forecast Summary'!I$18)</f>
        <v>150363.92000000001</v>
      </c>
      <c r="J8" s="4">
        <f>SUMIFS('Trended Forecast Pipeline'!$O:$O,'Trended Forecast Pipeline'!$D:$D,'Forecast Summary'!$A8,'Trended Forecast Pipeline'!$C:$C,'Forecast Summary'!J$18)</f>
        <v>118606.23</v>
      </c>
      <c r="K8" s="4">
        <f>SUMIFS('Trended Forecast Pipeline'!$O:$O,'Trended Forecast Pipeline'!$D:$D,'Forecast Summary'!$A8,'Trended Forecast Pipeline'!$C:$C,'Forecast Summary'!K$18)</f>
        <v>129912.36</v>
      </c>
      <c r="L8" s="4">
        <f>SUMIFS('Trended Forecast Pipeline'!$O:$O,'Trended Forecast Pipeline'!$D:$D,'Forecast Summary'!$A8,'Trended Forecast Pipeline'!$C:$C,'Forecast Summary'!L$18)</f>
        <v>125272.51</v>
      </c>
      <c r="M8" s="4">
        <f>SUMIFS('Trended Forecast Pipeline'!$O:$O,'Trended Forecast Pipeline'!$D:$D,'Forecast Summary'!$A8,'Trended Forecast Pipeline'!$C:$C,'Forecast Summary'!M$18)</f>
        <v>117964.09</v>
      </c>
      <c r="O8" s="4">
        <f t="shared" si="1"/>
        <v>269128.96999999997</v>
      </c>
      <c r="P8" s="4">
        <f t="shared" si="0"/>
        <v>352766.32999999996</v>
      </c>
      <c r="Q8" s="4">
        <f t="shared" si="0"/>
        <v>412811.33999999997</v>
      </c>
      <c r="R8" s="4">
        <f t="shared" si="0"/>
        <v>373148.95999999996</v>
      </c>
      <c r="T8" s="5">
        <f t="shared" si="2"/>
        <v>1407855.5999999999</v>
      </c>
    </row>
    <row r="9" spans="1:20" x14ac:dyDescent="0.35">
      <c r="A9" t="s">
        <v>31</v>
      </c>
      <c r="B9" s="4">
        <f>SUMIFS('Trended Forecast Pipeline'!$O:$O,'Trended Forecast Pipeline'!$D:$D,'Forecast Summary'!$A9,'Trended Forecast Pipeline'!$C:$C,'Forecast Summary'!B$18)</f>
        <v>157151.35999999999</v>
      </c>
      <c r="C9" s="4">
        <f>SUMIFS('Trended Forecast Pipeline'!$O:$O,'Trended Forecast Pipeline'!$D:$D,'Forecast Summary'!$A9,'Trended Forecast Pipeline'!$C:$C,'Forecast Summary'!C$18)</f>
        <v>185333.96</v>
      </c>
      <c r="D9" s="4">
        <f>SUMIFS('Trended Forecast Pipeline'!$O:$O,'Trended Forecast Pipeline'!$D:$D,'Forecast Summary'!$A9,'Trended Forecast Pipeline'!$C:$C,'Forecast Summary'!D$18)</f>
        <v>254356.24</v>
      </c>
      <c r="E9" s="4">
        <f>SUMIFS('Trended Forecast Pipeline'!$O:$O,'Trended Forecast Pipeline'!$D:$D,'Forecast Summary'!$A9,'Trended Forecast Pipeline'!$C:$C,'Forecast Summary'!E$18)</f>
        <v>203649.66</v>
      </c>
      <c r="F9" s="4">
        <f>SUMIFS('Trended Forecast Pipeline'!$O:$O,'Trended Forecast Pipeline'!$D:$D,'Forecast Summary'!$A9,'Trended Forecast Pipeline'!$C:$C,'Forecast Summary'!F$18)</f>
        <v>228200.18</v>
      </c>
      <c r="G9" s="4">
        <f>SUMIFS('Trended Forecast Pipeline'!$O:$O,'Trended Forecast Pipeline'!$D:$D,'Forecast Summary'!$A9,'Trended Forecast Pipeline'!$C:$C,'Forecast Summary'!G$18)</f>
        <v>333359.78999999998</v>
      </c>
      <c r="H9" s="4">
        <f>SUMIFS('Trended Forecast Pipeline'!$O:$O,'Trended Forecast Pipeline'!$D:$D,'Forecast Summary'!$A9,'Trended Forecast Pipeline'!$C:$C,'Forecast Summary'!H$18)</f>
        <v>252744.06</v>
      </c>
      <c r="I9" s="4">
        <f>SUMIFS('Trended Forecast Pipeline'!$O:$O,'Trended Forecast Pipeline'!$D:$D,'Forecast Summary'!$A9,'Trended Forecast Pipeline'!$C:$C,'Forecast Summary'!I$18)</f>
        <v>288959.62</v>
      </c>
      <c r="J9" s="4">
        <f>SUMIFS('Trended Forecast Pipeline'!$O:$O,'Trended Forecast Pipeline'!$D:$D,'Forecast Summary'!$A9,'Trended Forecast Pipeline'!$C:$C,'Forecast Summary'!J$18)</f>
        <v>235258.88</v>
      </c>
      <c r="K9" s="4">
        <f>SUMIFS('Trended Forecast Pipeline'!$O:$O,'Trended Forecast Pipeline'!$D:$D,'Forecast Summary'!$A9,'Trended Forecast Pipeline'!$C:$C,'Forecast Summary'!K$18)</f>
        <v>212178.13</v>
      </c>
      <c r="L9" s="4">
        <f>SUMIFS('Trended Forecast Pipeline'!$O:$O,'Trended Forecast Pipeline'!$D:$D,'Forecast Summary'!$A9,'Trended Forecast Pipeline'!$C:$C,'Forecast Summary'!L$18)</f>
        <v>237673.49</v>
      </c>
      <c r="M9" s="4">
        <f>SUMIFS('Trended Forecast Pipeline'!$O:$O,'Trended Forecast Pipeline'!$D:$D,'Forecast Summary'!$A9,'Trended Forecast Pipeline'!$C:$C,'Forecast Summary'!M$18)</f>
        <v>240577.97</v>
      </c>
      <c r="O9" s="4">
        <f t="shared" si="1"/>
        <v>596841.55999999994</v>
      </c>
      <c r="P9" s="4">
        <f t="shared" si="0"/>
        <v>765209.62999999989</v>
      </c>
      <c r="Q9" s="4">
        <f t="shared" si="0"/>
        <v>776962.55999999994</v>
      </c>
      <c r="R9" s="4">
        <f t="shared" si="0"/>
        <v>690429.59</v>
      </c>
      <c r="T9" s="5">
        <f t="shared" si="2"/>
        <v>2829443.34</v>
      </c>
    </row>
    <row r="10" spans="1:20" x14ac:dyDescent="0.35">
      <c r="A10" t="s">
        <v>32</v>
      </c>
      <c r="B10" s="4">
        <f>SUMIFS('Trended Forecast Pipeline'!$O:$O,'Trended Forecast Pipeline'!$D:$D,'Forecast Summary'!$A10,'Trended Forecast Pipeline'!$C:$C,'Forecast Summary'!B$18)</f>
        <v>2784.34</v>
      </c>
      <c r="C10" s="4">
        <f>SUMIFS('Trended Forecast Pipeline'!$O:$O,'Trended Forecast Pipeline'!$D:$D,'Forecast Summary'!$A10,'Trended Forecast Pipeline'!$C:$C,'Forecast Summary'!C$18)</f>
        <v>3180.98</v>
      </c>
      <c r="D10" s="4">
        <f>SUMIFS('Trended Forecast Pipeline'!$O:$O,'Trended Forecast Pipeline'!$D:$D,'Forecast Summary'!$A10,'Trended Forecast Pipeline'!$C:$C,'Forecast Summary'!D$18)</f>
        <v>4026.89</v>
      </c>
      <c r="E10" s="4">
        <f>SUMIFS('Trended Forecast Pipeline'!$O:$O,'Trended Forecast Pipeline'!$D:$D,'Forecast Summary'!$A10,'Trended Forecast Pipeline'!$C:$C,'Forecast Summary'!E$18)</f>
        <v>3801.73</v>
      </c>
      <c r="F10" s="4">
        <f>SUMIFS('Trended Forecast Pipeline'!$O:$O,'Trended Forecast Pipeline'!$D:$D,'Forecast Summary'!$A10,'Trended Forecast Pipeline'!$C:$C,'Forecast Summary'!F$18)</f>
        <v>3943.07</v>
      </c>
      <c r="G10" s="4">
        <f>SUMIFS('Trended Forecast Pipeline'!$O:$O,'Trended Forecast Pipeline'!$D:$D,'Forecast Summary'!$A10,'Trended Forecast Pipeline'!$C:$C,'Forecast Summary'!G$18)</f>
        <v>17811.47</v>
      </c>
      <c r="H10" s="4">
        <f>SUMIFS('Trended Forecast Pipeline'!$O:$O,'Trended Forecast Pipeline'!$D:$D,'Forecast Summary'!$A10,'Trended Forecast Pipeline'!$C:$C,'Forecast Summary'!H$18)</f>
        <v>12110.09</v>
      </c>
      <c r="I10" s="4">
        <f>SUMIFS('Trended Forecast Pipeline'!$O:$O,'Trended Forecast Pipeline'!$D:$D,'Forecast Summary'!$A10,'Trended Forecast Pipeline'!$C:$C,'Forecast Summary'!I$18)</f>
        <v>19156.650000000001</v>
      </c>
      <c r="J10" s="4">
        <f>SUMIFS('Trended Forecast Pipeline'!$O:$O,'Trended Forecast Pipeline'!$D:$D,'Forecast Summary'!$A10,'Trended Forecast Pipeline'!$C:$C,'Forecast Summary'!J$18)</f>
        <v>12539.25</v>
      </c>
      <c r="K10" s="4">
        <f>SUMIFS('Trended Forecast Pipeline'!$O:$O,'Trended Forecast Pipeline'!$D:$D,'Forecast Summary'!$A10,'Trended Forecast Pipeline'!$C:$C,'Forecast Summary'!K$18)</f>
        <v>12675.79</v>
      </c>
      <c r="L10" s="4">
        <f>SUMIFS('Trended Forecast Pipeline'!$O:$O,'Trended Forecast Pipeline'!$D:$D,'Forecast Summary'!$A10,'Trended Forecast Pipeline'!$C:$C,'Forecast Summary'!L$18)</f>
        <v>10449.23</v>
      </c>
      <c r="M10" s="4">
        <f>SUMIFS('Trended Forecast Pipeline'!$O:$O,'Trended Forecast Pipeline'!$D:$D,'Forecast Summary'!$A10,'Trended Forecast Pipeline'!$C:$C,'Forecast Summary'!M$18)</f>
        <v>12923.22</v>
      </c>
      <c r="O10" s="4">
        <f t="shared" si="1"/>
        <v>9992.2099999999991</v>
      </c>
      <c r="P10" s="4">
        <f t="shared" si="0"/>
        <v>25556.27</v>
      </c>
      <c r="Q10" s="4">
        <f t="shared" si="0"/>
        <v>43805.990000000005</v>
      </c>
      <c r="R10" s="4">
        <f t="shared" si="0"/>
        <v>36048.239999999998</v>
      </c>
      <c r="T10" s="5">
        <f t="shared" si="2"/>
        <v>115402.70999999999</v>
      </c>
    </row>
    <row r="11" spans="1:20" x14ac:dyDescent="0.35">
      <c r="A11" t="s">
        <v>33</v>
      </c>
      <c r="B11" s="4">
        <f>SUMIFS('Trended Forecast Pipeline'!$O:$O,'Trended Forecast Pipeline'!$D:$D,'Forecast Summary'!$A11,'Trended Forecast Pipeline'!$C:$C,'Forecast Summary'!B$18)</f>
        <v>5458.96</v>
      </c>
      <c r="C11" s="4">
        <f>SUMIFS('Trended Forecast Pipeline'!$O:$O,'Trended Forecast Pipeline'!$D:$D,'Forecast Summary'!$A11,'Trended Forecast Pipeline'!$C:$C,'Forecast Summary'!C$18)</f>
        <v>6077.85</v>
      </c>
      <c r="D11" s="4">
        <f>SUMIFS('Trended Forecast Pipeline'!$O:$O,'Trended Forecast Pipeline'!$D:$D,'Forecast Summary'!$A11,'Trended Forecast Pipeline'!$C:$C,'Forecast Summary'!D$18)</f>
        <v>10422.209999999999</v>
      </c>
      <c r="E11" s="4">
        <f>SUMIFS('Trended Forecast Pipeline'!$O:$O,'Trended Forecast Pipeline'!$D:$D,'Forecast Summary'!$A11,'Trended Forecast Pipeline'!$C:$C,'Forecast Summary'!E$18)</f>
        <v>7870.29</v>
      </c>
      <c r="F11" s="4">
        <f>SUMIFS('Trended Forecast Pipeline'!$O:$O,'Trended Forecast Pipeline'!$D:$D,'Forecast Summary'!$A11,'Trended Forecast Pipeline'!$C:$C,'Forecast Summary'!F$18)</f>
        <v>9409.5300000000007</v>
      </c>
      <c r="G11" s="4">
        <f>SUMIFS('Trended Forecast Pipeline'!$O:$O,'Trended Forecast Pipeline'!$D:$D,'Forecast Summary'!$A11,'Trended Forecast Pipeline'!$C:$C,'Forecast Summary'!G$18)</f>
        <v>38931.74</v>
      </c>
      <c r="H11" s="4">
        <f>SUMIFS('Trended Forecast Pipeline'!$O:$O,'Trended Forecast Pipeline'!$D:$D,'Forecast Summary'!$A11,'Trended Forecast Pipeline'!$C:$C,'Forecast Summary'!H$18)</f>
        <v>28476.66</v>
      </c>
      <c r="I11" s="4">
        <f>SUMIFS('Trended Forecast Pipeline'!$O:$O,'Trended Forecast Pipeline'!$D:$D,'Forecast Summary'!$A11,'Trended Forecast Pipeline'!$C:$C,'Forecast Summary'!I$18)</f>
        <v>29527.14</v>
      </c>
      <c r="J11" s="4">
        <f>SUMIFS('Trended Forecast Pipeline'!$O:$O,'Trended Forecast Pipeline'!$D:$D,'Forecast Summary'!$A11,'Trended Forecast Pipeline'!$C:$C,'Forecast Summary'!J$18)</f>
        <v>31323.29</v>
      </c>
      <c r="K11" s="4">
        <f>SUMIFS('Trended Forecast Pipeline'!$O:$O,'Trended Forecast Pipeline'!$D:$D,'Forecast Summary'!$A11,'Trended Forecast Pipeline'!$C:$C,'Forecast Summary'!K$18)</f>
        <v>26476.61</v>
      </c>
      <c r="L11" s="4">
        <f>SUMIFS('Trended Forecast Pipeline'!$O:$O,'Trended Forecast Pipeline'!$D:$D,'Forecast Summary'!$A11,'Trended Forecast Pipeline'!$C:$C,'Forecast Summary'!L$18)</f>
        <v>30071.54</v>
      </c>
      <c r="M11" s="4">
        <f>SUMIFS('Trended Forecast Pipeline'!$O:$O,'Trended Forecast Pipeline'!$D:$D,'Forecast Summary'!$A11,'Trended Forecast Pipeline'!$C:$C,'Forecast Summary'!M$18)</f>
        <v>27525.01</v>
      </c>
      <c r="O11" s="4">
        <f t="shared" si="1"/>
        <v>21959.02</v>
      </c>
      <c r="P11" s="4">
        <f t="shared" si="0"/>
        <v>56211.56</v>
      </c>
      <c r="Q11" s="4">
        <f t="shared" si="0"/>
        <v>89327.09</v>
      </c>
      <c r="R11" s="4">
        <f t="shared" si="0"/>
        <v>84073.16</v>
      </c>
      <c r="T11" s="5">
        <f t="shared" si="2"/>
        <v>251570.83</v>
      </c>
    </row>
    <row r="12" spans="1:20" x14ac:dyDescent="0.35">
      <c r="A12" t="s">
        <v>34</v>
      </c>
      <c r="B12" s="4">
        <f>SUMIFS('Trended Forecast Pipeline'!$O:$O,'Trended Forecast Pipeline'!$D:$D,'Forecast Summary'!$A12,'Trended Forecast Pipeline'!$C:$C,'Forecast Summary'!B$18)</f>
        <v>162664.94</v>
      </c>
      <c r="C12" s="4">
        <f>SUMIFS('Trended Forecast Pipeline'!$O:$O,'Trended Forecast Pipeline'!$D:$D,'Forecast Summary'!$A12,'Trended Forecast Pipeline'!$C:$C,'Forecast Summary'!C$18)</f>
        <v>197722.26</v>
      </c>
      <c r="D12" s="4">
        <f>SUMIFS('Trended Forecast Pipeline'!$O:$O,'Trended Forecast Pipeline'!$D:$D,'Forecast Summary'!$A12,'Trended Forecast Pipeline'!$C:$C,'Forecast Summary'!D$18)</f>
        <v>260868.19</v>
      </c>
      <c r="E12" s="4">
        <f>SUMIFS('Trended Forecast Pipeline'!$O:$O,'Trended Forecast Pipeline'!$D:$D,'Forecast Summary'!$A12,'Trended Forecast Pipeline'!$C:$C,'Forecast Summary'!E$18)</f>
        <v>229615.64</v>
      </c>
      <c r="F12" s="4">
        <f>SUMIFS('Trended Forecast Pipeline'!$O:$O,'Trended Forecast Pipeline'!$D:$D,'Forecast Summary'!$A12,'Trended Forecast Pipeline'!$C:$C,'Forecast Summary'!F$18)</f>
        <v>258252.7</v>
      </c>
      <c r="G12" s="4">
        <f>SUMIFS('Trended Forecast Pipeline'!$O:$O,'Trended Forecast Pipeline'!$D:$D,'Forecast Summary'!$A12,'Trended Forecast Pipeline'!$C:$C,'Forecast Summary'!G$18)</f>
        <v>222334.97</v>
      </c>
      <c r="H12" s="4">
        <f>SUMIFS('Trended Forecast Pipeline'!$O:$O,'Trended Forecast Pipeline'!$D:$D,'Forecast Summary'!$A12,'Trended Forecast Pipeline'!$C:$C,'Forecast Summary'!H$18)</f>
        <v>178255.74</v>
      </c>
      <c r="I12" s="4">
        <f>SUMIFS('Trended Forecast Pipeline'!$O:$O,'Trended Forecast Pipeline'!$D:$D,'Forecast Summary'!$A12,'Trended Forecast Pipeline'!$C:$C,'Forecast Summary'!I$18)</f>
        <v>184350.74</v>
      </c>
      <c r="J12" s="4">
        <f>SUMIFS('Trended Forecast Pipeline'!$O:$O,'Trended Forecast Pipeline'!$D:$D,'Forecast Summary'!$A12,'Trended Forecast Pipeline'!$C:$C,'Forecast Summary'!J$18)</f>
        <v>168887.98</v>
      </c>
      <c r="K12" s="4">
        <f>SUMIFS('Trended Forecast Pipeline'!$O:$O,'Trended Forecast Pipeline'!$D:$D,'Forecast Summary'!$A12,'Trended Forecast Pipeline'!$C:$C,'Forecast Summary'!K$18)</f>
        <v>136765.49</v>
      </c>
      <c r="L12" s="4">
        <f>SUMIFS('Trended Forecast Pipeline'!$O:$O,'Trended Forecast Pipeline'!$D:$D,'Forecast Summary'!$A12,'Trended Forecast Pipeline'!$C:$C,'Forecast Summary'!L$18)</f>
        <v>176319.2</v>
      </c>
      <c r="M12" s="4">
        <f>SUMIFS('Trended Forecast Pipeline'!$O:$O,'Trended Forecast Pipeline'!$D:$D,'Forecast Summary'!$A12,'Trended Forecast Pipeline'!$C:$C,'Forecast Summary'!M$18)</f>
        <v>157353.13</v>
      </c>
      <c r="O12" s="4">
        <f t="shared" si="1"/>
        <v>621255.39</v>
      </c>
      <c r="P12" s="4">
        <f t="shared" si="0"/>
        <v>710203.31</v>
      </c>
      <c r="Q12" s="4">
        <f t="shared" si="0"/>
        <v>531494.46</v>
      </c>
      <c r="R12" s="4">
        <f t="shared" si="0"/>
        <v>470437.82</v>
      </c>
      <c r="T12" s="5">
        <f t="shared" si="2"/>
        <v>2333390.98</v>
      </c>
    </row>
    <row r="13" spans="1:20" x14ac:dyDescent="0.35">
      <c r="A13" t="s">
        <v>35</v>
      </c>
      <c r="B13" s="4">
        <f>SUMIFS('Trended Forecast Pipeline'!$O:$O,'Trended Forecast Pipeline'!$D:$D,'Forecast Summary'!$A13,'Trended Forecast Pipeline'!$C:$C,'Forecast Summary'!B$18)</f>
        <v>62001.58</v>
      </c>
      <c r="C13" s="4">
        <f>SUMIFS('Trended Forecast Pipeline'!$O:$O,'Trended Forecast Pipeline'!$D:$D,'Forecast Summary'!$A13,'Trended Forecast Pipeline'!$C:$C,'Forecast Summary'!C$18)</f>
        <v>79657.91</v>
      </c>
      <c r="D13" s="4">
        <f>SUMIFS('Trended Forecast Pipeline'!$O:$O,'Trended Forecast Pipeline'!$D:$D,'Forecast Summary'!$A13,'Trended Forecast Pipeline'!$C:$C,'Forecast Summary'!D$18)</f>
        <v>108865.02</v>
      </c>
      <c r="E13" s="4">
        <f>SUMIFS('Trended Forecast Pipeline'!$O:$O,'Trended Forecast Pipeline'!$D:$D,'Forecast Summary'!$A13,'Trended Forecast Pipeline'!$C:$C,'Forecast Summary'!E$18)</f>
        <v>76481.42</v>
      </c>
      <c r="F13" s="4">
        <f>SUMIFS('Trended Forecast Pipeline'!$O:$O,'Trended Forecast Pipeline'!$D:$D,'Forecast Summary'!$A13,'Trended Forecast Pipeline'!$C:$C,'Forecast Summary'!F$18)</f>
        <v>95414.83</v>
      </c>
      <c r="G13" s="4">
        <f>SUMIFS('Trended Forecast Pipeline'!$O:$O,'Trended Forecast Pipeline'!$D:$D,'Forecast Summary'!$A13,'Trended Forecast Pipeline'!$C:$C,'Forecast Summary'!G$18)</f>
        <v>82075.88</v>
      </c>
      <c r="H13" s="4">
        <f>SUMIFS('Trended Forecast Pipeline'!$O:$O,'Trended Forecast Pipeline'!$D:$D,'Forecast Summary'!$A13,'Trended Forecast Pipeline'!$C:$C,'Forecast Summary'!H$18)</f>
        <v>70026.8</v>
      </c>
      <c r="I13" s="4">
        <f>SUMIFS('Trended Forecast Pipeline'!$O:$O,'Trended Forecast Pipeline'!$D:$D,'Forecast Summary'!$A13,'Trended Forecast Pipeline'!$C:$C,'Forecast Summary'!I$18)</f>
        <v>83046.720000000001</v>
      </c>
      <c r="J13" s="4">
        <f>SUMIFS('Trended Forecast Pipeline'!$O:$O,'Trended Forecast Pipeline'!$D:$D,'Forecast Summary'!$A13,'Trended Forecast Pipeline'!$C:$C,'Forecast Summary'!J$18)</f>
        <v>60906.17</v>
      </c>
      <c r="K13" s="4">
        <f>SUMIFS('Trended Forecast Pipeline'!$O:$O,'Trended Forecast Pipeline'!$D:$D,'Forecast Summary'!$A13,'Trended Forecast Pipeline'!$C:$C,'Forecast Summary'!K$18)</f>
        <v>58410.73</v>
      </c>
      <c r="L13" s="4">
        <f>SUMIFS('Trended Forecast Pipeline'!$O:$O,'Trended Forecast Pipeline'!$D:$D,'Forecast Summary'!$A13,'Trended Forecast Pipeline'!$C:$C,'Forecast Summary'!L$18)</f>
        <v>65256.36</v>
      </c>
      <c r="M13" s="4">
        <f>SUMIFS('Trended Forecast Pipeline'!$O:$O,'Trended Forecast Pipeline'!$D:$D,'Forecast Summary'!$A13,'Trended Forecast Pipeline'!$C:$C,'Forecast Summary'!M$18)</f>
        <v>74802.41</v>
      </c>
      <c r="O13" s="4">
        <f t="shared" si="1"/>
        <v>250524.51</v>
      </c>
      <c r="P13" s="4">
        <f t="shared" si="0"/>
        <v>253972.13</v>
      </c>
      <c r="Q13" s="4">
        <f t="shared" si="0"/>
        <v>213979.69</v>
      </c>
      <c r="R13" s="4">
        <f t="shared" si="0"/>
        <v>198469.5</v>
      </c>
      <c r="T13" s="5">
        <f t="shared" si="2"/>
        <v>916945.83000000007</v>
      </c>
    </row>
    <row r="14" spans="1:20" x14ac:dyDescent="0.35">
      <c r="A14" t="s">
        <v>36</v>
      </c>
      <c r="B14" s="4">
        <f>SUMIFS('Trended Forecast Pipeline'!$O:$O,'Trended Forecast Pipeline'!$D:$D,'Forecast Summary'!$A14,'Trended Forecast Pipeline'!$C:$C,'Forecast Summary'!B$18)</f>
        <v>1003.39</v>
      </c>
      <c r="C14" s="4">
        <f>SUMIFS('Trended Forecast Pipeline'!$O:$O,'Trended Forecast Pipeline'!$D:$D,'Forecast Summary'!$A14,'Trended Forecast Pipeline'!$C:$C,'Forecast Summary'!C$18)</f>
        <v>1320.96</v>
      </c>
      <c r="D14" s="4">
        <f>SUMIFS('Trended Forecast Pipeline'!$O:$O,'Trended Forecast Pipeline'!$D:$D,'Forecast Summary'!$A14,'Trended Forecast Pipeline'!$C:$C,'Forecast Summary'!D$18)</f>
        <v>1696.77</v>
      </c>
      <c r="E14" s="4">
        <f>SUMIFS('Trended Forecast Pipeline'!$O:$O,'Trended Forecast Pipeline'!$D:$D,'Forecast Summary'!$A14,'Trended Forecast Pipeline'!$C:$C,'Forecast Summary'!E$18)</f>
        <v>1323.28</v>
      </c>
      <c r="F14" s="4">
        <f>SUMIFS('Trended Forecast Pipeline'!$O:$O,'Trended Forecast Pipeline'!$D:$D,'Forecast Summary'!$A14,'Trended Forecast Pipeline'!$C:$C,'Forecast Summary'!F$18)</f>
        <v>1597.75</v>
      </c>
      <c r="G14" s="4">
        <f>SUMIFS('Trended Forecast Pipeline'!$O:$O,'Trended Forecast Pipeline'!$D:$D,'Forecast Summary'!$A14,'Trended Forecast Pipeline'!$C:$C,'Forecast Summary'!G$18)</f>
        <v>3340.69</v>
      </c>
      <c r="H14" s="4">
        <f>SUMIFS('Trended Forecast Pipeline'!$O:$O,'Trended Forecast Pipeline'!$D:$D,'Forecast Summary'!$A14,'Trended Forecast Pipeline'!$C:$C,'Forecast Summary'!H$18)</f>
        <v>2497.33</v>
      </c>
      <c r="I14" s="4">
        <f>SUMIFS('Trended Forecast Pipeline'!$O:$O,'Trended Forecast Pipeline'!$D:$D,'Forecast Summary'!$A14,'Trended Forecast Pipeline'!$C:$C,'Forecast Summary'!I$18)</f>
        <v>3114.79</v>
      </c>
      <c r="J14" s="4">
        <f>SUMIFS('Trended Forecast Pipeline'!$O:$O,'Trended Forecast Pipeline'!$D:$D,'Forecast Summary'!$A14,'Trended Forecast Pipeline'!$C:$C,'Forecast Summary'!J$18)</f>
        <v>2161.15</v>
      </c>
      <c r="K14" s="4">
        <f>SUMIFS('Trended Forecast Pipeline'!$O:$O,'Trended Forecast Pipeline'!$D:$D,'Forecast Summary'!$A14,'Trended Forecast Pipeline'!$C:$C,'Forecast Summary'!K$18)</f>
        <v>1996.84</v>
      </c>
      <c r="L14" s="4">
        <f>SUMIFS('Trended Forecast Pipeline'!$O:$O,'Trended Forecast Pipeline'!$D:$D,'Forecast Summary'!$A14,'Trended Forecast Pipeline'!$C:$C,'Forecast Summary'!L$18)</f>
        <v>2084.12</v>
      </c>
      <c r="M14" s="4">
        <f>SUMIFS('Trended Forecast Pipeline'!$O:$O,'Trended Forecast Pipeline'!$D:$D,'Forecast Summary'!$A14,'Trended Forecast Pipeline'!$C:$C,'Forecast Summary'!M$18)</f>
        <v>1919.96</v>
      </c>
      <c r="O14" s="4">
        <f t="shared" si="1"/>
        <v>4021.12</v>
      </c>
      <c r="P14" s="4">
        <f t="shared" si="0"/>
        <v>6261.7199999999993</v>
      </c>
      <c r="Q14" s="4">
        <f t="shared" si="0"/>
        <v>7773.27</v>
      </c>
      <c r="R14" s="4">
        <f t="shared" si="0"/>
        <v>6000.92</v>
      </c>
      <c r="T14" s="5">
        <f t="shared" si="2"/>
        <v>24057.03</v>
      </c>
    </row>
    <row r="15" spans="1:20" s="9" customFormat="1" x14ac:dyDescent="0.35">
      <c r="A15" s="9" t="s">
        <v>63</v>
      </c>
      <c r="B15" s="9">
        <f>SUM(B4:B14)</f>
        <v>1101327.3099999998</v>
      </c>
      <c r="C15" s="9">
        <f t="shared" ref="C15" si="3">SUM(C4:C14)</f>
        <v>1276813.9399999997</v>
      </c>
      <c r="D15" s="9">
        <f t="shared" ref="D15" si="4">SUM(D4:D14)</f>
        <v>1863331.5699999998</v>
      </c>
      <c r="E15" s="9">
        <f t="shared" ref="E15" si="5">SUM(E4:E14)</f>
        <v>1511949.16</v>
      </c>
      <c r="F15" s="9">
        <f t="shared" ref="F15" si="6">SUM(F4:F14)</f>
        <v>1798464.1900000002</v>
      </c>
      <c r="G15" s="9">
        <f t="shared" ref="G15" si="7">SUM(G4:G14)</f>
        <v>2052112.4699999997</v>
      </c>
      <c r="H15" s="9">
        <f t="shared" ref="H15" si="8">SUM(H4:H14)</f>
        <v>1672505.6800000002</v>
      </c>
      <c r="I15" s="9">
        <f t="shared" ref="I15" si="9">SUM(I4:I14)</f>
        <v>1831356.5199999998</v>
      </c>
      <c r="J15" s="9">
        <f t="shared" ref="J15" si="10">SUM(J4:J14)</f>
        <v>1562900.12</v>
      </c>
      <c r="K15" s="9">
        <f t="shared" ref="K15" si="11">SUM(K4:K14)</f>
        <v>1401090.4800000002</v>
      </c>
      <c r="L15" s="9">
        <f t="shared" ref="L15" si="12">SUM(L4:L14)</f>
        <v>1546409.2300000002</v>
      </c>
      <c r="M15" s="9">
        <f t="shared" ref="M15" si="13">SUM(M4:M14)</f>
        <v>1550185.01</v>
      </c>
      <c r="O15" s="9">
        <f t="shared" si="1"/>
        <v>4241472.8199999994</v>
      </c>
      <c r="P15" s="9">
        <f t="shared" si="0"/>
        <v>5362525.82</v>
      </c>
      <c r="Q15" s="9">
        <f t="shared" si="0"/>
        <v>5066762.32</v>
      </c>
      <c r="R15" s="9">
        <f t="shared" si="0"/>
        <v>4497684.7200000007</v>
      </c>
      <c r="T15" s="9">
        <f t="shared" si="2"/>
        <v>19168445.68</v>
      </c>
    </row>
    <row r="17" spans="1:20" s="7" customFormat="1" x14ac:dyDescent="0.35">
      <c r="A17" s="7" t="s">
        <v>52</v>
      </c>
      <c r="B17" s="10" t="s">
        <v>55</v>
      </c>
      <c r="C17" s="10" t="s">
        <v>55</v>
      </c>
      <c r="D17" s="10" t="s">
        <v>55</v>
      </c>
      <c r="E17" s="10" t="s">
        <v>56</v>
      </c>
      <c r="F17" s="10" t="s">
        <v>56</v>
      </c>
      <c r="G17" s="10" t="s">
        <v>56</v>
      </c>
      <c r="H17" s="10" t="s">
        <v>57</v>
      </c>
      <c r="I17" s="10" t="s">
        <v>57</v>
      </c>
      <c r="J17" s="10" t="s">
        <v>57</v>
      </c>
      <c r="K17" s="10" t="s">
        <v>58</v>
      </c>
      <c r="L17" s="10" t="s">
        <v>58</v>
      </c>
      <c r="M17" s="10" t="s">
        <v>58</v>
      </c>
    </row>
    <row r="18" spans="1:20" s="7" customFormat="1" x14ac:dyDescent="0.35">
      <c r="A18" s="7" t="s">
        <v>3</v>
      </c>
      <c r="B18" s="10" t="s">
        <v>24</v>
      </c>
      <c r="C18" s="10" t="s">
        <v>37</v>
      </c>
      <c r="D18" s="10" t="s">
        <v>38</v>
      </c>
      <c r="E18" s="10" t="s">
        <v>39</v>
      </c>
      <c r="F18" s="10" t="s">
        <v>40</v>
      </c>
      <c r="G18" s="10" t="s">
        <v>43</v>
      </c>
      <c r="H18" s="10" t="s">
        <v>45</v>
      </c>
      <c r="I18" s="10" t="s">
        <v>46</v>
      </c>
      <c r="J18" s="10" t="s">
        <v>47</v>
      </c>
      <c r="K18" s="10" t="s">
        <v>48</v>
      </c>
      <c r="L18" s="10" t="s">
        <v>49</v>
      </c>
      <c r="M18" s="10" t="s">
        <v>50</v>
      </c>
      <c r="O18" s="10" t="s">
        <v>55</v>
      </c>
      <c r="P18" s="10" t="s">
        <v>56</v>
      </c>
      <c r="Q18" s="10" t="s">
        <v>57</v>
      </c>
      <c r="R18" s="10" t="s">
        <v>58</v>
      </c>
      <c r="T18" s="10" t="s">
        <v>64</v>
      </c>
    </row>
    <row r="19" spans="1:20" s="3" customFormat="1" x14ac:dyDescent="0.35">
      <c r="A19" s="3" t="s">
        <v>25</v>
      </c>
      <c r="B19" s="3">
        <f>SUMIFS('Trended Forecast Pipeline'!$E:$E,'Trended Forecast Pipeline'!$D:$D,'Forecast Summary'!$A19,'Trended Forecast Pipeline'!$C:$C,'Forecast Summary'!B$18)</f>
        <v>600</v>
      </c>
      <c r="C19" s="3">
        <f>SUMIFS('Trended Forecast Pipeline'!$E:$E,'Trended Forecast Pipeline'!$D:$D,'Forecast Summary'!$A19,'Trended Forecast Pipeline'!$C:$C,'Forecast Summary'!C$18)</f>
        <v>620</v>
      </c>
      <c r="D19" s="3">
        <f>SUMIFS('Trended Forecast Pipeline'!$E:$E,'Trended Forecast Pipeline'!$D:$D,'Forecast Summary'!$A19,'Trended Forecast Pipeline'!$C:$C,'Forecast Summary'!D$18)</f>
        <v>655</v>
      </c>
      <c r="E19" s="3">
        <f>SUMIFS('Trended Forecast Pipeline'!$E:$E,'Trended Forecast Pipeline'!$D:$D,'Forecast Summary'!$A19,'Trended Forecast Pipeline'!$C:$C,'Forecast Summary'!E$18)</f>
        <v>623</v>
      </c>
      <c r="F19" s="3">
        <f>SUMIFS('Trended Forecast Pipeline'!$E:$E,'Trended Forecast Pipeline'!$D:$D,'Forecast Summary'!$A19,'Trended Forecast Pipeline'!$C:$C,'Forecast Summary'!F$18)</f>
        <v>708</v>
      </c>
      <c r="G19" s="3">
        <f>SUMIFS('Trended Forecast Pipeline'!$E:$E,'Trended Forecast Pipeline'!$D:$D,'Forecast Summary'!$A19,'Trended Forecast Pipeline'!$C:$C,'Forecast Summary'!G$18)</f>
        <v>167</v>
      </c>
      <c r="H19" s="3">
        <f>SUMIFS('Trended Forecast Pipeline'!$E:$E,'Trended Forecast Pipeline'!$D:$D,'Forecast Summary'!$A19,'Trended Forecast Pipeline'!$C:$C,'Forecast Summary'!H$18)</f>
        <v>177</v>
      </c>
      <c r="I19" s="3">
        <f>SUMIFS('Trended Forecast Pipeline'!$E:$E,'Trended Forecast Pipeline'!$D:$D,'Forecast Summary'!$A19,'Trended Forecast Pipeline'!$C:$C,'Forecast Summary'!I$18)</f>
        <v>195</v>
      </c>
      <c r="J19" s="3">
        <f>SUMIFS('Trended Forecast Pipeline'!$E:$E,'Trended Forecast Pipeline'!$D:$D,'Forecast Summary'!$A19,'Trended Forecast Pipeline'!$C:$C,'Forecast Summary'!J$18)</f>
        <v>220</v>
      </c>
      <c r="K19" s="3">
        <f>SUMIFS('Trended Forecast Pipeline'!$E:$E,'Trended Forecast Pipeline'!$D:$D,'Forecast Summary'!$A19,'Trended Forecast Pipeline'!$C:$C,'Forecast Summary'!K$18)</f>
        <v>260</v>
      </c>
      <c r="L19" s="3">
        <f>SUMIFS('Trended Forecast Pipeline'!$E:$E,'Trended Forecast Pipeline'!$D:$D,'Forecast Summary'!$A19,'Trended Forecast Pipeline'!$C:$C,'Forecast Summary'!L$18)</f>
        <v>250</v>
      </c>
      <c r="M19" s="3">
        <f>SUMIFS('Trended Forecast Pipeline'!$E:$E,'Trended Forecast Pipeline'!$D:$D,'Forecast Summary'!$A19,'Trended Forecast Pipeline'!$C:$C,'Forecast Summary'!M$18)</f>
        <v>313</v>
      </c>
      <c r="O19" s="3">
        <f>SUMIFS($B19:$M19,$B$2:$M$2,O$3)</f>
        <v>1875</v>
      </c>
      <c r="P19" s="3">
        <f t="shared" ref="P19:R30" si="14">SUMIFS($B19:$M19,$B$2:$M$2,P$3)</f>
        <v>1498</v>
      </c>
      <c r="Q19" s="3">
        <f t="shared" si="14"/>
        <v>592</v>
      </c>
      <c r="R19" s="3">
        <f t="shared" si="14"/>
        <v>823</v>
      </c>
      <c r="T19" s="3">
        <f>SUM(O19:R19)</f>
        <v>4788</v>
      </c>
    </row>
    <row r="20" spans="1:20" s="3" customFormat="1" x14ac:dyDescent="0.35">
      <c r="A20" s="3" t="s">
        <v>27</v>
      </c>
      <c r="B20" s="3">
        <f>SUMIFS('Trended Forecast Pipeline'!$E:$E,'Trended Forecast Pipeline'!$D:$D,'Forecast Summary'!$A20,'Trended Forecast Pipeline'!$C:$C,'Forecast Summary'!B$18)</f>
        <v>808</v>
      </c>
      <c r="C20" s="3">
        <f>SUMIFS('Trended Forecast Pipeline'!$E:$E,'Trended Forecast Pipeline'!$D:$D,'Forecast Summary'!$A20,'Trended Forecast Pipeline'!$C:$C,'Forecast Summary'!C$18)</f>
        <v>864</v>
      </c>
      <c r="D20" s="3">
        <f>SUMIFS('Trended Forecast Pipeline'!$E:$E,'Trended Forecast Pipeline'!$D:$D,'Forecast Summary'!$A20,'Trended Forecast Pipeline'!$C:$C,'Forecast Summary'!D$18)</f>
        <v>936</v>
      </c>
      <c r="E20" s="3">
        <f>SUMIFS('Trended Forecast Pipeline'!$E:$E,'Trended Forecast Pipeline'!$D:$D,'Forecast Summary'!$A20,'Trended Forecast Pipeline'!$C:$C,'Forecast Summary'!E$18)</f>
        <v>964</v>
      </c>
      <c r="F20" s="3">
        <f>SUMIFS('Trended Forecast Pipeline'!$E:$E,'Trended Forecast Pipeline'!$D:$D,'Forecast Summary'!$A20,'Trended Forecast Pipeline'!$C:$C,'Forecast Summary'!F$18)</f>
        <v>1036</v>
      </c>
      <c r="G20" s="3">
        <f>SUMIFS('Trended Forecast Pipeline'!$E:$E,'Trended Forecast Pipeline'!$D:$D,'Forecast Summary'!$A20,'Trended Forecast Pipeline'!$C:$C,'Forecast Summary'!G$18)</f>
        <v>218</v>
      </c>
      <c r="H20" s="3">
        <f>SUMIFS('Trended Forecast Pipeline'!$E:$E,'Trended Forecast Pipeline'!$D:$D,'Forecast Summary'!$A20,'Trended Forecast Pipeline'!$C:$C,'Forecast Summary'!H$18)</f>
        <v>247</v>
      </c>
      <c r="I20" s="3">
        <f>SUMIFS('Trended Forecast Pipeline'!$E:$E,'Trended Forecast Pipeline'!$D:$D,'Forecast Summary'!$A20,'Trended Forecast Pipeline'!$C:$C,'Forecast Summary'!I$18)</f>
        <v>242</v>
      </c>
      <c r="J20" s="3">
        <f>SUMIFS('Trended Forecast Pipeline'!$E:$E,'Trended Forecast Pipeline'!$D:$D,'Forecast Summary'!$A20,'Trended Forecast Pipeline'!$C:$C,'Forecast Summary'!J$18)</f>
        <v>306</v>
      </c>
      <c r="K20" s="3">
        <f>SUMIFS('Trended Forecast Pipeline'!$E:$E,'Trended Forecast Pipeline'!$D:$D,'Forecast Summary'!$A20,'Trended Forecast Pipeline'!$C:$C,'Forecast Summary'!K$18)</f>
        <v>318</v>
      </c>
      <c r="L20" s="3">
        <f>SUMIFS('Trended Forecast Pipeline'!$E:$E,'Trended Forecast Pipeline'!$D:$D,'Forecast Summary'!$A20,'Trended Forecast Pipeline'!$C:$C,'Forecast Summary'!L$18)</f>
        <v>338</v>
      </c>
      <c r="M20" s="3">
        <f>SUMIFS('Trended Forecast Pipeline'!$E:$E,'Trended Forecast Pipeline'!$D:$D,'Forecast Summary'!$A20,'Trended Forecast Pipeline'!$C:$C,'Forecast Summary'!M$18)</f>
        <v>416</v>
      </c>
      <c r="O20" s="3">
        <f t="shared" ref="O20:O30" si="15">SUMIFS($B20:$M20,$B$2:$M$2,O$3)</f>
        <v>2608</v>
      </c>
      <c r="P20" s="3">
        <f t="shared" si="14"/>
        <v>2218</v>
      </c>
      <c r="Q20" s="3">
        <f t="shared" si="14"/>
        <v>795</v>
      </c>
      <c r="R20" s="3">
        <f t="shared" si="14"/>
        <v>1072</v>
      </c>
      <c r="T20" s="3">
        <f t="shared" ref="T20:T30" si="16">SUM(O20:R20)</f>
        <v>6693</v>
      </c>
    </row>
    <row r="21" spans="1:20" s="3" customFormat="1" x14ac:dyDescent="0.35">
      <c r="A21" s="3" t="s">
        <v>28</v>
      </c>
      <c r="B21" s="3">
        <f>SUMIFS('Trended Forecast Pipeline'!$E:$E,'Trended Forecast Pipeline'!$D:$D,'Forecast Summary'!$A21,'Trended Forecast Pipeline'!$C:$C,'Forecast Summary'!B$18)</f>
        <v>366</v>
      </c>
      <c r="C21" s="3">
        <f>SUMIFS('Trended Forecast Pipeline'!$E:$E,'Trended Forecast Pipeline'!$D:$D,'Forecast Summary'!$A21,'Trended Forecast Pipeline'!$C:$C,'Forecast Summary'!C$18)</f>
        <v>402</v>
      </c>
      <c r="D21" s="3">
        <f>SUMIFS('Trended Forecast Pipeline'!$E:$E,'Trended Forecast Pipeline'!$D:$D,'Forecast Summary'!$A21,'Trended Forecast Pipeline'!$C:$C,'Forecast Summary'!D$18)</f>
        <v>440</v>
      </c>
      <c r="E21" s="3">
        <f>SUMIFS('Trended Forecast Pipeline'!$E:$E,'Trended Forecast Pipeline'!$D:$D,'Forecast Summary'!$A21,'Trended Forecast Pipeline'!$C:$C,'Forecast Summary'!E$18)</f>
        <v>452</v>
      </c>
      <c r="F21" s="3">
        <f>SUMIFS('Trended Forecast Pipeline'!$E:$E,'Trended Forecast Pipeline'!$D:$D,'Forecast Summary'!$A21,'Trended Forecast Pipeline'!$C:$C,'Forecast Summary'!F$18)</f>
        <v>483</v>
      </c>
      <c r="G21" s="3">
        <f>SUMIFS('Trended Forecast Pipeline'!$E:$E,'Trended Forecast Pipeline'!$D:$D,'Forecast Summary'!$A21,'Trended Forecast Pipeline'!$C:$C,'Forecast Summary'!G$18)</f>
        <v>56</v>
      </c>
      <c r="H21" s="3">
        <f>SUMIFS('Trended Forecast Pipeline'!$E:$E,'Trended Forecast Pipeline'!$D:$D,'Forecast Summary'!$A21,'Trended Forecast Pipeline'!$C:$C,'Forecast Summary'!H$18)</f>
        <v>53</v>
      </c>
      <c r="I21" s="3">
        <f>SUMIFS('Trended Forecast Pipeline'!$E:$E,'Trended Forecast Pipeline'!$D:$D,'Forecast Summary'!$A21,'Trended Forecast Pipeline'!$C:$C,'Forecast Summary'!I$18)</f>
        <v>66</v>
      </c>
      <c r="J21" s="3">
        <f>SUMIFS('Trended Forecast Pipeline'!$E:$E,'Trended Forecast Pipeline'!$D:$D,'Forecast Summary'!$A21,'Trended Forecast Pipeline'!$C:$C,'Forecast Summary'!J$18)</f>
        <v>63</v>
      </c>
      <c r="K21" s="3">
        <f>SUMIFS('Trended Forecast Pipeline'!$E:$E,'Trended Forecast Pipeline'!$D:$D,'Forecast Summary'!$A21,'Trended Forecast Pipeline'!$C:$C,'Forecast Summary'!K$18)</f>
        <v>75</v>
      </c>
      <c r="L21" s="3">
        <f>SUMIFS('Trended Forecast Pipeline'!$E:$E,'Trended Forecast Pipeline'!$D:$D,'Forecast Summary'!$A21,'Trended Forecast Pipeline'!$C:$C,'Forecast Summary'!L$18)</f>
        <v>92</v>
      </c>
      <c r="M21" s="3">
        <f>SUMIFS('Trended Forecast Pipeline'!$E:$E,'Trended Forecast Pipeline'!$D:$D,'Forecast Summary'!$A21,'Trended Forecast Pipeline'!$C:$C,'Forecast Summary'!M$18)</f>
        <v>100</v>
      </c>
      <c r="O21" s="3">
        <f t="shared" si="15"/>
        <v>1208</v>
      </c>
      <c r="P21" s="3">
        <f t="shared" si="14"/>
        <v>991</v>
      </c>
      <c r="Q21" s="3">
        <f t="shared" si="14"/>
        <v>182</v>
      </c>
      <c r="R21" s="3">
        <f t="shared" si="14"/>
        <v>267</v>
      </c>
      <c r="T21" s="3">
        <f t="shared" si="16"/>
        <v>2648</v>
      </c>
    </row>
    <row r="22" spans="1:20" s="3" customFormat="1" x14ac:dyDescent="0.35">
      <c r="A22" s="3" t="s">
        <v>29</v>
      </c>
      <c r="B22" s="3">
        <f>SUMIFS('Trended Forecast Pipeline'!$E:$E,'Trended Forecast Pipeline'!$D:$D,'Forecast Summary'!$A22,'Trended Forecast Pipeline'!$C:$C,'Forecast Summary'!B$18)</f>
        <v>161</v>
      </c>
      <c r="C22" s="3">
        <f>SUMIFS('Trended Forecast Pipeline'!$E:$E,'Trended Forecast Pipeline'!$D:$D,'Forecast Summary'!$A22,'Trended Forecast Pipeline'!$C:$C,'Forecast Summary'!C$18)</f>
        <v>175</v>
      </c>
      <c r="D22" s="3">
        <f>SUMIFS('Trended Forecast Pipeline'!$E:$E,'Trended Forecast Pipeline'!$D:$D,'Forecast Summary'!$A22,'Trended Forecast Pipeline'!$C:$C,'Forecast Summary'!D$18)</f>
        <v>196</v>
      </c>
      <c r="E22" s="3">
        <f>SUMIFS('Trended Forecast Pipeline'!$E:$E,'Trended Forecast Pipeline'!$D:$D,'Forecast Summary'!$A22,'Trended Forecast Pipeline'!$C:$C,'Forecast Summary'!E$18)</f>
        <v>198</v>
      </c>
      <c r="F22" s="3">
        <f>SUMIFS('Trended Forecast Pipeline'!$E:$E,'Trended Forecast Pipeline'!$D:$D,'Forecast Summary'!$A22,'Trended Forecast Pipeline'!$C:$C,'Forecast Summary'!F$18)</f>
        <v>203</v>
      </c>
      <c r="G22" s="3">
        <f>SUMIFS('Trended Forecast Pipeline'!$E:$E,'Trended Forecast Pipeline'!$D:$D,'Forecast Summary'!$A22,'Trended Forecast Pipeline'!$C:$C,'Forecast Summary'!G$18)</f>
        <v>32</v>
      </c>
      <c r="H22" s="3">
        <f>SUMIFS('Trended Forecast Pipeline'!$E:$E,'Trended Forecast Pipeline'!$D:$D,'Forecast Summary'!$A22,'Trended Forecast Pipeline'!$C:$C,'Forecast Summary'!H$18)</f>
        <v>39</v>
      </c>
      <c r="I22" s="3">
        <f>SUMIFS('Trended Forecast Pipeline'!$E:$E,'Trended Forecast Pipeline'!$D:$D,'Forecast Summary'!$A22,'Trended Forecast Pipeline'!$C:$C,'Forecast Summary'!I$18)</f>
        <v>40</v>
      </c>
      <c r="J22" s="3">
        <f>SUMIFS('Trended Forecast Pipeline'!$E:$E,'Trended Forecast Pipeline'!$D:$D,'Forecast Summary'!$A22,'Trended Forecast Pipeline'!$C:$C,'Forecast Summary'!J$18)</f>
        <v>57</v>
      </c>
      <c r="K22" s="3">
        <f>SUMIFS('Trended Forecast Pipeline'!$E:$E,'Trended Forecast Pipeline'!$D:$D,'Forecast Summary'!$A22,'Trended Forecast Pipeline'!$C:$C,'Forecast Summary'!K$18)</f>
        <v>58</v>
      </c>
      <c r="L22" s="3">
        <f>SUMIFS('Trended Forecast Pipeline'!$E:$E,'Trended Forecast Pipeline'!$D:$D,'Forecast Summary'!$A22,'Trended Forecast Pipeline'!$C:$C,'Forecast Summary'!L$18)</f>
        <v>67</v>
      </c>
      <c r="M22" s="3">
        <f>SUMIFS('Trended Forecast Pipeline'!$E:$E,'Trended Forecast Pipeline'!$D:$D,'Forecast Summary'!$A22,'Trended Forecast Pipeline'!$C:$C,'Forecast Summary'!M$18)</f>
        <v>58</v>
      </c>
      <c r="O22" s="3">
        <f t="shared" si="15"/>
        <v>532</v>
      </c>
      <c r="P22" s="3">
        <f t="shared" si="14"/>
        <v>433</v>
      </c>
      <c r="Q22" s="3">
        <f t="shared" si="14"/>
        <v>136</v>
      </c>
      <c r="R22" s="3">
        <f t="shared" si="14"/>
        <v>183</v>
      </c>
      <c r="T22" s="3">
        <f t="shared" si="16"/>
        <v>1284</v>
      </c>
    </row>
    <row r="23" spans="1:20" s="3" customFormat="1" x14ac:dyDescent="0.35">
      <c r="A23" s="3" t="s">
        <v>30</v>
      </c>
      <c r="B23" s="3">
        <f>SUMIFS('Trended Forecast Pipeline'!$E:$E,'Trended Forecast Pipeline'!$D:$D,'Forecast Summary'!$A23,'Trended Forecast Pipeline'!$C:$C,'Forecast Summary'!B$18)</f>
        <v>370</v>
      </c>
      <c r="C23" s="3">
        <f>SUMIFS('Trended Forecast Pipeline'!$E:$E,'Trended Forecast Pipeline'!$D:$D,'Forecast Summary'!$A23,'Trended Forecast Pipeline'!$C:$C,'Forecast Summary'!C$18)</f>
        <v>376</v>
      </c>
      <c r="D23" s="3">
        <f>SUMIFS('Trended Forecast Pipeline'!$E:$E,'Trended Forecast Pipeline'!$D:$D,'Forecast Summary'!$A23,'Trended Forecast Pipeline'!$C:$C,'Forecast Summary'!D$18)</f>
        <v>440</v>
      </c>
      <c r="E23" s="3">
        <f>SUMIFS('Trended Forecast Pipeline'!$E:$E,'Trended Forecast Pipeline'!$D:$D,'Forecast Summary'!$A23,'Trended Forecast Pipeline'!$C:$C,'Forecast Summary'!E$18)</f>
        <v>460</v>
      </c>
      <c r="F23" s="3">
        <f>SUMIFS('Trended Forecast Pipeline'!$E:$E,'Trended Forecast Pipeline'!$D:$D,'Forecast Summary'!$A23,'Trended Forecast Pipeline'!$C:$C,'Forecast Summary'!F$18)</f>
        <v>446</v>
      </c>
      <c r="G23" s="3">
        <f>SUMIFS('Trended Forecast Pipeline'!$E:$E,'Trended Forecast Pipeline'!$D:$D,'Forecast Summary'!$A23,'Trended Forecast Pipeline'!$C:$C,'Forecast Summary'!G$18)</f>
        <v>91</v>
      </c>
      <c r="H23" s="3">
        <f>SUMIFS('Trended Forecast Pipeline'!$E:$E,'Trended Forecast Pipeline'!$D:$D,'Forecast Summary'!$A23,'Trended Forecast Pipeline'!$C:$C,'Forecast Summary'!H$18)</f>
        <v>95</v>
      </c>
      <c r="I23" s="3">
        <f>SUMIFS('Trended Forecast Pipeline'!$E:$E,'Trended Forecast Pipeline'!$D:$D,'Forecast Summary'!$A23,'Trended Forecast Pipeline'!$C:$C,'Forecast Summary'!I$18)</f>
        <v>114</v>
      </c>
      <c r="J23" s="3">
        <f>SUMIFS('Trended Forecast Pipeline'!$E:$E,'Trended Forecast Pipeline'!$D:$D,'Forecast Summary'!$A23,'Trended Forecast Pipeline'!$C:$C,'Forecast Summary'!J$18)</f>
        <v>128</v>
      </c>
      <c r="K23" s="3">
        <f>SUMIFS('Trended Forecast Pipeline'!$E:$E,'Trended Forecast Pipeline'!$D:$D,'Forecast Summary'!$A23,'Trended Forecast Pipeline'!$C:$C,'Forecast Summary'!K$18)</f>
        <v>146</v>
      </c>
      <c r="L23" s="3">
        <f>SUMIFS('Trended Forecast Pipeline'!$E:$E,'Trended Forecast Pipeline'!$D:$D,'Forecast Summary'!$A23,'Trended Forecast Pipeline'!$C:$C,'Forecast Summary'!L$18)</f>
        <v>161</v>
      </c>
      <c r="M23" s="3">
        <f>SUMIFS('Trended Forecast Pipeline'!$E:$E,'Trended Forecast Pipeline'!$D:$D,'Forecast Summary'!$A23,'Trended Forecast Pipeline'!$C:$C,'Forecast Summary'!M$18)</f>
        <v>169</v>
      </c>
      <c r="O23" s="3">
        <f t="shared" si="15"/>
        <v>1186</v>
      </c>
      <c r="P23" s="3">
        <f t="shared" si="14"/>
        <v>997</v>
      </c>
      <c r="Q23" s="3">
        <f t="shared" si="14"/>
        <v>337</v>
      </c>
      <c r="R23" s="3">
        <f t="shared" si="14"/>
        <v>476</v>
      </c>
      <c r="T23" s="3">
        <f t="shared" si="16"/>
        <v>2996</v>
      </c>
    </row>
    <row r="24" spans="1:20" s="3" customFormat="1" x14ac:dyDescent="0.35">
      <c r="A24" s="3" t="s">
        <v>31</v>
      </c>
      <c r="B24" s="3">
        <f>SUMIFS('Trended Forecast Pipeline'!$E:$E,'Trended Forecast Pipeline'!$D:$D,'Forecast Summary'!$A24,'Trended Forecast Pipeline'!$C:$C,'Forecast Summary'!B$18)</f>
        <v>151</v>
      </c>
      <c r="C24" s="3">
        <f>SUMIFS('Trended Forecast Pipeline'!$E:$E,'Trended Forecast Pipeline'!$D:$D,'Forecast Summary'!$A24,'Trended Forecast Pipeline'!$C:$C,'Forecast Summary'!C$18)</f>
        <v>151</v>
      </c>
      <c r="D24" s="3">
        <f>SUMIFS('Trended Forecast Pipeline'!$E:$E,'Trended Forecast Pipeline'!$D:$D,'Forecast Summary'!$A24,'Trended Forecast Pipeline'!$C:$C,'Forecast Summary'!D$18)</f>
        <v>160</v>
      </c>
      <c r="E24" s="3">
        <f>SUMIFS('Trended Forecast Pipeline'!$E:$E,'Trended Forecast Pipeline'!$D:$D,'Forecast Summary'!$A24,'Trended Forecast Pipeline'!$C:$C,'Forecast Summary'!E$18)</f>
        <v>153</v>
      </c>
      <c r="F24" s="3">
        <f>SUMIFS('Trended Forecast Pipeline'!$E:$E,'Trended Forecast Pipeline'!$D:$D,'Forecast Summary'!$A24,'Trended Forecast Pipeline'!$C:$C,'Forecast Summary'!F$18)</f>
        <v>160</v>
      </c>
      <c r="G24" s="3">
        <f>SUMIFS('Trended Forecast Pipeline'!$E:$E,'Trended Forecast Pipeline'!$D:$D,'Forecast Summary'!$A24,'Trended Forecast Pipeline'!$C:$C,'Forecast Summary'!G$18)</f>
        <v>25</v>
      </c>
      <c r="H24" s="3">
        <f>SUMIFS('Trended Forecast Pipeline'!$E:$E,'Trended Forecast Pipeline'!$D:$D,'Forecast Summary'!$A24,'Trended Forecast Pipeline'!$C:$C,'Forecast Summary'!H$18)</f>
        <v>37</v>
      </c>
      <c r="I24" s="3">
        <f>SUMIFS('Trended Forecast Pipeline'!$E:$E,'Trended Forecast Pipeline'!$D:$D,'Forecast Summary'!$A24,'Trended Forecast Pipeline'!$C:$C,'Forecast Summary'!I$18)</f>
        <v>35</v>
      </c>
      <c r="J24" s="3">
        <f>SUMIFS('Trended Forecast Pipeline'!$E:$E,'Trended Forecast Pipeline'!$D:$D,'Forecast Summary'!$A24,'Trended Forecast Pipeline'!$C:$C,'Forecast Summary'!J$18)</f>
        <v>39</v>
      </c>
      <c r="K24" s="3">
        <f>SUMIFS('Trended Forecast Pipeline'!$E:$E,'Trended Forecast Pipeline'!$D:$D,'Forecast Summary'!$A24,'Trended Forecast Pipeline'!$C:$C,'Forecast Summary'!K$18)</f>
        <v>50</v>
      </c>
      <c r="L24" s="3">
        <f>SUMIFS('Trended Forecast Pipeline'!$E:$E,'Trended Forecast Pipeline'!$D:$D,'Forecast Summary'!$A24,'Trended Forecast Pipeline'!$C:$C,'Forecast Summary'!L$18)</f>
        <v>50</v>
      </c>
      <c r="M24" s="3">
        <f>SUMIFS('Trended Forecast Pipeline'!$E:$E,'Trended Forecast Pipeline'!$D:$D,'Forecast Summary'!$A24,'Trended Forecast Pipeline'!$C:$C,'Forecast Summary'!M$18)</f>
        <v>64</v>
      </c>
      <c r="O24" s="3">
        <f t="shared" si="15"/>
        <v>462</v>
      </c>
      <c r="P24" s="3">
        <f t="shared" si="14"/>
        <v>338</v>
      </c>
      <c r="Q24" s="3">
        <f t="shared" si="14"/>
        <v>111</v>
      </c>
      <c r="R24" s="3">
        <f t="shared" si="14"/>
        <v>164</v>
      </c>
      <c r="T24" s="3">
        <f t="shared" si="16"/>
        <v>1075</v>
      </c>
    </row>
    <row r="25" spans="1:20" s="3" customFormat="1" x14ac:dyDescent="0.35">
      <c r="A25" s="3" t="s">
        <v>32</v>
      </c>
      <c r="B25" s="3">
        <f>SUMIFS('Trended Forecast Pipeline'!$E:$E,'Trended Forecast Pipeline'!$D:$D,'Forecast Summary'!$A25,'Trended Forecast Pipeline'!$C:$C,'Forecast Summary'!B$18)</f>
        <v>76</v>
      </c>
      <c r="C25" s="3">
        <f>SUMIFS('Trended Forecast Pipeline'!$E:$E,'Trended Forecast Pipeline'!$D:$D,'Forecast Summary'!$A25,'Trended Forecast Pipeline'!$C:$C,'Forecast Summary'!C$18)</f>
        <v>83</v>
      </c>
      <c r="D25" s="3">
        <f>SUMIFS('Trended Forecast Pipeline'!$E:$E,'Trended Forecast Pipeline'!$D:$D,'Forecast Summary'!$A25,'Trended Forecast Pipeline'!$C:$C,'Forecast Summary'!D$18)</f>
        <v>81</v>
      </c>
      <c r="E25" s="3">
        <f>SUMIFS('Trended Forecast Pipeline'!$E:$E,'Trended Forecast Pipeline'!$D:$D,'Forecast Summary'!$A25,'Trended Forecast Pipeline'!$C:$C,'Forecast Summary'!E$18)</f>
        <v>90</v>
      </c>
      <c r="F25" s="3">
        <f>SUMIFS('Trended Forecast Pipeline'!$E:$E,'Trended Forecast Pipeline'!$D:$D,'Forecast Summary'!$A25,'Trended Forecast Pipeline'!$C:$C,'Forecast Summary'!F$18)</f>
        <v>87</v>
      </c>
      <c r="G25" s="3">
        <f>SUMIFS('Trended Forecast Pipeline'!$E:$E,'Trended Forecast Pipeline'!$D:$D,'Forecast Summary'!$A25,'Trended Forecast Pipeline'!$C:$C,'Forecast Summary'!G$18)</f>
        <v>8</v>
      </c>
      <c r="H25" s="3">
        <f>SUMIFS('Trended Forecast Pipeline'!$E:$E,'Trended Forecast Pipeline'!$D:$D,'Forecast Summary'!$A25,'Trended Forecast Pipeline'!$C:$C,'Forecast Summary'!H$18)</f>
        <v>7</v>
      </c>
      <c r="I25" s="3">
        <f>SUMIFS('Trended Forecast Pipeline'!$E:$E,'Trended Forecast Pipeline'!$D:$D,'Forecast Summary'!$A25,'Trended Forecast Pipeline'!$C:$C,'Forecast Summary'!I$18)</f>
        <v>7</v>
      </c>
      <c r="J25" s="3">
        <f>SUMIFS('Trended Forecast Pipeline'!$E:$E,'Trended Forecast Pipeline'!$D:$D,'Forecast Summary'!$A25,'Trended Forecast Pipeline'!$C:$C,'Forecast Summary'!J$18)</f>
        <v>8</v>
      </c>
      <c r="K25" s="3">
        <f>SUMIFS('Trended Forecast Pipeline'!$E:$E,'Trended Forecast Pipeline'!$D:$D,'Forecast Summary'!$A25,'Trended Forecast Pipeline'!$C:$C,'Forecast Summary'!K$18)</f>
        <v>13</v>
      </c>
      <c r="L25" s="3">
        <f>SUMIFS('Trended Forecast Pipeline'!$E:$E,'Trended Forecast Pipeline'!$D:$D,'Forecast Summary'!$A25,'Trended Forecast Pipeline'!$C:$C,'Forecast Summary'!L$18)</f>
        <v>11</v>
      </c>
      <c r="M25" s="3">
        <f>SUMIFS('Trended Forecast Pipeline'!$E:$E,'Trended Forecast Pipeline'!$D:$D,'Forecast Summary'!$A25,'Trended Forecast Pipeline'!$C:$C,'Forecast Summary'!M$18)</f>
        <v>16</v>
      </c>
      <c r="O25" s="3">
        <f t="shared" si="15"/>
        <v>240</v>
      </c>
      <c r="P25" s="3">
        <f t="shared" si="14"/>
        <v>185</v>
      </c>
      <c r="Q25" s="3">
        <f t="shared" si="14"/>
        <v>22</v>
      </c>
      <c r="R25" s="3">
        <f t="shared" si="14"/>
        <v>40</v>
      </c>
      <c r="T25" s="3">
        <f t="shared" si="16"/>
        <v>487</v>
      </c>
    </row>
    <row r="26" spans="1:20" s="3" customFormat="1" x14ac:dyDescent="0.35">
      <c r="A26" s="3" t="s">
        <v>33</v>
      </c>
      <c r="B26" s="3">
        <f>SUMIFS('Trended Forecast Pipeline'!$E:$E,'Trended Forecast Pipeline'!$D:$D,'Forecast Summary'!$A26,'Trended Forecast Pipeline'!$C:$C,'Forecast Summary'!B$18)</f>
        <v>175</v>
      </c>
      <c r="C26" s="3">
        <f>SUMIFS('Trended Forecast Pipeline'!$E:$E,'Trended Forecast Pipeline'!$D:$D,'Forecast Summary'!$A26,'Trended Forecast Pipeline'!$C:$C,'Forecast Summary'!C$18)</f>
        <v>175</v>
      </c>
      <c r="D26" s="3">
        <f>SUMIFS('Trended Forecast Pipeline'!$E:$E,'Trended Forecast Pipeline'!$D:$D,'Forecast Summary'!$A26,'Trended Forecast Pipeline'!$C:$C,'Forecast Summary'!D$18)</f>
        <v>197</v>
      </c>
      <c r="E26" s="3">
        <f>SUMIFS('Trended Forecast Pipeline'!$E:$E,'Trended Forecast Pipeline'!$D:$D,'Forecast Summary'!$A26,'Trended Forecast Pipeline'!$C:$C,'Forecast Summary'!E$18)</f>
        <v>183</v>
      </c>
      <c r="F26" s="3">
        <f>SUMIFS('Trended Forecast Pipeline'!$E:$E,'Trended Forecast Pipeline'!$D:$D,'Forecast Summary'!$A26,'Trended Forecast Pipeline'!$C:$C,'Forecast Summary'!F$18)</f>
        <v>197</v>
      </c>
      <c r="G26" s="3">
        <f>SUMIFS('Trended Forecast Pipeline'!$E:$E,'Trended Forecast Pipeline'!$D:$D,'Forecast Summary'!$A26,'Trended Forecast Pipeline'!$C:$C,'Forecast Summary'!G$18)</f>
        <v>30</v>
      </c>
      <c r="H26" s="3">
        <f>SUMIFS('Trended Forecast Pipeline'!$E:$E,'Trended Forecast Pipeline'!$D:$D,'Forecast Summary'!$A26,'Trended Forecast Pipeline'!$C:$C,'Forecast Summary'!H$18)</f>
        <v>29</v>
      </c>
      <c r="I26" s="3">
        <f>SUMIFS('Trended Forecast Pipeline'!$E:$E,'Trended Forecast Pipeline'!$D:$D,'Forecast Summary'!$A26,'Trended Forecast Pipeline'!$C:$C,'Forecast Summary'!I$18)</f>
        <v>29</v>
      </c>
      <c r="J26" s="3">
        <f>SUMIFS('Trended Forecast Pipeline'!$E:$E,'Trended Forecast Pipeline'!$D:$D,'Forecast Summary'!$A26,'Trended Forecast Pipeline'!$C:$C,'Forecast Summary'!J$18)</f>
        <v>41</v>
      </c>
      <c r="K26" s="3">
        <f>SUMIFS('Trended Forecast Pipeline'!$E:$E,'Trended Forecast Pipeline'!$D:$D,'Forecast Summary'!$A26,'Trended Forecast Pipeline'!$C:$C,'Forecast Summary'!K$18)</f>
        <v>53</v>
      </c>
      <c r="L26" s="3">
        <f>SUMIFS('Trended Forecast Pipeline'!$E:$E,'Trended Forecast Pipeline'!$D:$D,'Forecast Summary'!$A26,'Trended Forecast Pipeline'!$C:$C,'Forecast Summary'!L$18)</f>
        <v>57</v>
      </c>
      <c r="M26" s="3">
        <f>SUMIFS('Trended Forecast Pipeline'!$E:$E,'Trended Forecast Pipeline'!$D:$D,'Forecast Summary'!$A26,'Trended Forecast Pipeline'!$C:$C,'Forecast Summary'!M$18)</f>
        <v>51</v>
      </c>
      <c r="O26" s="3">
        <f t="shared" si="15"/>
        <v>547</v>
      </c>
      <c r="P26" s="3">
        <f t="shared" si="14"/>
        <v>410</v>
      </c>
      <c r="Q26" s="3">
        <f t="shared" si="14"/>
        <v>99</v>
      </c>
      <c r="R26" s="3">
        <f t="shared" si="14"/>
        <v>161</v>
      </c>
      <c r="T26" s="3">
        <f t="shared" si="16"/>
        <v>1217</v>
      </c>
    </row>
    <row r="27" spans="1:20" s="3" customFormat="1" x14ac:dyDescent="0.35">
      <c r="A27" s="3" t="s">
        <v>34</v>
      </c>
      <c r="B27" s="3">
        <f>SUMIFS('Trended Forecast Pipeline'!$E:$E,'Trended Forecast Pipeline'!$D:$D,'Forecast Summary'!$A27,'Trended Forecast Pipeline'!$C:$C,'Forecast Summary'!B$18)</f>
        <v>525</v>
      </c>
      <c r="C27" s="3">
        <f>SUMIFS('Trended Forecast Pipeline'!$E:$E,'Trended Forecast Pipeline'!$D:$D,'Forecast Summary'!$A27,'Trended Forecast Pipeline'!$C:$C,'Forecast Summary'!C$18)</f>
        <v>612</v>
      </c>
      <c r="D27" s="3">
        <f>SUMIFS('Trended Forecast Pipeline'!$E:$E,'Trended Forecast Pipeline'!$D:$D,'Forecast Summary'!$A27,'Trended Forecast Pipeline'!$C:$C,'Forecast Summary'!D$18)</f>
        <v>600</v>
      </c>
      <c r="E27" s="3">
        <f>SUMIFS('Trended Forecast Pipeline'!$E:$E,'Trended Forecast Pipeline'!$D:$D,'Forecast Summary'!$A27,'Trended Forecast Pipeline'!$C:$C,'Forecast Summary'!E$18)</f>
        <v>620</v>
      </c>
      <c r="F27" s="3">
        <f>SUMIFS('Trended Forecast Pipeline'!$E:$E,'Trended Forecast Pipeline'!$D:$D,'Forecast Summary'!$A27,'Trended Forecast Pipeline'!$C:$C,'Forecast Summary'!F$18)</f>
        <v>637</v>
      </c>
      <c r="G27" s="3">
        <f>SUMIFS('Trended Forecast Pipeline'!$E:$E,'Trended Forecast Pipeline'!$D:$D,'Forecast Summary'!$A27,'Trended Forecast Pipeline'!$C:$C,'Forecast Summary'!G$18)</f>
        <v>184</v>
      </c>
      <c r="H27" s="3">
        <f>SUMIFS('Trended Forecast Pipeline'!$E:$E,'Trended Forecast Pipeline'!$D:$D,'Forecast Summary'!$A27,'Trended Forecast Pipeline'!$C:$C,'Forecast Summary'!H$18)</f>
        <v>176</v>
      </c>
      <c r="I27" s="3">
        <f>SUMIFS('Trended Forecast Pipeline'!$E:$E,'Trended Forecast Pipeline'!$D:$D,'Forecast Summary'!$A27,'Trended Forecast Pipeline'!$C:$C,'Forecast Summary'!I$18)</f>
        <v>177</v>
      </c>
      <c r="J27" s="3">
        <f>SUMIFS('Trended Forecast Pipeline'!$E:$E,'Trended Forecast Pipeline'!$D:$D,'Forecast Summary'!$A27,'Trended Forecast Pipeline'!$C:$C,'Forecast Summary'!J$18)</f>
        <v>242</v>
      </c>
      <c r="K27" s="3">
        <f>SUMIFS('Trended Forecast Pipeline'!$E:$E,'Trended Forecast Pipeline'!$D:$D,'Forecast Summary'!$A27,'Trended Forecast Pipeline'!$C:$C,'Forecast Summary'!K$18)</f>
        <v>232</v>
      </c>
      <c r="L27" s="3">
        <f>SUMIFS('Trended Forecast Pipeline'!$E:$E,'Trended Forecast Pipeline'!$D:$D,'Forecast Summary'!$A27,'Trended Forecast Pipeline'!$C:$C,'Forecast Summary'!L$18)</f>
        <v>286</v>
      </c>
      <c r="M27" s="3">
        <f>SUMIFS('Trended Forecast Pipeline'!$E:$E,'Trended Forecast Pipeline'!$D:$D,'Forecast Summary'!$A27,'Trended Forecast Pipeline'!$C:$C,'Forecast Summary'!M$18)</f>
        <v>315</v>
      </c>
      <c r="O27" s="3">
        <f t="shared" si="15"/>
        <v>1737</v>
      </c>
      <c r="P27" s="3">
        <f t="shared" si="14"/>
        <v>1441</v>
      </c>
      <c r="Q27" s="3">
        <f t="shared" si="14"/>
        <v>595</v>
      </c>
      <c r="R27" s="3">
        <f t="shared" si="14"/>
        <v>833</v>
      </c>
      <c r="T27" s="3">
        <f t="shared" si="16"/>
        <v>4606</v>
      </c>
    </row>
    <row r="28" spans="1:20" s="3" customFormat="1" x14ac:dyDescent="0.35">
      <c r="A28" s="3" t="s">
        <v>35</v>
      </c>
      <c r="B28" s="3">
        <f>SUMIFS('Trended Forecast Pipeline'!$E:$E,'Trended Forecast Pipeline'!$D:$D,'Forecast Summary'!$A28,'Trended Forecast Pipeline'!$C:$C,'Forecast Summary'!B$18)</f>
        <v>392</v>
      </c>
      <c r="C28" s="3">
        <f>SUMIFS('Trended Forecast Pipeline'!$E:$E,'Trended Forecast Pipeline'!$D:$D,'Forecast Summary'!$A28,'Trended Forecast Pipeline'!$C:$C,'Forecast Summary'!C$18)</f>
        <v>436</v>
      </c>
      <c r="D28" s="3">
        <f>SUMIFS('Trended Forecast Pipeline'!$E:$E,'Trended Forecast Pipeline'!$D:$D,'Forecast Summary'!$A28,'Trended Forecast Pipeline'!$C:$C,'Forecast Summary'!D$18)</f>
        <v>421</v>
      </c>
      <c r="E28" s="3">
        <f>SUMIFS('Trended Forecast Pipeline'!$E:$E,'Trended Forecast Pipeline'!$D:$D,'Forecast Summary'!$A28,'Trended Forecast Pipeline'!$C:$C,'Forecast Summary'!E$18)</f>
        <v>436</v>
      </c>
      <c r="F28" s="3">
        <f>SUMIFS('Trended Forecast Pipeline'!$E:$E,'Trended Forecast Pipeline'!$D:$D,'Forecast Summary'!$A28,'Trended Forecast Pipeline'!$C:$C,'Forecast Summary'!F$18)</f>
        <v>444</v>
      </c>
      <c r="G28" s="3">
        <f>SUMIFS('Trended Forecast Pipeline'!$E:$E,'Trended Forecast Pipeline'!$D:$D,'Forecast Summary'!$A28,'Trended Forecast Pipeline'!$C:$C,'Forecast Summary'!G$18)</f>
        <v>55</v>
      </c>
      <c r="H28" s="3">
        <f>SUMIFS('Trended Forecast Pipeline'!$E:$E,'Trended Forecast Pipeline'!$D:$D,'Forecast Summary'!$A28,'Trended Forecast Pipeline'!$C:$C,'Forecast Summary'!H$18)</f>
        <v>67</v>
      </c>
      <c r="I28" s="3">
        <f>SUMIFS('Trended Forecast Pipeline'!$E:$E,'Trended Forecast Pipeline'!$D:$D,'Forecast Summary'!$A28,'Trended Forecast Pipeline'!$C:$C,'Forecast Summary'!I$18)</f>
        <v>59</v>
      </c>
      <c r="J28" s="3">
        <f>SUMIFS('Trended Forecast Pipeline'!$E:$E,'Trended Forecast Pipeline'!$D:$D,'Forecast Summary'!$A28,'Trended Forecast Pipeline'!$C:$C,'Forecast Summary'!J$18)</f>
        <v>65</v>
      </c>
      <c r="K28" s="3">
        <f>SUMIFS('Trended Forecast Pipeline'!$E:$E,'Trended Forecast Pipeline'!$D:$D,'Forecast Summary'!$A28,'Trended Forecast Pipeline'!$C:$C,'Forecast Summary'!K$18)</f>
        <v>68</v>
      </c>
      <c r="L28" s="3">
        <f>SUMIFS('Trended Forecast Pipeline'!$E:$E,'Trended Forecast Pipeline'!$D:$D,'Forecast Summary'!$A28,'Trended Forecast Pipeline'!$C:$C,'Forecast Summary'!L$18)</f>
        <v>89</v>
      </c>
      <c r="M28" s="3">
        <f>SUMIFS('Trended Forecast Pipeline'!$E:$E,'Trended Forecast Pipeline'!$D:$D,'Forecast Summary'!$A28,'Trended Forecast Pipeline'!$C:$C,'Forecast Summary'!M$18)</f>
        <v>95</v>
      </c>
      <c r="O28" s="3">
        <f t="shared" si="15"/>
        <v>1249</v>
      </c>
      <c r="P28" s="3">
        <f t="shared" si="14"/>
        <v>935</v>
      </c>
      <c r="Q28" s="3">
        <f t="shared" si="14"/>
        <v>191</v>
      </c>
      <c r="R28" s="3">
        <f t="shared" si="14"/>
        <v>252</v>
      </c>
      <c r="T28" s="3">
        <f t="shared" si="16"/>
        <v>2627</v>
      </c>
    </row>
    <row r="29" spans="1:20" s="3" customFormat="1" x14ac:dyDescent="0.35">
      <c r="A29" s="3" t="s">
        <v>36</v>
      </c>
      <c r="B29" s="3">
        <f>SUMIFS('Trended Forecast Pipeline'!$E:$E,'Trended Forecast Pipeline'!$D:$D,'Forecast Summary'!$A29,'Trended Forecast Pipeline'!$C:$C,'Forecast Summary'!B$18)</f>
        <v>56</v>
      </c>
      <c r="C29" s="3">
        <f>SUMIFS('Trended Forecast Pipeline'!$E:$E,'Trended Forecast Pipeline'!$D:$D,'Forecast Summary'!$A29,'Trended Forecast Pipeline'!$C:$C,'Forecast Summary'!C$18)</f>
        <v>58</v>
      </c>
      <c r="D29" s="3">
        <f>SUMIFS('Trended Forecast Pipeline'!$E:$E,'Trended Forecast Pipeline'!$D:$D,'Forecast Summary'!$A29,'Trended Forecast Pipeline'!$C:$C,'Forecast Summary'!D$18)</f>
        <v>61</v>
      </c>
      <c r="E29" s="3">
        <f>SUMIFS('Trended Forecast Pipeline'!$E:$E,'Trended Forecast Pipeline'!$D:$D,'Forecast Summary'!$A29,'Trended Forecast Pipeline'!$C:$C,'Forecast Summary'!E$18)</f>
        <v>60</v>
      </c>
      <c r="F29" s="3">
        <f>SUMIFS('Trended Forecast Pipeline'!$E:$E,'Trended Forecast Pipeline'!$D:$D,'Forecast Summary'!$A29,'Trended Forecast Pipeline'!$C:$C,'Forecast Summary'!F$18)</f>
        <v>68</v>
      </c>
      <c r="G29" s="3">
        <f>SUMIFS('Trended Forecast Pipeline'!$E:$E,'Trended Forecast Pipeline'!$D:$D,'Forecast Summary'!$A29,'Trended Forecast Pipeline'!$C:$C,'Forecast Summary'!G$18)</f>
        <v>1</v>
      </c>
      <c r="H29" s="3">
        <f>SUMIFS('Trended Forecast Pipeline'!$E:$E,'Trended Forecast Pipeline'!$D:$D,'Forecast Summary'!$A29,'Trended Forecast Pipeline'!$C:$C,'Forecast Summary'!H$18)</f>
        <v>1</v>
      </c>
      <c r="I29" s="3">
        <f>SUMIFS('Trended Forecast Pipeline'!$E:$E,'Trended Forecast Pipeline'!$D:$D,'Forecast Summary'!$A29,'Trended Forecast Pipeline'!$C:$C,'Forecast Summary'!I$18)</f>
        <v>1</v>
      </c>
      <c r="J29" s="3">
        <f>SUMIFS('Trended Forecast Pipeline'!$E:$E,'Trended Forecast Pipeline'!$D:$D,'Forecast Summary'!$A29,'Trended Forecast Pipeline'!$C:$C,'Forecast Summary'!J$18)</f>
        <v>1</v>
      </c>
      <c r="K29" s="3">
        <f>SUMIFS('Trended Forecast Pipeline'!$E:$E,'Trended Forecast Pipeline'!$D:$D,'Forecast Summary'!$A29,'Trended Forecast Pipeline'!$C:$C,'Forecast Summary'!K$18)</f>
        <v>1</v>
      </c>
      <c r="L29" s="3">
        <f>SUMIFS('Trended Forecast Pipeline'!$E:$E,'Trended Forecast Pipeline'!$D:$D,'Forecast Summary'!$A29,'Trended Forecast Pipeline'!$C:$C,'Forecast Summary'!L$18)</f>
        <v>1</v>
      </c>
      <c r="M29" s="3">
        <f>SUMIFS('Trended Forecast Pipeline'!$E:$E,'Trended Forecast Pipeline'!$D:$D,'Forecast Summary'!$A29,'Trended Forecast Pipeline'!$C:$C,'Forecast Summary'!M$18)</f>
        <v>1</v>
      </c>
      <c r="O29" s="3">
        <f t="shared" si="15"/>
        <v>175</v>
      </c>
      <c r="P29" s="3">
        <f t="shared" si="14"/>
        <v>129</v>
      </c>
      <c r="Q29" s="3">
        <f t="shared" si="14"/>
        <v>3</v>
      </c>
      <c r="R29" s="3">
        <f t="shared" si="14"/>
        <v>3</v>
      </c>
      <c r="T29" s="3">
        <f t="shared" si="16"/>
        <v>310</v>
      </c>
    </row>
    <row r="30" spans="1:20" s="3" customFormat="1" x14ac:dyDescent="0.35">
      <c r="A30" s="3" t="s">
        <v>63</v>
      </c>
      <c r="B30" s="3">
        <f>SUM(B19:B29)</f>
        <v>3680</v>
      </c>
      <c r="C30" s="3">
        <f t="shared" ref="C30" si="17">SUM(C19:C29)</f>
        <v>3952</v>
      </c>
      <c r="D30" s="3">
        <f t="shared" ref="D30" si="18">SUM(D19:D29)</f>
        <v>4187</v>
      </c>
      <c r="E30" s="3">
        <f t="shared" ref="E30" si="19">SUM(E19:E29)</f>
        <v>4239</v>
      </c>
      <c r="F30" s="3">
        <f t="shared" ref="F30" si="20">SUM(F19:F29)</f>
        <v>4469</v>
      </c>
      <c r="G30" s="3">
        <f t="shared" ref="G30" si="21">SUM(G19:G29)</f>
        <v>867</v>
      </c>
      <c r="H30" s="3">
        <f t="shared" ref="H30" si="22">SUM(H19:H29)</f>
        <v>928</v>
      </c>
      <c r="I30" s="3">
        <f t="shared" ref="I30" si="23">SUM(I19:I29)</f>
        <v>965</v>
      </c>
      <c r="J30" s="3">
        <f t="shared" ref="J30" si="24">SUM(J19:J29)</f>
        <v>1170</v>
      </c>
      <c r="K30" s="3">
        <f t="shared" ref="K30" si="25">SUM(K19:K29)</f>
        <v>1274</v>
      </c>
      <c r="L30" s="3">
        <f t="shared" ref="L30" si="26">SUM(L19:L29)</f>
        <v>1402</v>
      </c>
      <c r="M30" s="3">
        <f t="shared" ref="M30" si="27">SUM(M19:M29)</f>
        <v>1598</v>
      </c>
      <c r="O30" s="3">
        <f t="shared" si="15"/>
        <v>11819</v>
      </c>
      <c r="P30" s="3">
        <f t="shared" si="14"/>
        <v>9575</v>
      </c>
      <c r="Q30" s="3">
        <f t="shared" si="14"/>
        <v>3063</v>
      </c>
      <c r="R30" s="3">
        <f t="shared" si="14"/>
        <v>4274</v>
      </c>
      <c r="T30" s="3">
        <f t="shared" si="16"/>
        <v>28731</v>
      </c>
    </row>
    <row r="32" spans="1:20" s="7" customFormat="1" x14ac:dyDescent="0.35">
      <c r="A32" s="7" t="s">
        <v>54</v>
      </c>
      <c r="B32" s="10" t="s">
        <v>55</v>
      </c>
      <c r="C32" s="10" t="s">
        <v>55</v>
      </c>
      <c r="D32" s="10" t="s">
        <v>55</v>
      </c>
      <c r="E32" s="10" t="s">
        <v>56</v>
      </c>
      <c r="F32" s="10" t="s">
        <v>56</v>
      </c>
      <c r="G32" s="10" t="s">
        <v>56</v>
      </c>
      <c r="H32" s="10" t="s">
        <v>57</v>
      </c>
      <c r="I32" s="10" t="s">
        <v>57</v>
      </c>
      <c r="J32" s="10" t="s">
        <v>57</v>
      </c>
      <c r="K32" s="10" t="s">
        <v>58</v>
      </c>
      <c r="L32" s="10" t="s">
        <v>58</v>
      </c>
      <c r="M32" s="10" t="s">
        <v>58</v>
      </c>
    </row>
    <row r="33" spans="1:20" s="7" customFormat="1" x14ac:dyDescent="0.35">
      <c r="A33" s="7" t="s">
        <v>3</v>
      </c>
      <c r="B33" s="10" t="s">
        <v>24</v>
      </c>
      <c r="C33" s="10" t="s">
        <v>37</v>
      </c>
      <c r="D33" s="10" t="s">
        <v>38</v>
      </c>
      <c r="E33" s="10" t="s">
        <v>39</v>
      </c>
      <c r="F33" s="10" t="s">
        <v>40</v>
      </c>
      <c r="G33" s="10" t="s">
        <v>43</v>
      </c>
      <c r="H33" s="10" t="s">
        <v>45</v>
      </c>
      <c r="I33" s="10" t="s">
        <v>46</v>
      </c>
      <c r="J33" s="10" t="s">
        <v>47</v>
      </c>
      <c r="K33" s="10" t="s">
        <v>48</v>
      </c>
      <c r="L33" s="10" t="s">
        <v>49</v>
      </c>
      <c r="M33" s="10" t="s">
        <v>50</v>
      </c>
      <c r="O33" s="10" t="s">
        <v>55</v>
      </c>
      <c r="P33" s="10" t="s">
        <v>56</v>
      </c>
      <c r="Q33" s="10" t="s">
        <v>57</v>
      </c>
      <c r="R33" s="10" t="s">
        <v>58</v>
      </c>
      <c r="T33" s="10" t="s">
        <v>64</v>
      </c>
    </row>
    <row r="34" spans="1:20" s="3" customFormat="1" x14ac:dyDescent="0.35">
      <c r="A34" s="3" t="s">
        <v>25</v>
      </c>
      <c r="B34" s="3">
        <f>SUMIFS('Trended Forecast Pipeline'!$F:$F,'Trended Forecast Pipeline'!$D:$D,'Forecast Summary'!$A34,'Trended Forecast Pipeline'!$C:$C,'Forecast Summary'!B$18)</f>
        <v>204</v>
      </c>
      <c r="C34" s="3">
        <f>SUMIFS('Trended Forecast Pipeline'!$F:$F,'Trended Forecast Pipeline'!$D:$D,'Forecast Summary'!$A34,'Trended Forecast Pipeline'!$C:$C,'Forecast Summary'!C$18)</f>
        <v>211</v>
      </c>
      <c r="D34" s="3">
        <f>SUMIFS('Trended Forecast Pipeline'!$F:$F,'Trended Forecast Pipeline'!$D:$D,'Forecast Summary'!$A34,'Trended Forecast Pipeline'!$C:$C,'Forecast Summary'!D$18)</f>
        <v>223</v>
      </c>
      <c r="E34" s="3">
        <f>SUMIFS('Trended Forecast Pipeline'!$F:$F,'Trended Forecast Pipeline'!$D:$D,'Forecast Summary'!$A34,'Trended Forecast Pipeline'!$C:$C,'Forecast Summary'!E$18)</f>
        <v>212</v>
      </c>
      <c r="F34" s="3">
        <f>SUMIFS('Trended Forecast Pipeline'!$F:$F,'Trended Forecast Pipeline'!$D:$D,'Forecast Summary'!$A34,'Trended Forecast Pipeline'!$C:$C,'Forecast Summary'!F$18)</f>
        <v>241</v>
      </c>
      <c r="G34" s="3">
        <f>SUMIFS('Trended Forecast Pipeline'!$F:$F,'Trended Forecast Pipeline'!$D:$D,'Forecast Summary'!$A34,'Trended Forecast Pipeline'!$C:$C,'Forecast Summary'!G$18)</f>
        <v>57</v>
      </c>
      <c r="H34" s="3">
        <f>SUMIFS('Trended Forecast Pipeline'!$F:$F,'Trended Forecast Pipeline'!$D:$D,'Forecast Summary'!$A34,'Trended Forecast Pipeline'!$C:$C,'Forecast Summary'!H$18)</f>
        <v>60</v>
      </c>
      <c r="I34" s="3">
        <f>SUMIFS('Trended Forecast Pipeline'!$F:$F,'Trended Forecast Pipeline'!$D:$D,'Forecast Summary'!$A34,'Trended Forecast Pipeline'!$C:$C,'Forecast Summary'!I$18)</f>
        <v>66</v>
      </c>
      <c r="J34" s="3">
        <f>SUMIFS('Trended Forecast Pipeline'!$F:$F,'Trended Forecast Pipeline'!$D:$D,'Forecast Summary'!$A34,'Trended Forecast Pipeline'!$C:$C,'Forecast Summary'!J$18)</f>
        <v>75</v>
      </c>
      <c r="K34" s="3">
        <f>SUMIFS('Trended Forecast Pipeline'!$F:$F,'Trended Forecast Pipeline'!$D:$D,'Forecast Summary'!$A34,'Trended Forecast Pipeline'!$C:$C,'Forecast Summary'!K$18)</f>
        <v>89</v>
      </c>
      <c r="L34" s="3">
        <f>SUMIFS('Trended Forecast Pipeline'!$F:$F,'Trended Forecast Pipeline'!$D:$D,'Forecast Summary'!$A34,'Trended Forecast Pipeline'!$C:$C,'Forecast Summary'!L$18)</f>
        <v>85</v>
      </c>
      <c r="M34" s="3">
        <f>SUMIFS('Trended Forecast Pipeline'!$F:$F,'Trended Forecast Pipeline'!$D:$D,'Forecast Summary'!$A34,'Trended Forecast Pipeline'!$C:$C,'Forecast Summary'!M$18)</f>
        <v>106</v>
      </c>
      <c r="O34" s="3">
        <f>SUMIFS($B34:$M34,$B$2:$M$2,O$3)</f>
        <v>638</v>
      </c>
      <c r="P34" s="3">
        <f t="shared" ref="P34:R45" si="28">SUMIFS($B34:$M34,$B$2:$M$2,P$3)</f>
        <v>510</v>
      </c>
      <c r="Q34" s="3">
        <f t="shared" si="28"/>
        <v>201</v>
      </c>
      <c r="R34" s="3">
        <f t="shared" si="28"/>
        <v>280</v>
      </c>
      <c r="T34" s="3">
        <f>SUM(O34:R34)</f>
        <v>1629</v>
      </c>
    </row>
    <row r="35" spans="1:20" s="3" customFormat="1" x14ac:dyDescent="0.35">
      <c r="A35" s="3" t="s">
        <v>27</v>
      </c>
      <c r="B35" s="3">
        <f>SUMIFS('Trended Forecast Pipeline'!$F:$F,'Trended Forecast Pipeline'!$D:$D,'Forecast Summary'!$A35,'Trended Forecast Pipeline'!$C:$C,'Forecast Summary'!B$18)</f>
        <v>202</v>
      </c>
      <c r="C35" s="3">
        <f>SUMIFS('Trended Forecast Pipeline'!$F:$F,'Trended Forecast Pipeline'!$D:$D,'Forecast Summary'!$A35,'Trended Forecast Pipeline'!$C:$C,'Forecast Summary'!C$18)</f>
        <v>216</v>
      </c>
      <c r="D35" s="3">
        <f>SUMIFS('Trended Forecast Pipeline'!$F:$F,'Trended Forecast Pipeline'!$D:$D,'Forecast Summary'!$A35,'Trended Forecast Pipeline'!$C:$C,'Forecast Summary'!D$18)</f>
        <v>234</v>
      </c>
      <c r="E35" s="3">
        <f>SUMIFS('Trended Forecast Pipeline'!$F:$F,'Trended Forecast Pipeline'!$D:$D,'Forecast Summary'!$A35,'Trended Forecast Pipeline'!$C:$C,'Forecast Summary'!E$18)</f>
        <v>241</v>
      </c>
      <c r="F35" s="3">
        <f>SUMIFS('Trended Forecast Pipeline'!$F:$F,'Trended Forecast Pipeline'!$D:$D,'Forecast Summary'!$A35,'Trended Forecast Pipeline'!$C:$C,'Forecast Summary'!F$18)</f>
        <v>259</v>
      </c>
      <c r="G35" s="3">
        <f>SUMIFS('Trended Forecast Pipeline'!$F:$F,'Trended Forecast Pipeline'!$D:$D,'Forecast Summary'!$A35,'Trended Forecast Pipeline'!$C:$C,'Forecast Summary'!G$18)</f>
        <v>54</v>
      </c>
      <c r="H35" s="3">
        <f>SUMIFS('Trended Forecast Pipeline'!$F:$F,'Trended Forecast Pipeline'!$D:$D,'Forecast Summary'!$A35,'Trended Forecast Pipeline'!$C:$C,'Forecast Summary'!H$18)</f>
        <v>61</v>
      </c>
      <c r="I35" s="3">
        <f>SUMIFS('Trended Forecast Pipeline'!$F:$F,'Trended Forecast Pipeline'!$D:$D,'Forecast Summary'!$A35,'Trended Forecast Pipeline'!$C:$C,'Forecast Summary'!I$18)</f>
        <v>60</v>
      </c>
      <c r="J35" s="3">
        <f>SUMIFS('Trended Forecast Pipeline'!$F:$F,'Trended Forecast Pipeline'!$D:$D,'Forecast Summary'!$A35,'Trended Forecast Pipeline'!$C:$C,'Forecast Summary'!J$18)</f>
        <v>76</v>
      </c>
      <c r="K35" s="3">
        <f>SUMIFS('Trended Forecast Pipeline'!$F:$F,'Trended Forecast Pipeline'!$D:$D,'Forecast Summary'!$A35,'Trended Forecast Pipeline'!$C:$C,'Forecast Summary'!K$18)</f>
        <v>79</v>
      </c>
      <c r="L35" s="3">
        <f>SUMIFS('Trended Forecast Pipeline'!$F:$F,'Trended Forecast Pipeline'!$D:$D,'Forecast Summary'!$A35,'Trended Forecast Pipeline'!$C:$C,'Forecast Summary'!L$18)</f>
        <v>84</v>
      </c>
      <c r="M35" s="3">
        <f>SUMIFS('Trended Forecast Pipeline'!$F:$F,'Trended Forecast Pipeline'!$D:$D,'Forecast Summary'!$A35,'Trended Forecast Pipeline'!$C:$C,'Forecast Summary'!M$18)</f>
        <v>104</v>
      </c>
      <c r="O35" s="3">
        <f t="shared" ref="O35:O45" si="29">SUMIFS($B35:$M35,$B$2:$M$2,O$3)</f>
        <v>652</v>
      </c>
      <c r="P35" s="3">
        <f t="shared" si="28"/>
        <v>554</v>
      </c>
      <c r="Q35" s="3">
        <f t="shared" si="28"/>
        <v>197</v>
      </c>
      <c r="R35" s="3">
        <f t="shared" si="28"/>
        <v>267</v>
      </c>
      <c r="T35" s="3">
        <f t="shared" ref="T35:T45" si="30">SUM(O35:R35)</f>
        <v>1670</v>
      </c>
    </row>
    <row r="36" spans="1:20" s="3" customFormat="1" x14ac:dyDescent="0.35">
      <c r="A36" s="3" t="s">
        <v>28</v>
      </c>
      <c r="B36" s="3">
        <f>SUMIFS('Trended Forecast Pipeline'!$F:$F,'Trended Forecast Pipeline'!$D:$D,'Forecast Summary'!$A36,'Trended Forecast Pipeline'!$C:$C,'Forecast Summary'!B$18)</f>
        <v>154</v>
      </c>
      <c r="C36" s="3">
        <f>SUMIFS('Trended Forecast Pipeline'!$F:$F,'Trended Forecast Pipeline'!$D:$D,'Forecast Summary'!$A36,'Trended Forecast Pipeline'!$C:$C,'Forecast Summary'!C$18)</f>
        <v>169</v>
      </c>
      <c r="D36" s="3">
        <f>SUMIFS('Trended Forecast Pipeline'!$F:$F,'Trended Forecast Pipeline'!$D:$D,'Forecast Summary'!$A36,'Trended Forecast Pipeline'!$C:$C,'Forecast Summary'!D$18)</f>
        <v>185</v>
      </c>
      <c r="E36" s="3">
        <f>SUMIFS('Trended Forecast Pipeline'!$F:$F,'Trended Forecast Pipeline'!$D:$D,'Forecast Summary'!$A36,'Trended Forecast Pipeline'!$C:$C,'Forecast Summary'!E$18)</f>
        <v>190</v>
      </c>
      <c r="F36" s="3">
        <f>SUMIFS('Trended Forecast Pipeline'!$F:$F,'Trended Forecast Pipeline'!$D:$D,'Forecast Summary'!$A36,'Trended Forecast Pipeline'!$C:$C,'Forecast Summary'!F$18)</f>
        <v>203</v>
      </c>
      <c r="G36" s="3">
        <f>SUMIFS('Trended Forecast Pipeline'!$F:$F,'Trended Forecast Pipeline'!$D:$D,'Forecast Summary'!$A36,'Trended Forecast Pipeline'!$C:$C,'Forecast Summary'!G$18)</f>
        <v>24</v>
      </c>
      <c r="H36" s="3">
        <f>SUMIFS('Trended Forecast Pipeline'!$F:$F,'Trended Forecast Pipeline'!$D:$D,'Forecast Summary'!$A36,'Trended Forecast Pipeline'!$C:$C,'Forecast Summary'!H$18)</f>
        <v>22</v>
      </c>
      <c r="I36" s="3">
        <f>SUMIFS('Trended Forecast Pipeline'!$F:$F,'Trended Forecast Pipeline'!$D:$D,'Forecast Summary'!$A36,'Trended Forecast Pipeline'!$C:$C,'Forecast Summary'!I$18)</f>
        <v>28</v>
      </c>
      <c r="J36" s="3">
        <f>SUMIFS('Trended Forecast Pipeline'!$F:$F,'Trended Forecast Pipeline'!$D:$D,'Forecast Summary'!$A36,'Trended Forecast Pipeline'!$C:$C,'Forecast Summary'!J$18)</f>
        <v>27</v>
      </c>
      <c r="K36" s="3">
        <f>SUMIFS('Trended Forecast Pipeline'!$F:$F,'Trended Forecast Pipeline'!$D:$D,'Forecast Summary'!$A36,'Trended Forecast Pipeline'!$C:$C,'Forecast Summary'!K$18)</f>
        <v>32</v>
      </c>
      <c r="L36" s="3">
        <f>SUMIFS('Trended Forecast Pipeline'!$F:$F,'Trended Forecast Pipeline'!$D:$D,'Forecast Summary'!$A36,'Trended Forecast Pipeline'!$C:$C,'Forecast Summary'!L$18)</f>
        <v>38</v>
      </c>
      <c r="M36" s="3">
        <f>SUMIFS('Trended Forecast Pipeline'!$F:$F,'Trended Forecast Pipeline'!$D:$D,'Forecast Summary'!$A36,'Trended Forecast Pipeline'!$C:$C,'Forecast Summary'!M$18)</f>
        <v>42</v>
      </c>
      <c r="O36" s="3">
        <f t="shared" si="29"/>
        <v>508</v>
      </c>
      <c r="P36" s="3">
        <f t="shared" si="28"/>
        <v>417</v>
      </c>
      <c r="Q36" s="3">
        <f t="shared" si="28"/>
        <v>77</v>
      </c>
      <c r="R36" s="3">
        <f t="shared" si="28"/>
        <v>112</v>
      </c>
      <c r="T36" s="3">
        <f t="shared" si="30"/>
        <v>1114</v>
      </c>
    </row>
    <row r="37" spans="1:20" s="3" customFormat="1" x14ac:dyDescent="0.35">
      <c r="A37" s="3" t="s">
        <v>29</v>
      </c>
      <c r="B37" s="3">
        <f>SUMIFS('Trended Forecast Pipeline'!$F:$F,'Trended Forecast Pipeline'!$D:$D,'Forecast Summary'!$A37,'Trended Forecast Pipeline'!$C:$C,'Forecast Summary'!B$18)</f>
        <v>84</v>
      </c>
      <c r="C37" s="3">
        <f>SUMIFS('Trended Forecast Pipeline'!$F:$F,'Trended Forecast Pipeline'!$D:$D,'Forecast Summary'!$A37,'Trended Forecast Pipeline'!$C:$C,'Forecast Summary'!C$18)</f>
        <v>91</v>
      </c>
      <c r="D37" s="3">
        <f>SUMIFS('Trended Forecast Pipeline'!$F:$F,'Trended Forecast Pipeline'!$D:$D,'Forecast Summary'!$A37,'Trended Forecast Pipeline'!$C:$C,'Forecast Summary'!D$18)</f>
        <v>102</v>
      </c>
      <c r="E37" s="3">
        <f>SUMIFS('Trended Forecast Pipeline'!$F:$F,'Trended Forecast Pipeline'!$D:$D,'Forecast Summary'!$A37,'Trended Forecast Pipeline'!$C:$C,'Forecast Summary'!E$18)</f>
        <v>103</v>
      </c>
      <c r="F37" s="3">
        <f>SUMIFS('Trended Forecast Pipeline'!$F:$F,'Trended Forecast Pipeline'!$D:$D,'Forecast Summary'!$A37,'Trended Forecast Pipeline'!$C:$C,'Forecast Summary'!F$18)</f>
        <v>106</v>
      </c>
      <c r="G37" s="3">
        <f>SUMIFS('Trended Forecast Pipeline'!$F:$F,'Trended Forecast Pipeline'!$D:$D,'Forecast Summary'!$A37,'Trended Forecast Pipeline'!$C:$C,'Forecast Summary'!G$18)</f>
        <v>16</v>
      </c>
      <c r="H37" s="3">
        <f>SUMIFS('Trended Forecast Pipeline'!$F:$F,'Trended Forecast Pipeline'!$D:$D,'Forecast Summary'!$A37,'Trended Forecast Pipeline'!$C:$C,'Forecast Summary'!H$18)</f>
        <v>19</v>
      </c>
      <c r="I37" s="3">
        <f>SUMIFS('Trended Forecast Pipeline'!$F:$F,'Trended Forecast Pipeline'!$D:$D,'Forecast Summary'!$A37,'Trended Forecast Pipeline'!$C:$C,'Forecast Summary'!I$18)</f>
        <v>20</v>
      </c>
      <c r="J37" s="3">
        <f>SUMIFS('Trended Forecast Pipeline'!$F:$F,'Trended Forecast Pipeline'!$D:$D,'Forecast Summary'!$A37,'Trended Forecast Pipeline'!$C:$C,'Forecast Summary'!J$18)</f>
        <v>28</v>
      </c>
      <c r="K37" s="3">
        <f>SUMIFS('Trended Forecast Pipeline'!$F:$F,'Trended Forecast Pipeline'!$D:$D,'Forecast Summary'!$A37,'Trended Forecast Pipeline'!$C:$C,'Forecast Summary'!K$18)</f>
        <v>29</v>
      </c>
      <c r="L37" s="3">
        <f>SUMIFS('Trended Forecast Pipeline'!$F:$F,'Trended Forecast Pipeline'!$D:$D,'Forecast Summary'!$A37,'Trended Forecast Pipeline'!$C:$C,'Forecast Summary'!L$18)</f>
        <v>33</v>
      </c>
      <c r="M37" s="3">
        <f>SUMIFS('Trended Forecast Pipeline'!$F:$F,'Trended Forecast Pipeline'!$D:$D,'Forecast Summary'!$A37,'Trended Forecast Pipeline'!$C:$C,'Forecast Summary'!M$18)</f>
        <v>29</v>
      </c>
      <c r="O37" s="3">
        <f t="shared" si="29"/>
        <v>277</v>
      </c>
      <c r="P37" s="3">
        <f t="shared" si="28"/>
        <v>225</v>
      </c>
      <c r="Q37" s="3">
        <f t="shared" si="28"/>
        <v>67</v>
      </c>
      <c r="R37" s="3">
        <f t="shared" si="28"/>
        <v>91</v>
      </c>
      <c r="T37" s="3">
        <f t="shared" si="30"/>
        <v>660</v>
      </c>
    </row>
    <row r="38" spans="1:20" s="3" customFormat="1" x14ac:dyDescent="0.35">
      <c r="A38" s="3" t="s">
        <v>30</v>
      </c>
      <c r="B38" s="3">
        <f>SUMIFS('Trended Forecast Pipeline'!$F:$F,'Trended Forecast Pipeline'!$D:$D,'Forecast Summary'!$A38,'Trended Forecast Pipeline'!$C:$C,'Forecast Summary'!B$18)</f>
        <v>111</v>
      </c>
      <c r="C38" s="3">
        <f>SUMIFS('Trended Forecast Pipeline'!$F:$F,'Trended Forecast Pipeline'!$D:$D,'Forecast Summary'!$A38,'Trended Forecast Pipeline'!$C:$C,'Forecast Summary'!C$18)</f>
        <v>113</v>
      </c>
      <c r="D38" s="3">
        <f>SUMIFS('Trended Forecast Pipeline'!$F:$F,'Trended Forecast Pipeline'!$D:$D,'Forecast Summary'!$A38,'Trended Forecast Pipeline'!$C:$C,'Forecast Summary'!D$18)</f>
        <v>132</v>
      </c>
      <c r="E38" s="3">
        <f>SUMIFS('Trended Forecast Pipeline'!$F:$F,'Trended Forecast Pipeline'!$D:$D,'Forecast Summary'!$A38,'Trended Forecast Pipeline'!$C:$C,'Forecast Summary'!E$18)</f>
        <v>138</v>
      </c>
      <c r="F38" s="3">
        <f>SUMIFS('Trended Forecast Pipeline'!$F:$F,'Trended Forecast Pipeline'!$D:$D,'Forecast Summary'!$A38,'Trended Forecast Pipeline'!$C:$C,'Forecast Summary'!F$18)</f>
        <v>134</v>
      </c>
      <c r="G38" s="3">
        <f>SUMIFS('Trended Forecast Pipeline'!$F:$F,'Trended Forecast Pipeline'!$D:$D,'Forecast Summary'!$A38,'Trended Forecast Pipeline'!$C:$C,'Forecast Summary'!G$18)</f>
        <v>27</v>
      </c>
      <c r="H38" s="3">
        <f>SUMIFS('Trended Forecast Pipeline'!$F:$F,'Trended Forecast Pipeline'!$D:$D,'Forecast Summary'!$A38,'Trended Forecast Pipeline'!$C:$C,'Forecast Summary'!H$18)</f>
        <v>28</v>
      </c>
      <c r="I38" s="3">
        <f>SUMIFS('Trended Forecast Pipeline'!$F:$F,'Trended Forecast Pipeline'!$D:$D,'Forecast Summary'!$A38,'Trended Forecast Pipeline'!$C:$C,'Forecast Summary'!I$18)</f>
        <v>34</v>
      </c>
      <c r="J38" s="3">
        <f>SUMIFS('Trended Forecast Pipeline'!$F:$F,'Trended Forecast Pipeline'!$D:$D,'Forecast Summary'!$A38,'Trended Forecast Pipeline'!$C:$C,'Forecast Summary'!J$18)</f>
        <v>38</v>
      </c>
      <c r="K38" s="3">
        <f>SUMIFS('Trended Forecast Pipeline'!$F:$F,'Trended Forecast Pipeline'!$D:$D,'Forecast Summary'!$A38,'Trended Forecast Pipeline'!$C:$C,'Forecast Summary'!K$18)</f>
        <v>44</v>
      </c>
      <c r="L38" s="3">
        <f>SUMIFS('Trended Forecast Pipeline'!$F:$F,'Trended Forecast Pipeline'!$D:$D,'Forecast Summary'!$A38,'Trended Forecast Pipeline'!$C:$C,'Forecast Summary'!L$18)</f>
        <v>48</v>
      </c>
      <c r="M38" s="3">
        <f>SUMIFS('Trended Forecast Pipeline'!$F:$F,'Trended Forecast Pipeline'!$D:$D,'Forecast Summary'!$A38,'Trended Forecast Pipeline'!$C:$C,'Forecast Summary'!M$18)</f>
        <v>51</v>
      </c>
      <c r="O38" s="3">
        <f t="shared" si="29"/>
        <v>356</v>
      </c>
      <c r="P38" s="3">
        <f t="shared" si="28"/>
        <v>299</v>
      </c>
      <c r="Q38" s="3">
        <f t="shared" si="28"/>
        <v>100</v>
      </c>
      <c r="R38" s="3">
        <f t="shared" si="28"/>
        <v>143</v>
      </c>
      <c r="T38" s="3">
        <f t="shared" si="30"/>
        <v>898</v>
      </c>
    </row>
    <row r="39" spans="1:20" s="3" customFormat="1" x14ac:dyDescent="0.35">
      <c r="A39" s="3" t="s">
        <v>31</v>
      </c>
      <c r="B39" s="3">
        <f>SUMIFS('Trended Forecast Pipeline'!$F:$F,'Trended Forecast Pipeline'!$D:$D,'Forecast Summary'!$A39,'Trended Forecast Pipeline'!$C:$C,'Forecast Summary'!B$18)</f>
        <v>68</v>
      </c>
      <c r="C39" s="3">
        <f>SUMIFS('Trended Forecast Pipeline'!$F:$F,'Trended Forecast Pipeline'!$D:$D,'Forecast Summary'!$A39,'Trended Forecast Pipeline'!$C:$C,'Forecast Summary'!C$18)</f>
        <v>68</v>
      </c>
      <c r="D39" s="3">
        <f>SUMIFS('Trended Forecast Pipeline'!$F:$F,'Trended Forecast Pipeline'!$D:$D,'Forecast Summary'!$A39,'Trended Forecast Pipeline'!$C:$C,'Forecast Summary'!D$18)</f>
        <v>72</v>
      </c>
      <c r="E39" s="3">
        <f>SUMIFS('Trended Forecast Pipeline'!$F:$F,'Trended Forecast Pipeline'!$D:$D,'Forecast Summary'!$A39,'Trended Forecast Pipeline'!$C:$C,'Forecast Summary'!E$18)</f>
        <v>69</v>
      </c>
      <c r="F39" s="3">
        <f>SUMIFS('Trended Forecast Pipeline'!$F:$F,'Trended Forecast Pipeline'!$D:$D,'Forecast Summary'!$A39,'Trended Forecast Pipeline'!$C:$C,'Forecast Summary'!F$18)</f>
        <v>72</v>
      </c>
      <c r="G39" s="3">
        <f>SUMIFS('Trended Forecast Pipeline'!$F:$F,'Trended Forecast Pipeline'!$D:$D,'Forecast Summary'!$A39,'Trended Forecast Pipeline'!$C:$C,'Forecast Summary'!G$18)</f>
        <v>11</v>
      </c>
      <c r="H39" s="3">
        <f>SUMIFS('Trended Forecast Pipeline'!$F:$F,'Trended Forecast Pipeline'!$D:$D,'Forecast Summary'!$A39,'Trended Forecast Pipeline'!$C:$C,'Forecast Summary'!H$18)</f>
        <v>16</v>
      </c>
      <c r="I39" s="3">
        <f>SUMIFS('Trended Forecast Pipeline'!$F:$F,'Trended Forecast Pipeline'!$D:$D,'Forecast Summary'!$A39,'Trended Forecast Pipeline'!$C:$C,'Forecast Summary'!I$18)</f>
        <v>15</v>
      </c>
      <c r="J39" s="3">
        <f>SUMIFS('Trended Forecast Pipeline'!$F:$F,'Trended Forecast Pipeline'!$D:$D,'Forecast Summary'!$A39,'Trended Forecast Pipeline'!$C:$C,'Forecast Summary'!J$18)</f>
        <v>17</v>
      </c>
      <c r="K39" s="3">
        <f>SUMIFS('Trended Forecast Pipeline'!$F:$F,'Trended Forecast Pipeline'!$D:$D,'Forecast Summary'!$A39,'Trended Forecast Pipeline'!$C:$C,'Forecast Summary'!K$18)</f>
        <v>21</v>
      </c>
      <c r="L39" s="3">
        <f>SUMIFS('Trended Forecast Pipeline'!$F:$F,'Trended Forecast Pipeline'!$D:$D,'Forecast Summary'!$A39,'Trended Forecast Pipeline'!$C:$C,'Forecast Summary'!L$18)</f>
        <v>21</v>
      </c>
      <c r="M39" s="3">
        <f>SUMIFS('Trended Forecast Pipeline'!$F:$F,'Trended Forecast Pipeline'!$D:$D,'Forecast Summary'!$A39,'Trended Forecast Pipeline'!$C:$C,'Forecast Summary'!M$18)</f>
        <v>28</v>
      </c>
      <c r="O39" s="3">
        <f t="shared" si="29"/>
        <v>208</v>
      </c>
      <c r="P39" s="3">
        <f t="shared" si="28"/>
        <v>152</v>
      </c>
      <c r="Q39" s="3">
        <f t="shared" si="28"/>
        <v>48</v>
      </c>
      <c r="R39" s="3">
        <f t="shared" si="28"/>
        <v>70</v>
      </c>
      <c r="T39" s="3">
        <f t="shared" si="30"/>
        <v>478</v>
      </c>
    </row>
    <row r="40" spans="1:20" s="3" customFormat="1" x14ac:dyDescent="0.35">
      <c r="A40" s="3" t="s">
        <v>32</v>
      </c>
      <c r="B40" s="3">
        <f>SUMIFS('Trended Forecast Pipeline'!$F:$F,'Trended Forecast Pipeline'!$D:$D,'Forecast Summary'!$A40,'Trended Forecast Pipeline'!$C:$C,'Forecast Summary'!B$18)</f>
        <v>50</v>
      </c>
      <c r="C40" s="3">
        <f>SUMIFS('Trended Forecast Pipeline'!$F:$F,'Trended Forecast Pipeline'!$D:$D,'Forecast Summary'!$A40,'Trended Forecast Pipeline'!$C:$C,'Forecast Summary'!C$18)</f>
        <v>54</v>
      </c>
      <c r="D40" s="3">
        <f>SUMIFS('Trended Forecast Pipeline'!$F:$F,'Trended Forecast Pipeline'!$D:$D,'Forecast Summary'!$A40,'Trended Forecast Pipeline'!$C:$C,'Forecast Summary'!D$18)</f>
        <v>53</v>
      </c>
      <c r="E40" s="3">
        <f>SUMIFS('Trended Forecast Pipeline'!$F:$F,'Trended Forecast Pipeline'!$D:$D,'Forecast Summary'!$A40,'Trended Forecast Pipeline'!$C:$C,'Forecast Summary'!E$18)</f>
        <v>59</v>
      </c>
      <c r="F40" s="3">
        <f>SUMIFS('Trended Forecast Pipeline'!$F:$F,'Trended Forecast Pipeline'!$D:$D,'Forecast Summary'!$A40,'Trended Forecast Pipeline'!$C:$C,'Forecast Summary'!F$18)</f>
        <v>57</v>
      </c>
      <c r="G40" s="3">
        <f>SUMIFS('Trended Forecast Pipeline'!$F:$F,'Trended Forecast Pipeline'!$D:$D,'Forecast Summary'!$A40,'Trended Forecast Pipeline'!$C:$C,'Forecast Summary'!G$18)</f>
        <v>5</v>
      </c>
      <c r="H40" s="3">
        <f>SUMIFS('Trended Forecast Pipeline'!$F:$F,'Trended Forecast Pipeline'!$D:$D,'Forecast Summary'!$A40,'Trended Forecast Pipeline'!$C:$C,'Forecast Summary'!H$18)</f>
        <v>5</v>
      </c>
      <c r="I40" s="3">
        <f>SUMIFS('Trended Forecast Pipeline'!$F:$F,'Trended Forecast Pipeline'!$D:$D,'Forecast Summary'!$A40,'Trended Forecast Pipeline'!$C:$C,'Forecast Summary'!I$18)</f>
        <v>5</v>
      </c>
      <c r="J40" s="3">
        <f>SUMIFS('Trended Forecast Pipeline'!$F:$F,'Trended Forecast Pipeline'!$D:$D,'Forecast Summary'!$A40,'Trended Forecast Pipeline'!$C:$C,'Forecast Summary'!J$18)</f>
        <v>5</v>
      </c>
      <c r="K40" s="3">
        <f>SUMIFS('Trended Forecast Pipeline'!$F:$F,'Trended Forecast Pipeline'!$D:$D,'Forecast Summary'!$A40,'Trended Forecast Pipeline'!$C:$C,'Forecast Summary'!K$18)</f>
        <v>8</v>
      </c>
      <c r="L40" s="3">
        <f>SUMIFS('Trended Forecast Pipeline'!$F:$F,'Trended Forecast Pipeline'!$D:$D,'Forecast Summary'!$A40,'Trended Forecast Pipeline'!$C:$C,'Forecast Summary'!L$18)</f>
        <v>7</v>
      </c>
      <c r="M40" s="3">
        <f>SUMIFS('Trended Forecast Pipeline'!$F:$F,'Trended Forecast Pipeline'!$D:$D,'Forecast Summary'!$A40,'Trended Forecast Pipeline'!$C:$C,'Forecast Summary'!M$18)</f>
        <v>10</v>
      </c>
      <c r="O40" s="3">
        <f t="shared" si="29"/>
        <v>157</v>
      </c>
      <c r="P40" s="3">
        <f t="shared" si="28"/>
        <v>121</v>
      </c>
      <c r="Q40" s="3">
        <f t="shared" si="28"/>
        <v>15</v>
      </c>
      <c r="R40" s="3">
        <f t="shared" si="28"/>
        <v>25</v>
      </c>
      <c r="T40" s="3">
        <f t="shared" si="30"/>
        <v>318</v>
      </c>
    </row>
    <row r="41" spans="1:20" s="3" customFormat="1" x14ac:dyDescent="0.35">
      <c r="A41" s="3" t="s">
        <v>33</v>
      </c>
      <c r="B41" s="3">
        <f>SUMIFS('Trended Forecast Pipeline'!$F:$F,'Trended Forecast Pipeline'!$D:$D,'Forecast Summary'!$A41,'Trended Forecast Pipeline'!$C:$C,'Forecast Summary'!B$18)</f>
        <v>84</v>
      </c>
      <c r="C41" s="3">
        <f>SUMIFS('Trended Forecast Pipeline'!$F:$F,'Trended Forecast Pipeline'!$D:$D,'Forecast Summary'!$A41,'Trended Forecast Pipeline'!$C:$C,'Forecast Summary'!C$18)</f>
        <v>84</v>
      </c>
      <c r="D41" s="3">
        <f>SUMIFS('Trended Forecast Pipeline'!$F:$F,'Trended Forecast Pipeline'!$D:$D,'Forecast Summary'!$A41,'Trended Forecast Pipeline'!$C:$C,'Forecast Summary'!D$18)</f>
        <v>95</v>
      </c>
      <c r="E41" s="3">
        <f>SUMIFS('Trended Forecast Pipeline'!$F:$F,'Trended Forecast Pipeline'!$D:$D,'Forecast Summary'!$A41,'Trended Forecast Pipeline'!$C:$C,'Forecast Summary'!E$18)</f>
        <v>88</v>
      </c>
      <c r="F41" s="3">
        <f>SUMIFS('Trended Forecast Pipeline'!$F:$F,'Trended Forecast Pipeline'!$D:$D,'Forecast Summary'!$A41,'Trended Forecast Pipeline'!$C:$C,'Forecast Summary'!F$18)</f>
        <v>95</v>
      </c>
      <c r="G41" s="3">
        <f>SUMIFS('Trended Forecast Pipeline'!$F:$F,'Trended Forecast Pipeline'!$D:$D,'Forecast Summary'!$A41,'Trended Forecast Pipeline'!$C:$C,'Forecast Summary'!G$18)</f>
        <v>15</v>
      </c>
      <c r="H41" s="3">
        <f>SUMIFS('Trended Forecast Pipeline'!$F:$F,'Trended Forecast Pipeline'!$D:$D,'Forecast Summary'!$A41,'Trended Forecast Pipeline'!$C:$C,'Forecast Summary'!H$18)</f>
        <v>14</v>
      </c>
      <c r="I41" s="3">
        <f>SUMIFS('Trended Forecast Pipeline'!$F:$F,'Trended Forecast Pipeline'!$D:$D,'Forecast Summary'!$A41,'Trended Forecast Pipeline'!$C:$C,'Forecast Summary'!I$18)</f>
        <v>14</v>
      </c>
      <c r="J41" s="3">
        <f>SUMIFS('Trended Forecast Pipeline'!$F:$F,'Trended Forecast Pipeline'!$D:$D,'Forecast Summary'!$A41,'Trended Forecast Pipeline'!$C:$C,'Forecast Summary'!J$18)</f>
        <v>19</v>
      </c>
      <c r="K41" s="3">
        <f>SUMIFS('Trended Forecast Pipeline'!$F:$F,'Trended Forecast Pipeline'!$D:$D,'Forecast Summary'!$A41,'Trended Forecast Pipeline'!$C:$C,'Forecast Summary'!K$18)</f>
        <v>26</v>
      </c>
      <c r="L41" s="3">
        <f>SUMIFS('Trended Forecast Pipeline'!$F:$F,'Trended Forecast Pipeline'!$D:$D,'Forecast Summary'!$A41,'Trended Forecast Pipeline'!$C:$C,'Forecast Summary'!L$18)</f>
        <v>28</v>
      </c>
      <c r="M41" s="3">
        <f>SUMIFS('Trended Forecast Pipeline'!$F:$F,'Trended Forecast Pipeline'!$D:$D,'Forecast Summary'!$A41,'Trended Forecast Pipeline'!$C:$C,'Forecast Summary'!M$18)</f>
        <v>25</v>
      </c>
      <c r="O41" s="3">
        <f t="shared" si="29"/>
        <v>263</v>
      </c>
      <c r="P41" s="3">
        <f t="shared" si="28"/>
        <v>198</v>
      </c>
      <c r="Q41" s="3">
        <f t="shared" si="28"/>
        <v>47</v>
      </c>
      <c r="R41" s="3">
        <f t="shared" si="28"/>
        <v>79</v>
      </c>
      <c r="T41" s="3">
        <f t="shared" si="30"/>
        <v>587</v>
      </c>
    </row>
    <row r="42" spans="1:20" s="3" customFormat="1" x14ac:dyDescent="0.35">
      <c r="A42" s="3" t="s">
        <v>34</v>
      </c>
      <c r="B42" s="3">
        <f>SUMIFS('Trended Forecast Pipeline'!$F:$F,'Trended Forecast Pipeline'!$D:$D,'Forecast Summary'!$A42,'Trended Forecast Pipeline'!$C:$C,'Forecast Summary'!B$18)</f>
        <v>126</v>
      </c>
      <c r="C42" s="3">
        <f>SUMIFS('Trended Forecast Pipeline'!$F:$F,'Trended Forecast Pipeline'!$D:$D,'Forecast Summary'!$A42,'Trended Forecast Pipeline'!$C:$C,'Forecast Summary'!C$18)</f>
        <v>147</v>
      </c>
      <c r="D42" s="3">
        <f>SUMIFS('Trended Forecast Pipeline'!$F:$F,'Trended Forecast Pipeline'!$D:$D,'Forecast Summary'!$A42,'Trended Forecast Pipeline'!$C:$C,'Forecast Summary'!D$18)</f>
        <v>144</v>
      </c>
      <c r="E42" s="3">
        <f>SUMIFS('Trended Forecast Pipeline'!$F:$F,'Trended Forecast Pipeline'!$D:$D,'Forecast Summary'!$A42,'Trended Forecast Pipeline'!$C:$C,'Forecast Summary'!E$18)</f>
        <v>149</v>
      </c>
      <c r="F42" s="3">
        <f>SUMIFS('Trended Forecast Pipeline'!$F:$F,'Trended Forecast Pipeline'!$D:$D,'Forecast Summary'!$A42,'Trended Forecast Pipeline'!$C:$C,'Forecast Summary'!F$18)</f>
        <v>153</v>
      </c>
      <c r="G42" s="3">
        <f>SUMIFS('Trended Forecast Pipeline'!$F:$F,'Trended Forecast Pipeline'!$D:$D,'Forecast Summary'!$A42,'Trended Forecast Pipeline'!$C:$C,'Forecast Summary'!G$18)</f>
        <v>44</v>
      </c>
      <c r="H42" s="3">
        <f>SUMIFS('Trended Forecast Pipeline'!$F:$F,'Trended Forecast Pipeline'!$D:$D,'Forecast Summary'!$A42,'Trended Forecast Pipeline'!$C:$C,'Forecast Summary'!H$18)</f>
        <v>42</v>
      </c>
      <c r="I42" s="3">
        <f>SUMIFS('Trended Forecast Pipeline'!$F:$F,'Trended Forecast Pipeline'!$D:$D,'Forecast Summary'!$A42,'Trended Forecast Pipeline'!$C:$C,'Forecast Summary'!I$18)</f>
        <v>42</v>
      </c>
      <c r="J42" s="3">
        <f>SUMIFS('Trended Forecast Pipeline'!$F:$F,'Trended Forecast Pipeline'!$D:$D,'Forecast Summary'!$A42,'Trended Forecast Pipeline'!$C:$C,'Forecast Summary'!J$18)</f>
        <v>58</v>
      </c>
      <c r="K42" s="3">
        <f>SUMIFS('Trended Forecast Pipeline'!$F:$F,'Trended Forecast Pipeline'!$D:$D,'Forecast Summary'!$A42,'Trended Forecast Pipeline'!$C:$C,'Forecast Summary'!K$18)</f>
        <v>56</v>
      </c>
      <c r="L42" s="3">
        <f>SUMIFS('Trended Forecast Pipeline'!$F:$F,'Trended Forecast Pipeline'!$D:$D,'Forecast Summary'!$A42,'Trended Forecast Pipeline'!$C:$C,'Forecast Summary'!L$18)</f>
        <v>68</v>
      </c>
      <c r="M42" s="3">
        <f>SUMIFS('Trended Forecast Pipeline'!$F:$F,'Trended Forecast Pipeline'!$D:$D,'Forecast Summary'!$A42,'Trended Forecast Pipeline'!$C:$C,'Forecast Summary'!M$18)</f>
        <v>76</v>
      </c>
      <c r="O42" s="3">
        <f t="shared" si="29"/>
        <v>417</v>
      </c>
      <c r="P42" s="3">
        <f t="shared" si="28"/>
        <v>346</v>
      </c>
      <c r="Q42" s="3">
        <f t="shared" si="28"/>
        <v>142</v>
      </c>
      <c r="R42" s="3">
        <f t="shared" si="28"/>
        <v>200</v>
      </c>
      <c r="T42" s="3">
        <f t="shared" si="30"/>
        <v>1105</v>
      </c>
    </row>
    <row r="43" spans="1:20" s="3" customFormat="1" x14ac:dyDescent="0.35">
      <c r="A43" s="3" t="s">
        <v>35</v>
      </c>
      <c r="B43" s="3">
        <f>SUMIFS('Trended Forecast Pipeline'!$F:$F,'Trended Forecast Pipeline'!$D:$D,'Forecast Summary'!$A43,'Trended Forecast Pipeline'!$C:$C,'Forecast Summary'!B$18)</f>
        <v>149</v>
      </c>
      <c r="C43" s="3">
        <f>SUMIFS('Trended Forecast Pipeline'!$F:$F,'Trended Forecast Pipeline'!$D:$D,'Forecast Summary'!$A43,'Trended Forecast Pipeline'!$C:$C,'Forecast Summary'!C$18)</f>
        <v>166</v>
      </c>
      <c r="D43" s="3">
        <f>SUMIFS('Trended Forecast Pipeline'!$F:$F,'Trended Forecast Pipeline'!$D:$D,'Forecast Summary'!$A43,'Trended Forecast Pipeline'!$C:$C,'Forecast Summary'!D$18)</f>
        <v>160</v>
      </c>
      <c r="E43" s="3">
        <f>SUMIFS('Trended Forecast Pipeline'!$F:$F,'Trended Forecast Pipeline'!$D:$D,'Forecast Summary'!$A43,'Trended Forecast Pipeline'!$C:$C,'Forecast Summary'!E$18)</f>
        <v>166</v>
      </c>
      <c r="F43" s="3">
        <f>SUMIFS('Trended Forecast Pipeline'!$F:$F,'Trended Forecast Pipeline'!$D:$D,'Forecast Summary'!$A43,'Trended Forecast Pipeline'!$C:$C,'Forecast Summary'!F$18)</f>
        <v>169</v>
      </c>
      <c r="G43" s="3">
        <f>SUMIFS('Trended Forecast Pipeline'!$F:$F,'Trended Forecast Pipeline'!$D:$D,'Forecast Summary'!$A43,'Trended Forecast Pipeline'!$C:$C,'Forecast Summary'!G$18)</f>
        <v>21</v>
      </c>
      <c r="H43" s="3">
        <f>SUMIFS('Trended Forecast Pipeline'!$F:$F,'Trended Forecast Pipeline'!$D:$D,'Forecast Summary'!$A43,'Trended Forecast Pipeline'!$C:$C,'Forecast Summary'!H$18)</f>
        <v>25</v>
      </c>
      <c r="I43" s="3">
        <f>SUMIFS('Trended Forecast Pipeline'!$F:$F,'Trended Forecast Pipeline'!$D:$D,'Forecast Summary'!$A43,'Trended Forecast Pipeline'!$C:$C,'Forecast Summary'!I$18)</f>
        <v>22</v>
      </c>
      <c r="J43" s="3">
        <f>SUMIFS('Trended Forecast Pipeline'!$F:$F,'Trended Forecast Pipeline'!$D:$D,'Forecast Summary'!$A43,'Trended Forecast Pipeline'!$C:$C,'Forecast Summary'!J$18)</f>
        <v>24</v>
      </c>
      <c r="K43" s="3">
        <f>SUMIFS('Trended Forecast Pipeline'!$F:$F,'Trended Forecast Pipeline'!$D:$D,'Forecast Summary'!$A43,'Trended Forecast Pipeline'!$C:$C,'Forecast Summary'!K$18)</f>
        <v>25</v>
      </c>
      <c r="L43" s="3">
        <f>SUMIFS('Trended Forecast Pipeline'!$F:$F,'Trended Forecast Pipeline'!$D:$D,'Forecast Summary'!$A43,'Trended Forecast Pipeline'!$C:$C,'Forecast Summary'!L$18)</f>
        <v>34</v>
      </c>
      <c r="M43" s="3">
        <f>SUMIFS('Trended Forecast Pipeline'!$F:$F,'Trended Forecast Pipeline'!$D:$D,'Forecast Summary'!$A43,'Trended Forecast Pipeline'!$C:$C,'Forecast Summary'!M$18)</f>
        <v>36</v>
      </c>
      <c r="O43" s="3">
        <f t="shared" si="29"/>
        <v>475</v>
      </c>
      <c r="P43" s="3">
        <f t="shared" si="28"/>
        <v>356</v>
      </c>
      <c r="Q43" s="3">
        <f t="shared" si="28"/>
        <v>71</v>
      </c>
      <c r="R43" s="3">
        <f t="shared" si="28"/>
        <v>95</v>
      </c>
      <c r="T43" s="3">
        <f t="shared" si="30"/>
        <v>997</v>
      </c>
    </row>
    <row r="44" spans="1:20" s="3" customFormat="1" x14ac:dyDescent="0.35">
      <c r="A44" s="3" t="s">
        <v>36</v>
      </c>
      <c r="B44" s="3">
        <f>SUMIFS('Trended Forecast Pipeline'!$F:$F,'Trended Forecast Pipeline'!$D:$D,'Forecast Summary'!$A44,'Trended Forecast Pipeline'!$C:$C,'Forecast Summary'!B$18)</f>
        <v>42</v>
      </c>
      <c r="C44" s="3">
        <f>SUMIFS('Trended Forecast Pipeline'!$F:$F,'Trended Forecast Pipeline'!$D:$D,'Forecast Summary'!$A44,'Trended Forecast Pipeline'!$C:$C,'Forecast Summary'!C$18)</f>
        <v>44</v>
      </c>
      <c r="D44" s="3">
        <f>SUMIFS('Trended Forecast Pipeline'!$F:$F,'Trended Forecast Pipeline'!$D:$D,'Forecast Summary'!$A44,'Trended Forecast Pipeline'!$C:$C,'Forecast Summary'!D$18)</f>
        <v>46</v>
      </c>
      <c r="E44" s="3">
        <f>SUMIFS('Trended Forecast Pipeline'!$F:$F,'Trended Forecast Pipeline'!$D:$D,'Forecast Summary'!$A44,'Trended Forecast Pipeline'!$C:$C,'Forecast Summary'!E$18)</f>
        <v>45</v>
      </c>
      <c r="F44" s="3">
        <f>SUMIFS('Trended Forecast Pipeline'!$F:$F,'Trended Forecast Pipeline'!$D:$D,'Forecast Summary'!$A44,'Trended Forecast Pipeline'!$C:$C,'Forecast Summary'!F$18)</f>
        <v>51</v>
      </c>
      <c r="G44" s="3">
        <f>SUMIFS('Trended Forecast Pipeline'!$F:$F,'Trended Forecast Pipeline'!$D:$D,'Forecast Summary'!$A44,'Trended Forecast Pipeline'!$C:$C,'Forecast Summary'!G$18)</f>
        <v>1</v>
      </c>
      <c r="H44" s="3">
        <f>SUMIFS('Trended Forecast Pipeline'!$F:$F,'Trended Forecast Pipeline'!$D:$D,'Forecast Summary'!$A44,'Trended Forecast Pipeline'!$C:$C,'Forecast Summary'!H$18)</f>
        <v>1</v>
      </c>
      <c r="I44" s="3">
        <f>SUMIFS('Trended Forecast Pipeline'!$F:$F,'Trended Forecast Pipeline'!$D:$D,'Forecast Summary'!$A44,'Trended Forecast Pipeline'!$C:$C,'Forecast Summary'!I$18)</f>
        <v>1</v>
      </c>
      <c r="J44" s="3">
        <f>SUMIFS('Trended Forecast Pipeline'!$F:$F,'Trended Forecast Pipeline'!$D:$D,'Forecast Summary'!$A44,'Trended Forecast Pipeline'!$C:$C,'Forecast Summary'!J$18)</f>
        <v>1</v>
      </c>
      <c r="K44" s="3">
        <f>SUMIFS('Trended Forecast Pipeline'!$F:$F,'Trended Forecast Pipeline'!$D:$D,'Forecast Summary'!$A44,'Trended Forecast Pipeline'!$C:$C,'Forecast Summary'!K$18)</f>
        <v>1</v>
      </c>
      <c r="L44" s="3">
        <f>SUMIFS('Trended Forecast Pipeline'!$F:$F,'Trended Forecast Pipeline'!$D:$D,'Forecast Summary'!$A44,'Trended Forecast Pipeline'!$C:$C,'Forecast Summary'!L$18)</f>
        <v>1</v>
      </c>
      <c r="M44" s="3">
        <f>SUMIFS('Trended Forecast Pipeline'!$F:$F,'Trended Forecast Pipeline'!$D:$D,'Forecast Summary'!$A44,'Trended Forecast Pipeline'!$C:$C,'Forecast Summary'!M$18)</f>
        <v>1</v>
      </c>
      <c r="O44" s="3">
        <f t="shared" si="29"/>
        <v>132</v>
      </c>
      <c r="P44" s="3">
        <f t="shared" si="28"/>
        <v>97</v>
      </c>
      <c r="Q44" s="3">
        <f t="shared" si="28"/>
        <v>3</v>
      </c>
      <c r="R44" s="3">
        <f t="shared" si="28"/>
        <v>3</v>
      </c>
      <c r="T44" s="3">
        <f t="shared" si="30"/>
        <v>235</v>
      </c>
    </row>
    <row r="45" spans="1:20" s="8" customFormat="1" x14ac:dyDescent="0.35">
      <c r="A45" s="8" t="s">
        <v>63</v>
      </c>
      <c r="B45" s="8">
        <f>SUM(B34:B44)</f>
        <v>1274</v>
      </c>
      <c r="C45" s="8">
        <f t="shared" ref="C45" si="31">SUM(C34:C44)</f>
        <v>1363</v>
      </c>
      <c r="D45" s="8">
        <f t="shared" ref="D45" si="32">SUM(D34:D44)</f>
        <v>1446</v>
      </c>
      <c r="E45" s="8">
        <f t="shared" ref="E45" si="33">SUM(E34:E44)</f>
        <v>1460</v>
      </c>
      <c r="F45" s="8">
        <f t="shared" ref="F45" si="34">SUM(F34:F44)</f>
        <v>1540</v>
      </c>
      <c r="G45" s="8">
        <f t="shared" ref="G45" si="35">SUM(G34:G44)</f>
        <v>275</v>
      </c>
      <c r="H45" s="8">
        <f t="shared" ref="H45" si="36">SUM(H34:H44)</f>
        <v>293</v>
      </c>
      <c r="I45" s="8">
        <f t="shared" ref="I45" si="37">SUM(I34:I44)</f>
        <v>307</v>
      </c>
      <c r="J45" s="8">
        <f t="shared" ref="J45" si="38">SUM(J34:J44)</f>
        <v>368</v>
      </c>
      <c r="K45" s="8">
        <f t="shared" ref="K45" si="39">SUM(K34:K44)</f>
        <v>410</v>
      </c>
      <c r="L45" s="8">
        <f t="shared" ref="L45" si="40">SUM(L34:L44)</f>
        <v>447</v>
      </c>
      <c r="M45" s="8">
        <f t="shared" ref="M45" si="41">SUM(M34:M44)</f>
        <v>508</v>
      </c>
      <c r="O45" s="8">
        <f t="shared" si="29"/>
        <v>4083</v>
      </c>
      <c r="P45" s="8">
        <f t="shared" si="28"/>
        <v>3275</v>
      </c>
      <c r="Q45" s="8">
        <f t="shared" si="28"/>
        <v>968</v>
      </c>
      <c r="R45" s="8">
        <f t="shared" si="28"/>
        <v>1365</v>
      </c>
      <c r="T45" s="8">
        <f t="shared" si="30"/>
        <v>9691</v>
      </c>
    </row>
    <row r="47" spans="1:20" s="7" customFormat="1" x14ac:dyDescent="0.35">
      <c r="A47" s="7" t="s">
        <v>59</v>
      </c>
      <c r="B47" s="10" t="s">
        <v>55</v>
      </c>
      <c r="C47" s="10" t="s">
        <v>55</v>
      </c>
      <c r="D47" s="10" t="s">
        <v>55</v>
      </c>
      <c r="E47" s="10" t="s">
        <v>56</v>
      </c>
      <c r="F47" s="10" t="s">
        <v>56</v>
      </c>
      <c r="G47" s="10" t="s">
        <v>56</v>
      </c>
      <c r="H47" s="10" t="s">
        <v>57</v>
      </c>
      <c r="I47" s="10" t="s">
        <v>57</v>
      </c>
      <c r="J47" s="10" t="s">
        <v>57</v>
      </c>
      <c r="K47" s="10" t="s">
        <v>58</v>
      </c>
      <c r="L47" s="10" t="s">
        <v>58</v>
      </c>
      <c r="M47" s="10" t="s">
        <v>58</v>
      </c>
    </row>
    <row r="48" spans="1:20" s="7" customFormat="1" x14ac:dyDescent="0.35">
      <c r="A48" s="7" t="s">
        <v>3</v>
      </c>
      <c r="B48" s="10" t="s">
        <v>24</v>
      </c>
      <c r="C48" s="10" t="s">
        <v>37</v>
      </c>
      <c r="D48" s="10" t="s">
        <v>38</v>
      </c>
      <c r="E48" s="10" t="s">
        <v>39</v>
      </c>
      <c r="F48" s="10" t="s">
        <v>40</v>
      </c>
      <c r="G48" s="10" t="s">
        <v>43</v>
      </c>
      <c r="H48" s="10" t="s">
        <v>45</v>
      </c>
      <c r="I48" s="10" t="s">
        <v>46</v>
      </c>
      <c r="J48" s="10" t="s">
        <v>47</v>
      </c>
      <c r="K48" s="10" t="s">
        <v>48</v>
      </c>
      <c r="L48" s="10" t="s">
        <v>49</v>
      </c>
      <c r="M48" s="10" t="s">
        <v>50</v>
      </c>
      <c r="O48" s="10" t="s">
        <v>55</v>
      </c>
      <c r="P48" s="10" t="s">
        <v>56</v>
      </c>
      <c r="Q48" s="10" t="s">
        <v>57</v>
      </c>
      <c r="R48" s="10" t="s">
        <v>58</v>
      </c>
      <c r="T48" s="10" t="s">
        <v>64</v>
      </c>
    </row>
    <row r="49" spans="1:20" s="3" customFormat="1" x14ac:dyDescent="0.35">
      <c r="A49" s="3" t="s">
        <v>25</v>
      </c>
      <c r="B49" s="3">
        <f>SUMIFS('Trended Forecast Pipeline'!$G:$G,'Trended Forecast Pipeline'!$D:$D,'Forecast Summary'!$A49,'Trended Forecast Pipeline'!$C:$C,'Forecast Summary'!B$18)</f>
        <v>155</v>
      </c>
      <c r="C49" s="3">
        <f>SUMIFS('Trended Forecast Pipeline'!$G:$G,'Trended Forecast Pipeline'!$D:$D,'Forecast Summary'!$A49,'Trended Forecast Pipeline'!$C:$C,'Forecast Summary'!C$18)</f>
        <v>177</v>
      </c>
      <c r="D49" s="3">
        <f>SUMIFS('Trended Forecast Pipeline'!$G:$G,'Trended Forecast Pipeline'!$D:$D,'Forecast Summary'!$A49,'Trended Forecast Pipeline'!$C:$C,'Forecast Summary'!D$18)</f>
        <v>165</v>
      </c>
      <c r="E49" s="3">
        <f>SUMIFS('Trended Forecast Pipeline'!$G:$G,'Trended Forecast Pipeline'!$D:$D,'Forecast Summary'!$A49,'Trended Forecast Pipeline'!$C:$C,'Forecast Summary'!E$18)</f>
        <v>154</v>
      </c>
      <c r="F49" s="3">
        <f>SUMIFS('Trended Forecast Pipeline'!$G:$G,'Trended Forecast Pipeline'!$D:$D,'Forecast Summary'!$A49,'Trended Forecast Pipeline'!$C:$C,'Forecast Summary'!F$18)</f>
        <v>177</v>
      </c>
      <c r="G49" s="3">
        <f>SUMIFS('Trended Forecast Pipeline'!$G:$G,'Trended Forecast Pipeline'!$D:$D,'Forecast Summary'!$A49,'Trended Forecast Pipeline'!$C:$C,'Forecast Summary'!G$18)</f>
        <v>42</v>
      </c>
      <c r="H49" s="3">
        <f>SUMIFS('Trended Forecast Pipeline'!$G:$G,'Trended Forecast Pipeline'!$D:$D,'Forecast Summary'!$A49,'Trended Forecast Pipeline'!$C:$C,'Forecast Summary'!H$18)</f>
        <v>47</v>
      </c>
      <c r="I49" s="3">
        <f>SUMIFS('Trended Forecast Pipeline'!$G:$G,'Trended Forecast Pipeline'!$D:$D,'Forecast Summary'!$A49,'Trended Forecast Pipeline'!$C:$C,'Forecast Summary'!I$18)</f>
        <v>51</v>
      </c>
      <c r="J49" s="3">
        <f>SUMIFS('Trended Forecast Pipeline'!$G:$G,'Trended Forecast Pipeline'!$D:$D,'Forecast Summary'!$A49,'Trended Forecast Pipeline'!$C:$C,'Forecast Summary'!J$18)</f>
        <v>56</v>
      </c>
      <c r="K49" s="3">
        <f>SUMIFS('Trended Forecast Pipeline'!$G:$G,'Trended Forecast Pipeline'!$D:$D,'Forecast Summary'!$A49,'Trended Forecast Pipeline'!$C:$C,'Forecast Summary'!K$18)</f>
        <v>73</v>
      </c>
      <c r="L49" s="3">
        <f>SUMIFS('Trended Forecast Pipeline'!$G:$G,'Trended Forecast Pipeline'!$D:$D,'Forecast Summary'!$A49,'Trended Forecast Pipeline'!$C:$C,'Forecast Summary'!L$18)</f>
        <v>66</v>
      </c>
      <c r="M49" s="3">
        <f>SUMIFS('Trended Forecast Pipeline'!$G:$G,'Trended Forecast Pipeline'!$D:$D,'Forecast Summary'!$A49,'Trended Forecast Pipeline'!$C:$C,'Forecast Summary'!M$18)</f>
        <v>80</v>
      </c>
      <c r="O49" s="3">
        <f>SUMIFS($B49:$M49,$B$2:$M$2,O$3)</f>
        <v>497</v>
      </c>
      <c r="P49" s="3">
        <f t="shared" ref="P49:R60" si="42">SUMIFS($B49:$M49,$B$2:$M$2,P$3)</f>
        <v>373</v>
      </c>
      <c r="Q49" s="3">
        <f t="shared" si="42"/>
        <v>154</v>
      </c>
      <c r="R49" s="3">
        <f t="shared" si="42"/>
        <v>219</v>
      </c>
      <c r="T49" s="3">
        <f>SUM(O49:R49)</f>
        <v>1243</v>
      </c>
    </row>
    <row r="50" spans="1:20" s="3" customFormat="1" x14ac:dyDescent="0.35">
      <c r="A50" s="3" t="s">
        <v>27</v>
      </c>
      <c r="B50" s="3">
        <f>SUMIFS('Trended Forecast Pipeline'!$G:$G,'Trended Forecast Pipeline'!$D:$D,'Forecast Summary'!$A50,'Trended Forecast Pipeline'!$C:$C,'Forecast Summary'!B$18)</f>
        <v>164</v>
      </c>
      <c r="C50" s="3">
        <f>SUMIFS('Trended Forecast Pipeline'!$G:$G,'Trended Forecast Pipeline'!$D:$D,'Forecast Summary'!$A50,'Trended Forecast Pipeline'!$C:$C,'Forecast Summary'!C$18)</f>
        <v>183</v>
      </c>
      <c r="D50" s="3">
        <f>SUMIFS('Trended Forecast Pipeline'!$G:$G,'Trended Forecast Pipeline'!$D:$D,'Forecast Summary'!$A50,'Trended Forecast Pipeline'!$C:$C,'Forecast Summary'!D$18)</f>
        <v>193</v>
      </c>
      <c r="E50" s="3">
        <f>SUMIFS('Trended Forecast Pipeline'!$G:$G,'Trended Forecast Pipeline'!$D:$D,'Forecast Summary'!$A50,'Trended Forecast Pipeline'!$C:$C,'Forecast Summary'!E$18)</f>
        <v>201</v>
      </c>
      <c r="F50" s="3">
        <f>SUMIFS('Trended Forecast Pipeline'!$G:$G,'Trended Forecast Pipeline'!$D:$D,'Forecast Summary'!$A50,'Trended Forecast Pipeline'!$C:$C,'Forecast Summary'!F$18)</f>
        <v>227</v>
      </c>
      <c r="G50" s="3">
        <f>SUMIFS('Trended Forecast Pipeline'!$G:$G,'Trended Forecast Pipeline'!$D:$D,'Forecast Summary'!$A50,'Trended Forecast Pipeline'!$C:$C,'Forecast Summary'!G$18)</f>
        <v>45</v>
      </c>
      <c r="H50" s="3">
        <f>SUMIFS('Trended Forecast Pipeline'!$G:$G,'Trended Forecast Pipeline'!$D:$D,'Forecast Summary'!$A50,'Trended Forecast Pipeline'!$C:$C,'Forecast Summary'!H$18)</f>
        <v>46</v>
      </c>
      <c r="I50" s="3">
        <f>SUMIFS('Trended Forecast Pipeline'!$G:$G,'Trended Forecast Pipeline'!$D:$D,'Forecast Summary'!$A50,'Trended Forecast Pipeline'!$C:$C,'Forecast Summary'!I$18)</f>
        <v>44</v>
      </c>
      <c r="J50" s="3">
        <f>SUMIFS('Trended Forecast Pipeline'!$G:$G,'Trended Forecast Pipeline'!$D:$D,'Forecast Summary'!$A50,'Trended Forecast Pipeline'!$C:$C,'Forecast Summary'!J$18)</f>
        <v>55</v>
      </c>
      <c r="K50" s="3">
        <f>SUMIFS('Trended Forecast Pipeline'!$G:$G,'Trended Forecast Pipeline'!$D:$D,'Forecast Summary'!$A50,'Trended Forecast Pipeline'!$C:$C,'Forecast Summary'!K$18)</f>
        <v>60</v>
      </c>
      <c r="L50" s="3">
        <f>SUMIFS('Trended Forecast Pipeline'!$G:$G,'Trended Forecast Pipeline'!$D:$D,'Forecast Summary'!$A50,'Trended Forecast Pipeline'!$C:$C,'Forecast Summary'!L$18)</f>
        <v>64</v>
      </c>
      <c r="M50" s="3">
        <f>SUMIFS('Trended Forecast Pipeline'!$G:$G,'Trended Forecast Pipeline'!$D:$D,'Forecast Summary'!$A50,'Trended Forecast Pipeline'!$C:$C,'Forecast Summary'!M$18)</f>
        <v>85</v>
      </c>
      <c r="O50" s="3">
        <f t="shared" ref="O50:O60" si="43">SUMIFS($B50:$M50,$B$2:$M$2,O$3)</f>
        <v>540</v>
      </c>
      <c r="P50" s="3">
        <f t="shared" si="42"/>
        <v>473</v>
      </c>
      <c r="Q50" s="3">
        <f t="shared" si="42"/>
        <v>145</v>
      </c>
      <c r="R50" s="3">
        <f t="shared" si="42"/>
        <v>209</v>
      </c>
      <c r="T50" s="3">
        <f t="shared" ref="T50:T60" si="44">SUM(O50:R50)</f>
        <v>1367</v>
      </c>
    </row>
    <row r="51" spans="1:20" s="3" customFormat="1" x14ac:dyDescent="0.35">
      <c r="A51" s="3" t="s">
        <v>28</v>
      </c>
      <c r="B51" s="3">
        <f>SUMIFS('Trended Forecast Pipeline'!$G:$G,'Trended Forecast Pipeline'!$D:$D,'Forecast Summary'!$A51,'Trended Forecast Pipeline'!$C:$C,'Forecast Summary'!B$18)</f>
        <v>117</v>
      </c>
      <c r="C51" s="3">
        <f>SUMIFS('Trended Forecast Pipeline'!$G:$G,'Trended Forecast Pipeline'!$D:$D,'Forecast Summary'!$A51,'Trended Forecast Pipeline'!$C:$C,'Forecast Summary'!C$18)</f>
        <v>135</v>
      </c>
      <c r="D51" s="3">
        <f>SUMIFS('Trended Forecast Pipeline'!$G:$G,'Trended Forecast Pipeline'!$D:$D,'Forecast Summary'!$A51,'Trended Forecast Pipeline'!$C:$C,'Forecast Summary'!D$18)</f>
        <v>138</v>
      </c>
      <c r="E51" s="3">
        <f>SUMIFS('Trended Forecast Pipeline'!$G:$G,'Trended Forecast Pipeline'!$D:$D,'Forecast Summary'!$A51,'Trended Forecast Pipeline'!$C:$C,'Forecast Summary'!E$18)</f>
        <v>160</v>
      </c>
      <c r="F51" s="3">
        <f>SUMIFS('Trended Forecast Pipeline'!$G:$G,'Trended Forecast Pipeline'!$D:$D,'Forecast Summary'!$A51,'Trended Forecast Pipeline'!$C:$C,'Forecast Summary'!F$18)</f>
        <v>157</v>
      </c>
      <c r="G51" s="3">
        <f>SUMIFS('Trended Forecast Pipeline'!$G:$G,'Trended Forecast Pipeline'!$D:$D,'Forecast Summary'!$A51,'Trended Forecast Pipeline'!$C:$C,'Forecast Summary'!G$18)</f>
        <v>19</v>
      </c>
      <c r="H51" s="3">
        <f>SUMIFS('Trended Forecast Pipeline'!$G:$G,'Trended Forecast Pipeline'!$D:$D,'Forecast Summary'!$A51,'Trended Forecast Pipeline'!$C:$C,'Forecast Summary'!H$18)</f>
        <v>16</v>
      </c>
      <c r="I51" s="3">
        <f>SUMIFS('Trended Forecast Pipeline'!$G:$G,'Trended Forecast Pipeline'!$D:$D,'Forecast Summary'!$A51,'Trended Forecast Pipeline'!$C:$C,'Forecast Summary'!I$18)</f>
        <v>21</v>
      </c>
      <c r="J51" s="3">
        <f>SUMIFS('Trended Forecast Pipeline'!$G:$G,'Trended Forecast Pipeline'!$D:$D,'Forecast Summary'!$A51,'Trended Forecast Pipeline'!$C:$C,'Forecast Summary'!J$18)</f>
        <v>20</v>
      </c>
      <c r="K51" s="3">
        <f>SUMIFS('Trended Forecast Pipeline'!$G:$G,'Trended Forecast Pipeline'!$D:$D,'Forecast Summary'!$A51,'Trended Forecast Pipeline'!$C:$C,'Forecast Summary'!K$18)</f>
        <v>26</v>
      </c>
      <c r="L51" s="3">
        <f>SUMIFS('Trended Forecast Pipeline'!$G:$G,'Trended Forecast Pipeline'!$D:$D,'Forecast Summary'!$A51,'Trended Forecast Pipeline'!$C:$C,'Forecast Summary'!L$18)</f>
        <v>32</v>
      </c>
      <c r="M51" s="3">
        <f>SUMIFS('Trended Forecast Pipeline'!$G:$G,'Trended Forecast Pipeline'!$D:$D,'Forecast Summary'!$A51,'Trended Forecast Pipeline'!$C:$C,'Forecast Summary'!M$18)</f>
        <v>30</v>
      </c>
      <c r="O51" s="3">
        <f t="shared" si="43"/>
        <v>390</v>
      </c>
      <c r="P51" s="3">
        <f t="shared" si="42"/>
        <v>336</v>
      </c>
      <c r="Q51" s="3">
        <f t="shared" si="42"/>
        <v>57</v>
      </c>
      <c r="R51" s="3">
        <f t="shared" si="42"/>
        <v>88</v>
      </c>
      <c r="T51" s="3">
        <f t="shared" si="44"/>
        <v>871</v>
      </c>
    </row>
    <row r="52" spans="1:20" s="3" customFormat="1" x14ac:dyDescent="0.35">
      <c r="A52" s="3" t="s">
        <v>29</v>
      </c>
      <c r="B52" s="3">
        <f>SUMIFS('Trended Forecast Pipeline'!$G:$G,'Trended Forecast Pipeline'!$D:$D,'Forecast Summary'!$A52,'Trended Forecast Pipeline'!$C:$C,'Forecast Summary'!B$18)</f>
        <v>66</v>
      </c>
      <c r="C52" s="3">
        <f>SUMIFS('Trended Forecast Pipeline'!$G:$G,'Trended Forecast Pipeline'!$D:$D,'Forecast Summary'!$A52,'Trended Forecast Pipeline'!$C:$C,'Forecast Summary'!C$18)</f>
        <v>74</v>
      </c>
      <c r="D52" s="3">
        <f>SUMIFS('Trended Forecast Pipeline'!$G:$G,'Trended Forecast Pipeline'!$D:$D,'Forecast Summary'!$A52,'Trended Forecast Pipeline'!$C:$C,'Forecast Summary'!D$18)</f>
        <v>85</v>
      </c>
      <c r="E52" s="3">
        <f>SUMIFS('Trended Forecast Pipeline'!$G:$G,'Trended Forecast Pipeline'!$D:$D,'Forecast Summary'!$A52,'Trended Forecast Pipeline'!$C:$C,'Forecast Summary'!E$18)</f>
        <v>78</v>
      </c>
      <c r="F52" s="3">
        <f>SUMIFS('Trended Forecast Pipeline'!$G:$G,'Trended Forecast Pipeline'!$D:$D,'Forecast Summary'!$A52,'Trended Forecast Pipeline'!$C:$C,'Forecast Summary'!F$18)</f>
        <v>80</v>
      </c>
      <c r="G52" s="3">
        <f>SUMIFS('Trended Forecast Pipeline'!$G:$G,'Trended Forecast Pipeline'!$D:$D,'Forecast Summary'!$A52,'Trended Forecast Pipeline'!$C:$C,'Forecast Summary'!G$18)</f>
        <v>11</v>
      </c>
      <c r="H52" s="3">
        <f>SUMIFS('Trended Forecast Pipeline'!$G:$G,'Trended Forecast Pipeline'!$D:$D,'Forecast Summary'!$A52,'Trended Forecast Pipeline'!$C:$C,'Forecast Summary'!H$18)</f>
        <v>16</v>
      </c>
      <c r="I52" s="3">
        <f>SUMIFS('Trended Forecast Pipeline'!$G:$G,'Trended Forecast Pipeline'!$D:$D,'Forecast Summary'!$A52,'Trended Forecast Pipeline'!$C:$C,'Forecast Summary'!I$18)</f>
        <v>15</v>
      </c>
      <c r="J52" s="3">
        <f>SUMIFS('Trended Forecast Pipeline'!$G:$G,'Trended Forecast Pipeline'!$D:$D,'Forecast Summary'!$A52,'Trended Forecast Pipeline'!$C:$C,'Forecast Summary'!J$18)</f>
        <v>20</v>
      </c>
      <c r="K52" s="3">
        <f>SUMIFS('Trended Forecast Pipeline'!$G:$G,'Trended Forecast Pipeline'!$D:$D,'Forecast Summary'!$A52,'Trended Forecast Pipeline'!$C:$C,'Forecast Summary'!K$18)</f>
        <v>20</v>
      </c>
      <c r="L52" s="3">
        <f>SUMIFS('Trended Forecast Pipeline'!$G:$G,'Trended Forecast Pipeline'!$D:$D,'Forecast Summary'!$A52,'Trended Forecast Pipeline'!$C:$C,'Forecast Summary'!L$18)</f>
        <v>27</v>
      </c>
      <c r="M52" s="3">
        <f>SUMIFS('Trended Forecast Pipeline'!$G:$G,'Trended Forecast Pipeline'!$D:$D,'Forecast Summary'!$A52,'Trended Forecast Pipeline'!$C:$C,'Forecast Summary'!M$18)</f>
        <v>22</v>
      </c>
      <c r="O52" s="3">
        <f t="shared" si="43"/>
        <v>225</v>
      </c>
      <c r="P52" s="3">
        <f t="shared" si="42"/>
        <v>169</v>
      </c>
      <c r="Q52" s="3">
        <f t="shared" si="42"/>
        <v>51</v>
      </c>
      <c r="R52" s="3">
        <f t="shared" si="42"/>
        <v>69</v>
      </c>
      <c r="T52" s="3">
        <f t="shared" si="44"/>
        <v>514</v>
      </c>
    </row>
    <row r="53" spans="1:20" s="3" customFormat="1" x14ac:dyDescent="0.35">
      <c r="A53" s="3" t="s">
        <v>30</v>
      </c>
      <c r="B53" s="3">
        <f>SUMIFS('Trended Forecast Pipeline'!$G:$G,'Trended Forecast Pipeline'!$D:$D,'Forecast Summary'!$A53,'Trended Forecast Pipeline'!$C:$C,'Forecast Summary'!B$18)</f>
        <v>95</v>
      </c>
      <c r="C53" s="3">
        <f>SUMIFS('Trended Forecast Pipeline'!$G:$G,'Trended Forecast Pipeline'!$D:$D,'Forecast Summary'!$A53,'Trended Forecast Pipeline'!$C:$C,'Forecast Summary'!C$18)</f>
        <v>89</v>
      </c>
      <c r="D53" s="3">
        <f>SUMIFS('Trended Forecast Pipeline'!$G:$G,'Trended Forecast Pipeline'!$D:$D,'Forecast Summary'!$A53,'Trended Forecast Pipeline'!$C:$C,'Forecast Summary'!D$18)</f>
        <v>104</v>
      </c>
      <c r="E53" s="3">
        <f>SUMIFS('Trended Forecast Pipeline'!$G:$G,'Trended Forecast Pipeline'!$D:$D,'Forecast Summary'!$A53,'Trended Forecast Pipeline'!$C:$C,'Forecast Summary'!E$18)</f>
        <v>114</v>
      </c>
      <c r="F53" s="3">
        <f>SUMIFS('Trended Forecast Pipeline'!$G:$G,'Trended Forecast Pipeline'!$D:$D,'Forecast Summary'!$A53,'Trended Forecast Pipeline'!$C:$C,'Forecast Summary'!F$18)</f>
        <v>116</v>
      </c>
      <c r="G53" s="3">
        <f>SUMIFS('Trended Forecast Pipeline'!$G:$G,'Trended Forecast Pipeline'!$D:$D,'Forecast Summary'!$A53,'Trended Forecast Pipeline'!$C:$C,'Forecast Summary'!G$18)</f>
        <v>22</v>
      </c>
      <c r="H53" s="3">
        <f>SUMIFS('Trended Forecast Pipeline'!$G:$G,'Trended Forecast Pipeline'!$D:$D,'Forecast Summary'!$A53,'Trended Forecast Pipeline'!$C:$C,'Forecast Summary'!H$18)</f>
        <v>20</v>
      </c>
      <c r="I53" s="3">
        <f>SUMIFS('Trended Forecast Pipeline'!$G:$G,'Trended Forecast Pipeline'!$D:$D,'Forecast Summary'!$A53,'Trended Forecast Pipeline'!$C:$C,'Forecast Summary'!I$18)</f>
        <v>24</v>
      </c>
      <c r="J53" s="3">
        <f>SUMIFS('Trended Forecast Pipeline'!$G:$G,'Trended Forecast Pipeline'!$D:$D,'Forecast Summary'!$A53,'Trended Forecast Pipeline'!$C:$C,'Forecast Summary'!J$18)</f>
        <v>31</v>
      </c>
      <c r="K53" s="3">
        <f>SUMIFS('Trended Forecast Pipeline'!$G:$G,'Trended Forecast Pipeline'!$D:$D,'Forecast Summary'!$A53,'Trended Forecast Pipeline'!$C:$C,'Forecast Summary'!K$18)</f>
        <v>34</v>
      </c>
      <c r="L53" s="3">
        <f>SUMIFS('Trended Forecast Pipeline'!$G:$G,'Trended Forecast Pipeline'!$D:$D,'Forecast Summary'!$A53,'Trended Forecast Pipeline'!$C:$C,'Forecast Summary'!L$18)</f>
        <v>37</v>
      </c>
      <c r="M53" s="3">
        <f>SUMIFS('Trended Forecast Pipeline'!$G:$G,'Trended Forecast Pipeline'!$D:$D,'Forecast Summary'!$A53,'Trended Forecast Pipeline'!$C:$C,'Forecast Summary'!M$18)</f>
        <v>40</v>
      </c>
      <c r="O53" s="3">
        <f t="shared" si="43"/>
        <v>288</v>
      </c>
      <c r="P53" s="3">
        <f t="shared" si="42"/>
        <v>252</v>
      </c>
      <c r="Q53" s="3">
        <f t="shared" si="42"/>
        <v>75</v>
      </c>
      <c r="R53" s="3">
        <f t="shared" si="42"/>
        <v>111</v>
      </c>
      <c r="T53" s="3">
        <f t="shared" si="44"/>
        <v>726</v>
      </c>
    </row>
    <row r="54" spans="1:20" s="3" customFormat="1" x14ac:dyDescent="0.35">
      <c r="A54" s="3" t="s">
        <v>31</v>
      </c>
      <c r="B54" s="3">
        <f>SUMIFS('Trended Forecast Pipeline'!$G:$G,'Trended Forecast Pipeline'!$D:$D,'Forecast Summary'!$A54,'Trended Forecast Pipeline'!$C:$C,'Forecast Summary'!B$18)</f>
        <v>52</v>
      </c>
      <c r="C54" s="3">
        <f>SUMIFS('Trended Forecast Pipeline'!$G:$G,'Trended Forecast Pipeline'!$D:$D,'Forecast Summary'!$A54,'Trended Forecast Pipeline'!$C:$C,'Forecast Summary'!C$18)</f>
        <v>59</v>
      </c>
      <c r="D54" s="3">
        <f>SUMIFS('Trended Forecast Pipeline'!$G:$G,'Trended Forecast Pipeline'!$D:$D,'Forecast Summary'!$A54,'Trended Forecast Pipeline'!$C:$C,'Forecast Summary'!D$18)</f>
        <v>58</v>
      </c>
      <c r="E54" s="3">
        <f>SUMIFS('Trended Forecast Pipeline'!$G:$G,'Trended Forecast Pipeline'!$D:$D,'Forecast Summary'!$A54,'Trended Forecast Pipeline'!$C:$C,'Forecast Summary'!E$18)</f>
        <v>53</v>
      </c>
      <c r="F54" s="3">
        <f>SUMIFS('Trended Forecast Pipeline'!$G:$G,'Trended Forecast Pipeline'!$D:$D,'Forecast Summary'!$A54,'Trended Forecast Pipeline'!$C:$C,'Forecast Summary'!F$18)</f>
        <v>56</v>
      </c>
      <c r="G54" s="3">
        <f>SUMIFS('Trended Forecast Pipeline'!$G:$G,'Trended Forecast Pipeline'!$D:$D,'Forecast Summary'!$A54,'Trended Forecast Pipeline'!$C:$C,'Forecast Summary'!G$18)</f>
        <v>8</v>
      </c>
      <c r="H54" s="3">
        <f>SUMIFS('Trended Forecast Pipeline'!$G:$G,'Trended Forecast Pipeline'!$D:$D,'Forecast Summary'!$A54,'Trended Forecast Pipeline'!$C:$C,'Forecast Summary'!H$18)</f>
        <v>11</v>
      </c>
      <c r="I54" s="3">
        <f>SUMIFS('Trended Forecast Pipeline'!$G:$G,'Trended Forecast Pipeline'!$D:$D,'Forecast Summary'!$A54,'Trended Forecast Pipeline'!$C:$C,'Forecast Summary'!I$18)</f>
        <v>12</v>
      </c>
      <c r="J54" s="3">
        <f>SUMIFS('Trended Forecast Pipeline'!$G:$G,'Trended Forecast Pipeline'!$D:$D,'Forecast Summary'!$A54,'Trended Forecast Pipeline'!$C:$C,'Forecast Summary'!J$18)</f>
        <v>12</v>
      </c>
      <c r="K54" s="3">
        <f>SUMIFS('Trended Forecast Pipeline'!$G:$G,'Trended Forecast Pipeline'!$D:$D,'Forecast Summary'!$A54,'Trended Forecast Pipeline'!$C:$C,'Forecast Summary'!K$18)</f>
        <v>18</v>
      </c>
      <c r="L54" s="3">
        <f>SUMIFS('Trended Forecast Pipeline'!$G:$G,'Trended Forecast Pipeline'!$D:$D,'Forecast Summary'!$A54,'Trended Forecast Pipeline'!$C:$C,'Forecast Summary'!L$18)</f>
        <v>15</v>
      </c>
      <c r="M54" s="3">
        <f>SUMIFS('Trended Forecast Pipeline'!$G:$G,'Trended Forecast Pipeline'!$D:$D,'Forecast Summary'!$A54,'Trended Forecast Pipeline'!$C:$C,'Forecast Summary'!M$18)</f>
        <v>22</v>
      </c>
      <c r="O54" s="3">
        <f t="shared" si="43"/>
        <v>169</v>
      </c>
      <c r="P54" s="3">
        <f t="shared" si="42"/>
        <v>117</v>
      </c>
      <c r="Q54" s="3">
        <f t="shared" si="42"/>
        <v>35</v>
      </c>
      <c r="R54" s="3">
        <f t="shared" si="42"/>
        <v>55</v>
      </c>
      <c r="T54" s="3">
        <f t="shared" si="44"/>
        <v>376</v>
      </c>
    </row>
    <row r="55" spans="1:20" s="3" customFormat="1" x14ac:dyDescent="0.35">
      <c r="A55" s="3" t="s">
        <v>32</v>
      </c>
      <c r="B55" s="3">
        <f>SUMIFS('Trended Forecast Pipeline'!$G:$G,'Trended Forecast Pipeline'!$D:$D,'Forecast Summary'!$A55,'Trended Forecast Pipeline'!$C:$C,'Forecast Summary'!B$18)</f>
        <v>42</v>
      </c>
      <c r="C55" s="3">
        <f>SUMIFS('Trended Forecast Pipeline'!$G:$G,'Trended Forecast Pipeline'!$D:$D,'Forecast Summary'!$A55,'Trended Forecast Pipeline'!$C:$C,'Forecast Summary'!C$18)</f>
        <v>40</v>
      </c>
      <c r="D55" s="3">
        <f>SUMIFS('Trended Forecast Pipeline'!$G:$G,'Trended Forecast Pipeline'!$D:$D,'Forecast Summary'!$A55,'Trended Forecast Pipeline'!$C:$C,'Forecast Summary'!D$18)</f>
        <v>40</v>
      </c>
      <c r="E55" s="3">
        <f>SUMIFS('Trended Forecast Pipeline'!$G:$G,'Trended Forecast Pipeline'!$D:$D,'Forecast Summary'!$A55,'Trended Forecast Pipeline'!$C:$C,'Forecast Summary'!E$18)</f>
        <v>46</v>
      </c>
      <c r="F55" s="3">
        <f>SUMIFS('Trended Forecast Pipeline'!$G:$G,'Trended Forecast Pipeline'!$D:$D,'Forecast Summary'!$A55,'Trended Forecast Pipeline'!$C:$C,'Forecast Summary'!F$18)</f>
        <v>43</v>
      </c>
      <c r="G55" s="3">
        <f>SUMIFS('Trended Forecast Pipeline'!$G:$G,'Trended Forecast Pipeline'!$D:$D,'Forecast Summary'!$A55,'Trended Forecast Pipeline'!$C:$C,'Forecast Summary'!G$18)</f>
        <v>4</v>
      </c>
      <c r="H55" s="3">
        <f>SUMIFS('Trended Forecast Pipeline'!$G:$G,'Trended Forecast Pipeline'!$D:$D,'Forecast Summary'!$A55,'Trended Forecast Pipeline'!$C:$C,'Forecast Summary'!H$18)</f>
        <v>3</v>
      </c>
      <c r="I55" s="3">
        <f>SUMIFS('Trended Forecast Pipeline'!$G:$G,'Trended Forecast Pipeline'!$D:$D,'Forecast Summary'!$A55,'Trended Forecast Pipeline'!$C:$C,'Forecast Summary'!I$18)</f>
        <v>3</v>
      </c>
      <c r="J55" s="3">
        <f>SUMIFS('Trended Forecast Pipeline'!$G:$G,'Trended Forecast Pipeline'!$D:$D,'Forecast Summary'!$A55,'Trended Forecast Pipeline'!$C:$C,'Forecast Summary'!J$18)</f>
        <v>4</v>
      </c>
      <c r="K55" s="3">
        <f>SUMIFS('Trended Forecast Pipeline'!$G:$G,'Trended Forecast Pipeline'!$D:$D,'Forecast Summary'!$A55,'Trended Forecast Pipeline'!$C:$C,'Forecast Summary'!K$18)</f>
        <v>5</v>
      </c>
      <c r="L55" s="3">
        <f>SUMIFS('Trended Forecast Pipeline'!$G:$G,'Trended Forecast Pipeline'!$D:$D,'Forecast Summary'!$A55,'Trended Forecast Pipeline'!$C:$C,'Forecast Summary'!L$18)</f>
        <v>4</v>
      </c>
      <c r="M55" s="3">
        <f>SUMIFS('Trended Forecast Pipeline'!$G:$G,'Trended Forecast Pipeline'!$D:$D,'Forecast Summary'!$A55,'Trended Forecast Pipeline'!$C:$C,'Forecast Summary'!M$18)</f>
        <v>6</v>
      </c>
      <c r="O55" s="3">
        <f t="shared" si="43"/>
        <v>122</v>
      </c>
      <c r="P55" s="3">
        <f t="shared" si="42"/>
        <v>93</v>
      </c>
      <c r="Q55" s="3">
        <f t="shared" si="42"/>
        <v>10</v>
      </c>
      <c r="R55" s="3">
        <f t="shared" si="42"/>
        <v>15</v>
      </c>
      <c r="T55" s="3">
        <f t="shared" si="44"/>
        <v>240</v>
      </c>
    </row>
    <row r="56" spans="1:20" s="3" customFormat="1" x14ac:dyDescent="0.35">
      <c r="A56" s="3" t="s">
        <v>33</v>
      </c>
      <c r="B56" s="3">
        <f>SUMIFS('Trended Forecast Pipeline'!$G:$G,'Trended Forecast Pipeline'!$D:$D,'Forecast Summary'!$A56,'Trended Forecast Pipeline'!$C:$C,'Forecast Summary'!B$18)</f>
        <v>72</v>
      </c>
      <c r="C56" s="3">
        <f>SUMIFS('Trended Forecast Pipeline'!$G:$G,'Trended Forecast Pipeline'!$D:$D,'Forecast Summary'!$A56,'Trended Forecast Pipeline'!$C:$C,'Forecast Summary'!C$18)</f>
        <v>65</v>
      </c>
      <c r="D56" s="3">
        <f>SUMIFS('Trended Forecast Pipeline'!$G:$G,'Trended Forecast Pipeline'!$D:$D,'Forecast Summary'!$A56,'Trended Forecast Pipeline'!$C:$C,'Forecast Summary'!D$18)</f>
        <v>75</v>
      </c>
      <c r="E56" s="3">
        <f>SUMIFS('Trended Forecast Pipeline'!$G:$G,'Trended Forecast Pipeline'!$D:$D,'Forecast Summary'!$A56,'Trended Forecast Pipeline'!$C:$C,'Forecast Summary'!E$18)</f>
        <v>72</v>
      </c>
      <c r="F56" s="3">
        <f>SUMIFS('Trended Forecast Pipeline'!$G:$G,'Trended Forecast Pipeline'!$D:$D,'Forecast Summary'!$A56,'Trended Forecast Pipeline'!$C:$C,'Forecast Summary'!F$18)</f>
        <v>78</v>
      </c>
      <c r="G56" s="3">
        <f>SUMIFS('Trended Forecast Pipeline'!$G:$G,'Trended Forecast Pipeline'!$D:$D,'Forecast Summary'!$A56,'Trended Forecast Pipeline'!$C:$C,'Forecast Summary'!G$18)</f>
        <v>12</v>
      </c>
      <c r="H56" s="3">
        <f>SUMIFS('Trended Forecast Pipeline'!$G:$G,'Trended Forecast Pipeline'!$D:$D,'Forecast Summary'!$A56,'Trended Forecast Pipeline'!$C:$C,'Forecast Summary'!H$18)</f>
        <v>10</v>
      </c>
      <c r="I56" s="3">
        <f>SUMIFS('Trended Forecast Pipeline'!$G:$G,'Trended Forecast Pipeline'!$D:$D,'Forecast Summary'!$A56,'Trended Forecast Pipeline'!$C:$C,'Forecast Summary'!I$18)</f>
        <v>10</v>
      </c>
      <c r="J56" s="3">
        <f>SUMIFS('Trended Forecast Pipeline'!$G:$G,'Trended Forecast Pipeline'!$D:$D,'Forecast Summary'!$A56,'Trended Forecast Pipeline'!$C:$C,'Forecast Summary'!J$18)</f>
        <v>16</v>
      </c>
      <c r="K56" s="3">
        <f>SUMIFS('Trended Forecast Pipeline'!$G:$G,'Trended Forecast Pipeline'!$D:$D,'Forecast Summary'!$A56,'Trended Forecast Pipeline'!$C:$C,'Forecast Summary'!K$18)</f>
        <v>18</v>
      </c>
      <c r="L56" s="3">
        <f>SUMIFS('Trended Forecast Pipeline'!$G:$G,'Trended Forecast Pipeline'!$D:$D,'Forecast Summary'!$A56,'Trended Forecast Pipeline'!$C:$C,'Forecast Summary'!L$18)</f>
        <v>23</v>
      </c>
      <c r="M56" s="3">
        <f>SUMIFS('Trended Forecast Pipeline'!$G:$G,'Trended Forecast Pipeline'!$D:$D,'Forecast Summary'!$A56,'Trended Forecast Pipeline'!$C:$C,'Forecast Summary'!M$18)</f>
        <v>18</v>
      </c>
      <c r="O56" s="3">
        <f t="shared" si="43"/>
        <v>212</v>
      </c>
      <c r="P56" s="3">
        <f t="shared" si="42"/>
        <v>162</v>
      </c>
      <c r="Q56" s="3">
        <f t="shared" si="42"/>
        <v>36</v>
      </c>
      <c r="R56" s="3">
        <f t="shared" si="42"/>
        <v>59</v>
      </c>
      <c r="T56" s="3">
        <f t="shared" si="44"/>
        <v>469</v>
      </c>
    </row>
    <row r="57" spans="1:20" s="3" customFormat="1" x14ac:dyDescent="0.35">
      <c r="A57" s="3" t="s">
        <v>34</v>
      </c>
      <c r="B57" s="3">
        <f>SUMIFS('Trended Forecast Pipeline'!$G:$G,'Trended Forecast Pipeline'!$D:$D,'Forecast Summary'!$A57,'Trended Forecast Pipeline'!$C:$C,'Forecast Summary'!B$18)</f>
        <v>91</v>
      </c>
      <c r="C57" s="3">
        <f>SUMIFS('Trended Forecast Pipeline'!$G:$G,'Trended Forecast Pipeline'!$D:$D,'Forecast Summary'!$A57,'Trended Forecast Pipeline'!$C:$C,'Forecast Summary'!C$18)</f>
        <v>117</v>
      </c>
      <c r="D57" s="3">
        <f>SUMIFS('Trended Forecast Pipeline'!$G:$G,'Trended Forecast Pipeline'!$D:$D,'Forecast Summary'!$A57,'Trended Forecast Pipeline'!$C:$C,'Forecast Summary'!D$18)</f>
        <v>124</v>
      </c>
      <c r="E57" s="3">
        <f>SUMIFS('Trended Forecast Pipeline'!$G:$G,'Trended Forecast Pipeline'!$D:$D,'Forecast Summary'!$A57,'Trended Forecast Pipeline'!$C:$C,'Forecast Summary'!E$18)</f>
        <v>122</v>
      </c>
      <c r="F57" s="3">
        <f>SUMIFS('Trended Forecast Pipeline'!$G:$G,'Trended Forecast Pipeline'!$D:$D,'Forecast Summary'!$A57,'Trended Forecast Pipeline'!$C:$C,'Forecast Summary'!F$18)</f>
        <v>118</v>
      </c>
      <c r="G57" s="3">
        <f>SUMIFS('Trended Forecast Pipeline'!$G:$G,'Trended Forecast Pipeline'!$D:$D,'Forecast Summary'!$A57,'Trended Forecast Pipeline'!$C:$C,'Forecast Summary'!G$18)</f>
        <v>34</v>
      </c>
      <c r="H57" s="3">
        <f>SUMIFS('Trended Forecast Pipeline'!$G:$G,'Trended Forecast Pipeline'!$D:$D,'Forecast Summary'!$A57,'Trended Forecast Pipeline'!$C:$C,'Forecast Summary'!H$18)</f>
        <v>33</v>
      </c>
      <c r="I57" s="3">
        <f>SUMIFS('Trended Forecast Pipeline'!$G:$G,'Trended Forecast Pipeline'!$D:$D,'Forecast Summary'!$A57,'Trended Forecast Pipeline'!$C:$C,'Forecast Summary'!I$18)</f>
        <v>34</v>
      </c>
      <c r="J57" s="3">
        <f>SUMIFS('Trended Forecast Pipeline'!$G:$G,'Trended Forecast Pipeline'!$D:$D,'Forecast Summary'!$A57,'Trended Forecast Pipeline'!$C:$C,'Forecast Summary'!J$18)</f>
        <v>46</v>
      </c>
      <c r="K57" s="3">
        <f>SUMIFS('Trended Forecast Pipeline'!$G:$G,'Trended Forecast Pipeline'!$D:$D,'Forecast Summary'!$A57,'Trended Forecast Pipeline'!$C:$C,'Forecast Summary'!K$18)</f>
        <v>44</v>
      </c>
      <c r="L57" s="3">
        <f>SUMIFS('Trended Forecast Pipeline'!$G:$G,'Trended Forecast Pipeline'!$D:$D,'Forecast Summary'!$A57,'Trended Forecast Pipeline'!$C:$C,'Forecast Summary'!L$18)</f>
        <v>58</v>
      </c>
      <c r="M57" s="3">
        <f>SUMIFS('Trended Forecast Pipeline'!$G:$G,'Trended Forecast Pipeline'!$D:$D,'Forecast Summary'!$A57,'Trended Forecast Pipeline'!$C:$C,'Forecast Summary'!M$18)</f>
        <v>61</v>
      </c>
      <c r="O57" s="3">
        <f t="shared" si="43"/>
        <v>332</v>
      </c>
      <c r="P57" s="3">
        <f t="shared" si="42"/>
        <v>274</v>
      </c>
      <c r="Q57" s="3">
        <f t="shared" si="42"/>
        <v>113</v>
      </c>
      <c r="R57" s="3">
        <f t="shared" si="42"/>
        <v>163</v>
      </c>
      <c r="T57" s="3">
        <f t="shared" si="44"/>
        <v>882</v>
      </c>
    </row>
    <row r="58" spans="1:20" s="3" customFormat="1" x14ac:dyDescent="0.35">
      <c r="A58" s="3" t="s">
        <v>35</v>
      </c>
      <c r="B58" s="3">
        <f>SUMIFS('Trended Forecast Pipeline'!$G:$G,'Trended Forecast Pipeline'!$D:$D,'Forecast Summary'!$A58,'Trended Forecast Pipeline'!$C:$C,'Forecast Summary'!B$18)</f>
        <v>117</v>
      </c>
      <c r="C58" s="3">
        <f>SUMIFS('Trended Forecast Pipeline'!$G:$G,'Trended Forecast Pipeline'!$D:$D,'Forecast Summary'!$A58,'Trended Forecast Pipeline'!$C:$C,'Forecast Summary'!C$18)</f>
        <v>126</v>
      </c>
      <c r="D58" s="3">
        <f>SUMIFS('Trended Forecast Pipeline'!$G:$G,'Trended Forecast Pipeline'!$D:$D,'Forecast Summary'!$A58,'Trended Forecast Pipeline'!$C:$C,'Forecast Summary'!D$18)</f>
        <v>140</v>
      </c>
      <c r="E58" s="3">
        <f>SUMIFS('Trended Forecast Pipeline'!$G:$G,'Trended Forecast Pipeline'!$D:$D,'Forecast Summary'!$A58,'Trended Forecast Pipeline'!$C:$C,'Forecast Summary'!E$18)</f>
        <v>125</v>
      </c>
      <c r="F58" s="3">
        <f>SUMIFS('Trended Forecast Pipeline'!$G:$G,'Trended Forecast Pipeline'!$D:$D,'Forecast Summary'!$A58,'Trended Forecast Pipeline'!$C:$C,'Forecast Summary'!F$18)</f>
        <v>129</v>
      </c>
      <c r="G58" s="3">
        <f>SUMIFS('Trended Forecast Pipeline'!$G:$G,'Trended Forecast Pipeline'!$D:$D,'Forecast Summary'!$A58,'Trended Forecast Pipeline'!$C:$C,'Forecast Summary'!G$18)</f>
        <v>15</v>
      </c>
      <c r="H58" s="3">
        <f>SUMIFS('Trended Forecast Pipeline'!$G:$G,'Trended Forecast Pipeline'!$D:$D,'Forecast Summary'!$A58,'Trended Forecast Pipeline'!$C:$C,'Forecast Summary'!H$18)</f>
        <v>17</v>
      </c>
      <c r="I58" s="3">
        <f>SUMIFS('Trended Forecast Pipeline'!$G:$G,'Trended Forecast Pipeline'!$D:$D,'Forecast Summary'!$A58,'Trended Forecast Pipeline'!$C:$C,'Forecast Summary'!I$18)</f>
        <v>18</v>
      </c>
      <c r="J58" s="3">
        <f>SUMIFS('Trended Forecast Pipeline'!$G:$G,'Trended Forecast Pipeline'!$D:$D,'Forecast Summary'!$A58,'Trended Forecast Pipeline'!$C:$C,'Forecast Summary'!J$18)</f>
        <v>18</v>
      </c>
      <c r="K58" s="3">
        <f>SUMIFS('Trended Forecast Pipeline'!$G:$G,'Trended Forecast Pipeline'!$D:$D,'Forecast Summary'!$A58,'Trended Forecast Pipeline'!$C:$C,'Forecast Summary'!K$18)</f>
        <v>20</v>
      </c>
      <c r="L58" s="3">
        <f>SUMIFS('Trended Forecast Pipeline'!$G:$G,'Trended Forecast Pipeline'!$D:$D,'Forecast Summary'!$A58,'Trended Forecast Pipeline'!$C:$C,'Forecast Summary'!L$18)</f>
        <v>26</v>
      </c>
      <c r="M58" s="3">
        <f>SUMIFS('Trended Forecast Pipeline'!$G:$G,'Trended Forecast Pipeline'!$D:$D,'Forecast Summary'!$A58,'Trended Forecast Pipeline'!$C:$C,'Forecast Summary'!M$18)</f>
        <v>26</v>
      </c>
      <c r="O58" s="3">
        <f t="shared" si="43"/>
        <v>383</v>
      </c>
      <c r="P58" s="3">
        <f t="shared" si="42"/>
        <v>269</v>
      </c>
      <c r="Q58" s="3">
        <f t="shared" si="42"/>
        <v>53</v>
      </c>
      <c r="R58" s="3">
        <f t="shared" si="42"/>
        <v>72</v>
      </c>
      <c r="T58" s="3">
        <f t="shared" si="44"/>
        <v>777</v>
      </c>
    </row>
    <row r="59" spans="1:20" s="3" customFormat="1" x14ac:dyDescent="0.35">
      <c r="A59" s="3" t="s">
        <v>36</v>
      </c>
      <c r="B59" s="3">
        <f>SUMIFS('Trended Forecast Pipeline'!$G:$G,'Trended Forecast Pipeline'!$D:$D,'Forecast Summary'!$A59,'Trended Forecast Pipeline'!$C:$C,'Forecast Summary'!B$18)</f>
        <v>31</v>
      </c>
      <c r="C59" s="3">
        <f>SUMIFS('Trended Forecast Pipeline'!$G:$G,'Trended Forecast Pipeline'!$D:$D,'Forecast Summary'!$A59,'Trended Forecast Pipeline'!$C:$C,'Forecast Summary'!C$18)</f>
        <v>37</v>
      </c>
      <c r="D59" s="3">
        <f>SUMIFS('Trended Forecast Pipeline'!$G:$G,'Trended Forecast Pipeline'!$D:$D,'Forecast Summary'!$A59,'Trended Forecast Pipeline'!$C:$C,'Forecast Summary'!D$18)</f>
        <v>36</v>
      </c>
      <c r="E59" s="3">
        <f>SUMIFS('Trended Forecast Pipeline'!$G:$G,'Trended Forecast Pipeline'!$D:$D,'Forecast Summary'!$A59,'Trended Forecast Pipeline'!$C:$C,'Forecast Summary'!E$18)</f>
        <v>32</v>
      </c>
      <c r="F59" s="3">
        <f>SUMIFS('Trended Forecast Pipeline'!$G:$G,'Trended Forecast Pipeline'!$D:$D,'Forecast Summary'!$A59,'Trended Forecast Pipeline'!$C:$C,'Forecast Summary'!F$18)</f>
        <v>40</v>
      </c>
      <c r="G59" s="3">
        <f>SUMIFS('Trended Forecast Pipeline'!$G:$G,'Trended Forecast Pipeline'!$D:$D,'Forecast Summary'!$A59,'Trended Forecast Pipeline'!$C:$C,'Forecast Summary'!G$18)</f>
        <v>0</v>
      </c>
      <c r="H59" s="3">
        <f>SUMIFS('Trended Forecast Pipeline'!$G:$G,'Trended Forecast Pipeline'!$D:$D,'Forecast Summary'!$A59,'Trended Forecast Pipeline'!$C:$C,'Forecast Summary'!H$18)</f>
        <v>0</v>
      </c>
      <c r="I59" s="3">
        <f>SUMIFS('Trended Forecast Pipeline'!$G:$G,'Trended Forecast Pipeline'!$D:$D,'Forecast Summary'!$A59,'Trended Forecast Pipeline'!$C:$C,'Forecast Summary'!I$18)</f>
        <v>0</v>
      </c>
      <c r="J59" s="3">
        <f>SUMIFS('Trended Forecast Pipeline'!$G:$G,'Trended Forecast Pipeline'!$D:$D,'Forecast Summary'!$A59,'Trended Forecast Pipeline'!$C:$C,'Forecast Summary'!J$18)</f>
        <v>0</v>
      </c>
      <c r="K59" s="3">
        <f>SUMIFS('Trended Forecast Pipeline'!$G:$G,'Trended Forecast Pipeline'!$D:$D,'Forecast Summary'!$A59,'Trended Forecast Pipeline'!$C:$C,'Forecast Summary'!K$18)</f>
        <v>0</v>
      </c>
      <c r="L59" s="3">
        <f>SUMIFS('Trended Forecast Pipeline'!$G:$G,'Trended Forecast Pipeline'!$D:$D,'Forecast Summary'!$A59,'Trended Forecast Pipeline'!$C:$C,'Forecast Summary'!L$18)</f>
        <v>0</v>
      </c>
      <c r="M59" s="3">
        <f>SUMIFS('Trended Forecast Pipeline'!$G:$G,'Trended Forecast Pipeline'!$D:$D,'Forecast Summary'!$A59,'Trended Forecast Pipeline'!$C:$C,'Forecast Summary'!M$18)</f>
        <v>0</v>
      </c>
      <c r="O59" s="3">
        <f t="shared" si="43"/>
        <v>104</v>
      </c>
      <c r="P59" s="3">
        <f t="shared" si="42"/>
        <v>72</v>
      </c>
      <c r="Q59" s="3">
        <f t="shared" si="42"/>
        <v>0</v>
      </c>
      <c r="R59" s="3">
        <f t="shared" si="42"/>
        <v>0</v>
      </c>
      <c r="T59" s="3">
        <f t="shared" si="44"/>
        <v>176</v>
      </c>
    </row>
    <row r="60" spans="1:20" s="8" customFormat="1" x14ac:dyDescent="0.35">
      <c r="A60" s="8" t="s">
        <v>63</v>
      </c>
      <c r="B60" s="8">
        <f>SUM(B49:B59)</f>
        <v>1002</v>
      </c>
      <c r="C60" s="8">
        <f t="shared" ref="C60:M60" si="45">SUM(C49:C59)</f>
        <v>1102</v>
      </c>
      <c r="D60" s="8">
        <f t="shared" si="45"/>
        <v>1158</v>
      </c>
      <c r="E60" s="8">
        <f t="shared" si="45"/>
        <v>1157</v>
      </c>
      <c r="F60" s="8">
        <f t="shared" si="45"/>
        <v>1221</v>
      </c>
      <c r="G60" s="8">
        <f t="shared" si="45"/>
        <v>212</v>
      </c>
      <c r="H60" s="8">
        <f t="shared" si="45"/>
        <v>219</v>
      </c>
      <c r="I60" s="8">
        <f t="shared" si="45"/>
        <v>232</v>
      </c>
      <c r="J60" s="8">
        <f t="shared" si="45"/>
        <v>278</v>
      </c>
      <c r="K60" s="8">
        <f t="shared" si="45"/>
        <v>318</v>
      </c>
      <c r="L60" s="8">
        <f t="shared" si="45"/>
        <v>352</v>
      </c>
      <c r="M60" s="8">
        <f t="shared" si="45"/>
        <v>390</v>
      </c>
      <c r="O60" s="8">
        <f t="shared" si="43"/>
        <v>3262</v>
      </c>
      <c r="P60" s="8">
        <f t="shared" si="42"/>
        <v>2590</v>
      </c>
      <c r="Q60" s="8">
        <f t="shared" si="42"/>
        <v>729</v>
      </c>
      <c r="R60" s="8">
        <f t="shared" si="42"/>
        <v>1060</v>
      </c>
      <c r="T60" s="8">
        <f t="shared" si="44"/>
        <v>7641</v>
      </c>
    </row>
    <row r="62" spans="1:20" s="7" customFormat="1" x14ac:dyDescent="0.35">
      <c r="A62" s="7" t="s">
        <v>65</v>
      </c>
      <c r="B62" s="10" t="s">
        <v>55</v>
      </c>
      <c r="C62" s="10" t="s">
        <v>55</v>
      </c>
      <c r="D62" s="10" t="s">
        <v>55</v>
      </c>
      <c r="E62" s="10" t="s">
        <v>56</v>
      </c>
      <c r="F62" s="10" t="s">
        <v>56</v>
      </c>
      <c r="G62" s="10" t="s">
        <v>56</v>
      </c>
      <c r="H62" s="10" t="s">
        <v>57</v>
      </c>
      <c r="I62" s="10" t="s">
        <v>57</v>
      </c>
      <c r="J62" s="10" t="s">
        <v>57</v>
      </c>
      <c r="K62" s="10" t="s">
        <v>58</v>
      </c>
      <c r="L62" s="10" t="s">
        <v>58</v>
      </c>
      <c r="M62" s="10" t="s">
        <v>58</v>
      </c>
    </row>
    <row r="63" spans="1:20" s="7" customFormat="1" x14ac:dyDescent="0.35">
      <c r="A63" s="7" t="s">
        <v>3</v>
      </c>
      <c r="B63" s="10" t="s">
        <v>24</v>
      </c>
      <c r="C63" s="10" t="s">
        <v>37</v>
      </c>
      <c r="D63" s="10" t="s">
        <v>38</v>
      </c>
      <c r="E63" s="10" t="s">
        <v>39</v>
      </c>
      <c r="F63" s="10" t="s">
        <v>40</v>
      </c>
      <c r="G63" s="10" t="s">
        <v>43</v>
      </c>
      <c r="H63" s="10" t="s">
        <v>45</v>
      </c>
      <c r="I63" s="10" t="s">
        <v>46</v>
      </c>
      <c r="J63" s="10" t="s">
        <v>47</v>
      </c>
      <c r="K63" s="10" t="s">
        <v>48</v>
      </c>
      <c r="L63" s="10" t="s">
        <v>49</v>
      </c>
      <c r="M63" s="10" t="s">
        <v>50</v>
      </c>
      <c r="O63" s="10" t="s">
        <v>55</v>
      </c>
      <c r="P63" s="10" t="s">
        <v>56</v>
      </c>
      <c r="Q63" s="10" t="s">
        <v>57</v>
      </c>
      <c r="R63" s="10" t="s">
        <v>58</v>
      </c>
      <c r="T63" s="10" t="s">
        <v>64</v>
      </c>
    </row>
    <row r="64" spans="1:20" s="3" customFormat="1" x14ac:dyDescent="0.35">
      <c r="A64" s="3" t="s">
        <v>25</v>
      </c>
      <c r="B64" s="3">
        <f>SUMIFS('Trended Forecast Pipeline'!$H:$H,'Trended Forecast Pipeline'!$D:$D,'Forecast Summary'!$A64,'Trended Forecast Pipeline'!$C:$C,'Forecast Summary'!B$18)</f>
        <v>77</v>
      </c>
      <c r="C64" s="3">
        <f>SUMIFS('Trended Forecast Pipeline'!$G:$G,'Trended Forecast Pipeline'!$D:$D,'Forecast Summary'!$A64,'Trended Forecast Pipeline'!$C:$C,'Forecast Summary'!C$18)</f>
        <v>177</v>
      </c>
      <c r="D64" s="3">
        <f>SUMIFS('Trended Forecast Pipeline'!$G:$G,'Trended Forecast Pipeline'!$D:$D,'Forecast Summary'!$A64,'Trended Forecast Pipeline'!$C:$C,'Forecast Summary'!D$18)</f>
        <v>165</v>
      </c>
      <c r="E64" s="3">
        <f>SUMIFS('Trended Forecast Pipeline'!$G:$G,'Trended Forecast Pipeline'!$D:$D,'Forecast Summary'!$A64,'Trended Forecast Pipeline'!$C:$C,'Forecast Summary'!E$18)</f>
        <v>154</v>
      </c>
      <c r="F64" s="3">
        <f>SUMIFS('Trended Forecast Pipeline'!$G:$G,'Trended Forecast Pipeline'!$D:$D,'Forecast Summary'!$A64,'Trended Forecast Pipeline'!$C:$C,'Forecast Summary'!F$18)</f>
        <v>177</v>
      </c>
      <c r="G64" s="3">
        <f>SUMIFS('Trended Forecast Pipeline'!$G:$G,'Trended Forecast Pipeline'!$D:$D,'Forecast Summary'!$A64,'Trended Forecast Pipeline'!$C:$C,'Forecast Summary'!G$18)</f>
        <v>42</v>
      </c>
      <c r="H64" s="3">
        <f>SUMIFS('Trended Forecast Pipeline'!$G:$G,'Trended Forecast Pipeline'!$D:$D,'Forecast Summary'!$A64,'Trended Forecast Pipeline'!$C:$C,'Forecast Summary'!H$18)</f>
        <v>47</v>
      </c>
      <c r="I64" s="3">
        <f>SUMIFS('Trended Forecast Pipeline'!$G:$G,'Trended Forecast Pipeline'!$D:$D,'Forecast Summary'!$A64,'Trended Forecast Pipeline'!$C:$C,'Forecast Summary'!I$18)</f>
        <v>51</v>
      </c>
      <c r="J64" s="3">
        <f>SUMIFS('Trended Forecast Pipeline'!$G:$G,'Trended Forecast Pipeline'!$D:$D,'Forecast Summary'!$A64,'Trended Forecast Pipeline'!$C:$C,'Forecast Summary'!J$18)</f>
        <v>56</v>
      </c>
      <c r="K64" s="3">
        <f>SUMIFS('Trended Forecast Pipeline'!$G:$G,'Trended Forecast Pipeline'!$D:$D,'Forecast Summary'!$A64,'Trended Forecast Pipeline'!$C:$C,'Forecast Summary'!K$18)</f>
        <v>73</v>
      </c>
      <c r="L64" s="3">
        <f>SUMIFS('Trended Forecast Pipeline'!$G:$G,'Trended Forecast Pipeline'!$D:$D,'Forecast Summary'!$A64,'Trended Forecast Pipeline'!$C:$C,'Forecast Summary'!L$18)</f>
        <v>66</v>
      </c>
      <c r="M64" s="3">
        <f>SUMIFS('Trended Forecast Pipeline'!$G:$G,'Trended Forecast Pipeline'!$D:$D,'Forecast Summary'!$A64,'Trended Forecast Pipeline'!$C:$C,'Forecast Summary'!M$18)</f>
        <v>80</v>
      </c>
      <c r="O64" s="3">
        <f>SUMIFS($B64:$M64,$B$2:$M$2,O$3)</f>
        <v>419</v>
      </c>
      <c r="P64" s="3">
        <f t="shared" ref="P64:R75" si="46">SUMIFS($B64:$M64,$B$2:$M$2,P$3)</f>
        <v>373</v>
      </c>
      <c r="Q64" s="3">
        <f t="shared" si="46"/>
        <v>154</v>
      </c>
      <c r="R64" s="3">
        <f t="shared" si="46"/>
        <v>219</v>
      </c>
      <c r="T64" s="3">
        <f>SUM(O64:R64)</f>
        <v>1165</v>
      </c>
    </row>
    <row r="65" spans="1:20" s="3" customFormat="1" x14ac:dyDescent="0.35">
      <c r="A65" s="3" t="s">
        <v>27</v>
      </c>
      <c r="B65" s="3">
        <f>SUMIFS('Trended Forecast Pipeline'!$H:$H,'Trended Forecast Pipeline'!$D:$D,'Forecast Summary'!$A65,'Trended Forecast Pipeline'!$C:$C,'Forecast Summary'!B$18)</f>
        <v>56</v>
      </c>
      <c r="C65" s="3">
        <f>SUMIFS('Trended Forecast Pipeline'!$G:$G,'Trended Forecast Pipeline'!$D:$D,'Forecast Summary'!$A65,'Trended Forecast Pipeline'!$C:$C,'Forecast Summary'!C$18)</f>
        <v>183</v>
      </c>
      <c r="D65" s="3">
        <f>SUMIFS('Trended Forecast Pipeline'!$G:$G,'Trended Forecast Pipeline'!$D:$D,'Forecast Summary'!$A65,'Trended Forecast Pipeline'!$C:$C,'Forecast Summary'!D$18)</f>
        <v>193</v>
      </c>
      <c r="E65" s="3">
        <f>SUMIFS('Trended Forecast Pipeline'!$G:$G,'Trended Forecast Pipeline'!$D:$D,'Forecast Summary'!$A65,'Trended Forecast Pipeline'!$C:$C,'Forecast Summary'!E$18)</f>
        <v>201</v>
      </c>
      <c r="F65" s="3">
        <f>SUMIFS('Trended Forecast Pipeline'!$G:$G,'Trended Forecast Pipeline'!$D:$D,'Forecast Summary'!$A65,'Trended Forecast Pipeline'!$C:$C,'Forecast Summary'!F$18)</f>
        <v>227</v>
      </c>
      <c r="G65" s="3">
        <f>SUMIFS('Trended Forecast Pipeline'!$G:$G,'Trended Forecast Pipeline'!$D:$D,'Forecast Summary'!$A65,'Trended Forecast Pipeline'!$C:$C,'Forecast Summary'!G$18)</f>
        <v>45</v>
      </c>
      <c r="H65" s="3">
        <f>SUMIFS('Trended Forecast Pipeline'!$G:$G,'Trended Forecast Pipeline'!$D:$D,'Forecast Summary'!$A65,'Trended Forecast Pipeline'!$C:$C,'Forecast Summary'!H$18)</f>
        <v>46</v>
      </c>
      <c r="I65" s="3">
        <f>SUMIFS('Trended Forecast Pipeline'!$G:$G,'Trended Forecast Pipeline'!$D:$D,'Forecast Summary'!$A65,'Trended Forecast Pipeline'!$C:$C,'Forecast Summary'!I$18)</f>
        <v>44</v>
      </c>
      <c r="J65" s="3">
        <f>SUMIFS('Trended Forecast Pipeline'!$G:$G,'Trended Forecast Pipeline'!$D:$D,'Forecast Summary'!$A65,'Trended Forecast Pipeline'!$C:$C,'Forecast Summary'!J$18)</f>
        <v>55</v>
      </c>
      <c r="K65" s="3">
        <f>SUMIFS('Trended Forecast Pipeline'!$G:$G,'Trended Forecast Pipeline'!$D:$D,'Forecast Summary'!$A65,'Trended Forecast Pipeline'!$C:$C,'Forecast Summary'!K$18)</f>
        <v>60</v>
      </c>
      <c r="L65" s="3">
        <f>SUMIFS('Trended Forecast Pipeline'!$G:$G,'Trended Forecast Pipeline'!$D:$D,'Forecast Summary'!$A65,'Trended Forecast Pipeline'!$C:$C,'Forecast Summary'!L$18)</f>
        <v>64</v>
      </c>
      <c r="M65" s="3">
        <f>SUMIFS('Trended Forecast Pipeline'!$G:$G,'Trended Forecast Pipeline'!$D:$D,'Forecast Summary'!$A65,'Trended Forecast Pipeline'!$C:$C,'Forecast Summary'!M$18)</f>
        <v>85</v>
      </c>
      <c r="O65" s="3">
        <f t="shared" ref="O65:O75" si="47">SUMIFS($B65:$M65,$B$2:$M$2,O$3)</f>
        <v>432</v>
      </c>
      <c r="P65" s="3">
        <f t="shared" si="46"/>
        <v>473</v>
      </c>
      <c r="Q65" s="3">
        <f t="shared" si="46"/>
        <v>145</v>
      </c>
      <c r="R65" s="3">
        <f t="shared" si="46"/>
        <v>209</v>
      </c>
      <c r="T65" s="3">
        <f t="shared" ref="T65:T75" si="48">SUM(O65:R65)</f>
        <v>1259</v>
      </c>
    </row>
    <row r="66" spans="1:20" s="3" customFormat="1" x14ac:dyDescent="0.35">
      <c r="A66" s="3" t="s">
        <v>28</v>
      </c>
      <c r="B66" s="3">
        <f>SUMIFS('Trended Forecast Pipeline'!$H:$H,'Trended Forecast Pipeline'!$D:$D,'Forecast Summary'!$A66,'Trended Forecast Pipeline'!$C:$C,'Forecast Summary'!B$18)</f>
        <v>52</v>
      </c>
      <c r="C66" s="3">
        <f>SUMIFS('Trended Forecast Pipeline'!$G:$G,'Trended Forecast Pipeline'!$D:$D,'Forecast Summary'!$A66,'Trended Forecast Pipeline'!$C:$C,'Forecast Summary'!C$18)</f>
        <v>135</v>
      </c>
      <c r="D66" s="3">
        <f>SUMIFS('Trended Forecast Pipeline'!$G:$G,'Trended Forecast Pipeline'!$D:$D,'Forecast Summary'!$A66,'Trended Forecast Pipeline'!$C:$C,'Forecast Summary'!D$18)</f>
        <v>138</v>
      </c>
      <c r="E66" s="3">
        <f>SUMIFS('Trended Forecast Pipeline'!$G:$G,'Trended Forecast Pipeline'!$D:$D,'Forecast Summary'!$A66,'Trended Forecast Pipeline'!$C:$C,'Forecast Summary'!E$18)</f>
        <v>160</v>
      </c>
      <c r="F66" s="3">
        <f>SUMIFS('Trended Forecast Pipeline'!$G:$G,'Trended Forecast Pipeline'!$D:$D,'Forecast Summary'!$A66,'Trended Forecast Pipeline'!$C:$C,'Forecast Summary'!F$18)</f>
        <v>157</v>
      </c>
      <c r="G66" s="3">
        <f>SUMIFS('Trended Forecast Pipeline'!$G:$G,'Trended Forecast Pipeline'!$D:$D,'Forecast Summary'!$A66,'Trended Forecast Pipeline'!$C:$C,'Forecast Summary'!G$18)</f>
        <v>19</v>
      </c>
      <c r="H66" s="3">
        <f>SUMIFS('Trended Forecast Pipeline'!$G:$G,'Trended Forecast Pipeline'!$D:$D,'Forecast Summary'!$A66,'Trended Forecast Pipeline'!$C:$C,'Forecast Summary'!H$18)</f>
        <v>16</v>
      </c>
      <c r="I66" s="3">
        <f>SUMIFS('Trended Forecast Pipeline'!$G:$G,'Trended Forecast Pipeline'!$D:$D,'Forecast Summary'!$A66,'Trended Forecast Pipeline'!$C:$C,'Forecast Summary'!I$18)</f>
        <v>21</v>
      </c>
      <c r="J66" s="3">
        <f>SUMIFS('Trended Forecast Pipeline'!$G:$G,'Trended Forecast Pipeline'!$D:$D,'Forecast Summary'!$A66,'Trended Forecast Pipeline'!$C:$C,'Forecast Summary'!J$18)</f>
        <v>20</v>
      </c>
      <c r="K66" s="3">
        <f>SUMIFS('Trended Forecast Pipeline'!$G:$G,'Trended Forecast Pipeline'!$D:$D,'Forecast Summary'!$A66,'Trended Forecast Pipeline'!$C:$C,'Forecast Summary'!K$18)</f>
        <v>26</v>
      </c>
      <c r="L66" s="3">
        <f>SUMIFS('Trended Forecast Pipeline'!$G:$G,'Trended Forecast Pipeline'!$D:$D,'Forecast Summary'!$A66,'Trended Forecast Pipeline'!$C:$C,'Forecast Summary'!L$18)</f>
        <v>32</v>
      </c>
      <c r="M66" s="3">
        <f>SUMIFS('Trended Forecast Pipeline'!$G:$G,'Trended Forecast Pipeline'!$D:$D,'Forecast Summary'!$A66,'Trended Forecast Pipeline'!$C:$C,'Forecast Summary'!M$18)</f>
        <v>30</v>
      </c>
      <c r="O66" s="3">
        <f t="shared" si="47"/>
        <v>325</v>
      </c>
      <c r="P66" s="3">
        <f t="shared" si="46"/>
        <v>336</v>
      </c>
      <c r="Q66" s="3">
        <f t="shared" si="46"/>
        <v>57</v>
      </c>
      <c r="R66" s="3">
        <f t="shared" si="46"/>
        <v>88</v>
      </c>
      <c r="T66" s="3">
        <f t="shared" si="48"/>
        <v>806</v>
      </c>
    </row>
    <row r="67" spans="1:20" s="3" customFormat="1" x14ac:dyDescent="0.35">
      <c r="A67" s="3" t="s">
        <v>29</v>
      </c>
      <c r="B67" s="3">
        <f>SUMIFS('Trended Forecast Pipeline'!$H:$H,'Trended Forecast Pipeline'!$D:$D,'Forecast Summary'!$A67,'Trended Forecast Pipeline'!$C:$C,'Forecast Summary'!B$18)</f>
        <v>37</v>
      </c>
      <c r="C67" s="3">
        <f>SUMIFS('Trended Forecast Pipeline'!$G:$G,'Trended Forecast Pipeline'!$D:$D,'Forecast Summary'!$A67,'Trended Forecast Pipeline'!$C:$C,'Forecast Summary'!C$18)</f>
        <v>74</v>
      </c>
      <c r="D67" s="3">
        <f>SUMIFS('Trended Forecast Pipeline'!$G:$G,'Trended Forecast Pipeline'!$D:$D,'Forecast Summary'!$A67,'Trended Forecast Pipeline'!$C:$C,'Forecast Summary'!D$18)</f>
        <v>85</v>
      </c>
      <c r="E67" s="3">
        <f>SUMIFS('Trended Forecast Pipeline'!$G:$G,'Trended Forecast Pipeline'!$D:$D,'Forecast Summary'!$A67,'Trended Forecast Pipeline'!$C:$C,'Forecast Summary'!E$18)</f>
        <v>78</v>
      </c>
      <c r="F67" s="3">
        <f>SUMIFS('Trended Forecast Pipeline'!$G:$G,'Trended Forecast Pipeline'!$D:$D,'Forecast Summary'!$A67,'Trended Forecast Pipeline'!$C:$C,'Forecast Summary'!F$18)</f>
        <v>80</v>
      </c>
      <c r="G67" s="3">
        <f>SUMIFS('Trended Forecast Pipeline'!$G:$G,'Trended Forecast Pipeline'!$D:$D,'Forecast Summary'!$A67,'Trended Forecast Pipeline'!$C:$C,'Forecast Summary'!G$18)</f>
        <v>11</v>
      </c>
      <c r="H67" s="3">
        <f>SUMIFS('Trended Forecast Pipeline'!$G:$G,'Trended Forecast Pipeline'!$D:$D,'Forecast Summary'!$A67,'Trended Forecast Pipeline'!$C:$C,'Forecast Summary'!H$18)</f>
        <v>16</v>
      </c>
      <c r="I67" s="3">
        <f>SUMIFS('Trended Forecast Pipeline'!$G:$G,'Trended Forecast Pipeline'!$D:$D,'Forecast Summary'!$A67,'Trended Forecast Pipeline'!$C:$C,'Forecast Summary'!I$18)</f>
        <v>15</v>
      </c>
      <c r="J67" s="3">
        <f>SUMIFS('Trended Forecast Pipeline'!$G:$G,'Trended Forecast Pipeline'!$D:$D,'Forecast Summary'!$A67,'Trended Forecast Pipeline'!$C:$C,'Forecast Summary'!J$18)</f>
        <v>20</v>
      </c>
      <c r="K67" s="3">
        <f>SUMIFS('Trended Forecast Pipeline'!$G:$G,'Trended Forecast Pipeline'!$D:$D,'Forecast Summary'!$A67,'Trended Forecast Pipeline'!$C:$C,'Forecast Summary'!K$18)</f>
        <v>20</v>
      </c>
      <c r="L67" s="3">
        <f>SUMIFS('Trended Forecast Pipeline'!$G:$G,'Trended Forecast Pipeline'!$D:$D,'Forecast Summary'!$A67,'Trended Forecast Pipeline'!$C:$C,'Forecast Summary'!L$18)</f>
        <v>27</v>
      </c>
      <c r="M67" s="3">
        <f>SUMIFS('Trended Forecast Pipeline'!$G:$G,'Trended Forecast Pipeline'!$D:$D,'Forecast Summary'!$A67,'Trended Forecast Pipeline'!$C:$C,'Forecast Summary'!M$18)</f>
        <v>22</v>
      </c>
      <c r="O67" s="3">
        <f t="shared" si="47"/>
        <v>196</v>
      </c>
      <c r="P67" s="3">
        <f t="shared" si="46"/>
        <v>169</v>
      </c>
      <c r="Q67" s="3">
        <f t="shared" si="46"/>
        <v>51</v>
      </c>
      <c r="R67" s="3">
        <f t="shared" si="46"/>
        <v>69</v>
      </c>
      <c r="T67" s="3">
        <f t="shared" si="48"/>
        <v>485</v>
      </c>
    </row>
    <row r="68" spans="1:20" s="3" customFormat="1" x14ac:dyDescent="0.35">
      <c r="A68" s="3" t="s">
        <v>30</v>
      </c>
      <c r="B68" s="3">
        <f>SUMIFS('Trended Forecast Pipeline'!$H:$H,'Trended Forecast Pipeline'!$D:$D,'Forecast Summary'!$A68,'Trended Forecast Pipeline'!$C:$C,'Forecast Summary'!B$18)</f>
        <v>36</v>
      </c>
      <c r="C68" s="3">
        <f>SUMIFS('Trended Forecast Pipeline'!$G:$G,'Trended Forecast Pipeline'!$D:$D,'Forecast Summary'!$A68,'Trended Forecast Pipeline'!$C:$C,'Forecast Summary'!C$18)</f>
        <v>89</v>
      </c>
      <c r="D68" s="3">
        <f>SUMIFS('Trended Forecast Pipeline'!$G:$G,'Trended Forecast Pipeline'!$D:$D,'Forecast Summary'!$A68,'Trended Forecast Pipeline'!$C:$C,'Forecast Summary'!D$18)</f>
        <v>104</v>
      </c>
      <c r="E68" s="3">
        <f>SUMIFS('Trended Forecast Pipeline'!$G:$G,'Trended Forecast Pipeline'!$D:$D,'Forecast Summary'!$A68,'Trended Forecast Pipeline'!$C:$C,'Forecast Summary'!E$18)</f>
        <v>114</v>
      </c>
      <c r="F68" s="3">
        <f>SUMIFS('Trended Forecast Pipeline'!$G:$G,'Trended Forecast Pipeline'!$D:$D,'Forecast Summary'!$A68,'Trended Forecast Pipeline'!$C:$C,'Forecast Summary'!F$18)</f>
        <v>116</v>
      </c>
      <c r="G68" s="3">
        <f>SUMIFS('Trended Forecast Pipeline'!$G:$G,'Trended Forecast Pipeline'!$D:$D,'Forecast Summary'!$A68,'Trended Forecast Pipeline'!$C:$C,'Forecast Summary'!G$18)</f>
        <v>22</v>
      </c>
      <c r="H68" s="3">
        <f>SUMIFS('Trended Forecast Pipeline'!$G:$G,'Trended Forecast Pipeline'!$D:$D,'Forecast Summary'!$A68,'Trended Forecast Pipeline'!$C:$C,'Forecast Summary'!H$18)</f>
        <v>20</v>
      </c>
      <c r="I68" s="3">
        <f>SUMIFS('Trended Forecast Pipeline'!$G:$G,'Trended Forecast Pipeline'!$D:$D,'Forecast Summary'!$A68,'Trended Forecast Pipeline'!$C:$C,'Forecast Summary'!I$18)</f>
        <v>24</v>
      </c>
      <c r="J68" s="3">
        <f>SUMIFS('Trended Forecast Pipeline'!$G:$G,'Trended Forecast Pipeline'!$D:$D,'Forecast Summary'!$A68,'Trended Forecast Pipeline'!$C:$C,'Forecast Summary'!J$18)</f>
        <v>31</v>
      </c>
      <c r="K68" s="3">
        <f>SUMIFS('Trended Forecast Pipeline'!$G:$G,'Trended Forecast Pipeline'!$D:$D,'Forecast Summary'!$A68,'Trended Forecast Pipeline'!$C:$C,'Forecast Summary'!K$18)</f>
        <v>34</v>
      </c>
      <c r="L68" s="3">
        <f>SUMIFS('Trended Forecast Pipeline'!$G:$G,'Trended Forecast Pipeline'!$D:$D,'Forecast Summary'!$A68,'Trended Forecast Pipeline'!$C:$C,'Forecast Summary'!L$18)</f>
        <v>37</v>
      </c>
      <c r="M68" s="3">
        <f>SUMIFS('Trended Forecast Pipeline'!$G:$G,'Trended Forecast Pipeline'!$D:$D,'Forecast Summary'!$A68,'Trended Forecast Pipeline'!$C:$C,'Forecast Summary'!M$18)</f>
        <v>40</v>
      </c>
      <c r="O68" s="3">
        <f t="shared" si="47"/>
        <v>229</v>
      </c>
      <c r="P68" s="3">
        <f t="shared" si="46"/>
        <v>252</v>
      </c>
      <c r="Q68" s="3">
        <f t="shared" si="46"/>
        <v>75</v>
      </c>
      <c r="R68" s="3">
        <f t="shared" si="46"/>
        <v>111</v>
      </c>
      <c r="T68" s="3">
        <f t="shared" si="48"/>
        <v>667</v>
      </c>
    </row>
    <row r="69" spans="1:20" s="3" customFormat="1" x14ac:dyDescent="0.35">
      <c r="A69" s="3" t="s">
        <v>31</v>
      </c>
      <c r="B69" s="3">
        <f>SUMIFS('Trended Forecast Pipeline'!$H:$H,'Trended Forecast Pipeline'!$D:$D,'Forecast Summary'!$A69,'Trended Forecast Pipeline'!$C:$C,'Forecast Summary'!B$18)</f>
        <v>27</v>
      </c>
      <c r="C69" s="3">
        <f>SUMIFS('Trended Forecast Pipeline'!$G:$G,'Trended Forecast Pipeline'!$D:$D,'Forecast Summary'!$A69,'Trended Forecast Pipeline'!$C:$C,'Forecast Summary'!C$18)</f>
        <v>59</v>
      </c>
      <c r="D69" s="3">
        <f>SUMIFS('Trended Forecast Pipeline'!$G:$G,'Trended Forecast Pipeline'!$D:$D,'Forecast Summary'!$A69,'Trended Forecast Pipeline'!$C:$C,'Forecast Summary'!D$18)</f>
        <v>58</v>
      </c>
      <c r="E69" s="3">
        <f>SUMIFS('Trended Forecast Pipeline'!$G:$G,'Trended Forecast Pipeline'!$D:$D,'Forecast Summary'!$A69,'Trended Forecast Pipeline'!$C:$C,'Forecast Summary'!E$18)</f>
        <v>53</v>
      </c>
      <c r="F69" s="3">
        <f>SUMIFS('Trended Forecast Pipeline'!$G:$G,'Trended Forecast Pipeline'!$D:$D,'Forecast Summary'!$A69,'Trended Forecast Pipeline'!$C:$C,'Forecast Summary'!F$18)</f>
        <v>56</v>
      </c>
      <c r="G69" s="3">
        <f>SUMIFS('Trended Forecast Pipeline'!$G:$G,'Trended Forecast Pipeline'!$D:$D,'Forecast Summary'!$A69,'Trended Forecast Pipeline'!$C:$C,'Forecast Summary'!G$18)</f>
        <v>8</v>
      </c>
      <c r="H69" s="3">
        <f>SUMIFS('Trended Forecast Pipeline'!$G:$G,'Trended Forecast Pipeline'!$D:$D,'Forecast Summary'!$A69,'Trended Forecast Pipeline'!$C:$C,'Forecast Summary'!H$18)</f>
        <v>11</v>
      </c>
      <c r="I69" s="3">
        <f>SUMIFS('Trended Forecast Pipeline'!$G:$G,'Trended Forecast Pipeline'!$D:$D,'Forecast Summary'!$A69,'Trended Forecast Pipeline'!$C:$C,'Forecast Summary'!I$18)</f>
        <v>12</v>
      </c>
      <c r="J69" s="3">
        <f>SUMIFS('Trended Forecast Pipeline'!$G:$G,'Trended Forecast Pipeline'!$D:$D,'Forecast Summary'!$A69,'Trended Forecast Pipeline'!$C:$C,'Forecast Summary'!J$18)</f>
        <v>12</v>
      </c>
      <c r="K69" s="3">
        <f>SUMIFS('Trended Forecast Pipeline'!$G:$G,'Trended Forecast Pipeline'!$D:$D,'Forecast Summary'!$A69,'Trended Forecast Pipeline'!$C:$C,'Forecast Summary'!K$18)</f>
        <v>18</v>
      </c>
      <c r="L69" s="3">
        <f>SUMIFS('Trended Forecast Pipeline'!$G:$G,'Trended Forecast Pipeline'!$D:$D,'Forecast Summary'!$A69,'Trended Forecast Pipeline'!$C:$C,'Forecast Summary'!L$18)</f>
        <v>15</v>
      </c>
      <c r="M69" s="3">
        <f>SUMIFS('Trended Forecast Pipeline'!$G:$G,'Trended Forecast Pipeline'!$D:$D,'Forecast Summary'!$A69,'Trended Forecast Pipeline'!$C:$C,'Forecast Summary'!M$18)</f>
        <v>22</v>
      </c>
      <c r="O69" s="3">
        <f t="shared" si="47"/>
        <v>144</v>
      </c>
      <c r="P69" s="3">
        <f t="shared" si="46"/>
        <v>117</v>
      </c>
      <c r="Q69" s="3">
        <f t="shared" si="46"/>
        <v>35</v>
      </c>
      <c r="R69" s="3">
        <f t="shared" si="46"/>
        <v>55</v>
      </c>
      <c r="T69" s="3">
        <f t="shared" si="48"/>
        <v>351</v>
      </c>
    </row>
    <row r="70" spans="1:20" s="3" customFormat="1" x14ac:dyDescent="0.35">
      <c r="A70" s="3" t="s">
        <v>32</v>
      </c>
      <c r="B70" s="3">
        <f>SUMIFS('Trended Forecast Pipeline'!$H:$H,'Trended Forecast Pipeline'!$D:$D,'Forecast Summary'!$A70,'Trended Forecast Pipeline'!$C:$C,'Forecast Summary'!B$18)</f>
        <v>26</v>
      </c>
      <c r="C70" s="3">
        <f>SUMIFS('Trended Forecast Pipeline'!$G:$G,'Trended Forecast Pipeline'!$D:$D,'Forecast Summary'!$A70,'Trended Forecast Pipeline'!$C:$C,'Forecast Summary'!C$18)</f>
        <v>40</v>
      </c>
      <c r="D70" s="3">
        <f>SUMIFS('Trended Forecast Pipeline'!$G:$G,'Trended Forecast Pipeline'!$D:$D,'Forecast Summary'!$A70,'Trended Forecast Pipeline'!$C:$C,'Forecast Summary'!D$18)</f>
        <v>40</v>
      </c>
      <c r="E70" s="3">
        <f>SUMIFS('Trended Forecast Pipeline'!$G:$G,'Trended Forecast Pipeline'!$D:$D,'Forecast Summary'!$A70,'Trended Forecast Pipeline'!$C:$C,'Forecast Summary'!E$18)</f>
        <v>46</v>
      </c>
      <c r="F70" s="3">
        <f>SUMIFS('Trended Forecast Pipeline'!$G:$G,'Trended Forecast Pipeline'!$D:$D,'Forecast Summary'!$A70,'Trended Forecast Pipeline'!$C:$C,'Forecast Summary'!F$18)</f>
        <v>43</v>
      </c>
      <c r="G70" s="3">
        <f>SUMIFS('Trended Forecast Pipeline'!$G:$G,'Trended Forecast Pipeline'!$D:$D,'Forecast Summary'!$A70,'Trended Forecast Pipeline'!$C:$C,'Forecast Summary'!G$18)</f>
        <v>4</v>
      </c>
      <c r="H70" s="3">
        <f>SUMIFS('Trended Forecast Pipeline'!$G:$G,'Trended Forecast Pipeline'!$D:$D,'Forecast Summary'!$A70,'Trended Forecast Pipeline'!$C:$C,'Forecast Summary'!H$18)</f>
        <v>3</v>
      </c>
      <c r="I70" s="3">
        <f>SUMIFS('Trended Forecast Pipeline'!$G:$G,'Trended Forecast Pipeline'!$D:$D,'Forecast Summary'!$A70,'Trended Forecast Pipeline'!$C:$C,'Forecast Summary'!I$18)</f>
        <v>3</v>
      </c>
      <c r="J70" s="3">
        <f>SUMIFS('Trended Forecast Pipeline'!$G:$G,'Trended Forecast Pipeline'!$D:$D,'Forecast Summary'!$A70,'Trended Forecast Pipeline'!$C:$C,'Forecast Summary'!J$18)</f>
        <v>4</v>
      </c>
      <c r="K70" s="3">
        <f>SUMIFS('Trended Forecast Pipeline'!$G:$G,'Trended Forecast Pipeline'!$D:$D,'Forecast Summary'!$A70,'Trended Forecast Pipeline'!$C:$C,'Forecast Summary'!K$18)</f>
        <v>5</v>
      </c>
      <c r="L70" s="3">
        <f>SUMIFS('Trended Forecast Pipeline'!$G:$G,'Trended Forecast Pipeline'!$D:$D,'Forecast Summary'!$A70,'Trended Forecast Pipeline'!$C:$C,'Forecast Summary'!L$18)</f>
        <v>4</v>
      </c>
      <c r="M70" s="3">
        <f>SUMIFS('Trended Forecast Pipeline'!$G:$G,'Trended Forecast Pipeline'!$D:$D,'Forecast Summary'!$A70,'Trended Forecast Pipeline'!$C:$C,'Forecast Summary'!M$18)</f>
        <v>6</v>
      </c>
      <c r="O70" s="3">
        <f t="shared" si="47"/>
        <v>106</v>
      </c>
      <c r="P70" s="3">
        <f t="shared" si="46"/>
        <v>93</v>
      </c>
      <c r="Q70" s="3">
        <f t="shared" si="46"/>
        <v>10</v>
      </c>
      <c r="R70" s="3">
        <f t="shared" si="46"/>
        <v>15</v>
      </c>
      <c r="T70" s="3">
        <f t="shared" si="48"/>
        <v>224</v>
      </c>
    </row>
    <row r="71" spans="1:20" s="3" customFormat="1" x14ac:dyDescent="0.35">
      <c r="A71" s="3" t="s">
        <v>33</v>
      </c>
      <c r="B71" s="3">
        <f>SUMIFS('Trended Forecast Pipeline'!$H:$H,'Trended Forecast Pipeline'!$D:$D,'Forecast Summary'!$A71,'Trended Forecast Pipeline'!$C:$C,'Forecast Summary'!B$18)</f>
        <v>31</v>
      </c>
      <c r="C71" s="3">
        <f>SUMIFS('Trended Forecast Pipeline'!$G:$G,'Trended Forecast Pipeline'!$D:$D,'Forecast Summary'!$A71,'Trended Forecast Pipeline'!$C:$C,'Forecast Summary'!C$18)</f>
        <v>65</v>
      </c>
      <c r="D71" s="3">
        <f>SUMIFS('Trended Forecast Pipeline'!$G:$G,'Trended Forecast Pipeline'!$D:$D,'Forecast Summary'!$A71,'Trended Forecast Pipeline'!$C:$C,'Forecast Summary'!D$18)</f>
        <v>75</v>
      </c>
      <c r="E71" s="3">
        <f>SUMIFS('Trended Forecast Pipeline'!$G:$G,'Trended Forecast Pipeline'!$D:$D,'Forecast Summary'!$A71,'Trended Forecast Pipeline'!$C:$C,'Forecast Summary'!E$18)</f>
        <v>72</v>
      </c>
      <c r="F71" s="3">
        <f>SUMIFS('Trended Forecast Pipeline'!$G:$G,'Trended Forecast Pipeline'!$D:$D,'Forecast Summary'!$A71,'Trended Forecast Pipeline'!$C:$C,'Forecast Summary'!F$18)</f>
        <v>78</v>
      </c>
      <c r="G71" s="3">
        <f>SUMIFS('Trended Forecast Pipeline'!$G:$G,'Trended Forecast Pipeline'!$D:$D,'Forecast Summary'!$A71,'Trended Forecast Pipeline'!$C:$C,'Forecast Summary'!G$18)</f>
        <v>12</v>
      </c>
      <c r="H71" s="3">
        <f>SUMIFS('Trended Forecast Pipeline'!$G:$G,'Trended Forecast Pipeline'!$D:$D,'Forecast Summary'!$A71,'Trended Forecast Pipeline'!$C:$C,'Forecast Summary'!H$18)</f>
        <v>10</v>
      </c>
      <c r="I71" s="3">
        <f>SUMIFS('Trended Forecast Pipeline'!$G:$G,'Trended Forecast Pipeline'!$D:$D,'Forecast Summary'!$A71,'Trended Forecast Pipeline'!$C:$C,'Forecast Summary'!I$18)</f>
        <v>10</v>
      </c>
      <c r="J71" s="3">
        <f>SUMIFS('Trended Forecast Pipeline'!$G:$G,'Trended Forecast Pipeline'!$D:$D,'Forecast Summary'!$A71,'Trended Forecast Pipeline'!$C:$C,'Forecast Summary'!J$18)</f>
        <v>16</v>
      </c>
      <c r="K71" s="3">
        <f>SUMIFS('Trended Forecast Pipeline'!$G:$G,'Trended Forecast Pipeline'!$D:$D,'Forecast Summary'!$A71,'Trended Forecast Pipeline'!$C:$C,'Forecast Summary'!K$18)</f>
        <v>18</v>
      </c>
      <c r="L71" s="3">
        <f>SUMIFS('Trended Forecast Pipeline'!$G:$G,'Trended Forecast Pipeline'!$D:$D,'Forecast Summary'!$A71,'Trended Forecast Pipeline'!$C:$C,'Forecast Summary'!L$18)</f>
        <v>23</v>
      </c>
      <c r="M71" s="3">
        <f>SUMIFS('Trended Forecast Pipeline'!$G:$G,'Trended Forecast Pipeline'!$D:$D,'Forecast Summary'!$A71,'Trended Forecast Pipeline'!$C:$C,'Forecast Summary'!M$18)</f>
        <v>18</v>
      </c>
      <c r="O71" s="3">
        <f t="shared" si="47"/>
        <v>171</v>
      </c>
      <c r="P71" s="3">
        <f t="shared" si="46"/>
        <v>162</v>
      </c>
      <c r="Q71" s="3">
        <f t="shared" si="46"/>
        <v>36</v>
      </c>
      <c r="R71" s="3">
        <f t="shared" si="46"/>
        <v>59</v>
      </c>
      <c r="T71" s="3">
        <f t="shared" si="48"/>
        <v>428</v>
      </c>
    </row>
    <row r="72" spans="1:20" s="3" customFormat="1" x14ac:dyDescent="0.35">
      <c r="A72" s="3" t="s">
        <v>34</v>
      </c>
      <c r="B72" s="3">
        <f>SUMIFS('Trended Forecast Pipeline'!$H:$H,'Trended Forecast Pipeline'!$D:$D,'Forecast Summary'!$A72,'Trended Forecast Pipeline'!$C:$C,'Forecast Summary'!B$18)</f>
        <v>31</v>
      </c>
      <c r="C72" s="3">
        <f>SUMIFS('Trended Forecast Pipeline'!$G:$G,'Trended Forecast Pipeline'!$D:$D,'Forecast Summary'!$A72,'Trended Forecast Pipeline'!$C:$C,'Forecast Summary'!C$18)</f>
        <v>117</v>
      </c>
      <c r="D72" s="3">
        <f>SUMIFS('Trended Forecast Pipeline'!$G:$G,'Trended Forecast Pipeline'!$D:$D,'Forecast Summary'!$A72,'Trended Forecast Pipeline'!$C:$C,'Forecast Summary'!D$18)</f>
        <v>124</v>
      </c>
      <c r="E72" s="3">
        <f>SUMIFS('Trended Forecast Pipeline'!$G:$G,'Trended Forecast Pipeline'!$D:$D,'Forecast Summary'!$A72,'Trended Forecast Pipeline'!$C:$C,'Forecast Summary'!E$18)</f>
        <v>122</v>
      </c>
      <c r="F72" s="3">
        <f>SUMIFS('Trended Forecast Pipeline'!$G:$G,'Trended Forecast Pipeline'!$D:$D,'Forecast Summary'!$A72,'Trended Forecast Pipeline'!$C:$C,'Forecast Summary'!F$18)</f>
        <v>118</v>
      </c>
      <c r="G72" s="3">
        <f>SUMIFS('Trended Forecast Pipeline'!$G:$G,'Trended Forecast Pipeline'!$D:$D,'Forecast Summary'!$A72,'Trended Forecast Pipeline'!$C:$C,'Forecast Summary'!G$18)</f>
        <v>34</v>
      </c>
      <c r="H72" s="3">
        <f>SUMIFS('Trended Forecast Pipeline'!$G:$G,'Trended Forecast Pipeline'!$D:$D,'Forecast Summary'!$A72,'Trended Forecast Pipeline'!$C:$C,'Forecast Summary'!H$18)</f>
        <v>33</v>
      </c>
      <c r="I72" s="3">
        <f>SUMIFS('Trended Forecast Pipeline'!$G:$G,'Trended Forecast Pipeline'!$D:$D,'Forecast Summary'!$A72,'Trended Forecast Pipeline'!$C:$C,'Forecast Summary'!I$18)</f>
        <v>34</v>
      </c>
      <c r="J72" s="3">
        <f>SUMIFS('Trended Forecast Pipeline'!$G:$G,'Trended Forecast Pipeline'!$D:$D,'Forecast Summary'!$A72,'Trended Forecast Pipeline'!$C:$C,'Forecast Summary'!J$18)</f>
        <v>46</v>
      </c>
      <c r="K72" s="3">
        <f>SUMIFS('Trended Forecast Pipeline'!$G:$G,'Trended Forecast Pipeline'!$D:$D,'Forecast Summary'!$A72,'Trended Forecast Pipeline'!$C:$C,'Forecast Summary'!K$18)</f>
        <v>44</v>
      </c>
      <c r="L72" s="3">
        <f>SUMIFS('Trended Forecast Pipeline'!$G:$G,'Trended Forecast Pipeline'!$D:$D,'Forecast Summary'!$A72,'Trended Forecast Pipeline'!$C:$C,'Forecast Summary'!L$18)</f>
        <v>58</v>
      </c>
      <c r="M72" s="3">
        <f>SUMIFS('Trended Forecast Pipeline'!$G:$G,'Trended Forecast Pipeline'!$D:$D,'Forecast Summary'!$A72,'Trended Forecast Pipeline'!$C:$C,'Forecast Summary'!M$18)</f>
        <v>61</v>
      </c>
      <c r="O72" s="3">
        <f t="shared" si="47"/>
        <v>272</v>
      </c>
      <c r="P72" s="3">
        <f t="shared" si="46"/>
        <v>274</v>
      </c>
      <c r="Q72" s="3">
        <f t="shared" si="46"/>
        <v>113</v>
      </c>
      <c r="R72" s="3">
        <f t="shared" si="46"/>
        <v>163</v>
      </c>
      <c r="T72" s="3">
        <f t="shared" si="48"/>
        <v>822</v>
      </c>
    </row>
    <row r="73" spans="1:20" s="3" customFormat="1" x14ac:dyDescent="0.35">
      <c r="A73" s="3" t="s">
        <v>35</v>
      </c>
      <c r="B73" s="3">
        <f>SUMIFS('Trended Forecast Pipeline'!$H:$H,'Trended Forecast Pipeline'!$D:$D,'Forecast Summary'!$A73,'Trended Forecast Pipeline'!$C:$C,'Forecast Summary'!B$18)</f>
        <v>46</v>
      </c>
      <c r="C73" s="3">
        <f>SUMIFS('Trended Forecast Pipeline'!$G:$G,'Trended Forecast Pipeline'!$D:$D,'Forecast Summary'!$A73,'Trended Forecast Pipeline'!$C:$C,'Forecast Summary'!C$18)</f>
        <v>126</v>
      </c>
      <c r="D73" s="3">
        <f>SUMIFS('Trended Forecast Pipeline'!$G:$G,'Trended Forecast Pipeline'!$D:$D,'Forecast Summary'!$A73,'Trended Forecast Pipeline'!$C:$C,'Forecast Summary'!D$18)</f>
        <v>140</v>
      </c>
      <c r="E73" s="3">
        <f>SUMIFS('Trended Forecast Pipeline'!$G:$G,'Trended Forecast Pipeline'!$D:$D,'Forecast Summary'!$A73,'Trended Forecast Pipeline'!$C:$C,'Forecast Summary'!E$18)</f>
        <v>125</v>
      </c>
      <c r="F73" s="3">
        <f>SUMIFS('Trended Forecast Pipeline'!$G:$G,'Trended Forecast Pipeline'!$D:$D,'Forecast Summary'!$A73,'Trended Forecast Pipeline'!$C:$C,'Forecast Summary'!F$18)</f>
        <v>129</v>
      </c>
      <c r="G73" s="3">
        <f>SUMIFS('Trended Forecast Pipeline'!$G:$G,'Trended Forecast Pipeline'!$D:$D,'Forecast Summary'!$A73,'Trended Forecast Pipeline'!$C:$C,'Forecast Summary'!G$18)</f>
        <v>15</v>
      </c>
      <c r="H73" s="3">
        <f>SUMIFS('Trended Forecast Pipeline'!$G:$G,'Trended Forecast Pipeline'!$D:$D,'Forecast Summary'!$A73,'Trended Forecast Pipeline'!$C:$C,'Forecast Summary'!H$18)</f>
        <v>17</v>
      </c>
      <c r="I73" s="3">
        <f>SUMIFS('Trended Forecast Pipeline'!$G:$G,'Trended Forecast Pipeline'!$D:$D,'Forecast Summary'!$A73,'Trended Forecast Pipeline'!$C:$C,'Forecast Summary'!I$18)</f>
        <v>18</v>
      </c>
      <c r="J73" s="3">
        <f>SUMIFS('Trended Forecast Pipeline'!$G:$G,'Trended Forecast Pipeline'!$D:$D,'Forecast Summary'!$A73,'Trended Forecast Pipeline'!$C:$C,'Forecast Summary'!J$18)</f>
        <v>18</v>
      </c>
      <c r="K73" s="3">
        <f>SUMIFS('Trended Forecast Pipeline'!$G:$G,'Trended Forecast Pipeline'!$D:$D,'Forecast Summary'!$A73,'Trended Forecast Pipeline'!$C:$C,'Forecast Summary'!K$18)</f>
        <v>20</v>
      </c>
      <c r="L73" s="3">
        <f>SUMIFS('Trended Forecast Pipeline'!$G:$G,'Trended Forecast Pipeline'!$D:$D,'Forecast Summary'!$A73,'Trended Forecast Pipeline'!$C:$C,'Forecast Summary'!L$18)</f>
        <v>26</v>
      </c>
      <c r="M73" s="3">
        <f>SUMIFS('Trended Forecast Pipeline'!$G:$G,'Trended Forecast Pipeline'!$D:$D,'Forecast Summary'!$A73,'Trended Forecast Pipeline'!$C:$C,'Forecast Summary'!M$18)</f>
        <v>26</v>
      </c>
      <c r="O73" s="3">
        <f t="shared" si="47"/>
        <v>312</v>
      </c>
      <c r="P73" s="3">
        <f t="shared" si="46"/>
        <v>269</v>
      </c>
      <c r="Q73" s="3">
        <f t="shared" si="46"/>
        <v>53</v>
      </c>
      <c r="R73" s="3">
        <f t="shared" si="46"/>
        <v>72</v>
      </c>
      <c r="T73" s="3">
        <f t="shared" si="48"/>
        <v>706</v>
      </c>
    </row>
    <row r="74" spans="1:20" s="3" customFormat="1" x14ac:dyDescent="0.35">
      <c r="A74" s="3" t="s">
        <v>36</v>
      </c>
      <c r="B74" s="3">
        <f>SUMIFS('Trended Forecast Pipeline'!$H:$H,'Trended Forecast Pipeline'!$D:$D,'Forecast Summary'!$A74,'Trended Forecast Pipeline'!$C:$C,'Forecast Summary'!B$18)</f>
        <v>23</v>
      </c>
      <c r="C74" s="3">
        <f>SUMIFS('Trended Forecast Pipeline'!$G:$G,'Trended Forecast Pipeline'!$D:$D,'Forecast Summary'!$A74,'Trended Forecast Pipeline'!$C:$C,'Forecast Summary'!C$18)</f>
        <v>37</v>
      </c>
      <c r="D74" s="3">
        <f>SUMIFS('Trended Forecast Pipeline'!$G:$G,'Trended Forecast Pipeline'!$D:$D,'Forecast Summary'!$A74,'Trended Forecast Pipeline'!$C:$C,'Forecast Summary'!D$18)</f>
        <v>36</v>
      </c>
      <c r="E74" s="3">
        <f>SUMIFS('Trended Forecast Pipeline'!$G:$G,'Trended Forecast Pipeline'!$D:$D,'Forecast Summary'!$A74,'Trended Forecast Pipeline'!$C:$C,'Forecast Summary'!E$18)</f>
        <v>32</v>
      </c>
      <c r="F74" s="3">
        <f>SUMIFS('Trended Forecast Pipeline'!$G:$G,'Trended Forecast Pipeline'!$D:$D,'Forecast Summary'!$A74,'Trended Forecast Pipeline'!$C:$C,'Forecast Summary'!F$18)</f>
        <v>40</v>
      </c>
      <c r="G74" s="3">
        <f>SUMIFS('Trended Forecast Pipeline'!$G:$G,'Trended Forecast Pipeline'!$D:$D,'Forecast Summary'!$A74,'Trended Forecast Pipeline'!$C:$C,'Forecast Summary'!G$18)</f>
        <v>0</v>
      </c>
      <c r="H74" s="3">
        <f>SUMIFS('Trended Forecast Pipeline'!$G:$G,'Trended Forecast Pipeline'!$D:$D,'Forecast Summary'!$A74,'Trended Forecast Pipeline'!$C:$C,'Forecast Summary'!H$18)</f>
        <v>0</v>
      </c>
      <c r="I74" s="3">
        <f>SUMIFS('Trended Forecast Pipeline'!$G:$G,'Trended Forecast Pipeline'!$D:$D,'Forecast Summary'!$A74,'Trended Forecast Pipeline'!$C:$C,'Forecast Summary'!I$18)</f>
        <v>0</v>
      </c>
      <c r="J74" s="3">
        <f>SUMIFS('Trended Forecast Pipeline'!$G:$G,'Trended Forecast Pipeline'!$D:$D,'Forecast Summary'!$A74,'Trended Forecast Pipeline'!$C:$C,'Forecast Summary'!J$18)</f>
        <v>0</v>
      </c>
      <c r="K74" s="3">
        <f>SUMIFS('Trended Forecast Pipeline'!$G:$G,'Trended Forecast Pipeline'!$D:$D,'Forecast Summary'!$A74,'Trended Forecast Pipeline'!$C:$C,'Forecast Summary'!K$18)</f>
        <v>0</v>
      </c>
      <c r="L74" s="3">
        <f>SUMIFS('Trended Forecast Pipeline'!$G:$G,'Trended Forecast Pipeline'!$D:$D,'Forecast Summary'!$A74,'Trended Forecast Pipeline'!$C:$C,'Forecast Summary'!L$18)</f>
        <v>0</v>
      </c>
      <c r="M74" s="3">
        <f>SUMIFS('Trended Forecast Pipeline'!$G:$G,'Trended Forecast Pipeline'!$D:$D,'Forecast Summary'!$A74,'Trended Forecast Pipeline'!$C:$C,'Forecast Summary'!M$18)</f>
        <v>0</v>
      </c>
      <c r="O74" s="3">
        <f t="shared" si="47"/>
        <v>96</v>
      </c>
      <c r="P74" s="3">
        <f t="shared" si="46"/>
        <v>72</v>
      </c>
      <c r="Q74" s="3">
        <f t="shared" si="46"/>
        <v>0</v>
      </c>
      <c r="R74" s="3">
        <f t="shared" si="46"/>
        <v>0</v>
      </c>
      <c r="T74" s="3">
        <f t="shared" si="48"/>
        <v>168</v>
      </c>
    </row>
    <row r="75" spans="1:20" s="3" customFormat="1" x14ac:dyDescent="0.35">
      <c r="A75" s="8" t="s">
        <v>63</v>
      </c>
      <c r="B75" s="8">
        <f>SUM(B64:B74)</f>
        <v>442</v>
      </c>
      <c r="C75" s="8">
        <f t="shared" ref="C75" si="49">SUM(C64:C74)</f>
        <v>1102</v>
      </c>
      <c r="D75" s="8">
        <f t="shared" ref="D75" si="50">SUM(D64:D74)</f>
        <v>1158</v>
      </c>
      <c r="E75" s="8">
        <f t="shared" ref="E75" si="51">SUM(E64:E74)</f>
        <v>1157</v>
      </c>
      <c r="F75" s="8">
        <f t="shared" ref="F75" si="52">SUM(F64:F74)</f>
        <v>1221</v>
      </c>
      <c r="G75" s="8">
        <f t="shared" ref="G75" si="53">SUM(G64:G74)</f>
        <v>212</v>
      </c>
      <c r="H75" s="8">
        <f t="shared" ref="H75" si="54">SUM(H64:H74)</f>
        <v>219</v>
      </c>
      <c r="I75" s="8">
        <f t="shared" ref="I75" si="55">SUM(I64:I74)</f>
        <v>232</v>
      </c>
      <c r="J75" s="8">
        <f t="shared" ref="J75" si="56">SUM(J64:J74)</f>
        <v>278</v>
      </c>
      <c r="K75" s="8">
        <f t="shared" ref="K75" si="57">SUM(K64:K74)</f>
        <v>318</v>
      </c>
      <c r="L75" s="8">
        <f t="shared" ref="L75" si="58">SUM(L64:L74)</f>
        <v>352</v>
      </c>
      <c r="M75" s="8">
        <f t="shared" ref="M75" si="59">SUM(M64:M74)</f>
        <v>390</v>
      </c>
      <c r="N75" s="8"/>
      <c r="O75" s="8">
        <f t="shared" si="47"/>
        <v>2702</v>
      </c>
      <c r="P75" s="8">
        <f t="shared" si="46"/>
        <v>2590</v>
      </c>
      <c r="Q75" s="8">
        <f t="shared" si="46"/>
        <v>729</v>
      </c>
      <c r="R75" s="8">
        <f t="shared" si="46"/>
        <v>1060</v>
      </c>
      <c r="S75" s="8"/>
      <c r="T75" s="8">
        <f t="shared" si="48"/>
        <v>7081</v>
      </c>
    </row>
    <row r="77" spans="1:20" s="7" customFormat="1" x14ac:dyDescent="0.35">
      <c r="B77" s="10" t="s">
        <v>55</v>
      </c>
      <c r="C77" s="10" t="s">
        <v>55</v>
      </c>
      <c r="D77" s="10" t="s">
        <v>55</v>
      </c>
      <c r="E77" s="10" t="s">
        <v>56</v>
      </c>
      <c r="F77" s="10" t="s">
        <v>56</v>
      </c>
      <c r="G77" s="10" t="s">
        <v>56</v>
      </c>
      <c r="H77" s="10" t="s">
        <v>57</v>
      </c>
      <c r="I77" s="10" t="s">
        <v>57</v>
      </c>
      <c r="J77" s="10" t="s">
        <v>57</v>
      </c>
      <c r="K77" s="10" t="s">
        <v>58</v>
      </c>
      <c r="L77" s="10" t="s">
        <v>58</v>
      </c>
      <c r="M77" s="10" t="s">
        <v>58</v>
      </c>
    </row>
    <row r="78" spans="1:20" s="7" customFormat="1" x14ac:dyDescent="0.35">
      <c r="A78" s="7" t="s">
        <v>60</v>
      </c>
      <c r="B78" s="10" t="s">
        <v>24</v>
      </c>
      <c r="C78" s="10" t="s">
        <v>37</v>
      </c>
      <c r="D78" s="10" t="s">
        <v>38</v>
      </c>
      <c r="E78" s="10" t="s">
        <v>39</v>
      </c>
      <c r="F78" s="10" t="s">
        <v>40</v>
      </c>
      <c r="G78" s="10" t="s">
        <v>43</v>
      </c>
      <c r="H78" s="10" t="s">
        <v>45</v>
      </c>
      <c r="I78" s="10" t="s">
        <v>46</v>
      </c>
      <c r="J78" s="10" t="s">
        <v>47</v>
      </c>
      <c r="K78" s="10" t="s">
        <v>48</v>
      </c>
      <c r="L78" s="10" t="s">
        <v>49</v>
      </c>
      <c r="M78" s="10" t="s">
        <v>50</v>
      </c>
      <c r="O78" s="10" t="s">
        <v>55</v>
      </c>
      <c r="P78" s="10" t="s">
        <v>56</v>
      </c>
      <c r="Q78" s="10" t="s">
        <v>57</v>
      </c>
      <c r="R78" s="10" t="s">
        <v>58</v>
      </c>
      <c r="T78" s="10" t="s">
        <v>64</v>
      </c>
    </row>
    <row r="79" spans="1:20" x14ac:dyDescent="0.35">
      <c r="A79" t="s">
        <v>3</v>
      </c>
      <c r="B79" s="5">
        <f>IFERROR(B4/B49,0)</f>
        <v>2011.085935483871</v>
      </c>
      <c r="C79" s="5">
        <f t="shared" ref="C79:M79" si="60">IFERROR(C4/C49,0)</f>
        <v>2046.0696610169493</v>
      </c>
      <c r="D79" s="5">
        <f t="shared" si="60"/>
        <v>3131.0476363636362</v>
      </c>
      <c r="E79" s="5">
        <f t="shared" si="60"/>
        <v>2674.0365584415586</v>
      </c>
      <c r="F79" s="5">
        <f t="shared" si="60"/>
        <v>3041.2338418079098</v>
      </c>
      <c r="G79" s="5">
        <f t="shared" si="60"/>
        <v>13669.427142857141</v>
      </c>
      <c r="H79" s="5">
        <f t="shared" si="60"/>
        <v>10312.921063829786</v>
      </c>
      <c r="I79" s="5">
        <f t="shared" si="60"/>
        <v>9599.6382352941182</v>
      </c>
      <c r="J79" s="5">
        <f t="shared" si="60"/>
        <v>7856.911964285714</v>
      </c>
      <c r="K79" s="5">
        <f t="shared" si="60"/>
        <v>5024.5949315068492</v>
      </c>
      <c r="L79" s="5">
        <f t="shared" si="60"/>
        <v>6278.4819696969698</v>
      </c>
      <c r="M79" s="5">
        <f t="shared" si="60"/>
        <v>5373.336875</v>
      </c>
      <c r="O79" s="5">
        <f t="shared" ref="O79:R79" si="61">IFERROR(O4/O49,0)</f>
        <v>2395.3631991951711</v>
      </c>
      <c r="P79" s="5">
        <f t="shared" si="61"/>
        <v>4086.3698659517427</v>
      </c>
      <c r="Q79" s="5">
        <f t="shared" si="61"/>
        <v>9183.6098051948047</v>
      </c>
      <c r="R79" s="5">
        <f t="shared" si="61"/>
        <v>5529.8730136986296</v>
      </c>
      <c r="T79" s="5">
        <f t="shared" ref="T79" si="62">IFERROR(T4/T49,0)</f>
        <v>4296.0817135961388</v>
      </c>
    </row>
    <row r="80" spans="1:20" x14ac:dyDescent="0.35">
      <c r="A80" t="s">
        <v>25</v>
      </c>
      <c r="B80" s="5">
        <f>IFERROR(B5/B50,0)</f>
        <v>1542.870731707317</v>
      </c>
      <c r="C80" s="5">
        <f>IFERROR(C5/C50,0)</f>
        <v>1485.6510382513661</v>
      </c>
      <c r="D80" s="5">
        <f>IFERROR(D5/D50,0)</f>
        <v>2123.1259585492226</v>
      </c>
      <c r="E80" s="5">
        <f>IFERROR(E5/E50,0)</f>
        <v>1774.9393532338308</v>
      </c>
      <c r="F80" s="5">
        <f>IFERROR(F5/F50,0)</f>
        <v>1807.9945374449339</v>
      </c>
      <c r="G80" s="5">
        <f>IFERROR(G5/G50,0)</f>
        <v>8750.134</v>
      </c>
      <c r="H80" s="5">
        <f>IFERROR(H5/H50,0)</f>
        <v>6922.0626086956527</v>
      </c>
      <c r="I80" s="5">
        <f>IFERROR(I5/I50,0)</f>
        <v>7833.4350000000004</v>
      </c>
      <c r="J80" s="5">
        <f>IFERROR(J5/J50,0)</f>
        <v>5260.4354545454544</v>
      </c>
      <c r="K80" s="5">
        <f>IFERROR(K5/K50,0)</f>
        <v>4379.8125</v>
      </c>
      <c r="L80" s="5">
        <f>IFERROR(L5/L50,0)</f>
        <v>4343.6498437500004</v>
      </c>
      <c r="M80" s="5">
        <f>IFERROR(M5/M50,0)</f>
        <v>3602.0967058823526</v>
      </c>
      <c r="O80" s="5">
        <f>IFERROR(O5/O50,0)</f>
        <v>1730.8671296296295</v>
      </c>
      <c r="P80" s="5">
        <f>IFERROR(P5/P50,0)</f>
        <v>2454.405073995772</v>
      </c>
      <c r="Q80" s="5">
        <f>IFERROR(Q5/Q50,0)</f>
        <v>6568.3446206896551</v>
      </c>
      <c r="R80" s="5">
        <f>IFERROR(R5/R50,0)</f>
        <v>4052.4428708133973</v>
      </c>
      <c r="T80" s="5">
        <f>IFERROR(T5/T50,0)</f>
        <v>2849.2848427212875</v>
      </c>
    </row>
    <row r="81" spans="1:20" x14ac:dyDescent="0.35">
      <c r="A81" t="s">
        <v>27</v>
      </c>
      <c r="B81" s="5">
        <f>IFERROR(B6/B51,0)</f>
        <v>130.80307692307693</v>
      </c>
      <c r="C81" s="5">
        <f>IFERROR(C6/C51,0)</f>
        <v>146.4328148148148</v>
      </c>
      <c r="D81" s="5">
        <f>IFERROR(D6/D51,0)</f>
        <v>207.71608695652174</v>
      </c>
      <c r="E81" s="5">
        <f>IFERROR(E6/E51,0)</f>
        <v>141.94912500000001</v>
      </c>
      <c r="F81" s="5">
        <f>IFERROR(F6/F51,0)</f>
        <v>174.88547770700637</v>
      </c>
      <c r="G81" s="5">
        <f>IFERROR(G6/G51,0)</f>
        <v>2884.9973684210527</v>
      </c>
      <c r="H81" s="5">
        <f>IFERROR(H6/H51,0)</f>
        <v>2831.7112499999998</v>
      </c>
      <c r="I81" s="5">
        <f>IFERROR(I6/I51,0)</f>
        <v>2822.0433333333335</v>
      </c>
      <c r="J81" s="5">
        <f>IFERROR(J6/J51,0)</f>
        <v>2087.9615000000003</v>
      </c>
      <c r="K81" s="5">
        <f>IFERROR(K6/K51,0)</f>
        <v>1656.6730769230769</v>
      </c>
      <c r="L81" s="5">
        <f>IFERROR(L6/L51,0)</f>
        <v>1359.3087499999999</v>
      </c>
      <c r="M81" s="5">
        <f>IFERROR(M6/M51,0)</f>
        <v>1388.212</v>
      </c>
      <c r="O81" s="5">
        <f>IFERROR(O6/O51,0)</f>
        <v>163.42874358974359</v>
      </c>
      <c r="P81" s="5">
        <f>IFERROR(P6/P51,0)</f>
        <v>312.45187500000003</v>
      </c>
      <c r="Q81" s="5">
        <f>IFERROR(Q6/Q51,0)</f>
        <v>2567.1845614035092</v>
      </c>
      <c r="R81" s="5">
        <f>IFERROR(R6/R51,0)</f>
        <v>1457.0197727272728</v>
      </c>
      <c r="T81" s="5">
        <f>IFERROR(T6/T51,0)</f>
        <v>508.91882893226182</v>
      </c>
    </row>
    <row r="82" spans="1:20" x14ac:dyDescent="0.35">
      <c r="A82" t="s">
        <v>28</v>
      </c>
      <c r="B82" s="5">
        <f>IFERROR(B7/B52,0)</f>
        <v>987.82015151515145</v>
      </c>
      <c r="C82" s="5">
        <f>IFERROR(C7/C52,0)</f>
        <v>1087.9290540540539</v>
      </c>
      <c r="D82" s="5">
        <f>IFERROR(D7/D52,0)</f>
        <v>1566.4257647058823</v>
      </c>
      <c r="E82" s="5">
        <f>IFERROR(E7/E52,0)</f>
        <v>1346.5324358974358</v>
      </c>
      <c r="F82" s="5">
        <f>IFERROR(F7/F52,0)</f>
        <v>1526.462</v>
      </c>
      <c r="G82" s="5">
        <f>IFERROR(G7/G52,0)</f>
        <v>15914.99909090909</v>
      </c>
      <c r="H82" s="5">
        <f>IFERROR(H7/H52,0)</f>
        <v>8507.7662500000006</v>
      </c>
      <c r="I82" s="5">
        <f>IFERROR(I7/I52,0)</f>
        <v>11954.755999999999</v>
      </c>
      <c r="J82" s="5">
        <f>IFERROR(J7/J52,0)</f>
        <v>8107.3460000000005</v>
      </c>
      <c r="K82" s="5">
        <f>IFERROR(K7/K52,0)</f>
        <v>7500.8425000000007</v>
      </c>
      <c r="L82" s="5">
        <f>IFERROR(L7/L52,0)</f>
        <v>6052.2777777777774</v>
      </c>
      <c r="M82" s="5">
        <f>IFERROR(M7/M52,0)</f>
        <v>6337.6222727272725</v>
      </c>
      <c r="O82" s="5">
        <f>IFERROR(O7/O52,0)</f>
        <v>1239.3292000000001</v>
      </c>
      <c r="P82" s="5">
        <f>IFERROR(P7/P52,0)</f>
        <v>2379.9495857988163</v>
      </c>
      <c r="Q82" s="5">
        <f>IFERROR(Q7/Q52,0)</f>
        <v>9364.5592156862749</v>
      </c>
      <c r="R82" s="5">
        <f>IFERROR(R7/R52,0)</f>
        <v>6563.1310144927529</v>
      </c>
      <c r="T82" s="5">
        <f>IFERROR(T7/T52,0)</f>
        <v>3135.2317315175101</v>
      </c>
    </row>
    <row r="83" spans="1:20" x14ac:dyDescent="0.35">
      <c r="A83" t="s">
        <v>29</v>
      </c>
      <c r="B83" s="5">
        <f>IFERROR(B8/B53,0)</f>
        <v>684.35294736842104</v>
      </c>
      <c r="C83" s="5">
        <f>IFERROR(C8/C53,0)</f>
        <v>777.71202247191002</v>
      </c>
      <c r="D83" s="5">
        <f>IFERROR(D8/D53,0)</f>
        <v>1297.1064423076923</v>
      </c>
      <c r="E83" s="5">
        <f>IFERROR(E8/E53,0)</f>
        <v>814.92377192982451</v>
      </c>
      <c r="F83" s="5">
        <f>IFERROR(F8/F53,0)</f>
        <v>891.02586206896547</v>
      </c>
      <c r="G83" s="5">
        <f>IFERROR(G8/G53,0)</f>
        <v>7113.91</v>
      </c>
      <c r="H83" s="5">
        <f>IFERROR(H8/H53,0)</f>
        <v>7192.0595000000003</v>
      </c>
      <c r="I83" s="5">
        <f>IFERROR(I8/I53,0)</f>
        <v>6265.1633333333339</v>
      </c>
      <c r="J83" s="5">
        <f>IFERROR(J8/J53,0)</f>
        <v>3826.0074193548385</v>
      </c>
      <c r="K83" s="5">
        <f>IFERROR(K8/K53,0)</f>
        <v>3820.9517647058824</v>
      </c>
      <c r="L83" s="5">
        <f>IFERROR(L8/L53,0)</f>
        <v>3385.7435135135133</v>
      </c>
      <c r="M83" s="5">
        <f>IFERROR(M8/M53,0)</f>
        <v>2949.1022499999999</v>
      </c>
      <c r="O83" s="5">
        <f>IFERROR(O8/O53,0)</f>
        <v>934.47559027777766</v>
      </c>
      <c r="P83" s="5">
        <f>IFERROR(P8/P53,0)</f>
        <v>1399.8663888888887</v>
      </c>
      <c r="Q83" s="5">
        <f>IFERROR(Q8/Q53,0)</f>
        <v>5504.1511999999993</v>
      </c>
      <c r="R83" s="5">
        <f>IFERROR(R8/R53,0)</f>
        <v>3361.702342342342</v>
      </c>
      <c r="T83" s="5">
        <f>IFERROR(T8/T53,0)</f>
        <v>1939.195041322314</v>
      </c>
    </row>
    <row r="84" spans="1:20" x14ac:dyDescent="0.35">
      <c r="A84" t="s">
        <v>30</v>
      </c>
      <c r="B84" s="5">
        <f>IFERROR(B9/B54,0)</f>
        <v>3022.1415384615384</v>
      </c>
      <c r="C84" s="5">
        <f>IFERROR(C9/C54,0)</f>
        <v>3141.2535593220337</v>
      </c>
      <c r="D84" s="5">
        <f>IFERROR(D9/D54,0)</f>
        <v>4385.452413793103</v>
      </c>
      <c r="E84" s="5">
        <f>IFERROR(E9/E54,0)</f>
        <v>3842.4464150943395</v>
      </c>
      <c r="F84" s="5">
        <f>IFERROR(F9/F54,0)</f>
        <v>4075.003214285714</v>
      </c>
      <c r="G84" s="5">
        <f>IFERROR(G9/G54,0)</f>
        <v>41669.973749999997</v>
      </c>
      <c r="H84" s="5">
        <f>IFERROR(H9/H54,0)</f>
        <v>22976.732727272727</v>
      </c>
      <c r="I84" s="5">
        <f>IFERROR(I9/I54,0)</f>
        <v>24079.968333333334</v>
      </c>
      <c r="J84" s="5">
        <f>IFERROR(J9/J54,0)</f>
        <v>19604.906666666666</v>
      </c>
      <c r="K84" s="5">
        <f>IFERROR(K9/K54,0)</f>
        <v>11787.673888888889</v>
      </c>
      <c r="L84" s="5">
        <f>IFERROR(L9/L54,0)</f>
        <v>15844.899333333333</v>
      </c>
      <c r="M84" s="5">
        <f>IFERROR(M9/M54,0)</f>
        <v>10935.362272727272</v>
      </c>
      <c r="O84" s="5">
        <f>IFERROR(O9/O54,0)</f>
        <v>3531.6068639053251</v>
      </c>
      <c r="P84" s="5">
        <f>IFERROR(P9/P54,0)</f>
        <v>6540.2532478632465</v>
      </c>
      <c r="Q84" s="5">
        <f>IFERROR(Q9/Q54,0)</f>
        <v>22198.930285714283</v>
      </c>
      <c r="R84" s="5">
        <f>IFERROR(R9/R54,0)</f>
        <v>12553.265272727273</v>
      </c>
      <c r="T84" s="5">
        <f>IFERROR(T9/T54,0)</f>
        <v>7525.1152659574464</v>
      </c>
    </row>
    <row r="85" spans="1:20" x14ac:dyDescent="0.35">
      <c r="A85" t="s">
        <v>31</v>
      </c>
      <c r="B85" s="5">
        <f>IFERROR(B10/B55,0)</f>
        <v>66.293809523809529</v>
      </c>
      <c r="C85" s="5">
        <f>IFERROR(C10/C55,0)</f>
        <v>79.524500000000003</v>
      </c>
      <c r="D85" s="5">
        <f>IFERROR(D10/D55,0)</f>
        <v>100.67224999999999</v>
      </c>
      <c r="E85" s="5">
        <f>IFERROR(E10/E55,0)</f>
        <v>82.646304347826089</v>
      </c>
      <c r="F85" s="5">
        <f>IFERROR(F10/F55,0)</f>
        <v>91.699302325581399</v>
      </c>
      <c r="G85" s="5">
        <f>IFERROR(G10/G55,0)</f>
        <v>4452.8675000000003</v>
      </c>
      <c r="H85" s="5">
        <f>IFERROR(H10/H55,0)</f>
        <v>4036.6966666666667</v>
      </c>
      <c r="I85" s="5">
        <f>IFERROR(I10/I55,0)</f>
        <v>6385.55</v>
      </c>
      <c r="J85" s="5">
        <f>IFERROR(J10/J55,0)</f>
        <v>3134.8125</v>
      </c>
      <c r="K85" s="5">
        <f>IFERROR(K10/K55,0)</f>
        <v>2535.1580000000004</v>
      </c>
      <c r="L85" s="5">
        <f>IFERROR(L10/L55,0)</f>
        <v>2612.3074999999999</v>
      </c>
      <c r="M85" s="5">
        <f>IFERROR(M10/M55,0)</f>
        <v>2153.87</v>
      </c>
      <c r="O85" s="5">
        <f>IFERROR(O10/O55,0)</f>
        <v>81.9033606557377</v>
      </c>
      <c r="P85" s="5">
        <f>IFERROR(P10/P55,0)</f>
        <v>274.79860215053765</v>
      </c>
      <c r="Q85" s="5">
        <f>IFERROR(Q10/Q55,0)</f>
        <v>4380.5990000000002</v>
      </c>
      <c r="R85" s="5">
        <f>IFERROR(R10/R55,0)</f>
        <v>2403.2159999999999</v>
      </c>
      <c r="T85" s="5">
        <f>IFERROR(T10/T55,0)</f>
        <v>480.84462499999995</v>
      </c>
    </row>
    <row r="86" spans="1:20" x14ac:dyDescent="0.35">
      <c r="A86" t="s">
        <v>32</v>
      </c>
      <c r="B86" s="5">
        <f>IFERROR(B11/B56,0)</f>
        <v>75.818888888888893</v>
      </c>
      <c r="C86" s="5">
        <f>IFERROR(C11/C56,0)</f>
        <v>93.505384615384628</v>
      </c>
      <c r="D86" s="5">
        <f>IFERROR(D11/D56,0)</f>
        <v>138.96279999999999</v>
      </c>
      <c r="E86" s="5">
        <f>IFERROR(E11/E56,0)</f>
        <v>109.30958333333334</v>
      </c>
      <c r="F86" s="5">
        <f>IFERROR(F11/F56,0)</f>
        <v>120.63500000000001</v>
      </c>
      <c r="G86" s="5">
        <f>IFERROR(G11/G56,0)</f>
        <v>3244.3116666666665</v>
      </c>
      <c r="H86" s="5">
        <f>IFERROR(H11/H56,0)</f>
        <v>2847.6660000000002</v>
      </c>
      <c r="I86" s="5">
        <f>IFERROR(I11/I56,0)</f>
        <v>2952.7139999999999</v>
      </c>
      <c r="J86" s="5">
        <f>IFERROR(J11/J56,0)</f>
        <v>1957.7056250000001</v>
      </c>
      <c r="K86" s="5">
        <f>IFERROR(K11/K56,0)</f>
        <v>1470.9227777777778</v>
      </c>
      <c r="L86" s="5">
        <f>IFERROR(L11/L56,0)</f>
        <v>1307.4582608695653</v>
      </c>
      <c r="M86" s="5">
        <f>IFERROR(M11/M56,0)</f>
        <v>1529.1672222222221</v>
      </c>
      <c r="O86" s="5">
        <f>IFERROR(O11/O56,0)</f>
        <v>103.58028301886793</v>
      </c>
      <c r="P86" s="5">
        <f>IFERROR(P11/P56,0)</f>
        <v>346.9849382716049</v>
      </c>
      <c r="Q86" s="5">
        <f>IFERROR(Q11/Q56,0)</f>
        <v>2481.3080555555553</v>
      </c>
      <c r="R86" s="5">
        <f>IFERROR(R11/R56,0)</f>
        <v>1424.9688135593221</v>
      </c>
      <c r="T86" s="5">
        <f>IFERROR(T11/T56,0)</f>
        <v>536.39835820895519</v>
      </c>
    </row>
    <row r="87" spans="1:20" x14ac:dyDescent="0.35">
      <c r="A87" t="s">
        <v>33</v>
      </c>
      <c r="B87" s="5">
        <f>IFERROR(B12/B57,0)</f>
        <v>1787.5268131868131</v>
      </c>
      <c r="C87" s="5">
        <f>IFERROR(C12/C57,0)</f>
        <v>1689.9338461538462</v>
      </c>
      <c r="D87" s="5">
        <f>IFERROR(D12/D57,0)</f>
        <v>2103.7757258064516</v>
      </c>
      <c r="E87" s="5">
        <f>IFERROR(E12/E57,0)</f>
        <v>1882.0954098360658</v>
      </c>
      <c r="F87" s="5">
        <f>IFERROR(F12/F57,0)</f>
        <v>2188.5822033898307</v>
      </c>
      <c r="G87" s="5">
        <f>IFERROR(G12/G57,0)</f>
        <v>6539.2638235294116</v>
      </c>
      <c r="H87" s="5">
        <f>IFERROR(H12/H57,0)</f>
        <v>5401.6890909090907</v>
      </c>
      <c r="I87" s="5">
        <f>IFERROR(I12/I57,0)</f>
        <v>5422.0805882352943</v>
      </c>
      <c r="J87" s="5">
        <f>IFERROR(J12/J57,0)</f>
        <v>3671.4778260869566</v>
      </c>
      <c r="K87" s="5">
        <f>IFERROR(K12/K57,0)</f>
        <v>3108.3065909090906</v>
      </c>
      <c r="L87" s="5">
        <f>IFERROR(L12/L57,0)</f>
        <v>3039.9862068965517</v>
      </c>
      <c r="M87" s="5">
        <f>IFERROR(M12/M57,0)</f>
        <v>2579.5595081967213</v>
      </c>
      <c r="O87" s="5">
        <f>IFERROR(O12/O57,0)</f>
        <v>1871.2511746987952</v>
      </c>
      <c r="P87" s="5">
        <f>IFERROR(P12/P57,0)</f>
        <v>2591.9828832116791</v>
      </c>
      <c r="Q87" s="5">
        <f>IFERROR(Q12/Q57,0)</f>
        <v>4703.4907964601771</v>
      </c>
      <c r="R87" s="5">
        <f>IFERROR(R12/R57,0)</f>
        <v>2886.1215950920246</v>
      </c>
      <c r="T87" s="5">
        <f>IFERROR(T12/T57,0)</f>
        <v>2645.5680045351473</v>
      </c>
    </row>
    <row r="88" spans="1:20" x14ac:dyDescent="0.35">
      <c r="A88" t="s">
        <v>34</v>
      </c>
      <c r="B88" s="5">
        <f>IFERROR(B13/B58,0)</f>
        <v>529.92803418803419</v>
      </c>
      <c r="C88" s="5">
        <f>IFERROR(C13/C58,0)</f>
        <v>632.20563492063491</v>
      </c>
      <c r="D88" s="5">
        <f>IFERROR(D13/D58,0)</f>
        <v>777.60728571428569</v>
      </c>
      <c r="E88" s="5">
        <f>IFERROR(E13/E58,0)</f>
        <v>611.85136</v>
      </c>
      <c r="F88" s="5">
        <f>IFERROR(F13/F58,0)</f>
        <v>739.64984496124032</v>
      </c>
      <c r="G88" s="5">
        <f>IFERROR(G13/G58,0)</f>
        <v>5471.7253333333338</v>
      </c>
      <c r="H88" s="5">
        <f>IFERROR(H13/H58,0)</f>
        <v>4119.2235294117645</v>
      </c>
      <c r="I88" s="5">
        <f>IFERROR(I13/I58,0)</f>
        <v>4613.7066666666669</v>
      </c>
      <c r="J88" s="5">
        <f>IFERROR(J13/J58,0)</f>
        <v>3383.6761111111109</v>
      </c>
      <c r="K88" s="5">
        <f>IFERROR(K13/K58,0)</f>
        <v>2920.5365000000002</v>
      </c>
      <c r="L88" s="5">
        <f>IFERROR(L13/L58,0)</f>
        <v>2509.86</v>
      </c>
      <c r="M88" s="5">
        <f>IFERROR(M13/M58,0)</f>
        <v>2877.0157692307694</v>
      </c>
      <c r="O88" s="5">
        <f>IFERROR(O13/O58,0)</f>
        <v>654.11099216710181</v>
      </c>
      <c r="P88" s="5">
        <f>IFERROR(P13/P58,0)</f>
        <v>944.13431226765806</v>
      </c>
      <c r="Q88" s="5">
        <f>IFERROR(Q13/Q58,0)</f>
        <v>4037.3526415094339</v>
      </c>
      <c r="R88" s="5">
        <f>IFERROR(R13/R58,0)</f>
        <v>2756.5208333333335</v>
      </c>
      <c r="T88" s="5">
        <f>IFERROR(T13/T58,0)</f>
        <v>1180.1104633204634</v>
      </c>
    </row>
    <row r="89" spans="1:20" x14ac:dyDescent="0.35">
      <c r="A89" t="s">
        <v>35</v>
      </c>
      <c r="B89" s="5">
        <f>IFERROR(B14/B59,0)</f>
        <v>32.367419354838709</v>
      </c>
      <c r="C89" s="5">
        <f>IFERROR(C14/C59,0)</f>
        <v>35.701621621621619</v>
      </c>
      <c r="D89" s="5">
        <f>IFERROR(D14/D59,0)</f>
        <v>47.1325</v>
      </c>
      <c r="E89" s="5">
        <f>IFERROR(E14/E59,0)</f>
        <v>41.352499999999999</v>
      </c>
      <c r="F89" s="5">
        <f>IFERROR(F14/F59,0)</f>
        <v>39.943750000000001</v>
      </c>
      <c r="G89" s="5">
        <f>IFERROR(G14/G59,0)</f>
        <v>0</v>
      </c>
      <c r="H89" s="5">
        <f>IFERROR(H14/H59,0)</f>
        <v>0</v>
      </c>
      <c r="I89" s="5">
        <f>IFERROR(I14/I59,0)</f>
        <v>0</v>
      </c>
      <c r="J89" s="5">
        <f>IFERROR(J14/J59,0)</f>
        <v>0</v>
      </c>
      <c r="K89" s="5">
        <f>IFERROR(K14/K59,0)</f>
        <v>0</v>
      </c>
      <c r="L89" s="5">
        <f>IFERROR(L14/L59,0)</f>
        <v>0</v>
      </c>
      <c r="M89" s="5">
        <f>IFERROR(M14/M59,0)</f>
        <v>0</v>
      </c>
      <c r="O89" s="5">
        <f>IFERROR(O14/O59,0)</f>
        <v>38.664615384615381</v>
      </c>
      <c r="P89" s="5">
        <f>IFERROR(P14/P59,0)</f>
        <v>86.96833333333332</v>
      </c>
      <c r="Q89" s="5">
        <f>IFERROR(Q14/Q59,0)</f>
        <v>0</v>
      </c>
      <c r="R89" s="5">
        <f>IFERROR(R14/R59,0)</f>
        <v>0</v>
      </c>
      <c r="T89" s="5">
        <f>IFERROR(T14/T59,0)</f>
        <v>136.68767045454544</v>
      </c>
    </row>
    <row r="90" spans="1:20" x14ac:dyDescent="0.35">
      <c r="A90" t="s">
        <v>36</v>
      </c>
      <c r="B90" s="5">
        <f t="shared" ref="B90:M90" si="63">IFERROR(B16/B76,0)</f>
        <v>0</v>
      </c>
      <c r="C90" s="5">
        <f t="shared" si="63"/>
        <v>0</v>
      </c>
      <c r="D90" s="5">
        <f t="shared" si="63"/>
        <v>0</v>
      </c>
      <c r="E90" s="5">
        <f t="shared" si="63"/>
        <v>0</v>
      </c>
      <c r="F90" s="5">
        <f t="shared" si="63"/>
        <v>0</v>
      </c>
      <c r="G90" s="5">
        <f t="shared" si="63"/>
        <v>0</v>
      </c>
      <c r="H90" s="5">
        <f t="shared" si="63"/>
        <v>0</v>
      </c>
      <c r="I90" s="5">
        <f t="shared" si="63"/>
        <v>0</v>
      </c>
      <c r="J90" s="5">
        <f t="shared" si="63"/>
        <v>0</v>
      </c>
      <c r="K90" s="5">
        <f t="shared" si="63"/>
        <v>0</v>
      </c>
      <c r="L90" s="5">
        <f t="shared" si="63"/>
        <v>0</v>
      </c>
      <c r="M90" s="5">
        <f t="shared" si="63"/>
        <v>0</v>
      </c>
      <c r="O90" s="5">
        <f t="shared" ref="O90:R90" si="64">IFERROR(O16/O76,0)</f>
        <v>0</v>
      </c>
      <c r="P90" s="5">
        <f t="shared" si="64"/>
        <v>0</v>
      </c>
      <c r="Q90" s="5">
        <f t="shared" si="64"/>
        <v>0</v>
      </c>
      <c r="R90" s="5">
        <f t="shared" si="64"/>
        <v>0</v>
      </c>
      <c r="T90" s="5">
        <f t="shared" ref="T90" si="65">IFERROR(T16/T76,0)</f>
        <v>0</v>
      </c>
    </row>
    <row r="92" spans="1:20" x14ac:dyDescent="0.35">
      <c r="A92" t="s">
        <v>61</v>
      </c>
      <c r="B92" s="6">
        <f>B45/B30</f>
        <v>0.34619565217391307</v>
      </c>
      <c r="C92" s="6">
        <f t="shared" ref="C92:M92" si="66">C45/C30</f>
        <v>0.34488866396761131</v>
      </c>
      <c r="D92" s="6">
        <f t="shared" si="66"/>
        <v>0.34535466921423452</v>
      </c>
      <c r="E92" s="6">
        <f t="shared" si="66"/>
        <v>0.34442085397499411</v>
      </c>
      <c r="F92" s="6">
        <f t="shared" si="66"/>
        <v>0.34459610651152384</v>
      </c>
      <c r="G92" s="6">
        <f t="shared" si="66"/>
        <v>0.31718569780853517</v>
      </c>
      <c r="H92" s="6">
        <f t="shared" si="66"/>
        <v>0.31573275862068967</v>
      </c>
      <c r="I92" s="6">
        <f t="shared" si="66"/>
        <v>0.31813471502590673</v>
      </c>
      <c r="J92" s="6">
        <f t="shared" si="66"/>
        <v>0.31452991452991452</v>
      </c>
      <c r="K92" s="6">
        <f t="shared" si="66"/>
        <v>0.32182103610675039</v>
      </c>
      <c r="L92" s="6">
        <f t="shared" si="66"/>
        <v>0.31883024251069902</v>
      </c>
      <c r="M92" s="6">
        <f t="shared" si="66"/>
        <v>0.31789737171464333</v>
      </c>
      <c r="O92" s="6">
        <f t="shared" ref="O92:R92" si="67">O45/O30</f>
        <v>0.34546069887469327</v>
      </c>
      <c r="P92" s="6">
        <f t="shared" si="67"/>
        <v>0.34203655352480417</v>
      </c>
      <c r="Q92" s="6">
        <f t="shared" si="67"/>
        <v>0.31603003591250406</v>
      </c>
      <c r="R92" s="6">
        <f t="shared" si="67"/>
        <v>0.31937295273748245</v>
      </c>
      <c r="T92" s="6">
        <f t="shared" ref="T92" si="68">T45/T30</f>
        <v>0.33730117294907941</v>
      </c>
    </row>
    <row r="93" spans="1:20" x14ac:dyDescent="0.35">
      <c r="A93" t="s">
        <v>62</v>
      </c>
      <c r="B93" s="6">
        <f>B60/B30</f>
        <v>0.27228260869565218</v>
      </c>
      <c r="C93" s="6">
        <f t="shared" ref="C93:M93" si="69">C60/C30</f>
        <v>0.27884615384615385</v>
      </c>
      <c r="D93" s="6">
        <f t="shared" si="69"/>
        <v>0.27657033675662768</v>
      </c>
      <c r="E93" s="6">
        <f t="shared" si="69"/>
        <v>0.27294173154045764</v>
      </c>
      <c r="F93" s="6">
        <f t="shared" si="69"/>
        <v>0.27321548444842247</v>
      </c>
      <c r="G93" s="6">
        <f t="shared" si="69"/>
        <v>0.24452133794694347</v>
      </c>
      <c r="H93" s="6">
        <f t="shared" si="69"/>
        <v>0.23599137931034483</v>
      </c>
      <c r="I93" s="6">
        <f t="shared" si="69"/>
        <v>0.24041450777202072</v>
      </c>
      <c r="J93" s="6">
        <f t="shared" si="69"/>
        <v>0.2376068376068376</v>
      </c>
      <c r="K93" s="6">
        <f t="shared" si="69"/>
        <v>0.24960753532182103</v>
      </c>
      <c r="L93" s="6">
        <f t="shared" si="69"/>
        <v>0.25106990014265335</v>
      </c>
      <c r="M93" s="6">
        <f t="shared" si="69"/>
        <v>0.24405506883604505</v>
      </c>
      <c r="O93" s="6">
        <f t="shared" ref="O93:R93" si="70">O60/O30</f>
        <v>0.27599627718081055</v>
      </c>
      <c r="P93" s="6">
        <f t="shared" si="70"/>
        <v>0.27049608355091381</v>
      </c>
      <c r="Q93" s="6">
        <f t="shared" si="70"/>
        <v>0.23800195886385897</v>
      </c>
      <c r="R93" s="6">
        <f t="shared" si="70"/>
        <v>0.24801123069723913</v>
      </c>
      <c r="T93" s="6">
        <f t="shared" ref="T93" si="71">T60/T30</f>
        <v>0.2659496710869792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2D0B-7D6C-406D-AB93-8EF4F2921D9A}">
  <dimension ref="A1:V133"/>
  <sheetViews>
    <sheetView workbookViewId="0">
      <pane ySplit="1" topLeftCell="A2" activePane="bottomLeft" state="frozen"/>
      <selection pane="bottomLeft" activeCell="H1" sqref="H1"/>
    </sheetView>
  </sheetViews>
  <sheetFormatPr defaultRowHeight="14.5" x14ac:dyDescent="0.35"/>
  <cols>
    <col min="1" max="1" width="35" bestFit="1" customWidth="1"/>
    <col min="2" max="2" width="8" bestFit="1" customWidth="1"/>
    <col min="3" max="3" width="7.453125" bestFit="1" customWidth="1"/>
    <col min="4" max="4" width="17.26953125" bestFit="1" customWidth="1"/>
    <col min="5" max="5" width="4.81640625" bestFit="1" customWidth="1"/>
    <col min="6" max="6" width="4.08984375" bestFit="1" customWidth="1"/>
    <col min="7" max="7" width="4.08984375" customWidth="1"/>
    <col min="8" max="8" width="18.81640625" bestFit="1" customWidth="1"/>
    <col min="9" max="9" width="17.54296875" bestFit="1" customWidth="1"/>
    <col min="10" max="10" width="21.90625" bestFit="1" customWidth="1"/>
    <col min="11" max="11" width="13.453125" bestFit="1" customWidth="1"/>
    <col min="12" max="12" width="17.08984375" bestFit="1" customWidth="1"/>
    <col min="13" max="13" width="19" bestFit="1" customWidth="1"/>
    <col min="14" max="14" width="16.54296875" bestFit="1" customWidth="1"/>
    <col min="15" max="15" width="22" bestFit="1" customWidth="1"/>
    <col min="16" max="16" width="20.08984375" bestFit="1" customWidth="1"/>
    <col min="17" max="17" width="18" bestFit="1" customWidth="1"/>
    <col min="18" max="18" width="22" bestFit="1" customWidth="1"/>
    <col min="19" max="19" width="25" bestFit="1" customWidth="1"/>
    <col min="20" max="20" width="18" bestFit="1" customWidth="1"/>
    <col min="21" max="21" width="92.36328125" bestFit="1" customWidth="1"/>
    <col min="22" max="22" width="20.08984375" bestFit="1" customWidth="1"/>
    <col min="23" max="23" width="8.816406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 t="s">
        <v>22</v>
      </c>
      <c r="B2" t="s">
        <v>23</v>
      </c>
      <c r="C2" t="s">
        <v>24</v>
      </c>
      <c r="D2" t="s">
        <v>25</v>
      </c>
      <c r="E2">
        <v>600</v>
      </c>
      <c r="F2">
        <v>204</v>
      </c>
      <c r="G2">
        <v>155</v>
      </c>
      <c r="H2">
        <v>77</v>
      </c>
      <c r="I2">
        <v>454922.71</v>
      </c>
      <c r="J2">
        <v>0</v>
      </c>
      <c r="K2">
        <v>967269.51</v>
      </c>
      <c r="L2">
        <v>1511496.11</v>
      </c>
      <c r="M2">
        <v>3937682.96</v>
      </c>
      <c r="N2">
        <v>8423380.7300000004</v>
      </c>
      <c r="O2">
        <v>311718.32</v>
      </c>
      <c r="P2">
        <v>266.33</v>
      </c>
      <c r="Q2">
        <v>783.32</v>
      </c>
      <c r="R2">
        <v>1.46</v>
      </c>
      <c r="S2">
        <v>0</v>
      </c>
      <c r="T2">
        <v>311718.32</v>
      </c>
      <c r="U2" t="s">
        <v>26</v>
      </c>
      <c r="V2">
        <v>3</v>
      </c>
    </row>
    <row r="3" spans="1:22" x14ac:dyDescent="0.35">
      <c r="A3" s="1" t="s">
        <v>22</v>
      </c>
      <c r="B3" t="s">
        <v>23</v>
      </c>
      <c r="C3" t="s">
        <v>24</v>
      </c>
      <c r="D3" t="s">
        <v>27</v>
      </c>
      <c r="E3">
        <v>808</v>
      </c>
      <c r="F3">
        <v>202</v>
      </c>
      <c r="G3">
        <v>164</v>
      </c>
      <c r="H3">
        <v>56</v>
      </c>
      <c r="I3">
        <v>289877.99</v>
      </c>
      <c r="J3">
        <v>0</v>
      </c>
      <c r="K3">
        <v>751742.08</v>
      </c>
      <c r="L3">
        <v>756780.74</v>
      </c>
      <c r="M3">
        <v>1811348.11</v>
      </c>
      <c r="N3">
        <v>4604005.6100000003</v>
      </c>
      <c r="O3">
        <v>253030.8</v>
      </c>
      <c r="P3">
        <v>151.13</v>
      </c>
      <c r="Q3">
        <v>604.52</v>
      </c>
      <c r="R3">
        <v>1.1499999999999999</v>
      </c>
      <c r="S3">
        <v>0</v>
      </c>
      <c r="T3">
        <v>253030.8</v>
      </c>
      <c r="U3" t="s">
        <v>26</v>
      </c>
      <c r="V3">
        <v>3</v>
      </c>
    </row>
    <row r="4" spans="1:22" x14ac:dyDescent="0.35">
      <c r="A4" s="1" t="s">
        <v>22</v>
      </c>
      <c r="B4" t="s">
        <v>23</v>
      </c>
      <c r="C4" t="s">
        <v>24</v>
      </c>
      <c r="D4" t="s">
        <v>28</v>
      </c>
      <c r="E4">
        <v>366</v>
      </c>
      <c r="F4">
        <v>154</v>
      </c>
      <c r="G4">
        <v>117</v>
      </c>
      <c r="H4">
        <v>52</v>
      </c>
      <c r="I4">
        <v>381244.28</v>
      </c>
      <c r="J4">
        <v>0</v>
      </c>
      <c r="K4">
        <v>722348.09</v>
      </c>
      <c r="L4">
        <v>957857.46</v>
      </c>
      <c r="M4">
        <v>3413730.43</v>
      </c>
      <c r="N4">
        <v>6945011.9000000004</v>
      </c>
      <c r="O4">
        <v>15303.96</v>
      </c>
      <c r="P4">
        <v>21.11</v>
      </c>
      <c r="Q4">
        <v>50.17</v>
      </c>
      <c r="R4">
        <v>24.91</v>
      </c>
      <c r="S4">
        <v>0</v>
      </c>
      <c r="T4">
        <v>15303.96</v>
      </c>
      <c r="U4" t="s">
        <v>26</v>
      </c>
      <c r="V4">
        <v>3</v>
      </c>
    </row>
    <row r="5" spans="1:22" x14ac:dyDescent="0.35">
      <c r="A5" s="1" t="s">
        <v>22</v>
      </c>
      <c r="B5" t="s">
        <v>23</v>
      </c>
      <c r="C5" t="s">
        <v>24</v>
      </c>
      <c r="D5" t="s">
        <v>29</v>
      </c>
      <c r="E5">
        <v>161</v>
      </c>
      <c r="F5">
        <v>84</v>
      </c>
      <c r="G5">
        <v>66</v>
      </c>
      <c r="H5">
        <v>37</v>
      </c>
      <c r="I5">
        <v>622265.22</v>
      </c>
      <c r="J5">
        <v>382796.68</v>
      </c>
      <c r="K5">
        <v>1302530.1200000001</v>
      </c>
      <c r="L5">
        <v>1774962.65</v>
      </c>
      <c r="M5">
        <v>1456276.09</v>
      </c>
      <c r="N5">
        <v>4804372.6500000004</v>
      </c>
      <c r="O5">
        <v>65196.13</v>
      </c>
      <c r="P5">
        <v>207.39</v>
      </c>
      <c r="Q5">
        <v>397.5</v>
      </c>
      <c r="R5">
        <v>9.5399999999999991</v>
      </c>
      <c r="S5">
        <v>0.26490000000000002</v>
      </c>
      <c r="T5">
        <v>2.04</v>
      </c>
      <c r="U5" t="s">
        <v>26</v>
      </c>
      <c r="V5">
        <v>3</v>
      </c>
    </row>
    <row r="6" spans="1:22" x14ac:dyDescent="0.35">
      <c r="A6" s="1" t="s">
        <v>22</v>
      </c>
      <c r="B6" t="s">
        <v>23</v>
      </c>
      <c r="C6" t="s">
        <v>24</v>
      </c>
      <c r="D6" t="s">
        <v>30</v>
      </c>
      <c r="E6">
        <v>370</v>
      </c>
      <c r="F6">
        <v>111</v>
      </c>
      <c r="G6">
        <v>95</v>
      </c>
      <c r="H6">
        <v>36</v>
      </c>
      <c r="I6">
        <v>225074.97</v>
      </c>
      <c r="J6">
        <v>0</v>
      </c>
      <c r="K6">
        <v>277642.23</v>
      </c>
      <c r="L6">
        <v>358034.23</v>
      </c>
      <c r="M6">
        <v>3991785.66</v>
      </c>
      <c r="N6">
        <v>6408829.6900000004</v>
      </c>
      <c r="O6">
        <v>65013.53</v>
      </c>
      <c r="P6">
        <v>84.01</v>
      </c>
      <c r="Q6">
        <v>280.05</v>
      </c>
      <c r="R6">
        <v>3.46</v>
      </c>
      <c r="S6">
        <v>0</v>
      </c>
      <c r="T6">
        <v>65013.53</v>
      </c>
      <c r="U6" t="s">
        <v>26</v>
      </c>
      <c r="V6">
        <v>3</v>
      </c>
    </row>
    <row r="7" spans="1:22" x14ac:dyDescent="0.35">
      <c r="A7" s="1" t="s">
        <v>22</v>
      </c>
      <c r="B7" t="s">
        <v>23</v>
      </c>
      <c r="C7" t="s">
        <v>24</v>
      </c>
      <c r="D7" t="s">
        <v>31</v>
      </c>
      <c r="E7">
        <v>151</v>
      </c>
      <c r="F7">
        <v>68</v>
      </c>
      <c r="G7">
        <v>52</v>
      </c>
      <c r="H7">
        <v>27</v>
      </c>
      <c r="I7">
        <v>180008.75</v>
      </c>
      <c r="J7">
        <v>0</v>
      </c>
      <c r="K7">
        <v>241589.04</v>
      </c>
      <c r="L7">
        <v>358965.09</v>
      </c>
      <c r="M7">
        <v>2817465.17</v>
      </c>
      <c r="N7">
        <v>4985210.91</v>
      </c>
      <c r="O7">
        <v>157151.35999999999</v>
      </c>
      <c r="P7">
        <v>532.55999999999995</v>
      </c>
      <c r="Q7">
        <v>1182.5899999999999</v>
      </c>
      <c r="R7">
        <v>1.1499999999999999</v>
      </c>
      <c r="S7">
        <v>0</v>
      </c>
      <c r="T7">
        <v>157151.35999999999</v>
      </c>
      <c r="U7" t="s">
        <v>26</v>
      </c>
      <c r="V7">
        <v>3</v>
      </c>
    </row>
    <row r="8" spans="1:22" x14ac:dyDescent="0.35">
      <c r="A8" s="1" t="s">
        <v>22</v>
      </c>
      <c r="B8" t="s">
        <v>23</v>
      </c>
      <c r="C8" t="s">
        <v>24</v>
      </c>
      <c r="D8" t="s">
        <v>32</v>
      </c>
      <c r="E8">
        <v>76</v>
      </c>
      <c r="F8">
        <v>50</v>
      </c>
      <c r="G8">
        <v>42</v>
      </c>
      <c r="H8">
        <v>26</v>
      </c>
      <c r="I8">
        <v>164846.95000000001</v>
      </c>
      <c r="J8">
        <v>173327.33</v>
      </c>
      <c r="K8">
        <v>405208.63</v>
      </c>
      <c r="L8">
        <v>276425.37</v>
      </c>
      <c r="M8">
        <v>3281082.4</v>
      </c>
      <c r="N8">
        <v>3872477.5</v>
      </c>
      <c r="O8">
        <v>2784.34</v>
      </c>
      <c r="P8">
        <v>17.41</v>
      </c>
      <c r="Q8">
        <v>26.46</v>
      </c>
      <c r="R8">
        <v>59.21</v>
      </c>
      <c r="S8">
        <v>0.45290000000000002</v>
      </c>
      <c r="T8">
        <v>0.19</v>
      </c>
      <c r="U8" t="s">
        <v>26</v>
      </c>
      <c r="V8">
        <v>3</v>
      </c>
    </row>
    <row r="9" spans="1:22" x14ac:dyDescent="0.35">
      <c r="A9" s="1" t="s">
        <v>22</v>
      </c>
      <c r="B9" t="s">
        <v>23</v>
      </c>
      <c r="C9" t="s">
        <v>24</v>
      </c>
      <c r="D9" t="s">
        <v>33</v>
      </c>
      <c r="E9">
        <v>175</v>
      </c>
      <c r="F9">
        <v>84</v>
      </c>
      <c r="G9">
        <v>72</v>
      </c>
      <c r="H9">
        <v>31</v>
      </c>
      <c r="I9">
        <v>553832.74</v>
      </c>
      <c r="J9">
        <v>281764.08</v>
      </c>
      <c r="K9">
        <v>1302103.1399999999</v>
      </c>
      <c r="L9">
        <v>1411363.42</v>
      </c>
      <c r="M9">
        <v>2995078.63</v>
      </c>
      <c r="N9">
        <v>6363020.6799999997</v>
      </c>
      <c r="O9">
        <v>5458.96</v>
      </c>
      <c r="P9">
        <v>15.86</v>
      </c>
      <c r="Q9">
        <v>33.04</v>
      </c>
      <c r="R9">
        <v>101.45</v>
      </c>
      <c r="S9">
        <v>0.22500000000000001</v>
      </c>
      <c r="T9">
        <v>0.23</v>
      </c>
      <c r="U9" t="s">
        <v>26</v>
      </c>
      <c r="V9">
        <v>3</v>
      </c>
    </row>
    <row r="10" spans="1:22" x14ac:dyDescent="0.35">
      <c r="A10" s="1" t="s">
        <v>22</v>
      </c>
      <c r="B10" t="s">
        <v>23</v>
      </c>
      <c r="C10" t="s">
        <v>24</v>
      </c>
      <c r="D10" t="s">
        <v>34</v>
      </c>
      <c r="E10">
        <v>525</v>
      </c>
      <c r="F10">
        <v>126</v>
      </c>
      <c r="G10">
        <v>91</v>
      </c>
      <c r="H10">
        <v>31</v>
      </c>
      <c r="I10">
        <v>112104.57</v>
      </c>
      <c r="J10">
        <v>0</v>
      </c>
      <c r="K10">
        <v>208499.38</v>
      </c>
      <c r="L10">
        <v>193913.39</v>
      </c>
      <c r="M10">
        <v>1295834.8899999999</v>
      </c>
      <c r="N10">
        <v>2615935.34</v>
      </c>
      <c r="O10">
        <v>162664.94</v>
      </c>
      <c r="P10">
        <v>154.38999999999999</v>
      </c>
      <c r="Q10">
        <v>643.28</v>
      </c>
      <c r="R10">
        <v>0.69</v>
      </c>
      <c r="S10">
        <v>0</v>
      </c>
      <c r="T10">
        <v>162664.94</v>
      </c>
      <c r="U10" t="s">
        <v>26</v>
      </c>
      <c r="V10">
        <v>3</v>
      </c>
    </row>
    <row r="11" spans="1:22" x14ac:dyDescent="0.35">
      <c r="A11" s="1" t="s">
        <v>22</v>
      </c>
      <c r="B11" t="s">
        <v>23</v>
      </c>
      <c r="C11" t="s">
        <v>24</v>
      </c>
      <c r="D11" t="s">
        <v>35</v>
      </c>
      <c r="E11">
        <v>392</v>
      </c>
      <c r="F11">
        <v>149</v>
      </c>
      <c r="G11">
        <v>117</v>
      </c>
      <c r="H11">
        <v>46</v>
      </c>
      <c r="I11">
        <v>239722.19</v>
      </c>
      <c r="J11">
        <v>0</v>
      </c>
      <c r="K11">
        <v>442354.31</v>
      </c>
      <c r="L11">
        <v>554663.61</v>
      </c>
      <c r="M11">
        <v>2512768.2400000002</v>
      </c>
      <c r="N11">
        <v>4986148.4800000004</v>
      </c>
      <c r="O11">
        <v>62001.58</v>
      </c>
      <c r="P11">
        <v>76.05</v>
      </c>
      <c r="Q11">
        <v>200.08</v>
      </c>
      <c r="R11">
        <v>3.87</v>
      </c>
      <c r="S11">
        <v>0</v>
      </c>
      <c r="T11">
        <v>62001.58</v>
      </c>
      <c r="U11" t="s">
        <v>26</v>
      </c>
      <c r="V11">
        <v>3</v>
      </c>
    </row>
    <row r="12" spans="1:22" x14ac:dyDescent="0.35">
      <c r="A12" s="1" t="s">
        <v>22</v>
      </c>
      <c r="B12" t="s">
        <v>23</v>
      </c>
      <c r="C12" t="s">
        <v>24</v>
      </c>
      <c r="D12" t="s">
        <v>36</v>
      </c>
      <c r="E12">
        <v>56</v>
      </c>
      <c r="F12">
        <v>42</v>
      </c>
      <c r="G12">
        <v>31</v>
      </c>
      <c r="H12">
        <v>23</v>
      </c>
      <c r="I12">
        <v>376099.63</v>
      </c>
      <c r="J12">
        <v>362111.9</v>
      </c>
      <c r="K12">
        <v>683672.12</v>
      </c>
      <c r="L12">
        <v>839629.87</v>
      </c>
      <c r="M12">
        <v>2220953.2799999998</v>
      </c>
      <c r="N12">
        <v>3903988.53</v>
      </c>
      <c r="O12">
        <v>1003.39</v>
      </c>
      <c r="P12">
        <v>8.52</v>
      </c>
      <c r="Q12">
        <v>11.35</v>
      </c>
      <c r="R12">
        <v>374.83</v>
      </c>
      <c r="S12">
        <v>0.41260000000000002</v>
      </c>
      <c r="T12">
        <v>0.03</v>
      </c>
      <c r="U12" t="s">
        <v>26</v>
      </c>
      <c r="V12">
        <v>3</v>
      </c>
    </row>
    <row r="13" spans="1:22" x14ac:dyDescent="0.35">
      <c r="A13" s="1" t="s">
        <v>22</v>
      </c>
      <c r="B13" t="s">
        <v>23</v>
      </c>
      <c r="C13" t="s">
        <v>37</v>
      </c>
      <c r="D13" t="s">
        <v>25</v>
      </c>
      <c r="E13">
        <v>620</v>
      </c>
      <c r="F13">
        <v>211</v>
      </c>
      <c r="G13">
        <v>177</v>
      </c>
      <c r="H13">
        <v>80</v>
      </c>
      <c r="I13">
        <v>443690.83</v>
      </c>
      <c r="J13">
        <v>12476.23</v>
      </c>
      <c r="K13">
        <v>703585.88</v>
      </c>
      <c r="L13">
        <v>1081185.07</v>
      </c>
      <c r="M13">
        <v>8423380.7300000004</v>
      </c>
      <c r="N13">
        <v>12566730.91</v>
      </c>
      <c r="O13">
        <v>362154.33</v>
      </c>
      <c r="P13">
        <v>251.02</v>
      </c>
      <c r="Q13">
        <v>737.58</v>
      </c>
      <c r="R13">
        <v>1.23</v>
      </c>
      <c r="S13">
        <v>1.5699999999999999E-2</v>
      </c>
      <c r="T13">
        <v>348.33</v>
      </c>
      <c r="U13" t="s">
        <v>26</v>
      </c>
      <c r="V13">
        <v>3</v>
      </c>
    </row>
    <row r="14" spans="1:22" x14ac:dyDescent="0.35">
      <c r="A14" s="1" t="s">
        <v>22</v>
      </c>
      <c r="B14" t="s">
        <v>23</v>
      </c>
      <c r="C14" t="s">
        <v>37</v>
      </c>
      <c r="D14" t="s">
        <v>27</v>
      </c>
      <c r="E14">
        <v>864</v>
      </c>
      <c r="F14">
        <v>216</v>
      </c>
      <c r="G14">
        <v>183</v>
      </c>
      <c r="H14">
        <v>60</v>
      </c>
      <c r="I14">
        <v>400139.82</v>
      </c>
      <c r="J14">
        <v>17058.169999999998</v>
      </c>
      <c r="K14">
        <v>588948.06999999995</v>
      </c>
      <c r="L14">
        <v>849156.52</v>
      </c>
      <c r="M14">
        <v>4604005.6100000003</v>
      </c>
      <c r="N14">
        <v>8067684.3700000001</v>
      </c>
      <c r="O14">
        <v>271874.14</v>
      </c>
      <c r="P14">
        <v>129.87</v>
      </c>
      <c r="Q14">
        <v>519.48</v>
      </c>
      <c r="R14">
        <v>1.47</v>
      </c>
      <c r="S14">
        <v>2.52E-2</v>
      </c>
      <c r="T14">
        <v>191.26</v>
      </c>
      <c r="U14" t="s">
        <v>26</v>
      </c>
      <c r="V14">
        <v>3</v>
      </c>
    </row>
    <row r="15" spans="1:22" x14ac:dyDescent="0.35">
      <c r="A15" s="1" t="s">
        <v>22</v>
      </c>
      <c r="B15" t="s">
        <v>23</v>
      </c>
      <c r="C15" t="s">
        <v>37</v>
      </c>
      <c r="D15" t="s">
        <v>28</v>
      </c>
      <c r="E15">
        <v>402</v>
      </c>
      <c r="F15">
        <v>169</v>
      </c>
      <c r="G15">
        <v>135</v>
      </c>
      <c r="H15">
        <v>57</v>
      </c>
      <c r="I15">
        <v>304071.28000000003</v>
      </c>
      <c r="J15">
        <v>35817.46</v>
      </c>
      <c r="K15">
        <v>364067.8</v>
      </c>
      <c r="L15">
        <v>447368.74</v>
      </c>
      <c r="M15">
        <v>6945011.9000000004</v>
      </c>
      <c r="N15">
        <v>9703220.5199999996</v>
      </c>
      <c r="O15">
        <v>19768.43</v>
      </c>
      <c r="P15">
        <v>20.64</v>
      </c>
      <c r="Q15">
        <v>49.09</v>
      </c>
      <c r="R15">
        <v>15.38</v>
      </c>
      <c r="S15">
        <v>7.0300000000000001E-2</v>
      </c>
      <c r="T15">
        <v>6.62</v>
      </c>
      <c r="U15" t="s">
        <v>26</v>
      </c>
      <c r="V15">
        <v>3</v>
      </c>
    </row>
    <row r="16" spans="1:22" x14ac:dyDescent="0.35">
      <c r="A16" s="1" t="s">
        <v>22</v>
      </c>
      <c r="B16" t="s">
        <v>23</v>
      </c>
      <c r="C16" t="s">
        <v>37</v>
      </c>
      <c r="D16" t="s">
        <v>29</v>
      </c>
      <c r="E16">
        <v>175</v>
      </c>
      <c r="F16">
        <v>91</v>
      </c>
      <c r="G16">
        <v>74</v>
      </c>
      <c r="H16">
        <v>40</v>
      </c>
      <c r="I16">
        <v>677246.19</v>
      </c>
      <c r="J16">
        <v>323634.32</v>
      </c>
      <c r="K16">
        <v>1224609.52</v>
      </c>
      <c r="L16">
        <v>1808789.07</v>
      </c>
      <c r="M16">
        <v>4804372.6500000004</v>
      </c>
      <c r="N16">
        <v>7651508.4299999997</v>
      </c>
      <c r="O16">
        <v>80506.75</v>
      </c>
      <c r="P16">
        <v>196.45</v>
      </c>
      <c r="Q16">
        <v>377.79</v>
      </c>
      <c r="R16">
        <v>8.41</v>
      </c>
      <c r="S16">
        <v>0.28789999999999999</v>
      </c>
      <c r="T16">
        <v>2.99</v>
      </c>
      <c r="U16" t="s">
        <v>26</v>
      </c>
      <c r="V16">
        <v>3</v>
      </c>
    </row>
    <row r="17" spans="1:22" x14ac:dyDescent="0.35">
      <c r="A17" s="1" t="s">
        <v>22</v>
      </c>
      <c r="B17" t="s">
        <v>23</v>
      </c>
      <c r="C17" t="s">
        <v>37</v>
      </c>
      <c r="D17" t="s">
        <v>30</v>
      </c>
      <c r="E17">
        <v>376</v>
      </c>
      <c r="F17">
        <v>113</v>
      </c>
      <c r="G17">
        <v>89</v>
      </c>
      <c r="H17">
        <v>37</v>
      </c>
      <c r="I17">
        <v>193510.43</v>
      </c>
      <c r="J17">
        <v>34267.14</v>
      </c>
      <c r="K17">
        <v>280762.28999999998</v>
      </c>
      <c r="L17">
        <v>283488.3</v>
      </c>
      <c r="M17">
        <v>6408829.6900000004</v>
      </c>
      <c r="N17">
        <v>8158441.2000000002</v>
      </c>
      <c r="O17">
        <v>69216.37</v>
      </c>
      <c r="P17">
        <v>81.88</v>
      </c>
      <c r="Q17">
        <v>272.44</v>
      </c>
      <c r="R17">
        <v>2.8</v>
      </c>
      <c r="S17">
        <v>9.8000000000000004E-2</v>
      </c>
      <c r="T17">
        <v>24.24</v>
      </c>
      <c r="U17" t="s">
        <v>26</v>
      </c>
      <c r="V17">
        <v>3</v>
      </c>
    </row>
    <row r="18" spans="1:22" x14ac:dyDescent="0.35">
      <c r="A18" s="1" t="s">
        <v>22</v>
      </c>
      <c r="B18" t="s">
        <v>23</v>
      </c>
      <c r="C18" t="s">
        <v>37</v>
      </c>
      <c r="D18" t="s">
        <v>31</v>
      </c>
      <c r="E18">
        <v>151</v>
      </c>
      <c r="F18">
        <v>68</v>
      </c>
      <c r="G18">
        <v>59</v>
      </c>
      <c r="H18">
        <v>27</v>
      </c>
      <c r="I18">
        <v>195686.64</v>
      </c>
      <c r="J18">
        <v>22740.23</v>
      </c>
      <c r="K18">
        <v>426936.74</v>
      </c>
      <c r="L18">
        <v>298275.01</v>
      </c>
      <c r="M18">
        <v>4985210.91</v>
      </c>
      <c r="N18">
        <v>6779462.21</v>
      </c>
      <c r="O18">
        <v>185333.96</v>
      </c>
      <c r="P18">
        <v>502.89</v>
      </c>
      <c r="Q18">
        <v>1116.72</v>
      </c>
      <c r="R18">
        <v>1.06</v>
      </c>
      <c r="S18">
        <v>6.8400000000000002E-2</v>
      </c>
      <c r="T18">
        <v>97.8</v>
      </c>
      <c r="U18" t="s">
        <v>26</v>
      </c>
      <c r="V18">
        <v>3</v>
      </c>
    </row>
    <row r="19" spans="1:22" x14ac:dyDescent="0.35">
      <c r="A19" s="1" t="s">
        <v>22</v>
      </c>
      <c r="B19" t="s">
        <v>23</v>
      </c>
      <c r="C19" t="s">
        <v>37</v>
      </c>
      <c r="D19" t="s">
        <v>32</v>
      </c>
      <c r="E19">
        <v>83</v>
      </c>
      <c r="F19">
        <v>54</v>
      </c>
      <c r="G19">
        <v>40</v>
      </c>
      <c r="H19">
        <v>33</v>
      </c>
      <c r="I19">
        <v>589067.06000000006</v>
      </c>
      <c r="J19">
        <v>352360.24</v>
      </c>
      <c r="K19">
        <v>1032239.46</v>
      </c>
      <c r="L19">
        <v>992826.33</v>
      </c>
      <c r="M19">
        <v>3872477.5</v>
      </c>
      <c r="N19">
        <v>6821005.7400000002</v>
      </c>
      <c r="O19">
        <v>3180.98</v>
      </c>
      <c r="P19">
        <v>16.739999999999998</v>
      </c>
      <c r="Q19">
        <v>25.73</v>
      </c>
      <c r="R19">
        <v>185.18</v>
      </c>
      <c r="S19">
        <v>0.34970000000000001</v>
      </c>
      <c r="T19">
        <v>0.11</v>
      </c>
      <c r="U19" t="s">
        <v>26</v>
      </c>
      <c r="V19">
        <v>3</v>
      </c>
    </row>
    <row r="20" spans="1:22" x14ac:dyDescent="0.35">
      <c r="A20" s="1" t="s">
        <v>22</v>
      </c>
      <c r="B20" t="s">
        <v>23</v>
      </c>
      <c r="C20" t="s">
        <v>37</v>
      </c>
      <c r="D20" t="s">
        <v>33</v>
      </c>
      <c r="E20">
        <v>175</v>
      </c>
      <c r="F20">
        <v>84</v>
      </c>
      <c r="G20">
        <v>65</v>
      </c>
      <c r="H20">
        <v>31</v>
      </c>
      <c r="I20">
        <v>278392.05</v>
      </c>
      <c r="J20">
        <v>197331.5</v>
      </c>
      <c r="K20">
        <v>369942.68</v>
      </c>
      <c r="L20">
        <v>697608.81</v>
      </c>
      <c r="M20">
        <v>6363020.6799999997</v>
      </c>
      <c r="N20">
        <v>7520414.0899999999</v>
      </c>
      <c r="O20">
        <v>6077.85</v>
      </c>
      <c r="P20">
        <v>15.19</v>
      </c>
      <c r="Q20">
        <v>31.65</v>
      </c>
      <c r="R20">
        <v>45.8</v>
      </c>
      <c r="S20">
        <v>0.41299999999999998</v>
      </c>
      <c r="T20">
        <v>0.37</v>
      </c>
      <c r="U20" t="s">
        <v>26</v>
      </c>
      <c r="V20">
        <v>3</v>
      </c>
    </row>
    <row r="21" spans="1:22" x14ac:dyDescent="0.35">
      <c r="A21" s="1" t="s">
        <v>22</v>
      </c>
      <c r="B21" t="s">
        <v>23</v>
      </c>
      <c r="C21" t="s">
        <v>37</v>
      </c>
      <c r="D21" t="s">
        <v>34</v>
      </c>
      <c r="E21">
        <v>612</v>
      </c>
      <c r="F21">
        <v>147</v>
      </c>
      <c r="G21">
        <v>117</v>
      </c>
      <c r="H21">
        <v>36</v>
      </c>
      <c r="I21">
        <v>181539.58</v>
      </c>
      <c r="J21">
        <v>39223.480000000003</v>
      </c>
      <c r="K21">
        <v>362270.95</v>
      </c>
      <c r="L21">
        <v>289610.43</v>
      </c>
      <c r="M21">
        <v>2615935.34</v>
      </c>
      <c r="N21">
        <v>3944968.37</v>
      </c>
      <c r="O21">
        <v>197722.26</v>
      </c>
      <c r="P21">
        <v>134.62</v>
      </c>
      <c r="Q21">
        <v>560.47</v>
      </c>
      <c r="R21">
        <v>0.92</v>
      </c>
      <c r="S21">
        <v>0.1376</v>
      </c>
      <c r="T21">
        <v>60.49</v>
      </c>
      <c r="U21" t="s">
        <v>26</v>
      </c>
      <c r="V21">
        <v>3</v>
      </c>
    </row>
    <row r="22" spans="1:22" x14ac:dyDescent="0.35">
      <c r="A22" s="1" t="s">
        <v>22</v>
      </c>
      <c r="B22" t="s">
        <v>23</v>
      </c>
      <c r="C22" t="s">
        <v>37</v>
      </c>
      <c r="D22" t="s">
        <v>35</v>
      </c>
      <c r="E22">
        <v>436</v>
      </c>
      <c r="F22">
        <v>166</v>
      </c>
      <c r="G22">
        <v>126</v>
      </c>
      <c r="H22">
        <v>51</v>
      </c>
      <c r="I22">
        <v>350225.09</v>
      </c>
      <c r="J22">
        <v>35635.96</v>
      </c>
      <c r="K22">
        <v>439725.06</v>
      </c>
      <c r="L22">
        <v>565525.81999999995</v>
      </c>
      <c r="M22">
        <v>4986148.4800000004</v>
      </c>
      <c r="N22">
        <v>8403964.0399999991</v>
      </c>
      <c r="O22">
        <v>79657.91</v>
      </c>
      <c r="P22">
        <v>80.239999999999995</v>
      </c>
      <c r="Q22">
        <v>210.75</v>
      </c>
      <c r="R22">
        <v>4.4000000000000004</v>
      </c>
      <c r="S22">
        <v>5.8000000000000003E-2</v>
      </c>
      <c r="T22">
        <v>26.82</v>
      </c>
      <c r="U22" t="s">
        <v>26</v>
      </c>
      <c r="V22">
        <v>3</v>
      </c>
    </row>
    <row r="23" spans="1:22" x14ac:dyDescent="0.35">
      <c r="A23" s="1" t="s">
        <v>22</v>
      </c>
      <c r="B23" t="s">
        <v>23</v>
      </c>
      <c r="C23" t="s">
        <v>37</v>
      </c>
      <c r="D23" t="s">
        <v>36</v>
      </c>
      <c r="E23">
        <v>58</v>
      </c>
      <c r="F23">
        <v>44</v>
      </c>
      <c r="G23">
        <v>37</v>
      </c>
      <c r="H23">
        <v>25</v>
      </c>
      <c r="I23">
        <v>436431.04</v>
      </c>
      <c r="J23">
        <v>279455.27</v>
      </c>
      <c r="K23">
        <v>767798.25</v>
      </c>
      <c r="L23">
        <v>1125766.23</v>
      </c>
      <c r="M23">
        <v>3903988.53</v>
      </c>
      <c r="N23">
        <v>5076775.67</v>
      </c>
      <c r="O23">
        <v>1320.96</v>
      </c>
      <c r="P23">
        <v>9.33</v>
      </c>
      <c r="Q23">
        <v>12.29</v>
      </c>
      <c r="R23">
        <v>330.39</v>
      </c>
      <c r="S23">
        <v>0.42559999999999998</v>
      </c>
      <c r="T23">
        <v>0.06</v>
      </c>
      <c r="U23" t="s">
        <v>26</v>
      </c>
      <c r="V23">
        <v>3</v>
      </c>
    </row>
    <row r="24" spans="1:22" x14ac:dyDescent="0.35">
      <c r="A24" s="1" t="s">
        <v>22</v>
      </c>
      <c r="B24" t="s">
        <v>23</v>
      </c>
      <c r="C24" t="s">
        <v>38</v>
      </c>
      <c r="D24" t="s">
        <v>25</v>
      </c>
      <c r="E24">
        <v>655</v>
      </c>
      <c r="F24">
        <v>223</v>
      </c>
      <c r="G24">
        <v>165</v>
      </c>
      <c r="H24">
        <v>84</v>
      </c>
      <c r="I24">
        <v>621560.62</v>
      </c>
      <c r="J24">
        <v>16211.72</v>
      </c>
      <c r="K24">
        <v>1015272.14</v>
      </c>
      <c r="L24">
        <v>1004417.94</v>
      </c>
      <c r="M24">
        <v>12566730.91</v>
      </c>
      <c r="N24">
        <v>17972907.960000001</v>
      </c>
      <c r="O24">
        <v>516622.86</v>
      </c>
      <c r="P24">
        <v>246.99</v>
      </c>
      <c r="Q24">
        <v>725.48</v>
      </c>
      <c r="R24">
        <v>1.2</v>
      </c>
      <c r="S24">
        <v>1.4E-2</v>
      </c>
      <c r="T24">
        <v>382.41</v>
      </c>
      <c r="U24" t="s">
        <v>26</v>
      </c>
      <c r="V24">
        <v>3</v>
      </c>
    </row>
    <row r="25" spans="1:22" x14ac:dyDescent="0.35">
      <c r="A25" s="1" t="s">
        <v>22</v>
      </c>
      <c r="B25" t="s">
        <v>23</v>
      </c>
      <c r="C25" t="s">
        <v>38</v>
      </c>
      <c r="D25" t="s">
        <v>27</v>
      </c>
      <c r="E25">
        <v>936</v>
      </c>
      <c r="F25">
        <v>234</v>
      </c>
      <c r="G25">
        <v>193</v>
      </c>
      <c r="H25">
        <v>65</v>
      </c>
      <c r="I25">
        <v>408525.5</v>
      </c>
      <c r="J25">
        <v>16698.59</v>
      </c>
      <c r="K25">
        <v>615100.62</v>
      </c>
      <c r="L25">
        <v>794506.77</v>
      </c>
      <c r="M25">
        <v>8067684.3700000001</v>
      </c>
      <c r="N25">
        <v>11974466.77</v>
      </c>
      <c r="O25">
        <v>409763.31</v>
      </c>
      <c r="P25">
        <v>130.61000000000001</v>
      </c>
      <c r="Q25">
        <v>522.44000000000005</v>
      </c>
      <c r="R25">
        <v>1</v>
      </c>
      <c r="S25">
        <v>1.9300000000000001E-2</v>
      </c>
      <c r="T25">
        <v>294.47000000000003</v>
      </c>
      <c r="U25" t="s">
        <v>26</v>
      </c>
      <c r="V25">
        <v>3</v>
      </c>
    </row>
    <row r="26" spans="1:22" x14ac:dyDescent="0.35">
      <c r="A26" s="1" t="s">
        <v>22</v>
      </c>
      <c r="B26" t="s">
        <v>23</v>
      </c>
      <c r="C26" t="s">
        <v>38</v>
      </c>
      <c r="D26" t="s">
        <v>28</v>
      </c>
      <c r="E26">
        <v>440</v>
      </c>
      <c r="F26">
        <v>185</v>
      </c>
      <c r="G26">
        <v>138</v>
      </c>
      <c r="H26">
        <v>62</v>
      </c>
      <c r="I26">
        <v>276216.12</v>
      </c>
      <c r="J26">
        <v>18312.18</v>
      </c>
      <c r="K26">
        <v>415855.42</v>
      </c>
      <c r="L26">
        <v>395321.52</v>
      </c>
      <c r="M26">
        <v>9703220.5199999996</v>
      </c>
      <c r="N26">
        <v>12308711.6</v>
      </c>
      <c r="O26">
        <v>28664.82</v>
      </c>
      <c r="P26">
        <v>19.87</v>
      </c>
      <c r="Q26">
        <v>47.27</v>
      </c>
      <c r="R26">
        <v>9.64</v>
      </c>
      <c r="S26">
        <v>3.3300000000000003E-2</v>
      </c>
      <c r="T26">
        <v>18.78</v>
      </c>
      <c r="U26" t="s">
        <v>26</v>
      </c>
      <c r="V26">
        <v>3</v>
      </c>
    </row>
    <row r="27" spans="1:22" x14ac:dyDescent="0.35">
      <c r="A27" s="1" t="s">
        <v>22</v>
      </c>
      <c r="B27" t="s">
        <v>23</v>
      </c>
      <c r="C27" t="s">
        <v>38</v>
      </c>
      <c r="D27" t="s">
        <v>29</v>
      </c>
      <c r="E27">
        <v>196</v>
      </c>
      <c r="F27">
        <v>102</v>
      </c>
      <c r="G27">
        <v>85</v>
      </c>
      <c r="H27">
        <v>45</v>
      </c>
      <c r="I27">
        <v>488972.7</v>
      </c>
      <c r="J27">
        <v>385009.28</v>
      </c>
      <c r="K27">
        <v>852980.2</v>
      </c>
      <c r="L27">
        <v>728359.55</v>
      </c>
      <c r="M27">
        <v>7651508.4299999997</v>
      </c>
      <c r="N27">
        <v>9643293.0700000003</v>
      </c>
      <c r="O27">
        <v>133146.19</v>
      </c>
      <c r="P27">
        <v>205.17</v>
      </c>
      <c r="Q27">
        <v>394.25</v>
      </c>
      <c r="R27">
        <v>3.67</v>
      </c>
      <c r="S27">
        <v>0.4078</v>
      </c>
      <c r="T27">
        <v>4.1500000000000004</v>
      </c>
      <c r="U27" t="s">
        <v>26</v>
      </c>
      <c r="V27">
        <v>3</v>
      </c>
    </row>
    <row r="28" spans="1:22" x14ac:dyDescent="0.35">
      <c r="A28" s="1" t="s">
        <v>22</v>
      </c>
      <c r="B28" t="s">
        <v>23</v>
      </c>
      <c r="C28" t="s">
        <v>38</v>
      </c>
      <c r="D28" t="s">
        <v>30</v>
      </c>
      <c r="E28">
        <v>440</v>
      </c>
      <c r="F28">
        <v>132</v>
      </c>
      <c r="G28">
        <v>104</v>
      </c>
      <c r="H28">
        <v>43</v>
      </c>
      <c r="I28">
        <v>409859.11</v>
      </c>
      <c r="J28">
        <v>23909.18</v>
      </c>
      <c r="K28">
        <v>458430.21</v>
      </c>
      <c r="L28">
        <v>480984.67</v>
      </c>
      <c r="M28">
        <v>8158441.2000000002</v>
      </c>
      <c r="N28">
        <v>11793684.67</v>
      </c>
      <c r="O28">
        <v>134899.07</v>
      </c>
      <c r="P28">
        <v>89.76</v>
      </c>
      <c r="Q28">
        <v>299.19</v>
      </c>
      <c r="R28">
        <v>3.04</v>
      </c>
      <c r="S28">
        <v>3.1699999999999999E-2</v>
      </c>
      <c r="T28">
        <v>67.709999999999994</v>
      </c>
      <c r="U28" t="s">
        <v>26</v>
      </c>
      <c r="V28">
        <v>3</v>
      </c>
    </row>
    <row r="29" spans="1:22" x14ac:dyDescent="0.35">
      <c r="A29" s="1" t="s">
        <v>22</v>
      </c>
      <c r="B29" t="s">
        <v>23</v>
      </c>
      <c r="C29" t="s">
        <v>38</v>
      </c>
      <c r="D29" t="s">
        <v>31</v>
      </c>
      <c r="E29">
        <v>160</v>
      </c>
      <c r="F29">
        <v>72</v>
      </c>
      <c r="G29">
        <v>58</v>
      </c>
      <c r="H29">
        <v>28</v>
      </c>
      <c r="I29">
        <v>118042.12</v>
      </c>
      <c r="J29">
        <v>37354.879999999997</v>
      </c>
      <c r="K29">
        <v>259020.07</v>
      </c>
      <c r="L29">
        <v>306426.94</v>
      </c>
      <c r="M29">
        <v>6779462.21</v>
      </c>
      <c r="N29">
        <v>7454879.96</v>
      </c>
      <c r="O29">
        <v>254356.24</v>
      </c>
      <c r="P29">
        <v>482.26</v>
      </c>
      <c r="Q29">
        <v>1071.69</v>
      </c>
      <c r="R29">
        <v>0.46</v>
      </c>
      <c r="S29">
        <v>0.15390000000000001</v>
      </c>
      <c r="T29">
        <v>81.709999999999994</v>
      </c>
      <c r="U29" t="s">
        <v>26</v>
      </c>
      <c r="V29">
        <v>3</v>
      </c>
    </row>
    <row r="30" spans="1:22" x14ac:dyDescent="0.35">
      <c r="A30" s="1" t="s">
        <v>22</v>
      </c>
      <c r="B30" t="s">
        <v>23</v>
      </c>
      <c r="C30" t="s">
        <v>38</v>
      </c>
      <c r="D30" t="s">
        <v>32</v>
      </c>
      <c r="E30">
        <v>81</v>
      </c>
      <c r="F30">
        <v>53</v>
      </c>
      <c r="G30">
        <v>40</v>
      </c>
      <c r="H30">
        <v>27</v>
      </c>
      <c r="I30">
        <v>396663.4</v>
      </c>
      <c r="J30">
        <v>334729.24</v>
      </c>
      <c r="K30">
        <v>643033.15</v>
      </c>
      <c r="L30">
        <v>462832.34</v>
      </c>
      <c r="M30">
        <v>6821005.7400000002</v>
      </c>
      <c r="N30">
        <v>8238047.3099999996</v>
      </c>
      <c r="O30">
        <v>4026.89</v>
      </c>
      <c r="P30">
        <v>15.35</v>
      </c>
      <c r="Q30">
        <v>23.46</v>
      </c>
      <c r="R30">
        <v>98.5</v>
      </c>
      <c r="S30">
        <v>0.45129999999999998</v>
      </c>
      <c r="T30">
        <v>0.14000000000000001</v>
      </c>
      <c r="U30" t="s">
        <v>26</v>
      </c>
      <c r="V30">
        <v>3</v>
      </c>
    </row>
    <row r="31" spans="1:22" x14ac:dyDescent="0.35">
      <c r="A31" s="1" t="s">
        <v>22</v>
      </c>
      <c r="B31" t="s">
        <v>23</v>
      </c>
      <c r="C31" t="s">
        <v>38</v>
      </c>
      <c r="D31" t="s">
        <v>33</v>
      </c>
      <c r="E31">
        <v>197</v>
      </c>
      <c r="F31">
        <v>95</v>
      </c>
      <c r="G31">
        <v>75</v>
      </c>
      <c r="H31">
        <v>36</v>
      </c>
      <c r="I31">
        <v>613587.19999999995</v>
      </c>
      <c r="J31">
        <v>279220.88</v>
      </c>
      <c r="K31">
        <v>584431.61</v>
      </c>
      <c r="L31">
        <v>1189614.95</v>
      </c>
      <c r="M31">
        <v>7520414.0899999999</v>
      </c>
      <c r="N31">
        <v>11126241.07</v>
      </c>
      <c r="O31">
        <v>10422.209999999999</v>
      </c>
      <c r="P31">
        <v>16.39</v>
      </c>
      <c r="Q31">
        <v>33.99</v>
      </c>
      <c r="R31">
        <v>58.87</v>
      </c>
      <c r="S31">
        <v>0.24829999999999999</v>
      </c>
      <c r="T31">
        <v>0.45</v>
      </c>
      <c r="U31" t="s">
        <v>26</v>
      </c>
      <c r="V31">
        <v>3</v>
      </c>
    </row>
    <row r="32" spans="1:22" x14ac:dyDescent="0.35">
      <c r="A32" s="1" t="s">
        <v>22</v>
      </c>
      <c r="B32" t="s">
        <v>23</v>
      </c>
      <c r="C32" t="s">
        <v>38</v>
      </c>
      <c r="D32" t="s">
        <v>34</v>
      </c>
      <c r="E32">
        <v>600</v>
      </c>
      <c r="F32">
        <v>144</v>
      </c>
      <c r="G32">
        <v>124</v>
      </c>
      <c r="H32">
        <v>36</v>
      </c>
      <c r="I32">
        <v>271283.96999999997</v>
      </c>
      <c r="J32">
        <v>17257.89</v>
      </c>
      <c r="K32">
        <v>271504.25</v>
      </c>
      <c r="L32">
        <v>471806.67</v>
      </c>
      <c r="M32">
        <v>3944968.37</v>
      </c>
      <c r="N32">
        <v>6301938.1699999999</v>
      </c>
      <c r="O32">
        <v>260868.19</v>
      </c>
      <c r="P32">
        <v>135.24</v>
      </c>
      <c r="Q32">
        <v>563.49</v>
      </c>
      <c r="R32">
        <v>1.04</v>
      </c>
      <c r="S32">
        <v>3.56E-2</v>
      </c>
      <c r="T32">
        <v>181.39</v>
      </c>
      <c r="U32" t="s">
        <v>26</v>
      </c>
      <c r="V32">
        <v>3</v>
      </c>
    </row>
    <row r="33" spans="1:22" x14ac:dyDescent="0.35">
      <c r="A33" s="1" t="s">
        <v>22</v>
      </c>
      <c r="B33" t="s">
        <v>23</v>
      </c>
      <c r="C33" t="s">
        <v>38</v>
      </c>
      <c r="D33" t="s">
        <v>35</v>
      </c>
      <c r="E33">
        <v>421</v>
      </c>
      <c r="F33">
        <v>160</v>
      </c>
      <c r="G33">
        <v>140</v>
      </c>
      <c r="H33">
        <v>49</v>
      </c>
      <c r="I33">
        <v>383918.04</v>
      </c>
      <c r="J33">
        <v>51698.32</v>
      </c>
      <c r="K33">
        <v>716398.56</v>
      </c>
      <c r="L33">
        <v>797570.6</v>
      </c>
      <c r="M33">
        <v>8403964.0399999991</v>
      </c>
      <c r="N33">
        <v>11204727.289999999</v>
      </c>
      <c r="O33">
        <v>108865.02</v>
      </c>
      <c r="P33">
        <v>79.23</v>
      </c>
      <c r="Q33">
        <v>208.48</v>
      </c>
      <c r="R33">
        <v>3.53</v>
      </c>
      <c r="S33">
        <v>7.17E-2</v>
      </c>
      <c r="T33">
        <v>25.27</v>
      </c>
      <c r="U33" t="s">
        <v>26</v>
      </c>
      <c r="V33">
        <v>3</v>
      </c>
    </row>
    <row r="34" spans="1:22" x14ac:dyDescent="0.35">
      <c r="A34" s="1" t="s">
        <v>22</v>
      </c>
      <c r="B34" t="s">
        <v>23</v>
      </c>
      <c r="C34" t="s">
        <v>38</v>
      </c>
      <c r="D34" t="s">
        <v>36</v>
      </c>
      <c r="E34">
        <v>61</v>
      </c>
      <c r="F34">
        <v>46</v>
      </c>
      <c r="G34">
        <v>36</v>
      </c>
      <c r="H34">
        <v>25</v>
      </c>
      <c r="I34">
        <v>511371.23</v>
      </c>
      <c r="J34">
        <v>319597.84999999998</v>
      </c>
      <c r="K34">
        <v>847247.46</v>
      </c>
      <c r="L34">
        <v>774848.92</v>
      </c>
      <c r="M34">
        <v>5076775.67</v>
      </c>
      <c r="N34">
        <v>8249058.9299999997</v>
      </c>
      <c r="O34">
        <v>1696.77</v>
      </c>
      <c r="P34">
        <v>8.3800000000000008</v>
      </c>
      <c r="Q34">
        <v>11.11</v>
      </c>
      <c r="R34">
        <v>301.38</v>
      </c>
      <c r="S34">
        <v>0.28610000000000002</v>
      </c>
      <c r="T34">
        <v>0.06</v>
      </c>
      <c r="U34" t="s">
        <v>26</v>
      </c>
      <c r="V34">
        <v>3</v>
      </c>
    </row>
    <row r="35" spans="1:22" x14ac:dyDescent="0.35">
      <c r="A35" s="1" t="s">
        <v>22</v>
      </c>
      <c r="B35" t="s">
        <v>23</v>
      </c>
      <c r="C35" t="s">
        <v>39</v>
      </c>
      <c r="D35" t="s">
        <v>25</v>
      </c>
      <c r="E35">
        <v>623</v>
      </c>
      <c r="F35">
        <v>212</v>
      </c>
      <c r="G35">
        <v>154</v>
      </c>
      <c r="H35">
        <v>80</v>
      </c>
      <c r="I35">
        <v>560097.98</v>
      </c>
      <c r="J35">
        <v>90458.9</v>
      </c>
      <c r="K35">
        <v>520573.95</v>
      </c>
      <c r="L35">
        <v>634396.19999999995</v>
      </c>
      <c r="M35">
        <v>17972907.960000001</v>
      </c>
      <c r="N35">
        <v>21531540.359999999</v>
      </c>
      <c r="O35">
        <v>411801.63</v>
      </c>
      <c r="P35">
        <v>263.18</v>
      </c>
      <c r="Q35">
        <v>773.39</v>
      </c>
      <c r="R35">
        <v>1.36</v>
      </c>
      <c r="S35">
        <v>0.1067</v>
      </c>
      <c r="T35">
        <v>54.63</v>
      </c>
      <c r="U35" t="s">
        <v>26</v>
      </c>
      <c r="V35">
        <v>3</v>
      </c>
    </row>
    <row r="36" spans="1:22" x14ac:dyDescent="0.35">
      <c r="A36" s="1" t="s">
        <v>22</v>
      </c>
      <c r="B36" t="s">
        <v>23</v>
      </c>
      <c r="C36" t="s">
        <v>39</v>
      </c>
      <c r="D36" t="s">
        <v>27</v>
      </c>
      <c r="E36">
        <v>964</v>
      </c>
      <c r="F36">
        <v>241</v>
      </c>
      <c r="G36">
        <v>201</v>
      </c>
      <c r="H36">
        <v>67</v>
      </c>
      <c r="I36">
        <v>601411.52</v>
      </c>
      <c r="J36">
        <v>38414.480000000003</v>
      </c>
      <c r="K36">
        <v>788013.54</v>
      </c>
      <c r="L36">
        <v>1140839.42</v>
      </c>
      <c r="M36">
        <v>11974466.77</v>
      </c>
      <c r="N36">
        <v>15333543.41</v>
      </c>
      <c r="O36">
        <v>356762.81</v>
      </c>
      <c r="P36">
        <v>150.72999999999999</v>
      </c>
      <c r="Q36">
        <v>602.91</v>
      </c>
      <c r="R36">
        <v>1.69</v>
      </c>
      <c r="S36">
        <v>4.1700000000000001E-2</v>
      </c>
      <c r="T36">
        <v>111.45</v>
      </c>
      <c r="U36" t="s">
        <v>26</v>
      </c>
      <c r="V36">
        <v>3</v>
      </c>
    </row>
    <row r="37" spans="1:22" x14ac:dyDescent="0.35">
      <c r="A37" s="1" t="s">
        <v>22</v>
      </c>
      <c r="B37" t="s">
        <v>23</v>
      </c>
      <c r="C37" t="s">
        <v>39</v>
      </c>
      <c r="D37" t="s">
        <v>28</v>
      </c>
      <c r="E37">
        <v>452</v>
      </c>
      <c r="F37">
        <v>190</v>
      </c>
      <c r="G37">
        <v>160</v>
      </c>
      <c r="H37">
        <v>64</v>
      </c>
      <c r="I37">
        <v>507087.34</v>
      </c>
      <c r="J37">
        <v>120400.45</v>
      </c>
      <c r="K37">
        <v>417482.79</v>
      </c>
      <c r="L37">
        <v>894855.21</v>
      </c>
      <c r="M37">
        <v>12308711.6</v>
      </c>
      <c r="N37">
        <v>15217147.25</v>
      </c>
      <c r="O37">
        <v>22711.86</v>
      </c>
      <c r="P37">
        <v>20.059999999999999</v>
      </c>
      <c r="Q37">
        <v>47.73</v>
      </c>
      <c r="R37">
        <v>22.33</v>
      </c>
      <c r="S37">
        <v>0.1482</v>
      </c>
      <c r="T37">
        <v>2.2599999999999998</v>
      </c>
      <c r="U37" t="s">
        <v>26</v>
      </c>
      <c r="V37">
        <v>3</v>
      </c>
    </row>
    <row r="38" spans="1:22" x14ac:dyDescent="0.35">
      <c r="A38" s="1" t="s">
        <v>22</v>
      </c>
      <c r="B38" t="s">
        <v>23</v>
      </c>
      <c r="C38" t="s">
        <v>39</v>
      </c>
      <c r="D38" t="s">
        <v>29</v>
      </c>
      <c r="E38">
        <v>198</v>
      </c>
      <c r="F38">
        <v>103</v>
      </c>
      <c r="G38">
        <v>78</v>
      </c>
      <c r="H38">
        <v>46</v>
      </c>
      <c r="I38">
        <v>552957.87</v>
      </c>
      <c r="J38">
        <v>377593.12</v>
      </c>
      <c r="K38">
        <v>515174.19</v>
      </c>
      <c r="L38">
        <v>561542.49</v>
      </c>
      <c r="M38">
        <v>9643293.0700000003</v>
      </c>
      <c r="N38">
        <v>11461668.17</v>
      </c>
      <c r="O38">
        <v>105029.53</v>
      </c>
      <c r="P38">
        <v>204.49</v>
      </c>
      <c r="Q38">
        <v>393.09</v>
      </c>
      <c r="R38">
        <v>5.26</v>
      </c>
      <c r="S38">
        <v>0.42859999999999998</v>
      </c>
      <c r="T38">
        <v>3.34</v>
      </c>
      <c r="U38" t="s">
        <v>26</v>
      </c>
      <c r="V38">
        <v>3</v>
      </c>
    </row>
    <row r="39" spans="1:22" x14ac:dyDescent="0.35">
      <c r="A39" s="1" t="s">
        <v>22</v>
      </c>
      <c r="B39" t="s">
        <v>23</v>
      </c>
      <c r="C39" t="s">
        <v>39</v>
      </c>
      <c r="D39" t="s">
        <v>30</v>
      </c>
      <c r="E39">
        <v>460</v>
      </c>
      <c r="F39">
        <v>138</v>
      </c>
      <c r="G39">
        <v>114</v>
      </c>
      <c r="H39">
        <v>45</v>
      </c>
      <c r="I39">
        <v>238275.41</v>
      </c>
      <c r="J39">
        <v>40826.01</v>
      </c>
      <c r="K39">
        <v>240471.34</v>
      </c>
      <c r="L39">
        <v>251224.03</v>
      </c>
      <c r="M39">
        <v>11793684.67</v>
      </c>
      <c r="N39">
        <v>13473145.85</v>
      </c>
      <c r="O39">
        <v>92901.31</v>
      </c>
      <c r="P39">
        <v>76.78</v>
      </c>
      <c r="Q39">
        <v>255.92</v>
      </c>
      <c r="R39">
        <v>2.56</v>
      </c>
      <c r="S39">
        <v>0.1071</v>
      </c>
      <c r="T39">
        <v>27.31</v>
      </c>
      <c r="U39" t="s">
        <v>26</v>
      </c>
      <c r="V39">
        <v>3</v>
      </c>
    </row>
    <row r="40" spans="1:22" x14ac:dyDescent="0.35">
      <c r="A40" s="1" t="s">
        <v>22</v>
      </c>
      <c r="B40" t="s">
        <v>23</v>
      </c>
      <c r="C40" t="s">
        <v>39</v>
      </c>
      <c r="D40" t="s">
        <v>31</v>
      </c>
      <c r="E40">
        <v>153</v>
      </c>
      <c r="F40">
        <v>69</v>
      </c>
      <c r="G40">
        <v>53</v>
      </c>
      <c r="H40">
        <v>27</v>
      </c>
      <c r="I40">
        <v>195701.93</v>
      </c>
      <c r="J40">
        <v>54275.33</v>
      </c>
      <c r="K40">
        <v>156030.24</v>
      </c>
      <c r="L40">
        <v>242767.51</v>
      </c>
      <c r="M40">
        <v>7454879.96</v>
      </c>
      <c r="N40">
        <v>8511304.6099999994</v>
      </c>
      <c r="O40">
        <v>203649.66</v>
      </c>
      <c r="P40">
        <v>524.54999999999995</v>
      </c>
      <c r="Q40">
        <v>1163.1300000000001</v>
      </c>
      <c r="R40">
        <v>0.96</v>
      </c>
      <c r="S40">
        <v>0.18940000000000001</v>
      </c>
      <c r="T40">
        <v>45.03</v>
      </c>
      <c r="U40" t="s">
        <v>26</v>
      </c>
      <c r="V40">
        <v>3</v>
      </c>
    </row>
    <row r="41" spans="1:22" x14ac:dyDescent="0.35">
      <c r="A41" s="1" t="s">
        <v>22</v>
      </c>
      <c r="B41" t="s">
        <v>23</v>
      </c>
      <c r="C41" t="s">
        <v>39</v>
      </c>
      <c r="D41" t="s">
        <v>32</v>
      </c>
      <c r="E41">
        <v>90</v>
      </c>
      <c r="F41">
        <v>59</v>
      </c>
      <c r="G41">
        <v>46</v>
      </c>
      <c r="H41">
        <v>30</v>
      </c>
      <c r="I41">
        <v>550621.69999999995</v>
      </c>
      <c r="J41">
        <v>356814.84</v>
      </c>
      <c r="K41">
        <v>779032.14</v>
      </c>
      <c r="L41">
        <v>1096082.75</v>
      </c>
      <c r="M41">
        <v>8238047.3099999996</v>
      </c>
      <c r="N41">
        <v>9813116.7400000002</v>
      </c>
      <c r="O41">
        <v>3801.73</v>
      </c>
      <c r="P41">
        <v>16</v>
      </c>
      <c r="Q41">
        <v>24.4</v>
      </c>
      <c r="R41">
        <v>144.83000000000001</v>
      </c>
      <c r="S41">
        <v>0.39190000000000003</v>
      </c>
      <c r="T41">
        <v>0.13</v>
      </c>
      <c r="U41" t="s">
        <v>26</v>
      </c>
      <c r="V41">
        <v>3</v>
      </c>
    </row>
    <row r="42" spans="1:22" x14ac:dyDescent="0.35">
      <c r="A42" s="1" t="s">
        <v>22</v>
      </c>
      <c r="B42" t="s">
        <v>23</v>
      </c>
      <c r="C42" t="s">
        <v>39</v>
      </c>
      <c r="D42" t="s">
        <v>33</v>
      </c>
      <c r="E42">
        <v>183</v>
      </c>
      <c r="F42">
        <v>88</v>
      </c>
      <c r="G42">
        <v>72</v>
      </c>
      <c r="H42">
        <v>33</v>
      </c>
      <c r="I42">
        <v>483130.58</v>
      </c>
      <c r="J42">
        <v>262914.49</v>
      </c>
      <c r="K42">
        <v>444360.77</v>
      </c>
      <c r="L42">
        <v>693731.54</v>
      </c>
      <c r="M42">
        <v>11126241.07</v>
      </c>
      <c r="N42">
        <v>13061061.130000001</v>
      </c>
      <c r="O42">
        <v>7870.29</v>
      </c>
      <c r="P42">
        <v>17.28</v>
      </c>
      <c r="Q42">
        <v>35.93</v>
      </c>
      <c r="R42">
        <v>61.39</v>
      </c>
      <c r="S42">
        <v>0.33110000000000001</v>
      </c>
      <c r="T42">
        <v>0.36</v>
      </c>
      <c r="U42" t="s">
        <v>26</v>
      </c>
      <c r="V42">
        <v>3</v>
      </c>
    </row>
    <row r="43" spans="1:22" x14ac:dyDescent="0.35">
      <c r="A43" s="1" t="s">
        <v>22</v>
      </c>
      <c r="B43" t="s">
        <v>23</v>
      </c>
      <c r="C43" t="s">
        <v>39</v>
      </c>
      <c r="D43" t="s">
        <v>34</v>
      </c>
      <c r="E43">
        <v>620</v>
      </c>
      <c r="F43">
        <v>149</v>
      </c>
      <c r="G43">
        <v>122</v>
      </c>
      <c r="H43">
        <v>37</v>
      </c>
      <c r="I43">
        <v>248840.59</v>
      </c>
      <c r="J43">
        <v>21994.06</v>
      </c>
      <c r="K43">
        <v>434056.6</v>
      </c>
      <c r="L43">
        <v>296295.89</v>
      </c>
      <c r="M43">
        <v>6301938.1699999999</v>
      </c>
      <c r="N43">
        <v>7916763.46</v>
      </c>
      <c r="O43">
        <v>229615.64</v>
      </c>
      <c r="P43">
        <v>145.25</v>
      </c>
      <c r="Q43">
        <v>604.41</v>
      </c>
      <c r="R43">
        <v>1.08</v>
      </c>
      <c r="S43">
        <v>5.3400000000000003E-2</v>
      </c>
      <c r="T43">
        <v>125.28</v>
      </c>
      <c r="U43" t="s">
        <v>26</v>
      </c>
      <c r="V43">
        <v>3</v>
      </c>
    </row>
    <row r="44" spans="1:22" x14ac:dyDescent="0.35">
      <c r="A44" s="1" t="s">
        <v>22</v>
      </c>
      <c r="B44" t="s">
        <v>23</v>
      </c>
      <c r="C44" t="s">
        <v>39</v>
      </c>
      <c r="D44" t="s">
        <v>35</v>
      </c>
      <c r="E44">
        <v>436</v>
      </c>
      <c r="F44">
        <v>166</v>
      </c>
      <c r="G44">
        <v>125</v>
      </c>
      <c r="H44">
        <v>51</v>
      </c>
      <c r="I44">
        <v>311216.19</v>
      </c>
      <c r="J44">
        <v>13276.03</v>
      </c>
      <c r="K44">
        <v>286549.81</v>
      </c>
      <c r="L44">
        <v>329570.99</v>
      </c>
      <c r="M44">
        <v>11204727.289999999</v>
      </c>
      <c r="N44">
        <v>13380465.66</v>
      </c>
      <c r="O44">
        <v>76481.42</v>
      </c>
      <c r="P44">
        <v>71.400000000000006</v>
      </c>
      <c r="Q44">
        <v>187.54</v>
      </c>
      <c r="R44">
        <v>4.07</v>
      </c>
      <c r="S44">
        <v>2.7199999999999998E-2</v>
      </c>
      <c r="T44">
        <v>69.13</v>
      </c>
      <c r="U44" t="s">
        <v>26</v>
      </c>
      <c r="V44">
        <v>3</v>
      </c>
    </row>
    <row r="45" spans="1:22" x14ac:dyDescent="0.35">
      <c r="A45" s="1" t="s">
        <v>22</v>
      </c>
      <c r="B45" t="s">
        <v>23</v>
      </c>
      <c r="C45" t="s">
        <v>39</v>
      </c>
      <c r="D45" t="s">
        <v>36</v>
      </c>
      <c r="E45">
        <v>60</v>
      </c>
      <c r="F45">
        <v>45</v>
      </c>
      <c r="G45">
        <v>32</v>
      </c>
      <c r="H45">
        <v>24</v>
      </c>
      <c r="I45">
        <v>700658.89</v>
      </c>
      <c r="J45">
        <v>273032.28999999998</v>
      </c>
      <c r="K45">
        <v>1135271.8899999999</v>
      </c>
      <c r="L45">
        <v>728077.67</v>
      </c>
      <c r="M45">
        <v>8249058.9299999997</v>
      </c>
      <c r="N45">
        <v>11932345.4</v>
      </c>
      <c r="O45">
        <v>1323.28</v>
      </c>
      <c r="P45">
        <v>8.35</v>
      </c>
      <c r="Q45">
        <v>11.14</v>
      </c>
      <c r="R45">
        <v>529.49</v>
      </c>
      <c r="S45">
        <v>0.22650000000000001</v>
      </c>
      <c r="T45">
        <v>0.06</v>
      </c>
      <c r="U45" t="s">
        <v>26</v>
      </c>
      <c r="V45">
        <v>3</v>
      </c>
    </row>
    <row r="46" spans="1:22" x14ac:dyDescent="0.35">
      <c r="A46" s="1" t="s">
        <v>22</v>
      </c>
      <c r="B46" t="s">
        <v>23</v>
      </c>
      <c r="C46" t="s">
        <v>40</v>
      </c>
      <c r="D46" t="s">
        <v>25</v>
      </c>
      <c r="E46">
        <v>708</v>
      </c>
      <c r="F46">
        <v>241</v>
      </c>
      <c r="G46">
        <v>177</v>
      </c>
      <c r="H46">
        <v>91</v>
      </c>
      <c r="I46">
        <v>508017.67</v>
      </c>
      <c r="J46">
        <v>16680.490000000002</v>
      </c>
      <c r="K46">
        <v>896409.65</v>
      </c>
      <c r="L46">
        <v>1072462.75</v>
      </c>
      <c r="M46">
        <v>21531540.359999999</v>
      </c>
      <c r="N46">
        <v>24455954.670000002</v>
      </c>
      <c r="O46">
        <v>538298.39</v>
      </c>
      <c r="P46">
        <v>263.75</v>
      </c>
      <c r="Q46">
        <v>774.84</v>
      </c>
      <c r="R46">
        <v>0.94</v>
      </c>
      <c r="S46">
        <v>1.9900000000000001E-2</v>
      </c>
      <c r="T46">
        <v>387.25</v>
      </c>
      <c r="U46" t="s">
        <v>26</v>
      </c>
      <c r="V46">
        <v>3</v>
      </c>
    </row>
    <row r="47" spans="1:22" x14ac:dyDescent="0.35">
      <c r="A47" s="1" t="s">
        <v>22</v>
      </c>
      <c r="B47" t="s">
        <v>23</v>
      </c>
      <c r="C47" t="s">
        <v>40</v>
      </c>
      <c r="D47" t="s">
        <v>27</v>
      </c>
      <c r="E47">
        <v>1036</v>
      </c>
      <c r="F47">
        <v>259</v>
      </c>
      <c r="G47">
        <v>227</v>
      </c>
      <c r="H47">
        <v>72</v>
      </c>
      <c r="I47">
        <v>523561.72</v>
      </c>
      <c r="J47">
        <v>55720.14</v>
      </c>
      <c r="K47">
        <v>760661.7</v>
      </c>
      <c r="L47">
        <v>1095622.95</v>
      </c>
      <c r="M47">
        <v>15333543.41</v>
      </c>
      <c r="N47">
        <v>18487053.559999999</v>
      </c>
      <c r="O47">
        <v>410414.76</v>
      </c>
      <c r="P47">
        <v>140.41999999999999</v>
      </c>
      <c r="Q47">
        <v>561.66</v>
      </c>
      <c r="R47">
        <v>1.28</v>
      </c>
      <c r="S47">
        <v>6.1100000000000002E-2</v>
      </c>
      <c r="T47">
        <v>88.39</v>
      </c>
      <c r="U47" t="s">
        <v>26</v>
      </c>
      <c r="V47">
        <v>3</v>
      </c>
    </row>
    <row r="48" spans="1:22" x14ac:dyDescent="0.35">
      <c r="A48" s="1" t="s">
        <v>22</v>
      </c>
      <c r="B48" t="s">
        <v>23</v>
      </c>
      <c r="C48" t="s">
        <v>40</v>
      </c>
      <c r="D48" t="s">
        <v>28</v>
      </c>
      <c r="E48">
        <v>483</v>
      </c>
      <c r="F48">
        <v>203</v>
      </c>
      <c r="G48">
        <v>157</v>
      </c>
      <c r="H48">
        <v>69</v>
      </c>
      <c r="I48">
        <v>443458.57</v>
      </c>
      <c r="J48">
        <v>105388.8</v>
      </c>
      <c r="K48">
        <v>595573.99</v>
      </c>
      <c r="L48">
        <v>616028.15</v>
      </c>
      <c r="M48">
        <v>15217147.25</v>
      </c>
      <c r="N48">
        <v>17685277.329999998</v>
      </c>
      <c r="O48">
        <v>27457.02</v>
      </c>
      <c r="P48">
        <v>20.170000000000002</v>
      </c>
      <c r="Q48">
        <v>47.99</v>
      </c>
      <c r="R48">
        <v>16.149999999999999</v>
      </c>
      <c r="S48">
        <v>0.1444</v>
      </c>
      <c r="T48">
        <v>3.13</v>
      </c>
      <c r="U48" t="s">
        <v>26</v>
      </c>
      <c r="V48">
        <v>3</v>
      </c>
    </row>
    <row r="49" spans="1:22" x14ac:dyDescent="0.35">
      <c r="A49" s="1" t="s">
        <v>22</v>
      </c>
      <c r="B49" t="s">
        <v>23</v>
      </c>
      <c r="C49" t="s">
        <v>40</v>
      </c>
      <c r="D49" t="s">
        <v>29</v>
      </c>
      <c r="E49">
        <v>203</v>
      </c>
      <c r="F49">
        <v>106</v>
      </c>
      <c r="G49">
        <v>80</v>
      </c>
      <c r="H49">
        <v>47</v>
      </c>
      <c r="I49">
        <v>577039.13</v>
      </c>
      <c r="J49">
        <v>255179.64</v>
      </c>
      <c r="K49">
        <v>935475.86</v>
      </c>
      <c r="L49">
        <v>613494.74</v>
      </c>
      <c r="M49">
        <v>11461668.17</v>
      </c>
      <c r="N49">
        <v>13901655.539999999</v>
      </c>
      <c r="O49">
        <v>122116.96</v>
      </c>
      <c r="P49">
        <v>200.98</v>
      </c>
      <c r="Q49">
        <v>384.9</v>
      </c>
      <c r="R49">
        <v>4.7300000000000004</v>
      </c>
      <c r="S49">
        <v>0.26640000000000003</v>
      </c>
      <c r="T49">
        <v>5.74</v>
      </c>
      <c r="U49" t="s">
        <v>26</v>
      </c>
      <c r="V49">
        <v>3</v>
      </c>
    </row>
    <row r="50" spans="1:22" x14ac:dyDescent="0.35">
      <c r="A50" s="1" t="s">
        <v>22</v>
      </c>
      <c r="B50" t="s">
        <v>23</v>
      </c>
      <c r="C50" t="s">
        <v>40</v>
      </c>
      <c r="D50" t="s">
        <v>30</v>
      </c>
      <c r="E50">
        <v>446</v>
      </c>
      <c r="F50">
        <v>134</v>
      </c>
      <c r="G50">
        <v>116</v>
      </c>
      <c r="H50">
        <v>44</v>
      </c>
      <c r="I50">
        <v>252600.25</v>
      </c>
      <c r="J50">
        <v>92336.92</v>
      </c>
      <c r="K50">
        <v>250019.17</v>
      </c>
      <c r="L50">
        <v>440199.57</v>
      </c>
      <c r="M50">
        <v>13473145.85</v>
      </c>
      <c r="N50">
        <v>14742072.49</v>
      </c>
      <c r="O50">
        <v>103359</v>
      </c>
      <c r="P50">
        <v>80.400000000000006</v>
      </c>
      <c r="Q50">
        <v>267.61</v>
      </c>
      <c r="R50">
        <v>2.44</v>
      </c>
      <c r="S50">
        <v>0.2094</v>
      </c>
      <c r="T50">
        <v>13.43</v>
      </c>
      <c r="U50" t="s">
        <v>26</v>
      </c>
      <c r="V50">
        <v>3</v>
      </c>
    </row>
    <row r="51" spans="1:22" x14ac:dyDescent="0.35">
      <c r="A51" s="1" t="s">
        <v>22</v>
      </c>
      <c r="B51" t="s">
        <v>23</v>
      </c>
      <c r="C51" t="s">
        <v>40</v>
      </c>
      <c r="D51" t="s">
        <v>31</v>
      </c>
      <c r="E51">
        <v>160</v>
      </c>
      <c r="F51">
        <v>72</v>
      </c>
      <c r="G51">
        <v>56</v>
      </c>
      <c r="H51">
        <v>28</v>
      </c>
      <c r="I51">
        <v>169244.26</v>
      </c>
      <c r="J51">
        <v>43271.17</v>
      </c>
      <c r="K51">
        <v>286785.25</v>
      </c>
      <c r="L51">
        <v>271015.15999999997</v>
      </c>
      <c r="M51">
        <v>8511304.6099999994</v>
      </c>
      <c r="N51">
        <v>9298650.3900000006</v>
      </c>
      <c r="O51">
        <v>228200.18</v>
      </c>
      <c r="P51">
        <v>491.81</v>
      </c>
      <c r="Q51">
        <v>1092.9100000000001</v>
      </c>
      <c r="R51">
        <v>0.74</v>
      </c>
      <c r="S51">
        <v>0.1656</v>
      </c>
      <c r="T51">
        <v>63.28</v>
      </c>
      <c r="U51" t="s">
        <v>26</v>
      </c>
      <c r="V51">
        <v>3</v>
      </c>
    </row>
    <row r="52" spans="1:22" x14ac:dyDescent="0.35">
      <c r="A52" s="1" t="s">
        <v>22</v>
      </c>
      <c r="B52" t="s">
        <v>23</v>
      </c>
      <c r="C52" t="s">
        <v>40</v>
      </c>
      <c r="D52" t="s">
        <v>32</v>
      </c>
      <c r="E52">
        <v>87</v>
      </c>
      <c r="F52">
        <v>57</v>
      </c>
      <c r="G52">
        <v>43</v>
      </c>
      <c r="H52">
        <v>34</v>
      </c>
      <c r="I52">
        <v>799602.93</v>
      </c>
      <c r="J52">
        <v>425643.08</v>
      </c>
      <c r="K52">
        <v>1235997.6100000001</v>
      </c>
      <c r="L52">
        <v>1556705.72</v>
      </c>
      <c r="M52">
        <v>9813116.7400000002</v>
      </c>
      <c r="N52">
        <v>12098192.300000001</v>
      </c>
      <c r="O52">
        <v>3943.07</v>
      </c>
      <c r="P52">
        <v>16.190000000000001</v>
      </c>
      <c r="Q52">
        <v>24.71</v>
      </c>
      <c r="R52">
        <v>202.79</v>
      </c>
      <c r="S52">
        <v>0.33279999999999998</v>
      </c>
      <c r="T52">
        <v>0.11</v>
      </c>
      <c r="U52" t="s">
        <v>26</v>
      </c>
      <c r="V52">
        <v>3</v>
      </c>
    </row>
    <row r="53" spans="1:22" x14ac:dyDescent="0.35">
      <c r="A53" s="1" t="s">
        <v>22</v>
      </c>
      <c r="B53" t="s">
        <v>23</v>
      </c>
      <c r="C53" t="s">
        <v>40</v>
      </c>
      <c r="D53" t="s">
        <v>33</v>
      </c>
      <c r="E53">
        <v>197</v>
      </c>
      <c r="F53">
        <v>95</v>
      </c>
      <c r="G53">
        <v>78</v>
      </c>
      <c r="H53">
        <v>36</v>
      </c>
      <c r="I53">
        <v>828420.51</v>
      </c>
      <c r="J53">
        <v>437368.18</v>
      </c>
      <c r="K53">
        <v>1433252.2</v>
      </c>
      <c r="L53">
        <v>1782321.01</v>
      </c>
      <c r="M53">
        <v>13061061.130000001</v>
      </c>
      <c r="N53">
        <v>15629912.050000001</v>
      </c>
      <c r="O53">
        <v>9409.5300000000007</v>
      </c>
      <c r="P53">
        <v>17.57</v>
      </c>
      <c r="Q53">
        <v>36.43</v>
      </c>
      <c r="R53">
        <v>88.04</v>
      </c>
      <c r="S53">
        <v>0.30449999999999999</v>
      </c>
      <c r="T53">
        <v>0.26</v>
      </c>
      <c r="U53" t="s">
        <v>26</v>
      </c>
      <c r="V53">
        <v>3</v>
      </c>
    </row>
    <row r="54" spans="1:22" x14ac:dyDescent="0.35">
      <c r="A54" s="1" t="s">
        <v>22</v>
      </c>
      <c r="B54" t="s">
        <v>23</v>
      </c>
      <c r="C54" t="s">
        <v>40</v>
      </c>
      <c r="D54" t="s">
        <v>34</v>
      </c>
      <c r="E54">
        <v>637</v>
      </c>
      <c r="F54">
        <v>153</v>
      </c>
      <c r="G54">
        <v>118</v>
      </c>
      <c r="H54">
        <v>38</v>
      </c>
      <c r="I54">
        <v>310332.32</v>
      </c>
      <c r="J54">
        <v>28198.01</v>
      </c>
      <c r="K54">
        <v>410869.41</v>
      </c>
      <c r="L54">
        <v>730680.51</v>
      </c>
      <c r="M54">
        <v>7916763.46</v>
      </c>
      <c r="N54">
        <v>9954620.6400000006</v>
      </c>
      <c r="O54">
        <v>258252.7</v>
      </c>
      <c r="P54">
        <v>144.68</v>
      </c>
      <c r="Q54">
        <v>602.36</v>
      </c>
      <c r="R54">
        <v>1.2</v>
      </c>
      <c r="S54">
        <v>4.9700000000000001E-2</v>
      </c>
      <c r="T54">
        <v>109.9</v>
      </c>
      <c r="U54" t="s">
        <v>26</v>
      </c>
      <c r="V54">
        <v>3</v>
      </c>
    </row>
    <row r="55" spans="1:22" x14ac:dyDescent="0.35">
      <c r="A55" s="1" t="s">
        <v>22</v>
      </c>
      <c r="B55" t="s">
        <v>23</v>
      </c>
      <c r="C55" t="s">
        <v>40</v>
      </c>
      <c r="D55" t="s">
        <v>35</v>
      </c>
      <c r="E55">
        <v>444</v>
      </c>
      <c r="F55">
        <v>169</v>
      </c>
      <c r="G55">
        <v>129</v>
      </c>
      <c r="H55">
        <v>52</v>
      </c>
      <c r="I55">
        <v>484403.04</v>
      </c>
      <c r="J55">
        <v>39111.31</v>
      </c>
      <c r="K55">
        <v>642049.76</v>
      </c>
      <c r="L55">
        <v>792024.04</v>
      </c>
      <c r="M55">
        <v>13380465.66</v>
      </c>
      <c r="N55">
        <v>16656032.720000001</v>
      </c>
      <c r="O55">
        <v>95414.83</v>
      </c>
      <c r="P55">
        <v>78.790000000000006</v>
      </c>
      <c r="Q55">
        <v>206.99</v>
      </c>
      <c r="R55">
        <v>5.08</v>
      </c>
      <c r="S55">
        <v>4.7100000000000003E-2</v>
      </c>
      <c r="T55">
        <v>29.27</v>
      </c>
      <c r="U55" t="s">
        <v>26</v>
      </c>
      <c r="V55">
        <v>3</v>
      </c>
    </row>
    <row r="56" spans="1:22" x14ac:dyDescent="0.35">
      <c r="A56" s="1" t="s">
        <v>22</v>
      </c>
      <c r="B56" t="s">
        <v>23</v>
      </c>
      <c r="C56" t="s">
        <v>40</v>
      </c>
      <c r="D56" t="s">
        <v>36</v>
      </c>
      <c r="E56">
        <v>68</v>
      </c>
      <c r="F56">
        <v>51</v>
      </c>
      <c r="G56">
        <v>40</v>
      </c>
      <c r="H56">
        <v>28</v>
      </c>
      <c r="I56">
        <v>503319.6</v>
      </c>
      <c r="J56">
        <v>301102.28000000003</v>
      </c>
      <c r="K56">
        <v>459551.19</v>
      </c>
      <c r="L56">
        <v>896938.51</v>
      </c>
      <c r="M56">
        <v>11932345.4</v>
      </c>
      <c r="N56">
        <v>13678957.82</v>
      </c>
      <c r="O56">
        <v>1597.75</v>
      </c>
      <c r="P56">
        <v>8.34</v>
      </c>
      <c r="Q56">
        <v>11.12</v>
      </c>
      <c r="R56">
        <v>315.02</v>
      </c>
      <c r="S56">
        <v>0.36259999999999998</v>
      </c>
      <c r="T56">
        <v>0.06</v>
      </c>
      <c r="U56" t="s">
        <v>26</v>
      </c>
      <c r="V56">
        <v>3</v>
      </c>
    </row>
    <row r="57" spans="1:22" x14ac:dyDescent="0.35">
      <c r="A57" s="1" t="s">
        <v>22</v>
      </c>
      <c r="B57" t="s">
        <v>42</v>
      </c>
      <c r="C57" t="s">
        <v>43</v>
      </c>
      <c r="D57" t="s">
        <v>25</v>
      </c>
      <c r="E57">
        <v>167</v>
      </c>
      <c r="F57">
        <v>57</v>
      </c>
      <c r="G57">
        <v>42</v>
      </c>
      <c r="H57">
        <v>19</v>
      </c>
      <c r="I57" s="3">
        <v>1254714.1200000001</v>
      </c>
      <c r="J57" s="2">
        <v>408223.56</v>
      </c>
      <c r="K57" s="2"/>
      <c r="O57">
        <v>574115.93999999994</v>
      </c>
      <c r="P57">
        <v>627.5</v>
      </c>
      <c r="Q57">
        <v>1838.46</v>
      </c>
      <c r="R57">
        <v>2.19</v>
      </c>
      <c r="S57">
        <v>3</v>
      </c>
      <c r="T57">
        <v>16.88</v>
      </c>
      <c r="U57" t="s">
        <v>44</v>
      </c>
    </row>
    <row r="58" spans="1:22" x14ac:dyDescent="0.35">
      <c r="A58" s="1" t="s">
        <v>22</v>
      </c>
      <c r="B58" t="s">
        <v>42</v>
      </c>
      <c r="C58" t="s">
        <v>43</v>
      </c>
      <c r="D58" t="s">
        <v>27</v>
      </c>
      <c r="E58">
        <v>218</v>
      </c>
      <c r="F58">
        <v>54</v>
      </c>
      <c r="G58">
        <v>45</v>
      </c>
      <c r="H58">
        <v>15</v>
      </c>
      <c r="I58" s="3">
        <v>707686.59</v>
      </c>
      <c r="J58" s="2">
        <v>224817.15</v>
      </c>
      <c r="K58" s="2"/>
      <c r="O58">
        <v>393756.03</v>
      </c>
      <c r="P58">
        <v>329.69</v>
      </c>
      <c r="Q58">
        <v>1330.95</v>
      </c>
      <c r="R58">
        <v>1.8</v>
      </c>
      <c r="S58">
        <v>3</v>
      </c>
      <c r="T58">
        <v>21.02</v>
      </c>
      <c r="U58" t="s">
        <v>44</v>
      </c>
    </row>
    <row r="59" spans="1:22" x14ac:dyDescent="0.35">
      <c r="A59" s="1" t="s">
        <v>22</v>
      </c>
      <c r="B59" t="s">
        <v>42</v>
      </c>
      <c r="C59" t="s">
        <v>43</v>
      </c>
      <c r="D59" t="s">
        <v>28</v>
      </c>
      <c r="E59">
        <v>56</v>
      </c>
      <c r="F59">
        <v>24</v>
      </c>
      <c r="G59">
        <v>19</v>
      </c>
      <c r="H59">
        <v>8</v>
      </c>
      <c r="I59" s="3">
        <v>450481.55</v>
      </c>
      <c r="J59" s="2">
        <v>160622.78</v>
      </c>
      <c r="K59" s="2"/>
      <c r="O59">
        <v>54814.95</v>
      </c>
      <c r="P59">
        <v>178.67</v>
      </c>
      <c r="Q59">
        <v>416.89</v>
      </c>
      <c r="R59">
        <v>8.2200000000000006</v>
      </c>
      <c r="S59">
        <v>3</v>
      </c>
      <c r="T59">
        <v>4.0999999999999996</v>
      </c>
      <c r="U59" t="s">
        <v>44</v>
      </c>
    </row>
    <row r="60" spans="1:22" x14ac:dyDescent="0.35">
      <c r="A60" s="1" t="s">
        <v>22</v>
      </c>
      <c r="B60" t="s">
        <v>42</v>
      </c>
      <c r="C60" t="s">
        <v>43</v>
      </c>
      <c r="D60" t="s">
        <v>29</v>
      </c>
      <c r="E60">
        <v>32</v>
      </c>
      <c r="F60">
        <v>16</v>
      </c>
      <c r="G60">
        <v>11</v>
      </c>
      <c r="H60">
        <v>7</v>
      </c>
      <c r="I60" s="3">
        <v>610521.74</v>
      </c>
      <c r="J60" s="2">
        <v>239230.54</v>
      </c>
      <c r="K60" s="2"/>
      <c r="O60">
        <v>175064.99</v>
      </c>
      <c r="P60">
        <v>998.57</v>
      </c>
      <c r="Q60">
        <v>1997.14</v>
      </c>
      <c r="R60">
        <v>3.49</v>
      </c>
      <c r="S60">
        <v>3</v>
      </c>
      <c r="T60">
        <v>8.7799999999999994</v>
      </c>
      <c r="U60" t="s">
        <v>44</v>
      </c>
    </row>
    <row r="61" spans="1:22" x14ac:dyDescent="0.35">
      <c r="A61" s="1" t="s">
        <v>22</v>
      </c>
      <c r="B61" t="s">
        <v>42</v>
      </c>
      <c r="C61" t="s">
        <v>43</v>
      </c>
      <c r="D61" t="s">
        <v>30</v>
      </c>
      <c r="E61">
        <v>91</v>
      </c>
      <c r="F61">
        <v>27</v>
      </c>
      <c r="G61">
        <v>22</v>
      </c>
      <c r="H61">
        <v>9</v>
      </c>
      <c r="I61" s="3">
        <v>478068.63</v>
      </c>
      <c r="J61" s="2">
        <v>149859.15</v>
      </c>
      <c r="K61" s="2"/>
      <c r="O61">
        <v>156506.01999999999</v>
      </c>
      <c r="P61">
        <v>313.92</v>
      </c>
      <c r="Q61">
        <v>1058.03</v>
      </c>
      <c r="R61">
        <v>3.05</v>
      </c>
      <c r="S61">
        <v>3</v>
      </c>
      <c r="T61">
        <v>12.53</v>
      </c>
      <c r="U61" t="s">
        <v>44</v>
      </c>
    </row>
    <row r="62" spans="1:22" x14ac:dyDescent="0.35">
      <c r="A62" s="1" t="s">
        <v>22</v>
      </c>
      <c r="B62" t="s">
        <v>42</v>
      </c>
      <c r="C62" t="s">
        <v>43</v>
      </c>
      <c r="D62" t="s">
        <v>31</v>
      </c>
      <c r="E62">
        <v>25</v>
      </c>
      <c r="F62">
        <v>11</v>
      </c>
      <c r="G62">
        <v>8</v>
      </c>
      <c r="H62">
        <v>4</v>
      </c>
      <c r="I62" s="3">
        <v>552897.82999999996</v>
      </c>
      <c r="J62" s="2">
        <v>160843.06</v>
      </c>
      <c r="K62" s="2"/>
      <c r="O62">
        <v>333359.78999999998</v>
      </c>
      <c r="P62">
        <v>2433.9</v>
      </c>
      <c r="Q62">
        <v>5531.59</v>
      </c>
      <c r="R62">
        <v>1.66</v>
      </c>
      <c r="S62">
        <v>3</v>
      </c>
      <c r="T62">
        <v>24.87</v>
      </c>
      <c r="U62" t="s">
        <v>44</v>
      </c>
    </row>
    <row r="63" spans="1:22" x14ac:dyDescent="0.35">
      <c r="A63" s="1" t="s">
        <v>22</v>
      </c>
      <c r="B63" t="s">
        <v>42</v>
      </c>
      <c r="C63" t="s">
        <v>43</v>
      </c>
      <c r="D63" t="s">
        <v>32</v>
      </c>
      <c r="E63">
        <v>8</v>
      </c>
      <c r="F63">
        <v>5</v>
      </c>
      <c r="G63">
        <v>4</v>
      </c>
      <c r="H63">
        <v>2</v>
      </c>
      <c r="I63" s="3">
        <v>212476.96</v>
      </c>
      <c r="J63" s="2">
        <v>86515.48</v>
      </c>
      <c r="K63" s="2"/>
      <c r="O63">
        <v>17811.47</v>
      </c>
      <c r="P63">
        <v>406.39</v>
      </c>
      <c r="Q63">
        <v>650.22</v>
      </c>
      <c r="R63">
        <v>11.93</v>
      </c>
      <c r="S63">
        <v>3</v>
      </c>
      <c r="T63">
        <v>2.4700000000000002</v>
      </c>
      <c r="U63" t="s">
        <v>44</v>
      </c>
    </row>
    <row r="64" spans="1:22" x14ac:dyDescent="0.35">
      <c r="A64" s="1" t="s">
        <v>22</v>
      </c>
      <c r="B64" t="s">
        <v>42</v>
      </c>
      <c r="C64" t="s">
        <v>43</v>
      </c>
      <c r="D64" t="s">
        <v>33</v>
      </c>
      <c r="E64">
        <v>30</v>
      </c>
      <c r="F64">
        <v>15</v>
      </c>
      <c r="G64">
        <v>12</v>
      </c>
      <c r="H64">
        <v>6</v>
      </c>
      <c r="I64" s="3">
        <v>381706.39</v>
      </c>
      <c r="J64" s="2">
        <v>135169.47</v>
      </c>
      <c r="K64" s="2"/>
      <c r="O64">
        <v>38931.74</v>
      </c>
      <c r="P64">
        <v>236.87</v>
      </c>
      <c r="Q64">
        <v>473.74</v>
      </c>
      <c r="R64">
        <v>9.8000000000000007</v>
      </c>
      <c r="S64">
        <v>3</v>
      </c>
      <c r="T64">
        <v>3.46</v>
      </c>
      <c r="U64" t="s">
        <v>44</v>
      </c>
    </row>
    <row r="65" spans="1:21" x14ac:dyDescent="0.35">
      <c r="A65" s="1" t="s">
        <v>22</v>
      </c>
      <c r="B65" t="s">
        <v>42</v>
      </c>
      <c r="C65" t="s">
        <v>43</v>
      </c>
      <c r="D65" t="s">
        <v>34</v>
      </c>
      <c r="E65">
        <v>184</v>
      </c>
      <c r="F65">
        <v>44</v>
      </c>
      <c r="G65">
        <v>34</v>
      </c>
      <c r="H65">
        <v>11</v>
      </c>
      <c r="I65" s="3">
        <v>472679.41</v>
      </c>
      <c r="J65" s="2">
        <v>132695.67999999999</v>
      </c>
      <c r="K65" s="2"/>
      <c r="O65">
        <v>222334.97</v>
      </c>
      <c r="P65">
        <v>220.56</v>
      </c>
      <c r="Q65">
        <v>922.33</v>
      </c>
      <c r="R65">
        <v>2.13</v>
      </c>
      <c r="S65">
        <v>3</v>
      </c>
      <c r="T65">
        <v>20.11</v>
      </c>
      <c r="U65" t="s">
        <v>44</v>
      </c>
    </row>
    <row r="66" spans="1:21" x14ac:dyDescent="0.35">
      <c r="A66" s="1" t="s">
        <v>22</v>
      </c>
      <c r="B66" t="s">
        <v>42</v>
      </c>
      <c r="C66" t="s">
        <v>43</v>
      </c>
      <c r="D66" t="s">
        <v>35</v>
      </c>
      <c r="E66">
        <v>55</v>
      </c>
      <c r="F66">
        <v>21</v>
      </c>
      <c r="G66">
        <v>15</v>
      </c>
      <c r="H66">
        <v>6</v>
      </c>
      <c r="I66" s="3">
        <v>328759.43</v>
      </c>
      <c r="J66" s="2">
        <v>106986.17</v>
      </c>
      <c r="K66" s="2"/>
      <c r="O66">
        <v>82075.88</v>
      </c>
      <c r="P66">
        <v>272.38</v>
      </c>
      <c r="Q66">
        <v>713.39</v>
      </c>
      <c r="R66">
        <v>4.01</v>
      </c>
      <c r="S66">
        <v>3</v>
      </c>
      <c r="T66">
        <v>9.2100000000000009</v>
      </c>
      <c r="U66" t="s">
        <v>44</v>
      </c>
    </row>
    <row r="67" spans="1:21" x14ac:dyDescent="0.35">
      <c r="A67" s="1" t="s">
        <v>22</v>
      </c>
      <c r="B67" t="s">
        <v>42</v>
      </c>
      <c r="C67" t="s">
        <v>43</v>
      </c>
      <c r="D67" t="s">
        <v>36</v>
      </c>
      <c r="E67">
        <v>1</v>
      </c>
      <c r="F67">
        <v>1</v>
      </c>
      <c r="G67">
        <v>0</v>
      </c>
      <c r="H67">
        <v>1</v>
      </c>
      <c r="I67" s="3">
        <v>78374.34</v>
      </c>
      <c r="J67" s="2">
        <v>37825.96</v>
      </c>
      <c r="K67" s="2"/>
      <c r="O67">
        <v>3340.69</v>
      </c>
      <c r="P67">
        <v>609.77</v>
      </c>
      <c r="Q67">
        <v>609.77</v>
      </c>
      <c r="R67">
        <v>23.46</v>
      </c>
      <c r="S67">
        <v>3</v>
      </c>
      <c r="T67">
        <v>1.06</v>
      </c>
      <c r="U67" t="s">
        <v>44</v>
      </c>
    </row>
    <row r="68" spans="1:21" x14ac:dyDescent="0.35">
      <c r="A68" s="1" t="s">
        <v>22</v>
      </c>
      <c r="B68" t="s">
        <v>42</v>
      </c>
      <c r="C68" t="s">
        <v>45</v>
      </c>
      <c r="D68" t="s">
        <v>25</v>
      </c>
      <c r="E68">
        <v>177</v>
      </c>
      <c r="F68">
        <v>60</v>
      </c>
      <c r="G68">
        <v>47</v>
      </c>
      <c r="H68">
        <v>20</v>
      </c>
      <c r="I68" s="3">
        <v>1225948.22</v>
      </c>
      <c r="J68" s="2">
        <v>411890.72</v>
      </c>
      <c r="K68" s="2"/>
      <c r="O68">
        <v>484707.29</v>
      </c>
      <c r="P68">
        <v>665.8</v>
      </c>
      <c r="Q68">
        <v>1964.1</v>
      </c>
      <c r="R68">
        <v>2.5299999999999998</v>
      </c>
      <c r="S68">
        <v>3</v>
      </c>
      <c r="T68">
        <v>14.12</v>
      </c>
      <c r="U68" t="s">
        <v>44</v>
      </c>
    </row>
    <row r="69" spans="1:21" x14ac:dyDescent="0.35">
      <c r="A69" s="1" t="s">
        <v>22</v>
      </c>
      <c r="B69" t="s">
        <v>42</v>
      </c>
      <c r="C69" t="s">
        <v>45</v>
      </c>
      <c r="D69" t="s">
        <v>27</v>
      </c>
      <c r="E69">
        <v>247</v>
      </c>
      <c r="F69">
        <v>61</v>
      </c>
      <c r="G69">
        <v>46</v>
      </c>
      <c r="H69">
        <v>17</v>
      </c>
      <c r="I69" s="3">
        <v>760190.2</v>
      </c>
      <c r="J69" s="2">
        <v>233726.48</v>
      </c>
      <c r="K69" s="2"/>
      <c r="O69">
        <v>318414.88</v>
      </c>
      <c r="P69">
        <v>313.42</v>
      </c>
      <c r="Q69">
        <v>1269.1099999999999</v>
      </c>
      <c r="R69">
        <v>2.39</v>
      </c>
      <c r="S69">
        <v>3</v>
      </c>
      <c r="T69">
        <v>16.350000000000001</v>
      </c>
      <c r="U69" t="s">
        <v>44</v>
      </c>
    </row>
    <row r="70" spans="1:21" x14ac:dyDescent="0.35">
      <c r="A70" s="1" t="s">
        <v>22</v>
      </c>
      <c r="B70" t="s">
        <v>42</v>
      </c>
      <c r="C70" t="s">
        <v>45</v>
      </c>
      <c r="D70" t="s">
        <v>28</v>
      </c>
      <c r="E70">
        <v>53</v>
      </c>
      <c r="F70">
        <v>22</v>
      </c>
      <c r="G70">
        <v>16</v>
      </c>
      <c r="H70">
        <v>8</v>
      </c>
      <c r="I70" s="3">
        <v>449373.2</v>
      </c>
      <c r="J70" s="2">
        <v>174391.38</v>
      </c>
      <c r="K70" s="2"/>
      <c r="O70">
        <v>45307.38</v>
      </c>
      <c r="P70">
        <v>207.84</v>
      </c>
      <c r="Q70">
        <v>500.7</v>
      </c>
      <c r="R70">
        <v>9.92</v>
      </c>
      <c r="S70">
        <v>3</v>
      </c>
      <c r="T70">
        <v>3.12</v>
      </c>
      <c r="U70" t="s">
        <v>44</v>
      </c>
    </row>
    <row r="71" spans="1:21" x14ac:dyDescent="0.35">
      <c r="A71" s="1" t="s">
        <v>22</v>
      </c>
      <c r="B71" t="s">
        <v>42</v>
      </c>
      <c r="C71" t="s">
        <v>45</v>
      </c>
      <c r="D71" t="s">
        <v>29</v>
      </c>
      <c r="E71">
        <v>39</v>
      </c>
      <c r="F71">
        <v>19</v>
      </c>
      <c r="G71">
        <v>16</v>
      </c>
      <c r="H71">
        <v>9</v>
      </c>
      <c r="I71" s="3">
        <v>674219.84</v>
      </c>
      <c r="J71" s="2">
        <v>248784.12</v>
      </c>
      <c r="K71" s="2"/>
      <c r="O71">
        <v>136124.26</v>
      </c>
      <c r="P71">
        <v>848.61</v>
      </c>
      <c r="Q71">
        <v>1741.87</v>
      </c>
      <c r="R71">
        <v>4.95</v>
      </c>
      <c r="S71">
        <v>3</v>
      </c>
      <c r="T71">
        <v>6.57</v>
      </c>
      <c r="U71" t="s">
        <v>44</v>
      </c>
    </row>
    <row r="72" spans="1:21" x14ac:dyDescent="0.35">
      <c r="A72" s="1" t="s">
        <v>22</v>
      </c>
      <c r="B72" t="s">
        <v>42</v>
      </c>
      <c r="C72" t="s">
        <v>45</v>
      </c>
      <c r="D72" t="s">
        <v>30</v>
      </c>
      <c r="E72">
        <v>95</v>
      </c>
      <c r="F72">
        <v>28</v>
      </c>
      <c r="G72">
        <v>20</v>
      </c>
      <c r="H72">
        <v>9</v>
      </c>
      <c r="I72" s="3">
        <v>485484.5</v>
      </c>
      <c r="J72" s="2">
        <v>148163.89000000001</v>
      </c>
      <c r="K72" s="2"/>
      <c r="O72">
        <v>143841.19</v>
      </c>
      <c r="P72">
        <v>368.12</v>
      </c>
      <c r="Q72">
        <v>1248.99</v>
      </c>
      <c r="R72">
        <v>3.38</v>
      </c>
      <c r="S72">
        <v>3</v>
      </c>
      <c r="T72">
        <v>11.65</v>
      </c>
      <c r="U72" t="s">
        <v>44</v>
      </c>
    </row>
    <row r="73" spans="1:21" x14ac:dyDescent="0.35">
      <c r="A73" s="1" t="s">
        <v>22</v>
      </c>
      <c r="B73" t="s">
        <v>42</v>
      </c>
      <c r="C73" t="s">
        <v>45</v>
      </c>
      <c r="D73" t="s">
        <v>31</v>
      </c>
      <c r="E73">
        <v>37</v>
      </c>
      <c r="F73">
        <v>16</v>
      </c>
      <c r="G73">
        <v>11</v>
      </c>
      <c r="H73">
        <v>6</v>
      </c>
      <c r="I73" s="3">
        <v>574421.93999999994</v>
      </c>
      <c r="J73" s="2">
        <v>168785.43</v>
      </c>
      <c r="K73" s="2"/>
      <c r="O73">
        <v>252744.06</v>
      </c>
      <c r="P73">
        <v>1660.79</v>
      </c>
      <c r="Q73">
        <v>3840.57</v>
      </c>
      <c r="R73">
        <v>2.27</v>
      </c>
      <c r="S73">
        <v>3</v>
      </c>
      <c r="T73">
        <v>17.97</v>
      </c>
      <c r="U73" t="s">
        <v>44</v>
      </c>
    </row>
    <row r="74" spans="1:21" x14ac:dyDescent="0.35">
      <c r="A74" s="1" t="s">
        <v>22</v>
      </c>
      <c r="B74" t="s">
        <v>42</v>
      </c>
      <c r="C74" t="s">
        <v>45</v>
      </c>
      <c r="D74" t="s">
        <v>32</v>
      </c>
      <c r="E74">
        <v>7</v>
      </c>
      <c r="F74">
        <v>5</v>
      </c>
      <c r="G74">
        <v>3</v>
      </c>
      <c r="H74">
        <v>2</v>
      </c>
      <c r="I74" s="3">
        <v>176112.37</v>
      </c>
      <c r="J74" s="2">
        <v>72133.45</v>
      </c>
      <c r="K74" s="2"/>
      <c r="O74">
        <v>12110.09</v>
      </c>
      <c r="P74">
        <v>420.61</v>
      </c>
      <c r="Q74">
        <v>588.86</v>
      </c>
      <c r="R74">
        <v>14.54</v>
      </c>
      <c r="S74">
        <v>3</v>
      </c>
      <c r="T74">
        <v>2.0099999999999998</v>
      </c>
      <c r="U74" t="s">
        <v>44</v>
      </c>
    </row>
    <row r="75" spans="1:21" x14ac:dyDescent="0.35">
      <c r="A75" s="1" t="s">
        <v>22</v>
      </c>
      <c r="B75" t="s">
        <v>42</v>
      </c>
      <c r="C75" t="s">
        <v>45</v>
      </c>
      <c r="D75" t="s">
        <v>33</v>
      </c>
      <c r="E75">
        <v>29</v>
      </c>
      <c r="F75">
        <v>14</v>
      </c>
      <c r="G75">
        <v>10</v>
      </c>
      <c r="H75">
        <v>5</v>
      </c>
      <c r="I75" s="3">
        <v>355375.68</v>
      </c>
      <c r="J75" s="2">
        <v>126875.04</v>
      </c>
      <c r="K75" s="2"/>
      <c r="O75">
        <v>28476.66</v>
      </c>
      <c r="P75">
        <v>238.74</v>
      </c>
      <c r="Q75">
        <v>494.53</v>
      </c>
      <c r="R75">
        <v>12.48</v>
      </c>
      <c r="S75">
        <v>3</v>
      </c>
      <c r="T75">
        <v>2.69</v>
      </c>
      <c r="U75" t="s">
        <v>44</v>
      </c>
    </row>
    <row r="76" spans="1:21" x14ac:dyDescent="0.35">
      <c r="A76" s="1" t="s">
        <v>22</v>
      </c>
      <c r="B76" t="s">
        <v>42</v>
      </c>
      <c r="C76" t="s">
        <v>45</v>
      </c>
      <c r="D76" t="s">
        <v>34</v>
      </c>
      <c r="E76">
        <v>176</v>
      </c>
      <c r="F76">
        <v>42</v>
      </c>
      <c r="G76">
        <v>33</v>
      </c>
      <c r="H76">
        <v>10</v>
      </c>
      <c r="I76" s="3">
        <v>457284.88</v>
      </c>
      <c r="J76" s="2">
        <v>125617.94</v>
      </c>
      <c r="K76" s="2"/>
      <c r="O76">
        <v>178255.74</v>
      </c>
      <c r="P76">
        <v>246.24</v>
      </c>
      <c r="Q76">
        <v>1031.8800000000001</v>
      </c>
      <c r="R76">
        <v>2.57</v>
      </c>
      <c r="S76">
        <v>3</v>
      </c>
      <c r="T76">
        <v>17.03</v>
      </c>
      <c r="U76" t="s">
        <v>44</v>
      </c>
    </row>
    <row r="77" spans="1:21" x14ac:dyDescent="0.35">
      <c r="A77" s="1" t="s">
        <v>22</v>
      </c>
      <c r="B77" t="s">
        <v>42</v>
      </c>
      <c r="C77" t="s">
        <v>45</v>
      </c>
      <c r="D77" t="s">
        <v>35</v>
      </c>
      <c r="E77">
        <v>67</v>
      </c>
      <c r="F77">
        <v>25</v>
      </c>
      <c r="G77">
        <v>17</v>
      </c>
      <c r="H77">
        <v>7</v>
      </c>
      <c r="I77" s="3">
        <v>370878.85</v>
      </c>
      <c r="J77" s="2">
        <v>120493.63</v>
      </c>
      <c r="K77" s="2"/>
      <c r="O77">
        <v>70026.8</v>
      </c>
      <c r="P77">
        <v>254.11</v>
      </c>
      <c r="Q77">
        <v>681.02</v>
      </c>
      <c r="R77">
        <v>5.3</v>
      </c>
      <c r="S77">
        <v>3</v>
      </c>
      <c r="T77">
        <v>6.97</v>
      </c>
      <c r="U77" t="s">
        <v>44</v>
      </c>
    </row>
    <row r="78" spans="1:21" x14ac:dyDescent="0.35">
      <c r="A78" s="1" t="s">
        <v>22</v>
      </c>
      <c r="B78" t="s">
        <v>42</v>
      </c>
      <c r="C78" t="s">
        <v>45</v>
      </c>
      <c r="D78" t="s">
        <v>36</v>
      </c>
      <c r="E78">
        <v>1</v>
      </c>
      <c r="F78">
        <v>1</v>
      </c>
      <c r="G78">
        <v>0</v>
      </c>
      <c r="H78">
        <v>1</v>
      </c>
      <c r="I78" s="3">
        <v>70855.320000000007</v>
      </c>
      <c r="J78" s="2">
        <v>35852.92</v>
      </c>
      <c r="K78" s="2"/>
      <c r="O78">
        <v>2497.33</v>
      </c>
      <c r="P78">
        <v>607.16999999999996</v>
      </c>
      <c r="Q78">
        <v>607.16999999999996</v>
      </c>
      <c r="R78">
        <v>28.37</v>
      </c>
      <c r="S78">
        <v>3</v>
      </c>
      <c r="T78">
        <v>0.84</v>
      </c>
      <c r="U78" t="s">
        <v>44</v>
      </c>
    </row>
    <row r="79" spans="1:21" x14ac:dyDescent="0.35">
      <c r="A79" s="1" t="s">
        <v>22</v>
      </c>
      <c r="B79" t="s">
        <v>42</v>
      </c>
      <c r="C79" t="s">
        <v>46</v>
      </c>
      <c r="D79" t="s">
        <v>25</v>
      </c>
      <c r="E79">
        <v>195</v>
      </c>
      <c r="F79">
        <v>66</v>
      </c>
      <c r="G79">
        <v>51</v>
      </c>
      <c r="H79">
        <v>22</v>
      </c>
      <c r="I79" s="3">
        <v>1162645.02</v>
      </c>
      <c r="J79" s="2">
        <v>359130.56</v>
      </c>
      <c r="K79" s="2"/>
      <c r="O79">
        <v>489581.55</v>
      </c>
      <c r="P79">
        <v>576.95000000000005</v>
      </c>
      <c r="Q79">
        <v>1704.61</v>
      </c>
      <c r="R79">
        <v>2.37</v>
      </c>
      <c r="S79">
        <v>3</v>
      </c>
      <c r="T79">
        <v>16.36</v>
      </c>
      <c r="U79" t="s">
        <v>44</v>
      </c>
    </row>
    <row r="80" spans="1:21" x14ac:dyDescent="0.35">
      <c r="A80" s="1" t="s">
        <v>22</v>
      </c>
      <c r="B80" t="s">
        <v>42</v>
      </c>
      <c r="C80" t="s">
        <v>46</v>
      </c>
      <c r="D80" t="s">
        <v>27</v>
      </c>
      <c r="E80">
        <v>242</v>
      </c>
      <c r="F80">
        <v>60</v>
      </c>
      <c r="G80">
        <v>44</v>
      </c>
      <c r="H80">
        <v>16</v>
      </c>
      <c r="I80" s="3">
        <v>655959.66</v>
      </c>
      <c r="J80" s="2">
        <v>190937.76</v>
      </c>
      <c r="K80" s="2"/>
      <c r="O80">
        <v>344671.14</v>
      </c>
      <c r="P80">
        <v>327.29000000000002</v>
      </c>
      <c r="Q80">
        <v>1320.07</v>
      </c>
      <c r="R80">
        <v>1.9</v>
      </c>
      <c r="S80">
        <v>3</v>
      </c>
      <c r="T80">
        <v>21.66</v>
      </c>
      <c r="U80" t="s">
        <v>44</v>
      </c>
    </row>
    <row r="81" spans="1:21" x14ac:dyDescent="0.35">
      <c r="A81" s="1" t="s">
        <v>22</v>
      </c>
      <c r="B81" t="s">
        <v>42</v>
      </c>
      <c r="C81" t="s">
        <v>46</v>
      </c>
      <c r="D81" t="s">
        <v>28</v>
      </c>
      <c r="E81">
        <v>66</v>
      </c>
      <c r="F81">
        <v>28</v>
      </c>
      <c r="G81">
        <v>21</v>
      </c>
      <c r="H81">
        <v>9</v>
      </c>
      <c r="I81" s="3">
        <v>469038.29</v>
      </c>
      <c r="J81" s="2">
        <v>174638.34</v>
      </c>
      <c r="K81" s="2"/>
      <c r="O81">
        <v>59262.91</v>
      </c>
      <c r="P81">
        <v>206.34</v>
      </c>
      <c r="Q81">
        <v>486.37</v>
      </c>
      <c r="R81">
        <v>7.91</v>
      </c>
      <c r="S81">
        <v>3</v>
      </c>
      <c r="T81">
        <v>4.07</v>
      </c>
      <c r="U81" t="s">
        <v>44</v>
      </c>
    </row>
    <row r="82" spans="1:21" x14ac:dyDescent="0.35">
      <c r="A82" s="1" t="s">
        <v>22</v>
      </c>
      <c r="B82" t="s">
        <v>42</v>
      </c>
      <c r="C82" t="s">
        <v>46</v>
      </c>
      <c r="D82" t="s">
        <v>29</v>
      </c>
      <c r="E82">
        <v>40</v>
      </c>
      <c r="F82">
        <v>20</v>
      </c>
      <c r="G82">
        <v>15</v>
      </c>
      <c r="H82">
        <v>9</v>
      </c>
      <c r="I82" s="3">
        <v>679724.35</v>
      </c>
      <c r="J82" s="2">
        <v>284563.01</v>
      </c>
      <c r="K82" s="2"/>
      <c r="O82">
        <v>179321.34</v>
      </c>
      <c r="P82">
        <v>1030.19</v>
      </c>
      <c r="Q82">
        <v>2060.38</v>
      </c>
      <c r="R82">
        <v>3.79</v>
      </c>
      <c r="S82">
        <v>3</v>
      </c>
      <c r="T82">
        <v>7.56</v>
      </c>
      <c r="U82" t="s">
        <v>44</v>
      </c>
    </row>
    <row r="83" spans="1:21" x14ac:dyDescent="0.35">
      <c r="A83" s="1" t="s">
        <v>22</v>
      </c>
      <c r="B83" t="s">
        <v>42</v>
      </c>
      <c r="C83" t="s">
        <v>46</v>
      </c>
      <c r="D83" t="s">
        <v>30</v>
      </c>
      <c r="E83">
        <v>114</v>
      </c>
      <c r="F83">
        <v>34</v>
      </c>
      <c r="G83">
        <v>24</v>
      </c>
      <c r="H83">
        <v>11</v>
      </c>
      <c r="I83" s="3">
        <v>467339.9</v>
      </c>
      <c r="J83" s="2">
        <v>148991.47</v>
      </c>
      <c r="K83" s="2"/>
      <c r="O83">
        <v>150363.92000000001</v>
      </c>
      <c r="P83">
        <v>303.10000000000002</v>
      </c>
      <c r="Q83">
        <v>1016.27</v>
      </c>
      <c r="R83">
        <v>3.11</v>
      </c>
      <c r="S83">
        <v>3</v>
      </c>
      <c r="T83">
        <v>12.11</v>
      </c>
      <c r="U83" t="s">
        <v>44</v>
      </c>
    </row>
    <row r="84" spans="1:21" x14ac:dyDescent="0.35">
      <c r="A84" s="1" t="s">
        <v>22</v>
      </c>
      <c r="B84" t="s">
        <v>42</v>
      </c>
      <c r="C84" t="s">
        <v>46</v>
      </c>
      <c r="D84" t="s">
        <v>31</v>
      </c>
      <c r="E84">
        <v>35</v>
      </c>
      <c r="F84">
        <v>15</v>
      </c>
      <c r="G84">
        <v>12</v>
      </c>
      <c r="H84">
        <v>6</v>
      </c>
      <c r="I84" s="3">
        <v>495699.18</v>
      </c>
      <c r="J84" s="2">
        <v>148945.70000000001</v>
      </c>
      <c r="K84" s="2"/>
      <c r="O84">
        <v>288959.62</v>
      </c>
      <c r="P84">
        <v>1897.2</v>
      </c>
      <c r="Q84">
        <v>4426.8</v>
      </c>
      <c r="R84">
        <v>1.72</v>
      </c>
      <c r="S84">
        <v>3</v>
      </c>
      <c r="T84">
        <v>23.28</v>
      </c>
      <c r="U84" t="s">
        <v>44</v>
      </c>
    </row>
    <row r="85" spans="1:21" x14ac:dyDescent="0.35">
      <c r="A85" s="1" t="s">
        <v>22</v>
      </c>
      <c r="B85" t="s">
        <v>42</v>
      </c>
      <c r="C85" t="s">
        <v>46</v>
      </c>
      <c r="D85" t="s">
        <v>32</v>
      </c>
      <c r="E85">
        <v>7</v>
      </c>
      <c r="F85">
        <v>5</v>
      </c>
      <c r="G85">
        <v>3</v>
      </c>
      <c r="H85">
        <v>2</v>
      </c>
      <c r="I85" s="3">
        <v>204074.67</v>
      </c>
      <c r="J85" s="2">
        <v>80750.070000000007</v>
      </c>
      <c r="K85" s="2"/>
      <c r="O85">
        <v>19156.650000000001</v>
      </c>
      <c r="P85">
        <v>628.88</v>
      </c>
      <c r="Q85">
        <v>880.43</v>
      </c>
      <c r="R85">
        <v>10.65</v>
      </c>
      <c r="S85">
        <v>3</v>
      </c>
      <c r="T85">
        <v>2.85</v>
      </c>
      <c r="U85" t="s">
        <v>44</v>
      </c>
    </row>
    <row r="86" spans="1:21" x14ac:dyDescent="0.35">
      <c r="A86" s="1" t="s">
        <v>22</v>
      </c>
      <c r="B86" t="s">
        <v>42</v>
      </c>
      <c r="C86" t="s">
        <v>46</v>
      </c>
      <c r="D86" t="s">
        <v>33</v>
      </c>
      <c r="E86">
        <v>29</v>
      </c>
      <c r="F86">
        <v>14</v>
      </c>
      <c r="G86">
        <v>10</v>
      </c>
      <c r="H86">
        <v>5</v>
      </c>
      <c r="I86" s="3">
        <v>328656.71000000002</v>
      </c>
      <c r="J86" s="2">
        <v>112363.77</v>
      </c>
      <c r="K86" s="2"/>
      <c r="O86">
        <v>29527.14</v>
      </c>
      <c r="P86">
        <v>233.97</v>
      </c>
      <c r="Q86">
        <v>484.66</v>
      </c>
      <c r="R86">
        <v>11.13</v>
      </c>
      <c r="S86">
        <v>3</v>
      </c>
      <c r="T86">
        <v>3.15</v>
      </c>
      <c r="U86" t="s">
        <v>44</v>
      </c>
    </row>
    <row r="87" spans="1:21" x14ac:dyDescent="0.35">
      <c r="A87" s="1" t="s">
        <v>22</v>
      </c>
      <c r="B87" t="s">
        <v>42</v>
      </c>
      <c r="C87" t="s">
        <v>46</v>
      </c>
      <c r="D87" t="s">
        <v>34</v>
      </c>
      <c r="E87">
        <v>177</v>
      </c>
      <c r="F87">
        <v>42</v>
      </c>
      <c r="G87">
        <v>34</v>
      </c>
      <c r="H87">
        <v>10</v>
      </c>
      <c r="I87" s="3">
        <v>380390.18</v>
      </c>
      <c r="J87" s="2">
        <v>112677.89</v>
      </c>
      <c r="K87" s="2"/>
      <c r="O87">
        <v>184350.74</v>
      </c>
      <c r="P87">
        <v>239.34</v>
      </c>
      <c r="Q87">
        <v>1008.65</v>
      </c>
      <c r="R87">
        <v>2.06</v>
      </c>
      <c r="S87">
        <v>3</v>
      </c>
      <c r="T87">
        <v>19.63</v>
      </c>
      <c r="U87" t="s">
        <v>44</v>
      </c>
    </row>
    <row r="88" spans="1:21" x14ac:dyDescent="0.35">
      <c r="A88" s="1" t="s">
        <v>22</v>
      </c>
      <c r="B88" t="s">
        <v>42</v>
      </c>
      <c r="C88" t="s">
        <v>46</v>
      </c>
      <c r="D88" t="s">
        <v>35</v>
      </c>
      <c r="E88">
        <v>59</v>
      </c>
      <c r="F88">
        <v>22</v>
      </c>
      <c r="G88">
        <v>18</v>
      </c>
      <c r="H88">
        <v>7</v>
      </c>
      <c r="I88" s="3">
        <v>338447.93</v>
      </c>
      <c r="J88" s="2">
        <v>103814.73</v>
      </c>
      <c r="K88" s="2"/>
      <c r="O88">
        <v>83046.720000000001</v>
      </c>
      <c r="P88">
        <v>323.45999999999998</v>
      </c>
      <c r="Q88">
        <v>867.45</v>
      </c>
      <c r="R88">
        <v>4.08</v>
      </c>
      <c r="S88">
        <v>3</v>
      </c>
      <c r="T88">
        <v>9.6</v>
      </c>
      <c r="U88" t="s">
        <v>44</v>
      </c>
    </row>
    <row r="89" spans="1:21" x14ac:dyDescent="0.35">
      <c r="A89" s="1" t="s">
        <v>22</v>
      </c>
      <c r="B89" t="s">
        <v>42</v>
      </c>
      <c r="C89" t="s">
        <v>46</v>
      </c>
      <c r="D89" t="s">
        <v>36</v>
      </c>
      <c r="E89">
        <v>1</v>
      </c>
      <c r="F89">
        <v>1</v>
      </c>
      <c r="G89">
        <v>0</v>
      </c>
      <c r="H89">
        <v>1</v>
      </c>
      <c r="I89" s="3">
        <v>69458.12</v>
      </c>
      <c r="J89" s="2">
        <v>33664.699999999997</v>
      </c>
      <c r="K89" s="2"/>
      <c r="O89">
        <v>3114.79</v>
      </c>
      <c r="P89">
        <v>715.77</v>
      </c>
      <c r="Q89">
        <v>715.77</v>
      </c>
      <c r="R89">
        <v>22.3</v>
      </c>
      <c r="S89">
        <v>3</v>
      </c>
      <c r="T89">
        <v>1.1100000000000001</v>
      </c>
      <c r="U89" t="s">
        <v>44</v>
      </c>
    </row>
    <row r="90" spans="1:21" x14ac:dyDescent="0.35">
      <c r="A90" s="1" t="s">
        <v>22</v>
      </c>
      <c r="B90" t="s">
        <v>42</v>
      </c>
      <c r="C90" t="s">
        <v>47</v>
      </c>
      <c r="D90" t="s">
        <v>25</v>
      </c>
      <c r="E90">
        <v>220</v>
      </c>
      <c r="F90">
        <v>75</v>
      </c>
      <c r="G90">
        <v>56</v>
      </c>
      <c r="H90">
        <v>25</v>
      </c>
      <c r="I90" s="3">
        <v>1146920.78</v>
      </c>
      <c r="J90" s="2">
        <v>364088.05</v>
      </c>
      <c r="K90" s="2"/>
      <c r="O90">
        <v>439987.07</v>
      </c>
      <c r="P90">
        <v>632.07000000000005</v>
      </c>
      <c r="Q90">
        <v>1854.08</v>
      </c>
      <c r="R90">
        <v>2.61</v>
      </c>
      <c r="S90">
        <v>3</v>
      </c>
      <c r="T90">
        <v>14.5</v>
      </c>
      <c r="U90" t="s">
        <v>44</v>
      </c>
    </row>
    <row r="91" spans="1:21" x14ac:dyDescent="0.35">
      <c r="A91" s="1" t="s">
        <v>22</v>
      </c>
      <c r="B91" t="s">
        <v>42</v>
      </c>
      <c r="C91" t="s">
        <v>47</v>
      </c>
      <c r="D91" t="s">
        <v>27</v>
      </c>
      <c r="E91">
        <v>306</v>
      </c>
      <c r="F91">
        <v>76</v>
      </c>
      <c r="G91">
        <v>55</v>
      </c>
      <c r="H91">
        <v>21</v>
      </c>
      <c r="I91" s="3">
        <v>718023.07</v>
      </c>
      <c r="J91" s="2">
        <v>220179.73</v>
      </c>
      <c r="K91" s="2"/>
      <c r="O91">
        <v>289323.95</v>
      </c>
      <c r="P91">
        <v>298.82</v>
      </c>
      <c r="Q91">
        <v>1203.1500000000001</v>
      </c>
      <c r="R91">
        <v>2.48</v>
      </c>
      <c r="S91">
        <v>3</v>
      </c>
      <c r="T91">
        <v>15.77</v>
      </c>
      <c r="U91" t="s">
        <v>44</v>
      </c>
    </row>
    <row r="92" spans="1:21" x14ac:dyDescent="0.35">
      <c r="A92" s="1" t="s">
        <v>22</v>
      </c>
      <c r="B92" t="s">
        <v>42</v>
      </c>
      <c r="C92" t="s">
        <v>47</v>
      </c>
      <c r="D92" t="s">
        <v>28</v>
      </c>
      <c r="E92">
        <v>63</v>
      </c>
      <c r="F92">
        <v>27</v>
      </c>
      <c r="G92">
        <v>20</v>
      </c>
      <c r="H92">
        <v>9</v>
      </c>
      <c r="I92" s="3">
        <v>400175.93</v>
      </c>
      <c r="J92" s="2">
        <v>143299.14000000001</v>
      </c>
      <c r="K92" s="2"/>
      <c r="O92">
        <v>41759.230000000003</v>
      </c>
      <c r="P92">
        <v>209.49</v>
      </c>
      <c r="Q92">
        <v>488.81</v>
      </c>
      <c r="R92">
        <v>9.58</v>
      </c>
      <c r="S92">
        <v>3</v>
      </c>
      <c r="T92">
        <v>3.5</v>
      </c>
      <c r="U92" t="s">
        <v>44</v>
      </c>
    </row>
    <row r="93" spans="1:21" x14ac:dyDescent="0.35">
      <c r="A93" s="1" t="s">
        <v>22</v>
      </c>
      <c r="B93" t="s">
        <v>42</v>
      </c>
      <c r="C93" t="s">
        <v>47</v>
      </c>
      <c r="D93" t="s">
        <v>29</v>
      </c>
      <c r="E93">
        <v>57</v>
      </c>
      <c r="F93">
        <v>28</v>
      </c>
      <c r="G93">
        <v>20</v>
      </c>
      <c r="H93">
        <v>12</v>
      </c>
      <c r="I93" s="3">
        <v>691668.66</v>
      </c>
      <c r="J93" s="2">
        <v>279788.34000000003</v>
      </c>
      <c r="K93" s="2"/>
      <c r="O93">
        <v>162146.92000000001</v>
      </c>
      <c r="P93">
        <v>899.05</v>
      </c>
      <c r="Q93">
        <v>1830.21</v>
      </c>
      <c r="R93">
        <v>4.2699999999999996</v>
      </c>
      <c r="S93">
        <v>3</v>
      </c>
      <c r="T93">
        <v>6.95</v>
      </c>
      <c r="U93" t="s">
        <v>44</v>
      </c>
    </row>
    <row r="94" spans="1:21" x14ac:dyDescent="0.35">
      <c r="A94" s="1" t="s">
        <v>22</v>
      </c>
      <c r="B94" t="s">
        <v>42</v>
      </c>
      <c r="C94" t="s">
        <v>47</v>
      </c>
      <c r="D94" t="s">
        <v>30</v>
      </c>
      <c r="E94">
        <v>128</v>
      </c>
      <c r="F94">
        <v>38</v>
      </c>
      <c r="G94">
        <v>31</v>
      </c>
      <c r="H94">
        <v>12</v>
      </c>
      <c r="I94" s="3">
        <v>455467.24</v>
      </c>
      <c r="J94" s="2">
        <v>149926.79999999999</v>
      </c>
      <c r="K94" s="2"/>
      <c r="O94">
        <v>118606.23</v>
      </c>
      <c r="P94">
        <v>292.85000000000002</v>
      </c>
      <c r="Q94">
        <v>986.45</v>
      </c>
      <c r="R94">
        <v>3.84</v>
      </c>
      <c r="S94">
        <v>3</v>
      </c>
      <c r="T94">
        <v>9.49</v>
      </c>
      <c r="U94" t="s">
        <v>44</v>
      </c>
    </row>
    <row r="95" spans="1:21" x14ac:dyDescent="0.35">
      <c r="A95" s="1" t="s">
        <v>22</v>
      </c>
      <c r="B95" t="s">
        <v>42</v>
      </c>
      <c r="C95" t="s">
        <v>47</v>
      </c>
      <c r="D95" t="s">
        <v>31</v>
      </c>
      <c r="E95">
        <v>39</v>
      </c>
      <c r="F95">
        <v>17</v>
      </c>
      <c r="G95">
        <v>12</v>
      </c>
      <c r="H95">
        <v>6</v>
      </c>
      <c r="I95" s="3">
        <v>515832.52</v>
      </c>
      <c r="J95" s="2">
        <v>164292.87</v>
      </c>
      <c r="K95" s="2"/>
      <c r="O95">
        <v>235258.88</v>
      </c>
      <c r="P95">
        <v>1906.47</v>
      </c>
      <c r="Q95">
        <v>4373.67</v>
      </c>
      <c r="R95">
        <v>2.19</v>
      </c>
      <c r="S95">
        <v>3</v>
      </c>
      <c r="T95">
        <v>17.18</v>
      </c>
      <c r="U95" t="s">
        <v>44</v>
      </c>
    </row>
    <row r="96" spans="1:21" x14ac:dyDescent="0.35">
      <c r="A96" s="1" t="s">
        <v>22</v>
      </c>
      <c r="B96" t="s">
        <v>42</v>
      </c>
      <c r="C96" t="s">
        <v>47</v>
      </c>
      <c r="D96" t="s">
        <v>32</v>
      </c>
      <c r="E96">
        <v>8</v>
      </c>
      <c r="F96">
        <v>5</v>
      </c>
      <c r="G96">
        <v>4</v>
      </c>
      <c r="H96">
        <v>2</v>
      </c>
      <c r="I96" s="3">
        <v>187298.77</v>
      </c>
      <c r="J96" s="2">
        <v>77432.75</v>
      </c>
      <c r="K96" s="2"/>
      <c r="O96">
        <v>12539.25</v>
      </c>
      <c r="P96">
        <v>495.37</v>
      </c>
      <c r="Q96">
        <v>792.59</v>
      </c>
      <c r="R96">
        <v>14.94</v>
      </c>
      <c r="S96">
        <v>3</v>
      </c>
      <c r="T96">
        <v>1.94</v>
      </c>
      <c r="U96" t="s">
        <v>44</v>
      </c>
    </row>
    <row r="97" spans="1:21" x14ac:dyDescent="0.35">
      <c r="A97" s="1" t="s">
        <v>22</v>
      </c>
      <c r="B97" t="s">
        <v>42</v>
      </c>
      <c r="C97" t="s">
        <v>47</v>
      </c>
      <c r="D97" t="s">
        <v>33</v>
      </c>
      <c r="E97">
        <v>41</v>
      </c>
      <c r="F97">
        <v>19</v>
      </c>
      <c r="G97">
        <v>16</v>
      </c>
      <c r="H97">
        <v>7</v>
      </c>
      <c r="I97" s="3">
        <v>346060.62</v>
      </c>
      <c r="J97" s="2">
        <v>119189.14</v>
      </c>
      <c r="K97" s="2"/>
      <c r="O97">
        <v>31323.29</v>
      </c>
      <c r="P97">
        <v>241.45</v>
      </c>
      <c r="Q97">
        <v>521.03</v>
      </c>
      <c r="R97">
        <v>11.05</v>
      </c>
      <c r="S97">
        <v>3</v>
      </c>
      <c r="T97">
        <v>3.15</v>
      </c>
      <c r="U97" t="s">
        <v>44</v>
      </c>
    </row>
    <row r="98" spans="1:21" x14ac:dyDescent="0.35">
      <c r="A98" s="1" t="s">
        <v>22</v>
      </c>
      <c r="B98" t="s">
        <v>42</v>
      </c>
      <c r="C98" t="s">
        <v>47</v>
      </c>
      <c r="D98" t="s">
        <v>34</v>
      </c>
      <c r="E98">
        <v>242</v>
      </c>
      <c r="F98">
        <v>58</v>
      </c>
      <c r="G98">
        <v>46</v>
      </c>
      <c r="H98">
        <v>14</v>
      </c>
      <c r="I98" s="3">
        <v>462475.54</v>
      </c>
      <c r="J98" s="2">
        <v>116407.26</v>
      </c>
      <c r="K98" s="2"/>
      <c r="O98">
        <v>168887.98</v>
      </c>
      <c r="P98">
        <v>220.56</v>
      </c>
      <c r="Q98">
        <v>920.28</v>
      </c>
      <c r="R98">
        <v>2.74</v>
      </c>
      <c r="S98">
        <v>3</v>
      </c>
      <c r="T98">
        <v>17.41</v>
      </c>
      <c r="U98" t="s">
        <v>44</v>
      </c>
    </row>
    <row r="99" spans="1:21" x14ac:dyDescent="0.35">
      <c r="A99" s="1" t="s">
        <v>22</v>
      </c>
      <c r="B99" t="s">
        <v>42</v>
      </c>
      <c r="C99" t="s">
        <v>47</v>
      </c>
      <c r="D99" t="s">
        <v>35</v>
      </c>
      <c r="E99">
        <v>65</v>
      </c>
      <c r="F99">
        <v>24</v>
      </c>
      <c r="G99">
        <v>18</v>
      </c>
      <c r="H99">
        <v>7</v>
      </c>
      <c r="I99" s="3">
        <v>301361.94</v>
      </c>
      <c r="J99" s="2">
        <v>98954.64</v>
      </c>
      <c r="K99" s="2"/>
      <c r="O99">
        <v>60906.17</v>
      </c>
      <c r="P99">
        <v>296.14</v>
      </c>
      <c r="Q99">
        <v>802.05</v>
      </c>
      <c r="R99">
        <v>4.95</v>
      </c>
      <c r="S99">
        <v>3</v>
      </c>
      <c r="T99">
        <v>7.39</v>
      </c>
      <c r="U99" t="s">
        <v>44</v>
      </c>
    </row>
    <row r="100" spans="1:21" x14ac:dyDescent="0.35">
      <c r="A100" s="1" t="s">
        <v>22</v>
      </c>
      <c r="B100" t="s">
        <v>42</v>
      </c>
      <c r="C100" t="s">
        <v>47</v>
      </c>
      <c r="D100" t="s">
        <v>36</v>
      </c>
      <c r="E100">
        <v>1</v>
      </c>
      <c r="F100">
        <v>1</v>
      </c>
      <c r="G100">
        <v>0</v>
      </c>
      <c r="H100">
        <v>1</v>
      </c>
      <c r="I100" s="3">
        <v>70044.94</v>
      </c>
      <c r="J100" s="2">
        <v>31551.279999999999</v>
      </c>
      <c r="K100" s="2"/>
      <c r="O100">
        <v>2161.15</v>
      </c>
      <c r="P100">
        <v>683.02</v>
      </c>
      <c r="Q100">
        <v>683.02</v>
      </c>
      <c r="R100">
        <v>32.409999999999997</v>
      </c>
      <c r="S100">
        <v>3</v>
      </c>
      <c r="T100">
        <v>0.82</v>
      </c>
      <c r="U100" t="s">
        <v>44</v>
      </c>
    </row>
    <row r="101" spans="1:21" x14ac:dyDescent="0.35">
      <c r="A101" s="1" t="s">
        <v>22</v>
      </c>
      <c r="B101" t="s">
        <v>42</v>
      </c>
      <c r="C101" t="s">
        <v>48</v>
      </c>
      <c r="D101" t="s">
        <v>25</v>
      </c>
      <c r="E101">
        <v>260</v>
      </c>
      <c r="F101">
        <v>89</v>
      </c>
      <c r="G101">
        <v>73</v>
      </c>
      <c r="H101">
        <v>30</v>
      </c>
      <c r="I101" s="3">
        <v>1128294.03</v>
      </c>
      <c r="J101" s="2">
        <v>402743.56</v>
      </c>
      <c r="K101" s="2"/>
      <c r="O101">
        <v>366795.43</v>
      </c>
      <c r="P101">
        <v>519.13</v>
      </c>
      <c r="Q101">
        <v>1516.56</v>
      </c>
      <c r="R101">
        <v>3.08</v>
      </c>
      <c r="S101">
        <v>3</v>
      </c>
      <c r="T101">
        <v>10.93</v>
      </c>
      <c r="U101" t="s">
        <v>44</v>
      </c>
    </row>
    <row r="102" spans="1:21" x14ac:dyDescent="0.35">
      <c r="A102" s="1" t="s">
        <v>22</v>
      </c>
      <c r="B102" t="s">
        <v>42</v>
      </c>
      <c r="C102" t="s">
        <v>48</v>
      </c>
      <c r="D102" t="s">
        <v>27</v>
      </c>
      <c r="E102">
        <v>318</v>
      </c>
      <c r="F102">
        <v>79</v>
      </c>
      <c r="G102">
        <v>60</v>
      </c>
      <c r="H102">
        <v>21</v>
      </c>
      <c r="I102" s="3">
        <v>633630.44999999995</v>
      </c>
      <c r="J102" s="2">
        <v>178115.82</v>
      </c>
      <c r="K102" s="2"/>
      <c r="O102">
        <v>262788.75</v>
      </c>
      <c r="P102">
        <v>304.08999999999997</v>
      </c>
      <c r="Q102">
        <v>1224.07</v>
      </c>
      <c r="R102">
        <v>2.41</v>
      </c>
      <c r="S102">
        <v>3</v>
      </c>
      <c r="T102">
        <v>17.7</v>
      </c>
      <c r="U102" t="s">
        <v>44</v>
      </c>
    </row>
    <row r="103" spans="1:21" x14ac:dyDescent="0.35">
      <c r="A103" s="1" t="s">
        <v>22</v>
      </c>
      <c r="B103" t="s">
        <v>42</v>
      </c>
      <c r="C103" t="s">
        <v>48</v>
      </c>
      <c r="D103" t="s">
        <v>28</v>
      </c>
      <c r="E103">
        <v>75</v>
      </c>
      <c r="F103">
        <v>32</v>
      </c>
      <c r="G103">
        <v>26</v>
      </c>
      <c r="H103">
        <v>11</v>
      </c>
      <c r="I103" s="3">
        <v>396504.77</v>
      </c>
      <c r="J103" s="2">
        <v>142610.18</v>
      </c>
      <c r="K103" s="2"/>
      <c r="O103">
        <v>43073.5</v>
      </c>
      <c r="P103">
        <v>211.34</v>
      </c>
      <c r="Q103">
        <v>495.32</v>
      </c>
      <c r="R103">
        <v>9.2100000000000009</v>
      </c>
      <c r="S103">
        <v>3</v>
      </c>
      <c r="T103">
        <v>3.62</v>
      </c>
      <c r="U103" t="s">
        <v>44</v>
      </c>
    </row>
    <row r="104" spans="1:21" x14ac:dyDescent="0.35">
      <c r="A104" s="1" t="s">
        <v>22</v>
      </c>
      <c r="B104" t="s">
        <v>42</v>
      </c>
      <c r="C104" t="s">
        <v>48</v>
      </c>
      <c r="D104" t="s">
        <v>29</v>
      </c>
      <c r="E104">
        <v>58</v>
      </c>
      <c r="F104">
        <v>29</v>
      </c>
      <c r="G104">
        <v>20</v>
      </c>
      <c r="H104">
        <v>12</v>
      </c>
      <c r="I104" s="3">
        <v>622645.97</v>
      </c>
      <c r="J104" s="2">
        <v>236439.21</v>
      </c>
      <c r="K104" s="2"/>
      <c r="O104">
        <v>150016.85</v>
      </c>
      <c r="P104">
        <v>951.78</v>
      </c>
      <c r="Q104">
        <v>1903.56</v>
      </c>
      <c r="R104">
        <v>4.1500000000000004</v>
      </c>
      <c r="S104">
        <v>3</v>
      </c>
      <c r="T104">
        <v>7.61</v>
      </c>
      <c r="U104" t="s">
        <v>44</v>
      </c>
    </row>
    <row r="105" spans="1:21" x14ac:dyDescent="0.35">
      <c r="A105" s="1" t="s">
        <v>22</v>
      </c>
      <c r="B105" t="s">
        <v>42</v>
      </c>
      <c r="C105" t="s">
        <v>48</v>
      </c>
      <c r="D105" t="s">
        <v>30</v>
      </c>
      <c r="E105">
        <v>146</v>
      </c>
      <c r="F105">
        <v>44</v>
      </c>
      <c r="G105">
        <v>34</v>
      </c>
      <c r="H105">
        <v>14</v>
      </c>
      <c r="I105" s="3">
        <v>464707.35</v>
      </c>
      <c r="J105" s="2">
        <v>140441.46</v>
      </c>
      <c r="K105" s="2"/>
      <c r="O105">
        <v>129912.36</v>
      </c>
      <c r="P105">
        <v>327.43</v>
      </c>
      <c r="Q105">
        <v>1086.48</v>
      </c>
      <c r="R105">
        <v>3.58</v>
      </c>
      <c r="S105">
        <v>3</v>
      </c>
      <c r="T105">
        <v>11.1</v>
      </c>
      <c r="U105" t="s">
        <v>44</v>
      </c>
    </row>
    <row r="106" spans="1:21" x14ac:dyDescent="0.35">
      <c r="A106" s="1" t="s">
        <v>22</v>
      </c>
      <c r="B106" t="s">
        <v>42</v>
      </c>
      <c r="C106" t="s">
        <v>48</v>
      </c>
      <c r="D106" t="s">
        <v>31</v>
      </c>
      <c r="E106">
        <v>50</v>
      </c>
      <c r="F106">
        <v>21</v>
      </c>
      <c r="G106">
        <v>18</v>
      </c>
      <c r="H106">
        <v>8</v>
      </c>
      <c r="I106" s="3">
        <v>527220.47</v>
      </c>
      <c r="J106" s="2">
        <v>153895.32</v>
      </c>
      <c r="K106" s="2"/>
      <c r="O106">
        <v>212178.13</v>
      </c>
      <c r="P106">
        <v>1561.55</v>
      </c>
      <c r="Q106">
        <v>3717.98</v>
      </c>
      <c r="R106">
        <v>2.48</v>
      </c>
      <c r="S106">
        <v>3</v>
      </c>
      <c r="T106">
        <v>16.54</v>
      </c>
      <c r="U106" t="s">
        <v>44</v>
      </c>
    </row>
    <row r="107" spans="1:21" x14ac:dyDescent="0.35">
      <c r="A107" s="1" t="s">
        <v>22</v>
      </c>
      <c r="B107" t="s">
        <v>42</v>
      </c>
      <c r="C107" t="s">
        <v>48</v>
      </c>
      <c r="D107" t="s">
        <v>32</v>
      </c>
      <c r="E107">
        <v>13</v>
      </c>
      <c r="F107">
        <v>8</v>
      </c>
      <c r="G107">
        <v>5</v>
      </c>
      <c r="H107">
        <v>4</v>
      </c>
      <c r="I107" s="3">
        <v>204313.1</v>
      </c>
      <c r="J107" s="2">
        <v>85990.23</v>
      </c>
      <c r="K107" s="2"/>
      <c r="O107">
        <v>12675.79</v>
      </c>
      <c r="P107">
        <v>358.8</v>
      </c>
      <c r="Q107">
        <v>583.05999999999995</v>
      </c>
      <c r="R107">
        <v>16.12</v>
      </c>
      <c r="S107">
        <v>3</v>
      </c>
      <c r="T107">
        <v>1.77</v>
      </c>
      <c r="U107" t="s">
        <v>44</v>
      </c>
    </row>
    <row r="108" spans="1:21" x14ac:dyDescent="0.35">
      <c r="A108" s="1" t="s">
        <v>22</v>
      </c>
      <c r="B108" t="s">
        <v>42</v>
      </c>
      <c r="C108" t="s">
        <v>48</v>
      </c>
      <c r="D108" t="s">
        <v>33</v>
      </c>
      <c r="E108">
        <v>53</v>
      </c>
      <c r="F108">
        <v>26</v>
      </c>
      <c r="G108">
        <v>18</v>
      </c>
      <c r="H108">
        <v>10</v>
      </c>
      <c r="I108" s="3">
        <v>352212.58</v>
      </c>
      <c r="J108" s="2">
        <v>115703.52</v>
      </c>
      <c r="K108" s="2"/>
      <c r="O108">
        <v>26476.61</v>
      </c>
      <c r="P108">
        <v>183.83</v>
      </c>
      <c r="Q108">
        <v>374.73</v>
      </c>
      <c r="R108">
        <v>13.3</v>
      </c>
      <c r="S108">
        <v>3</v>
      </c>
      <c r="T108">
        <v>2.75</v>
      </c>
      <c r="U108" t="s">
        <v>44</v>
      </c>
    </row>
    <row r="109" spans="1:21" x14ac:dyDescent="0.35">
      <c r="A109" s="1" t="s">
        <v>22</v>
      </c>
      <c r="B109" t="s">
        <v>42</v>
      </c>
      <c r="C109" t="s">
        <v>48</v>
      </c>
      <c r="D109" t="s">
        <v>34</v>
      </c>
      <c r="E109">
        <v>232</v>
      </c>
      <c r="F109">
        <v>56</v>
      </c>
      <c r="G109">
        <v>44</v>
      </c>
      <c r="H109">
        <v>14</v>
      </c>
      <c r="I109" s="3">
        <v>369932.32</v>
      </c>
      <c r="J109" s="2">
        <v>109043.44</v>
      </c>
      <c r="K109" s="2"/>
      <c r="O109">
        <v>136765.49</v>
      </c>
      <c r="P109">
        <v>216.93</v>
      </c>
      <c r="Q109">
        <v>898.7</v>
      </c>
      <c r="R109">
        <v>2.7</v>
      </c>
      <c r="S109">
        <v>3</v>
      </c>
      <c r="T109">
        <v>15.05</v>
      </c>
      <c r="U109" t="s">
        <v>44</v>
      </c>
    </row>
    <row r="110" spans="1:21" x14ac:dyDescent="0.35">
      <c r="A110" s="1" t="s">
        <v>22</v>
      </c>
      <c r="B110" t="s">
        <v>42</v>
      </c>
      <c r="C110" t="s">
        <v>48</v>
      </c>
      <c r="D110" t="s">
        <v>35</v>
      </c>
      <c r="E110">
        <v>68</v>
      </c>
      <c r="F110">
        <v>25</v>
      </c>
      <c r="G110">
        <v>20</v>
      </c>
      <c r="H110">
        <v>8</v>
      </c>
      <c r="I110" s="3">
        <v>274635.09999999998</v>
      </c>
      <c r="J110" s="2">
        <v>82355.91</v>
      </c>
      <c r="K110" s="2"/>
      <c r="O110">
        <v>58410.73</v>
      </c>
      <c r="P110">
        <v>316.08999999999997</v>
      </c>
      <c r="Q110">
        <v>859.76</v>
      </c>
      <c r="R110">
        <v>4.7</v>
      </c>
      <c r="S110">
        <v>3</v>
      </c>
      <c r="T110">
        <v>8.51</v>
      </c>
      <c r="U110" t="s">
        <v>44</v>
      </c>
    </row>
    <row r="111" spans="1:21" x14ac:dyDescent="0.35">
      <c r="A111" s="1" t="s">
        <v>22</v>
      </c>
      <c r="B111" t="s">
        <v>42</v>
      </c>
      <c r="C111" t="s">
        <v>48</v>
      </c>
      <c r="D111" t="s">
        <v>36</v>
      </c>
      <c r="E111">
        <v>1</v>
      </c>
      <c r="F111">
        <v>1</v>
      </c>
      <c r="G111">
        <v>0</v>
      </c>
      <c r="H111">
        <v>1</v>
      </c>
      <c r="I111" s="3">
        <v>61082.86</v>
      </c>
      <c r="J111" s="2">
        <v>31054.35</v>
      </c>
      <c r="K111" s="2"/>
      <c r="O111">
        <v>1996.84</v>
      </c>
      <c r="P111">
        <v>734.8</v>
      </c>
      <c r="Q111">
        <v>734.8</v>
      </c>
      <c r="R111">
        <v>30.59</v>
      </c>
      <c r="S111">
        <v>3</v>
      </c>
      <c r="T111">
        <v>0.77</v>
      </c>
      <c r="U111" t="s">
        <v>44</v>
      </c>
    </row>
    <row r="112" spans="1:21" x14ac:dyDescent="0.35">
      <c r="A112" s="1" t="s">
        <v>22</v>
      </c>
      <c r="B112" t="s">
        <v>42</v>
      </c>
      <c r="C112" t="s">
        <v>49</v>
      </c>
      <c r="D112" t="s">
        <v>25</v>
      </c>
      <c r="E112">
        <v>250</v>
      </c>
      <c r="F112">
        <v>85</v>
      </c>
      <c r="G112">
        <v>66</v>
      </c>
      <c r="H112">
        <v>29</v>
      </c>
      <c r="I112" s="3">
        <v>986061.51</v>
      </c>
      <c r="J112" s="2">
        <v>326185.62</v>
      </c>
      <c r="K112" s="2"/>
      <c r="O112">
        <v>414379.81</v>
      </c>
      <c r="P112">
        <v>634.72</v>
      </c>
      <c r="Q112">
        <v>1866.82</v>
      </c>
      <c r="R112">
        <v>2.38</v>
      </c>
      <c r="S112">
        <v>3</v>
      </c>
      <c r="T112">
        <v>15.24</v>
      </c>
      <c r="U112" t="s">
        <v>44</v>
      </c>
    </row>
    <row r="113" spans="1:21" x14ac:dyDescent="0.35">
      <c r="A113" s="1" t="s">
        <v>22</v>
      </c>
      <c r="B113" t="s">
        <v>42</v>
      </c>
      <c r="C113" t="s">
        <v>49</v>
      </c>
      <c r="D113" t="s">
        <v>27</v>
      </c>
      <c r="E113">
        <v>338</v>
      </c>
      <c r="F113">
        <v>84</v>
      </c>
      <c r="G113">
        <v>64</v>
      </c>
      <c r="H113">
        <v>23</v>
      </c>
      <c r="I113" s="3">
        <v>599923.77</v>
      </c>
      <c r="J113" s="2">
        <v>181652.4</v>
      </c>
      <c r="K113" s="2"/>
      <c r="O113">
        <v>277993.59000000003</v>
      </c>
      <c r="P113">
        <v>314.95</v>
      </c>
      <c r="Q113">
        <v>1267.3</v>
      </c>
      <c r="R113">
        <v>2.16</v>
      </c>
      <c r="S113">
        <v>3</v>
      </c>
      <c r="T113">
        <v>18.36</v>
      </c>
      <c r="U113" t="s">
        <v>44</v>
      </c>
    </row>
    <row r="114" spans="1:21" x14ac:dyDescent="0.35">
      <c r="A114" s="1" t="s">
        <v>22</v>
      </c>
      <c r="B114" t="s">
        <v>42</v>
      </c>
      <c r="C114" t="s">
        <v>49</v>
      </c>
      <c r="D114" t="s">
        <v>28</v>
      </c>
      <c r="E114">
        <v>92</v>
      </c>
      <c r="F114">
        <v>38</v>
      </c>
      <c r="G114">
        <v>32</v>
      </c>
      <c r="H114">
        <v>13</v>
      </c>
      <c r="I114" s="3">
        <v>418420.35</v>
      </c>
      <c r="J114" s="2">
        <v>149484.01999999999</v>
      </c>
      <c r="K114" s="2"/>
      <c r="O114">
        <v>43497.88</v>
      </c>
      <c r="P114">
        <v>181.05</v>
      </c>
      <c r="Q114">
        <v>438.34</v>
      </c>
      <c r="R114">
        <v>9.6199999999999992</v>
      </c>
      <c r="S114">
        <v>3</v>
      </c>
      <c r="T114">
        <v>3.49</v>
      </c>
      <c r="U114" t="s">
        <v>44</v>
      </c>
    </row>
    <row r="115" spans="1:21" x14ac:dyDescent="0.35">
      <c r="A115" s="1" t="s">
        <v>22</v>
      </c>
      <c r="B115" t="s">
        <v>42</v>
      </c>
      <c r="C115" t="s">
        <v>49</v>
      </c>
      <c r="D115" t="s">
        <v>29</v>
      </c>
      <c r="E115">
        <v>67</v>
      </c>
      <c r="F115">
        <v>33</v>
      </c>
      <c r="G115">
        <v>27</v>
      </c>
      <c r="H115">
        <v>15</v>
      </c>
      <c r="I115" s="3">
        <v>726095.09</v>
      </c>
      <c r="J115" s="2">
        <v>266854.53999999998</v>
      </c>
      <c r="K115" s="2"/>
      <c r="O115">
        <v>163411.5</v>
      </c>
      <c r="P115">
        <v>933.97</v>
      </c>
      <c r="Q115">
        <v>1896.23</v>
      </c>
      <c r="R115">
        <v>4.4400000000000004</v>
      </c>
      <c r="S115">
        <v>3</v>
      </c>
      <c r="T115">
        <v>7.35</v>
      </c>
      <c r="U115" t="s">
        <v>44</v>
      </c>
    </row>
    <row r="116" spans="1:21" x14ac:dyDescent="0.35">
      <c r="A116" s="1" t="s">
        <v>22</v>
      </c>
      <c r="B116" t="s">
        <v>42</v>
      </c>
      <c r="C116" t="s">
        <v>49</v>
      </c>
      <c r="D116" t="s">
        <v>30</v>
      </c>
      <c r="E116">
        <v>161</v>
      </c>
      <c r="F116">
        <v>48</v>
      </c>
      <c r="G116">
        <v>37</v>
      </c>
      <c r="H116">
        <v>15</v>
      </c>
      <c r="I116" s="3">
        <v>454188.88</v>
      </c>
      <c r="J116" s="2">
        <v>145749.29</v>
      </c>
      <c r="K116" s="2"/>
      <c r="O116">
        <v>125272.51</v>
      </c>
      <c r="P116">
        <v>297.95999999999998</v>
      </c>
      <c r="Q116">
        <v>999.4</v>
      </c>
      <c r="R116">
        <v>3.63</v>
      </c>
      <c r="S116">
        <v>3</v>
      </c>
      <c r="T116">
        <v>10.31</v>
      </c>
      <c r="U116" t="s">
        <v>44</v>
      </c>
    </row>
    <row r="117" spans="1:21" x14ac:dyDescent="0.35">
      <c r="A117" s="1" t="s">
        <v>22</v>
      </c>
      <c r="B117" t="s">
        <v>42</v>
      </c>
      <c r="C117" t="s">
        <v>49</v>
      </c>
      <c r="D117" t="s">
        <v>31</v>
      </c>
      <c r="E117">
        <v>50</v>
      </c>
      <c r="F117">
        <v>21</v>
      </c>
      <c r="G117">
        <v>15</v>
      </c>
      <c r="H117">
        <v>8</v>
      </c>
      <c r="I117" s="3">
        <v>482352.92</v>
      </c>
      <c r="J117" s="2">
        <v>148893.07</v>
      </c>
      <c r="K117" s="2"/>
      <c r="O117">
        <v>237673.49</v>
      </c>
      <c r="P117">
        <v>1820.26</v>
      </c>
      <c r="Q117">
        <v>4333.96</v>
      </c>
      <c r="R117">
        <v>2.0299999999999998</v>
      </c>
      <c r="S117">
        <v>3</v>
      </c>
      <c r="T117">
        <v>19.16</v>
      </c>
      <c r="U117" t="s">
        <v>44</v>
      </c>
    </row>
    <row r="118" spans="1:21" x14ac:dyDescent="0.35">
      <c r="A118" s="1" t="s">
        <v>22</v>
      </c>
      <c r="B118" t="s">
        <v>42</v>
      </c>
      <c r="C118" t="s">
        <v>49</v>
      </c>
      <c r="D118" t="s">
        <v>32</v>
      </c>
      <c r="E118">
        <v>11</v>
      </c>
      <c r="F118">
        <v>7</v>
      </c>
      <c r="G118">
        <v>4</v>
      </c>
      <c r="H118">
        <v>3</v>
      </c>
      <c r="I118" s="3">
        <v>158831.98000000001</v>
      </c>
      <c r="J118" s="2">
        <v>66328.740000000005</v>
      </c>
      <c r="K118" s="2"/>
      <c r="O118">
        <v>10449.23</v>
      </c>
      <c r="P118">
        <v>363.76</v>
      </c>
      <c r="Q118">
        <v>571.62</v>
      </c>
      <c r="R118">
        <v>15.2</v>
      </c>
      <c r="S118">
        <v>3</v>
      </c>
      <c r="T118">
        <v>1.89</v>
      </c>
      <c r="U118" t="s">
        <v>44</v>
      </c>
    </row>
    <row r="119" spans="1:21" x14ac:dyDescent="0.35">
      <c r="A119" s="1" t="s">
        <v>22</v>
      </c>
      <c r="B119" t="s">
        <v>42</v>
      </c>
      <c r="C119" t="s">
        <v>49</v>
      </c>
      <c r="D119" t="s">
        <v>33</v>
      </c>
      <c r="E119">
        <v>57</v>
      </c>
      <c r="F119">
        <v>28</v>
      </c>
      <c r="G119">
        <v>23</v>
      </c>
      <c r="H119">
        <v>10</v>
      </c>
      <c r="I119" s="3">
        <v>343144.33</v>
      </c>
      <c r="J119" s="2">
        <v>121437.72</v>
      </c>
      <c r="K119" s="2"/>
      <c r="O119">
        <v>30071.54</v>
      </c>
      <c r="P119">
        <v>202.02</v>
      </c>
      <c r="Q119">
        <v>411.26</v>
      </c>
      <c r="R119">
        <v>11.41</v>
      </c>
      <c r="S119">
        <v>3</v>
      </c>
      <c r="T119">
        <v>2.97</v>
      </c>
      <c r="U119" t="s">
        <v>44</v>
      </c>
    </row>
    <row r="120" spans="1:21" x14ac:dyDescent="0.35">
      <c r="A120" s="1" t="s">
        <v>22</v>
      </c>
      <c r="B120" t="s">
        <v>42</v>
      </c>
      <c r="C120" t="s">
        <v>49</v>
      </c>
      <c r="D120" t="s">
        <v>34</v>
      </c>
      <c r="E120">
        <v>286</v>
      </c>
      <c r="F120">
        <v>68</v>
      </c>
      <c r="G120">
        <v>58</v>
      </c>
      <c r="H120">
        <v>17</v>
      </c>
      <c r="I120" s="3">
        <v>414597.07</v>
      </c>
      <c r="J120" s="2">
        <v>114447.47</v>
      </c>
      <c r="K120" s="2"/>
      <c r="O120">
        <v>176319.2</v>
      </c>
      <c r="P120">
        <v>236.08</v>
      </c>
      <c r="Q120">
        <v>992.92</v>
      </c>
      <c r="R120">
        <v>2.35</v>
      </c>
      <c r="S120">
        <v>3</v>
      </c>
      <c r="T120">
        <v>18.489999999999998</v>
      </c>
      <c r="U120" t="s">
        <v>44</v>
      </c>
    </row>
    <row r="121" spans="1:21" x14ac:dyDescent="0.35">
      <c r="A121" s="1" t="s">
        <v>22</v>
      </c>
      <c r="B121" t="s">
        <v>42</v>
      </c>
      <c r="C121" t="s">
        <v>49</v>
      </c>
      <c r="D121" t="s">
        <v>35</v>
      </c>
      <c r="E121">
        <v>89</v>
      </c>
      <c r="F121">
        <v>34</v>
      </c>
      <c r="G121">
        <v>26</v>
      </c>
      <c r="H121">
        <v>10</v>
      </c>
      <c r="I121" s="3">
        <v>309115.81</v>
      </c>
      <c r="J121" s="2">
        <v>100913.2</v>
      </c>
      <c r="K121" s="2"/>
      <c r="O121">
        <v>65256.36</v>
      </c>
      <c r="P121">
        <v>280.77</v>
      </c>
      <c r="Q121">
        <v>734.97</v>
      </c>
      <c r="R121">
        <v>4.74</v>
      </c>
      <c r="S121">
        <v>3</v>
      </c>
      <c r="T121">
        <v>7.76</v>
      </c>
      <c r="U121" t="s">
        <v>44</v>
      </c>
    </row>
    <row r="122" spans="1:21" x14ac:dyDescent="0.35">
      <c r="A122" s="1" t="s">
        <v>22</v>
      </c>
      <c r="B122" t="s">
        <v>42</v>
      </c>
      <c r="C122" t="s">
        <v>49</v>
      </c>
      <c r="D122" t="s">
        <v>36</v>
      </c>
      <c r="E122">
        <v>1</v>
      </c>
      <c r="F122">
        <v>1</v>
      </c>
      <c r="G122">
        <v>0</v>
      </c>
      <c r="H122">
        <v>1</v>
      </c>
      <c r="I122" s="3">
        <v>65314.29</v>
      </c>
      <c r="J122" s="2">
        <v>30735.93</v>
      </c>
      <c r="K122" s="2"/>
      <c r="O122">
        <v>2084.12</v>
      </c>
      <c r="P122">
        <v>798.08</v>
      </c>
      <c r="Q122">
        <v>798.08</v>
      </c>
      <c r="R122">
        <v>31.34</v>
      </c>
      <c r="S122">
        <v>3</v>
      </c>
      <c r="T122">
        <v>0.81</v>
      </c>
      <c r="U122" t="s">
        <v>44</v>
      </c>
    </row>
    <row r="123" spans="1:21" x14ac:dyDescent="0.35">
      <c r="A123" s="1" t="s">
        <v>22</v>
      </c>
      <c r="B123" t="s">
        <v>42</v>
      </c>
      <c r="C123" t="s">
        <v>50</v>
      </c>
      <c r="D123" t="s">
        <v>25</v>
      </c>
      <c r="E123">
        <v>313</v>
      </c>
      <c r="F123">
        <v>106</v>
      </c>
      <c r="G123">
        <v>80</v>
      </c>
      <c r="H123">
        <v>36</v>
      </c>
      <c r="I123" s="3">
        <v>1172709.19</v>
      </c>
      <c r="J123" s="2">
        <v>405140.9</v>
      </c>
      <c r="K123" s="2"/>
      <c r="O123">
        <v>429866.95</v>
      </c>
      <c r="P123">
        <v>576.54</v>
      </c>
      <c r="Q123">
        <v>1702.41</v>
      </c>
      <c r="R123">
        <v>2.73</v>
      </c>
      <c r="S123">
        <v>3</v>
      </c>
      <c r="T123">
        <v>12.73</v>
      </c>
      <c r="U123" t="s">
        <v>44</v>
      </c>
    </row>
    <row r="124" spans="1:21" x14ac:dyDescent="0.35">
      <c r="A124" s="1" t="s">
        <v>22</v>
      </c>
      <c r="B124" t="s">
        <v>42</v>
      </c>
      <c r="C124" t="s">
        <v>50</v>
      </c>
      <c r="D124" t="s">
        <v>27</v>
      </c>
      <c r="E124">
        <v>416</v>
      </c>
      <c r="F124">
        <v>104</v>
      </c>
      <c r="G124">
        <v>85</v>
      </c>
      <c r="H124">
        <v>28</v>
      </c>
      <c r="I124" s="3">
        <v>707764.76</v>
      </c>
      <c r="J124" s="2">
        <v>215082.01</v>
      </c>
      <c r="K124" s="2"/>
      <c r="O124">
        <v>306178.21999999997</v>
      </c>
      <c r="P124">
        <v>308.97000000000003</v>
      </c>
      <c r="Q124">
        <v>1235.8900000000001</v>
      </c>
      <c r="R124">
        <v>2.31</v>
      </c>
      <c r="S124">
        <v>3</v>
      </c>
      <c r="T124">
        <v>17.079999999999998</v>
      </c>
      <c r="U124" t="s">
        <v>44</v>
      </c>
    </row>
    <row r="125" spans="1:21" x14ac:dyDescent="0.35">
      <c r="A125" s="1" t="s">
        <v>22</v>
      </c>
      <c r="B125" t="s">
        <v>42</v>
      </c>
      <c r="C125" t="s">
        <v>50</v>
      </c>
      <c r="D125" t="s">
        <v>28</v>
      </c>
      <c r="E125">
        <v>100</v>
      </c>
      <c r="F125">
        <v>42</v>
      </c>
      <c r="G125">
        <v>30</v>
      </c>
      <c r="H125">
        <v>14</v>
      </c>
      <c r="I125" s="3">
        <v>436490.72</v>
      </c>
      <c r="J125" s="2">
        <v>152795.28</v>
      </c>
      <c r="K125" s="2"/>
      <c r="O125">
        <v>41646.36</v>
      </c>
      <c r="P125">
        <v>174.83</v>
      </c>
      <c r="Q125">
        <v>416.26</v>
      </c>
      <c r="R125">
        <v>10.48</v>
      </c>
      <c r="S125">
        <v>3</v>
      </c>
      <c r="T125">
        <v>3.27</v>
      </c>
      <c r="U125" t="s">
        <v>44</v>
      </c>
    </row>
    <row r="126" spans="1:21" x14ac:dyDescent="0.35">
      <c r="A126" s="1" t="s">
        <v>22</v>
      </c>
      <c r="B126" t="s">
        <v>42</v>
      </c>
      <c r="C126" t="s">
        <v>50</v>
      </c>
      <c r="D126" t="s">
        <v>29</v>
      </c>
      <c r="E126">
        <v>58</v>
      </c>
      <c r="F126">
        <v>29</v>
      </c>
      <c r="G126">
        <v>22</v>
      </c>
      <c r="H126">
        <v>13</v>
      </c>
      <c r="I126" s="3">
        <v>593653.44999999995</v>
      </c>
      <c r="J126" s="2">
        <v>219469.27</v>
      </c>
      <c r="K126" s="2"/>
      <c r="O126">
        <v>139427.69</v>
      </c>
      <c r="P126">
        <v>1009.16</v>
      </c>
      <c r="Q126">
        <v>2018.31</v>
      </c>
      <c r="R126">
        <v>4.26</v>
      </c>
      <c r="S126">
        <v>3</v>
      </c>
      <c r="T126">
        <v>7.62</v>
      </c>
      <c r="U126" t="s">
        <v>44</v>
      </c>
    </row>
    <row r="127" spans="1:21" x14ac:dyDescent="0.35">
      <c r="A127" s="1" t="s">
        <v>22</v>
      </c>
      <c r="B127" t="s">
        <v>42</v>
      </c>
      <c r="C127" t="s">
        <v>50</v>
      </c>
      <c r="D127" t="s">
        <v>30</v>
      </c>
      <c r="E127">
        <v>169</v>
      </c>
      <c r="F127">
        <v>51</v>
      </c>
      <c r="G127">
        <v>40</v>
      </c>
      <c r="H127">
        <v>16</v>
      </c>
      <c r="I127" s="3">
        <v>433899.47</v>
      </c>
      <c r="J127" s="2">
        <v>144129</v>
      </c>
      <c r="K127" s="2"/>
      <c r="O127">
        <v>117964.09</v>
      </c>
      <c r="P127">
        <v>293.02</v>
      </c>
      <c r="Q127">
        <v>970.99</v>
      </c>
      <c r="R127">
        <v>3.68</v>
      </c>
      <c r="S127">
        <v>3</v>
      </c>
      <c r="T127">
        <v>9.82</v>
      </c>
      <c r="U127" t="s">
        <v>44</v>
      </c>
    </row>
    <row r="128" spans="1:21" x14ac:dyDescent="0.35">
      <c r="A128" s="1" t="s">
        <v>22</v>
      </c>
      <c r="B128" t="s">
        <v>42</v>
      </c>
      <c r="C128" t="s">
        <v>50</v>
      </c>
      <c r="D128" t="s">
        <v>31</v>
      </c>
      <c r="E128">
        <v>64</v>
      </c>
      <c r="F128">
        <v>28</v>
      </c>
      <c r="G128">
        <v>22</v>
      </c>
      <c r="H128">
        <v>11</v>
      </c>
      <c r="I128" s="3">
        <v>524339.27</v>
      </c>
      <c r="J128" s="2">
        <v>158390.62</v>
      </c>
      <c r="K128" s="2"/>
      <c r="O128">
        <v>240577.97</v>
      </c>
      <c r="P128">
        <v>1578.02</v>
      </c>
      <c r="Q128">
        <v>3606.91</v>
      </c>
      <c r="R128">
        <v>2.1800000000000002</v>
      </c>
      <c r="S128">
        <v>3</v>
      </c>
      <c r="T128">
        <v>18.23</v>
      </c>
      <c r="U128" t="s">
        <v>44</v>
      </c>
    </row>
    <row r="129" spans="1:21" x14ac:dyDescent="0.35">
      <c r="A129" s="1" t="s">
        <v>22</v>
      </c>
      <c r="B129" t="s">
        <v>42</v>
      </c>
      <c r="C129" t="s">
        <v>50</v>
      </c>
      <c r="D129" t="s">
        <v>32</v>
      </c>
      <c r="E129">
        <v>16</v>
      </c>
      <c r="F129">
        <v>10</v>
      </c>
      <c r="G129">
        <v>6</v>
      </c>
      <c r="H129">
        <v>5</v>
      </c>
      <c r="I129" s="3">
        <v>199237.65</v>
      </c>
      <c r="J129" s="2">
        <v>79352.78</v>
      </c>
      <c r="K129" s="2"/>
      <c r="O129">
        <v>12923.22</v>
      </c>
      <c r="P129">
        <v>339.07</v>
      </c>
      <c r="Q129">
        <v>542.51</v>
      </c>
      <c r="R129">
        <v>15.42</v>
      </c>
      <c r="S129">
        <v>3</v>
      </c>
      <c r="T129">
        <v>1.95</v>
      </c>
      <c r="U129" t="s">
        <v>44</v>
      </c>
    </row>
    <row r="130" spans="1:21" x14ac:dyDescent="0.35">
      <c r="A130" s="1" t="s">
        <v>22</v>
      </c>
      <c r="B130" t="s">
        <v>42</v>
      </c>
      <c r="C130" t="s">
        <v>50</v>
      </c>
      <c r="D130" t="s">
        <v>33</v>
      </c>
      <c r="E130">
        <v>51</v>
      </c>
      <c r="F130">
        <v>25</v>
      </c>
      <c r="G130">
        <v>18</v>
      </c>
      <c r="H130">
        <v>9</v>
      </c>
      <c r="I130" s="3">
        <v>326497.25</v>
      </c>
      <c r="J130" s="2">
        <v>119633.23</v>
      </c>
      <c r="K130" s="2"/>
      <c r="O130">
        <v>27525.01</v>
      </c>
      <c r="P130">
        <v>226.57</v>
      </c>
      <c r="Q130">
        <v>462.19</v>
      </c>
      <c r="R130">
        <v>11.86</v>
      </c>
      <c r="S130">
        <v>3</v>
      </c>
      <c r="T130">
        <v>2.76</v>
      </c>
      <c r="U130" t="s">
        <v>44</v>
      </c>
    </row>
    <row r="131" spans="1:21" x14ac:dyDescent="0.35">
      <c r="A131" s="1" t="s">
        <v>22</v>
      </c>
      <c r="B131" t="s">
        <v>42</v>
      </c>
      <c r="C131" t="s">
        <v>50</v>
      </c>
      <c r="D131" t="s">
        <v>34</v>
      </c>
      <c r="E131">
        <v>315</v>
      </c>
      <c r="F131">
        <v>76</v>
      </c>
      <c r="G131">
        <v>61</v>
      </c>
      <c r="H131">
        <v>19</v>
      </c>
      <c r="I131" s="3">
        <v>445342.43</v>
      </c>
      <c r="J131" s="2">
        <v>119674.76</v>
      </c>
      <c r="K131" s="2"/>
      <c r="O131">
        <v>157353.13</v>
      </c>
      <c r="P131">
        <v>209.7</v>
      </c>
      <c r="Q131">
        <v>869.16</v>
      </c>
      <c r="R131">
        <v>2.83</v>
      </c>
      <c r="S131">
        <v>3</v>
      </c>
      <c r="T131">
        <v>15.78</v>
      </c>
      <c r="U131" t="s">
        <v>44</v>
      </c>
    </row>
    <row r="132" spans="1:21" x14ac:dyDescent="0.35">
      <c r="A132" s="1" t="s">
        <v>22</v>
      </c>
      <c r="B132" t="s">
        <v>42</v>
      </c>
      <c r="C132" t="s">
        <v>50</v>
      </c>
      <c r="D132" t="s">
        <v>35</v>
      </c>
      <c r="E132">
        <v>95</v>
      </c>
      <c r="F132">
        <v>36</v>
      </c>
      <c r="G132">
        <v>26</v>
      </c>
      <c r="H132">
        <v>11</v>
      </c>
      <c r="I132" s="3">
        <v>334756.34000000003</v>
      </c>
      <c r="J132" s="2">
        <v>101704.41</v>
      </c>
      <c r="K132" s="2"/>
      <c r="O132">
        <v>74802.41</v>
      </c>
      <c r="P132">
        <v>330.54</v>
      </c>
      <c r="Q132">
        <v>872.27</v>
      </c>
      <c r="R132">
        <v>4.4800000000000004</v>
      </c>
      <c r="S132">
        <v>3</v>
      </c>
      <c r="T132">
        <v>8.83</v>
      </c>
      <c r="U132" t="s">
        <v>44</v>
      </c>
    </row>
    <row r="133" spans="1:21" x14ac:dyDescent="0.35">
      <c r="A133" s="1" t="s">
        <v>22</v>
      </c>
      <c r="B133" t="s">
        <v>42</v>
      </c>
      <c r="C133" t="s">
        <v>50</v>
      </c>
      <c r="D133" t="s">
        <v>36</v>
      </c>
      <c r="E133">
        <v>1</v>
      </c>
      <c r="F133">
        <v>1</v>
      </c>
      <c r="G133">
        <v>0</v>
      </c>
      <c r="H133">
        <v>1</v>
      </c>
      <c r="I133" s="3">
        <v>63201.46</v>
      </c>
      <c r="J133" s="2">
        <v>30591.75</v>
      </c>
      <c r="K133" s="2"/>
      <c r="O133">
        <v>1919.96</v>
      </c>
      <c r="P133">
        <v>805.99</v>
      </c>
      <c r="Q133">
        <v>805.99</v>
      </c>
      <c r="R133">
        <v>32.92</v>
      </c>
      <c r="S133">
        <v>3</v>
      </c>
      <c r="T133">
        <v>0.75</v>
      </c>
      <c r="U133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7A94-E3D9-4819-BC0E-AB08D4FE4EB3}">
  <dimension ref="A1:V56"/>
  <sheetViews>
    <sheetView topLeftCell="O26" workbookViewId="0">
      <selection sqref="A1:V56"/>
    </sheetView>
  </sheetViews>
  <sheetFormatPr defaultRowHeight="14.5" x14ac:dyDescent="0.35"/>
  <cols>
    <col min="1" max="1" width="35" bestFit="1" customWidth="1"/>
    <col min="2" max="2" width="6.6328125" bestFit="1" customWidth="1"/>
    <col min="3" max="3" width="7.453125" bestFit="1" customWidth="1"/>
    <col min="4" max="4" width="17.26953125" bestFit="1" customWidth="1"/>
    <col min="5" max="5" width="4.81640625" bestFit="1" customWidth="1"/>
    <col min="6" max="7" width="4.08984375" bestFit="1" customWidth="1"/>
    <col min="8" max="8" width="18.81640625" bestFit="1" customWidth="1"/>
    <col min="9" max="9" width="17.54296875" bestFit="1" customWidth="1"/>
    <col min="10" max="10" width="13.453125" bestFit="1" customWidth="1"/>
    <col min="11" max="11" width="13.1796875" bestFit="1" customWidth="1"/>
    <col min="12" max="12" width="17.08984375" bestFit="1" customWidth="1"/>
    <col min="13" max="13" width="19" bestFit="1" customWidth="1"/>
    <col min="14" max="14" width="16.54296875" bestFit="1" customWidth="1"/>
    <col min="15" max="15" width="14.7265625" bestFit="1" customWidth="1"/>
    <col min="16" max="16" width="11.6328125" bestFit="1" customWidth="1"/>
    <col min="17" max="17" width="11" bestFit="1" customWidth="1"/>
    <col min="18" max="18" width="22" bestFit="1" customWidth="1"/>
    <col min="19" max="19" width="25" bestFit="1" customWidth="1"/>
    <col min="20" max="20" width="18" bestFit="1" customWidth="1"/>
    <col min="21" max="21" width="92.36328125" bestFit="1" customWidth="1"/>
    <col min="22" max="22" width="20.0898437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 s="1" t="s">
        <v>22</v>
      </c>
      <c r="B2" t="s">
        <v>23</v>
      </c>
      <c r="C2" t="s">
        <v>24</v>
      </c>
      <c r="D2" t="s">
        <v>25</v>
      </c>
      <c r="E2">
        <v>600</v>
      </c>
      <c r="F2">
        <v>204</v>
      </c>
      <c r="G2">
        <v>155</v>
      </c>
      <c r="H2">
        <v>77</v>
      </c>
      <c r="I2">
        <v>454922.71</v>
      </c>
      <c r="J2">
        <v>0</v>
      </c>
      <c r="K2">
        <v>967269.51</v>
      </c>
      <c r="L2">
        <v>1511496.11</v>
      </c>
      <c r="M2">
        <v>3937682.96</v>
      </c>
      <c r="N2">
        <v>8423380.7300000004</v>
      </c>
      <c r="O2">
        <v>311718.32</v>
      </c>
      <c r="P2">
        <v>266.33</v>
      </c>
      <c r="Q2">
        <v>783.32</v>
      </c>
      <c r="R2">
        <v>1.46</v>
      </c>
      <c r="S2">
        <v>0</v>
      </c>
      <c r="T2">
        <v>311718.32</v>
      </c>
      <c r="U2" t="s">
        <v>26</v>
      </c>
      <c r="V2">
        <v>3</v>
      </c>
    </row>
    <row r="3" spans="1:22" x14ac:dyDescent="0.35">
      <c r="A3" s="1" t="s">
        <v>22</v>
      </c>
      <c r="B3" t="s">
        <v>23</v>
      </c>
      <c r="C3" t="s">
        <v>24</v>
      </c>
      <c r="D3" t="s">
        <v>27</v>
      </c>
      <c r="E3">
        <v>808</v>
      </c>
      <c r="F3">
        <v>202</v>
      </c>
      <c r="G3">
        <v>164</v>
      </c>
      <c r="H3">
        <v>56</v>
      </c>
      <c r="I3">
        <v>289877.99</v>
      </c>
      <c r="J3">
        <v>0</v>
      </c>
      <c r="K3">
        <v>751742.08</v>
      </c>
      <c r="L3">
        <v>756780.74</v>
      </c>
      <c r="M3">
        <v>1811348.11</v>
      </c>
      <c r="N3">
        <v>4604005.6100000003</v>
      </c>
      <c r="O3">
        <v>253030.8</v>
      </c>
      <c r="P3">
        <v>151.13</v>
      </c>
      <c r="Q3">
        <v>604.52</v>
      </c>
      <c r="R3">
        <v>1.1499999999999999</v>
      </c>
      <c r="S3">
        <v>0</v>
      </c>
      <c r="T3">
        <v>253030.8</v>
      </c>
      <c r="U3" t="s">
        <v>26</v>
      </c>
      <c r="V3">
        <v>3</v>
      </c>
    </row>
    <row r="4" spans="1:22" x14ac:dyDescent="0.35">
      <c r="A4" s="1" t="s">
        <v>22</v>
      </c>
      <c r="B4" t="s">
        <v>23</v>
      </c>
      <c r="C4" t="s">
        <v>24</v>
      </c>
      <c r="D4" t="s">
        <v>28</v>
      </c>
      <c r="E4">
        <v>366</v>
      </c>
      <c r="F4">
        <v>154</v>
      </c>
      <c r="G4">
        <v>117</v>
      </c>
      <c r="H4">
        <v>52</v>
      </c>
      <c r="I4">
        <v>381244.28</v>
      </c>
      <c r="J4">
        <v>0</v>
      </c>
      <c r="K4">
        <v>722348.09</v>
      </c>
      <c r="L4">
        <v>957857.46</v>
      </c>
      <c r="M4">
        <v>3413730.43</v>
      </c>
      <c r="N4">
        <v>6945011.9000000004</v>
      </c>
      <c r="O4">
        <v>15303.96</v>
      </c>
      <c r="P4">
        <v>21.11</v>
      </c>
      <c r="Q4">
        <v>50.17</v>
      </c>
      <c r="R4">
        <v>24.91</v>
      </c>
      <c r="S4">
        <v>0</v>
      </c>
      <c r="T4">
        <v>15303.96</v>
      </c>
      <c r="U4" t="s">
        <v>26</v>
      </c>
      <c r="V4">
        <v>3</v>
      </c>
    </row>
    <row r="5" spans="1:22" x14ac:dyDescent="0.35">
      <c r="A5" s="1" t="s">
        <v>22</v>
      </c>
      <c r="B5" t="s">
        <v>23</v>
      </c>
      <c r="C5" t="s">
        <v>24</v>
      </c>
      <c r="D5" t="s">
        <v>29</v>
      </c>
      <c r="E5">
        <v>161</v>
      </c>
      <c r="F5">
        <v>84</v>
      </c>
      <c r="G5">
        <v>66</v>
      </c>
      <c r="H5">
        <v>37</v>
      </c>
      <c r="I5">
        <v>622265.22</v>
      </c>
      <c r="J5">
        <v>382796.68</v>
      </c>
      <c r="K5">
        <v>1302530.1200000001</v>
      </c>
      <c r="L5">
        <v>1774962.65</v>
      </c>
      <c r="M5">
        <v>1456276.09</v>
      </c>
      <c r="N5">
        <v>4804372.6500000004</v>
      </c>
      <c r="O5">
        <v>65196.13</v>
      </c>
      <c r="P5">
        <v>207.39</v>
      </c>
      <c r="Q5">
        <v>397.5</v>
      </c>
      <c r="R5">
        <v>9.5399999999999991</v>
      </c>
      <c r="S5">
        <v>0.26490000000000002</v>
      </c>
      <c r="T5">
        <v>2.04</v>
      </c>
      <c r="U5" t="s">
        <v>26</v>
      </c>
      <c r="V5">
        <v>3</v>
      </c>
    </row>
    <row r="6" spans="1:22" x14ac:dyDescent="0.35">
      <c r="A6" s="1" t="s">
        <v>22</v>
      </c>
      <c r="B6" t="s">
        <v>23</v>
      </c>
      <c r="C6" t="s">
        <v>24</v>
      </c>
      <c r="D6" t="s">
        <v>30</v>
      </c>
      <c r="E6">
        <v>370</v>
      </c>
      <c r="F6">
        <v>111</v>
      </c>
      <c r="G6">
        <v>95</v>
      </c>
      <c r="H6">
        <v>36</v>
      </c>
      <c r="I6">
        <v>225074.97</v>
      </c>
      <c r="J6">
        <v>0</v>
      </c>
      <c r="K6">
        <v>277642.23</v>
      </c>
      <c r="L6">
        <v>358034.23</v>
      </c>
      <c r="M6">
        <v>3991785.66</v>
      </c>
      <c r="N6">
        <v>6408829.6900000004</v>
      </c>
      <c r="O6">
        <v>65013.53</v>
      </c>
      <c r="P6">
        <v>84.01</v>
      </c>
      <c r="Q6">
        <v>280.05</v>
      </c>
      <c r="R6">
        <v>3.46</v>
      </c>
      <c r="S6">
        <v>0</v>
      </c>
      <c r="T6">
        <v>65013.53</v>
      </c>
      <c r="U6" t="s">
        <v>26</v>
      </c>
      <c r="V6">
        <v>3</v>
      </c>
    </row>
    <row r="7" spans="1:22" x14ac:dyDescent="0.35">
      <c r="A7" s="1" t="s">
        <v>22</v>
      </c>
      <c r="B7" t="s">
        <v>23</v>
      </c>
      <c r="C7" t="s">
        <v>24</v>
      </c>
      <c r="D7" t="s">
        <v>31</v>
      </c>
      <c r="E7">
        <v>151</v>
      </c>
      <c r="F7">
        <v>68</v>
      </c>
      <c r="G7">
        <v>52</v>
      </c>
      <c r="H7">
        <v>27</v>
      </c>
      <c r="I7">
        <v>180008.75</v>
      </c>
      <c r="J7">
        <v>0</v>
      </c>
      <c r="K7">
        <v>241589.04</v>
      </c>
      <c r="L7">
        <v>358965.09</v>
      </c>
      <c r="M7">
        <v>2817465.17</v>
      </c>
      <c r="N7">
        <v>4985210.91</v>
      </c>
      <c r="O7">
        <v>157151.35999999999</v>
      </c>
      <c r="P7">
        <v>532.55999999999995</v>
      </c>
      <c r="Q7">
        <v>1182.5899999999999</v>
      </c>
      <c r="R7">
        <v>1.1499999999999999</v>
      </c>
      <c r="S7">
        <v>0</v>
      </c>
      <c r="T7">
        <v>157151.35999999999</v>
      </c>
      <c r="U7" t="s">
        <v>26</v>
      </c>
      <c r="V7">
        <v>3</v>
      </c>
    </row>
    <row r="8" spans="1:22" x14ac:dyDescent="0.35">
      <c r="A8" s="1" t="s">
        <v>22</v>
      </c>
      <c r="B8" t="s">
        <v>23</v>
      </c>
      <c r="C8" t="s">
        <v>24</v>
      </c>
      <c r="D8" t="s">
        <v>32</v>
      </c>
      <c r="E8">
        <v>76</v>
      </c>
      <c r="F8">
        <v>50</v>
      </c>
      <c r="G8">
        <v>42</v>
      </c>
      <c r="H8">
        <v>26</v>
      </c>
      <c r="I8">
        <v>164846.95000000001</v>
      </c>
      <c r="J8">
        <v>173327.33</v>
      </c>
      <c r="K8">
        <v>405208.63</v>
      </c>
      <c r="L8">
        <v>276425.37</v>
      </c>
      <c r="M8">
        <v>3281082.4</v>
      </c>
      <c r="N8">
        <v>3872477.5</v>
      </c>
      <c r="O8">
        <v>2784.34</v>
      </c>
      <c r="P8">
        <v>17.41</v>
      </c>
      <c r="Q8">
        <v>26.46</v>
      </c>
      <c r="R8">
        <v>59.21</v>
      </c>
      <c r="S8">
        <v>0.45290000000000002</v>
      </c>
      <c r="T8">
        <v>0.19</v>
      </c>
      <c r="U8" t="s">
        <v>26</v>
      </c>
      <c r="V8">
        <v>3</v>
      </c>
    </row>
    <row r="9" spans="1:22" x14ac:dyDescent="0.35">
      <c r="A9" s="1" t="s">
        <v>22</v>
      </c>
      <c r="B9" t="s">
        <v>23</v>
      </c>
      <c r="C9" t="s">
        <v>24</v>
      </c>
      <c r="D9" t="s">
        <v>33</v>
      </c>
      <c r="E9">
        <v>175</v>
      </c>
      <c r="F9">
        <v>84</v>
      </c>
      <c r="G9">
        <v>72</v>
      </c>
      <c r="H9">
        <v>31</v>
      </c>
      <c r="I9">
        <v>553832.74</v>
      </c>
      <c r="J9">
        <v>281764.08</v>
      </c>
      <c r="K9">
        <v>1302103.1399999999</v>
      </c>
      <c r="L9">
        <v>1411363.42</v>
      </c>
      <c r="M9">
        <v>2995078.63</v>
      </c>
      <c r="N9">
        <v>6363020.6799999997</v>
      </c>
      <c r="O9">
        <v>5458.96</v>
      </c>
      <c r="P9">
        <v>15.86</v>
      </c>
      <c r="Q9">
        <v>33.04</v>
      </c>
      <c r="R9">
        <v>101.45</v>
      </c>
      <c r="S9">
        <v>0.22500000000000001</v>
      </c>
      <c r="T9">
        <v>0.23</v>
      </c>
      <c r="U9" t="s">
        <v>26</v>
      </c>
      <c r="V9">
        <v>3</v>
      </c>
    </row>
    <row r="10" spans="1:22" x14ac:dyDescent="0.35">
      <c r="A10" s="1" t="s">
        <v>22</v>
      </c>
      <c r="B10" t="s">
        <v>23</v>
      </c>
      <c r="C10" t="s">
        <v>24</v>
      </c>
      <c r="D10" t="s">
        <v>34</v>
      </c>
      <c r="E10">
        <v>525</v>
      </c>
      <c r="F10">
        <v>126</v>
      </c>
      <c r="G10">
        <v>91</v>
      </c>
      <c r="H10">
        <v>31</v>
      </c>
      <c r="I10">
        <v>112104.57</v>
      </c>
      <c r="J10">
        <v>0</v>
      </c>
      <c r="K10">
        <v>208499.38</v>
      </c>
      <c r="L10">
        <v>193913.39</v>
      </c>
      <c r="M10">
        <v>1295834.8899999999</v>
      </c>
      <c r="N10">
        <v>2615935.34</v>
      </c>
      <c r="O10">
        <v>162664.94</v>
      </c>
      <c r="P10">
        <v>154.38999999999999</v>
      </c>
      <c r="Q10">
        <v>643.28</v>
      </c>
      <c r="R10">
        <v>0.69</v>
      </c>
      <c r="S10">
        <v>0</v>
      </c>
      <c r="T10">
        <v>162664.94</v>
      </c>
      <c r="U10" t="s">
        <v>26</v>
      </c>
      <c r="V10">
        <v>3</v>
      </c>
    </row>
    <row r="11" spans="1:22" x14ac:dyDescent="0.35">
      <c r="A11" s="1" t="s">
        <v>22</v>
      </c>
      <c r="B11" t="s">
        <v>23</v>
      </c>
      <c r="C11" t="s">
        <v>24</v>
      </c>
      <c r="D11" t="s">
        <v>35</v>
      </c>
      <c r="E11">
        <v>392</v>
      </c>
      <c r="F11">
        <v>149</v>
      </c>
      <c r="G11">
        <v>117</v>
      </c>
      <c r="H11">
        <v>46</v>
      </c>
      <c r="I11">
        <v>239722.19</v>
      </c>
      <c r="J11">
        <v>0</v>
      </c>
      <c r="K11">
        <v>442354.31</v>
      </c>
      <c r="L11">
        <v>554663.61</v>
      </c>
      <c r="M11">
        <v>2512768.2400000002</v>
      </c>
      <c r="N11">
        <v>4986148.4800000004</v>
      </c>
      <c r="O11">
        <v>62001.58</v>
      </c>
      <c r="P11">
        <v>76.05</v>
      </c>
      <c r="Q11">
        <v>200.08</v>
      </c>
      <c r="R11">
        <v>3.87</v>
      </c>
      <c r="S11">
        <v>0</v>
      </c>
      <c r="T11">
        <v>62001.58</v>
      </c>
      <c r="U11" t="s">
        <v>26</v>
      </c>
      <c r="V11">
        <v>3</v>
      </c>
    </row>
    <row r="12" spans="1:22" x14ac:dyDescent="0.35">
      <c r="A12" s="1" t="s">
        <v>22</v>
      </c>
      <c r="B12" t="s">
        <v>23</v>
      </c>
      <c r="C12" t="s">
        <v>24</v>
      </c>
      <c r="D12" t="s">
        <v>36</v>
      </c>
      <c r="E12">
        <v>56</v>
      </c>
      <c r="F12">
        <v>42</v>
      </c>
      <c r="G12">
        <v>31</v>
      </c>
      <c r="H12">
        <v>23</v>
      </c>
      <c r="I12">
        <v>376099.63</v>
      </c>
      <c r="J12">
        <v>362111.9</v>
      </c>
      <c r="K12">
        <v>683672.12</v>
      </c>
      <c r="L12">
        <v>839629.87</v>
      </c>
      <c r="M12">
        <v>2220953.2799999998</v>
      </c>
      <c r="N12">
        <v>3903988.53</v>
      </c>
      <c r="O12">
        <v>1003.39</v>
      </c>
      <c r="P12">
        <v>8.52</v>
      </c>
      <c r="Q12">
        <v>11.35</v>
      </c>
      <c r="R12">
        <v>374.83</v>
      </c>
      <c r="S12">
        <v>0.41260000000000002</v>
      </c>
      <c r="T12">
        <v>0.03</v>
      </c>
      <c r="U12" t="s">
        <v>26</v>
      </c>
      <c r="V12">
        <v>3</v>
      </c>
    </row>
    <row r="13" spans="1:22" x14ac:dyDescent="0.35">
      <c r="A13" s="1" t="s">
        <v>22</v>
      </c>
      <c r="B13" t="s">
        <v>23</v>
      </c>
      <c r="C13" t="s">
        <v>37</v>
      </c>
      <c r="D13" t="s">
        <v>25</v>
      </c>
      <c r="E13">
        <v>620</v>
      </c>
      <c r="F13">
        <v>211</v>
      </c>
      <c r="G13">
        <v>177</v>
      </c>
      <c r="H13">
        <v>80</v>
      </c>
      <c r="I13">
        <v>443690.83</v>
      </c>
      <c r="J13">
        <v>12476.23</v>
      </c>
      <c r="K13">
        <v>703585.88</v>
      </c>
      <c r="L13">
        <v>1081185.07</v>
      </c>
      <c r="M13">
        <v>8423380.7300000004</v>
      </c>
      <c r="N13">
        <v>12566730.91</v>
      </c>
      <c r="O13">
        <v>362154.33</v>
      </c>
      <c r="P13">
        <v>251.02</v>
      </c>
      <c r="Q13">
        <v>737.58</v>
      </c>
      <c r="R13">
        <v>1.23</v>
      </c>
      <c r="S13">
        <v>1.5699999999999999E-2</v>
      </c>
      <c r="T13">
        <v>348.33</v>
      </c>
      <c r="U13" t="s">
        <v>26</v>
      </c>
      <c r="V13">
        <v>3</v>
      </c>
    </row>
    <row r="14" spans="1:22" x14ac:dyDescent="0.35">
      <c r="A14" s="1" t="s">
        <v>22</v>
      </c>
      <c r="B14" t="s">
        <v>23</v>
      </c>
      <c r="C14" t="s">
        <v>37</v>
      </c>
      <c r="D14" t="s">
        <v>27</v>
      </c>
      <c r="E14">
        <v>864</v>
      </c>
      <c r="F14">
        <v>216</v>
      </c>
      <c r="G14">
        <v>183</v>
      </c>
      <c r="H14">
        <v>60</v>
      </c>
      <c r="I14">
        <v>400139.82</v>
      </c>
      <c r="J14">
        <v>17058.169999999998</v>
      </c>
      <c r="K14">
        <v>588948.06999999995</v>
      </c>
      <c r="L14">
        <v>849156.52</v>
      </c>
      <c r="M14">
        <v>4604005.6100000003</v>
      </c>
      <c r="N14">
        <v>8067684.3700000001</v>
      </c>
      <c r="O14">
        <v>271874.14</v>
      </c>
      <c r="P14">
        <v>129.87</v>
      </c>
      <c r="Q14">
        <v>519.48</v>
      </c>
      <c r="R14">
        <v>1.47</v>
      </c>
      <c r="S14">
        <v>2.52E-2</v>
      </c>
      <c r="T14">
        <v>191.26</v>
      </c>
      <c r="U14" t="s">
        <v>26</v>
      </c>
      <c r="V14">
        <v>3</v>
      </c>
    </row>
    <row r="15" spans="1:22" x14ac:dyDescent="0.35">
      <c r="A15" s="1" t="s">
        <v>22</v>
      </c>
      <c r="B15" t="s">
        <v>23</v>
      </c>
      <c r="C15" t="s">
        <v>37</v>
      </c>
      <c r="D15" t="s">
        <v>28</v>
      </c>
      <c r="E15">
        <v>402</v>
      </c>
      <c r="F15">
        <v>169</v>
      </c>
      <c r="G15">
        <v>135</v>
      </c>
      <c r="H15">
        <v>57</v>
      </c>
      <c r="I15">
        <v>304071.28000000003</v>
      </c>
      <c r="J15">
        <v>35817.46</v>
      </c>
      <c r="K15">
        <v>364067.8</v>
      </c>
      <c r="L15">
        <v>447368.74</v>
      </c>
      <c r="M15">
        <v>6945011.9000000004</v>
      </c>
      <c r="N15">
        <v>9703220.5199999996</v>
      </c>
      <c r="O15">
        <v>19768.43</v>
      </c>
      <c r="P15">
        <v>20.64</v>
      </c>
      <c r="Q15">
        <v>49.09</v>
      </c>
      <c r="R15">
        <v>15.38</v>
      </c>
      <c r="S15">
        <v>7.0300000000000001E-2</v>
      </c>
      <c r="T15">
        <v>6.62</v>
      </c>
      <c r="U15" t="s">
        <v>26</v>
      </c>
      <c r="V15">
        <v>3</v>
      </c>
    </row>
    <row r="16" spans="1:22" x14ac:dyDescent="0.35">
      <c r="A16" s="1" t="s">
        <v>22</v>
      </c>
      <c r="B16" t="s">
        <v>23</v>
      </c>
      <c r="C16" t="s">
        <v>37</v>
      </c>
      <c r="D16" t="s">
        <v>29</v>
      </c>
      <c r="E16">
        <v>175</v>
      </c>
      <c r="F16">
        <v>91</v>
      </c>
      <c r="G16">
        <v>74</v>
      </c>
      <c r="H16">
        <v>40</v>
      </c>
      <c r="I16">
        <v>677246.19</v>
      </c>
      <c r="J16">
        <v>323634.32</v>
      </c>
      <c r="K16">
        <v>1224609.52</v>
      </c>
      <c r="L16">
        <v>1808789.07</v>
      </c>
      <c r="M16">
        <v>4804372.6500000004</v>
      </c>
      <c r="N16">
        <v>7651508.4299999997</v>
      </c>
      <c r="O16">
        <v>80506.75</v>
      </c>
      <c r="P16">
        <v>196.45</v>
      </c>
      <c r="Q16">
        <v>377.79</v>
      </c>
      <c r="R16">
        <v>8.41</v>
      </c>
      <c r="S16">
        <v>0.28789999999999999</v>
      </c>
      <c r="T16">
        <v>2.99</v>
      </c>
      <c r="U16" t="s">
        <v>26</v>
      </c>
      <c r="V16">
        <v>3</v>
      </c>
    </row>
    <row r="17" spans="1:22" x14ac:dyDescent="0.35">
      <c r="A17" s="1" t="s">
        <v>22</v>
      </c>
      <c r="B17" t="s">
        <v>23</v>
      </c>
      <c r="C17" t="s">
        <v>37</v>
      </c>
      <c r="D17" t="s">
        <v>30</v>
      </c>
      <c r="E17">
        <v>376</v>
      </c>
      <c r="F17">
        <v>113</v>
      </c>
      <c r="G17">
        <v>89</v>
      </c>
      <c r="H17">
        <v>37</v>
      </c>
      <c r="I17">
        <v>193510.43</v>
      </c>
      <c r="J17">
        <v>34267.14</v>
      </c>
      <c r="K17">
        <v>280762.28999999998</v>
      </c>
      <c r="L17">
        <v>283488.3</v>
      </c>
      <c r="M17">
        <v>6408829.6900000004</v>
      </c>
      <c r="N17">
        <v>8158441.2000000002</v>
      </c>
      <c r="O17">
        <v>69216.37</v>
      </c>
      <c r="P17">
        <v>81.88</v>
      </c>
      <c r="Q17">
        <v>272.44</v>
      </c>
      <c r="R17">
        <v>2.8</v>
      </c>
      <c r="S17">
        <v>9.8000000000000004E-2</v>
      </c>
      <c r="T17">
        <v>24.24</v>
      </c>
      <c r="U17" t="s">
        <v>26</v>
      </c>
      <c r="V17">
        <v>3</v>
      </c>
    </row>
    <row r="18" spans="1:22" x14ac:dyDescent="0.35">
      <c r="A18" s="1" t="s">
        <v>22</v>
      </c>
      <c r="B18" t="s">
        <v>23</v>
      </c>
      <c r="C18" t="s">
        <v>37</v>
      </c>
      <c r="D18" t="s">
        <v>31</v>
      </c>
      <c r="E18">
        <v>151</v>
      </c>
      <c r="F18">
        <v>68</v>
      </c>
      <c r="G18">
        <v>59</v>
      </c>
      <c r="H18">
        <v>27</v>
      </c>
      <c r="I18">
        <v>195686.64</v>
      </c>
      <c r="J18">
        <v>22740.23</v>
      </c>
      <c r="K18">
        <v>426936.74</v>
      </c>
      <c r="L18">
        <v>298275.01</v>
      </c>
      <c r="M18">
        <v>4985210.91</v>
      </c>
      <c r="N18">
        <v>6779462.21</v>
      </c>
      <c r="O18">
        <v>185333.96</v>
      </c>
      <c r="P18">
        <v>502.89</v>
      </c>
      <c r="Q18">
        <v>1116.72</v>
      </c>
      <c r="R18">
        <v>1.06</v>
      </c>
      <c r="S18">
        <v>6.8400000000000002E-2</v>
      </c>
      <c r="T18">
        <v>97.8</v>
      </c>
      <c r="U18" t="s">
        <v>26</v>
      </c>
      <c r="V18">
        <v>3</v>
      </c>
    </row>
    <row r="19" spans="1:22" x14ac:dyDescent="0.35">
      <c r="A19" s="1" t="s">
        <v>22</v>
      </c>
      <c r="B19" t="s">
        <v>23</v>
      </c>
      <c r="C19" t="s">
        <v>37</v>
      </c>
      <c r="D19" t="s">
        <v>32</v>
      </c>
      <c r="E19">
        <v>83</v>
      </c>
      <c r="F19">
        <v>54</v>
      </c>
      <c r="G19">
        <v>40</v>
      </c>
      <c r="H19">
        <v>33</v>
      </c>
      <c r="I19">
        <v>589067.06000000006</v>
      </c>
      <c r="J19">
        <v>352360.24</v>
      </c>
      <c r="K19">
        <v>1032239.46</v>
      </c>
      <c r="L19">
        <v>992826.33</v>
      </c>
      <c r="M19">
        <v>3872477.5</v>
      </c>
      <c r="N19">
        <v>6821005.7400000002</v>
      </c>
      <c r="O19">
        <v>3180.98</v>
      </c>
      <c r="P19">
        <v>16.739999999999998</v>
      </c>
      <c r="Q19">
        <v>25.73</v>
      </c>
      <c r="R19">
        <v>185.18</v>
      </c>
      <c r="S19">
        <v>0.34970000000000001</v>
      </c>
      <c r="T19">
        <v>0.11</v>
      </c>
      <c r="U19" t="s">
        <v>26</v>
      </c>
      <c r="V19">
        <v>3</v>
      </c>
    </row>
    <row r="20" spans="1:22" x14ac:dyDescent="0.35">
      <c r="A20" s="1" t="s">
        <v>22</v>
      </c>
      <c r="B20" t="s">
        <v>23</v>
      </c>
      <c r="C20" t="s">
        <v>37</v>
      </c>
      <c r="D20" t="s">
        <v>33</v>
      </c>
      <c r="E20">
        <v>175</v>
      </c>
      <c r="F20">
        <v>84</v>
      </c>
      <c r="G20">
        <v>65</v>
      </c>
      <c r="H20">
        <v>31</v>
      </c>
      <c r="I20">
        <v>278392.05</v>
      </c>
      <c r="J20">
        <v>197331.5</v>
      </c>
      <c r="K20">
        <v>369942.68</v>
      </c>
      <c r="L20">
        <v>697608.81</v>
      </c>
      <c r="M20">
        <v>6363020.6799999997</v>
      </c>
      <c r="N20">
        <v>7520414.0899999999</v>
      </c>
      <c r="O20">
        <v>6077.85</v>
      </c>
      <c r="P20">
        <v>15.19</v>
      </c>
      <c r="Q20">
        <v>31.65</v>
      </c>
      <c r="R20">
        <v>45.8</v>
      </c>
      <c r="S20">
        <v>0.41299999999999998</v>
      </c>
      <c r="T20">
        <v>0.37</v>
      </c>
      <c r="U20" t="s">
        <v>26</v>
      </c>
      <c r="V20">
        <v>3</v>
      </c>
    </row>
    <row r="21" spans="1:22" x14ac:dyDescent="0.35">
      <c r="A21" s="1" t="s">
        <v>22</v>
      </c>
      <c r="B21" t="s">
        <v>23</v>
      </c>
      <c r="C21" t="s">
        <v>37</v>
      </c>
      <c r="D21" t="s">
        <v>34</v>
      </c>
      <c r="E21">
        <v>612</v>
      </c>
      <c r="F21">
        <v>147</v>
      </c>
      <c r="G21">
        <v>117</v>
      </c>
      <c r="H21">
        <v>36</v>
      </c>
      <c r="I21">
        <v>181539.58</v>
      </c>
      <c r="J21">
        <v>39223.480000000003</v>
      </c>
      <c r="K21">
        <v>362270.95</v>
      </c>
      <c r="L21">
        <v>289610.43</v>
      </c>
      <c r="M21">
        <v>2615935.34</v>
      </c>
      <c r="N21">
        <v>3944968.37</v>
      </c>
      <c r="O21">
        <v>197722.26</v>
      </c>
      <c r="P21">
        <v>134.62</v>
      </c>
      <c r="Q21">
        <v>560.47</v>
      </c>
      <c r="R21">
        <v>0.92</v>
      </c>
      <c r="S21">
        <v>0.1376</v>
      </c>
      <c r="T21">
        <v>60.49</v>
      </c>
      <c r="U21" t="s">
        <v>26</v>
      </c>
      <c r="V21">
        <v>3</v>
      </c>
    </row>
    <row r="22" spans="1:22" x14ac:dyDescent="0.35">
      <c r="A22" s="1" t="s">
        <v>22</v>
      </c>
      <c r="B22" t="s">
        <v>23</v>
      </c>
      <c r="C22" t="s">
        <v>37</v>
      </c>
      <c r="D22" t="s">
        <v>35</v>
      </c>
      <c r="E22">
        <v>436</v>
      </c>
      <c r="F22">
        <v>166</v>
      </c>
      <c r="G22">
        <v>126</v>
      </c>
      <c r="H22">
        <v>51</v>
      </c>
      <c r="I22">
        <v>350225.09</v>
      </c>
      <c r="J22">
        <v>35635.96</v>
      </c>
      <c r="K22">
        <v>439725.06</v>
      </c>
      <c r="L22">
        <v>565525.81999999995</v>
      </c>
      <c r="M22">
        <v>4986148.4800000004</v>
      </c>
      <c r="N22">
        <v>8403964.0399999991</v>
      </c>
      <c r="O22">
        <v>79657.91</v>
      </c>
      <c r="P22">
        <v>80.239999999999995</v>
      </c>
      <c r="Q22">
        <v>210.75</v>
      </c>
      <c r="R22">
        <v>4.4000000000000004</v>
      </c>
      <c r="S22">
        <v>5.8000000000000003E-2</v>
      </c>
      <c r="T22">
        <v>26.82</v>
      </c>
      <c r="U22" t="s">
        <v>26</v>
      </c>
      <c r="V22">
        <v>3</v>
      </c>
    </row>
    <row r="23" spans="1:22" x14ac:dyDescent="0.35">
      <c r="A23" s="1" t="s">
        <v>22</v>
      </c>
      <c r="B23" t="s">
        <v>23</v>
      </c>
      <c r="C23" t="s">
        <v>37</v>
      </c>
      <c r="D23" t="s">
        <v>36</v>
      </c>
      <c r="E23">
        <v>58</v>
      </c>
      <c r="F23">
        <v>44</v>
      </c>
      <c r="G23">
        <v>37</v>
      </c>
      <c r="H23">
        <v>25</v>
      </c>
      <c r="I23">
        <v>436431.04</v>
      </c>
      <c r="J23">
        <v>279455.27</v>
      </c>
      <c r="K23">
        <v>767798.25</v>
      </c>
      <c r="L23">
        <v>1125766.23</v>
      </c>
      <c r="M23">
        <v>3903988.53</v>
      </c>
      <c r="N23">
        <v>5076775.67</v>
      </c>
      <c r="O23">
        <v>1320.96</v>
      </c>
      <c r="P23">
        <v>9.33</v>
      </c>
      <c r="Q23">
        <v>12.29</v>
      </c>
      <c r="R23">
        <v>330.39</v>
      </c>
      <c r="S23">
        <v>0.42559999999999998</v>
      </c>
      <c r="T23">
        <v>0.06</v>
      </c>
      <c r="U23" t="s">
        <v>26</v>
      </c>
      <c r="V23">
        <v>3</v>
      </c>
    </row>
    <row r="24" spans="1:22" x14ac:dyDescent="0.35">
      <c r="A24" s="1" t="s">
        <v>22</v>
      </c>
      <c r="B24" t="s">
        <v>23</v>
      </c>
      <c r="C24" t="s">
        <v>38</v>
      </c>
      <c r="D24" t="s">
        <v>25</v>
      </c>
      <c r="E24">
        <v>655</v>
      </c>
      <c r="F24">
        <v>223</v>
      </c>
      <c r="G24">
        <v>165</v>
      </c>
      <c r="H24">
        <v>84</v>
      </c>
      <c r="I24">
        <v>621560.62</v>
      </c>
      <c r="J24">
        <v>16211.72</v>
      </c>
      <c r="K24">
        <v>1015272.14</v>
      </c>
      <c r="L24">
        <v>1004417.94</v>
      </c>
      <c r="M24">
        <v>12566730.91</v>
      </c>
      <c r="N24">
        <v>17972907.960000001</v>
      </c>
      <c r="O24">
        <v>516622.86</v>
      </c>
      <c r="P24">
        <v>246.99</v>
      </c>
      <c r="Q24">
        <v>725.48</v>
      </c>
      <c r="R24">
        <v>1.2</v>
      </c>
      <c r="S24">
        <v>1.4E-2</v>
      </c>
      <c r="T24">
        <v>382.41</v>
      </c>
      <c r="U24" t="s">
        <v>26</v>
      </c>
      <c r="V24">
        <v>3</v>
      </c>
    </row>
    <row r="25" spans="1:22" x14ac:dyDescent="0.35">
      <c r="A25" s="1" t="s">
        <v>22</v>
      </c>
      <c r="B25" t="s">
        <v>23</v>
      </c>
      <c r="C25" t="s">
        <v>38</v>
      </c>
      <c r="D25" t="s">
        <v>27</v>
      </c>
      <c r="E25">
        <v>936</v>
      </c>
      <c r="F25">
        <v>234</v>
      </c>
      <c r="G25">
        <v>193</v>
      </c>
      <c r="H25">
        <v>65</v>
      </c>
      <c r="I25">
        <v>408525.5</v>
      </c>
      <c r="J25">
        <v>16698.59</v>
      </c>
      <c r="K25">
        <v>615100.62</v>
      </c>
      <c r="L25">
        <v>794506.77</v>
      </c>
      <c r="M25">
        <v>8067684.3700000001</v>
      </c>
      <c r="N25">
        <v>11974466.77</v>
      </c>
      <c r="O25">
        <v>409763.31</v>
      </c>
      <c r="P25">
        <v>130.61000000000001</v>
      </c>
      <c r="Q25">
        <v>522.44000000000005</v>
      </c>
      <c r="R25">
        <v>1</v>
      </c>
      <c r="S25">
        <v>1.9300000000000001E-2</v>
      </c>
      <c r="T25">
        <v>294.47000000000003</v>
      </c>
      <c r="U25" t="s">
        <v>26</v>
      </c>
      <c r="V25">
        <v>3</v>
      </c>
    </row>
    <row r="26" spans="1:22" x14ac:dyDescent="0.35">
      <c r="A26" s="1" t="s">
        <v>22</v>
      </c>
      <c r="B26" t="s">
        <v>23</v>
      </c>
      <c r="C26" t="s">
        <v>38</v>
      </c>
      <c r="D26" t="s">
        <v>28</v>
      </c>
      <c r="E26">
        <v>440</v>
      </c>
      <c r="F26">
        <v>185</v>
      </c>
      <c r="G26">
        <v>138</v>
      </c>
      <c r="H26">
        <v>62</v>
      </c>
      <c r="I26">
        <v>276216.12</v>
      </c>
      <c r="J26">
        <v>18312.18</v>
      </c>
      <c r="K26">
        <v>415855.42</v>
      </c>
      <c r="L26">
        <v>395321.52</v>
      </c>
      <c r="M26">
        <v>9703220.5199999996</v>
      </c>
      <c r="N26">
        <v>12308711.6</v>
      </c>
      <c r="O26">
        <v>28664.82</v>
      </c>
      <c r="P26">
        <v>19.87</v>
      </c>
      <c r="Q26">
        <v>47.27</v>
      </c>
      <c r="R26">
        <v>9.64</v>
      </c>
      <c r="S26">
        <v>3.3300000000000003E-2</v>
      </c>
      <c r="T26">
        <v>18.78</v>
      </c>
      <c r="U26" t="s">
        <v>26</v>
      </c>
      <c r="V26">
        <v>3</v>
      </c>
    </row>
    <row r="27" spans="1:22" x14ac:dyDescent="0.35">
      <c r="A27" s="1" t="s">
        <v>22</v>
      </c>
      <c r="B27" t="s">
        <v>23</v>
      </c>
      <c r="C27" t="s">
        <v>38</v>
      </c>
      <c r="D27" t="s">
        <v>29</v>
      </c>
      <c r="E27">
        <v>196</v>
      </c>
      <c r="F27">
        <v>102</v>
      </c>
      <c r="G27">
        <v>85</v>
      </c>
      <c r="H27">
        <v>45</v>
      </c>
      <c r="I27">
        <v>488972.7</v>
      </c>
      <c r="J27">
        <v>385009.28</v>
      </c>
      <c r="K27">
        <v>852980.2</v>
      </c>
      <c r="L27">
        <v>728359.55</v>
      </c>
      <c r="M27">
        <v>7651508.4299999997</v>
      </c>
      <c r="N27">
        <v>9643293.0700000003</v>
      </c>
      <c r="O27">
        <v>133146.19</v>
      </c>
      <c r="P27">
        <v>205.17</v>
      </c>
      <c r="Q27">
        <v>394.25</v>
      </c>
      <c r="R27">
        <v>3.67</v>
      </c>
      <c r="S27">
        <v>0.4078</v>
      </c>
      <c r="T27">
        <v>4.1500000000000004</v>
      </c>
      <c r="U27" t="s">
        <v>26</v>
      </c>
      <c r="V27">
        <v>3</v>
      </c>
    </row>
    <row r="28" spans="1:22" x14ac:dyDescent="0.35">
      <c r="A28" s="1" t="s">
        <v>22</v>
      </c>
      <c r="B28" t="s">
        <v>23</v>
      </c>
      <c r="C28" t="s">
        <v>38</v>
      </c>
      <c r="D28" t="s">
        <v>30</v>
      </c>
      <c r="E28">
        <v>440</v>
      </c>
      <c r="F28">
        <v>132</v>
      </c>
      <c r="G28">
        <v>104</v>
      </c>
      <c r="H28">
        <v>43</v>
      </c>
      <c r="I28">
        <v>409859.11</v>
      </c>
      <c r="J28">
        <v>23909.18</v>
      </c>
      <c r="K28">
        <v>458430.21</v>
      </c>
      <c r="L28">
        <v>480984.67</v>
      </c>
      <c r="M28">
        <v>8158441.2000000002</v>
      </c>
      <c r="N28">
        <v>11793684.67</v>
      </c>
      <c r="O28">
        <v>134899.07</v>
      </c>
      <c r="P28">
        <v>89.76</v>
      </c>
      <c r="Q28">
        <v>299.19</v>
      </c>
      <c r="R28">
        <v>3.04</v>
      </c>
      <c r="S28">
        <v>3.1699999999999999E-2</v>
      </c>
      <c r="T28">
        <v>67.709999999999994</v>
      </c>
      <c r="U28" t="s">
        <v>26</v>
      </c>
      <c r="V28">
        <v>3</v>
      </c>
    </row>
    <row r="29" spans="1:22" x14ac:dyDescent="0.35">
      <c r="A29" s="1" t="s">
        <v>22</v>
      </c>
      <c r="B29" t="s">
        <v>23</v>
      </c>
      <c r="C29" t="s">
        <v>38</v>
      </c>
      <c r="D29" t="s">
        <v>31</v>
      </c>
      <c r="E29">
        <v>160</v>
      </c>
      <c r="F29">
        <v>72</v>
      </c>
      <c r="G29">
        <v>58</v>
      </c>
      <c r="H29">
        <v>28</v>
      </c>
      <c r="I29">
        <v>118042.12</v>
      </c>
      <c r="J29">
        <v>37354.879999999997</v>
      </c>
      <c r="K29">
        <v>259020.07</v>
      </c>
      <c r="L29">
        <v>306426.94</v>
      </c>
      <c r="M29">
        <v>6779462.21</v>
      </c>
      <c r="N29">
        <v>7454879.96</v>
      </c>
      <c r="O29">
        <v>254356.24</v>
      </c>
      <c r="P29">
        <v>482.26</v>
      </c>
      <c r="Q29">
        <v>1071.69</v>
      </c>
      <c r="R29">
        <v>0.46</v>
      </c>
      <c r="S29">
        <v>0.15390000000000001</v>
      </c>
      <c r="T29">
        <v>81.709999999999994</v>
      </c>
      <c r="U29" t="s">
        <v>26</v>
      </c>
      <c r="V29">
        <v>3</v>
      </c>
    </row>
    <row r="30" spans="1:22" x14ac:dyDescent="0.35">
      <c r="A30" s="1" t="s">
        <v>22</v>
      </c>
      <c r="B30" t="s">
        <v>23</v>
      </c>
      <c r="C30" t="s">
        <v>38</v>
      </c>
      <c r="D30" t="s">
        <v>32</v>
      </c>
      <c r="E30">
        <v>81</v>
      </c>
      <c r="F30">
        <v>53</v>
      </c>
      <c r="G30">
        <v>40</v>
      </c>
      <c r="H30">
        <v>27</v>
      </c>
      <c r="I30">
        <v>396663.4</v>
      </c>
      <c r="J30">
        <v>334729.24</v>
      </c>
      <c r="K30">
        <v>643033.15</v>
      </c>
      <c r="L30">
        <v>462832.34</v>
      </c>
      <c r="M30">
        <v>6821005.7400000002</v>
      </c>
      <c r="N30">
        <v>8238047.3099999996</v>
      </c>
      <c r="O30">
        <v>4026.89</v>
      </c>
      <c r="P30">
        <v>15.35</v>
      </c>
      <c r="Q30">
        <v>23.46</v>
      </c>
      <c r="R30">
        <v>98.5</v>
      </c>
      <c r="S30">
        <v>0.45129999999999998</v>
      </c>
      <c r="T30">
        <v>0.14000000000000001</v>
      </c>
      <c r="U30" t="s">
        <v>26</v>
      </c>
      <c r="V30">
        <v>3</v>
      </c>
    </row>
    <row r="31" spans="1:22" x14ac:dyDescent="0.35">
      <c r="A31" s="1" t="s">
        <v>22</v>
      </c>
      <c r="B31" t="s">
        <v>23</v>
      </c>
      <c r="C31" t="s">
        <v>38</v>
      </c>
      <c r="D31" t="s">
        <v>33</v>
      </c>
      <c r="E31">
        <v>197</v>
      </c>
      <c r="F31">
        <v>95</v>
      </c>
      <c r="G31">
        <v>75</v>
      </c>
      <c r="H31">
        <v>36</v>
      </c>
      <c r="I31">
        <v>613587.19999999995</v>
      </c>
      <c r="J31">
        <v>279220.88</v>
      </c>
      <c r="K31">
        <v>584431.61</v>
      </c>
      <c r="L31">
        <v>1189614.95</v>
      </c>
      <c r="M31">
        <v>7520414.0899999999</v>
      </c>
      <c r="N31">
        <v>11126241.07</v>
      </c>
      <c r="O31">
        <v>10422.209999999999</v>
      </c>
      <c r="P31">
        <v>16.39</v>
      </c>
      <c r="Q31">
        <v>33.99</v>
      </c>
      <c r="R31">
        <v>58.87</v>
      </c>
      <c r="S31">
        <v>0.24829999999999999</v>
      </c>
      <c r="T31">
        <v>0.45</v>
      </c>
      <c r="U31" t="s">
        <v>26</v>
      </c>
      <c r="V31">
        <v>3</v>
      </c>
    </row>
    <row r="32" spans="1:22" x14ac:dyDescent="0.35">
      <c r="A32" s="1" t="s">
        <v>22</v>
      </c>
      <c r="B32" t="s">
        <v>23</v>
      </c>
      <c r="C32" t="s">
        <v>38</v>
      </c>
      <c r="D32" t="s">
        <v>34</v>
      </c>
      <c r="E32">
        <v>600</v>
      </c>
      <c r="F32">
        <v>144</v>
      </c>
      <c r="G32">
        <v>124</v>
      </c>
      <c r="H32">
        <v>36</v>
      </c>
      <c r="I32">
        <v>271283.96999999997</v>
      </c>
      <c r="J32">
        <v>17257.89</v>
      </c>
      <c r="K32">
        <v>271504.25</v>
      </c>
      <c r="L32">
        <v>471806.67</v>
      </c>
      <c r="M32">
        <v>3944968.37</v>
      </c>
      <c r="N32">
        <v>6301938.1699999999</v>
      </c>
      <c r="O32">
        <v>260868.19</v>
      </c>
      <c r="P32">
        <v>135.24</v>
      </c>
      <c r="Q32">
        <v>563.49</v>
      </c>
      <c r="R32">
        <v>1.04</v>
      </c>
      <c r="S32">
        <v>3.56E-2</v>
      </c>
      <c r="T32">
        <v>181.39</v>
      </c>
      <c r="U32" t="s">
        <v>26</v>
      </c>
      <c r="V32">
        <v>3</v>
      </c>
    </row>
    <row r="33" spans="1:22" x14ac:dyDescent="0.35">
      <c r="A33" s="1" t="s">
        <v>22</v>
      </c>
      <c r="B33" t="s">
        <v>23</v>
      </c>
      <c r="C33" t="s">
        <v>38</v>
      </c>
      <c r="D33" t="s">
        <v>35</v>
      </c>
      <c r="E33">
        <v>421</v>
      </c>
      <c r="F33">
        <v>160</v>
      </c>
      <c r="G33">
        <v>140</v>
      </c>
      <c r="H33">
        <v>49</v>
      </c>
      <c r="I33">
        <v>383918.04</v>
      </c>
      <c r="J33">
        <v>51698.32</v>
      </c>
      <c r="K33">
        <v>716398.56</v>
      </c>
      <c r="L33">
        <v>797570.6</v>
      </c>
      <c r="M33">
        <v>8403964.0399999991</v>
      </c>
      <c r="N33">
        <v>11204727.289999999</v>
      </c>
      <c r="O33">
        <v>108865.02</v>
      </c>
      <c r="P33">
        <v>79.23</v>
      </c>
      <c r="Q33">
        <v>208.48</v>
      </c>
      <c r="R33">
        <v>3.53</v>
      </c>
      <c r="S33">
        <v>7.17E-2</v>
      </c>
      <c r="T33">
        <v>25.27</v>
      </c>
      <c r="U33" t="s">
        <v>26</v>
      </c>
      <c r="V33">
        <v>3</v>
      </c>
    </row>
    <row r="34" spans="1:22" x14ac:dyDescent="0.35">
      <c r="A34" s="1" t="s">
        <v>22</v>
      </c>
      <c r="B34" t="s">
        <v>23</v>
      </c>
      <c r="C34" t="s">
        <v>38</v>
      </c>
      <c r="D34" t="s">
        <v>36</v>
      </c>
      <c r="E34">
        <v>61</v>
      </c>
      <c r="F34">
        <v>46</v>
      </c>
      <c r="G34">
        <v>36</v>
      </c>
      <c r="H34">
        <v>25</v>
      </c>
      <c r="I34">
        <v>511371.23</v>
      </c>
      <c r="J34">
        <v>319597.84999999998</v>
      </c>
      <c r="K34">
        <v>847247.46</v>
      </c>
      <c r="L34">
        <v>774848.92</v>
      </c>
      <c r="M34">
        <v>5076775.67</v>
      </c>
      <c r="N34">
        <v>8249058.9299999997</v>
      </c>
      <c r="O34">
        <v>1696.77</v>
      </c>
      <c r="P34">
        <v>8.3800000000000008</v>
      </c>
      <c r="Q34">
        <v>11.11</v>
      </c>
      <c r="R34">
        <v>301.38</v>
      </c>
      <c r="S34">
        <v>0.28610000000000002</v>
      </c>
      <c r="T34">
        <v>0.06</v>
      </c>
      <c r="U34" t="s">
        <v>26</v>
      </c>
      <c r="V34">
        <v>3</v>
      </c>
    </row>
    <row r="35" spans="1:22" x14ac:dyDescent="0.35">
      <c r="A35" s="1" t="s">
        <v>22</v>
      </c>
      <c r="B35" t="s">
        <v>23</v>
      </c>
      <c r="C35" t="s">
        <v>39</v>
      </c>
      <c r="D35" t="s">
        <v>25</v>
      </c>
      <c r="E35">
        <v>623</v>
      </c>
      <c r="F35">
        <v>212</v>
      </c>
      <c r="G35">
        <v>154</v>
      </c>
      <c r="H35">
        <v>80</v>
      </c>
      <c r="I35">
        <v>560097.98</v>
      </c>
      <c r="J35">
        <v>90458.9</v>
      </c>
      <c r="K35">
        <v>520573.95</v>
      </c>
      <c r="L35">
        <v>634396.19999999995</v>
      </c>
      <c r="M35">
        <v>17972907.960000001</v>
      </c>
      <c r="N35">
        <v>21531540.359999999</v>
      </c>
      <c r="O35">
        <v>411801.63</v>
      </c>
      <c r="P35">
        <v>263.18</v>
      </c>
      <c r="Q35">
        <v>773.39</v>
      </c>
      <c r="R35">
        <v>1.36</v>
      </c>
      <c r="S35">
        <v>0.1067</v>
      </c>
      <c r="T35">
        <v>54.63</v>
      </c>
      <c r="U35" t="s">
        <v>26</v>
      </c>
      <c r="V35">
        <v>3</v>
      </c>
    </row>
    <row r="36" spans="1:22" x14ac:dyDescent="0.35">
      <c r="A36" s="1" t="s">
        <v>22</v>
      </c>
      <c r="B36" t="s">
        <v>23</v>
      </c>
      <c r="C36" t="s">
        <v>39</v>
      </c>
      <c r="D36" t="s">
        <v>27</v>
      </c>
      <c r="E36">
        <v>964</v>
      </c>
      <c r="F36">
        <v>241</v>
      </c>
      <c r="G36">
        <v>201</v>
      </c>
      <c r="H36">
        <v>67</v>
      </c>
      <c r="I36">
        <v>601411.52</v>
      </c>
      <c r="J36">
        <v>38414.480000000003</v>
      </c>
      <c r="K36">
        <v>788013.54</v>
      </c>
      <c r="L36">
        <v>1140839.42</v>
      </c>
      <c r="M36">
        <v>11974466.77</v>
      </c>
      <c r="N36">
        <v>15333543.41</v>
      </c>
      <c r="O36">
        <v>356762.81</v>
      </c>
      <c r="P36">
        <v>150.72999999999999</v>
      </c>
      <c r="Q36">
        <v>602.91</v>
      </c>
      <c r="R36">
        <v>1.69</v>
      </c>
      <c r="S36">
        <v>4.1700000000000001E-2</v>
      </c>
      <c r="T36">
        <v>111.45</v>
      </c>
      <c r="U36" t="s">
        <v>26</v>
      </c>
      <c r="V36">
        <v>3</v>
      </c>
    </row>
    <row r="37" spans="1:22" x14ac:dyDescent="0.35">
      <c r="A37" s="1" t="s">
        <v>22</v>
      </c>
      <c r="B37" t="s">
        <v>23</v>
      </c>
      <c r="C37" t="s">
        <v>39</v>
      </c>
      <c r="D37" t="s">
        <v>28</v>
      </c>
      <c r="E37">
        <v>452</v>
      </c>
      <c r="F37">
        <v>190</v>
      </c>
      <c r="G37">
        <v>160</v>
      </c>
      <c r="H37">
        <v>64</v>
      </c>
      <c r="I37">
        <v>507087.34</v>
      </c>
      <c r="J37">
        <v>120400.45</v>
      </c>
      <c r="K37">
        <v>417482.79</v>
      </c>
      <c r="L37">
        <v>894855.21</v>
      </c>
      <c r="M37">
        <v>12308711.6</v>
      </c>
      <c r="N37">
        <v>15217147.25</v>
      </c>
      <c r="O37">
        <v>22711.86</v>
      </c>
      <c r="P37">
        <v>20.059999999999999</v>
      </c>
      <c r="Q37">
        <v>47.73</v>
      </c>
      <c r="R37">
        <v>22.33</v>
      </c>
      <c r="S37">
        <v>0.1482</v>
      </c>
      <c r="T37">
        <v>2.2599999999999998</v>
      </c>
      <c r="U37" t="s">
        <v>26</v>
      </c>
      <c r="V37">
        <v>3</v>
      </c>
    </row>
    <row r="38" spans="1:22" x14ac:dyDescent="0.35">
      <c r="A38" s="1" t="s">
        <v>22</v>
      </c>
      <c r="B38" t="s">
        <v>23</v>
      </c>
      <c r="C38" t="s">
        <v>39</v>
      </c>
      <c r="D38" t="s">
        <v>29</v>
      </c>
      <c r="E38">
        <v>198</v>
      </c>
      <c r="F38">
        <v>103</v>
      </c>
      <c r="G38">
        <v>78</v>
      </c>
      <c r="H38">
        <v>46</v>
      </c>
      <c r="I38">
        <v>552957.87</v>
      </c>
      <c r="J38">
        <v>377593.12</v>
      </c>
      <c r="K38">
        <v>515174.19</v>
      </c>
      <c r="L38">
        <v>561542.49</v>
      </c>
      <c r="M38">
        <v>9643293.0700000003</v>
      </c>
      <c r="N38">
        <v>11461668.17</v>
      </c>
      <c r="O38">
        <v>105029.53</v>
      </c>
      <c r="P38">
        <v>204.49</v>
      </c>
      <c r="Q38">
        <v>393.09</v>
      </c>
      <c r="R38">
        <v>5.26</v>
      </c>
      <c r="S38">
        <v>0.42859999999999998</v>
      </c>
      <c r="T38">
        <v>3.34</v>
      </c>
      <c r="U38" t="s">
        <v>26</v>
      </c>
      <c r="V38">
        <v>3</v>
      </c>
    </row>
    <row r="39" spans="1:22" x14ac:dyDescent="0.35">
      <c r="A39" s="1" t="s">
        <v>22</v>
      </c>
      <c r="B39" t="s">
        <v>23</v>
      </c>
      <c r="C39" t="s">
        <v>39</v>
      </c>
      <c r="D39" t="s">
        <v>30</v>
      </c>
      <c r="E39">
        <v>460</v>
      </c>
      <c r="F39">
        <v>138</v>
      </c>
      <c r="G39">
        <v>114</v>
      </c>
      <c r="H39">
        <v>45</v>
      </c>
      <c r="I39">
        <v>238275.41</v>
      </c>
      <c r="J39">
        <v>40826.01</v>
      </c>
      <c r="K39">
        <v>240471.34</v>
      </c>
      <c r="L39">
        <v>251224.03</v>
      </c>
      <c r="M39">
        <v>11793684.67</v>
      </c>
      <c r="N39">
        <v>13473145.85</v>
      </c>
      <c r="O39">
        <v>92901.31</v>
      </c>
      <c r="P39">
        <v>76.78</v>
      </c>
      <c r="Q39">
        <v>255.92</v>
      </c>
      <c r="R39">
        <v>2.56</v>
      </c>
      <c r="S39">
        <v>0.1071</v>
      </c>
      <c r="T39">
        <v>27.31</v>
      </c>
      <c r="U39" t="s">
        <v>26</v>
      </c>
      <c r="V39">
        <v>3</v>
      </c>
    </row>
    <row r="40" spans="1:22" x14ac:dyDescent="0.35">
      <c r="A40" s="1" t="s">
        <v>22</v>
      </c>
      <c r="B40" t="s">
        <v>23</v>
      </c>
      <c r="C40" t="s">
        <v>39</v>
      </c>
      <c r="D40" t="s">
        <v>31</v>
      </c>
      <c r="E40">
        <v>153</v>
      </c>
      <c r="F40">
        <v>69</v>
      </c>
      <c r="G40">
        <v>53</v>
      </c>
      <c r="H40">
        <v>27</v>
      </c>
      <c r="I40">
        <v>195701.93</v>
      </c>
      <c r="J40">
        <v>54275.33</v>
      </c>
      <c r="K40">
        <v>156030.24</v>
      </c>
      <c r="L40">
        <v>242767.51</v>
      </c>
      <c r="M40">
        <v>7454879.96</v>
      </c>
      <c r="N40">
        <v>8511304.6099999994</v>
      </c>
      <c r="O40">
        <v>203649.66</v>
      </c>
      <c r="P40">
        <v>524.54999999999995</v>
      </c>
      <c r="Q40">
        <v>1163.1300000000001</v>
      </c>
      <c r="R40">
        <v>0.96</v>
      </c>
      <c r="S40">
        <v>0.18940000000000001</v>
      </c>
      <c r="T40">
        <v>45.03</v>
      </c>
      <c r="U40" t="s">
        <v>26</v>
      </c>
      <c r="V40">
        <v>3</v>
      </c>
    </row>
    <row r="41" spans="1:22" x14ac:dyDescent="0.35">
      <c r="A41" s="1" t="s">
        <v>22</v>
      </c>
      <c r="B41" t="s">
        <v>23</v>
      </c>
      <c r="C41" t="s">
        <v>39</v>
      </c>
      <c r="D41" t="s">
        <v>32</v>
      </c>
      <c r="E41">
        <v>90</v>
      </c>
      <c r="F41">
        <v>59</v>
      </c>
      <c r="G41">
        <v>46</v>
      </c>
      <c r="H41">
        <v>30</v>
      </c>
      <c r="I41">
        <v>550621.69999999995</v>
      </c>
      <c r="J41">
        <v>356814.84</v>
      </c>
      <c r="K41">
        <v>779032.14</v>
      </c>
      <c r="L41">
        <v>1096082.75</v>
      </c>
      <c r="M41">
        <v>8238047.3099999996</v>
      </c>
      <c r="N41">
        <v>9813116.7400000002</v>
      </c>
      <c r="O41">
        <v>3801.73</v>
      </c>
      <c r="P41">
        <v>16</v>
      </c>
      <c r="Q41">
        <v>24.4</v>
      </c>
      <c r="R41">
        <v>144.83000000000001</v>
      </c>
      <c r="S41">
        <v>0.39190000000000003</v>
      </c>
      <c r="T41">
        <v>0.13</v>
      </c>
      <c r="U41" t="s">
        <v>26</v>
      </c>
      <c r="V41">
        <v>3</v>
      </c>
    </row>
    <row r="42" spans="1:22" x14ac:dyDescent="0.35">
      <c r="A42" s="1" t="s">
        <v>22</v>
      </c>
      <c r="B42" t="s">
        <v>23</v>
      </c>
      <c r="C42" t="s">
        <v>39</v>
      </c>
      <c r="D42" t="s">
        <v>33</v>
      </c>
      <c r="E42">
        <v>183</v>
      </c>
      <c r="F42">
        <v>88</v>
      </c>
      <c r="G42">
        <v>72</v>
      </c>
      <c r="H42">
        <v>33</v>
      </c>
      <c r="I42">
        <v>483130.58</v>
      </c>
      <c r="J42">
        <v>262914.49</v>
      </c>
      <c r="K42">
        <v>444360.77</v>
      </c>
      <c r="L42">
        <v>693731.54</v>
      </c>
      <c r="M42">
        <v>11126241.07</v>
      </c>
      <c r="N42">
        <v>13061061.130000001</v>
      </c>
      <c r="O42">
        <v>7870.29</v>
      </c>
      <c r="P42">
        <v>17.28</v>
      </c>
      <c r="Q42">
        <v>35.93</v>
      </c>
      <c r="R42">
        <v>61.39</v>
      </c>
      <c r="S42">
        <v>0.33110000000000001</v>
      </c>
      <c r="T42">
        <v>0.36</v>
      </c>
      <c r="U42" t="s">
        <v>26</v>
      </c>
      <c r="V42">
        <v>3</v>
      </c>
    </row>
    <row r="43" spans="1:22" x14ac:dyDescent="0.35">
      <c r="A43" s="1" t="s">
        <v>22</v>
      </c>
      <c r="B43" t="s">
        <v>23</v>
      </c>
      <c r="C43" t="s">
        <v>39</v>
      </c>
      <c r="D43" t="s">
        <v>34</v>
      </c>
      <c r="E43">
        <v>620</v>
      </c>
      <c r="F43">
        <v>149</v>
      </c>
      <c r="G43">
        <v>122</v>
      </c>
      <c r="H43">
        <v>37</v>
      </c>
      <c r="I43">
        <v>248840.59</v>
      </c>
      <c r="J43">
        <v>21994.06</v>
      </c>
      <c r="K43">
        <v>434056.6</v>
      </c>
      <c r="L43">
        <v>296295.89</v>
      </c>
      <c r="M43">
        <v>6301938.1699999999</v>
      </c>
      <c r="N43">
        <v>7916763.46</v>
      </c>
      <c r="O43">
        <v>229615.64</v>
      </c>
      <c r="P43">
        <v>145.25</v>
      </c>
      <c r="Q43">
        <v>604.41</v>
      </c>
      <c r="R43">
        <v>1.08</v>
      </c>
      <c r="S43">
        <v>5.3400000000000003E-2</v>
      </c>
      <c r="T43">
        <v>125.28</v>
      </c>
      <c r="U43" t="s">
        <v>26</v>
      </c>
      <c r="V43">
        <v>3</v>
      </c>
    </row>
    <row r="44" spans="1:22" x14ac:dyDescent="0.35">
      <c r="A44" s="1" t="s">
        <v>22</v>
      </c>
      <c r="B44" t="s">
        <v>23</v>
      </c>
      <c r="C44" t="s">
        <v>39</v>
      </c>
      <c r="D44" t="s">
        <v>35</v>
      </c>
      <c r="E44">
        <v>436</v>
      </c>
      <c r="F44">
        <v>166</v>
      </c>
      <c r="G44">
        <v>125</v>
      </c>
      <c r="H44">
        <v>51</v>
      </c>
      <c r="I44">
        <v>311216.19</v>
      </c>
      <c r="J44">
        <v>13276.03</v>
      </c>
      <c r="K44">
        <v>286549.81</v>
      </c>
      <c r="L44">
        <v>329570.99</v>
      </c>
      <c r="M44">
        <v>11204727.289999999</v>
      </c>
      <c r="N44">
        <v>13380465.66</v>
      </c>
      <c r="O44">
        <v>76481.42</v>
      </c>
      <c r="P44">
        <v>71.400000000000006</v>
      </c>
      <c r="Q44">
        <v>187.54</v>
      </c>
      <c r="R44">
        <v>4.07</v>
      </c>
      <c r="S44">
        <v>2.7199999999999998E-2</v>
      </c>
      <c r="T44">
        <v>69.13</v>
      </c>
      <c r="U44" t="s">
        <v>26</v>
      </c>
      <c r="V44">
        <v>3</v>
      </c>
    </row>
    <row r="45" spans="1:22" x14ac:dyDescent="0.35">
      <c r="A45" s="1" t="s">
        <v>22</v>
      </c>
      <c r="B45" t="s">
        <v>23</v>
      </c>
      <c r="C45" t="s">
        <v>39</v>
      </c>
      <c r="D45" t="s">
        <v>36</v>
      </c>
      <c r="E45">
        <v>60</v>
      </c>
      <c r="F45">
        <v>45</v>
      </c>
      <c r="G45">
        <v>32</v>
      </c>
      <c r="H45">
        <v>24</v>
      </c>
      <c r="I45">
        <v>700658.89</v>
      </c>
      <c r="J45">
        <v>273032.28999999998</v>
      </c>
      <c r="K45">
        <v>1135271.8899999999</v>
      </c>
      <c r="L45">
        <v>728077.67</v>
      </c>
      <c r="M45">
        <v>8249058.9299999997</v>
      </c>
      <c r="N45">
        <v>11932345.4</v>
      </c>
      <c r="O45">
        <v>1323.28</v>
      </c>
      <c r="P45">
        <v>8.35</v>
      </c>
      <c r="Q45">
        <v>11.14</v>
      </c>
      <c r="R45">
        <v>529.49</v>
      </c>
      <c r="S45">
        <v>0.22650000000000001</v>
      </c>
      <c r="T45">
        <v>0.06</v>
      </c>
      <c r="U45" t="s">
        <v>26</v>
      </c>
      <c r="V45">
        <v>3</v>
      </c>
    </row>
    <row r="46" spans="1:22" x14ac:dyDescent="0.35">
      <c r="A46" s="1" t="s">
        <v>22</v>
      </c>
      <c r="B46" t="s">
        <v>23</v>
      </c>
      <c r="C46" t="s">
        <v>40</v>
      </c>
      <c r="D46" t="s">
        <v>25</v>
      </c>
      <c r="E46">
        <v>708</v>
      </c>
      <c r="F46">
        <v>241</v>
      </c>
      <c r="G46">
        <v>177</v>
      </c>
      <c r="H46">
        <v>91</v>
      </c>
      <c r="I46">
        <v>508017.67</v>
      </c>
      <c r="J46">
        <v>16680.490000000002</v>
      </c>
      <c r="K46">
        <v>896409.65</v>
      </c>
      <c r="L46">
        <v>1072462.75</v>
      </c>
      <c r="M46">
        <v>21531540.359999999</v>
      </c>
      <c r="N46">
        <v>24455954.670000002</v>
      </c>
      <c r="O46">
        <v>538298.39</v>
      </c>
      <c r="P46">
        <v>263.75</v>
      </c>
      <c r="Q46">
        <v>774.84</v>
      </c>
      <c r="R46">
        <v>0.94</v>
      </c>
      <c r="S46">
        <v>1.9900000000000001E-2</v>
      </c>
      <c r="T46">
        <v>387.25</v>
      </c>
      <c r="U46" t="s">
        <v>26</v>
      </c>
      <c r="V46">
        <v>3</v>
      </c>
    </row>
    <row r="47" spans="1:22" x14ac:dyDescent="0.35">
      <c r="A47" s="1" t="s">
        <v>22</v>
      </c>
      <c r="B47" t="s">
        <v>23</v>
      </c>
      <c r="C47" t="s">
        <v>40</v>
      </c>
      <c r="D47" t="s">
        <v>27</v>
      </c>
      <c r="E47">
        <v>1036</v>
      </c>
      <c r="F47">
        <v>259</v>
      </c>
      <c r="G47">
        <v>227</v>
      </c>
      <c r="H47">
        <v>72</v>
      </c>
      <c r="I47">
        <v>523561.72</v>
      </c>
      <c r="J47">
        <v>55720.14</v>
      </c>
      <c r="K47">
        <v>760661.7</v>
      </c>
      <c r="L47">
        <v>1095622.95</v>
      </c>
      <c r="M47">
        <v>15333543.41</v>
      </c>
      <c r="N47">
        <v>18487053.559999999</v>
      </c>
      <c r="O47">
        <v>410414.76</v>
      </c>
      <c r="P47">
        <v>140.41999999999999</v>
      </c>
      <c r="Q47">
        <v>561.66</v>
      </c>
      <c r="R47">
        <v>1.28</v>
      </c>
      <c r="S47">
        <v>6.1100000000000002E-2</v>
      </c>
      <c r="T47">
        <v>88.39</v>
      </c>
      <c r="U47" t="s">
        <v>26</v>
      </c>
      <c r="V47">
        <v>3</v>
      </c>
    </row>
    <row r="48" spans="1:22" x14ac:dyDescent="0.35">
      <c r="A48" s="1" t="s">
        <v>22</v>
      </c>
      <c r="B48" t="s">
        <v>23</v>
      </c>
      <c r="C48" t="s">
        <v>40</v>
      </c>
      <c r="D48" t="s">
        <v>28</v>
      </c>
      <c r="E48">
        <v>483</v>
      </c>
      <c r="F48">
        <v>203</v>
      </c>
      <c r="G48">
        <v>157</v>
      </c>
      <c r="H48">
        <v>69</v>
      </c>
      <c r="I48">
        <v>443458.57</v>
      </c>
      <c r="J48">
        <v>105388.8</v>
      </c>
      <c r="K48">
        <v>595573.99</v>
      </c>
      <c r="L48">
        <v>616028.15</v>
      </c>
      <c r="M48">
        <v>15217147.25</v>
      </c>
      <c r="N48">
        <v>17685277.329999998</v>
      </c>
      <c r="O48">
        <v>27457.02</v>
      </c>
      <c r="P48">
        <v>20.170000000000002</v>
      </c>
      <c r="Q48">
        <v>47.99</v>
      </c>
      <c r="R48">
        <v>16.149999999999999</v>
      </c>
      <c r="S48">
        <v>0.1444</v>
      </c>
      <c r="T48">
        <v>3.13</v>
      </c>
      <c r="U48" t="s">
        <v>26</v>
      </c>
      <c r="V48">
        <v>3</v>
      </c>
    </row>
    <row r="49" spans="1:22" x14ac:dyDescent="0.35">
      <c r="A49" s="1" t="s">
        <v>22</v>
      </c>
      <c r="B49" t="s">
        <v>23</v>
      </c>
      <c r="C49" t="s">
        <v>40</v>
      </c>
      <c r="D49" t="s">
        <v>29</v>
      </c>
      <c r="E49">
        <v>203</v>
      </c>
      <c r="F49">
        <v>106</v>
      </c>
      <c r="G49">
        <v>80</v>
      </c>
      <c r="H49">
        <v>47</v>
      </c>
      <c r="I49">
        <v>577039.13</v>
      </c>
      <c r="J49">
        <v>255179.64</v>
      </c>
      <c r="K49">
        <v>935475.86</v>
      </c>
      <c r="L49">
        <v>613494.74</v>
      </c>
      <c r="M49">
        <v>11461668.17</v>
      </c>
      <c r="N49">
        <v>13901655.539999999</v>
      </c>
      <c r="O49">
        <v>122116.96</v>
      </c>
      <c r="P49">
        <v>200.98</v>
      </c>
      <c r="Q49">
        <v>384.9</v>
      </c>
      <c r="R49">
        <v>4.7300000000000004</v>
      </c>
      <c r="S49">
        <v>0.26640000000000003</v>
      </c>
      <c r="T49">
        <v>5.74</v>
      </c>
      <c r="U49" t="s">
        <v>26</v>
      </c>
      <c r="V49">
        <v>3</v>
      </c>
    </row>
    <row r="50" spans="1:22" x14ac:dyDescent="0.35">
      <c r="A50" s="1" t="s">
        <v>22</v>
      </c>
      <c r="B50" t="s">
        <v>23</v>
      </c>
      <c r="C50" t="s">
        <v>40</v>
      </c>
      <c r="D50" t="s">
        <v>30</v>
      </c>
      <c r="E50">
        <v>446</v>
      </c>
      <c r="F50">
        <v>134</v>
      </c>
      <c r="G50">
        <v>116</v>
      </c>
      <c r="H50">
        <v>44</v>
      </c>
      <c r="I50">
        <v>252600.25</v>
      </c>
      <c r="J50">
        <v>92336.92</v>
      </c>
      <c r="K50">
        <v>250019.17</v>
      </c>
      <c r="L50">
        <v>440199.57</v>
      </c>
      <c r="M50">
        <v>13473145.85</v>
      </c>
      <c r="N50">
        <v>14742072.49</v>
      </c>
      <c r="O50">
        <v>103359</v>
      </c>
      <c r="P50">
        <v>80.400000000000006</v>
      </c>
      <c r="Q50">
        <v>267.61</v>
      </c>
      <c r="R50">
        <v>2.44</v>
      </c>
      <c r="S50">
        <v>0.2094</v>
      </c>
      <c r="T50">
        <v>13.43</v>
      </c>
      <c r="U50" t="s">
        <v>26</v>
      </c>
      <c r="V50">
        <v>3</v>
      </c>
    </row>
    <row r="51" spans="1:22" x14ac:dyDescent="0.35">
      <c r="A51" s="1" t="s">
        <v>22</v>
      </c>
      <c r="B51" t="s">
        <v>23</v>
      </c>
      <c r="C51" t="s">
        <v>40</v>
      </c>
      <c r="D51" t="s">
        <v>31</v>
      </c>
      <c r="E51">
        <v>160</v>
      </c>
      <c r="F51">
        <v>72</v>
      </c>
      <c r="G51">
        <v>56</v>
      </c>
      <c r="H51">
        <v>28</v>
      </c>
      <c r="I51">
        <v>169244.26</v>
      </c>
      <c r="J51">
        <v>43271.17</v>
      </c>
      <c r="K51">
        <v>286785.25</v>
      </c>
      <c r="L51">
        <v>271015.15999999997</v>
      </c>
      <c r="M51">
        <v>8511304.6099999994</v>
      </c>
      <c r="N51">
        <v>9298650.3900000006</v>
      </c>
      <c r="O51">
        <v>228200.18</v>
      </c>
      <c r="P51">
        <v>491.81</v>
      </c>
      <c r="Q51">
        <v>1092.9100000000001</v>
      </c>
      <c r="R51">
        <v>0.74</v>
      </c>
      <c r="S51">
        <v>0.1656</v>
      </c>
      <c r="T51">
        <v>63.28</v>
      </c>
      <c r="U51" t="s">
        <v>26</v>
      </c>
      <c r="V51">
        <v>3</v>
      </c>
    </row>
    <row r="52" spans="1:22" x14ac:dyDescent="0.35">
      <c r="A52" s="1" t="s">
        <v>22</v>
      </c>
      <c r="B52" t="s">
        <v>23</v>
      </c>
      <c r="C52" t="s">
        <v>40</v>
      </c>
      <c r="D52" t="s">
        <v>32</v>
      </c>
      <c r="E52">
        <v>87</v>
      </c>
      <c r="F52">
        <v>57</v>
      </c>
      <c r="G52">
        <v>43</v>
      </c>
      <c r="H52">
        <v>34</v>
      </c>
      <c r="I52">
        <v>799602.93</v>
      </c>
      <c r="J52">
        <v>425643.08</v>
      </c>
      <c r="K52">
        <v>1235997.6100000001</v>
      </c>
      <c r="L52">
        <v>1556705.72</v>
      </c>
      <c r="M52">
        <v>9813116.7400000002</v>
      </c>
      <c r="N52">
        <v>12098192.300000001</v>
      </c>
      <c r="O52">
        <v>3943.07</v>
      </c>
      <c r="P52">
        <v>16.190000000000001</v>
      </c>
      <c r="Q52">
        <v>24.71</v>
      </c>
      <c r="R52">
        <v>202.79</v>
      </c>
      <c r="S52">
        <v>0.33279999999999998</v>
      </c>
      <c r="T52">
        <v>0.11</v>
      </c>
      <c r="U52" t="s">
        <v>26</v>
      </c>
      <c r="V52">
        <v>3</v>
      </c>
    </row>
    <row r="53" spans="1:22" x14ac:dyDescent="0.35">
      <c r="A53" s="1" t="s">
        <v>22</v>
      </c>
      <c r="B53" t="s">
        <v>23</v>
      </c>
      <c r="C53" t="s">
        <v>40</v>
      </c>
      <c r="D53" t="s">
        <v>33</v>
      </c>
      <c r="E53">
        <v>197</v>
      </c>
      <c r="F53">
        <v>95</v>
      </c>
      <c r="G53">
        <v>78</v>
      </c>
      <c r="H53">
        <v>36</v>
      </c>
      <c r="I53">
        <v>828420.51</v>
      </c>
      <c r="J53">
        <v>437368.18</v>
      </c>
      <c r="K53">
        <v>1433252.2</v>
      </c>
      <c r="L53">
        <v>1782321.01</v>
      </c>
      <c r="M53">
        <v>13061061.130000001</v>
      </c>
      <c r="N53">
        <v>15629912.050000001</v>
      </c>
      <c r="O53">
        <v>9409.5300000000007</v>
      </c>
      <c r="P53">
        <v>17.57</v>
      </c>
      <c r="Q53">
        <v>36.43</v>
      </c>
      <c r="R53">
        <v>88.04</v>
      </c>
      <c r="S53">
        <v>0.30449999999999999</v>
      </c>
      <c r="T53">
        <v>0.26</v>
      </c>
      <c r="U53" t="s">
        <v>26</v>
      </c>
      <c r="V53">
        <v>3</v>
      </c>
    </row>
    <row r="54" spans="1:22" x14ac:dyDescent="0.35">
      <c r="A54" s="1" t="s">
        <v>22</v>
      </c>
      <c r="B54" t="s">
        <v>23</v>
      </c>
      <c r="C54" t="s">
        <v>40</v>
      </c>
      <c r="D54" t="s">
        <v>34</v>
      </c>
      <c r="E54">
        <v>637</v>
      </c>
      <c r="F54">
        <v>153</v>
      </c>
      <c r="G54">
        <v>118</v>
      </c>
      <c r="H54">
        <v>38</v>
      </c>
      <c r="I54">
        <v>310332.32</v>
      </c>
      <c r="J54">
        <v>28198.01</v>
      </c>
      <c r="K54">
        <v>410869.41</v>
      </c>
      <c r="L54">
        <v>730680.51</v>
      </c>
      <c r="M54">
        <v>7916763.46</v>
      </c>
      <c r="N54">
        <v>9954620.6400000006</v>
      </c>
      <c r="O54">
        <v>258252.7</v>
      </c>
      <c r="P54">
        <v>144.68</v>
      </c>
      <c r="Q54">
        <v>602.36</v>
      </c>
      <c r="R54">
        <v>1.2</v>
      </c>
      <c r="S54">
        <v>4.9700000000000001E-2</v>
      </c>
      <c r="T54">
        <v>109.9</v>
      </c>
      <c r="U54" t="s">
        <v>26</v>
      </c>
      <c r="V54">
        <v>3</v>
      </c>
    </row>
    <row r="55" spans="1:22" x14ac:dyDescent="0.35">
      <c r="A55" s="1" t="s">
        <v>22</v>
      </c>
      <c r="B55" t="s">
        <v>23</v>
      </c>
      <c r="C55" t="s">
        <v>40</v>
      </c>
      <c r="D55" t="s">
        <v>35</v>
      </c>
      <c r="E55">
        <v>444</v>
      </c>
      <c r="F55">
        <v>169</v>
      </c>
      <c r="G55">
        <v>129</v>
      </c>
      <c r="H55">
        <v>52</v>
      </c>
      <c r="I55">
        <v>484403.04</v>
      </c>
      <c r="J55">
        <v>39111.31</v>
      </c>
      <c r="K55">
        <v>642049.76</v>
      </c>
      <c r="L55">
        <v>792024.04</v>
      </c>
      <c r="M55">
        <v>13380465.66</v>
      </c>
      <c r="N55">
        <v>16656032.720000001</v>
      </c>
      <c r="O55">
        <v>95414.83</v>
      </c>
      <c r="P55">
        <v>78.790000000000006</v>
      </c>
      <c r="Q55">
        <v>206.99</v>
      </c>
      <c r="R55">
        <v>5.08</v>
      </c>
      <c r="S55">
        <v>4.7100000000000003E-2</v>
      </c>
      <c r="T55">
        <v>29.27</v>
      </c>
      <c r="U55" t="s">
        <v>26</v>
      </c>
      <c r="V55">
        <v>3</v>
      </c>
    </row>
    <row r="56" spans="1:22" x14ac:dyDescent="0.35">
      <c r="A56" s="1" t="s">
        <v>22</v>
      </c>
      <c r="B56" t="s">
        <v>23</v>
      </c>
      <c r="C56" t="s">
        <v>40</v>
      </c>
      <c r="D56" t="s">
        <v>36</v>
      </c>
      <c r="E56">
        <v>68</v>
      </c>
      <c r="F56">
        <v>51</v>
      </c>
      <c r="G56">
        <v>40</v>
      </c>
      <c r="H56">
        <v>28</v>
      </c>
      <c r="I56">
        <v>503319.6</v>
      </c>
      <c r="J56">
        <v>301102.28000000003</v>
      </c>
      <c r="K56">
        <v>459551.19</v>
      </c>
      <c r="L56">
        <v>896938.51</v>
      </c>
      <c r="M56">
        <v>11932345.4</v>
      </c>
      <c r="N56">
        <v>13678957.82</v>
      </c>
      <c r="O56">
        <v>1597.75</v>
      </c>
      <c r="P56">
        <v>8.34</v>
      </c>
      <c r="Q56">
        <v>11.12</v>
      </c>
      <c r="R56">
        <v>315.02</v>
      </c>
      <c r="S56">
        <v>0.36259999999999998</v>
      </c>
      <c r="T56">
        <v>0.06</v>
      </c>
      <c r="U56" t="s">
        <v>26</v>
      </c>
      <c r="V5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1903-F7C0-4477-B87A-C8F0ABC0FA0A}">
  <dimension ref="A1:R78"/>
  <sheetViews>
    <sheetView topLeftCell="I1" workbookViewId="0">
      <selection sqref="A1:R1"/>
    </sheetView>
  </sheetViews>
  <sheetFormatPr defaultRowHeight="14.5" x14ac:dyDescent="0.35"/>
  <cols>
    <col min="1" max="1" width="35" bestFit="1" customWidth="1"/>
    <col min="2" max="2" width="8" bestFit="1" customWidth="1"/>
    <col min="3" max="3" width="7.453125" bestFit="1" customWidth="1"/>
    <col min="4" max="4" width="17.26953125" bestFit="1" customWidth="1"/>
    <col min="5" max="5" width="4.7265625" bestFit="1" customWidth="1"/>
    <col min="6" max="7" width="4.08984375" bestFit="1" customWidth="1"/>
    <col min="8" max="8" width="18.81640625" bestFit="1" customWidth="1"/>
    <col min="9" max="9" width="17.54296875" bestFit="1" customWidth="1"/>
    <col min="10" max="10" width="21.90625" bestFit="1" customWidth="1"/>
    <col min="11" max="11" width="13.453125" bestFit="1" customWidth="1"/>
    <col min="12" max="12" width="14.7265625" bestFit="1" customWidth="1"/>
    <col min="13" max="13" width="11.6328125" bestFit="1" customWidth="1"/>
    <col min="14" max="14" width="11" bestFit="1" customWidth="1"/>
    <col min="15" max="15" width="22" bestFit="1" customWidth="1"/>
    <col min="16" max="16" width="20.08984375" bestFit="1" customWidth="1"/>
    <col min="17" max="17" width="18" bestFit="1" customWidth="1"/>
    <col min="18" max="18" width="65.90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41</v>
      </c>
      <c r="K1" t="s">
        <v>9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19</v>
      </c>
      <c r="R1" t="s">
        <v>20</v>
      </c>
    </row>
    <row r="2" spans="1:18" x14ac:dyDescent="0.35">
      <c r="A2" s="1" t="s">
        <v>22</v>
      </c>
      <c r="B2" t="s">
        <v>42</v>
      </c>
      <c r="C2" t="s">
        <v>43</v>
      </c>
      <c r="D2" t="s">
        <v>25</v>
      </c>
      <c r="E2">
        <v>167</v>
      </c>
      <c r="F2">
        <v>57</v>
      </c>
      <c r="G2">
        <v>42</v>
      </c>
      <c r="H2">
        <v>19</v>
      </c>
      <c r="I2">
        <v>1254714.1200000001</v>
      </c>
      <c r="J2">
        <v>408223.56</v>
      </c>
      <c r="K2">
        <v>408223.56</v>
      </c>
      <c r="L2">
        <v>574115.93999999994</v>
      </c>
      <c r="M2">
        <v>627.5</v>
      </c>
      <c r="N2">
        <v>1838.46</v>
      </c>
      <c r="O2">
        <v>2.19</v>
      </c>
      <c r="P2">
        <v>3</v>
      </c>
      <c r="Q2">
        <v>16.88</v>
      </c>
      <c r="R2" t="s">
        <v>44</v>
      </c>
    </row>
    <row r="3" spans="1:18" x14ac:dyDescent="0.35">
      <c r="A3" s="1" t="s">
        <v>22</v>
      </c>
      <c r="B3" t="s">
        <v>42</v>
      </c>
      <c r="C3" t="s">
        <v>43</v>
      </c>
      <c r="D3" t="s">
        <v>27</v>
      </c>
      <c r="E3">
        <v>218</v>
      </c>
      <c r="F3">
        <v>54</v>
      </c>
      <c r="G3">
        <v>45</v>
      </c>
      <c r="H3">
        <v>15</v>
      </c>
      <c r="I3">
        <v>707686.59</v>
      </c>
      <c r="J3">
        <v>224817.15</v>
      </c>
      <c r="K3">
        <v>224817.15</v>
      </c>
      <c r="L3">
        <v>393756.03</v>
      </c>
      <c r="M3">
        <v>329.69</v>
      </c>
      <c r="N3">
        <v>1330.95</v>
      </c>
      <c r="O3">
        <v>1.8</v>
      </c>
      <c r="P3">
        <v>3</v>
      </c>
      <c r="Q3">
        <v>21.02</v>
      </c>
      <c r="R3" t="s">
        <v>44</v>
      </c>
    </row>
    <row r="4" spans="1:18" x14ac:dyDescent="0.35">
      <c r="A4" s="1" t="s">
        <v>22</v>
      </c>
      <c r="B4" t="s">
        <v>42</v>
      </c>
      <c r="C4" t="s">
        <v>43</v>
      </c>
      <c r="D4" t="s">
        <v>28</v>
      </c>
      <c r="E4">
        <v>56</v>
      </c>
      <c r="F4">
        <v>24</v>
      </c>
      <c r="G4">
        <v>19</v>
      </c>
      <c r="H4">
        <v>8</v>
      </c>
      <c r="I4">
        <v>450481.55</v>
      </c>
      <c r="J4">
        <v>160622.78</v>
      </c>
      <c r="K4">
        <v>160622.78</v>
      </c>
      <c r="L4">
        <v>54814.95</v>
      </c>
      <c r="M4">
        <v>178.67</v>
      </c>
      <c r="N4">
        <v>416.89</v>
      </c>
      <c r="O4">
        <v>8.2200000000000006</v>
      </c>
      <c r="P4">
        <v>3</v>
      </c>
      <c r="Q4">
        <v>4.0999999999999996</v>
      </c>
      <c r="R4" t="s">
        <v>44</v>
      </c>
    </row>
    <row r="5" spans="1:18" x14ac:dyDescent="0.35">
      <c r="A5" s="1" t="s">
        <v>22</v>
      </c>
      <c r="B5" t="s">
        <v>42</v>
      </c>
      <c r="C5" t="s">
        <v>43</v>
      </c>
      <c r="D5" t="s">
        <v>29</v>
      </c>
      <c r="E5">
        <v>32</v>
      </c>
      <c r="F5">
        <v>16</v>
      </c>
      <c r="G5">
        <v>11</v>
      </c>
      <c r="H5">
        <v>7</v>
      </c>
      <c r="I5">
        <v>610521.74</v>
      </c>
      <c r="J5">
        <v>239230.54</v>
      </c>
      <c r="K5">
        <v>239230.54</v>
      </c>
      <c r="L5">
        <v>175064.99</v>
      </c>
      <c r="M5">
        <v>998.57</v>
      </c>
      <c r="N5">
        <v>1997.14</v>
      </c>
      <c r="O5">
        <v>3.49</v>
      </c>
      <c r="P5">
        <v>3</v>
      </c>
      <c r="Q5">
        <v>8.7799999999999994</v>
      </c>
      <c r="R5" t="s">
        <v>44</v>
      </c>
    </row>
    <row r="6" spans="1:18" x14ac:dyDescent="0.35">
      <c r="A6" s="1" t="s">
        <v>22</v>
      </c>
      <c r="B6" t="s">
        <v>42</v>
      </c>
      <c r="C6" t="s">
        <v>43</v>
      </c>
      <c r="D6" t="s">
        <v>30</v>
      </c>
      <c r="E6">
        <v>91</v>
      </c>
      <c r="F6">
        <v>27</v>
      </c>
      <c r="G6">
        <v>22</v>
      </c>
      <c r="H6">
        <v>9</v>
      </c>
      <c r="I6">
        <v>478068.63</v>
      </c>
      <c r="J6">
        <v>149859.15</v>
      </c>
      <c r="K6">
        <v>149859.15</v>
      </c>
      <c r="L6">
        <v>156506.01999999999</v>
      </c>
      <c r="M6">
        <v>313.92</v>
      </c>
      <c r="N6">
        <v>1058.03</v>
      </c>
      <c r="O6">
        <v>3.05</v>
      </c>
      <c r="P6">
        <v>3</v>
      </c>
      <c r="Q6">
        <v>12.53</v>
      </c>
      <c r="R6" t="s">
        <v>44</v>
      </c>
    </row>
    <row r="7" spans="1:18" x14ac:dyDescent="0.35">
      <c r="A7" s="1" t="s">
        <v>22</v>
      </c>
      <c r="B7" t="s">
        <v>42</v>
      </c>
      <c r="C7" t="s">
        <v>43</v>
      </c>
      <c r="D7" t="s">
        <v>31</v>
      </c>
      <c r="E7">
        <v>25</v>
      </c>
      <c r="F7">
        <v>11</v>
      </c>
      <c r="G7">
        <v>8</v>
      </c>
      <c r="H7">
        <v>4</v>
      </c>
      <c r="I7">
        <v>552897.82999999996</v>
      </c>
      <c r="J7">
        <v>160843.06</v>
      </c>
      <c r="K7">
        <v>160843.06</v>
      </c>
      <c r="L7">
        <v>333359.78999999998</v>
      </c>
      <c r="M7">
        <v>2433.9</v>
      </c>
      <c r="N7">
        <v>5531.59</v>
      </c>
      <c r="O7">
        <v>1.66</v>
      </c>
      <c r="P7">
        <v>3</v>
      </c>
      <c r="Q7">
        <v>24.87</v>
      </c>
      <c r="R7" t="s">
        <v>44</v>
      </c>
    </row>
    <row r="8" spans="1:18" x14ac:dyDescent="0.35">
      <c r="A8" s="1" t="s">
        <v>22</v>
      </c>
      <c r="B8" t="s">
        <v>42</v>
      </c>
      <c r="C8" t="s">
        <v>43</v>
      </c>
      <c r="D8" t="s">
        <v>32</v>
      </c>
      <c r="E8">
        <v>8</v>
      </c>
      <c r="F8">
        <v>5</v>
      </c>
      <c r="G8">
        <v>4</v>
      </c>
      <c r="H8">
        <v>2</v>
      </c>
      <c r="I8">
        <v>212476.96</v>
      </c>
      <c r="J8">
        <v>86515.48</v>
      </c>
      <c r="K8">
        <v>86515.48</v>
      </c>
      <c r="L8">
        <v>17811.47</v>
      </c>
      <c r="M8">
        <v>406.39</v>
      </c>
      <c r="N8">
        <v>650.22</v>
      </c>
      <c r="O8">
        <v>11.93</v>
      </c>
      <c r="P8">
        <v>3</v>
      </c>
      <c r="Q8">
        <v>2.4700000000000002</v>
      </c>
      <c r="R8" t="s">
        <v>44</v>
      </c>
    </row>
    <row r="9" spans="1:18" x14ac:dyDescent="0.35">
      <c r="A9" s="1" t="s">
        <v>22</v>
      </c>
      <c r="B9" t="s">
        <v>42</v>
      </c>
      <c r="C9" t="s">
        <v>43</v>
      </c>
      <c r="D9" t="s">
        <v>33</v>
      </c>
      <c r="E9">
        <v>30</v>
      </c>
      <c r="F9">
        <v>15</v>
      </c>
      <c r="G9">
        <v>12</v>
      </c>
      <c r="H9">
        <v>6</v>
      </c>
      <c r="I9">
        <v>381706.39</v>
      </c>
      <c r="J9">
        <v>135169.47</v>
      </c>
      <c r="K9">
        <v>135169.47</v>
      </c>
      <c r="L9">
        <v>38931.74</v>
      </c>
      <c r="M9">
        <v>236.87</v>
      </c>
      <c r="N9">
        <v>473.74</v>
      </c>
      <c r="O9">
        <v>9.8000000000000007</v>
      </c>
      <c r="P9">
        <v>3</v>
      </c>
      <c r="Q9">
        <v>3.46</v>
      </c>
      <c r="R9" t="s">
        <v>44</v>
      </c>
    </row>
    <row r="10" spans="1:18" x14ac:dyDescent="0.35">
      <c r="A10" s="1" t="s">
        <v>22</v>
      </c>
      <c r="B10" t="s">
        <v>42</v>
      </c>
      <c r="C10" t="s">
        <v>43</v>
      </c>
      <c r="D10" t="s">
        <v>34</v>
      </c>
      <c r="E10">
        <v>184</v>
      </c>
      <c r="F10">
        <v>44</v>
      </c>
      <c r="G10">
        <v>34</v>
      </c>
      <c r="H10">
        <v>11</v>
      </c>
      <c r="I10">
        <v>472679.41</v>
      </c>
      <c r="J10">
        <v>132695.67999999999</v>
      </c>
      <c r="K10">
        <v>132695.67999999999</v>
      </c>
      <c r="L10">
        <v>222334.97</v>
      </c>
      <c r="M10">
        <v>220.56</v>
      </c>
      <c r="N10">
        <v>922.33</v>
      </c>
      <c r="O10">
        <v>2.13</v>
      </c>
      <c r="P10">
        <v>3</v>
      </c>
      <c r="Q10">
        <v>20.11</v>
      </c>
      <c r="R10" t="s">
        <v>44</v>
      </c>
    </row>
    <row r="11" spans="1:18" x14ac:dyDescent="0.35">
      <c r="A11" s="1" t="s">
        <v>22</v>
      </c>
      <c r="B11" t="s">
        <v>42</v>
      </c>
      <c r="C11" t="s">
        <v>43</v>
      </c>
      <c r="D11" t="s">
        <v>35</v>
      </c>
      <c r="E11">
        <v>55</v>
      </c>
      <c r="F11">
        <v>21</v>
      </c>
      <c r="G11">
        <v>15</v>
      </c>
      <c r="H11">
        <v>6</v>
      </c>
      <c r="I11">
        <v>328759.43</v>
      </c>
      <c r="J11">
        <v>106986.17</v>
      </c>
      <c r="K11">
        <v>106986.17</v>
      </c>
      <c r="L11">
        <v>82075.88</v>
      </c>
      <c r="M11">
        <v>272.38</v>
      </c>
      <c r="N11">
        <v>713.39</v>
      </c>
      <c r="O11">
        <v>4.01</v>
      </c>
      <c r="P11">
        <v>3</v>
      </c>
      <c r="Q11">
        <v>9.2100000000000009</v>
      </c>
      <c r="R11" t="s">
        <v>44</v>
      </c>
    </row>
    <row r="12" spans="1:18" x14ac:dyDescent="0.35">
      <c r="A12" s="1" t="s">
        <v>22</v>
      </c>
      <c r="B12" t="s">
        <v>42</v>
      </c>
      <c r="C12" t="s">
        <v>43</v>
      </c>
      <c r="D12" t="s">
        <v>36</v>
      </c>
      <c r="E12">
        <v>1</v>
      </c>
      <c r="F12">
        <v>1</v>
      </c>
      <c r="G12">
        <v>0</v>
      </c>
      <c r="H12">
        <v>1</v>
      </c>
      <c r="I12">
        <v>78374.34</v>
      </c>
      <c r="J12">
        <v>37825.96</v>
      </c>
      <c r="K12">
        <v>37825.96</v>
      </c>
      <c r="L12">
        <v>3340.69</v>
      </c>
      <c r="M12">
        <v>609.77</v>
      </c>
      <c r="N12">
        <v>609.77</v>
      </c>
      <c r="O12">
        <v>23.46</v>
      </c>
      <c r="P12">
        <v>3</v>
      </c>
      <c r="Q12">
        <v>1.06</v>
      </c>
      <c r="R12" t="s">
        <v>44</v>
      </c>
    </row>
    <row r="13" spans="1:18" x14ac:dyDescent="0.35">
      <c r="A13" s="1" t="s">
        <v>22</v>
      </c>
      <c r="B13" t="s">
        <v>42</v>
      </c>
      <c r="C13" t="s">
        <v>45</v>
      </c>
      <c r="D13" t="s">
        <v>25</v>
      </c>
      <c r="E13">
        <v>177</v>
      </c>
      <c r="F13">
        <v>60</v>
      </c>
      <c r="G13">
        <v>47</v>
      </c>
      <c r="H13">
        <v>20</v>
      </c>
      <c r="I13">
        <v>1225948.22</v>
      </c>
      <c r="J13">
        <v>411890.72</v>
      </c>
      <c r="K13">
        <v>411890.72</v>
      </c>
      <c r="L13">
        <v>484707.29</v>
      </c>
      <c r="M13">
        <v>665.8</v>
      </c>
      <c r="N13">
        <v>1964.1</v>
      </c>
      <c r="O13">
        <v>2.5299999999999998</v>
      </c>
      <c r="P13">
        <v>3</v>
      </c>
      <c r="Q13">
        <v>14.12</v>
      </c>
      <c r="R13" t="s">
        <v>44</v>
      </c>
    </row>
    <row r="14" spans="1:18" x14ac:dyDescent="0.35">
      <c r="A14" s="1" t="s">
        <v>22</v>
      </c>
      <c r="B14" t="s">
        <v>42</v>
      </c>
      <c r="C14" t="s">
        <v>45</v>
      </c>
      <c r="D14" t="s">
        <v>27</v>
      </c>
      <c r="E14">
        <v>247</v>
      </c>
      <c r="F14">
        <v>61</v>
      </c>
      <c r="G14">
        <v>46</v>
      </c>
      <c r="H14">
        <v>17</v>
      </c>
      <c r="I14">
        <v>760190.2</v>
      </c>
      <c r="J14">
        <v>233726.48</v>
      </c>
      <c r="K14">
        <v>233726.48</v>
      </c>
      <c r="L14">
        <v>318414.88</v>
      </c>
      <c r="M14">
        <v>313.42</v>
      </c>
      <c r="N14">
        <v>1269.1099999999999</v>
      </c>
      <c r="O14">
        <v>2.39</v>
      </c>
      <c r="P14">
        <v>3</v>
      </c>
      <c r="Q14">
        <v>16.350000000000001</v>
      </c>
      <c r="R14" t="s">
        <v>44</v>
      </c>
    </row>
    <row r="15" spans="1:18" x14ac:dyDescent="0.35">
      <c r="A15" s="1" t="s">
        <v>22</v>
      </c>
      <c r="B15" t="s">
        <v>42</v>
      </c>
      <c r="C15" t="s">
        <v>45</v>
      </c>
      <c r="D15" t="s">
        <v>28</v>
      </c>
      <c r="E15">
        <v>53</v>
      </c>
      <c r="F15">
        <v>22</v>
      </c>
      <c r="G15">
        <v>16</v>
      </c>
      <c r="H15">
        <v>8</v>
      </c>
      <c r="I15">
        <v>449373.2</v>
      </c>
      <c r="J15">
        <v>174391.38</v>
      </c>
      <c r="K15">
        <v>174391.38</v>
      </c>
      <c r="L15">
        <v>45307.38</v>
      </c>
      <c r="M15">
        <v>207.84</v>
      </c>
      <c r="N15">
        <v>500.7</v>
      </c>
      <c r="O15">
        <v>9.92</v>
      </c>
      <c r="P15">
        <v>3</v>
      </c>
      <c r="Q15">
        <v>3.12</v>
      </c>
      <c r="R15" t="s">
        <v>44</v>
      </c>
    </row>
    <row r="16" spans="1:18" x14ac:dyDescent="0.35">
      <c r="A16" s="1" t="s">
        <v>22</v>
      </c>
      <c r="B16" t="s">
        <v>42</v>
      </c>
      <c r="C16" t="s">
        <v>45</v>
      </c>
      <c r="D16" t="s">
        <v>29</v>
      </c>
      <c r="E16">
        <v>39</v>
      </c>
      <c r="F16">
        <v>19</v>
      </c>
      <c r="G16">
        <v>16</v>
      </c>
      <c r="H16">
        <v>9</v>
      </c>
      <c r="I16">
        <v>674219.84</v>
      </c>
      <c r="J16">
        <v>248784.12</v>
      </c>
      <c r="K16">
        <v>248784.12</v>
      </c>
      <c r="L16">
        <v>136124.26</v>
      </c>
      <c r="M16">
        <v>848.61</v>
      </c>
      <c r="N16">
        <v>1741.87</v>
      </c>
      <c r="O16">
        <v>4.95</v>
      </c>
      <c r="P16">
        <v>3</v>
      </c>
      <c r="Q16">
        <v>6.57</v>
      </c>
      <c r="R16" t="s">
        <v>44</v>
      </c>
    </row>
    <row r="17" spans="1:18" x14ac:dyDescent="0.35">
      <c r="A17" s="1" t="s">
        <v>22</v>
      </c>
      <c r="B17" t="s">
        <v>42</v>
      </c>
      <c r="C17" t="s">
        <v>45</v>
      </c>
      <c r="D17" t="s">
        <v>30</v>
      </c>
      <c r="E17">
        <v>95</v>
      </c>
      <c r="F17">
        <v>28</v>
      </c>
      <c r="G17">
        <v>20</v>
      </c>
      <c r="H17">
        <v>9</v>
      </c>
      <c r="I17">
        <v>485484.5</v>
      </c>
      <c r="J17">
        <v>148163.89000000001</v>
      </c>
      <c r="K17">
        <v>148163.89000000001</v>
      </c>
      <c r="L17">
        <v>143841.19</v>
      </c>
      <c r="M17">
        <v>368.12</v>
      </c>
      <c r="N17">
        <v>1248.99</v>
      </c>
      <c r="O17">
        <v>3.38</v>
      </c>
      <c r="P17">
        <v>3</v>
      </c>
      <c r="Q17">
        <v>11.65</v>
      </c>
      <c r="R17" t="s">
        <v>44</v>
      </c>
    </row>
    <row r="18" spans="1:18" x14ac:dyDescent="0.35">
      <c r="A18" s="1" t="s">
        <v>22</v>
      </c>
      <c r="B18" t="s">
        <v>42</v>
      </c>
      <c r="C18" t="s">
        <v>45</v>
      </c>
      <c r="D18" t="s">
        <v>31</v>
      </c>
      <c r="E18">
        <v>37</v>
      </c>
      <c r="F18">
        <v>16</v>
      </c>
      <c r="G18">
        <v>11</v>
      </c>
      <c r="H18">
        <v>6</v>
      </c>
      <c r="I18">
        <v>574421.93999999994</v>
      </c>
      <c r="J18">
        <v>168785.43</v>
      </c>
      <c r="K18">
        <v>168785.43</v>
      </c>
      <c r="L18">
        <v>252744.06</v>
      </c>
      <c r="M18">
        <v>1660.79</v>
      </c>
      <c r="N18">
        <v>3840.57</v>
      </c>
      <c r="O18">
        <v>2.27</v>
      </c>
      <c r="P18">
        <v>3</v>
      </c>
      <c r="Q18">
        <v>17.97</v>
      </c>
      <c r="R18" t="s">
        <v>44</v>
      </c>
    </row>
    <row r="19" spans="1:18" x14ac:dyDescent="0.35">
      <c r="A19" s="1" t="s">
        <v>22</v>
      </c>
      <c r="B19" t="s">
        <v>42</v>
      </c>
      <c r="C19" t="s">
        <v>45</v>
      </c>
      <c r="D19" t="s">
        <v>32</v>
      </c>
      <c r="E19">
        <v>7</v>
      </c>
      <c r="F19">
        <v>5</v>
      </c>
      <c r="G19">
        <v>3</v>
      </c>
      <c r="H19">
        <v>2</v>
      </c>
      <c r="I19">
        <v>176112.37</v>
      </c>
      <c r="J19">
        <v>72133.45</v>
      </c>
      <c r="K19">
        <v>72133.45</v>
      </c>
      <c r="L19">
        <v>12110.09</v>
      </c>
      <c r="M19">
        <v>420.61</v>
      </c>
      <c r="N19">
        <v>588.86</v>
      </c>
      <c r="O19">
        <v>14.54</v>
      </c>
      <c r="P19">
        <v>3</v>
      </c>
      <c r="Q19">
        <v>2.0099999999999998</v>
      </c>
      <c r="R19" t="s">
        <v>44</v>
      </c>
    </row>
    <row r="20" spans="1:18" x14ac:dyDescent="0.35">
      <c r="A20" s="1" t="s">
        <v>22</v>
      </c>
      <c r="B20" t="s">
        <v>42</v>
      </c>
      <c r="C20" t="s">
        <v>45</v>
      </c>
      <c r="D20" t="s">
        <v>33</v>
      </c>
      <c r="E20">
        <v>29</v>
      </c>
      <c r="F20">
        <v>14</v>
      </c>
      <c r="G20">
        <v>10</v>
      </c>
      <c r="H20">
        <v>5</v>
      </c>
      <c r="I20">
        <v>355375.68</v>
      </c>
      <c r="J20">
        <v>126875.04</v>
      </c>
      <c r="K20">
        <v>126875.04</v>
      </c>
      <c r="L20">
        <v>28476.66</v>
      </c>
      <c r="M20">
        <v>238.74</v>
      </c>
      <c r="N20">
        <v>494.53</v>
      </c>
      <c r="O20">
        <v>12.48</v>
      </c>
      <c r="P20">
        <v>3</v>
      </c>
      <c r="Q20">
        <v>2.69</v>
      </c>
      <c r="R20" t="s">
        <v>44</v>
      </c>
    </row>
    <row r="21" spans="1:18" x14ac:dyDescent="0.35">
      <c r="A21" s="1" t="s">
        <v>22</v>
      </c>
      <c r="B21" t="s">
        <v>42</v>
      </c>
      <c r="C21" t="s">
        <v>45</v>
      </c>
      <c r="D21" t="s">
        <v>34</v>
      </c>
      <c r="E21">
        <v>176</v>
      </c>
      <c r="F21">
        <v>42</v>
      </c>
      <c r="G21">
        <v>33</v>
      </c>
      <c r="H21">
        <v>10</v>
      </c>
      <c r="I21">
        <v>457284.88</v>
      </c>
      <c r="J21">
        <v>125617.94</v>
      </c>
      <c r="K21">
        <v>125617.94</v>
      </c>
      <c r="L21">
        <v>178255.74</v>
      </c>
      <c r="M21">
        <v>246.24</v>
      </c>
      <c r="N21">
        <v>1031.8800000000001</v>
      </c>
      <c r="O21">
        <v>2.57</v>
      </c>
      <c r="P21">
        <v>3</v>
      </c>
      <c r="Q21">
        <v>17.03</v>
      </c>
      <c r="R21" t="s">
        <v>44</v>
      </c>
    </row>
    <row r="22" spans="1:18" x14ac:dyDescent="0.35">
      <c r="A22" s="1" t="s">
        <v>22</v>
      </c>
      <c r="B22" t="s">
        <v>42</v>
      </c>
      <c r="C22" t="s">
        <v>45</v>
      </c>
      <c r="D22" t="s">
        <v>35</v>
      </c>
      <c r="E22">
        <v>67</v>
      </c>
      <c r="F22">
        <v>25</v>
      </c>
      <c r="G22">
        <v>17</v>
      </c>
      <c r="H22">
        <v>7</v>
      </c>
      <c r="I22">
        <v>370878.85</v>
      </c>
      <c r="J22">
        <v>120493.63</v>
      </c>
      <c r="K22">
        <v>120493.63</v>
      </c>
      <c r="L22">
        <v>70026.8</v>
      </c>
      <c r="M22">
        <v>254.11</v>
      </c>
      <c r="N22">
        <v>681.02</v>
      </c>
      <c r="O22">
        <v>5.3</v>
      </c>
      <c r="P22">
        <v>3</v>
      </c>
      <c r="Q22">
        <v>6.97</v>
      </c>
      <c r="R22" t="s">
        <v>44</v>
      </c>
    </row>
    <row r="23" spans="1:18" x14ac:dyDescent="0.35">
      <c r="A23" s="1" t="s">
        <v>22</v>
      </c>
      <c r="B23" t="s">
        <v>42</v>
      </c>
      <c r="C23" t="s">
        <v>45</v>
      </c>
      <c r="D23" t="s">
        <v>36</v>
      </c>
      <c r="E23">
        <v>1</v>
      </c>
      <c r="F23">
        <v>1</v>
      </c>
      <c r="G23">
        <v>0</v>
      </c>
      <c r="H23">
        <v>1</v>
      </c>
      <c r="I23">
        <v>70855.320000000007</v>
      </c>
      <c r="J23">
        <v>35852.92</v>
      </c>
      <c r="K23">
        <v>35852.92</v>
      </c>
      <c r="L23">
        <v>2497.33</v>
      </c>
      <c r="M23">
        <v>607.16999999999996</v>
      </c>
      <c r="N23">
        <v>607.16999999999996</v>
      </c>
      <c r="O23">
        <v>28.37</v>
      </c>
      <c r="P23">
        <v>3</v>
      </c>
      <c r="Q23">
        <v>0.84</v>
      </c>
      <c r="R23" t="s">
        <v>44</v>
      </c>
    </row>
    <row r="24" spans="1:18" x14ac:dyDescent="0.35">
      <c r="A24" s="1" t="s">
        <v>22</v>
      </c>
      <c r="B24" t="s">
        <v>42</v>
      </c>
      <c r="C24" t="s">
        <v>46</v>
      </c>
      <c r="D24" t="s">
        <v>25</v>
      </c>
      <c r="E24">
        <v>195</v>
      </c>
      <c r="F24">
        <v>66</v>
      </c>
      <c r="G24">
        <v>51</v>
      </c>
      <c r="H24">
        <v>22</v>
      </c>
      <c r="I24">
        <v>1162645.02</v>
      </c>
      <c r="J24">
        <v>359130.56</v>
      </c>
      <c r="K24">
        <v>359130.56</v>
      </c>
      <c r="L24">
        <v>489581.55</v>
      </c>
      <c r="M24">
        <v>576.95000000000005</v>
      </c>
      <c r="N24">
        <v>1704.61</v>
      </c>
      <c r="O24">
        <v>2.37</v>
      </c>
      <c r="P24">
        <v>3</v>
      </c>
      <c r="Q24">
        <v>16.36</v>
      </c>
      <c r="R24" t="s">
        <v>44</v>
      </c>
    </row>
    <row r="25" spans="1:18" x14ac:dyDescent="0.35">
      <c r="A25" s="1" t="s">
        <v>22</v>
      </c>
      <c r="B25" t="s">
        <v>42</v>
      </c>
      <c r="C25" t="s">
        <v>46</v>
      </c>
      <c r="D25" t="s">
        <v>27</v>
      </c>
      <c r="E25">
        <v>242</v>
      </c>
      <c r="F25">
        <v>60</v>
      </c>
      <c r="G25">
        <v>44</v>
      </c>
      <c r="H25">
        <v>16</v>
      </c>
      <c r="I25">
        <v>655959.66</v>
      </c>
      <c r="J25">
        <v>190937.76</v>
      </c>
      <c r="K25">
        <v>190937.76</v>
      </c>
      <c r="L25">
        <v>344671.14</v>
      </c>
      <c r="M25">
        <v>327.29000000000002</v>
      </c>
      <c r="N25">
        <v>1320.07</v>
      </c>
      <c r="O25">
        <v>1.9</v>
      </c>
      <c r="P25">
        <v>3</v>
      </c>
      <c r="Q25">
        <v>21.66</v>
      </c>
      <c r="R25" t="s">
        <v>44</v>
      </c>
    </row>
    <row r="26" spans="1:18" x14ac:dyDescent="0.35">
      <c r="A26" s="1" t="s">
        <v>22</v>
      </c>
      <c r="B26" t="s">
        <v>42</v>
      </c>
      <c r="C26" t="s">
        <v>46</v>
      </c>
      <c r="D26" t="s">
        <v>28</v>
      </c>
      <c r="E26">
        <v>66</v>
      </c>
      <c r="F26">
        <v>28</v>
      </c>
      <c r="G26">
        <v>21</v>
      </c>
      <c r="H26">
        <v>9</v>
      </c>
      <c r="I26">
        <v>469038.29</v>
      </c>
      <c r="J26">
        <v>174638.34</v>
      </c>
      <c r="K26">
        <v>174638.34</v>
      </c>
      <c r="L26">
        <v>59262.91</v>
      </c>
      <c r="M26">
        <v>206.34</v>
      </c>
      <c r="N26">
        <v>486.37</v>
      </c>
      <c r="O26">
        <v>7.91</v>
      </c>
      <c r="P26">
        <v>3</v>
      </c>
      <c r="Q26">
        <v>4.07</v>
      </c>
      <c r="R26" t="s">
        <v>44</v>
      </c>
    </row>
    <row r="27" spans="1:18" x14ac:dyDescent="0.35">
      <c r="A27" s="1" t="s">
        <v>22</v>
      </c>
      <c r="B27" t="s">
        <v>42</v>
      </c>
      <c r="C27" t="s">
        <v>46</v>
      </c>
      <c r="D27" t="s">
        <v>29</v>
      </c>
      <c r="E27">
        <v>40</v>
      </c>
      <c r="F27">
        <v>20</v>
      </c>
      <c r="G27">
        <v>15</v>
      </c>
      <c r="H27">
        <v>9</v>
      </c>
      <c r="I27">
        <v>679724.35</v>
      </c>
      <c r="J27">
        <v>284563.01</v>
      </c>
      <c r="K27">
        <v>284563.01</v>
      </c>
      <c r="L27">
        <v>179321.34</v>
      </c>
      <c r="M27">
        <v>1030.19</v>
      </c>
      <c r="N27">
        <v>2060.38</v>
      </c>
      <c r="O27">
        <v>3.79</v>
      </c>
      <c r="P27">
        <v>3</v>
      </c>
      <c r="Q27">
        <v>7.56</v>
      </c>
      <c r="R27" t="s">
        <v>44</v>
      </c>
    </row>
    <row r="28" spans="1:18" x14ac:dyDescent="0.35">
      <c r="A28" s="1" t="s">
        <v>22</v>
      </c>
      <c r="B28" t="s">
        <v>42</v>
      </c>
      <c r="C28" t="s">
        <v>46</v>
      </c>
      <c r="D28" t="s">
        <v>30</v>
      </c>
      <c r="E28">
        <v>114</v>
      </c>
      <c r="F28">
        <v>34</v>
      </c>
      <c r="G28">
        <v>24</v>
      </c>
      <c r="H28">
        <v>11</v>
      </c>
      <c r="I28">
        <v>467339.9</v>
      </c>
      <c r="J28">
        <v>148991.47</v>
      </c>
      <c r="K28">
        <v>148991.47</v>
      </c>
      <c r="L28">
        <v>150363.92000000001</v>
      </c>
      <c r="M28">
        <v>303.10000000000002</v>
      </c>
      <c r="N28">
        <v>1016.27</v>
      </c>
      <c r="O28">
        <v>3.11</v>
      </c>
      <c r="P28">
        <v>3</v>
      </c>
      <c r="Q28">
        <v>12.11</v>
      </c>
      <c r="R28" t="s">
        <v>44</v>
      </c>
    </row>
    <row r="29" spans="1:18" x14ac:dyDescent="0.35">
      <c r="A29" s="1" t="s">
        <v>22</v>
      </c>
      <c r="B29" t="s">
        <v>42</v>
      </c>
      <c r="C29" t="s">
        <v>46</v>
      </c>
      <c r="D29" t="s">
        <v>31</v>
      </c>
      <c r="E29">
        <v>35</v>
      </c>
      <c r="F29">
        <v>15</v>
      </c>
      <c r="G29">
        <v>12</v>
      </c>
      <c r="H29">
        <v>6</v>
      </c>
      <c r="I29">
        <v>495699.18</v>
      </c>
      <c r="J29">
        <v>148945.70000000001</v>
      </c>
      <c r="K29">
        <v>148945.70000000001</v>
      </c>
      <c r="L29">
        <v>288959.62</v>
      </c>
      <c r="M29">
        <v>1897.2</v>
      </c>
      <c r="N29">
        <v>4426.8</v>
      </c>
      <c r="O29">
        <v>1.72</v>
      </c>
      <c r="P29">
        <v>3</v>
      </c>
      <c r="Q29">
        <v>23.28</v>
      </c>
      <c r="R29" t="s">
        <v>44</v>
      </c>
    </row>
    <row r="30" spans="1:18" x14ac:dyDescent="0.35">
      <c r="A30" s="1" t="s">
        <v>22</v>
      </c>
      <c r="B30" t="s">
        <v>42</v>
      </c>
      <c r="C30" t="s">
        <v>46</v>
      </c>
      <c r="D30" t="s">
        <v>32</v>
      </c>
      <c r="E30">
        <v>7</v>
      </c>
      <c r="F30">
        <v>5</v>
      </c>
      <c r="G30">
        <v>3</v>
      </c>
      <c r="H30">
        <v>2</v>
      </c>
      <c r="I30">
        <v>204074.67</v>
      </c>
      <c r="J30">
        <v>80750.070000000007</v>
      </c>
      <c r="K30">
        <v>80750.070000000007</v>
      </c>
      <c r="L30">
        <v>19156.650000000001</v>
      </c>
      <c r="M30">
        <v>628.88</v>
      </c>
      <c r="N30">
        <v>880.43</v>
      </c>
      <c r="O30">
        <v>10.65</v>
      </c>
      <c r="P30">
        <v>3</v>
      </c>
      <c r="Q30">
        <v>2.85</v>
      </c>
      <c r="R30" t="s">
        <v>44</v>
      </c>
    </row>
    <row r="31" spans="1:18" x14ac:dyDescent="0.35">
      <c r="A31" s="1" t="s">
        <v>22</v>
      </c>
      <c r="B31" t="s">
        <v>42</v>
      </c>
      <c r="C31" t="s">
        <v>46</v>
      </c>
      <c r="D31" t="s">
        <v>33</v>
      </c>
      <c r="E31">
        <v>29</v>
      </c>
      <c r="F31">
        <v>14</v>
      </c>
      <c r="G31">
        <v>10</v>
      </c>
      <c r="H31">
        <v>5</v>
      </c>
      <c r="I31">
        <v>328656.71000000002</v>
      </c>
      <c r="J31">
        <v>112363.77</v>
      </c>
      <c r="K31">
        <v>112363.77</v>
      </c>
      <c r="L31">
        <v>29527.14</v>
      </c>
      <c r="M31">
        <v>233.97</v>
      </c>
      <c r="N31">
        <v>484.66</v>
      </c>
      <c r="O31">
        <v>11.13</v>
      </c>
      <c r="P31">
        <v>3</v>
      </c>
      <c r="Q31">
        <v>3.15</v>
      </c>
      <c r="R31" t="s">
        <v>44</v>
      </c>
    </row>
    <row r="32" spans="1:18" x14ac:dyDescent="0.35">
      <c r="A32" s="1" t="s">
        <v>22</v>
      </c>
      <c r="B32" t="s">
        <v>42</v>
      </c>
      <c r="C32" t="s">
        <v>46</v>
      </c>
      <c r="D32" t="s">
        <v>34</v>
      </c>
      <c r="E32">
        <v>177</v>
      </c>
      <c r="F32">
        <v>42</v>
      </c>
      <c r="G32">
        <v>34</v>
      </c>
      <c r="H32">
        <v>10</v>
      </c>
      <c r="I32">
        <v>380390.18</v>
      </c>
      <c r="J32">
        <v>112677.89</v>
      </c>
      <c r="K32">
        <v>112677.89</v>
      </c>
      <c r="L32">
        <v>184350.74</v>
      </c>
      <c r="M32">
        <v>239.34</v>
      </c>
      <c r="N32">
        <v>1008.65</v>
      </c>
      <c r="O32">
        <v>2.06</v>
      </c>
      <c r="P32">
        <v>3</v>
      </c>
      <c r="Q32">
        <v>19.63</v>
      </c>
      <c r="R32" t="s">
        <v>44</v>
      </c>
    </row>
    <row r="33" spans="1:18" x14ac:dyDescent="0.35">
      <c r="A33" s="1" t="s">
        <v>22</v>
      </c>
      <c r="B33" t="s">
        <v>42</v>
      </c>
      <c r="C33" t="s">
        <v>46</v>
      </c>
      <c r="D33" t="s">
        <v>35</v>
      </c>
      <c r="E33">
        <v>59</v>
      </c>
      <c r="F33">
        <v>22</v>
      </c>
      <c r="G33">
        <v>18</v>
      </c>
      <c r="H33">
        <v>7</v>
      </c>
      <c r="I33">
        <v>338447.93</v>
      </c>
      <c r="J33">
        <v>103814.73</v>
      </c>
      <c r="K33">
        <v>103814.73</v>
      </c>
      <c r="L33">
        <v>83046.720000000001</v>
      </c>
      <c r="M33">
        <v>323.45999999999998</v>
      </c>
      <c r="N33">
        <v>867.45</v>
      </c>
      <c r="O33">
        <v>4.08</v>
      </c>
      <c r="P33">
        <v>3</v>
      </c>
      <c r="Q33">
        <v>9.6</v>
      </c>
      <c r="R33" t="s">
        <v>44</v>
      </c>
    </row>
    <row r="34" spans="1:18" x14ac:dyDescent="0.35">
      <c r="A34" s="1" t="s">
        <v>22</v>
      </c>
      <c r="B34" t="s">
        <v>42</v>
      </c>
      <c r="C34" t="s">
        <v>46</v>
      </c>
      <c r="D34" t="s">
        <v>36</v>
      </c>
      <c r="E34">
        <v>1</v>
      </c>
      <c r="F34">
        <v>1</v>
      </c>
      <c r="G34">
        <v>0</v>
      </c>
      <c r="H34">
        <v>1</v>
      </c>
      <c r="I34">
        <v>69458.12</v>
      </c>
      <c r="J34">
        <v>33664.699999999997</v>
      </c>
      <c r="K34">
        <v>33664.699999999997</v>
      </c>
      <c r="L34">
        <v>3114.79</v>
      </c>
      <c r="M34">
        <v>715.77</v>
      </c>
      <c r="N34">
        <v>715.77</v>
      </c>
      <c r="O34">
        <v>22.3</v>
      </c>
      <c r="P34">
        <v>3</v>
      </c>
      <c r="Q34">
        <v>1.1100000000000001</v>
      </c>
      <c r="R34" t="s">
        <v>44</v>
      </c>
    </row>
    <row r="35" spans="1:18" x14ac:dyDescent="0.35">
      <c r="A35" s="1" t="s">
        <v>22</v>
      </c>
      <c r="B35" t="s">
        <v>42</v>
      </c>
      <c r="C35" t="s">
        <v>47</v>
      </c>
      <c r="D35" t="s">
        <v>25</v>
      </c>
      <c r="E35">
        <v>220</v>
      </c>
      <c r="F35">
        <v>75</v>
      </c>
      <c r="G35">
        <v>56</v>
      </c>
      <c r="H35">
        <v>25</v>
      </c>
      <c r="I35">
        <v>1146920.78</v>
      </c>
      <c r="J35">
        <v>364088.05</v>
      </c>
      <c r="K35">
        <v>364088.05</v>
      </c>
      <c r="L35">
        <v>439987.07</v>
      </c>
      <c r="M35">
        <v>632.07000000000005</v>
      </c>
      <c r="N35">
        <v>1854.08</v>
      </c>
      <c r="O35">
        <v>2.61</v>
      </c>
      <c r="P35">
        <v>3</v>
      </c>
      <c r="Q35">
        <v>14.5</v>
      </c>
      <c r="R35" t="s">
        <v>44</v>
      </c>
    </row>
    <row r="36" spans="1:18" x14ac:dyDescent="0.35">
      <c r="A36" s="1" t="s">
        <v>22</v>
      </c>
      <c r="B36" t="s">
        <v>42</v>
      </c>
      <c r="C36" t="s">
        <v>47</v>
      </c>
      <c r="D36" t="s">
        <v>27</v>
      </c>
      <c r="E36">
        <v>306</v>
      </c>
      <c r="F36">
        <v>76</v>
      </c>
      <c r="G36">
        <v>55</v>
      </c>
      <c r="H36">
        <v>21</v>
      </c>
      <c r="I36">
        <v>718023.07</v>
      </c>
      <c r="J36">
        <v>220179.73</v>
      </c>
      <c r="K36">
        <v>220179.73</v>
      </c>
      <c r="L36">
        <v>289323.95</v>
      </c>
      <c r="M36">
        <v>298.82</v>
      </c>
      <c r="N36">
        <v>1203.1500000000001</v>
      </c>
      <c r="O36">
        <v>2.48</v>
      </c>
      <c r="P36">
        <v>3</v>
      </c>
      <c r="Q36">
        <v>15.77</v>
      </c>
      <c r="R36" t="s">
        <v>44</v>
      </c>
    </row>
    <row r="37" spans="1:18" x14ac:dyDescent="0.35">
      <c r="A37" s="1" t="s">
        <v>22</v>
      </c>
      <c r="B37" t="s">
        <v>42</v>
      </c>
      <c r="C37" t="s">
        <v>47</v>
      </c>
      <c r="D37" t="s">
        <v>28</v>
      </c>
      <c r="E37">
        <v>63</v>
      </c>
      <c r="F37">
        <v>27</v>
      </c>
      <c r="G37">
        <v>20</v>
      </c>
      <c r="H37">
        <v>9</v>
      </c>
      <c r="I37">
        <v>400175.93</v>
      </c>
      <c r="J37">
        <v>143299.14000000001</v>
      </c>
      <c r="K37">
        <v>143299.14000000001</v>
      </c>
      <c r="L37">
        <v>41759.230000000003</v>
      </c>
      <c r="M37">
        <v>209.49</v>
      </c>
      <c r="N37">
        <v>488.81</v>
      </c>
      <c r="O37">
        <v>9.58</v>
      </c>
      <c r="P37">
        <v>3</v>
      </c>
      <c r="Q37">
        <v>3.5</v>
      </c>
      <c r="R37" t="s">
        <v>44</v>
      </c>
    </row>
    <row r="38" spans="1:18" x14ac:dyDescent="0.35">
      <c r="A38" s="1" t="s">
        <v>22</v>
      </c>
      <c r="B38" t="s">
        <v>42</v>
      </c>
      <c r="C38" t="s">
        <v>47</v>
      </c>
      <c r="D38" t="s">
        <v>29</v>
      </c>
      <c r="E38">
        <v>57</v>
      </c>
      <c r="F38">
        <v>28</v>
      </c>
      <c r="G38">
        <v>20</v>
      </c>
      <c r="H38">
        <v>12</v>
      </c>
      <c r="I38">
        <v>691668.66</v>
      </c>
      <c r="J38">
        <v>279788.34000000003</v>
      </c>
      <c r="K38">
        <v>279788.34000000003</v>
      </c>
      <c r="L38">
        <v>162146.92000000001</v>
      </c>
      <c r="M38">
        <v>899.05</v>
      </c>
      <c r="N38">
        <v>1830.21</v>
      </c>
      <c r="O38">
        <v>4.2699999999999996</v>
      </c>
      <c r="P38">
        <v>3</v>
      </c>
      <c r="Q38">
        <v>6.95</v>
      </c>
      <c r="R38" t="s">
        <v>44</v>
      </c>
    </row>
    <row r="39" spans="1:18" x14ac:dyDescent="0.35">
      <c r="A39" s="1" t="s">
        <v>22</v>
      </c>
      <c r="B39" t="s">
        <v>42</v>
      </c>
      <c r="C39" t="s">
        <v>47</v>
      </c>
      <c r="D39" t="s">
        <v>30</v>
      </c>
      <c r="E39">
        <v>128</v>
      </c>
      <c r="F39">
        <v>38</v>
      </c>
      <c r="G39">
        <v>31</v>
      </c>
      <c r="H39">
        <v>12</v>
      </c>
      <c r="I39">
        <v>455467.24</v>
      </c>
      <c r="J39">
        <v>149926.79999999999</v>
      </c>
      <c r="K39">
        <v>149926.79999999999</v>
      </c>
      <c r="L39">
        <v>118606.23</v>
      </c>
      <c r="M39">
        <v>292.85000000000002</v>
      </c>
      <c r="N39">
        <v>986.45</v>
      </c>
      <c r="O39">
        <v>3.84</v>
      </c>
      <c r="P39">
        <v>3</v>
      </c>
      <c r="Q39">
        <v>9.49</v>
      </c>
      <c r="R39" t="s">
        <v>44</v>
      </c>
    </row>
    <row r="40" spans="1:18" x14ac:dyDescent="0.35">
      <c r="A40" s="1" t="s">
        <v>22</v>
      </c>
      <c r="B40" t="s">
        <v>42</v>
      </c>
      <c r="C40" t="s">
        <v>47</v>
      </c>
      <c r="D40" t="s">
        <v>31</v>
      </c>
      <c r="E40">
        <v>39</v>
      </c>
      <c r="F40">
        <v>17</v>
      </c>
      <c r="G40">
        <v>12</v>
      </c>
      <c r="H40">
        <v>6</v>
      </c>
      <c r="I40">
        <v>515832.52</v>
      </c>
      <c r="J40">
        <v>164292.87</v>
      </c>
      <c r="K40">
        <v>164292.87</v>
      </c>
      <c r="L40">
        <v>235258.88</v>
      </c>
      <c r="M40">
        <v>1906.47</v>
      </c>
      <c r="N40">
        <v>4373.67</v>
      </c>
      <c r="O40">
        <v>2.19</v>
      </c>
      <c r="P40">
        <v>3</v>
      </c>
      <c r="Q40">
        <v>17.18</v>
      </c>
      <c r="R40" t="s">
        <v>44</v>
      </c>
    </row>
    <row r="41" spans="1:18" x14ac:dyDescent="0.35">
      <c r="A41" s="1" t="s">
        <v>22</v>
      </c>
      <c r="B41" t="s">
        <v>42</v>
      </c>
      <c r="C41" t="s">
        <v>47</v>
      </c>
      <c r="D41" t="s">
        <v>32</v>
      </c>
      <c r="E41">
        <v>8</v>
      </c>
      <c r="F41">
        <v>5</v>
      </c>
      <c r="G41">
        <v>4</v>
      </c>
      <c r="H41">
        <v>2</v>
      </c>
      <c r="I41">
        <v>187298.77</v>
      </c>
      <c r="J41">
        <v>77432.75</v>
      </c>
      <c r="K41">
        <v>77432.75</v>
      </c>
      <c r="L41">
        <v>12539.25</v>
      </c>
      <c r="M41">
        <v>495.37</v>
      </c>
      <c r="N41">
        <v>792.59</v>
      </c>
      <c r="O41">
        <v>14.94</v>
      </c>
      <c r="P41">
        <v>3</v>
      </c>
      <c r="Q41">
        <v>1.94</v>
      </c>
      <c r="R41" t="s">
        <v>44</v>
      </c>
    </row>
    <row r="42" spans="1:18" x14ac:dyDescent="0.35">
      <c r="A42" s="1" t="s">
        <v>22</v>
      </c>
      <c r="B42" t="s">
        <v>42</v>
      </c>
      <c r="C42" t="s">
        <v>47</v>
      </c>
      <c r="D42" t="s">
        <v>33</v>
      </c>
      <c r="E42">
        <v>41</v>
      </c>
      <c r="F42">
        <v>19</v>
      </c>
      <c r="G42">
        <v>16</v>
      </c>
      <c r="H42">
        <v>7</v>
      </c>
      <c r="I42">
        <v>346060.62</v>
      </c>
      <c r="J42">
        <v>119189.14</v>
      </c>
      <c r="K42">
        <v>119189.14</v>
      </c>
      <c r="L42">
        <v>31323.29</v>
      </c>
      <c r="M42">
        <v>241.45</v>
      </c>
      <c r="N42">
        <v>521.03</v>
      </c>
      <c r="O42">
        <v>11.05</v>
      </c>
      <c r="P42">
        <v>3</v>
      </c>
      <c r="Q42">
        <v>3.15</v>
      </c>
      <c r="R42" t="s">
        <v>44</v>
      </c>
    </row>
    <row r="43" spans="1:18" x14ac:dyDescent="0.35">
      <c r="A43" s="1" t="s">
        <v>22</v>
      </c>
      <c r="B43" t="s">
        <v>42</v>
      </c>
      <c r="C43" t="s">
        <v>47</v>
      </c>
      <c r="D43" t="s">
        <v>34</v>
      </c>
      <c r="E43">
        <v>242</v>
      </c>
      <c r="F43">
        <v>58</v>
      </c>
      <c r="G43">
        <v>46</v>
      </c>
      <c r="H43">
        <v>14</v>
      </c>
      <c r="I43">
        <v>462475.54</v>
      </c>
      <c r="J43">
        <v>116407.26</v>
      </c>
      <c r="K43">
        <v>116407.26</v>
      </c>
      <c r="L43">
        <v>168887.98</v>
      </c>
      <c r="M43">
        <v>220.56</v>
      </c>
      <c r="N43">
        <v>920.28</v>
      </c>
      <c r="O43">
        <v>2.74</v>
      </c>
      <c r="P43">
        <v>3</v>
      </c>
      <c r="Q43">
        <v>17.41</v>
      </c>
      <c r="R43" t="s">
        <v>44</v>
      </c>
    </row>
    <row r="44" spans="1:18" x14ac:dyDescent="0.35">
      <c r="A44" s="1" t="s">
        <v>22</v>
      </c>
      <c r="B44" t="s">
        <v>42</v>
      </c>
      <c r="C44" t="s">
        <v>47</v>
      </c>
      <c r="D44" t="s">
        <v>35</v>
      </c>
      <c r="E44">
        <v>65</v>
      </c>
      <c r="F44">
        <v>24</v>
      </c>
      <c r="G44">
        <v>18</v>
      </c>
      <c r="H44">
        <v>7</v>
      </c>
      <c r="I44">
        <v>301361.94</v>
      </c>
      <c r="J44">
        <v>98954.64</v>
      </c>
      <c r="K44">
        <v>98954.64</v>
      </c>
      <c r="L44">
        <v>60906.17</v>
      </c>
      <c r="M44">
        <v>296.14</v>
      </c>
      <c r="N44">
        <v>802.05</v>
      </c>
      <c r="O44">
        <v>4.95</v>
      </c>
      <c r="P44">
        <v>3</v>
      </c>
      <c r="Q44">
        <v>7.39</v>
      </c>
      <c r="R44" t="s">
        <v>44</v>
      </c>
    </row>
    <row r="45" spans="1:18" x14ac:dyDescent="0.35">
      <c r="A45" s="1" t="s">
        <v>22</v>
      </c>
      <c r="B45" t="s">
        <v>42</v>
      </c>
      <c r="C45" t="s">
        <v>47</v>
      </c>
      <c r="D45" t="s">
        <v>36</v>
      </c>
      <c r="E45">
        <v>1</v>
      </c>
      <c r="F45">
        <v>1</v>
      </c>
      <c r="G45">
        <v>0</v>
      </c>
      <c r="H45">
        <v>1</v>
      </c>
      <c r="I45">
        <v>70044.94</v>
      </c>
      <c r="J45">
        <v>31551.279999999999</v>
      </c>
      <c r="K45">
        <v>31551.279999999999</v>
      </c>
      <c r="L45">
        <v>2161.15</v>
      </c>
      <c r="M45">
        <v>683.02</v>
      </c>
      <c r="N45">
        <v>683.02</v>
      </c>
      <c r="O45">
        <v>32.409999999999997</v>
      </c>
      <c r="P45">
        <v>3</v>
      </c>
      <c r="Q45">
        <v>0.82</v>
      </c>
      <c r="R45" t="s">
        <v>44</v>
      </c>
    </row>
    <row r="46" spans="1:18" x14ac:dyDescent="0.35">
      <c r="A46" s="1" t="s">
        <v>22</v>
      </c>
      <c r="B46" t="s">
        <v>42</v>
      </c>
      <c r="C46" t="s">
        <v>48</v>
      </c>
      <c r="D46" t="s">
        <v>25</v>
      </c>
      <c r="E46">
        <v>260</v>
      </c>
      <c r="F46">
        <v>89</v>
      </c>
      <c r="G46">
        <v>73</v>
      </c>
      <c r="H46">
        <v>30</v>
      </c>
      <c r="I46">
        <v>1128294.03</v>
      </c>
      <c r="J46">
        <v>402743.56</v>
      </c>
      <c r="K46">
        <v>402743.56</v>
      </c>
      <c r="L46">
        <v>366795.43</v>
      </c>
      <c r="M46">
        <v>519.13</v>
      </c>
      <c r="N46">
        <v>1516.56</v>
      </c>
      <c r="O46">
        <v>3.08</v>
      </c>
      <c r="P46">
        <v>3</v>
      </c>
      <c r="Q46">
        <v>10.93</v>
      </c>
      <c r="R46" t="s">
        <v>44</v>
      </c>
    </row>
    <row r="47" spans="1:18" x14ac:dyDescent="0.35">
      <c r="A47" s="1" t="s">
        <v>22</v>
      </c>
      <c r="B47" t="s">
        <v>42</v>
      </c>
      <c r="C47" t="s">
        <v>48</v>
      </c>
      <c r="D47" t="s">
        <v>27</v>
      </c>
      <c r="E47">
        <v>318</v>
      </c>
      <c r="F47">
        <v>79</v>
      </c>
      <c r="G47">
        <v>60</v>
      </c>
      <c r="H47">
        <v>21</v>
      </c>
      <c r="I47">
        <v>633630.44999999995</v>
      </c>
      <c r="J47">
        <v>178115.82</v>
      </c>
      <c r="K47">
        <v>178115.82</v>
      </c>
      <c r="L47">
        <v>262788.75</v>
      </c>
      <c r="M47">
        <v>304.08999999999997</v>
      </c>
      <c r="N47">
        <v>1224.07</v>
      </c>
      <c r="O47">
        <v>2.41</v>
      </c>
      <c r="P47">
        <v>3</v>
      </c>
      <c r="Q47">
        <v>17.7</v>
      </c>
      <c r="R47" t="s">
        <v>44</v>
      </c>
    </row>
    <row r="48" spans="1:18" x14ac:dyDescent="0.35">
      <c r="A48" s="1" t="s">
        <v>22</v>
      </c>
      <c r="B48" t="s">
        <v>42</v>
      </c>
      <c r="C48" t="s">
        <v>48</v>
      </c>
      <c r="D48" t="s">
        <v>28</v>
      </c>
      <c r="E48">
        <v>75</v>
      </c>
      <c r="F48">
        <v>32</v>
      </c>
      <c r="G48">
        <v>26</v>
      </c>
      <c r="H48">
        <v>11</v>
      </c>
      <c r="I48">
        <v>396504.77</v>
      </c>
      <c r="J48">
        <v>142610.18</v>
      </c>
      <c r="K48">
        <v>142610.18</v>
      </c>
      <c r="L48">
        <v>43073.5</v>
      </c>
      <c r="M48">
        <v>211.34</v>
      </c>
      <c r="N48">
        <v>495.32</v>
      </c>
      <c r="O48">
        <v>9.2100000000000009</v>
      </c>
      <c r="P48">
        <v>3</v>
      </c>
      <c r="Q48">
        <v>3.62</v>
      </c>
      <c r="R48" t="s">
        <v>44</v>
      </c>
    </row>
    <row r="49" spans="1:18" x14ac:dyDescent="0.35">
      <c r="A49" s="1" t="s">
        <v>22</v>
      </c>
      <c r="B49" t="s">
        <v>42</v>
      </c>
      <c r="C49" t="s">
        <v>48</v>
      </c>
      <c r="D49" t="s">
        <v>29</v>
      </c>
      <c r="E49">
        <v>58</v>
      </c>
      <c r="F49">
        <v>29</v>
      </c>
      <c r="G49">
        <v>20</v>
      </c>
      <c r="H49">
        <v>12</v>
      </c>
      <c r="I49">
        <v>622645.97</v>
      </c>
      <c r="J49">
        <v>236439.21</v>
      </c>
      <c r="K49">
        <v>236439.21</v>
      </c>
      <c r="L49">
        <v>150016.85</v>
      </c>
      <c r="M49">
        <v>951.78</v>
      </c>
      <c r="N49">
        <v>1903.56</v>
      </c>
      <c r="O49">
        <v>4.1500000000000004</v>
      </c>
      <c r="P49">
        <v>3</v>
      </c>
      <c r="Q49">
        <v>7.61</v>
      </c>
      <c r="R49" t="s">
        <v>44</v>
      </c>
    </row>
    <row r="50" spans="1:18" x14ac:dyDescent="0.35">
      <c r="A50" s="1" t="s">
        <v>22</v>
      </c>
      <c r="B50" t="s">
        <v>42</v>
      </c>
      <c r="C50" t="s">
        <v>48</v>
      </c>
      <c r="D50" t="s">
        <v>30</v>
      </c>
      <c r="E50">
        <v>146</v>
      </c>
      <c r="F50">
        <v>44</v>
      </c>
      <c r="G50">
        <v>34</v>
      </c>
      <c r="H50">
        <v>14</v>
      </c>
      <c r="I50">
        <v>464707.35</v>
      </c>
      <c r="J50">
        <v>140441.46</v>
      </c>
      <c r="K50">
        <v>140441.46</v>
      </c>
      <c r="L50">
        <v>129912.36</v>
      </c>
      <c r="M50">
        <v>327.43</v>
      </c>
      <c r="N50">
        <v>1086.48</v>
      </c>
      <c r="O50">
        <v>3.58</v>
      </c>
      <c r="P50">
        <v>3</v>
      </c>
      <c r="Q50">
        <v>11.1</v>
      </c>
      <c r="R50" t="s">
        <v>44</v>
      </c>
    </row>
    <row r="51" spans="1:18" x14ac:dyDescent="0.35">
      <c r="A51" s="1" t="s">
        <v>22</v>
      </c>
      <c r="B51" t="s">
        <v>42</v>
      </c>
      <c r="C51" t="s">
        <v>48</v>
      </c>
      <c r="D51" t="s">
        <v>31</v>
      </c>
      <c r="E51">
        <v>50</v>
      </c>
      <c r="F51">
        <v>21</v>
      </c>
      <c r="G51">
        <v>18</v>
      </c>
      <c r="H51">
        <v>8</v>
      </c>
      <c r="I51">
        <v>527220.47</v>
      </c>
      <c r="J51">
        <v>153895.32</v>
      </c>
      <c r="K51">
        <v>153895.32</v>
      </c>
      <c r="L51">
        <v>212178.13</v>
      </c>
      <c r="M51">
        <v>1561.55</v>
      </c>
      <c r="N51">
        <v>3717.98</v>
      </c>
      <c r="O51">
        <v>2.48</v>
      </c>
      <c r="P51">
        <v>3</v>
      </c>
      <c r="Q51">
        <v>16.54</v>
      </c>
      <c r="R51" t="s">
        <v>44</v>
      </c>
    </row>
    <row r="52" spans="1:18" x14ac:dyDescent="0.35">
      <c r="A52" s="1" t="s">
        <v>22</v>
      </c>
      <c r="B52" t="s">
        <v>42</v>
      </c>
      <c r="C52" t="s">
        <v>48</v>
      </c>
      <c r="D52" t="s">
        <v>32</v>
      </c>
      <c r="E52">
        <v>13</v>
      </c>
      <c r="F52">
        <v>8</v>
      </c>
      <c r="G52">
        <v>5</v>
      </c>
      <c r="H52">
        <v>4</v>
      </c>
      <c r="I52">
        <v>204313.1</v>
      </c>
      <c r="J52">
        <v>85990.23</v>
      </c>
      <c r="K52">
        <v>85990.23</v>
      </c>
      <c r="L52">
        <v>12675.79</v>
      </c>
      <c r="M52">
        <v>358.8</v>
      </c>
      <c r="N52">
        <v>583.05999999999995</v>
      </c>
      <c r="O52">
        <v>16.12</v>
      </c>
      <c r="P52">
        <v>3</v>
      </c>
      <c r="Q52">
        <v>1.77</v>
      </c>
      <c r="R52" t="s">
        <v>44</v>
      </c>
    </row>
    <row r="53" spans="1:18" x14ac:dyDescent="0.35">
      <c r="A53" s="1" t="s">
        <v>22</v>
      </c>
      <c r="B53" t="s">
        <v>42</v>
      </c>
      <c r="C53" t="s">
        <v>48</v>
      </c>
      <c r="D53" t="s">
        <v>33</v>
      </c>
      <c r="E53">
        <v>53</v>
      </c>
      <c r="F53">
        <v>26</v>
      </c>
      <c r="G53">
        <v>18</v>
      </c>
      <c r="H53">
        <v>10</v>
      </c>
      <c r="I53">
        <v>352212.58</v>
      </c>
      <c r="J53">
        <v>115703.52</v>
      </c>
      <c r="K53">
        <v>115703.52</v>
      </c>
      <c r="L53">
        <v>26476.61</v>
      </c>
      <c r="M53">
        <v>183.83</v>
      </c>
      <c r="N53">
        <v>374.73</v>
      </c>
      <c r="O53">
        <v>13.3</v>
      </c>
      <c r="P53">
        <v>3</v>
      </c>
      <c r="Q53">
        <v>2.75</v>
      </c>
      <c r="R53" t="s">
        <v>44</v>
      </c>
    </row>
    <row r="54" spans="1:18" x14ac:dyDescent="0.35">
      <c r="A54" s="1" t="s">
        <v>22</v>
      </c>
      <c r="B54" t="s">
        <v>42</v>
      </c>
      <c r="C54" t="s">
        <v>48</v>
      </c>
      <c r="D54" t="s">
        <v>34</v>
      </c>
      <c r="E54">
        <v>232</v>
      </c>
      <c r="F54">
        <v>56</v>
      </c>
      <c r="G54">
        <v>44</v>
      </c>
      <c r="H54">
        <v>14</v>
      </c>
      <c r="I54">
        <v>369932.32</v>
      </c>
      <c r="J54">
        <v>109043.44</v>
      </c>
      <c r="K54">
        <v>109043.44</v>
      </c>
      <c r="L54">
        <v>136765.49</v>
      </c>
      <c r="M54">
        <v>216.93</v>
      </c>
      <c r="N54">
        <v>898.7</v>
      </c>
      <c r="O54">
        <v>2.7</v>
      </c>
      <c r="P54">
        <v>3</v>
      </c>
      <c r="Q54">
        <v>15.05</v>
      </c>
      <c r="R54" t="s">
        <v>44</v>
      </c>
    </row>
    <row r="55" spans="1:18" x14ac:dyDescent="0.35">
      <c r="A55" s="1" t="s">
        <v>22</v>
      </c>
      <c r="B55" t="s">
        <v>42</v>
      </c>
      <c r="C55" t="s">
        <v>48</v>
      </c>
      <c r="D55" t="s">
        <v>35</v>
      </c>
      <c r="E55">
        <v>68</v>
      </c>
      <c r="F55">
        <v>25</v>
      </c>
      <c r="G55">
        <v>20</v>
      </c>
      <c r="H55">
        <v>8</v>
      </c>
      <c r="I55">
        <v>274635.09999999998</v>
      </c>
      <c r="J55">
        <v>82355.91</v>
      </c>
      <c r="K55">
        <v>82355.91</v>
      </c>
      <c r="L55">
        <v>58410.73</v>
      </c>
      <c r="M55">
        <v>316.08999999999997</v>
      </c>
      <c r="N55">
        <v>859.76</v>
      </c>
      <c r="O55">
        <v>4.7</v>
      </c>
      <c r="P55">
        <v>3</v>
      </c>
      <c r="Q55">
        <v>8.51</v>
      </c>
      <c r="R55" t="s">
        <v>44</v>
      </c>
    </row>
    <row r="56" spans="1:18" x14ac:dyDescent="0.35">
      <c r="A56" s="1" t="s">
        <v>22</v>
      </c>
      <c r="B56" t="s">
        <v>42</v>
      </c>
      <c r="C56" t="s">
        <v>48</v>
      </c>
      <c r="D56" t="s">
        <v>36</v>
      </c>
      <c r="E56">
        <v>1</v>
      </c>
      <c r="F56">
        <v>1</v>
      </c>
      <c r="G56">
        <v>0</v>
      </c>
      <c r="H56">
        <v>1</v>
      </c>
      <c r="I56">
        <v>61082.86</v>
      </c>
      <c r="J56">
        <v>31054.35</v>
      </c>
      <c r="K56">
        <v>31054.35</v>
      </c>
      <c r="L56">
        <v>1996.84</v>
      </c>
      <c r="M56">
        <v>734.8</v>
      </c>
      <c r="N56">
        <v>734.8</v>
      </c>
      <c r="O56">
        <v>30.59</v>
      </c>
      <c r="P56">
        <v>3</v>
      </c>
      <c r="Q56">
        <v>0.77</v>
      </c>
      <c r="R56" t="s">
        <v>44</v>
      </c>
    </row>
    <row r="57" spans="1:18" x14ac:dyDescent="0.35">
      <c r="A57" s="1" t="s">
        <v>22</v>
      </c>
      <c r="B57" t="s">
        <v>42</v>
      </c>
      <c r="C57" t="s">
        <v>49</v>
      </c>
      <c r="D57" t="s">
        <v>25</v>
      </c>
      <c r="E57">
        <v>250</v>
      </c>
      <c r="F57">
        <v>85</v>
      </c>
      <c r="G57">
        <v>66</v>
      </c>
      <c r="H57">
        <v>29</v>
      </c>
      <c r="I57">
        <v>986061.51</v>
      </c>
      <c r="J57">
        <v>326185.62</v>
      </c>
      <c r="K57">
        <v>326185.62</v>
      </c>
      <c r="L57">
        <v>414379.81</v>
      </c>
      <c r="M57">
        <v>634.72</v>
      </c>
      <c r="N57">
        <v>1866.82</v>
      </c>
      <c r="O57">
        <v>2.38</v>
      </c>
      <c r="P57">
        <v>3</v>
      </c>
      <c r="Q57">
        <v>15.24</v>
      </c>
      <c r="R57" t="s">
        <v>44</v>
      </c>
    </row>
    <row r="58" spans="1:18" x14ac:dyDescent="0.35">
      <c r="A58" s="1" t="s">
        <v>22</v>
      </c>
      <c r="B58" t="s">
        <v>42</v>
      </c>
      <c r="C58" t="s">
        <v>49</v>
      </c>
      <c r="D58" t="s">
        <v>27</v>
      </c>
      <c r="E58">
        <v>338</v>
      </c>
      <c r="F58">
        <v>84</v>
      </c>
      <c r="G58">
        <v>64</v>
      </c>
      <c r="H58">
        <v>23</v>
      </c>
      <c r="I58">
        <v>599923.77</v>
      </c>
      <c r="J58">
        <v>181652.4</v>
      </c>
      <c r="K58">
        <v>181652.4</v>
      </c>
      <c r="L58">
        <v>277993.59000000003</v>
      </c>
      <c r="M58">
        <v>314.95</v>
      </c>
      <c r="N58">
        <v>1267.3</v>
      </c>
      <c r="O58">
        <v>2.16</v>
      </c>
      <c r="P58">
        <v>3</v>
      </c>
      <c r="Q58">
        <v>18.36</v>
      </c>
      <c r="R58" t="s">
        <v>44</v>
      </c>
    </row>
    <row r="59" spans="1:18" x14ac:dyDescent="0.35">
      <c r="A59" s="1" t="s">
        <v>22</v>
      </c>
      <c r="B59" t="s">
        <v>42</v>
      </c>
      <c r="C59" t="s">
        <v>49</v>
      </c>
      <c r="D59" t="s">
        <v>28</v>
      </c>
      <c r="E59">
        <v>92</v>
      </c>
      <c r="F59">
        <v>38</v>
      </c>
      <c r="G59">
        <v>32</v>
      </c>
      <c r="H59">
        <v>13</v>
      </c>
      <c r="I59">
        <v>418420.35</v>
      </c>
      <c r="J59">
        <v>149484.01999999999</v>
      </c>
      <c r="K59">
        <v>149484.01999999999</v>
      </c>
      <c r="L59">
        <v>43497.88</v>
      </c>
      <c r="M59">
        <v>181.05</v>
      </c>
      <c r="N59">
        <v>438.34</v>
      </c>
      <c r="O59">
        <v>9.6199999999999992</v>
      </c>
      <c r="P59">
        <v>3</v>
      </c>
      <c r="Q59">
        <v>3.49</v>
      </c>
      <c r="R59" t="s">
        <v>44</v>
      </c>
    </row>
    <row r="60" spans="1:18" x14ac:dyDescent="0.35">
      <c r="A60" s="1" t="s">
        <v>22</v>
      </c>
      <c r="B60" t="s">
        <v>42</v>
      </c>
      <c r="C60" t="s">
        <v>49</v>
      </c>
      <c r="D60" t="s">
        <v>29</v>
      </c>
      <c r="E60">
        <v>67</v>
      </c>
      <c r="F60">
        <v>33</v>
      </c>
      <c r="G60">
        <v>27</v>
      </c>
      <c r="H60">
        <v>15</v>
      </c>
      <c r="I60">
        <v>726095.09</v>
      </c>
      <c r="J60">
        <v>266854.53999999998</v>
      </c>
      <c r="K60">
        <v>266854.53999999998</v>
      </c>
      <c r="L60">
        <v>163411.5</v>
      </c>
      <c r="M60">
        <v>933.97</v>
      </c>
      <c r="N60">
        <v>1896.23</v>
      </c>
      <c r="O60">
        <v>4.4400000000000004</v>
      </c>
      <c r="P60">
        <v>3</v>
      </c>
      <c r="Q60">
        <v>7.35</v>
      </c>
      <c r="R60" t="s">
        <v>44</v>
      </c>
    </row>
    <row r="61" spans="1:18" x14ac:dyDescent="0.35">
      <c r="A61" s="1" t="s">
        <v>22</v>
      </c>
      <c r="B61" t="s">
        <v>42</v>
      </c>
      <c r="C61" t="s">
        <v>49</v>
      </c>
      <c r="D61" t="s">
        <v>30</v>
      </c>
      <c r="E61">
        <v>161</v>
      </c>
      <c r="F61">
        <v>48</v>
      </c>
      <c r="G61">
        <v>37</v>
      </c>
      <c r="H61">
        <v>15</v>
      </c>
      <c r="I61">
        <v>454188.88</v>
      </c>
      <c r="J61">
        <v>145749.29</v>
      </c>
      <c r="K61">
        <v>145749.29</v>
      </c>
      <c r="L61">
        <v>125272.51</v>
      </c>
      <c r="M61">
        <v>297.95999999999998</v>
      </c>
      <c r="N61">
        <v>999.4</v>
      </c>
      <c r="O61">
        <v>3.63</v>
      </c>
      <c r="P61">
        <v>3</v>
      </c>
      <c r="Q61">
        <v>10.31</v>
      </c>
      <c r="R61" t="s">
        <v>44</v>
      </c>
    </row>
    <row r="62" spans="1:18" x14ac:dyDescent="0.35">
      <c r="A62" s="1" t="s">
        <v>22</v>
      </c>
      <c r="B62" t="s">
        <v>42</v>
      </c>
      <c r="C62" t="s">
        <v>49</v>
      </c>
      <c r="D62" t="s">
        <v>31</v>
      </c>
      <c r="E62">
        <v>50</v>
      </c>
      <c r="F62">
        <v>21</v>
      </c>
      <c r="G62">
        <v>15</v>
      </c>
      <c r="H62">
        <v>8</v>
      </c>
      <c r="I62">
        <v>482352.92</v>
      </c>
      <c r="J62">
        <v>148893.07</v>
      </c>
      <c r="K62">
        <v>148893.07</v>
      </c>
      <c r="L62">
        <v>237673.49</v>
      </c>
      <c r="M62">
        <v>1820.26</v>
      </c>
      <c r="N62">
        <v>4333.96</v>
      </c>
      <c r="O62">
        <v>2.0299999999999998</v>
      </c>
      <c r="P62">
        <v>3</v>
      </c>
      <c r="Q62">
        <v>19.16</v>
      </c>
      <c r="R62" t="s">
        <v>44</v>
      </c>
    </row>
    <row r="63" spans="1:18" x14ac:dyDescent="0.35">
      <c r="A63" s="1" t="s">
        <v>22</v>
      </c>
      <c r="B63" t="s">
        <v>42</v>
      </c>
      <c r="C63" t="s">
        <v>49</v>
      </c>
      <c r="D63" t="s">
        <v>32</v>
      </c>
      <c r="E63">
        <v>11</v>
      </c>
      <c r="F63">
        <v>7</v>
      </c>
      <c r="G63">
        <v>4</v>
      </c>
      <c r="H63">
        <v>3</v>
      </c>
      <c r="I63">
        <v>158831.98000000001</v>
      </c>
      <c r="J63">
        <v>66328.740000000005</v>
      </c>
      <c r="K63">
        <v>66328.740000000005</v>
      </c>
      <c r="L63">
        <v>10449.23</v>
      </c>
      <c r="M63">
        <v>363.76</v>
      </c>
      <c r="N63">
        <v>571.62</v>
      </c>
      <c r="O63">
        <v>15.2</v>
      </c>
      <c r="P63">
        <v>3</v>
      </c>
      <c r="Q63">
        <v>1.89</v>
      </c>
      <c r="R63" t="s">
        <v>44</v>
      </c>
    </row>
    <row r="64" spans="1:18" x14ac:dyDescent="0.35">
      <c r="A64" s="1" t="s">
        <v>22</v>
      </c>
      <c r="B64" t="s">
        <v>42</v>
      </c>
      <c r="C64" t="s">
        <v>49</v>
      </c>
      <c r="D64" t="s">
        <v>33</v>
      </c>
      <c r="E64">
        <v>57</v>
      </c>
      <c r="F64">
        <v>28</v>
      </c>
      <c r="G64">
        <v>23</v>
      </c>
      <c r="H64">
        <v>10</v>
      </c>
      <c r="I64">
        <v>343144.33</v>
      </c>
      <c r="J64">
        <v>121437.72</v>
      </c>
      <c r="K64">
        <v>121437.72</v>
      </c>
      <c r="L64">
        <v>30071.54</v>
      </c>
      <c r="M64">
        <v>202.02</v>
      </c>
      <c r="N64">
        <v>411.26</v>
      </c>
      <c r="O64">
        <v>11.41</v>
      </c>
      <c r="P64">
        <v>3</v>
      </c>
      <c r="Q64">
        <v>2.97</v>
      </c>
      <c r="R64" t="s">
        <v>44</v>
      </c>
    </row>
    <row r="65" spans="1:18" x14ac:dyDescent="0.35">
      <c r="A65" s="1" t="s">
        <v>22</v>
      </c>
      <c r="B65" t="s">
        <v>42</v>
      </c>
      <c r="C65" t="s">
        <v>49</v>
      </c>
      <c r="D65" t="s">
        <v>34</v>
      </c>
      <c r="E65">
        <v>286</v>
      </c>
      <c r="F65">
        <v>68</v>
      </c>
      <c r="G65">
        <v>58</v>
      </c>
      <c r="H65">
        <v>17</v>
      </c>
      <c r="I65">
        <v>414597.07</v>
      </c>
      <c r="J65">
        <v>114447.47</v>
      </c>
      <c r="K65">
        <v>114447.47</v>
      </c>
      <c r="L65">
        <v>176319.2</v>
      </c>
      <c r="M65">
        <v>236.08</v>
      </c>
      <c r="N65">
        <v>992.92</v>
      </c>
      <c r="O65">
        <v>2.35</v>
      </c>
      <c r="P65">
        <v>3</v>
      </c>
      <c r="Q65">
        <v>18.489999999999998</v>
      </c>
      <c r="R65" t="s">
        <v>44</v>
      </c>
    </row>
    <row r="66" spans="1:18" x14ac:dyDescent="0.35">
      <c r="A66" s="1" t="s">
        <v>22</v>
      </c>
      <c r="B66" t="s">
        <v>42</v>
      </c>
      <c r="C66" t="s">
        <v>49</v>
      </c>
      <c r="D66" t="s">
        <v>35</v>
      </c>
      <c r="E66">
        <v>89</v>
      </c>
      <c r="F66">
        <v>34</v>
      </c>
      <c r="G66">
        <v>26</v>
      </c>
      <c r="H66">
        <v>10</v>
      </c>
      <c r="I66">
        <v>309115.81</v>
      </c>
      <c r="J66">
        <v>100913.2</v>
      </c>
      <c r="K66">
        <v>100913.2</v>
      </c>
      <c r="L66">
        <v>65256.36</v>
      </c>
      <c r="M66">
        <v>280.77</v>
      </c>
      <c r="N66">
        <v>734.97</v>
      </c>
      <c r="O66">
        <v>4.74</v>
      </c>
      <c r="P66">
        <v>3</v>
      </c>
      <c r="Q66">
        <v>7.76</v>
      </c>
      <c r="R66" t="s">
        <v>44</v>
      </c>
    </row>
    <row r="67" spans="1:18" x14ac:dyDescent="0.35">
      <c r="A67" s="1" t="s">
        <v>22</v>
      </c>
      <c r="B67" t="s">
        <v>42</v>
      </c>
      <c r="C67" t="s">
        <v>49</v>
      </c>
      <c r="D67" t="s">
        <v>36</v>
      </c>
      <c r="E67">
        <v>1</v>
      </c>
      <c r="F67">
        <v>1</v>
      </c>
      <c r="G67">
        <v>0</v>
      </c>
      <c r="H67">
        <v>1</v>
      </c>
      <c r="I67">
        <v>65314.29</v>
      </c>
      <c r="J67">
        <v>30735.93</v>
      </c>
      <c r="K67">
        <v>30735.93</v>
      </c>
      <c r="L67">
        <v>2084.12</v>
      </c>
      <c r="M67">
        <v>798.08</v>
      </c>
      <c r="N67">
        <v>798.08</v>
      </c>
      <c r="O67">
        <v>31.34</v>
      </c>
      <c r="P67">
        <v>3</v>
      </c>
      <c r="Q67">
        <v>0.81</v>
      </c>
      <c r="R67" t="s">
        <v>44</v>
      </c>
    </row>
    <row r="68" spans="1:18" x14ac:dyDescent="0.35">
      <c r="A68" s="1" t="s">
        <v>22</v>
      </c>
      <c r="B68" t="s">
        <v>42</v>
      </c>
      <c r="C68" t="s">
        <v>50</v>
      </c>
      <c r="D68" t="s">
        <v>25</v>
      </c>
      <c r="E68">
        <v>313</v>
      </c>
      <c r="F68">
        <v>106</v>
      </c>
      <c r="G68">
        <v>80</v>
      </c>
      <c r="H68">
        <v>36</v>
      </c>
      <c r="I68">
        <v>1172709.19</v>
      </c>
      <c r="J68">
        <v>405140.9</v>
      </c>
      <c r="K68">
        <v>405140.9</v>
      </c>
      <c r="L68">
        <v>429866.95</v>
      </c>
      <c r="M68">
        <v>576.54</v>
      </c>
      <c r="N68">
        <v>1702.41</v>
      </c>
      <c r="O68">
        <v>2.73</v>
      </c>
      <c r="P68">
        <v>3</v>
      </c>
      <c r="Q68">
        <v>12.73</v>
      </c>
      <c r="R68" t="s">
        <v>44</v>
      </c>
    </row>
    <row r="69" spans="1:18" x14ac:dyDescent="0.35">
      <c r="A69" s="1" t="s">
        <v>22</v>
      </c>
      <c r="B69" t="s">
        <v>42</v>
      </c>
      <c r="C69" t="s">
        <v>50</v>
      </c>
      <c r="D69" t="s">
        <v>27</v>
      </c>
      <c r="E69">
        <v>416</v>
      </c>
      <c r="F69">
        <v>104</v>
      </c>
      <c r="G69">
        <v>85</v>
      </c>
      <c r="H69">
        <v>28</v>
      </c>
      <c r="I69">
        <v>707764.76</v>
      </c>
      <c r="J69">
        <v>215082.01</v>
      </c>
      <c r="K69">
        <v>215082.01</v>
      </c>
      <c r="L69">
        <v>306178.21999999997</v>
      </c>
      <c r="M69">
        <v>308.97000000000003</v>
      </c>
      <c r="N69">
        <v>1235.8900000000001</v>
      </c>
      <c r="O69">
        <v>2.31</v>
      </c>
      <c r="P69">
        <v>3</v>
      </c>
      <c r="Q69">
        <v>17.079999999999998</v>
      </c>
      <c r="R69" t="s">
        <v>44</v>
      </c>
    </row>
    <row r="70" spans="1:18" x14ac:dyDescent="0.35">
      <c r="A70" s="1" t="s">
        <v>22</v>
      </c>
      <c r="B70" t="s">
        <v>42</v>
      </c>
      <c r="C70" t="s">
        <v>50</v>
      </c>
      <c r="D70" t="s">
        <v>28</v>
      </c>
      <c r="E70">
        <v>100</v>
      </c>
      <c r="F70">
        <v>42</v>
      </c>
      <c r="G70">
        <v>30</v>
      </c>
      <c r="H70">
        <v>14</v>
      </c>
      <c r="I70">
        <v>436490.72</v>
      </c>
      <c r="J70">
        <v>152795.28</v>
      </c>
      <c r="K70">
        <v>152795.28</v>
      </c>
      <c r="L70">
        <v>41646.36</v>
      </c>
      <c r="M70">
        <v>174.83</v>
      </c>
      <c r="N70">
        <v>416.26</v>
      </c>
      <c r="O70">
        <v>10.48</v>
      </c>
      <c r="P70">
        <v>3</v>
      </c>
      <c r="Q70">
        <v>3.27</v>
      </c>
      <c r="R70" t="s">
        <v>44</v>
      </c>
    </row>
    <row r="71" spans="1:18" x14ac:dyDescent="0.35">
      <c r="A71" s="1" t="s">
        <v>22</v>
      </c>
      <c r="B71" t="s">
        <v>42</v>
      </c>
      <c r="C71" t="s">
        <v>50</v>
      </c>
      <c r="D71" t="s">
        <v>29</v>
      </c>
      <c r="E71">
        <v>58</v>
      </c>
      <c r="F71">
        <v>29</v>
      </c>
      <c r="G71">
        <v>22</v>
      </c>
      <c r="H71">
        <v>13</v>
      </c>
      <c r="I71">
        <v>593653.44999999995</v>
      </c>
      <c r="J71">
        <v>219469.27</v>
      </c>
      <c r="K71">
        <v>219469.27</v>
      </c>
      <c r="L71">
        <v>139427.69</v>
      </c>
      <c r="M71">
        <v>1009.16</v>
      </c>
      <c r="N71">
        <v>2018.31</v>
      </c>
      <c r="O71">
        <v>4.26</v>
      </c>
      <c r="P71">
        <v>3</v>
      </c>
      <c r="Q71">
        <v>7.62</v>
      </c>
      <c r="R71" t="s">
        <v>44</v>
      </c>
    </row>
    <row r="72" spans="1:18" x14ac:dyDescent="0.35">
      <c r="A72" s="1" t="s">
        <v>22</v>
      </c>
      <c r="B72" t="s">
        <v>42</v>
      </c>
      <c r="C72" t="s">
        <v>50</v>
      </c>
      <c r="D72" t="s">
        <v>30</v>
      </c>
      <c r="E72">
        <v>169</v>
      </c>
      <c r="F72">
        <v>51</v>
      </c>
      <c r="G72">
        <v>40</v>
      </c>
      <c r="H72">
        <v>16</v>
      </c>
      <c r="I72">
        <v>433899.47</v>
      </c>
      <c r="J72">
        <v>144129</v>
      </c>
      <c r="K72">
        <v>144129</v>
      </c>
      <c r="L72">
        <v>117964.09</v>
      </c>
      <c r="M72">
        <v>293.02</v>
      </c>
      <c r="N72">
        <v>970.99</v>
      </c>
      <c r="O72">
        <v>3.68</v>
      </c>
      <c r="P72">
        <v>3</v>
      </c>
      <c r="Q72">
        <v>9.82</v>
      </c>
      <c r="R72" t="s">
        <v>44</v>
      </c>
    </row>
    <row r="73" spans="1:18" x14ac:dyDescent="0.35">
      <c r="A73" s="1" t="s">
        <v>22</v>
      </c>
      <c r="B73" t="s">
        <v>42</v>
      </c>
      <c r="C73" t="s">
        <v>50</v>
      </c>
      <c r="D73" t="s">
        <v>31</v>
      </c>
      <c r="E73">
        <v>64</v>
      </c>
      <c r="F73">
        <v>28</v>
      </c>
      <c r="G73">
        <v>22</v>
      </c>
      <c r="H73">
        <v>11</v>
      </c>
      <c r="I73">
        <v>524339.27</v>
      </c>
      <c r="J73">
        <v>158390.62</v>
      </c>
      <c r="K73">
        <v>158390.62</v>
      </c>
      <c r="L73">
        <v>240577.97</v>
      </c>
      <c r="M73">
        <v>1578.02</v>
      </c>
      <c r="N73">
        <v>3606.91</v>
      </c>
      <c r="O73">
        <v>2.1800000000000002</v>
      </c>
      <c r="P73">
        <v>3</v>
      </c>
      <c r="Q73">
        <v>18.23</v>
      </c>
      <c r="R73" t="s">
        <v>44</v>
      </c>
    </row>
    <row r="74" spans="1:18" x14ac:dyDescent="0.35">
      <c r="A74" s="1" t="s">
        <v>22</v>
      </c>
      <c r="B74" t="s">
        <v>42</v>
      </c>
      <c r="C74" t="s">
        <v>50</v>
      </c>
      <c r="D74" t="s">
        <v>32</v>
      </c>
      <c r="E74">
        <v>16</v>
      </c>
      <c r="F74">
        <v>10</v>
      </c>
      <c r="G74">
        <v>6</v>
      </c>
      <c r="H74">
        <v>5</v>
      </c>
      <c r="I74">
        <v>199237.65</v>
      </c>
      <c r="J74">
        <v>79352.78</v>
      </c>
      <c r="K74">
        <v>79352.78</v>
      </c>
      <c r="L74">
        <v>12923.22</v>
      </c>
      <c r="M74">
        <v>339.07</v>
      </c>
      <c r="N74">
        <v>542.51</v>
      </c>
      <c r="O74">
        <v>15.42</v>
      </c>
      <c r="P74">
        <v>3</v>
      </c>
      <c r="Q74">
        <v>1.95</v>
      </c>
      <c r="R74" t="s">
        <v>44</v>
      </c>
    </row>
    <row r="75" spans="1:18" x14ac:dyDescent="0.35">
      <c r="A75" s="1" t="s">
        <v>22</v>
      </c>
      <c r="B75" t="s">
        <v>42</v>
      </c>
      <c r="C75" t="s">
        <v>50</v>
      </c>
      <c r="D75" t="s">
        <v>33</v>
      </c>
      <c r="E75">
        <v>51</v>
      </c>
      <c r="F75">
        <v>25</v>
      </c>
      <c r="G75">
        <v>18</v>
      </c>
      <c r="H75">
        <v>9</v>
      </c>
      <c r="I75">
        <v>326497.25</v>
      </c>
      <c r="J75">
        <v>119633.23</v>
      </c>
      <c r="K75">
        <v>119633.23</v>
      </c>
      <c r="L75">
        <v>27525.01</v>
      </c>
      <c r="M75">
        <v>226.57</v>
      </c>
      <c r="N75">
        <v>462.19</v>
      </c>
      <c r="O75">
        <v>11.86</v>
      </c>
      <c r="P75">
        <v>3</v>
      </c>
      <c r="Q75">
        <v>2.76</v>
      </c>
      <c r="R75" t="s">
        <v>44</v>
      </c>
    </row>
    <row r="76" spans="1:18" x14ac:dyDescent="0.35">
      <c r="A76" s="1" t="s">
        <v>22</v>
      </c>
      <c r="B76" t="s">
        <v>42</v>
      </c>
      <c r="C76" t="s">
        <v>50</v>
      </c>
      <c r="D76" t="s">
        <v>34</v>
      </c>
      <c r="E76">
        <v>315</v>
      </c>
      <c r="F76">
        <v>76</v>
      </c>
      <c r="G76">
        <v>61</v>
      </c>
      <c r="H76">
        <v>19</v>
      </c>
      <c r="I76">
        <v>445342.43</v>
      </c>
      <c r="J76">
        <v>119674.76</v>
      </c>
      <c r="K76">
        <v>119674.76</v>
      </c>
      <c r="L76">
        <v>157353.13</v>
      </c>
      <c r="M76">
        <v>209.7</v>
      </c>
      <c r="N76">
        <v>869.16</v>
      </c>
      <c r="O76">
        <v>2.83</v>
      </c>
      <c r="P76">
        <v>3</v>
      </c>
      <c r="Q76">
        <v>15.78</v>
      </c>
      <c r="R76" t="s">
        <v>44</v>
      </c>
    </row>
    <row r="77" spans="1:18" x14ac:dyDescent="0.35">
      <c r="A77" s="1" t="s">
        <v>22</v>
      </c>
      <c r="B77" t="s">
        <v>42</v>
      </c>
      <c r="C77" t="s">
        <v>50</v>
      </c>
      <c r="D77" t="s">
        <v>35</v>
      </c>
      <c r="E77">
        <v>95</v>
      </c>
      <c r="F77">
        <v>36</v>
      </c>
      <c r="G77">
        <v>26</v>
      </c>
      <c r="H77">
        <v>11</v>
      </c>
      <c r="I77">
        <v>334756.34000000003</v>
      </c>
      <c r="J77">
        <v>101704.41</v>
      </c>
      <c r="K77">
        <v>101704.41</v>
      </c>
      <c r="L77">
        <v>74802.41</v>
      </c>
      <c r="M77">
        <v>330.54</v>
      </c>
      <c r="N77">
        <v>872.27</v>
      </c>
      <c r="O77">
        <v>4.4800000000000004</v>
      </c>
      <c r="P77">
        <v>3</v>
      </c>
      <c r="Q77">
        <v>8.83</v>
      </c>
      <c r="R77" t="s">
        <v>44</v>
      </c>
    </row>
    <row r="78" spans="1:18" x14ac:dyDescent="0.35">
      <c r="A78" s="1" t="s">
        <v>22</v>
      </c>
      <c r="B78" t="s">
        <v>42</v>
      </c>
      <c r="C78" t="s">
        <v>50</v>
      </c>
      <c r="D78" t="s">
        <v>36</v>
      </c>
      <c r="E78">
        <v>1</v>
      </c>
      <c r="F78">
        <v>1</v>
      </c>
      <c r="G78">
        <v>0</v>
      </c>
      <c r="H78">
        <v>1</v>
      </c>
      <c r="I78">
        <v>63201.46</v>
      </c>
      <c r="J78">
        <v>30591.75</v>
      </c>
      <c r="K78">
        <v>30591.75</v>
      </c>
      <c r="L78">
        <v>1919.96</v>
      </c>
      <c r="M78">
        <v>805.99</v>
      </c>
      <c r="N78">
        <v>805.99</v>
      </c>
      <c r="O78">
        <v>32.92</v>
      </c>
      <c r="P78">
        <v>3</v>
      </c>
      <c r="Q78">
        <v>0.75</v>
      </c>
      <c r="R78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64B52-E149-436D-9687-63CE8750350A}">
  <dimension ref="A1:N121"/>
  <sheetViews>
    <sheetView workbookViewId="0">
      <selection activeCell="H1" sqref="H1:H1048576"/>
    </sheetView>
  </sheetViews>
  <sheetFormatPr defaultRowHeight="14.5" x14ac:dyDescent="0.35"/>
  <cols>
    <col min="1" max="1" width="35" bestFit="1" customWidth="1"/>
    <col min="2" max="2" width="6.6328125" bestFit="1" customWidth="1"/>
    <col min="3" max="3" width="7.453125" bestFit="1" customWidth="1"/>
    <col min="4" max="4" width="17.26953125" bestFit="1" customWidth="1"/>
    <col min="5" max="5" width="4.81640625" bestFit="1" customWidth="1"/>
    <col min="6" max="6" width="4.08984375" bestFit="1" customWidth="1"/>
    <col min="7" max="7" width="18.81640625" bestFit="1" customWidth="1"/>
    <col min="8" max="8" width="17.54296875" bestFit="1" customWidth="1"/>
    <col min="9" max="9" width="13.453125" bestFit="1" customWidth="1"/>
    <col min="10" max="10" width="14.7265625" bestFit="1" customWidth="1"/>
    <col min="11" max="11" width="11" bestFit="1" customWidth="1"/>
    <col min="12" max="12" width="20.08984375" bestFit="1" customWidth="1"/>
    <col min="13" max="13" width="22" bestFit="1" customWidth="1"/>
    <col min="14" max="14" width="18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14</v>
      </c>
      <c r="K1" t="s">
        <v>16</v>
      </c>
      <c r="L1" t="s">
        <v>21</v>
      </c>
      <c r="M1" t="s">
        <v>17</v>
      </c>
      <c r="N1" t="s">
        <v>19</v>
      </c>
    </row>
    <row r="2" spans="1:14" x14ac:dyDescent="0.35">
      <c r="A2" s="1" t="s">
        <v>22</v>
      </c>
      <c r="B2" t="s">
        <v>51</v>
      </c>
      <c r="C2" t="s">
        <v>24</v>
      </c>
      <c r="D2" t="s">
        <v>25</v>
      </c>
      <c r="E2">
        <v>560</v>
      </c>
      <c r="F2">
        <v>240</v>
      </c>
      <c r="G2">
        <v>108</v>
      </c>
      <c r="H2">
        <v>384598.98</v>
      </c>
      <c r="I2">
        <v>117509.72</v>
      </c>
      <c r="J2">
        <v>119854.26</v>
      </c>
      <c r="K2">
        <v>518.16</v>
      </c>
      <c r="L2">
        <v>3</v>
      </c>
      <c r="M2">
        <v>3.21</v>
      </c>
      <c r="N2">
        <v>12.24</v>
      </c>
    </row>
    <row r="3" spans="1:14" x14ac:dyDescent="0.35">
      <c r="A3" s="1" t="s">
        <v>22</v>
      </c>
      <c r="B3" t="s">
        <v>51</v>
      </c>
      <c r="C3" t="s">
        <v>24</v>
      </c>
      <c r="D3" t="s">
        <v>27</v>
      </c>
      <c r="E3">
        <v>875</v>
      </c>
      <c r="F3">
        <v>266</v>
      </c>
      <c r="G3">
        <v>98</v>
      </c>
      <c r="H3">
        <v>572689.56000000006</v>
      </c>
      <c r="I3">
        <v>103663.64</v>
      </c>
      <c r="J3">
        <v>153150.62</v>
      </c>
      <c r="K3">
        <v>609.13</v>
      </c>
      <c r="L3">
        <v>3</v>
      </c>
      <c r="M3">
        <v>3.74</v>
      </c>
      <c r="N3">
        <v>17.73</v>
      </c>
    </row>
    <row r="4" spans="1:14" x14ac:dyDescent="0.35">
      <c r="A4" s="1" t="s">
        <v>22</v>
      </c>
      <c r="B4" t="s">
        <v>51</v>
      </c>
      <c r="C4" t="s">
        <v>24</v>
      </c>
      <c r="D4" t="s">
        <v>28</v>
      </c>
      <c r="E4">
        <v>1290</v>
      </c>
      <c r="F4">
        <v>414</v>
      </c>
      <c r="G4">
        <v>109</v>
      </c>
      <c r="H4">
        <v>378159.22</v>
      </c>
      <c r="I4">
        <v>153479.97</v>
      </c>
      <c r="J4">
        <v>156837.96</v>
      </c>
      <c r="K4">
        <v>421.98</v>
      </c>
      <c r="L4">
        <v>3</v>
      </c>
      <c r="M4">
        <v>2.41</v>
      </c>
      <c r="N4">
        <v>12.26</v>
      </c>
    </row>
    <row r="5" spans="1:14" x14ac:dyDescent="0.35">
      <c r="A5" s="1" t="s">
        <v>22</v>
      </c>
      <c r="B5" t="s">
        <v>51</v>
      </c>
      <c r="C5" t="s">
        <v>24</v>
      </c>
      <c r="D5" t="s">
        <v>29</v>
      </c>
      <c r="E5">
        <v>907</v>
      </c>
      <c r="F5">
        <v>321</v>
      </c>
      <c r="G5">
        <v>153</v>
      </c>
      <c r="H5">
        <v>662523.89</v>
      </c>
      <c r="I5">
        <v>304277.28000000003</v>
      </c>
      <c r="J5">
        <v>99640.66</v>
      </c>
      <c r="K5">
        <v>321.37</v>
      </c>
      <c r="L5">
        <v>3</v>
      </c>
      <c r="M5">
        <v>6.65</v>
      </c>
      <c r="N5">
        <v>3.93</v>
      </c>
    </row>
    <row r="6" spans="1:14" x14ac:dyDescent="0.35">
      <c r="A6" s="1" t="s">
        <v>22</v>
      </c>
      <c r="B6" t="s">
        <v>51</v>
      </c>
      <c r="C6" t="s">
        <v>24</v>
      </c>
      <c r="D6" t="s">
        <v>30</v>
      </c>
      <c r="E6">
        <v>302</v>
      </c>
      <c r="F6">
        <v>123</v>
      </c>
      <c r="G6">
        <v>38</v>
      </c>
      <c r="H6">
        <v>247282.45</v>
      </c>
      <c r="I6">
        <v>39617.29</v>
      </c>
      <c r="J6">
        <v>23296.59</v>
      </c>
      <c r="K6">
        <v>198.55</v>
      </c>
      <c r="L6">
        <v>3</v>
      </c>
      <c r="M6">
        <v>10.61</v>
      </c>
      <c r="N6">
        <v>7.06</v>
      </c>
    </row>
    <row r="7" spans="1:14" x14ac:dyDescent="0.35">
      <c r="A7" s="1" t="s">
        <v>22</v>
      </c>
      <c r="B7" t="s">
        <v>51</v>
      </c>
      <c r="C7" t="s">
        <v>24</v>
      </c>
      <c r="D7" t="s">
        <v>31</v>
      </c>
      <c r="E7">
        <v>617</v>
      </c>
      <c r="F7">
        <v>219</v>
      </c>
      <c r="G7">
        <v>79</v>
      </c>
      <c r="H7">
        <v>315899.31</v>
      </c>
      <c r="I7">
        <v>90357.91</v>
      </c>
      <c r="J7">
        <v>124159.28</v>
      </c>
      <c r="K7">
        <v>597.80999999999995</v>
      </c>
      <c r="L7">
        <v>3</v>
      </c>
      <c r="M7">
        <v>2.54</v>
      </c>
      <c r="N7">
        <v>16.489999999999998</v>
      </c>
    </row>
    <row r="8" spans="1:14" x14ac:dyDescent="0.35">
      <c r="A8" s="1" t="s">
        <v>22</v>
      </c>
      <c r="B8" t="s">
        <v>51</v>
      </c>
      <c r="C8" t="s">
        <v>24</v>
      </c>
      <c r="D8" t="s">
        <v>32</v>
      </c>
      <c r="E8">
        <v>655</v>
      </c>
      <c r="F8">
        <v>287</v>
      </c>
      <c r="G8">
        <v>121</v>
      </c>
      <c r="H8">
        <v>487171.28</v>
      </c>
      <c r="I8">
        <v>96302.19</v>
      </c>
      <c r="J8">
        <v>157604.62</v>
      </c>
      <c r="K8">
        <v>572.08000000000004</v>
      </c>
      <c r="L8">
        <v>3</v>
      </c>
      <c r="M8">
        <v>3.09</v>
      </c>
      <c r="N8">
        <v>19.64</v>
      </c>
    </row>
    <row r="9" spans="1:14" x14ac:dyDescent="0.35">
      <c r="A9" s="1" t="s">
        <v>22</v>
      </c>
      <c r="B9" t="s">
        <v>51</v>
      </c>
      <c r="C9" t="s">
        <v>24</v>
      </c>
      <c r="D9" t="s">
        <v>33</v>
      </c>
      <c r="E9">
        <v>302</v>
      </c>
      <c r="F9">
        <v>133</v>
      </c>
      <c r="G9">
        <v>51</v>
      </c>
      <c r="H9">
        <v>119612.84</v>
      </c>
      <c r="I9">
        <v>65229.83</v>
      </c>
      <c r="J9">
        <v>74267.490000000005</v>
      </c>
      <c r="K9">
        <v>589.20000000000005</v>
      </c>
      <c r="L9">
        <v>3</v>
      </c>
      <c r="M9">
        <v>1.61</v>
      </c>
      <c r="N9">
        <v>13.66</v>
      </c>
    </row>
    <row r="10" spans="1:14" x14ac:dyDescent="0.35">
      <c r="A10" s="1" t="s">
        <v>22</v>
      </c>
      <c r="B10" t="s">
        <v>51</v>
      </c>
      <c r="C10" t="s">
        <v>24</v>
      </c>
      <c r="D10" t="s">
        <v>34</v>
      </c>
      <c r="E10">
        <v>422</v>
      </c>
      <c r="F10">
        <v>174</v>
      </c>
      <c r="G10">
        <v>48</v>
      </c>
      <c r="H10">
        <v>144079.54999999999</v>
      </c>
      <c r="I10">
        <v>71148.41</v>
      </c>
      <c r="J10">
        <v>71910.240000000005</v>
      </c>
      <c r="K10">
        <v>452.31</v>
      </c>
      <c r="L10">
        <v>3</v>
      </c>
      <c r="M10">
        <v>2</v>
      </c>
      <c r="N10">
        <v>12.13</v>
      </c>
    </row>
    <row r="11" spans="1:14" x14ac:dyDescent="0.35">
      <c r="A11" s="1" t="s">
        <v>22</v>
      </c>
      <c r="B11" t="s">
        <v>51</v>
      </c>
      <c r="C11" t="s">
        <v>24</v>
      </c>
      <c r="D11" t="s">
        <v>35</v>
      </c>
      <c r="E11">
        <v>658</v>
      </c>
      <c r="F11">
        <v>194</v>
      </c>
      <c r="G11">
        <v>51</v>
      </c>
      <c r="H11">
        <v>143982.92000000001</v>
      </c>
      <c r="I11">
        <v>110413.75999999999</v>
      </c>
      <c r="J11">
        <v>66111.34</v>
      </c>
      <c r="K11">
        <v>361.24</v>
      </c>
      <c r="L11">
        <v>3</v>
      </c>
      <c r="M11">
        <v>2.1800000000000002</v>
      </c>
      <c r="N11">
        <v>7.19</v>
      </c>
    </row>
    <row r="12" spans="1:14" x14ac:dyDescent="0.35">
      <c r="A12" s="1" t="s">
        <v>22</v>
      </c>
      <c r="B12" t="s">
        <v>51</v>
      </c>
      <c r="C12" t="s">
        <v>37</v>
      </c>
      <c r="D12" t="s">
        <v>25</v>
      </c>
      <c r="E12">
        <v>932</v>
      </c>
      <c r="F12">
        <v>293</v>
      </c>
      <c r="G12">
        <v>86</v>
      </c>
      <c r="H12">
        <v>562132.56999999995</v>
      </c>
      <c r="I12">
        <v>191360.63</v>
      </c>
      <c r="J12">
        <v>225376.12</v>
      </c>
      <c r="K12">
        <v>573.1</v>
      </c>
      <c r="L12">
        <v>3</v>
      </c>
      <c r="M12">
        <v>2.4900000000000002</v>
      </c>
      <c r="N12">
        <v>14.13</v>
      </c>
    </row>
    <row r="13" spans="1:14" x14ac:dyDescent="0.35">
      <c r="A13" s="1" t="s">
        <v>22</v>
      </c>
      <c r="B13" t="s">
        <v>51</v>
      </c>
      <c r="C13" t="s">
        <v>37</v>
      </c>
      <c r="D13" t="s">
        <v>27</v>
      </c>
      <c r="E13">
        <v>448</v>
      </c>
      <c r="F13">
        <v>122</v>
      </c>
      <c r="G13">
        <v>48</v>
      </c>
      <c r="H13">
        <v>94829.04</v>
      </c>
      <c r="I13">
        <v>76929.55</v>
      </c>
      <c r="J13">
        <v>45477.59</v>
      </c>
      <c r="K13">
        <v>268.51</v>
      </c>
      <c r="L13">
        <v>3</v>
      </c>
      <c r="M13">
        <v>2.09</v>
      </c>
      <c r="N13">
        <v>7.09</v>
      </c>
    </row>
    <row r="14" spans="1:14" x14ac:dyDescent="0.35">
      <c r="A14" s="1" t="s">
        <v>22</v>
      </c>
      <c r="B14" t="s">
        <v>51</v>
      </c>
      <c r="C14" t="s">
        <v>37</v>
      </c>
      <c r="D14" t="s">
        <v>28</v>
      </c>
      <c r="E14">
        <v>1078</v>
      </c>
      <c r="F14">
        <v>331</v>
      </c>
      <c r="G14">
        <v>83</v>
      </c>
      <c r="H14">
        <v>454986.08</v>
      </c>
      <c r="I14">
        <v>160339.37</v>
      </c>
      <c r="J14">
        <v>218418.4</v>
      </c>
      <c r="K14">
        <v>477.08</v>
      </c>
      <c r="L14">
        <v>3</v>
      </c>
      <c r="M14">
        <v>2.08</v>
      </c>
      <c r="N14">
        <v>16.350000000000001</v>
      </c>
    </row>
    <row r="15" spans="1:14" x14ac:dyDescent="0.35">
      <c r="A15" s="1" t="s">
        <v>22</v>
      </c>
      <c r="B15" t="s">
        <v>51</v>
      </c>
      <c r="C15" t="s">
        <v>37</v>
      </c>
      <c r="D15" t="s">
        <v>29</v>
      </c>
      <c r="E15">
        <v>1188</v>
      </c>
      <c r="F15">
        <v>377</v>
      </c>
      <c r="G15">
        <v>92</v>
      </c>
      <c r="H15">
        <v>443426.26</v>
      </c>
      <c r="I15">
        <v>259014.39</v>
      </c>
      <c r="J15">
        <v>328585.82</v>
      </c>
      <c r="K15">
        <v>615.69000000000005</v>
      </c>
      <c r="L15">
        <v>3</v>
      </c>
      <c r="M15">
        <v>1.35</v>
      </c>
      <c r="N15">
        <v>15.22</v>
      </c>
    </row>
    <row r="16" spans="1:14" x14ac:dyDescent="0.35">
      <c r="A16" s="1" t="s">
        <v>22</v>
      </c>
      <c r="B16" t="s">
        <v>51</v>
      </c>
      <c r="C16" t="s">
        <v>37</v>
      </c>
      <c r="D16" t="s">
        <v>30</v>
      </c>
      <c r="E16">
        <v>599</v>
      </c>
      <c r="F16">
        <v>223</v>
      </c>
      <c r="G16">
        <v>101</v>
      </c>
      <c r="H16">
        <v>447922.23</v>
      </c>
      <c r="I16">
        <v>71577.08</v>
      </c>
      <c r="J16">
        <v>109176.4</v>
      </c>
      <c r="K16">
        <v>369.81</v>
      </c>
      <c r="L16">
        <v>3</v>
      </c>
      <c r="M16">
        <v>4.0999999999999996</v>
      </c>
      <c r="N16">
        <v>18.3</v>
      </c>
    </row>
    <row r="17" spans="1:14" x14ac:dyDescent="0.35">
      <c r="A17" s="1" t="s">
        <v>22</v>
      </c>
      <c r="B17" t="s">
        <v>51</v>
      </c>
      <c r="C17" t="s">
        <v>37</v>
      </c>
      <c r="D17" t="s">
        <v>31</v>
      </c>
      <c r="E17">
        <v>974</v>
      </c>
      <c r="F17">
        <v>277</v>
      </c>
      <c r="G17">
        <v>88</v>
      </c>
      <c r="H17">
        <v>416585.33</v>
      </c>
      <c r="I17">
        <v>182945.14</v>
      </c>
      <c r="J17">
        <v>165485.13</v>
      </c>
      <c r="K17">
        <v>442.9</v>
      </c>
      <c r="L17">
        <v>3</v>
      </c>
      <c r="M17">
        <v>2.52</v>
      </c>
      <c r="N17">
        <v>10.85</v>
      </c>
    </row>
    <row r="18" spans="1:14" x14ac:dyDescent="0.35">
      <c r="A18" s="1" t="s">
        <v>22</v>
      </c>
      <c r="B18" t="s">
        <v>51</v>
      </c>
      <c r="C18" t="s">
        <v>37</v>
      </c>
      <c r="D18" t="s">
        <v>32</v>
      </c>
      <c r="E18">
        <v>600</v>
      </c>
      <c r="F18">
        <v>245</v>
      </c>
      <c r="G18">
        <v>87</v>
      </c>
      <c r="H18">
        <v>430529.78</v>
      </c>
      <c r="I18">
        <v>90016.82</v>
      </c>
      <c r="J18">
        <v>153525.13</v>
      </c>
      <c r="K18">
        <v>476.86</v>
      </c>
      <c r="L18">
        <v>3</v>
      </c>
      <c r="M18">
        <v>2.8</v>
      </c>
      <c r="N18">
        <v>20.47</v>
      </c>
    </row>
    <row r="19" spans="1:14" x14ac:dyDescent="0.35">
      <c r="A19" s="1" t="s">
        <v>22</v>
      </c>
      <c r="B19" t="s">
        <v>51</v>
      </c>
      <c r="C19" t="s">
        <v>37</v>
      </c>
      <c r="D19" t="s">
        <v>33</v>
      </c>
      <c r="E19">
        <v>695</v>
      </c>
      <c r="F19">
        <v>328</v>
      </c>
      <c r="G19">
        <v>85</v>
      </c>
      <c r="H19">
        <v>591675.22</v>
      </c>
      <c r="I19">
        <v>124840.13</v>
      </c>
      <c r="J19">
        <v>97835.91</v>
      </c>
      <c r="K19">
        <v>216.54</v>
      </c>
      <c r="L19">
        <v>3</v>
      </c>
      <c r="M19">
        <v>6.05</v>
      </c>
      <c r="N19">
        <v>9.4</v>
      </c>
    </row>
    <row r="20" spans="1:14" x14ac:dyDescent="0.35">
      <c r="A20" s="1" t="s">
        <v>22</v>
      </c>
      <c r="B20" t="s">
        <v>51</v>
      </c>
      <c r="C20" t="s">
        <v>37</v>
      </c>
      <c r="D20" t="s">
        <v>34</v>
      </c>
      <c r="E20">
        <v>1121</v>
      </c>
      <c r="F20">
        <v>313</v>
      </c>
      <c r="G20">
        <v>105</v>
      </c>
      <c r="H20">
        <v>220283.86</v>
      </c>
      <c r="I20">
        <v>78029.02</v>
      </c>
      <c r="J20">
        <v>136485.64000000001</v>
      </c>
      <c r="K20">
        <v>328.86</v>
      </c>
      <c r="L20">
        <v>3</v>
      </c>
      <c r="M20">
        <v>1.61</v>
      </c>
      <c r="N20">
        <v>20.99</v>
      </c>
    </row>
    <row r="21" spans="1:14" x14ac:dyDescent="0.35">
      <c r="A21" s="1" t="s">
        <v>22</v>
      </c>
      <c r="B21" t="s">
        <v>51</v>
      </c>
      <c r="C21" t="s">
        <v>37</v>
      </c>
      <c r="D21" t="s">
        <v>35</v>
      </c>
      <c r="E21">
        <v>403</v>
      </c>
      <c r="F21">
        <v>180</v>
      </c>
      <c r="G21">
        <v>61</v>
      </c>
      <c r="H21">
        <v>225629.64</v>
      </c>
      <c r="I21">
        <v>60947.86</v>
      </c>
      <c r="J21">
        <v>54991.97</v>
      </c>
      <c r="K21">
        <v>212.56</v>
      </c>
      <c r="L21">
        <v>3</v>
      </c>
      <c r="M21">
        <v>4.0999999999999996</v>
      </c>
      <c r="N21">
        <v>10.83</v>
      </c>
    </row>
    <row r="22" spans="1:14" x14ac:dyDescent="0.35">
      <c r="A22" s="1" t="s">
        <v>22</v>
      </c>
      <c r="B22" t="s">
        <v>51</v>
      </c>
      <c r="C22" t="s">
        <v>38</v>
      </c>
      <c r="D22" t="s">
        <v>25</v>
      </c>
      <c r="E22">
        <v>741</v>
      </c>
      <c r="F22">
        <v>199</v>
      </c>
      <c r="G22">
        <v>67</v>
      </c>
      <c r="H22">
        <v>414993.65</v>
      </c>
      <c r="I22">
        <v>66814.100000000006</v>
      </c>
      <c r="J22">
        <v>147063.74</v>
      </c>
      <c r="K22">
        <v>393.76</v>
      </c>
      <c r="L22">
        <v>3</v>
      </c>
      <c r="M22">
        <v>2.82</v>
      </c>
      <c r="N22">
        <v>26.41</v>
      </c>
    </row>
    <row r="23" spans="1:14" x14ac:dyDescent="0.35">
      <c r="A23" s="1" t="s">
        <v>22</v>
      </c>
      <c r="B23" t="s">
        <v>51</v>
      </c>
      <c r="C23" t="s">
        <v>38</v>
      </c>
      <c r="D23" t="s">
        <v>27</v>
      </c>
      <c r="E23">
        <v>1534</v>
      </c>
      <c r="F23">
        <v>419</v>
      </c>
      <c r="G23">
        <v>158</v>
      </c>
      <c r="H23">
        <v>607214.97</v>
      </c>
      <c r="I23">
        <v>294593.86</v>
      </c>
      <c r="J23">
        <v>208865.88</v>
      </c>
      <c r="K23">
        <v>273.70999999999998</v>
      </c>
      <c r="L23">
        <v>3</v>
      </c>
      <c r="M23">
        <v>2.91</v>
      </c>
      <c r="N23">
        <v>8.51</v>
      </c>
    </row>
    <row r="24" spans="1:14" x14ac:dyDescent="0.35">
      <c r="A24" s="1" t="s">
        <v>22</v>
      </c>
      <c r="B24" t="s">
        <v>51</v>
      </c>
      <c r="C24" t="s">
        <v>38</v>
      </c>
      <c r="D24" t="s">
        <v>28</v>
      </c>
      <c r="E24">
        <v>666</v>
      </c>
      <c r="F24">
        <v>245</v>
      </c>
      <c r="G24">
        <v>94</v>
      </c>
      <c r="H24">
        <v>369133.09</v>
      </c>
      <c r="I24">
        <v>143718</v>
      </c>
      <c r="J24">
        <v>133280.94</v>
      </c>
      <c r="K24">
        <v>317.7</v>
      </c>
      <c r="L24">
        <v>3</v>
      </c>
      <c r="M24">
        <v>2.77</v>
      </c>
      <c r="N24">
        <v>11.13</v>
      </c>
    </row>
    <row r="25" spans="1:14" x14ac:dyDescent="0.35">
      <c r="A25" s="1" t="s">
        <v>22</v>
      </c>
      <c r="B25" t="s">
        <v>51</v>
      </c>
      <c r="C25" t="s">
        <v>38</v>
      </c>
      <c r="D25" t="s">
        <v>29</v>
      </c>
      <c r="E25">
        <v>495</v>
      </c>
      <c r="F25">
        <v>199</v>
      </c>
      <c r="G25">
        <v>50</v>
      </c>
      <c r="H25">
        <v>375722.23999999999</v>
      </c>
      <c r="I25">
        <v>52905.8</v>
      </c>
      <c r="J25">
        <v>106696.77</v>
      </c>
      <c r="K25">
        <v>301.97000000000003</v>
      </c>
      <c r="L25">
        <v>3</v>
      </c>
      <c r="M25">
        <v>3.52</v>
      </c>
      <c r="N25">
        <v>24.2</v>
      </c>
    </row>
    <row r="26" spans="1:14" x14ac:dyDescent="0.35">
      <c r="A26" s="1" t="s">
        <v>22</v>
      </c>
      <c r="B26" t="s">
        <v>51</v>
      </c>
      <c r="C26" t="s">
        <v>38</v>
      </c>
      <c r="D26" t="s">
        <v>30</v>
      </c>
      <c r="E26">
        <v>274</v>
      </c>
      <c r="F26">
        <v>129</v>
      </c>
      <c r="G26">
        <v>39</v>
      </c>
      <c r="H26">
        <v>167546.82999999999</v>
      </c>
      <c r="I26">
        <v>88886.21</v>
      </c>
      <c r="J26">
        <v>58808</v>
      </c>
      <c r="K26">
        <v>256.68</v>
      </c>
      <c r="L26">
        <v>3</v>
      </c>
      <c r="M26">
        <v>2.85</v>
      </c>
      <c r="N26">
        <v>7.94</v>
      </c>
    </row>
    <row r="27" spans="1:14" x14ac:dyDescent="0.35">
      <c r="A27" s="1" t="s">
        <v>22</v>
      </c>
      <c r="B27" t="s">
        <v>51</v>
      </c>
      <c r="C27" t="s">
        <v>38</v>
      </c>
      <c r="D27" t="s">
        <v>31</v>
      </c>
      <c r="E27">
        <v>668</v>
      </c>
      <c r="F27">
        <v>191</v>
      </c>
      <c r="G27">
        <v>62</v>
      </c>
      <c r="H27">
        <v>174452.92</v>
      </c>
      <c r="I27">
        <v>49052.77</v>
      </c>
      <c r="J27">
        <v>91391.72</v>
      </c>
      <c r="K27">
        <v>267.92</v>
      </c>
      <c r="L27">
        <v>3</v>
      </c>
      <c r="M27">
        <v>1.91</v>
      </c>
      <c r="N27">
        <v>22.36</v>
      </c>
    </row>
    <row r="28" spans="1:14" x14ac:dyDescent="0.35">
      <c r="A28" s="1" t="s">
        <v>22</v>
      </c>
      <c r="B28" t="s">
        <v>51</v>
      </c>
      <c r="C28" t="s">
        <v>38</v>
      </c>
      <c r="D28" t="s">
        <v>32</v>
      </c>
      <c r="E28">
        <v>868</v>
      </c>
      <c r="F28">
        <v>404</v>
      </c>
      <c r="G28">
        <v>144</v>
      </c>
      <c r="H28">
        <v>822709.4</v>
      </c>
      <c r="I28">
        <v>245737.17</v>
      </c>
      <c r="J28">
        <v>251581.54</v>
      </c>
      <c r="K28">
        <v>352.34</v>
      </c>
      <c r="L28">
        <v>3</v>
      </c>
      <c r="M28">
        <v>3.27</v>
      </c>
      <c r="N28">
        <v>12.29</v>
      </c>
    </row>
    <row r="29" spans="1:14" x14ac:dyDescent="0.35">
      <c r="A29" s="1" t="s">
        <v>22</v>
      </c>
      <c r="B29" t="s">
        <v>51</v>
      </c>
      <c r="C29" t="s">
        <v>38</v>
      </c>
      <c r="D29" t="s">
        <v>33</v>
      </c>
      <c r="E29">
        <v>745</v>
      </c>
      <c r="F29">
        <v>290</v>
      </c>
      <c r="G29">
        <v>118</v>
      </c>
      <c r="H29">
        <v>222990</v>
      </c>
      <c r="I29">
        <v>200145.98</v>
      </c>
      <c r="J29">
        <v>109612.81</v>
      </c>
      <c r="K29">
        <v>219.82</v>
      </c>
      <c r="L29">
        <v>3</v>
      </c>
      <c r="M29">
        <v>2.0299999999999998</v>
      </c>
      <c r="N29">
        <v>6.57</v>
      </c>
    </row>
    <row r="30" spans="1:14" x14ac:dyDescent="0.35">
      <c r="A30" s="1" t="s">
        <v>22</v>
      </c>
      <c r="B30" t="s">
        <v>51</v>
      </c>
      <c r="C30" t="s">
        <v>38</v>
      </c>
      <c r="D30" t="s">
        <v>34</v>
      </c>
      <c r="E30">
        <v>415</v>
      </c>
      <c r="F30">
        <v>135</v>
      </c>
      <c r="G30">
        <v>54</v>
      </c>
      <c r="H30">
        <v>296195</v>
      </c>
      <c r="I30">
        <v>64912.71</v>
      </c>
      <c r="J30">
        <v>71870.350000000006</v>
      </c>
      <c r="K30">
        <v>298.69</v>
      </c>
      <c r="L30">
        <v>3</v>
      </c>
      <c r="M30">
        <v>4.12</v>
      </c>
      <c r="N30">
        <v>13.29</v>
      </c>
    </row>
    <row r="31" spans="1:14" x14ac:dyDescent="0.35">
      <c r="A31" s="1" t="s">
        <v>22</v>
      </c>
      <c r="B31" t="s">
        <v>51</v>
      </c>
      <c r="C31" t="s">
        <v>38</v>
      </c>
      <c r="D31" t="s">
        <v>35</v>
      </c>
      <c r="E31">
        <v>1408</v>
      </c>
      <c r="F31">
        <v>411</v>
      </c>
      <c r="G31">
        <v>159</v>
      </c>
      <c r="H31">
        <v>869041.89</v>
      </c>
      <c r="I31">
        <v>233233.41</v>
      </c>
      <c r="J31">
        <v>271057.86</v>
      </c>
      <c r="K31">
        <v>358.57</v>
      </c>
      <c r="L31">
        <v>3</v>
      </c>
      <c r="M31">
        <v>3.21</v>
      </c>
      <c r="N31">
        <v>13.95</v>
      </c>
    </row>
    <row r="32" spans="1:14" x14ac:dyDescent="0.35">
      <c r="A32" s="1" t="s">
        <v>22</v>
      </c>
      <c r="B32" t="s">
        <v>51</v>
      </c>
      <c r="C32" t="s">
        <v>39</v>
      </c>
      <c r="D32" t="s">
        <v>25</v>
      </c>
      <c r="E32">
        <v>978</v>
      </c>
      <c r="F32">
        <v>402</v>
      </c>
      <c r="G32">
        <v>173</v>
      </c>
      <c r="H32">
        <v>596655.32999999996</v>
      </c>
      <c r="I32">
        <v>120941.95</v>
      </c>
      <c r="J32">
        <v>313308.46999999997</v>
      </c>
      <c r="K32">
        <v>593.05999999999995</v>
      </c>
      <c r="L32">
        <v>3</v>
      </c>
      <c r="M32">
        <v>1.9</v>
      </c>
      <c r="N32">
        <v>31.09</v>
      </c>
    </row>
    <row r="33" spans="1:14" x14ac:dyDescent="0.35">
      <c r="A33" s="1" t="s">
        <v>22</v>
      </c>
      <c r="B33" t="s">
        <v>51</v>
      </c>
      <c r="C33" t="s">
        <v>39</v>
      </c>
      <c r="D33" t="s">
        <v>27</v>
      </c>
      <c r="E33">
        <v>1406</v>
      </c>
      <c r="F33">
        <v>384</v>
      </c>
      <c r="G33">
        <v>119</v>
      </c>
      <c r="H33">
        <v>897642.15</v>
      </c>
      <c r="I33">
        <v>347669.36</v>
      </c>
      <c r="J33">
        <v>265825.90000000002</v>
      </c>
      <c r="K33">
        <v>539.34</v>
      </c>
      <c r="L33">
        <v>3</v>
      </c>
      <c r="M33">
        <v>3.38</v>
      </c>
      <c r="N33">
        <v>9.18</v>
      </c>
    </row>
    <row r="34" spans="1:14" x14ac:dyDescent="0.35">
      <c r="A34" s="1" t="s">
        <v>22</v>
      </c>
      <c r="B34" t="s">
        <v>51</v>
      </c>
      <c r="C34" t="s">
        <v>39</v>
      </c>
      <c r="D34" t="s">
        <v>28</v>
      </c>
      <c r="E34">
        <v>484</v>
      </c>
      <c r="F34">
        <v>150</v>
      </c>
      <c r="G34">
        <v>37</v>
      </c>
      <c r="H34">
        <v>391272.03</v>
      </c>
      <c r="I34">
        <v>48141.4</v>
      </c>
      <c r="J34">
        <v>68355.64</v>
      </c>
      <c r="K34">
        <v>338.91</v>
      </c>
      <c r="L34">
        <v>3</v>
      </c>
      <c r="M34">
        <v>5.72</v>
      </c>
      <c r="N34">
        <v>17.04</v>
      </c>
    </row>
    <row r="35" spans="1:14" x14ac:dyDescent="0.35">
      <c r="A35" s="1" t="s">
        <v>22</v>
      </c>
      <c r="B35" t="s">
        <v>51</v>
      </c>
      <c r="C35" t="s">
        <v>39</v>
      </c>
      <c r="D35" t="s">
        <v>29</v>
      </c>
      <c r="E35">
        <v>844</v>
      </c>
      <c r="F35">
        <v>241</v>
      </c>
      <c r="G35">
        <v>101</v>
      </c>
      <c r="H35">
        <v>502926.54</v>
      </c>
      <c r="I35">
        <v>148542.79999999999</v>
      </c>
      <c r="J35">
        <v>135354.25</v>
      </c>
      <c r="K35">
        <v>436.71</v>
      </c>
      <c r="L35">
        <v>3</v>
      </c>
      <c r="M35">
        <v>3.72</v>
      </c>
      <c r="N35">
        <v>10.93</v>
      </c>
    </row>
    <row r="36" spans="1:14" x14ac:dyDescent="0.35">
      <c r="A36" s="1" t="s">
        <v>22</v>
      </c>
      <c r="B36" t="s">
        <v>51</v>
      </c>
      <c r="C36" t="s">
        <v>39</v>
      </c>
      <c r="D36" t="s">
        <v>30</v>
      </c>
      <c r="E36">
        <v>1107</v>
      </c>
      <c r="F36">
        <v>380</v>
      </c>
      <c r="G36">
        <v>155</v>
      </c>
      <c r="H36">
        <v>685525.87</v>
      </c>
      <c r="I36">
        <v>272904.26</v>
      </c>
      <c r="J36">
        <v>214667.53</v>
      </c>
      <c r="K36">
        <v>417.38</v>
      </c>
      <c r="L36">
        <v>3</v>
      </c>
      <c r="M36">
        <v>3.19</v>
      </c>
      <c r="N36">
        <v>9.44</v>
      </c>
    </row>
    <row r="37" spans="1:14" x14ac:dyDescent="0.35">
      <c r="A37" s="1" t="s">
        <v>22</v>
      </c>
      <c r="B37" t="s">
        <v>51</v>
      </c>
      <c r="C37" t="s">
        <v>39</v>
      </c>
      <c r="D37" t="s">
        <v>31</v>
      </c>
      <c r="E37">
        <v>642</v>
      </c>
      <c r="F37">
        <v>189</v>
      </c>
      <c r="G37">
        <v>53</v>
      </c>
      <c r="H37">
        <v>184256.84</v>
      </c>
      <c r="I37">
        <v>81820.73</v>
      </c>
      <c r="J37">
        <v>51779.83</v>
      </c>
      <c r="K37">
        <v>213.46</v>
      </c>
      <c r="L37">
        <v>3</v>
      </c>
      <c r="M37">
        <v>3.56</v>
      </c>
      <c r="N37">
        <v>7.59</v>
      </c>
    </row>
    <row r="38" spans="1:14" x14ac:dyDescent="0.35">
      <c r="A38" s="1" t="s">
        <v>22</v>
      </c>
      <c r="B38" t="s">
        <v>51</v>
      </c>
      <c r="C38" t="s">
        <v>39</v>
      </c>
      <c r="D38" t="s">
        <v>32</v>
      </c>
      <c r="E38">
        <v>366</v>
      </c>
      <c r="F38">
        <v>121</v>
      </c>
      <c r="G38">
        <v>34</v>
      </c>
      <c r="H38">
        <v>174808.74</v>
      </c>
      <c r="I38">
        <v>80765.73</v>
      </c>
      <c r="J38">
        <v>99946.4</v>
      </c>
      <c r="K38">
        <v>613.08000000000004</v>
      </c>
      <c r="L38">
        <v>3</v>
      </c>
      <c r="M38">
        <v>1.75</v>
      </c>
      <c r="N38">
        <v>14.85</v>
      </c>
    </row>
    <row r="39" spans="1:14" x14ac:dyDescent="0.35">
      <c r="A39" s="1" t="s">
        <v>22</v>
      </c>
      <c r="B39" t="s">
        <v>51</v>
      </c>
      <c r="C39" t="s">
        <v>39</v>
      </c>
      <c r="D39" t="s">
        <v>33</v>
      </c>
      <c r="E39">
        <v>511</v>
      </c>
      <c r="F39">
        <v>233</v>
      </c>
      <c r="G39">
        <v>78</v>
      </c>
      <c r="H39">
        <v>563058.14</v>
      </c>
      <c r="I39">
        <v>102020.06</v>
      </c>
      <c r="J39">
        <v>77863.58</v>
      </c>
      <c r="K39">
        <v>246.43</v>
      </c>
      <c r="L39">
        <v>3</v>
      </c>
      <c r="M39">
        <v>7.23</v>
      </c>
      <c r="N39">
        <v>9.16</v>
      </c>
    </row>
    <row r="40" spans="1:14" x14ac:dyDescent="0.35">
      <c r="A40" s="1" t="s">
        <v>22</v>
      </c>
      <c r="B40" t="s">
        <v>51</v>
      </c>
      <c r="C40" t="s">
        <v>39</v>
      </c>
      <c r="D40" t="s">
        <v>34</v>
      </c>
      <c r="E40">
        <v>559</v>
      </c>
      <c r="F40">
        <v>162</v>
      </c>
      <c r="G40">
        <v>49</v>
      </c>
      <c r="H40">
        <v>152814.29</v>
      </c>
      <c r="I40">
        <v>68484.350000000006</v>
      </c>
      <c r="J40">
        <v>100912.24</v>
      </c>
      <c r="K40">
        <v>484.26</v>
      </c>
      <c r="L40">
        <v>3</v>
      </c>
      <c r="M40">
        <v>1.51</v>
      </c>
      <c r="N40">
        <v>17.68</v>
      </c>
    </row>
    <row r="41" spans="1:14" x14ac:dyDescent="0.35">
      <c r="A41" s="1" t="s">
        <v>22</v>
      </c>
      <c r="B41" t="s">
        <v>51</v>
      </c>
      <c r="C41" t="s">
        <v>39</v>
      </c>
      <c r="D41" t="s">
        <v>35</v>
      </c>
      <c r="E41">
        <v>702</v>
      </c>
      <c r="F41">
        <v>330</v>
      </c>
      <c r="G41">
        <v>99</v>
      </c>
      <c r="H41">
        <v>603040.06999999995</v>
      </c>
      <c r="I41">
        <v>312709.34000000003</v>
      </c>
      <c r="J41">
        <v>228055.47</v>
      </c>
      <c r="K41">
        <v>525.54999999999995</v>
      </c>
      <c r="L41">
        <v>3</v>
      </c>
      <c r="M41">
        <v>2.64</v>
      </c>
      <c r="N41">
        <v>8.75</v>
      </c>
    </row>
    <row r="42" spans="1:14" x14ac:dyDescent="0.35">
      <c r="A42" s="1" t="s">
        <v>22</v>
      </c>
      <c r="B42" t="s">
        <v>51</v>
      </c>
      <c r="C42" t="s">
        <v>40</v>
      </c>
      <c r="D42" t="s">
        <v>25</v>
      </c>
      <c r="E42">
        <v>927</v>
      </c>
      <c r="F42">
        <v>273</v>
      </c>
      <c r="G42">
        <v>120</v>
      </c>
      <c r="H42">
        <v>637099.52000000002</v>
      </c>
      <c r="I42">
        <v>153809.73000000001</v>
      </c>
      <c r="J42">
        <v>175679.04</v>
      </c>
      <c r="K42">
        <v>392.14</v>
      </c>
      <c r="L42">
        <v>3</v>
      </c>
      <c r="M42">
        <v>3.63</v>
      </c>
      <c r="N42">
        <v>13.71</v>
      </c>
    </row>
    <row r="43" spans="1:14" x14ac:dyDescent="0.35">
      <c r="A43" s="1" t="s">
        <v>22</v>
      </c>
      <c r="B43" t="s">
        <v>51</v>
      </c>
      <c r="C43" t="s">
        <v>40</v>
      </c>
      <c r="D43" t="s">
        <v>27</v>
      </c>
      <c r="E43">
        <v>574</v>
      </c>
      <c r="F43">
        <v>251</v>
      </c>
      <c r="G43">
        <v>98</v>
      </c>
      <c r="H43">
        <v>521023.71</v>
      </c>
      <c r="I43">
        <v>248649.31</v>
      </c>
      <c r="J43">
        <v>121733.74</v>
      </c>
      <c r="K43">
        <v>303.51</v>
      </c>
      <c r="L43">
        <v>3</v>
      </c>
      <c r="M43">
        <v>4.28</v>
      </c>
      <c r="N43">
        <v>5.87</v>
      </c>
    </row>
    <row r="44" spans="1:14" x14ac:dyDescent="0.35">
      <c r="A44" s="1" t="s">
        <v>22</v>
      </c>
      <c r="B44" t="s">
        <v>51</v>
      </c>
      <c r="C44" t="s">
        <v>40</v>
      </c>
      <c r="D44" t="s">
        <v>28</v>
      </c>
      <c r="E44">
        <v>1083</v>
      </c>
      <c r="F44">
        <v>401</v>
      </c>
      <c r="G44">
        <v>100</v>
      </c>
      <c r="H44">
        <v>885682.93</v>
      </c>
      <c r="I44">
        <v>413723.6</v>
      </c>
      <c r="J44">
        <v>136215.07</v>
      </c>
      <c r="K44">
        <v>213.56</v>
      </c>
      <c r="L44">
        <v>3</v>
      </c>
      <c r="M44">
        <v>6.5</v>
      </c>
      <c r="N44">
        <v>3.95</v>
      </c>
    </row>
    <row r="45" spans="1:14" x14ac:dyDescent="0.35">
      <c r="A45" s="1" t="s">
        <v>22</v>
      </c>
      <c r="B45" t="s">
        <v>51</v>
      </c>
      <c r="C45" t="s">
        <v>40</v>
      </c>
      <c r="D45" t="s">
        <v>29</v>
      </c>
      <c r="E45">
        <v>336</v>
      </c>
      <c r="F45">
        <v>133</v>
      </c>
      <c r="G45">
        <v>44</v>
      </c>
      <c r="H45">
        <v>196523.67</v>
      </c>
      <c r="I45">
        <v>131804.38</v>
      </c>
      <c r="J45">
        <v>71483.13</v>
      </c>
      <c r="K45">
        <v>336.11</v>
      </c>
      <c r="L45">
        <v>3</v>
      </c>
      <c r="M45">
        <v>2.75</v>
      </c>
      <c r="N45">
        <v>6.51</v>
      </c>
    </row>
    <row r="46" spans="1:14" x14ac:dyDescent="0.35">
      <c r="A46" s="1" t="s">
        <v>22</v>
      </c>
      <c r="B46" t="s">
        <v>51</v>
      </c>
      <c r="C46" t="s">
        <v>40</v>
      </c>
      <c r="D46" t="s">
        <v>30</v>
      </c>
      <c r="E46">
        <v>655</v>
      </c>
      <c r="F46">
        <v>197</v>
      </c>
      <c r="G46">
        <v>50</v>
      </c>
      <c r="H46">
        <v>468267.41</v>
      </c>
      <c r="I46">
        <v>175383.57</v>
      </c>
      <c r="J46">
        <v>186604.32</v>
      </c>
      <c r="K46">
        <v>568.03</v>
      </c>
      <c r="L46">
        <v>3</v>
      </c>
      <c r="M46">
        <v>2.5099999999999998</v>
      </c>
      <c r="N46">
        <v>12.77</v>
      </c>
    </row>
    <row r="47" spans="1:14" x14ac:dyDescent="0.35">
      <c r="A47" s="1" t="s">
        <v>22</v>
      </c>
      <c r="B47" t="s">
        <v>51</v>
      </c>
      <c r="C47" t="s">
        <v>40</v>
      </c>
      <c r="D47" t="s">
        <v>31</v>
      </c>
      <c r="E47">
        <v>1281</v>
      </c>
      <c r="F47">
        <v>375</v>
      </c>
      <c r="G47">
        <v>174</v>
      </c>
      <c r="H47">
        <v>775690.21</v>
      </c>
      <c r="I47">
        <v>115341.73</v>
      </c>
      <c r="J47">
        <v>279309.21000000002</v>
      </c>
      <c r="K47">
        <v>453.29</v>
      </c>
      <c r="L47">
        <v>3</v>
      </c>
      <c r="M47">
        <v>2.78</v>
      </c>
      <c r="N47">
        <v>29.06</v>
      </c>
    </row>
    <row r="48" spans="1:14" x14ac:dyDescent="0.35">
      <c r="A48" s="1" t="s">
        <v>22</v>
      </c>
      <c r="B48" t="s">
        <v>51</v>
      </c>
      <c r="C48" t="s">
        <v>40</v>
      </c>
      <c r="D48" t="s">
        <v>32</v>
      </c>
      <c r="E48">
        <v>657</v>
      </c>
      <c r="F48">
        <v>262</v>
      </c>
      <c r="G48">
        <v>66</v>
      </c>
      <c r="H48">
        <v>337478.29</v>
      </c>
      <c r="I48">
        <v>181365.61</v>
      </c>
      <c r="J48">
        <v>215451.19</v>
      </c>
      <c r="K48">
        <v>517.19000000000005</v>
      </c>
      <c r="L48">
        <v>3</v>
      </c>
      <c r="M48">
        <v>1.57</v>
      </c>
      <c r="N48">
        <v>14.26</v>
      </c>
    </row>
    <row r="49" spans="1:14" x14ac:dyDescent="0.35">
      <c r="A49" s="1" t="s">
        <v>22</v>
      </c>
      <c r="B49" t="s">
        <v>51</v>
      </c>
      <c r="C49" t="s">
        <v>40</v>
      </c>
      <c r="D49" t="s">
        <v>33</v>
      </c>
      <c r="E49">
        <v>1467</v>
      </c>
      <c r="F49">
        <v>391</v>
      </c>
      <c r="G49">
        <v>175</v>
      </c>
      <c r="H49">
        <v>900006.13</v>
      </c>
      <c r="I49">
        <v>133863.4</v>
      </c>
      <c r="J49">
        <v>242542.44</v>
      </c>
      <c r="K49">
        <v>385.59</v>
      </c>
      <c r="L49">
        <v>3</v>
      </c>
      <c r="M49">
        <v>3.71</v>
      </c>
      <c r="N49">
        <v>21.74</v>
      </c>
    </row>
    <row r="50" spans="1:14" x14ac:dyDescent="0.35">
      <c r="A50" s="1" t="s">
        <v>22</v>
      </c>
      <c r="B50" t="s">
        <v>51</v>
      </c>
      <c r="C50" t="s">
        <v>40</v>
      </c>
      <c r="D50" t="s">
        <v>34</v>
      </c>
      <c r="E50">
        <v>464</v>
      </c>
      <c r="F50">
        <v>125</v>
      </c>
      <c r="G50">
        <v>52</v>
      </c>
      <c r="H50">
        <v>227667.08</v>
      </c>
      <c r="I50">
        <v>45381.55</v>
      </c>
      <c r="J50">
        <v>94222.59</v>
      </c>
      <c r="K50">
        <v>460.22</v>
      </c>
      <c r="L50">
        <v>3</v>
      </c>
      <c r="M50">
        <v>2.42</v>
      </c>
      <c r="N50">
        <v>24.91</v>
      </c>
    </row>
    <row r="51" spans="1:14" x14ac:dyDescent="0.35">
      <c r="A51" s="1" t="s">
        <v>22</v>
      </c>
      <c r="B51" t="s">
        <v>51</v>
      </c>
      <c r="C51" t="s">
        <v>40</v>
      </c>
      <c r="D51" t="s">
        <v>35</v>
      </c>
      <c r="E51">
        <v>517</v>
      </c>
      <c r="F51">
        <v>239</v>
      </c>
      <c r="G51">
        <v>79</v>
      </c>
      <c r="H51">
        <v>234561.07</v>
      </c>
      <c r="I51">
        <v>128677.11</v>
      </c>
      <c r="J51">
        <v>170604.14</v>
      </c>
      <c r="K51">
        <v>442.7</v>
      </c>
      <c r="L51">
        <v>3</v>
      </c>
      <c r="M51">
        <v>1.37</v>
      </c>
      <c r="N51">
        <v>15.91</v>
      </c>
    </row>
    <row r="52" spans="1:14" x14ac:dyDescent="0.35">
      <c r="A52" s="1" t="s">
        <v>22</v>
      </c>
      <c r="B52" t="s">
        <v>51</v>
      </c>
      <c r="C52" t="s">
        <v>43</v>
      </c>
      <c r="D52" t="s">
        <v>25</v>
      </c>
      <c r="E52">
        <v>1027</v>
      </c>
      <c r="F52">
        <v>371</v>
      </c>
      <c r="G52">
        <v>157</v>
      </c>
      <c r="H52">
        <v>364866.28</v>
      </c>
      <c r="I52">
        <v>275003.99</v>
      </c>
      <c r="J52">
        <v>252801.57</v>
      </c>
      <c r="K52">
        <v>508.73</v>
      </c>
      <c r="L52">
        <v>3</v>
      </c>
      <c r="M52">
        <v>1.44</v>
      </c>
      <c r="N52">
        <v>11.03</v>
      </c>
    </row>
    <row r="53" spans="1:14" x14ac:dyDescent="0.35">
      <c r="A53" s="1" t="s">
        <v>22</v>
      </c>
      <c r="B53" t="s">
        <v>51</v>
      </c>
      <c r="C53" t="s">
        <v>43</v>
      </c>
      <c r="D53" t="s">
        <v>27</v>
      </c>
      <c r="E53">
        <v>288</v>
      </c>
      <c r="F53">
        <v>123</v>
      </c>
      <c r="G53">
        <v>29</v>
      </c>
      <c r="H53">
        <v>196672.04</v>
      </c>
      <c r="I53">
        <v>31640.12</v>
      </c>
      <c r="J53">
        <v>67656.320000000007</v>
      </c>
      <c r="K53">
        <v>416.06</v>
      </c>
      <c r="L53">
        <v>3</v>
      </c>
      <c r="M53">
        <v>2.91</v>
      </c>
      <c r="N53">
        <v>25.66</v>
      </c>
    </row>
    <row r="54" spans="1:14" x14ac:dyDescent="0.35">
      <c r="A54" s="1" t="s">
        <v>22</v>
      </c>
      <c r="B54" t="s">
        <v>51</v>
      </c>
      <c r="C54" t="s">
        <v>43</v>
      </c>
      <c r="D54" t="s">
        <v>28</v>
      </c>
      <c r="E54">
        <v>917</v>
      </c>
      <c r="F54">
        <v>419</v>
      </c>
      <c r="G54">
        <v>150</v>
      </c>
      <c r="H54">
        <v>849266.42</v>
      </c>
      <c r="I54">
        <v>279025.11</v>
      </c>
      <c r="J54">
        <v>157268.95000000001</v>
      </c>
      <c r="K54">
        <v>267.48</v>
      </c>
      <c r="L54">
        <v>3</v>
      </c>
      <c r="M54">
        <v>5.4</v>
      </c>
      <c r="N54">
        <v>6.76</v>
      </c>
    </row>
    <row r="55" spans="1:14" x14ac:dyDescent="0.35">
      <c r="A55" s="1" t="s">
        <v>22</v>
      </c>
      <c r="B55" t="s">
        <v>51</v>
      </c>
      <c r="C55" t="s">
        <v>43</v>
      </c>
      <c r="D55" t="s">
        <v>29</v>
      </c>
      <c r="E55">
        <v>645</v>
      </c>
      <c r="F55">
        <v>321</v>
      </c>
      <c r="G55">
        <v>99</v>
      </c>
      <c r="H55">
        <v>656927.15</v>
      </c>
      <c r="I55">
        <v>175863.05</v>
      </c>
      <c r="J55">
        <v>268720.40000000002</v>
      </c>
      <c r="K55">
        <v>583.9</v>
      </c>
      <c r="L55">
        <v>3</v>
      </c>
      <c r="M55">
        <v>2.44</v>
      </c>
      <c r="N55">
        <v>18.34</v>
      </c>
    </row>
    <row r="56" spans="1:14" x14ac:dyDescent="0.35">
      <c r="A56" s="1" t="s">
        <v>22</v>
      </c>
      <c r="B56" t="s">
        <v>51</v>
      </c>
      <c r="C56" t="s">
        <v>43</v>
      </c>
      <c r="D56" t="s">
        <v>30</v>
      </c>
      <c r="E56">
        <v>375</v>
      </c>
      <c r="F56">
        <v>131</v>
      </c>
      <c r="G56">
        <v>39</v>
      </c>
      <c r="H56">
        <v>132268.21</v>
      </c>
      <c r="I56">
        <v>108082.9</v>
      </c>
      <c r="J56">
        <v>50351.47</v>
      </c>
      <c r="K56">
        <v>270.32</v>
      </c>
      <c r="L56">
        <v>3</v>
      </c>
      <c r="M56">
        <v>2.63</v>
      </c>
      <c r="N56">
        <v>5.59</v>
      </c>
    </row>
    <row r="57" spans="1:14" x14ac:dyDescent="0.35">
      <c r="A57" s="1" t="s">
        <v>22</v>
      </c>
      <c r="B57" t="s">
        <v>51</v>
      </c>
      <c r="C57" t="s">
        <v>43</v>
      </c>
      <c r="D57" t="s">
        <v>31</v>
      </c>
      <c r="E57">
        <v>566</v>
      </c>
      <c r="F57">
        <v>241</v>
      </c>
      <c r="G57">
        <v>62</v>
      </c>
      <c r="H57">
        <v>474171.54</v>
      </c>
      <c r="I57">
        <v>176719.48</v>
      </c>
      <c r="J57">
        <v>195157.26</v>
      </c>
      <c r="K57">
        <v>590.17999999999995</v>
      </c>
      <c r="L57">
        <v>3</v>
      </c>
      <c r="M57">
        <v>2.4300000000000002</v>
      </c>
      <c r="N57">
        <v>13.25</v>
      </c>
    </row>
    <row r="58" spans="1:14" x14ac:dyDescent="0.35">
      <c r="A58" s="1" t="s">
        <v>22</v>
      </c>
      <c r="B58" t="s">
        <v>51</v>
      </c>
      <c r="C58" t="s">
        <v>43</v>
      </c>
      <c r="D58" t="s">
        <v>32</v>
      </c>
      <c r="E58">
        <v>1380</v>
      </c>
      <c r="F58">
        <v>393</v>
      </c>
      <c r="G58">
        <v>108</v>
      </c>
      <c r="H58">
        <v>818930.08</v>
      </c>
      <c r="I58">
        <v>229132.62</v>
      </c>
      <c r="J58">
        <v>297414.53000000003</v>
      </c>
      <c r="K58">
        <v>564.15</v>
      </c>
      <c r="L58">
        <v>3</v>
      </c>
      <c r="M58">
        <v>2.75</v>
      </c>
      <c r="N58">
        <v>15.58</v>
      </c>
    </row>
    <row r="59" spans="1:14" x14ac:dyDescent="0.35">
      <c r="A59" s="1" t="s">
        <v>22</v>
      </c>
      <c r="B59" t="s">
        <v>51</v>
      </c>
      <c r="C59" t="s">
        <v>43</v>
      </c>
      <c r="D59" t="s">
        <v>33</v>
      </c>
      <c r="E59">
        <v>1307</v>
      </c>
      <c r="F59">
        <v>386</v>
      </c>
      <c r="G59">
        <v>142</v>
      </c>
      <c r="H59">
        <v>622279.73</v>
      </c>
      <c r="I59">
        <v>151326.85999999999</v>
      </c>
      <c r="J59">
        <v>131532.89000000001</v>
      </c>
      <c r="K59">
        <v>244.58</v>
      </c>
      <c r="L59">
        <v>3</v>
      </c>
      <c r="M59">
        <v>4.7300000000000004</v>
      </c>
      <c r="N59">
        <v>10.43</v>
      </c>
    </row>
    <row r="60" spans="1:14" x14ac:dyDescent="0.35">
      <c r="A60" s="1" t="s">
        <v>22</v>
      </c>
      <c r="B60" t="s">
        <v>51</v>
      </c>
      <c r="C60" t="s">
        <v>43</v>
      </c>
      <c r="D60" t="s">
        <v>34</v>
      </c>
      <c r="E60">
        <v>1070</v>
      </c>
      <c r="F60">
        <v>327</v>
      </c>
      <c r="G60">
        <v>146</v>
      </c>
      <c r="H60">
        <v>532534.04</v>
      </c>
      <c r="I60">
        <v>217259.21</v>
      </c>
      <c r="J60">
        <v>173294.63</v>
      </c>
      <c r="K60">
        <v>392.78</v>
      </c>
      <c r="L60">
        <v>3</v>
      </c>
      <c r="M60">
        <v>3.07</v>
      </c>
      <c r="N60">
        <v>9.57</v>
      </c>
    </row>
    <row r="61" spans="1:14" x14ac:dyDescent="0.35">
      <c r="A61" s="1" t="s">
        <v>22</v>
      </c>
      <c r="B61" t="s">
        <v>51</v>
      </c>
      <c r="C61" t="s">
        <v>43</v>
      </c>
      <c r="D61" t="s">
        <v>35</v>
      </c>
      <c r="E61">
        <v>1049</v>
      </c>
      <c r="F61">
        <v>397</v>
      </c>
      <c r="G61">
        <v>179</v>
      </c>
      <c r="H61">
        <v>659316.82999999996</v>
      </c>
      <c r="I61">
        <v>125024.11</v>
      </c>
      <c r="J61">
        <v>209653.88</v>
      </c>
      <c r="K61">
        <v>377.44</v>
      </c>
      <c r="L61">
        <v>3</v>
      </c>
      <c r="M61">
        <v>3.14</v>
      </c>
      <c r="N61">
        <v>20.12</v>
      </c>
    </row>
    <row r="62" spans="1:14" x14ac:dyDescent="0.35">
      <c r="A62" s="1" t="s">
        <v>22</v>
      </c>
      <c r="B62" t="s">
        <v>51</v>
      </c>
      <c r="C62" t="s">
        <v>45</v>
      </c>
      <c r="D62" t="s">
        <v>25</v>
      </c>
      <c r="E62">
        <v>562</v>
      </c>
      <c r="F62">
        <v>259</v>
      </c>
      <c r="G62">
        <v>97</v>
      </c>
      <c r="H62">
        <v>464613.59</v>
      </c>
      <c r="I62">
        <v>142612.88</v>
      </c>
      <c r="J62">
        <v>110408.61</v>
      </c>
      <c r="K62">
        <v>353.42</v>
      </c>
      <c r="L62">
        <v>3</v>
      </c>
      <c r="M62">
        <v>4.21</v>
      </c>
      <c r="N62">
        <v>9.2899999999999991</v>
      </c>
    </row>
    <row r="63" spans="1:14" x14ac:dyDescent="0.35">
      <c r="A63" s="1" t="s">
        <v>22</v>
      </c>
      <c r="B63" t="s">
        <v>51</v>
      </c>
      <c r="C63" t="s">
        <v>45</v>
      </c>
      <c r="D63" t="s">
        <v>27</v>
      </c>
      <c r="E63">
        <v>571</v>
      </c>
      <c r="F63">
        <v>276</v>
      </c>
      <c r="G63">
        <v>75</v>
      </c>
      <c r="H63">
        <v>437260.5</v>
      </c>
      <c r="I63">
        <v>137344.39000000001</v>
      </c>
      <c r="J63">
        <v>174632.31</v>
      </c>
      <c r="K63">
        <v>522.51</v>
      </c>
      <c r="L63">
        <v>3</v>
      </c>
      <c r="M63">
        <v>2.5</v>
      </c>
      <c r="N63">
        <v>15.26</v>
      </c>
    </row>
    <row r="64" spans="1:14" x14ac:dyDescent="0.35">
      <c r="A64" s="1" t="s">
        <v>22</v>
      </c>
      <c r="B64" t="s">
        <v>51</v>
      </c>
      <c r="C64" t="s">
        <v>45</v>
      </c>
      <c r="D64" t="s">
        <v>28</v>
      </c>
      <c r="E64">
        <v>628</v>
      </c>
      <c r="F64">
        <v>188</v>
      </c>
      <c r="G64">
        <v>72</v>
      </c>
      <c r="H64">
        <v>325158.87</v>
      </c>
      <c r="I64">
        <v>110579.21</v>
      </c>
      <c r="J64">
        <v>97209.05</v>
      </c>
      <c r="K64">
        <v>432.04</v>
      </c>
      <c r="L64">
        <v>3</v>
      </c>
      <c r="M64">
        <v>3.34</v>
      </c>
      <c r="N64">
        <v>10.55</v>
      </c>
    </row>
    <row r="65" spans="1:14" x14ac:dyDescent="0.35">
      <c r="A65" s="1" t="s">
        <v>22</v>
      </c>
      <c r="B65" t="s">
        <v>51</v>
      </c>
      <c r="C65" t="s">
        <v>45</v>
      </c>
      <c r="D65" t="s">
        <v>29</v>
      </c>
      <c r="E65">
        <v>1233</v>
      </c>
      <c r="F65">
        <v>397</v>
      </c>
      <c r="G65">
        <v>188</v>
      </c>
      <c r="H65">
        <v>1021574.3</v>
      </c>
      <c r="I65">
        <v>284512.32</v>
      </c>
      <c r="J65">
        <v>273851.78999999998</v>
      </c>
      <c r="K65">
        <v>572.61</v>
      </c>
      <c r="L65">
        <v>3</v>
      </c>
      <c r="M65">
        <v>3.73</v>
      </c>
      <c r="N65">
        <v>11.55</v>
      </c>
    </row>
    <row r="66" spans="1:14" x14ac:dyDescent="0.35">
      <c r="A66" s="1" t="s">
        <v>22</v>
      </c>
      <c r="B66" t="s">
        <v>51</v>
      </c>
      <c r="C66" t="s">
        <v>45</v>
      </c>
      <c r="D66" t="s">
        <v>30</v>
      </c>
      <c r="E66">
        <v>1026</v>
      </c>
      <c r="F66">
        <v>413</v>
      </c>
      <c r="G66">
        <v>108</v>
      </c>
      <c r="H66">
        <v>414741.17</v>
      </c>
      <c r="I66">
        <v>174783.55</v>
      </c>
      <c r="J66">
        <v>135263.45000000001</v>
      </c>
      <c r="K66">
        <v>264.44</v>
      </c>
      <c r="L66">
        <v>3</v>
      </c>
      <c r="M66">
        <v>3.07</v>
      </c>
      <c r="N66">
        <v>9.2899999999999991</v>
      </c>
    </row>
    <row r="67" spans="1:14" x14ac:dyDescent="0.35">
      <c r="A67" s="1" t="s">
        <v>22</v>
      </c>
      <c r="B67" t="s">
        <v>51</v>
      </c>
      <c r="C67" t="s">
        <v>45</v>
      </c>
      <c r="D67" t="s">
        <v>31</v>
      </c>
      <c r="E67">
        <v>691</v>
      </c>
      <c r="F67">
        <v>297</v>
      </c>
      <c r="G67">
        <v>81</v>
      </c>
      <c r="H67">
        <v>833421.9</v>
      </c>
      <c r="I67">
        <v>253030.89</v>
      </c>
      <c r="J67">
        <v>73668.509999999995</v>
      </c>
      <c r="K67">
        <v>205.95</v>
      </c>
      <c r="L67">
        <v>3</v>
      </c>
      <c r="M67">
        <v>11.31</v>
      </c>
      <c r="N67">
        <v>3.49</v>
      </c>
    </row>
    <row r="68" spans="1:14" x14ac:dyDescent="0.35">
      <c r="A68" s="1" t="s">
        <v>22</v>
      </c>
      <c r="B68" t="s">
        <v>51</v>
      </c>
      <c r="C68" t="s">
        <v>45</v>
      </c>
      <c r="D68" t="s">
        <v>32</v>
      </c>
      <c r="E68">
        <v>1307</v>
      </c>
      <c r="F68">
        <v>391</v>
      </c>
      <c r="G68">
        <v>176</v>
      </c>
      <c r="H68">
        <v>325818.51</v>
      </c>
      <c r="I68">
        <v>127132.67</v>
      </c>
      <c r="J68">
        <v>286237.13</v>
      </c>
      <c r="K68">
        <v>574.37</v>
      </c>
      <c r="L68">
        <v>3</v>
      </c>
      <c r="M68">
        <v>1.1399999999999999</v>
      </c>
      <c r="N68">
        <v>27.02</v>
      </c>
    </row>
    <row r="69" spans="1:14" x14ac:dyDescent="0.35">
      <c r="A69" s="1" t="s">
        <v>22</v>
      </c>
      <c r="B69" t="s">
        <v>51</v>
      </c>
      <c r="C69" t="s">
        <v>45</v>
      </c>
      <c r="D69" t="s">
        <v>33</v>
      </c>
      <c r="E69">
        <v>911</v>
      </c>
      <c r="F69">
        <v>264</v>
      </c>
      <c r="G69">
        <v>64</v>
      </c>
      <c r="H69">
        <v>235611.71</v>
      </c>
      <c r="I69">
        <v>126761.84</v>
      </c>
      <c r="J69">
        <v>74148.710000000006</v>
      </c>
      <c r="K69">
        <v>234.58</v>
      </c>
      <c r="L69">
        <v>3</v>
      </c>
      <c r="M69">
        <v>3.18</v>
      </c>
      <c r="N69">
        <v>7.02</v>
      </c>
    </row>
    <row r="70" spans="1:14" x14ac:dyDescent="0.35">
      <c r="A70" s="1" t="s">
        <v>22</v>
      </c>
      <c r="B70" t="s">
        <v>51</v>
      </c>
      <c r="C70" t="s">
        <v>45</v>
      </c>
      <c r="D70" t="s">
        <v>34</v>
      </c>
      <c r="E70">
        <v>922</v>
      </c>
      <c r="F70">
        <v>366</v>
      </c>
      <c r="G70">
        <v>151</v>
      </c>
      <c r="H70">
        <v>776881.99</v>
      </c>
      <c r="I70">
        <v>280146.08</v>
      </c>
      <c r="J70">
        <v>242621.21</v>
      </c>
      <c r="K70">
        <v>556.20000000000005</v>
      </c>
      <c r="L70">
        <v>3</v>
      </c>
      <c r="M70">
        <v>3.2</v>
      </c>
      <c r="N70">
        <v>10.39</v>
      </c>
    </row>
    <row r="71" spans="1:14" x14ac:dyDescent="0.35">
      <c r="A71" s="1" t="s">
        <v>22</v>
      </c>
      <c r="B71" t="s">
        <v>51</v>
      </c>
      <c r="C71" t="s">
        <v>45</v>
      </c>
      <c r="D71" t="s">
        <v>35</v>
      </c>
      <c r="E71">
        <v>516</v>
      </c>
      <c r="F71">
        <v>247</v>
      </c>
      <c r="G71">
        <v>85</v>
      </c>
      <c r="H71">
        <v>541056.65</v>
      </c>
      <c r="I71">
        <v>155142.57</v>
      </c>
      <c r="J71">
        <v>84111.14</v>
      </c>
      <c r="K71">
        <v>287.60000000000002</v>
      </c>
      <c r="L71">
        <v>3</v>
      </c>
      <c r="M71">
        <v>6.43</v>
      </c>
      <c r="N71">
        <v>6.51</v>
      </c>
    </row>
    <row r="72" spans="1:14" x14ac:dyDescent="0.35">
      <c r="A72" s="1" t="s">
        <v>22</v>
      </c>
      <c r="B72" t="s">
        <v>51</v>
      </c>
      <c r="C72" t="s">
        <v>46</v>
      </c>
      <c r="D72" t="s">
        <v>25</v>
      </c>
      <c r="E72">
        <v>934</v>
      </c>
      <c r="F72">
        <v>312</v>
      </c>
      <c r="G72">
        <v>95</v>
      </c>
      <c r="H72">
        <v>825528.23</v>
      </c>
      <c r="I72">
        <v>151581.53</v>
      </c>
      <c r="J72">
        <v>262671.51</v>
      </c>
      <c r="K72">
        <v>370.5</v>
      </c>
      <c r="L72">
        <v>3</v>
      </c>
      <c r="M72">
        <v>3.14</v>
      </c>
      <c r="N72">
        <v>20.79</v>
      </c>
    </row>
    <row r="73" spans="1:14" x14ac:dyDescent="0.35">
      <c r="A73" s="1" t="s">
        <v>22</v>
      </c>
      <c r="B73" t="s">
        <v>51</v>
      </c>
      <c r="C73" t="s">
        <v>46</v>
      </c>
      <c r="D73" t="s">
        <v>27</v>
      </c>
      <c r="E73">
        <v>493</v>
      </c>
      <c r="F73">
        <v>174</v>
      </c>
      <c r="G73">
        <v>75</v>
      </c>
      <c r="H73">
        <v>307103.93</v>
      </c>
      <c r="I73">
        <v>112339.95</v>
      </c>
      <c r="J73">
        <v>112923.21</v>
      </c>
      <c r="K73">
        <v>271.54000000000002</v>
      </c>
      <c r="L73">
        <v>3</v>
      </c>
      <c r="M73">
        <v>2.72</v>
      </c>
      <c r="N73">
        <v>12.06</v>
      </c>
    </row>
    <row r="74" spans="1:14" x14ac:dyDescent="0.35">
      <c r="A74" s="1" t="s">
        <v>22</v>
      </c>
      <c r="B74" t="s">
        <v>51</v>
      </c>
      <c r="C74" t="s">
        <v>46</v>
      </c>
      <c r="D74" t="s">
        <v>28</v>
      </c>
      <c r="E74">
        <v>580</v>
      </c>
      <c r="F74">
        <v>153</v>
      </c>
      <c r="G74">
        <v>66</v>
      </c>
      <c r="H74">
        <v>534424.14</v>
      </c>
      <c r="I74">
        <v>82810.960000000006</v>
      </c>
      <c r="J74">
        <v>93368.45</v>
      </c>
      <c r="K74">
        <v>268.25</v>
      </c>
      <c r="L74">
        <v>3</v>
      </c>
      <c r="M74">
        <v>5.72</v>
      </c>
      <c r="N74">
        <v>13.53</v>
      </c>
    </row>
    <row r="75" spans="1:14" x14ac:dyDescent="0.35">
      <c r="A75" s="1" t="s">
        <v>22</v>
      </c>
      <c r="B75" t="s">
        <v>51</v>
      </c>
      <c r="C75" t="s">
        <v>46</v>
      </c>
      <c r="D75" t="s">
        <v>29</v>
      </c>
      <c r="E75">
        <v>519</v>
      </c>
      <c r="F75">
        <v>208</v>
      </c>
      <c r="G75">
        <v>51</v>
      </c>
      <c r="H75">
        <v>377102.72</v>
      </c>
      <c r="I75">
        <v>211148.1</v>
      </c>
      <c r="J75">
        <v>190299.51999999999</v>
      </c>
      <c r="K75">
        <v>391.77</v>
      </c>
      <c r="L75">
        <v>3</v>
      </c>
      <c r="M75">
        <v>1.98</v>
      </c>
      <c r="N75">
        <v>10.82</v>
      </c>
    </row>
    <row r="76" spans="1:14" x14ac:dyDescent="0.35">
      <c r="A76" s="1" t="s">
        <v>22</v>
      </c>
      <c r="B76" t="s">
        <v>51</v>
      </c>
      <c r="C76" t="s">
        <v>46</v>
      </c>
      <c r="D76" t="s">
        <v>30</v>
      </c>
      <c r="E76">
        <v>550</v>
      </c>
      <c r="F76">
        <v>146</v>
      </c>
      <c r="G76">
        <v>54</v>
      </c>
      <c r="H76">
        <v>165177.99</v>
      </c>
      <c r="I76">
        <v>158528.46</v>
      </c>
      <c r="J76">
        <v>197031.09</v>
      </c>
      <c r="K76">
        <v>554.47</v>
      </c>
      <c r="L76">
        <v>3</v>
      </c>
      <c r="M76">
        <v>0.84</v>
      </c>
      <c r="N76">
        <v>14.91</v>
      </c>
    </row>
    <row r="77" spans="1:14" x14ac:dyDescent="0.35">
      <c r="A77" s="1" t="s">
        <v>22</v>
      </c>
      <c r="B77" t="s">
        <v>51</v>
      </c>
      <c r="C77" t="s">
        <v>46</v>
      </c>
      <c r="D77" t="s">
        <v>31</v>
      </c>
      <c r="E77">
        <v>945</v>
      </c>
      <c r="F77">
        <v>276</v>
      </c>
      <c r="G77">
        <v>129</v>
      </c>
      <c r="H77">
        <v>545894.93000000005</v>
      </c>
      <c r="I77">
        <v>102163.27</v>
      </c>
      <c r="J77">
        <v>175601.2</v>
      </c>
      <c r="K77">
        <v>271.58</v>
      </c>
      <c r="L77">
        <v>3</v>
      </c>
      <c r="M77">
        <v>3.11</v>
      </c>
      <c r="N77">
        <v>20.63</v>
      </c>
    </row>
    <row r="78" spans="1:14" x14ac:dyDescent="0.35">
      <c r="A78" s="1" t="s">
        <v>22</v>
      </c>
      <c r="B78" t="s">
        <v>51</v>
      </c>
      <c r="C78" t="s">
        <v>46</v>
      </c>
      <c r="D78" t="s">
        <v>32</v>
      </c>
      <c r="E78">
        <v>670</v>
      </c>
      <c r="F78">
        <v>178</v>
      </c>
      <c r="G78">
        <v>63</v>
      </c>
      <c r="H78">
        <v>180774.16</v>
      </c>
      <c r="I78">
        <v>200837.44</v>
      </c>
      <c r="J78">
        <v>82481.990000000005</v>
      </c>
      <c r="K78">
        <v>201.68</v>
      </c>
      <c r="L78">
        <v>3</v>
      </c>
      <c r="M78">
        <v>2.19</v>
      </c>
      <c r="N78">
        <v>4.93</v>
      </c>
    </row>
    <row r="79" spans="1:14" x14ac:dyDescent="0.35">
      <c r="A79" s="1" t="s">
        <v>22</v>
      </c>
      <c r="B79" t="s">
        <v>51</v>
      </c>
      <c r="C79" t="s">
        <v>46</v>
      </c>
      <c r="D79" t="s">
        <v>33</v>
      </c>
      <c r="E79">
        <v>846</v>
      </c>
      <c r="F79">
        <v>294</v>
      </c>
      <c r="G79">
        <v>125</v>
      </c>
      <c r="H79">
        <v>922734.29</v>
      </c>
      <c r="I79">
        <v>373979.44</v>
      </c>
      <c r="J79">
        <v>203008.51</v>
      </c>
      <c r="K79">
        <v>286.08999999999997</v>
      </c>
      <c r="L79">
        <v>3</v>
      </c>
      <c r="M79">
        <v>4.55</v>
      </c>
      <c r="N79">
        <v>6.51</v>
      </c>
    </row>
    <row r="80" spans="1:14" x14ac:dyDescent="0.35">
      <c r="A80" s="1" t="s">
        <v>22</v>
      </c>
      <c r="B80" t="s">
        <v>51</v>
      </c>
      <c r="C80" t="s">
        <v>46</v>
      </c>
      <c r="D80" t="s">
        <v>34</v>
      </c>
      <c r="E80">
        <v>357</v>
      </c>
      <c r="F80">
        <v>121</v>
      </c>
      <c r="G80">
        <v>54</v>
      </c>
      <c r="H80">
        <v>386926.09</v>
      </c>
      <c r="I80">
        <v>139129.48000000001</v>
      </c>
      <c r="J80">
        <v>136000.32999999999</v>
      </c>
      <c r="K80">
        <v>469.06</v>
      </c>
      <c r="L80">
        <v>3</v>
      </c>
      <c r="M80">
        <v>2.85</v>
      </c>
      <c r="N80">
        <v>11.73</v>
      </c>
    </row>
    <row r="81" spans="1:14" x14ac:dyDescent="0.35">
      <c r="A81" s="1" t="s">
        <v>22</v>
      </c>
      <c r="B81" t="s">
        <v>51</v>
      </c>
      <c r="C81" t="s">
        <v>46</v>
      </c>
      <c r="D81" t="s">
        <v>35</v>
      </c>
      <c r="E81">
        <v>1242</v>
      </c>
      <c r="F81">
        <v>343</v>
      </c>
      <c r="G81">
        <v>155</v>
      </c>
      <c r="H81">
        <v>795710.16</v>
      </c>
      <c r="I81">
        <v>147940.24</v>
      </c>
      <c r="J81">
        <v>461546.2</v>
      </c>
      <c r="K81">
        <v>565.07000000000005</v>
      </c>
      <c r="L81">
        <v>3</v>
      </c>
      <c r="M81">
        <v>1.72</v>
      </c>
      <c r="N81">
        <v>37.44</v>
      </c>
    </row>
    <row r="82" spans="1:14" x14ac:dyDescent="0.35">
      <c r="A82" s="1" t="s">
        <v>22</v>
      </c>
      <c r="B82" t="s">
        <v>51</v>
      </c>
      <c r="C82" t="s">
        <v>47</v>
      </c>
      <c r="D82" t="s">
        <v>25</v>
      </c>
      <c r="E82">
        <v>610</v>
      </c>
      <c r="F82">
        <v>164</v>
      </c>
      <c r="G82">
        <v>68</v>
      </c>
      <c r="H82">
        <v>317213.5</v>
      </c>
      <c r="I82">
        <v>131009.88</v>
      </c>
      <c r="J82">
        <v>159692.38</v>
      </c>
      <c r="K82">
        <v>525.1</v>
      </c>
      <c r="L82">
        <v>3</v>
      </c>
      <c r="M82">
        <v>1.99</v>
      </c>
      <c r="N82">
        <v>14.63</v>
      </c>
    </row>
    <row r="83" spans="1:14" x14ac:dyDescent="0.35">
      <c r="A83" s="1" t="s">
        <v>22</v>
      </c>
      <c r="B83" t="s">
        <v>51</v>
      </c>
      <c r="C83" t="s">
        <v>47</v>
      </c>
      <c r="D83" t="s">
        <v>27</v>
      </c>
      <c r="E83">
        <v>569</v>
      </c>
      <c r="F83">
        <v>171</v>
      </c>
      <c r="G83">
        <v>81</v>
      </c>
      <c r="H83">
        <v>598786.24</v>
      </c>
      <c r="I83">
        <v>118101.73</v>
      </c>
      <c r="J83">
        <v>68059.81</v>
      </c>
      <c r="K83">
        <v>214.79</v>
      </c>
      <c r="L83">
        <v>3</v>
      </c>
      <c r="M83">
        <v>8.8000000000000007</v>
      </c>
      <c r="N83">
        <v>6.92</v>
      </c>
    </row>
    <row r="84" spans="1:14" x14ac:dyDescent="0.35">
      <c r="A84" s="1" t="s">
        <v>22</v>
      </c>
      <c r="B84" t="s">
        <v>51</v>
      </c>
      <c r="C84" t="s">
        <v>47</v>
      </c>
      <c r="D84" t="s">
        <v>28</v>
      </c>
      <c r="E84">
        <v>1317</v>
      </c>
      <c r="F84">
        <v>363</v>
      </c>
      <c r="G84">
        <v>95</v>
      </c>
      <c r="H84">
        <v>1030296.92</v>
      </c>
      <c r="I84">
        <v>234626.39</v>
      </c>
      <c r="J84">
        <v>262073.96</v>
      </c>
      <c r="K84">
        <v>379.92</v>
      </c>
      <c r="L84">
        <v>3</v>
      </c>
      <c r="M84">
        <v>3.93</v>
      </c>
      <c r="N84">
        <v>13.4</v>
      </c>
    </row>
    <row r="85" spans="1:14" x14ac:dyDescent="0.35">
      <c r="A85" s="1" t="s">
        <v>22</v>
      </c>
      <c r="B85" t="s">
        <v>51</v>
      </c>
      <c r="C85" t="s">
        <v>47</v>
      </c>
      <c r="D85" t="s">
        <v>29</v>
      </c>
      <c r="E85">
        <v>432</v>
      </c>
      <c r="F85">
        <v>179</v>
      </c>
      <c r="G85">
        <v>79</v>
      </c>
      <c r="H85">
        <v>655318.53</v>
      </c>
      <c r="I85">
        <v>160826.95000000001</v>
      </c>
      <c r="J85">
        <v>121819.01</v>
      </c>
      <c r="K85">
        <v>349.16</v>
      </c>
      <c r="L85">
        <v>3</v>
      </c>
      <c r="M85">
        <v>5.38</v>
      </c>
      <c r="N85">
        <v>9.09</v>
      </c>
    </row>
    <row r="86" spans="1:14" x14ac:dyDescent="0.35">
      <c r="A86" s="1" t="s">
        <v>22</v>
      </c>
      <c r="B86" t="s">
        <v>51</v>
      </c>
      <c r="C86" t="s">
        <v>47</v>
      </c>
      <c r="D86" t="s">
        <v>30</v>
      </c>
      <c r="E86">
        <v>368</v>
      </c>
      <c r="F86">
        <v>120</v>
      </c>
      <c r="G86">
        <v>43</v>
      </c>
      <c r="H86">
        <v>229486.42</v>
      </c>
      <c r="I86">
        <v>129053.34</v>
      </c>
      <c r="J86">
        <v>141074.6</v>
      </c>
      <c r="K86">
        <v>599.80999999999995</v>
      </c>
      <c r="L86">
        <v>3</v>
      </c>
      <c r="M86">
        <v>1.63</v>
      </c>
      <c r="N86">
        <v>13.12</v>
      </c>
    </row>
    <row r="87" spans="1:14" x14ac:dyDescent="0.35">
      <c r="A87" s="1" t="s">
        <v>22</v>
      </c>
      <c r="B87" t="s">
        <v>51</v>
      </c>
      <c r="C87" t="s">
        <v>47</v>
      </c>
      <c r="D87" t="s">
        <v>31</v>
      </c>
      <c r="E87">
        <v>932</v>
      </c>
      <c r="F87">
        <v>309</v>
      </c>
      <c r="G87">
        <v>110</v>
      </c>
      <c r="H87">
        <v>485986.77</v>
      </c>
      <c r="I87">
        <v>202688.4</v>
      </c>
      <c r="J87">
        <v>318206.87</v>
      </c>
      <c r="K87">
        <v>531.38</v>
      </c>
      <c r="L87">
        <v>3</v>
      </c>
      <c r="M87">
        <v>1.53</v>
      </c>
      <c r="N87">
        <v>18.84</v>
      </c>
    </row>
    <row r="88" spans="1:14" x14ac:dyDescent="0.35">
      <c r="A88" s="1" t="s">
        <v>22</v>
      </c>
      <c r="B88" t="s">
        <v>51</v>
      </c>
      <c r="C88" t="s">
        <v>47</v>
      </c>
      <c r="D88" t="s">
        <v>32</v>
      </c>
      <c r="E88">
        <v>861</v>
      </c>
      <c r="F88">
        <v>248</v>
      </c>
      <c r="G88">
        <v>84</v>
      </c>
      <c r="H88">
        <v>522862.34</v>
      </c>
      <c r="I88">
        <v>264570.32</v>
      </c>
      <c r="J88">
        <v>260667.76</v>
      </c>
      <c r="K88">
        <v>583.87</v>
      </c>
      <c r="L88">
        <v>3</v>
      </c>
      <c r="M88">
        <v>2.0099999999999998</v>
      </c>
      <c r="N88">
        <v>11.82</v>
      </c>
    </row>
    <row r="89" spans="1:14" x14ac:dyDescent="0.35">
      <c r="A89" s="1" t="s">
        <v>22</v>
      </c>
      <c r="B89" t="s">
        <v>51</v>
      </c>
      <c r="C89" t="s">
        <v>47</v>
      </c>
      <c r="D89" t="s">
        <v>33</v>
      </c>
      <c r="E89">
        <v>497</v>
      </c>
      <c r="F89">
        <v>185</v>
      </c>
      <c r="G89">
        <v>57</v>
      </c>
      <c r="H89">
        <v>393952.86</v>
      </c>
      <c r="I89">
        <v>151821.9</v>
      </c>
      <c r="J89">
        <v>115741.37</v>
      </c>
      <c r="K89">
        <v>322.27999999999997</v>
      </c>
      <c r="L89">
        <v>3</v>
      </c>
      <c r="M89">
        <v>3.4</v>
      </c>
      <c r="N89">
        <v>9.15</v>
      </c>
    </row>
    <row r="90" spans="1:14" x14ac:dyDescent="0.35">
      <c r="A90" s="1" t="s">
        <v>22</v>
      </c>
      <c r="B90" t="s">
        <v>51</v>
      </c>
      <c r="C90" t="s">
        <v>47</v>
      </c>
      <c r="D90" t="s">
        <v>34</v>
      </c>
      <c r="E90">
        <v>421</v>
      </c>
      <c r="F90">
        <v>196</v>
      </c>
      <c r="G90">
        <v>84</v>
      </c>
      <c r="H90">
        <v>237935.35999999999</v>
      </c>
      <c r="I90">
        <v>212787.16</v>
      </c>
      <c r="J90">
        <v>124685.23</v>
      </c>
      <c r="K90">
        <v>352.17</v>
      </c>
      <c r="L90">
        <v>3</v>
      </c>
      <c r="M90">
        <v>1.91</v>
      </c>
      <c r="N90">
        <v>7.03</v>
      </c>
    </row>
    <row r="91" spans="1:14" x14ac:dyDescent="0.35">
      <c r="A91" s="1" t="s">
        <v>22</v>
      </c>
      <c r="B91" t="s">
        <v>51</v>
      </c>
      <c r="C91" t="s">
        <v>47</v>
      </c>
      <c r="D91" t="s">
        <v>35</v>
      </c>
      <c r="E91">
        <v>525</v>
      </c>
      <c r="F91">
        <v>173</v>
      </c>
      <c r="G91">
        <v>69</v>
      </c>
      <c r="H91">
        <v>611677.87</v>
      </c>
      <c r="I91">
        <v>89019.53</v>
      </c>
      <c r="J91">
        <v>176806.08</v>
      </c>
      <c r="K91">
        <v>540.75</v>
      </c>
      <c r="L91">
        <v>3</v>
      </c>
      <c r="M91">
        <v>3.46</v>
      </c>
      <c r="N91">
        <v>23.83</v>
      </c>
    </row>
    <row r="92" spans="1:14" x14ac:dyDescent="0.35">
      <c r="A92" s="1" t="s">
        <v>22</v>
      </c>
      <c r="B92" t="s">
        <v>51</v>
      </c>
      <c r="C92" t="s">
        <v>48</v>
      </c>
      <c r="D92" t="s">
        <v>25</v>
      </c>
      <c r="E92">
        <v>330</v>
      </c>
      <c r="F92">
        <v>148</v>
      </c>
      <c r="G92">
        <v>49</v>
      </c>
      <c r="H92">
        <v>236487.65</v>
      </c>
      <c r="I92">
        <v>124421.44</v>
      </c>
      <c r="J92">
        <v>54457.79</v>
      </c>
      <c r="K92">
        <v>258.33999999999997</v>
      </c>
      <c r="L92">
        <v>3</v>
      </c>
      <c r="M92">
        <v>4.34</v>
      </c>
      <c r="N92">
        <v>5.25</v>
      </c>
    </row>
    <row r="93" spans="1:14" x14ac:dyDescent="0.35">
      <c r="A93" s="1" t="s">
        <v>22</v>
      </c>
      <c r="B93" t="s">
        <v>51</v>
      </c>
      <c r="C93" t="s">
        <v>48</v>
      </c>
      <c r="D93" t="s">
        <v>27</v>
      </c>
      <c r="E93">
        <v>796</v>
      </c>
      <c r="F93">
        <v>252</v>
      </c>
      <c r="G93">
        <v>80</v>
      </c>
      <c r="H93">
        <v>798294.14</v>
      </c>
      <c r="I93">
        <v>146740.37</v>
      </c>
      <c r="J93">
        <v>117462.01</v>
      </c>
      <c r="K93">
        <v>358.43</v>
      </c>
      <c r="L93">
        <v>3</v>
      </c>
      <c r="M93">
        <v>6.8</v>
      </c>
      <c r="N93">
        <v>9.61</v>
      </c>
    </row>
    <row r="94" spans="1:14" x14ac:dyDescent="0.35">
      <c r="A94" s="1" t="s">
        <v>22</v>
      </c>
      <c r="B94" t="s">
        <v>51</v>
      </c>
      <c r="C94" t="s">
        <v>48</v>
      </c>
      <c r="D94" t="s">
        <v>28</v>
      </c>
      <c r="E94">
        <v>797</v>
      </c>
      <c r="F94">
        <v>304</v>
      </c>
      <c r="G94">
        <v>142</v>
      </c>
      <c r="H94">
        <v>419096.62</v>
      </c>
      <c r="I94">
        <v>257444.06</v>
      </c>
      <c r="J94">
        <v>184571.36</v>
      </c>
      <c r="K94">
        <v>453.82</v>
      </c>
      <c r="L94">
        <v>3</v>
      </c>
      <c r="M94">
        <v>2.27</v>
      </c>
      <c r="N94">
        <v>8.6</v>
      </c>
    </row>
    <row r="95" spans="1:14" x14ac:dyDescent="0.35">
      <c r="A95" s="1" t="s">
        <v>22</v>
      </c>
      <c r="B95" t="s">
        <v>51</v>
      </c>
      <c r="C95" t="s">
        <v>48</v>
      </c>
      <c r="D95" t="s">
        <v>29</v>
      </c>
      <c r="E95">
        <v>1184</v>
      </c>
      <c r="F95">
        <v>355</v>
      </c>
      <c r="G95">
        <v>161</v>
      </c>
      <c r="H95">
        <v>801348.02</v>
      </c>
      <c r="I95">
        <v>172473.14</v>
      </c>
      <c r="J95">
        <v>268262.78999999998</v>
      </c>
      <c r="K95">
        <v>578.57000000000005</v>
      </c>
      <c r="L95">
        <v>3</v>
      </c>
      <c r="M95">
        <v>2.99</v>
      </c>
      <c r="N95">
        <v>18.66</v>
      </c>
    </row>
    <row r="96" spans="1:14" x14ac:dyDescent="0.35">
      <c r="A96" s="1" t="s">
        <v>22</v>
      </c>
      <c r="B96" t="s">
        <v>51</v>
      </c>
      <c r="C96" t="s">
        <v>48</v>
      </c>
      <c r="D96" t="s">
        <v>30</v>
      </c>
      <c r="E96">
        <v>945</v>
      </c>
      <c r="F96">
        <v>292</v>
      </c>
      <c r="G96">
        <v>124</v>
      </c>
      <c r="H96">
        <v>329830.82</v>
      </c>
      <c r="I96">
        <v>109409.38</v>
      </c>
      <c r="J96">
        <v>135354.07999999999</v>
      </c>
      <c r="K96">
        <v>329.51</v>
      </c>
      <c r="L96">
        <v>3</v>
      </c>
      <c r="M96">
        <v>2.44</v>
      </c>
      <c r="N96">
        <v>14.85</v>
      </c>
    </row>
    <row r="97" spans="1:14" x14ac:dyDescent="0.35">
      <c r="A97" s="1" t="s">
        <v>22</v>
      </c>
      <c r="B97" t="s">
        <v>51</v>
      </c>
      <c r="C97" t="s">
        <v>48</v>
      </c>
      <c r="D97" t="s">
        <v>31</v>
      </c>
      <c r="E97">
        <v>815</v>
      </c>
      <c r="F97">
        <v>403</v>
      </c>
      <c r="G97">
        <v>108</v>
      </c>
      <c r="H97">
        <v>628160.1</v>
      </c>
      <c r="I97">
        <v>136559.41</v>
      </c>
      <c r="J97">
        <v>217749.96</v>
      </c>
      <c r="K97">
        <v>396.08</v>
      </c>
      <c r="L97">
        <v>3</v>
      </c>
      <c r="M97">
        <v>2.88</v>
      </c>
      <c r="N97">
        <v>19.13</v>
      </c>
    </row>
    <row r="98" spans="1:14" x14ac:dyDescent="0.35">
      <c r="A98" s="1" t="s">
        <v>22</v>
      </c>
      <c r="B98" t="s">
        <v>51</v>
      </c>
      <c r="C98" t="s">
        <v>48</v>
      </c>
      <c r="D98" t="s">
        <v>32</v>
      </c>
      <c r="E98">
        <v>763</v>
      </c>
      <c r="F98">
        <v>364</v>
      </c>
      <c r="G98">
        <v>139</v>
      </c>
      <c r="H98">
        <v>441321</v>
      </c>
      <c r="I98">
        <v>103877.46</v>
      </c>
      <c r="J98">
        <v>226857.66</v>
      </c>
      <c r="K98">
        <v>454.93</v>
      </c>
      <c r="L98">
        <v>3</v>
      </c>
      <c r="M98">
        <v>1.95</v>
      </c>
      <c r="N98">
        <v>26.21</v>
      </c>
    </row>
    <row r="99" spans="1:14" x14ac:dyDescent="0.35">
      <c r="A99" s="1" t="s">
        <v>22</v>
      </c>
      <c r="B99" t="s">
        <v>51</v>
      </c>
      <c r="C99" t="s">
        <v>48</v>
      </c>
      <c r="D99" t="s">
        <v>33</v>
      </c>
      <c r="E99">
        <v>586</v>
      </c>
      <c r="F99">
        <v>216</v>
      </c>
      <c r="G99">
        <v>90</v>
      </c>
      <c r="H99">
        <v>283315.34000000003</v>
      </c>
      <c r="I99">
        <v>153490.57999999999</v>
      </c>
      <c r="J99">
        <v>90371.47</v>
      </c>
      <c r="K99">
        <v>310.99</v>
      </c>
      <c r="L99">
        <v>3</v>
      </c>
      <c r="M99">
        <v>3.14</v>
      </c>
      <c r="N99">
        <v>7.07</v>
      </c>
    </row>
    <row r="100" spans="1:14" x14ac:dyDescent="0.35">
      <c r="A100" s="1" t="s">
        <v>22</v>
      </c>
      <c r="B100" t="s">
        <v>51</v>
      </c>
      <c r="C100" t="s">
        <v>48</v>
      </c>
      <c r="D100" t="s">
        <v>34</v>
      </c>
      <c r="E100">
        <v>1062</v>
      </c>
      <c r="F100">
        <v>364</v>
      </c>
      <c r="G100">
        <v>138</v>
      </c>
      <c r="H100">
        <v>616015.31000000006</v>
      </c>
      <c r="I100">
        <v>325235.07</v>
      </c>
      <c r="J100">
        <v>278301.86</v>
      </c>
      <c r="K100">
        <v>564.38</v>
      </c>
      <c r="L100">
        <v>3</v>
      </c>
      <c r="M100">
        <v>2.21</v>
      </c>
      <c r="N100">
        <v>10.27</v>
      </c>
    </row>
    <row r="101" spans="1:14" x14ac:dyDescent="0.35">
      <c r="A101" s="1" t="s">
        <v>22</v>
      </c>
      <c r="B101" t="s">
        <v>51</v>
      </c>
      <c r="C101" t="s">
        <v>48</v>
      </c>
      <c r="D101" t="s">
        <v>35</v>
      </c>
      <c r="E101">
        <v>382</v>
      </c>
      <c r="F101">
        <v>126</v>
      </c>
      <c r="G101">
        <v>54</v>
      </c>
      <c r="H101">
        <v>279902.83</v>
      </c>
      <c r="I101">
        <v>81606.37</v>
      </c>
      <c r="J101">
        <v>34929.93</v>
      </c>
      <c r="K101">
        <v>200.71</v>
      </c>
      <c r="L101">
        <v>3</v>
      </c>
      <c r="M101">
        <v>8.01</v>
      </c>
      <c r="N101">
        <v>5.14</v>
      </c>
    </row>
    <row r="102" spans="1:14" x14ac:dyDescent="0.35">
      <c r="A102" s="1" t="s">
        <v>22</v>
      </c>
      <c r="B102" t="s">
        <v>51</v>
      </c>
      <c r="C102" t="s">
        <v>49</v>
      </c>
      <c r="D102" t="s">
        <v>25</v>
      </c>
      <c r="E102">
        <v>1470</v>
      </c>
      <c r="F102">
        <v>399</v>
      </c>
      <c r="G102">
        <v>108</v>
      </c>
      <c r="H102">
        <v>695966.37</v>
      </c>
      <c r="I102">
        <v>150578.97</v>
      </c>
      <c r="J102">
        <v>135364.89000000001</v>
      </c>
      <c r="K102">
        <v>362.16</v>
      </c>
      <c r="L102">
        <v>3</v>
      </c>
      <c r="M102">
        <v>5.14</v>
      </c>
      <c r="N102">
        <v>10.79</v>
      </c>
    </row>
    <row r="103" spans="1:14" x14ac:dyDescent="0.35">
      <c r="A103" s="1" t="s">
        <v>22</v>
      </c>
      <c r="B103" t="s">
        <v>51</v>
      </c>
      <c r="C103" t="s">
        <v>49</v>
      </c>
      <c r="D103" t="s">
        <v>27</v>
      </c>
      <c r="E103">
        <v>714</v>
      </c>
      <c r="F103">
        <v>339</v>
      </c>
      <c r="G103">
        <v>95</v>
      </c>
      <c r="H103">
        <v>544178.81000000006</v>
      </c>
      <c r="I103">
        <v>182311.16</v>
      </c>
      <c r="J103">
        <v>100349</v>
      </c>
      <c r="K103">
        <v>336.4</v>
      </c>
      <c r="L103">
        <v>3</v>
      </c>
      <c r="M103">
        <v>5.42</v>
      </c>
      <c r="N103">
        <v>6.61</v>
      </c>
    </row>
    <row r="104" spans="1:14" x14ac:dyDescent="0.35">
      <c r="A104" s="1" t="s">
        <v>22</v>
      </c>
      <c r="B104" t="s">
        <v>51</v>
      </c>
      <c r="C104" t="s">
        <v>49</v>
      </c>
      <c r="D104" t="s">
        <v>28</v>
      </c>
      <c r="E104">
        <v>969</v>
      </c>
      <c r="F104">
        <v>284</v>
      </c>
      <c r="G104">
        <v>110</v>
      </c>
      <c r="H104">
        <v>400886.16</v>
      </c>
      <c r="I104">
        <v>202849.75</v>
      </c>
      <c r="J104">
        <v>151678.32</v>
      </c>
      <c r="K104">
        <v>616.01</v>
      </c>
      <c r="L104">
        <v>3</v>
      </c>
      <c r="M104">
        <v>2.64</v>
      </c>
      <c r="N104">
        <v>8.9700000000000006</v>
      </c>
    </row>
    <row r="105" spans="1:14" x14ac:dyDescent="0.35">
      <c r="A105" s="1" t="s">
        <v>22</v>
      </c>
      <c r="B105" t="s">
        <v>51</v>
      </c>
      <c r="C105" t="s">
        <v>49</v>
      </c>
      <c r="D105" t="s">
        <v>29</v>
      </c>
      <c r="E105">
        <v>1341</v>
      </c>
      <c r="F105">
        <v>375</v>
      </c>
      <c r="G105">
        <v>118</v>
      </c>
      <c r="H105">
        <v>591483.94999999995</v>
      </c>
      <c r="I105">
        <v>142766.14000000001</v>
      </c>
      <c r="J105">
        <v>154997.38</v>
      </c>
      <c r="K105">
        <v>482.72</v>
      </c>
      <c r="L105">
        <v>3</v>
      </c>
      <c r="M105">
        <v>3.82</v>
      </c>
      <c r="N105">
        <v>13.03</v>
      </c>
    </row>
    <row r="106" spans="1:14" x14ac:dyDescent="0.35">
      <c r="A106" s="1" t="s">
        <v>22</v>
      </c>
      <c r="B106" t="s">
        <v>51</v>
      </c>
      <c r="C106" t="s">
        <v>49</v>
      </c>
      <c r="D106" t="s">
        <v>30</v>
      </c>
      <c r="E106">
        <v>557</v>
      </c>
      <c r="F106">
        <v>222</v>
      </c>
      <c r="G106">
        <v>55</v>
      </c>
      <c r="H106">
        <v>231699.63</v>
      </c>
      <c r="I106">
        <v>114428.5</v>
      </c>
      <c r="J106">
        <v>42984.59</v>
      </c>
      <c r="K106">
        <v>206.48</v>
      </c>
      <c r="L106">
        <v>3</v>
      </c>
      <c r="M106">
        <v>5.39</v>
      </c>
      <c r="N106">
        <v>4.51</v>
      </c>
    </row>
    <row r="107" spans="1:14" x14ac:dyDescent="0.35">
      <c r="A107" s="1" t="s">
        <v>22</v>
      </c>
      <c r="B107" t="s">
        <v>51</v>
      </c>
      <c r="C107" t="s">
        <v>49</v>
      </c>
      <c r="D107" t="s">
        <v>31</v>
      </c>
      <c r="E107">
        <v>648</v>
      </c>
      <c r="F107">
        <v>259</v>
      </c>
      <c r="G107">
        <v>104</v>
      </c>
      <c r="H107">
        <v>277456.93</v>
      </c>
      <c r="I107">
        <v>88974.18</v>
      </c>
      <c r="J107">
        <v>120199</v>
      </c>
      <c r="K107">
        <v>544.33000000000004</v>
      </c>
      <c r="L107">
        <v>3</v>
      </c>
      <c r="M107">
        <v>2.31</v>
      </c>
      <c r="N107">
        <v>16.21</v>
      </c>
    </row>
    <row r="108" spans="1:14" x14ac:dyDescent="0.35">
      <c r="A108" s="1" t="s">
        <v>22</v>
      </c>
      <c r="B108" t="s">
        <v>51</v>
      </c>
      <c r="C108" t="s">
        <v>49</v>
      </c>
      <c r="D108" t="s">
        <v>32</v>
      </c>
      <c r="E108">
        <v>445</v>
      </c>
      <c r="F108">
        <v>181</v>
      </c>
      <c r="G108">
        <v>58</v>
      </c>
      <c r="H108">
        <v>368279.86</v>
      </c>
      <c r="I108">
        <v>65000.89</v>
      </c>
      <c r="J108">
        <v>74705.73</v>
      </c>
      <c r="K108">
        <v>480.05</v>
      </c>
      <c r="L108">
        <v>3</v>
      </c>
      <c r="M108">
        <v>4.93</v>
      </c>
      <c r="N108">
        <v>13.79</v>
      </c>
    </row>
    <row r="109" spans="1:14" x14ac:dyDescent="0.35">
      <c r="A109" s="1" t="s">
        <v>22</v>
      </c>
      <c r="B109" t="s">
        <v>51</v>
      </c>
      <c r="C109" t="s">
        <v>49</v>
      </c>
      <c r="D109" t="s">
        <v>33</v>
      </c>
      <c r="E109">
        <v>903</v>
      </c>
      <c r="F109">
        <v>410</v>
      </c>
      <c r="G109">
        <v>144</v>
      </c>
      <c r="H109">
        <v>533870.81999999995</v>
      </c>
      <c r="I109">
        <v>268100.32</v>
      </c>
      <c r="J109">
        <v>224383.46</v>
      </c>
      <c r="K109">
        <v>581.79</v>
      </c>
      <c r="L109">
        <v>3</v>
      </c>
      <c r="M109">
        <v>2.38</v>
      </c>
      <c r="N109">
        <v>10.039999999999999</v>
      </c>
    </row>
    <row r="110" spans="1:14" x14ac:dyDescent="0.35">
      <c r="A110" s="1" t="s">
        <v>22</v>
      </c>
      <c r="B110" t="s">
        <v>51</v>
      </c>
      <c r="C110" t="s">
        <v>49</v>
      </c>
      <c r="D110" t="s">
        <v>34</v>
      </c>
      <c r="E110">
        <v>1502</v>
      </c>
      <c r="F110">
        <v>403</v>
      </c>
      <c r="G110">
        <v>120</v>
      </c>
      <c r="H110">
        <v>525679.79</v>
      </c>
      <c r="I110">
        <v>216626.02</v>
      </c>
      <c r="J110">
        <v>141939.06</v>
      </c>
      <c r="K110">
        <v>392.58</v>
      </c>
      <c r="L110">
        <v>3</v>
      </c>
      <c r="M110">
        <v>3.7</v>
      </c>
      <c r="N110">
        <v>7.86</v>
      </c>
    </row>
    <row r="111" spans="1:14" x14ac:dyDescent="0.35">
      <c r="A111" s="1" t="s">
        <v>22</v>
      </c>
      <c r="B111" t="s">
        <v>51</v>
      </c>
      <c r="C111" t="s">
        <v>49</v>
      </c>
      <c r="D111" t="s">
        <v>35</v>
      </c>
      <c r="E111">
        <v>759</v>
      </c>
      <c r="F111">
        <v>315</v>
      </c>
      <c r="G111">
        <v>89</v>
      </c>
      <c r="H111">
        <v>590221.85</v>
      </c>
      <c r="I111">
        <v>154938.79</v>
      </c>
      <c r="J111">
        <v>160033.09</v>
      </c>
      <c r="K111">
        <v>569.82000000000005</v>
      </c>
      <c r="L111">
        <v>3</v>
      </c>
      <c r="M111">
        <v>3.69</v>
      </c>
      <c r="N111">
        <v>12.39</v>
      </c>
    </row>
    <row r="112" spans="1:14" x14ac:dyDescent="0.35">
      <c r="A112" s="1" t="s">
        <v>22</v>
      </c>
      <c r="B112" t="s">
        <v>51</v>
      </c>
      <c r="C112" t="s">
        <v>50</v>
      </c>
      <c r="D112" t="s">
        <v>25</v>
      </c>
      <c r="E112">
        <v>1148</v>
      </c>
      <c r="F112">
        <v>389</v>
      </c>
      <c r="G112">
        <v>127</v>
      </c>
      <c r="H112">
        <v>945984.83</v>
      </c>
      <c r="I112">
        <v>151849.25</v>
      </c>
      <c r="J112">
        <v>149056.22</v>
      </c>
      <c r="K112">
        <v>279.92</v>
      </c>
      <c r="L112">
        <v>3</v>
      </c>
      <c r="M112">
        <v>6.35</v>
      </c>
      <c r="N112">
        <v>11.78</v>
      </c>
    </row>
    <row r="113" spans="1:14" x14ac:dyDescent="0.35">
      <c r="A113" s="1" t="s">
        <v>22</v>
      </c>
      <c r="B113" t="s">
        <v>51</v>
      </c>
      <c r="C113" t="s">
        <v>50</v>
      </c>
      <c r="D113" t="s">
        <v>27</v>
      </c>
      <c r="E113">
        <v>649</v>
      </c>
      <c r="F113">
        <v>172</v>
      </c>
      <c r="G113">
        <v>44</v>
      </c>
      <c r="H113">
        <v>383541.95</v>
      </c>
      <c r="I113">
        <v>151952.71</v>
      </c>
      <c r="J113">
        <v>59227.8</v>
      </c>
      <c r="K113">
        <v>258.64</v>
      </c>
      <c r="L113">
        <v>3</v>
      </c>
      <c r="M113">
        <v>6.48</v>
      </c>
      <c r="N113">
        <v>4.68</v>
      </c>
    </row>
    <row r="114" spans="1:14" x14ac:dyDescent="0.35">
      <c r="A114" s="1" t="s">
        <v>22</v>
      </c>
      <c r="B114" t="s">
        <v>51</v>
      </c>
      <c r="C114" t="s">
        <v>50</v>
      </c>
      <c r="D114" t="s">
        <v>28</v>
      </c>
      <c r="E114">
        <v>1016</v>
      </c>
      <c r="F114">
        <v>417</v>
      </c>
      <c r="G114">
        <v>181</v>
      </c>
      <c r="H114">
        <v>569375.65</v>
      </c>
      <c r="I114">
        <v>129368.01</v>
      </c>
      <c r="J114">
        <v>139652.43</v>
      </c>
      <c r="K114">
        <v>249.19</v>
      </c>
      <c r="L114">
        <v>3</v>
      </c>
      <c r="M114">
        <v>4.08</v>
      </c>
      <c r="N114">
        <v>12.95</v>
      </c>
    </row>
    <row r="115" spans="1:14" x14ac:dyDescent="0.35">
      <c r="A115" s="1" t="s">
        <v>22</v>
      </c>
      <c r="B115" t="s">
        <v>51</v>
      </c>
      <c r="C115" t="s">
        <v>50</v>
      </c>
      <c r="D115" t="s">
        <v>29</v>
      </c>
      <c r="E115">
        <v>700</v>
      </c>
      <c r="F115">
        <v>318</v>
      </c>
      <c r="G115">
        <v>111</v>
      </c>
      <c r="H115">
        <v>747740.99</v>
      </c>
      <c r="I115">
        <v>210769.27</v>
      </c>
      <c r="J115">
        <v>135389.07999999999</v>
      </c>
      <c r="K115">
        <v>321.32</v>
      </c>
      <c r="L115">
        <v>3</v>
      </c>
      <c r="M115">
        <v>5.52</v>
      </c>
      <c r="N115">
        <v>7.71</v>
      </c>
    </row>
    <row r="116" spans="1:14" x14ac:dyDescent="0.35">
      <c r="A116" s="1" t="s">
        <v>22</v>
      </c>
      <c r="B116" t="s">
        <v>51</v>
      </c>
      <c r="C116" t="s">
        <v>50</v>
      </c>
      <c r="D116" t="s">
        <v>30</v>
      </c>
      <c r="E116">
        <v>489</v>
      </c>
      <c r="F116">
        <v>163</v>
      </c>
      <c r="G116">
        <v>77</v>
      </c>
      <c r="H116">
        <v>408695.45</v>
      </c>
      <c r="I116">
        <v>113564.15</v>
      </c>
      <c r="J116">
        <v>81476.56</v>
      </c>
      <c r="K116">
        <v>351.94</v>
      </c>
      <c r="L116">
        <v>3</v>
      </c>
      <c r="M116">
        <v>5.0199999999999996</v>
      </c>
      <c r="N116">
        <v>8.61</v>
      </c>
    </row>
    <row r="117" spans="1:14" x14ac:dyDescent="0.35">
      <c r="A117" s="1" t="s">
        <v>22</v>
      </c>
      <c r="B117" t="s">
        <v>51</v>
      </c>
      <c r="C117" t="s">
        <v>50</v>
      </c>
      <c r="D117" t="s">
        <v>31</v>
      </c>
      <c r="E117">
        <v>731</v>
      </c>
      <c r="F117">
        <v>250</v>
      </c>
      <c r="G117">
        <v>101</v>
      </c>
      <c r="H117">
        <v>529925.04</v>
      </c>
      <c r="I117">
        <v>192683.63</v>
      </c>
      <c r="J117">
        <v>72954.399999999994</v>
      </c>
      <c r="K117">
        <v>214.79</v>
      </c>
      <c r="L117">
        <v>3</v>
      </c>
      <c r="M117">
        <v>7.26</v>
      </c>
      <c r="N117">
        <v>4.54</v>
      </c>
    </row>
    <row r="118" spans="1:14" x14ac:dyDescent="0.35">
      <c r="A118" s="1" t="s">
        <v>22</v>
      </c>
      <c r="B118" t="s">
        <v>51</v>
      </c>
      <c r="C118" t="s">
        <v>50</v>
      </c>
      <c r="D118" t="s">
        <v>32</v>
      </c>
      <c r="E118">
        <v>959</v>
      </c>
      <c r="F118">
        <v>344</v>
      </c>
      <c r="G118">
        <v>115</v>
      </c>
      <c r="H118">
        <v>443811.74</v>
      </c>
      <c r="I118">
        <v>254661.04</v>
      </c>
      <c r="J118">
        <v>267053.02</v>
      </c>
      <c r="K118">
        <v>588.76</v>
      </c>
      <c r="L118">
        <v>3</v>
      </c>
      <c r="M118">
        <v>1.66</v>
      </c>
      <c r="N118">
        <v>12.58</v>
      </c>
    </row>
    <row r="119" spans="1:14" x14ac:dyDescent="0.35">
      <c r="A119" s="1" t="s">
        <v>22</v>
      </c>
      <c r="B119" t="s">
        <v>51</v>
      </c>
      <c r="C119" t="s">
        <v>50</v>
      </c>
      <c r="D119" t="s">
        <v>33</v>
      </c>
      <c r="E119">
        <v>1185</v>
      </c>
      <c r="F119">
        <v>324</v>
      </c>
      <c r="G119">
        <v>94</v>
      </c>
      <c r="H119">
        <v>433814.72</v>
      </c>
      <c r="I119">
        <v>252408.06</v>
      </c>
      <c r="J119">
        <v>113386.66</v>
      </c>
      <c r="K119">
        <v>261.97000000000003</v>
      </c>
      <c r="L119">
        <v>3</v>
      </c>
      <c r="M119">
        <v>3.83</v>
      </c>
      <c r="N119">
        <v>5.39</v>
      </c>
    </row>
    <row r="120" spans="1:14" x14ac:dyDescent="0.35">
      <c r="A120" s="1" t="s">
        <v>22</v>
      </c>
      <c r="B120" t="s">
        <v>51</v>
      </c>
      <c r="C120" t="s">
        <v>50</v>
      </c>
      <c r="D120" t="s">
        <v>34</v>
      </c>
      <c r="E120">
        <v>902</v>
      </c>
      <c r="F120">
        <v>314</v>
      </c>
      <c r="G120">
        <v>93</v>
      </c>
      <c r="H120">
        <v>245780.47</v>
      </c>
      <c r="I120">
        <v>81199.09</v>
      </c>
      <c r="J120">
        <v>235500.65</v>
      </c>
      <c r="K120">
        <v>543.5</v>
      </c>
      <c r="L120">
        <v>3</v>
      </c>
      <c r="M120">
        <v>1.04</v>
      </c>
      <c r="N120">
        <v>34.799999999999997</v>
      </c>
    </row>
    <row r="121" spans="1:14" x14ac:dyDescent="0.35">
      <c r="A121" s="1" t="s">
        <v>22</v>
      </c>
      <c r="B121" t="s">
        <v>51</v>
      </c>
      <c r="C121" t="s">
        <v>50</v>
      </c>
      <c r="D121" t="s">
        <v>35</v>
      </c>
      <c r="E121">
        <v>421</v>
      </c>
      <c r="F121">
        <v>204</v>
      </c>
      <c r="G121">
        <v>58</v>
      </c>
      <c r="H121">
        <v>319705.49</v>
      </c>
      <c r="I121">
        <v>137670.22</v>
      </c>
      <c r="J121">
        <v>146392.20000000001</v>
      </c>
      <c r="K121">
        <v>522.96</v>
      </c>
      <c r="L121">
        <v>3</v>
      </c>
      <c r="M121">
        <v>2.1800000000000002</v>
      </c>
      <c r="N121">
        <v>12.76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 Comparison</vt:lpstr>
      <vt:lpstr>Budget Summary</vt:lpstr>
      <vt:lpstr>Forecast Summary</vt:lpstr>
      <vt:lpstr>Trended Forecast Pipeline</vt:lpstr>
      <vt:lpstr>Actual_marketing_pipeline</vt:lpstr>
      <vt:lpstr>Forecast_marketing_pipeline</vt:lpstr>
      <vt:lpstr>Budget_marketing_pipeline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Justice</dc:creator>
  <cp:lastModifiedBy>Matt Justice</cp:lastModifiedBy>
  <dcterms:created xsi:type="dcterms:W3CDTF">2026-05-20T23:21:46Z</dcterms:created>
  <dcterms:modified xsi:type="dcterms:W3CDTF">2026-05-21T15:27:43Z</dcterms:modified>
</cp:coreProperties>
</file>