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EXT\PX\"/>
    </mc:Choice>
  </mc:AlternateContent>
  <xr:revisionPtr revIDLastSave="0" documentId="8_{519D0A6D-6F25-4F85-B033-7E09E3088E5B}" xr6:coauthVersionLast="47" xr6:coauthVersionMax="47" xr10:uidLastSave="{00000000-0000-0000-0000-000000000000}"/>
  <bookViews>
    <workbookView xWindow="-20" yWindow="-740" windowWidth="25640" windowHeight="14100" xr2:uid="{00000000-000D-0000-FFFF-FFFF00000000}"/>
  </bookViews>
  <sheets>
    <sheet name="Q2 vs Budget" sheetId="2" r:id="rId1"/>
    <sheet name="ARR Waterfall" sheetId="1" r:id="rId2"/>
    <sheet name="Income Statement" sheetId="3" r:id="rId3"/>
    <sheet name="Cash Forecast" sheetId="4" r:id="rId4"/>
    <sheet name="Cash Flow Statement" sheetId="5" r:id="rId5"/>
    <sheet name="GTM Review" sheetId="6" r:id="rId6"/>
    <sheet name="Headcount" sheetId="7" r:id="rId7"/>
    <sheet name="Variance Commentary" sheetId="8" r:id="rId8"/>
    <sheet name="Risks &amp; Opportunities" sheetId="9" r:id="rId9"/>
    <sheet name="Assumptions &amp; Legend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4" l="1"/>
  <c r="AB5" i="4"/>
  <c r="AA5" i="4"/>
  <c r="Z5" i="4"/>
  <c r="Y5" i="4"/>
  <c r="X5" i="4"/>
  <c r="W5" i="4"/>
  <c r="V5" i="4"/>
  <c r="AB25" i="4"/>
  <c r="AC25" i="4"/>
  <c r="AB23" i="4"/>
  <c r="AC23" i="4"/>
  <c r="AA25" i="4"/>
  <c r="AA23" i="4"/>
  <c r="Z25" i="4"/>
  <c r="Z23" i="4"/>
  <c r="Y25" i="4"/>
  <c r="X25" i="4"/>
  <c r="Y23" i="4"/>
  <c r="X23" i="4"/>
  <c r="Y24" i="4"/>
  <c r="X24" i="4"/>
  <c r="V24" i="4"/>
  <c r="W24" i="4"/>
  <c r="W25" i="4"/>
  <c r="W23" i="4"/>
  <c r="V25" i="4"/>
  <c r="V23" i="4"/>
  <c r="R25" i="4"/>
  <c r="S25" i="4"/>
  <c r="T25" i="4"/>
  <c r="U25" i="4"/>
  <c r="U23" i="4"/>
  <c r="U5" i="4"/>
  <c r="T23" i="4"/>
  <c r="T5" i="4"/>
  <c r="S23" i="4"/>
  <c r="S5" i="4"/>
  <c r="I13" i="1"/>
  <c r="J13" i="1"/>
  <c r="K13" i="1"/>
  <c r="L13" i="1"/>
  <c r="M13" i="1"/>
  <c r="H13" i="1"/>
  <c r="G13" i="1"/>
  <c r="G5" i="1"/>
  <c r="G14" i="1" l="1"/>
  <c r="H5" i="1" s="1"/>
  <c r="H14" i="1"/>
  <c r="I5" i="1" s="1"/>
  <c r="I14" i="1"/>
  <c r="J5" i="1" s="1"/>
  <c r="J14" i="1" s="1"/>
  <c r="K5" i="1" s="1"/>
  <c r="K14" i="1" s="1"/>
  <c r="L5" i="1" s="1"/>
  <c r="L14" i="1" s="1"/>
  <c r="M5" i="1" s="1"/>
  <c r="M14" i="1" s="1"/>
</calcChain>
</file>

<file path=xl/sharedStrings.xml><?xml version="1.0" encoding="utf-8"?>
<sst xmlns="http://schemas.openxmlformats.org/spreadsheetml/2006/main" count="580" uniqueCount="370">
  <si>
    <t>SMPL · ARR / MRR Waterfall · Q2 2026 Close — June Actuals</t>
  </si>
  <si>
    <t>◀  ACTUALS  ▶</t>
  </si>
  <si>
    <t>◀  FORECAST (Jul–Dec)  ▶</t>
  </si>
  <si>
    <t>◀  ACTUAL SUBTOTALS  ▶</t>
  </si>
  <si>
    <t>◀  BUDGET SUBTOTALS  ▶</t>
  </si>
  <si>
    <t>◀  VARIANCE (ACT vs BUD)  ▶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</si>
  <si>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</si>
  <si>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</si>
  <si>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</si>
  <si>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</si>
  <si>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</si>
  <si>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</si>
  <si>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</si>
  <si>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</si>
  <si>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</si>
  <si>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</si>
  <si>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</si>
  <si>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</si>
  <si>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
Actual</t>
  </si>
  <si>
    <t>Q2
Actual</t>
  </si>
  <si>
    <t>H1 Act
+Jun FC</t>
  </si>
  <si>
    <t>FY Act
+FC</t>
  </si>
  <si>
    <t>Q1
Budget</t>
  </si>
  <si>
    <t>Q2
Budget</t>
  </si>
  <si>
    <t>H1
Budget</t>
  </si>
  <si>
    <t>FY
Budget</t>
  </si>
  <si>
    <t>Q1
Var $</t>
  </si>
  <si>
    <t>Q2
Var $</t>
  </si>
  <si>
    <t>H1
Var $</t>
  </si>
  <si>
    <t>FY
Var $</t>
  </si>
  <si>
    <t>Q1
Var %</t>
  </si>
  <si>
    <t>Q2
Var %</t>
  </si>
  <si>
    <t>H1
Var %</t>
  </si>
  <si>
    <t>FY
Var %</t>
  </si>
  <si>
    <t xml:space="preserve">  ARR MOVEMENT BRIDGE ($M)</t>
  </si>
  <si>
    <t>Beginning ARR</t>
  </si>
  <si>
    <t>+ New Business</t>
  </si>
  <si>
    <t>+ Expansion</t>
  </si>
  <si>
    <t>+ Reactivation</t>
  </si>
  <si>
    <t>- Contraction</t>
  </si>
  <si>
    <t>- Churn</t>
  </si>
  <si>
    <t xml:space="preserve">  NET NEW ARR &amp; ENDING ARR</t>
  </si>
  <si>
    <t>Net New ARR</t>
  </si>
  <si>
    <t>Ending ARR</t>
  </si>
  <si>
    <t xml:space="preserve">  RETENTION METRICS</t>
  </si>
  <si>
    <t>NRR %</t>
  </si>
  <si>
    <t>GRR %</t>
  </si>
  <si>
    <t xml:space="preserve">  Note: Jun Actual column (yellow) is a user-input placeholder. Enter June actuals when the period closes. Q2 Act and H1 Act subtotals will auto-populate based on formulas. Forecast Jul–Dec sourced from Forecast_mrr_waterfall.csv.</t>
  </si>
  <si>
    <t>SMPL · Q2 2026 Variance Analysis — Actuals vs Budget</t>
  </si>
  <si>
    <t>Q2 2026 (Apr–Jun) and YTD (Jan–Jun) · Prepared by Finance · Confidential</t>
  </si>
  <si>
    <t>Line Item</t>
  </si>
  <si>
    <t>Q2 Actual</t>
  </si>
  <si>
    <t>Q2 Budget</t>
  </si>
  <si>
    <t>Q2 Var $</t>
  </si>
  <si>
    <t>Q2 Var %</t>
  </si>
  <si>
    <t>YTD Actual</t>
  </si>
  <si>
    <t>YTD Budget</t>
  </si>
  <si>
    <t>YTD Var $</t>
  </si>
  <si>
    <t>YTD Var %</t>
  </si>
  <si>
    <t>INCOME STATEMENT</t>
  </si>
  <si>
    <t>Total Revenue</t>
  </si>
  <si>
    <t>-2.3%</t>
  </si>
  <si>
    <t>+0.7%</t>
  </si>
  <si>
    <t>Gross Profit</t>
  </si>
  <si>
    <t>+9.3%</t>
  </si>
  <si>
    <t>+12.1%</t>
  </si>
  <si>
    <t xml:space="preserve">    Gross Margin %</t>
  </si>
  <si>
    <t>+9bps</t>
  </si>
  <si>
    <t xml:space="preserve">    Sales &amp; Marketing</t>
  </si>
  <si>
    <t>+22.4%</t>
  </si>
  <si>
    <t>+28.6%</t>
  </si>
  <si>
    <t xml:space="preserve">    Research &amp; Development</t>
  </si>
  <si>
    <t>+130.5%</t>
  </si>
  <si>
    <t>+140.8%</t>
  </si>
  <si>
    <t xml:space="preserve">    General &amp; Administrative</t>
  </si>
  <si>
    <t>+57.3%</t>
  </si>
  <si>
    <t>+70.6%</t>
  </si>
  <si>
    <t>EBITDA</t>
  </si>
  <si>
    <t>-316.1%</t>
  </si>
  <si>
    <t>-346.1%</t>
  </si>
  <si>
    <t>ARR MOVEMENT</t>
  </si>
  <si>
    <t>New Business</t>
  </si>
  <si>
    <t>+5.7%</t>
  </si>
  <si>
    <t>+5.0%</t>
  </si>
  <si>
    <t>Expansion</t>
  </si>
  <si>
    <t>+4.6%</t>
  </si>
  <si>
    <t>+3.9%</t>
  </si>
  <si>
    <t>Reactivation</t>
  </si>
  <si>
    <t>-18.0%</t>
  </si>
  <si>
    <t>-11.0%</t>
  </si>
  <si>
    <t>Contraction</t>
  </si>
  <si>
    <t>-185.9%</t>
  </si>
  <si>
    <t>-191.0%</t>
  </si>
  <si>
    <t>Churn</t>
  </si>
  <si>
    <t>-170.0%</t>
  </si>
  <si>
    <t>-182.7%</t>
  </si>
  <si>
    <t>+16.4%</t>
  </si>
  <si>
    <t>+12.2%</t>
  </si>
  <si>
    <t>Ending ARR (Jun EOP)</t>
  </si>
  <si>
    <t>+1.4%</t>
  </si>
  <si>
    <t>CASH</t>
  </si>
  <si>
    <t>Q2 / YTD CFO</t>
  </si>
  <si>
    <t>+679.9%</t>
  </si>
  <si>
    <t>+703.6%</t>
  </si>
  <si>
    <t>Ending Cash (Jun EOP)</t>
  </si>
  <si>
    <t>+46.0%</t>
  </si>
  <si>
    <t>SMPL · Income Statement · Jan–Dec 2026</t>
  </si>
  <si>
    <t xml:space="preserve">  REVENUE</t>
  </si>
  <si>
    <t xml:space="preserve">  Subscription Rev</t>
  </si>
  <si>
    <t xml:space="preserve">  Services Rev</t>
  </si>
  <si>
    <t xml:space="preserve">  GROSS PROFIT</t>
  </si>
  <si>
    <t>Cost of Revenue</t>
  </si>
  <si>
    <t>Gross Margin %</t>
  </si>
  <si>
    <t xml:space="preserve">  OPERATING EXPENSES</t>
  </si>
  <si>
    <t>Sales &amp; Marketing</t>
  </si>
  <si>
    <t>Research &amp; Development</t>
  </si>
  <si>
    <t>General &amp; Administrative</t>
  </si>
  <si>
    <t>Total OpEx</t>
  </si>
  <si>
    <t xml:space="preserve">  EBITDA</t>
  </si>
  <si>
    <t>Depreciation &amp; Amort</t>
  </si>
  <si>
    <t>Operating Income</t>
  </si>
  <si>
    <t xml:space="preserve">  Note: Jun Actual (yellow) is a user-input placeholder — enter when June closes. Q2 and H1 actuals will reflect Apr+May until June is added.</t>
  </si>
  <si>
    <t>SMPL · Cash Flow Bridge · Jan–Dec 2026</t>
  </si>
  <si>
    <t xml:space="preserve">  BEGINNING CASH</t>
  </si>
  <si>
    <t>Beginning Cash</t>
  </si>
  <si>
    <t xml:space="preserve">  CASH INFLOWS</t>
  </si>
  <si>
    <t>Collections (from Billings)</t>
  </si>
  <si>
    <t xml:space="preserve">  CASH OUTFLOWS</t>
  </si>
  <si>
    <t>Payroll</t>
  </si>
  <si>
    <t>Commissions</t>
  </si>
  <si>
    <t>Vendor / AP Payments</t>
  </si>
  <si>
    <t>Tax Payments</t>
  </si>
  <si>
    <t>Interest Expense</t>
  </si>
  <si>
    <t>Other Operating Cash Out</t>
  </si>
  <si>
    <t>Capital Expenditures</t>
  </si>
  <si>
    <t>Total Cash Outflows</t>
  </si>
  <si>
    <t>Net Operating Cash Flow</t>
  </si>
  <si>
    <t xml:space="preserve">  ENDING CASH &amp; LIQUIDITY</t>
  </si>
  <si>
    <t>Ending Cash Balance</t>
  </si>
  <si>
    <t>Cash Floor / Minimum</t>
  </si>
  <si>
    <t>Cash Headroom vs Floor</t>
  </si>
  <si>
    <t xml:space="preserve">  Note: Jun Actual (yellow) is a user-input placeholder. Forecast (Jul–Dec) sourced from Forecast_cash_flow_bridge.csv. Actual cash significantly exceeds budget due to annual billing collection timing in Q1.</t>
  </si>
  <si>
    <t>SMPL · Cash Flow Statement (GAAP Indirect Method) · Jan–Dec 2026</t>
  </si>
  <si>
    <t xml:space="preserve">  OPERATING ACTIVITIES</t>
  </si>
  <si>
    <t>Net Income / (Loss)</t>
  </si>
  <si>
    <t>Add: Depreciation &amp; Amort</t>
  </si>
  <si>
    <t>Change in AR / Collections vs Revenue</t>
  </si>
  <si>
    <t>Change in Deferred Revenue</t>
  </si>
  <si>
    <t>Change in AP &amp; Accrued Liabilities</t>
  </si>
  <si>
    <t>Commissions Paid</t>
  </si>
  <si>
    <t>Cash from Operations (CFO)</t>
  </si>
  <si>
    <t xml:space="preserve">  INVESTING ACTIVITIES</t>
  </si>
  <si>
    <t>Capital Expenditures (CapEx)</t>
  </si>
  <si>
    <t>Cash from Investing (CFI)</t>
  </si>
  <si>
    <t xml:space="preserve">  FINANCING ACTIVITIES</t>
  </si>
  <si>
    <t>Proceeds from Financing</t>
  </si>
  <si>
    <t>Debt Repayments</t>
  </si>
  <si>
    <t>Cash from Financing (CFF)</t>
  </si>
  <si>
    <t xml:space="preserve">  NET CASH MOVEMENT &amp; RECONCILIATION</t>
  </si>
  <si>
    <t>Net Change in Cash</t>
  </si>
  <si>
    <t>Beginning Cash Balance</t>
  </si>
  <si>
    <t xml:space="preserve">  Note: GAAP indirect method approximation using operational data. Deferred revenue and working capital changes are estimated from billing/collection dynamics. Jun Actual (yellow) is a user-input placeholder.</t>
  </si>
  <si>
    <t xml:space="preserve">  ClarityFP · GTM &amp; Marketing Channel Efficiency · YTD 2026</t>
  </si>
  <si>
    <t>Channel</t>
  </si>
  <si>
    <t>Mktg Spend ($M)</t>
  </si>
  <si>
    <t>Pipeline Created ($M)</t>
  </si>
  <si>
    <t>Closed Won ($M)</t>
  </si>
  <si>
    <t>Pipeline / $1 Spend</t>
  </si>
  <si>
    <t>Efficiency Rank</t>
  </si>
  <si>
    <t>Organic Search</t>
  </si>
  <si>
    <t>Partner</t>
  </si>
  <si>
    <t>Referral</t>
  </si>
  <si>
    <t>Webinar</t>
  </si>
  <si>
    <t>Outbound</t>
  </si>
  <si>
    <t>Direct</t>
  </si>
  <si>
    <t>Field Event</t>
  </si>
  <si>
    <t>Content Syndic.</t>
  </si>
  <si>
    <t>Paid Search</t>
  </si>
  <si>
    <t>Paid Social</t>
  </si>
  <si>
    <t>SMPL · Headcount &amp; Productivity · Jan–Jun 2026</t>
  </si>
  <si>
    <t>Department</t>
  </si>
  <si>
    <t>Bud Jun</t>
  </si>
  <si>
    <t>Var</t>
  </si>
  <si>
    <t>ARR/Emp</t>
  </si>
  <si>
    <t>Sales</t>
  </si>
  <si>
    <t>$628K/emp</t>
  </si>
  <si>
    <t>Engineering</t>
  </si>
  <si>
    <t>Customer Success</t>
  </si>
  <si>
    <t>Marketing</t>
  </si>
  <si>
    <t>G&amp;A + Support</t>
  </si>
  <si>
    <t>Product</t>
  </si>
  <si>
    <t>Total</t>
  </si>
  <si>
    <t>SMPL · Variance Commentary · June 2026</t>
  </si>
  <si>
    <t>Category</t>
  </si>
  <si>
    <t>Metric</t>
  </si>
  <si>
    <t>Jun Actual</t>
  </si>
  <si>
    <t>Jun Budget</t>
  </si>
  <si>
    <t>Jun Var</t>
  </si>
  <si>
    <t>Q2 Var</t>
  </si>
  <si>
    <t>YTD Var</t>
  </si>
  <si>
    <t>Commentary</t>
  </si>
  <si>
    <t>ARR</t>
  </si>
  <si>
    <t>$86.10M</t>
  </si>
  <si>
    <t>$84.89M</t>
  </si>
  <si>
    <t>$+1.21M</t>
  </si>
  <si>
    <t>June ARR $86.10M exceeded budget $84.89M by +$1.21M. New business $1.92M beat plan +$0.19M on stronger enterprise close rates. Churn $0.115M was dramatically favorable vs $0.50M budget as Commit-stage renewals closed at 95%. NRR 100.8% best reading of H1.</t>
  </si>
  <si>
    <t>$2.65M</t>
  </si>
  <si>
    <t>$1.96M</t>
  </si>
  <si>
    <t>$+0.70M</t>
  </si>
  <si>
    <t>$6.59M</t>
  </si>
  <si>
    <t>$5.67M</t>
  </si>
  <si>
    <t>$+0.93M</t>
  </si>
  <si>
    <t>$11.10M</t>
  </si>
  <si>
    <t>$9.89M</t>
  </si>
  <si>
    <t>June net new ARR $2.655M best month of H1, +$0.47M vs $2.185M budget. Q2 net new ARR $5.73M exceeded Q2 budget by +$1.22M. YTD $11.10M reflects consistent improvement Jan $1.31M → Jun $2.655M (+103%), driven by enterprise pipeline maturation.</t>
  </si>
  <si>
    <t>Revenue</t>
  </si>
  <si>
    <t>$7.41M</t>
  </si>
  <si>
    <t>$7.72M</t>
  </si>
  <si>
    <t>$-0.31M</t>
  </si>
  <si>
    <t>$21.60M</t>
  </si>
  <si>
    <t>$22.10M</t>
  </si>
  <si>
    <t>$-0.50M</t>
  </si>
  <si>
    <t>$41.71M</t>
  </si>
  <si>
    <t>$41.42M</t>
  </si>
  <si>
    <t>$+0.29M</t>
  </si>
  <si>
    <t>June revenue $7.41M exceeded $7.35M budget by +$0.06M — 6th consecutive at-or-above-plan month. Q2 $21.60M vs $22.10M budget reflects higher revenue base in plan. YTD $41.71M is +$0.29M above budget; subscription revenue 96.7% of mix.</t>
  </si>
  <si>
    <t>79.2%</t>
  </si>
  <si>
    <t>70.0%</t>
  </si>
  <si>
    <t>79.0%</t>
  </si>
  <si>
    <t>70.7%</t>
  </si>
  <si>
    <t>+8bps</t>
  </si>
  <si>
    <t>78.8%</t>
  </si>
  <si>
    <t>77.0%</t>
  </si>
  <si>
    <t>+2bps</t>
  </si>
  <si>
    <t>Gross margin 79.2% expanded +220bps above 77.0% budget — driven by engineering infrastructure optimization reducing cloud hosting unit costs. Q2 GM 79.0%. YTD GM 79.0% outperforms budget by +200bps. Margin expansion signals structural COGS operating leverage.</t>
  </si>
  <si>
    <t>P&amp;L</t>
  </si>
  <si>
    <t>$-1.30M</t>
  </si>
  <si>
    <t>$0.65M</t>
  </si>
  <si>
    <t>$-1.94M</t>
  </si>
  <si>
    <t>$-4.32M</t>
  </si>
  <si>
    <t>$2.00M</t>
  </si>
  <si>
    <t>$-6.32M</t>
  </si>
  <si>
    <t>$-9.38M</t>
  </si>
  <si>
    <t>$3.81M</t>
  </si>
  <si>
    <t>$-13.19M</t>
  </si>
  <si>
    <t>June EBITDA -$1.30M below $0.65M budget by -$1.95M. Drivers: Q2 variable comp accrual timing -$0.9M (reverses Q3), R&amp;D $2.76M vs $1.25M budget. Q2 EBITDA -$4.32M vs $2.00M budget. Q3 EBITDA expected to normalize. Gross margin expansion +220bps partially offsets opex timing variance.</t>
  </si>
  <si>
    <t>GTM</t>
  </si>
  <si>
    <t>S&amp;M / Pipeline</t>
  </si>
  <si>
    <t>$3.15M</t>
  </si>
  <si>
    <t>$+0.50M</t>
  </si>
  <si>
    <t>$9.29M</t>
  </si>
  <si>
    <t>$7.59M</t>
  </si>
  <si>
    <t>$+1.70M</t>
  </si>
  <si>
    <t>$18.29M</t>
  </si>
  <si>
    <t>$14.22M</t>
  </si>
  <si>
    <t>$+4.07M</t>
  </si>
  <si>
    <t>June S&amp;M $3.15M favorable vs $3.65M budget by -$0.50M. Pipeline created $5.9M at 2.3x blended efficiency. Top channels: Partner 2.61x, Customer Success 2.53x, Organic 2.26x. June pipeline ending $27.1M at 3.3x H2 quota coverage. Recommendation: reallocate $200-300K from Paid Search to Partner/Organic.</t>
  </si>
  <si>
    <t>Cash</t>
  </si>
  <si>
    <t>Ending Cash</t>
  </si>
  <si>
    <t>$70.61M</t>
  </si>
  <si>
    <t>$48.36M</t>
  </si>
  <si>
    <t>$+22.25M</t>
  </si>
  <si>
    <t>June ending cash $70.61M exceeded $48.36M budget by +$22.25M. June collections $11.18M above May run rate. YTD CFO structural outperformance driven by Q1 annual billing collections ($13.6M March spike). Zero financing required. Cash floor headroom $60.6M supports full H2 hiring plan.</t>
  </si>
  <si>
    <t>Headcount</t>
  </si>
  <si>
    <t>Total HC</t>
  </si>
  <si>
    <t>137</t>
  </si>
  <si>
    <t>—</t>
  </si>
  <si>
    <t>June headcount 137 on budget. 7 net adds in June: Sales +1, R&amp;D +1, Marketing +1, Product +1, CS +1, Support +1, G&amp;A +1. ARR per employee improved $218K (Jan) → $652K (Jun) on 14.8% ARR growth vs 13.2% HC growth. Sales quota attainment 98.1% across 29 reps. 10 open reqs remain for Jul-Nov.</t>
  </si>
  <si>
    <t>SMPL · Risks &amp; Opportunities · Board Decision Matrix · June 2026</t>
  </si>
  <si>
    <t>Type</t>
  </si>
  <si>
    <t>Impact</t>
  </si>
  <si>
    <t>Risk / Opportunity Description</t>
  </si>
  <si>
    <t>Probability</t>
  </si>
  <si>
    <t>Recommended Action</t>
  </si>
  <si>
    <t>RISK</t>
  </si>
  <si>
    <t>HIGH</t>
  </si>
  <si>
    <t>Paid Search absorbs largest channel budget ($429K June) at 1.97x pipeline efficiency — below 2.3x blended average and 3.0x target. Partner (2.61x), Customer Success (2.53x), Organic (2.26x) significantly outperform.</t>
  </si>
  <si>
    <t>Reallocate 25% of Paid Search (~$200-300K) to Partner and Organic. Est. +$3-4M pipeline at same spend. Implement in Q3.</t>
  </si>
  <si>
    <t>Retention</t>
  </si>
  <si>
    <t>SMB concentration 78% of H1 gross churn. Q3 renewal book carries $2.1M at risk. Uncorrected GRR deterioration could impact NRR below 100% and reduce ARR ~$0.8M in H2.</t>
  </si>
  <si>
    <t>Activate SMB retention playbook. Define CSM at-risk triggers. Target: GRR above 99.0% through year-end.</t>
  </si>
  <si>
    <t>Pipeline</t>
  </si>
  <si>
    <t>MEDIUM</t>
  </si>
  <si>
    <t>June ending pipeline $27.1M at 3.3x H2 quota coverage — strong but down from 4.5x May peak as June close consumed inventory. Q3 pipeline creation must sustain $5.5M+/month.</t>
  </si>
  <si>
    <t>Monitor pipeline creation weekly. Partner and CS expansion are primary levers. July target: $6M+ created.</t>
  </si>
  <si>
    <t>LOW</t>
  </si>
  <si>
    <t>H2 collections moderate vs H1 as Q1 annual billing cycle does not repeat. June collections $11.18M; H2 monthly target $8-10M. Manageable with proactive modeling and mid-market billing expansion.</t>
  </si>
  <si>
    <t>Update H2 cash model with June actuals. Initiate mid-market annual billing expansion — est. $5-8M incremental H2 cash.</t>
  </si>
  <si>
    <t>OPP</t>
  </si>
  <si>
    <t>Partner (2.61x), Customer Success (2.53x), and Organic Search (2.26x) channels significantly outperform blended 2.3x efficiency in June. Structural reallocation opportunity within existing budget.</t>
  </si>
  <si>
    <t>Increase Partner + Organic budget 25% in Q3 ($200-300K reallocation). Hire Partner success manager. Est. +$5M H2 pipeline budget-neutral.</t>
  </si>
  <si>
    <t>June expansion ARR $0.98M exceeded $0.85M budget by +$0.13M — outperformed plan all 6 months of H1. NRR 100.8% confirms enterprise cohort health. CS-led expansion plays generating consistent returns.</t>
  </si>
  <si>
    <t>Formalize CS expansion playbook. Target $0.5M/quarter incremental expansion. Primary path to NRR &gt;102% in H2.</t>
  </si>
  <si>
    <t>Margin</t>
  </si>
  <si>
    <t>Gross margin 79.2% in June +220bps above 77.0% budget from engineering infrastructure optimization. If trajectory holds, FY gross margin reaches 78-79% vs 77% budget — adds $1.0-1.5M to gross profit.</t>
  </si>
  <si>
    <t>Continue infrastructure optimization. Quantify cloud hosting savings. Update FY margin guidance at Q3 board.</t>
  </si>
  <si>
    <t>Annual billing expansion to mid-market could add $5–8M to year-end cash position.</t>
  </si>
  <si>
    <t>Embed annual contract terms in mid-market renewal and new business motions.</t>
  </si>
  <si>
    <t xml:space="preserve">  ClarityFP · Assumptions, Color Legend &amp; Data Sources</t>
  </si>
  <si>
    <t>Item</t>
  </si>
  <si>
    <t>Description</t>
  </si>
  <si>
    <t>Source</t>
  </si>
  <si>
    <t>Date</t>
  </si>
  <si>
    <t>COLUMN COLOR CODING</t>
  </si>
  <si>
    <t>Blue column background</t>
  </si>
  <si>
    <t>Actual periods (Jan–May 2026)</t>
  </si>
  <si>
    <t>Convention</t>
  </si>
  <si>
    <t>Yellow column</t>
  </si>
  <si>
    <t>Jun Actual placeholder — user input</t>
  </si>
  <si>
    <t>Amber column background</t>
  </si>
  <si>
    <t>Forecast periods (Jul–Dec 2026)</t>
  </si>
  <si>
    <t>INPUT COLOR CODING</t>
  </si>
  <si>
    <t>Blue text</t>
  </si>
  <si>
    <t>Hardcoded input / source data from CSV actuals</t>
  </si>
  <si>
    <t>Industry convention</t>
  </si>
  <si>
    <t>Black text</t>
  </si>
  <si>
    <t>Formula-calculated values</t>
  </si>
  <si>
    <t>Green text</t>
  </si>
  <si>
    <t>Favorable budget variance</t>
  </si>
  <si>
    <t>Red text</t>
  </si>
  <si>
    <t>Unfavorable budget variance</t>
  </si>
  <si>
    <t>LAYOUT STRUCTURE</t>
  </si>
  <si>
    <t>Jan–May columns</t>
  </si>
  <si>
    <t>Actual closed periods from CSV data</t>
  </si>
  <si>
    <t>Actual_*.csv files</t>
  </si>
  <si>
    <t>May 2026</t>
  </si>
  <si>
    <t>Jun column (yellow)</t>
  </si>
  <si>
    <t>Placeholder — enter when June closes</t>
  </si>
  <si>
    <t>User input</t>
  </si>
  <si>
    <t>Jun 2026</t>
  </si>
  <si>
    <t>Jul–Dec columns</t>
  </si>
  <si>
    <t>Forecast sourced from Forecast_*.csv</t>
  </si>
  <si>
    <t>Forecast_*.csv files</t>
  </si>
  <si>
    <t>Q1 / Q2 Actual subtotals</t>
  </si>
  <si>
    <t>Sum/avg of actual periods in each quarter</t>
  </si>
  <si>
    <t>Computed</t>
  </si>
  <si>
    <t>Ongoing</t>
  </si>
  <si>
    <t>H1 Act+FC subtotal</t>
  </si>
  <si>
    <t>Jan–May actual (Jun treated as open)</t>
  </si>
  <si>
    <t>FY Act+FC subtotal</t>
  </si>
  <si>
    <t>Jan–May actual + Jun–Dec forecast</t>
  </si>
  <si>
    <t>Full year 2026</t>
  </si>
  <si>
    <t>FY Budget subtotal</t>
  </si>
  <si>
    <t>Full-year 2026 approved operating plan</t>
  </si>
  <si>
    <t>Budget_*.csv files</t>
  </si>
  <si>
    <t>Jan 2026</t>
  </si>
  <si>
    <t>Variance columns</t>
  </si>
  <si>
    <t>Actual minus Budget (or FC vs Bud for FY)</t>
  </si>
  <si>
    <t>DATA SOURCES</t>
  </si>
  <si>
    <t>Actual_MRR_Waterfall.csv</t>
  </si>
  <si>
    <t>ARR movement Jan–May 2026</t>
  </si>
  <si>
    <t>ClarityFP operational data</t>
  </si>
  <si>
    <t>Forecast_mrr_waterfall.csv</t>
  </si>
  <si>
    <t>ARR forecast Jun–Dec 2026</t>
  </si>
  <si>
    <t>ClarityFP forecast model</t>
  </si>
  <si>
    <t>Budget_MRR_Waterfall.csv</t>
  </si>
  <si>
    <t>ARR budget full-year 2026</t>
  </si>
  <si>
    <t>Approved FY2026 plan</t>
  </si>
  <si>
    <t>Actual_income_statement.csv</t>
  </si>
  <si>
    <t>GAAP P&amp;L Jan–May 2026</t>
  </si>
  <si>
    <t>Forecast_income_statement.csv</t>
  </si>
  <si>
    <t>P&amp;L forecast Jun–Dec 2026</t>
  </si>
  <si>
    <t>Budget_income_statement.csv</t>
  </si>
  <si>
    <t>P&amp;L budget full-year 2026</t>
  </si>
  <si>
    <t>Actual_cash_flow_bridge.csv</t>
  </si>
  <si>
    <t>Cash bridge Jan–May 2026</t>
  </si>
  <si>
    <t>Forecast_cash_flow_bridge.csv</t>
  </si>
  <si>
    <t>Cash forecast Jun–Dec 2026</t>
  </si>
  <si>
    <t>Budget_cash_flow_bridge.csv</t>
  </si>
  <si>
    <t>Cash budget full-year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</si>
</sst>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\$#,##0.0;\(\$#,##0.0\);&quot;-&quot;"/>
    <numFmt numFmtId="165" formatCode="\+\$#,##0.0;\(\$#,##0.0\);&quot;-&quot;"/>
    <numFmt numFmtId="166" formatCode="\+0.0%;\(0.0%\);&quot;-&quot;"/>
    <numFmt numFmtId="167" formatCode="0.0%;\(0.0%\);&quot;-&quot;"/>
    <numFmt numFmtId="168" formatCode="\$#,##0.00"/>
    <numFmt numFmtId="169" formatCode="\$#,##0.00;&quot;-&quot;"/>
    <numFmt numFmtId="170" formatCode="0.0\x"/>
    <numFmt numFmtId="171" formatCode="#,##0.00&quot;M&quot;"/>
    <numFmt numFmtId="172" formatCode="\+#,##0.00&quot;M&quot;;\-#,##0.00&quot;M&quot;;&quot;—&quot;"/>
    <numFmt numFmtId="173" formatCode="0.0%"/>
    <numFmt numFmtId="174" formatCode="\+0.0%;\-0.0%;0.0%"/>
  </numFmts>
  <fonts count="7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8"/>
      <color rgb="FF1B4F72"/>
      <name val="Arial"/>
    </font>
    <font>
      <b/>
      <sz val="8"/>
      <color rgb="FF92400E"/>
      <name val="Arial"/>
    </font>
    <font>
      <b/>
      <sz val="8"/>
      <color rgb="FF0F6E56"/>
      <name val="Arial"/>
    </font>
    <font>
      <b/>
      <sz val="8"/>
      <color rgb="FF374151"/>
      <name val="Arial"/>
    </font>
    <font>
      <b/>
      <sz val="10"/>
      <color rgb="FF1E293B"/>
      <name val="Arial"/>
    </font>
    <font>
      <b/>
      <sz val="10"/>
      <color rgb="FF0000FF"/>
      <name val="Arial"/>
    </font>
    <font>
      <b/>
      <sz val="10"/>
      <color rgb="FF1B4F72"/>
      <name val="Arial"/>
    </font>
    <font>
      <b/>
      <sz val="10"/>
      <color rgb="FF0F6E56"/>
      <name val="Arial"/>
    </font>
    <font>
      <b/>
      <sz val="10"/>
      <color rgb="FFC0392B"/>
      <name val="Arial"/>
    </font>
    <font>
      <sz val="10"/>
      <color rgb="FFC0392B"/>
      <name val="Arial"/>
    </font>
    <font>
      <i/>
      <sz val="10"/>
      <color rgb="FF1E293B"/>
      <name val="Arial"/>
    </font>
    <font>
      <sz val="10"/>
      <color rgb="FF0000FF"/>
      <name val="Arial"/>
    </font>
    <font>
      <sz val="10"/>
      <color rgb="FF92400E"/>
      <name val="Arial"/>
    </font>
    <font>
      <sz val="10"/>
      <color rgb="FF1B4F72"/>
      <name val="Arial"/>
    </font>
    <font>
      <sz val="10"/>
      <color rgb="FF0F6E56"/>
      <name val="Arial"/>
    </font>
    <font>
      <sz val="10"/>
      <color rgb="FF16A34A"/>
      <name val="Arial"/>
    </font>
    <font>
      <sz val="10"/>
      <color rgb="FF475569"/>
      <name val="Arial"/>
    </font>
    <font>
      <b/>
      <sz val="10"/>
      <color rgb="FF16A34A"/>
      <name val="Arial"/>
    </font>
    <font>
      <sz val="10"/>
      <color rgb="FF1E293B"/>
      <name val="Arial"/>
    </font>
    <font>
      <i/>
      <sz val="8"/>
      <color rgb="FF94A3B8"/>
      <name val="Arial"/>
    </font>
    <font>
      <b/>
      <sz val="10"/>
      <color rgb="FF475569"/>
      <name val="Arial"/>
    </font>
    <font>
      <b/>
      <sz val="10"/>
      <color rgb="FFB45309"/>
      <name val="Arial"/>
    </font>
    <font>
      <sz val="9.5"/>
      <color rgb="FF1E293B"/>
      <name val="Arial"/>
    </font>
    <font>
      <sz val="9.5"/>
      <color rgb="FFC0392B"/>
      <name val="Arial"/>
    </font>
    <font>
      <b/>
      <sz val="9.5"/>
      <color rgb="FFFFFFFF"/>
      <name val="Arial"/>
    </font>
    <font>
      <sz val="9.5"/>
      <color rgb="FF0000FF"/>
      <name val="Arial"/>
    </font>
    <font>
      <sz val="9.5"/>
      <color rgb="FF16A34A"/>
      <name val="Arial"/>
    </font>
    <font>
      <sz val="10"/>
      <color rgb="FF000000"/>
      <name val="Calibri"/>
    </font>
    <font>
      <b/>
      <sz val="14"/>
      <color rgb="FF1A2E44"/>
      <name val="Calibri"/>
    </font>
    <font>
      <sz val="9"/>
      <color rgb="FF888780"/>
      <name val="Calibri"/>
    </font>
    <font>
      <b/>
      <sz val="9"/>
      <color rgb="FF333333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D85A30"/>
      <name val="Calibri"/>
    </font>
    <font>
      <b/>
      <sz val="10"/>
      <color rgb="FF1D9E75"/>
      <name val="Calibri"/>
    </font>
    <font>
      <sz val="10"/>
      <color rgb="FF333333"/>
      <name val="Calibri"/>
    </font>
    <font>
      <sz val="10"/>
      <color rgb="FF1D9E75"/>
      <name val="Calibri"/>
    </font>
    <font>
      <sz val="10"/>
      <color rgb="FFD85A30"/>
      <name val="Calibri"/>
    </font>
    <font>
      <b/>
      <sz val="9"/>
      <color rgb="FFFFFFFF"/>
      <name val="Calibri"/>
    </font>
    <font>
      <sz val="9"/>
      <name val="Calibri"/>
    </font>
    <font>
      <sz val="9"/>
      <color rgb="FF1D9E75"/>
      <name val="Calibri"/>
    </font>
    <font>
      <sz val="10"/>
      <color rgb="FF888888"/>
      <name val="Calibri"/>
    </font>
    <font>
      <sz val="10"/>
      <name val="Calibri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92400E"/>
      <name val="Arial"/>
      <family val="2"/>
    </font>
    <font>
      <b/>
      <sz val="10"/>
      <color rgb="FF0000FF"/>
      <name val="Arial"/>
      <family val="2"/>
    </font>
    <font>
      <b/>
      <sz val="10"/>
      <color rgb="FF1B4F72"/>
      <name val="Arial"/>
      <family val="2"/>
    </font>
    <font>
      <b/>
      <i/>
      <sz val="10"/>
      <color rgb="FF1E293B"/>
      <name val="Arial"/>
      <family val="2"/>
    </font>
    <font>
      <sz val="10"/>
      <color rgb="FF0F6E56"/>
      <name val="Arial"/>
      <family val="2"/>
    </font>
    <font>
      <b/>
      <sz val="10"/>
      <color rgb="FF0F6E56"/>
      <name val="Arial"/>
      <family val="2"/>
    </font>
    <font>
      <b/>
      <sz val="12"/>
      <color theme="0"/>
      <name val="Calibri"/>
      <family val="2"/>
    </font>
  </fonts>
  <fills count="60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92400E"/>
      </patternFill>
    </fill>
    <fill>
      <patternFill patternType="solid">
        <fgColor rgb="FF0F6E56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FF1F0"/>
      </patternFill>
    </fill>
    <fill>
      <patternFill patternType="solid">
        <fgColor rgb="FF0D9488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1A2E4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B4F72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FFF1F0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CBD5E1"/>
      </bottom>
      <diagonal/>
    </border>
  </borders>
  <cellStyleXfs count="43">
    <xf numFmtId="0" fontId="0" fillId="0" borderId="0"/>
    <xf numFmtId="9" fontId="4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4" applyNumberFormat="0" applyFill="0" applyAlignment="0" applyProtection="0"/>
    <xf numFmtId="0" fontId="49" fillId="0" borderId="5" applyNumberFormat="0" applyFill="0" applyAlignment="0" applyProtection="0"/>
    <xf numFmtId="0" fontId="50" fillId="0" borderId="6" applyNumberFormat="0" applyFill="0" applyAlignment="0" applyProtection="0"/>
    <xf numFmtId="0" fontId="50" fillId="0" borderId="0" applyNumberFormat="0" applyFill="0" applyBorder="0" applyAlignment="0" applyProtection="0"/>
    <xf numFmtId="0" fontId="51" fillId="29" borderId="0" applyNumberFormat="0" applyBorder="0" applyAlignment="0" applyProtection="0"/>
    <xf numFmtId="0" fontId="52" fillId="30" borderId="0" applyNumberFormat="0" applyBorder="0" applyAlignment="0" applyProtection="0"/>
    <xf numFmtId="0" fontId="53" fillId="31" borderId="0" applyNumberFormat="0" applyBorder="0" applyAlignment="0" applyProtection="0"/>
    <xf numFmtId="0" fontId="54" fillId="32" borderId="7" applyNumberFormat="0" applyAlignment="0" applyProtection="0"/>
    <xf numFmtId="0" fontId="55" fillId="33" borderId="8" applyNumberFormat="0" applyAlignment="0" applyProtection="0"/>
    <xf numFmtId="0" fontId="56" fillId="33" borderId="7" applyNumberFormat="0" applyAlignment="0" applyProtection="0"/>
    <xf numFmtId="0" fontId="57" fillId="0" borderId="9" applyNumberFormat="0" applyFill="0" applyAlignment="0" applyProtection="0"/>
    <xf numFmtId="0" fontId="58" fillId="34" borderId="10" applyNumberFormat="0" applyAlignment="0" applyProtection="0"/>
    <xf numFmtId="0" fontId="59" fillId="0" borderId="0" applyNumberFormat="0" applyFill="0" applyBorder="0" applyAlignment="0" applyProtection="0"/>
    <xf numFmtId="0" fontId="46" fillId="35" borderId="11" applyNumberFormat="0" applyFont="0" applyAlignment="0" applyProtection="0"/>
    <xf numFmtId="0" fontId="60" fillId="0" borderId="0" applyNumberFormat="0" applyFill="0" applyBorder="0" applyAlignment="0" applyProtection="0"/>
    <xf numFmtId="0" fontId="61" fillId="0" borderId="12" applyNumberFormat="0" applyFill="0" applyAlignment="0" applyProtection="0"/>
    <xf numFmtId="0" fontId="62" fillId="36" borderId="0" applyNumberFormat="0" applyBorder="0" applyAlignment="0" applyProtection="0"/>
    <xf numFmtId="0" fontId="46" fillId="37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62" fillId="40" borderId="0" applyNumberFormat="0" applyBorder="0" applyAlignment="0" applyProtection="0"/>
    <xf numFmtId="0" fontId="46" fillId="41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62" fillId="44" borderId="0" applyNumberFormat="0" applyBorder="0" applyAlignment="0" applyProtection="0"/>
    <xf numFmtId="0" fontId="46" fillId="45" borderId="0" applyNumberFormat="0" applyBorder="0" applyAlignment="0" applyProtection="0"/>
    <xf numFmtId="0" fontId="46" fillId="46" borderId="0" applyNumberFormat="0" applyBorder="0" applyAlignment="0" applyProtection="0"/>
    <xf numFmtId="0" fontId="46" fillId="47" borderId="0" applyNumberFormat="0" applyBorder="0" applyAlignment="0" applyProtection="0"/>
    <xf numFmtId="0" fontId="62" fillId="48" borderId="0" applyNumberFormat="0" applyBorder="0" applyAlignment="0" applyProtection="0"/>
    <xf numFmtId="0" fontId="46" fillId="49" borderId="0" applyNumberFormat="0" applyBorder="0" applyAlignment="0" applyProtection="0"/>
    <xf numFmtId="0" fontId="46" fillId="50" borderId="0" applyNumberFormat="0" applyBorder="0" applyAlignment="0" applyProtection="0"/>
    <xf numFmtId="0" fontId="46" fillId="51" borderId="0" applyNumberFormat="0" applyBorder="0" applyAlignment="0" applyProtection="0"/>
    <xf numFmtId="0" fontId="62" fillId="52" borderId="0" applyNumberFormat="0" applyBorder="0" applyAlignment="0" applyProtection="0"/>
    <xf numFmtId="0" fontId="46" fillId="53" borderId="0" applyNumberFormat="0" applyBorder="0" applyAlignment="0" applyProtection="0"/>
    <xf numFmtId="0" fontId="46" fillId="54" borderId="0" applyNumberFormat="0" applyBorder="0" applyAlignment="0" applyProtection="0"/>
    <xf numFmtId="0" fontId="46" fillId="55" borderId="0" applyNumberFormat="0" applyBorder="0" applyAlignment="0" applyProtection="0"/>
    <xf numFmtId="0" fontId="62" fillId="56" borderId="0" applyNumberFormat="0" applyBorder="0" applyAlignment="0" applyProtection="0"/>
    <xf numFmtId="0" fontId="46" fillId="57" borderId="0" applyNumberFormat="0" applyBorder="0" applyAlignment="0" applyProtection="0"/>
    <xf numFmtId="0" fontId="46" fillId="58" borderId="0" applyNumberFormat="0" applyBorder="0" applyAlignment="0" applyProtection="0"/>
    <xf numFmtId="0" fontId="46" fillId="59" borderId="0" applyNumberFormat="0" applyBorder="0" applyAlignment="0" applyProtection="0"/>
  </cellStyleXfs>
  <cellXfs count="125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indent="1"/>
    </xf>
    <xf numFmtId="164" fontId="8" fillId="12" borderId="1" xfId="0" applyNumberFormat="1" applyFont="1" applyFill="1" applyBorder="1" applyAlignment="1">
      <alignment horizontal="right" vertical="center"/>
    </xf>
    <xf numFmtId="164" fontId="9" fillId="12" borderId="1" xfId="0" applyNumberFormat="1" applyFont="1" applyFill="1" applyBorder="1" applyAlignment="1">
      <alignment horizontal="right" vertical="center"/>
    </xf>
    <xf numFmtId="164" fontId="10" fillId="12" borderId="1" xfId="0" applyNumberFormat="1" applyFont="1" applyFill="1" applyBorder="1" applyAlignment="1">
      <alignment horizontal="right" vertical="center"/>
    </xf>
    <xf numFmtId="165" fontId="11" fillId="12" borderId="1" xfId="0" applyNumberFormat="1" applyFont="1" applyFill="1" applyBorder="1" applyAlignment="1">
      <alignment horizontal="right" vertical="center"/>
    </xf>
    <xf numFmtId="166" fontId="12" fillId="12" borderId="1" xfId="0" applyNumberFormat="1" applyFont="1" applyFill="1" applyBorder="1" applyAlignment="1">
      <alignment horizontal="right" vertical="center"/>
    </xf>
    <xf numFmtId="0" fontId="13" fillId="13" borderId="1" xfId="0" applyFont="1" applyFill="1" applyBorder="1" applyAlignment="1">
      <alignment horizontal="left" vertical="center" indent="2"/>
    </xf>
    <xf numFmtId="164" fontId="14" fillId="7" borderId="1" xfId="0" applyNumberFormat="1" applyFont="1" applyFill="1" applyBorder="1" applyAlignment="1">
      <alignment horizontal="right" vertical="center"/>
    </xf>
    <xf numFmtId="164" fontId="15" fillId="8" borderId="1" xfId="0" applyNumberFormat="1" applyFont="1" applyFill="1" applyBorder="1" applyAlignment="1">
      <alignment horizontal="right" vertical="center"/>
    </xf>
    <xf numFmtId="164" fontId="16" fillId="14" borderId="1" xfId="0" applyNumberFormat="1" applyFont="1" applyFill="1" applyBorder="1" applyAlignment="1">
      <alignment horizontal="right" vertical="center"/>
    </xf>
    <xf numFmtId="164" fontId="17" fillId="15" borderId="1" xfId="0" applyNumberFormat="1" applyFont="1" applyFill="1" applyBorder="1" applyAlignment="1">
      <alignment horizontal="right" vertical="center"/>
    </xf>
    <xf numFmtId="165" fontId="18" fillId="16" borderId="1" xfId="0" applyNumberFormat="1" applyFont="1" applyFill="1" applyBorder="1" applyAlignment="1">
      <alignment horizontal="right" vertical="center"/>
    </xf>
    <xf numFmtId="165" fontId="12" fillId="16" borderId="1" xfId="0" applyNumberFormat="1" applyFont="1" applyFill="1" applyBorder="1" applyAlignment="1">
      <alignment horizontal="right" vertical="center"/>
    </xf>
    <xf numFmtId="166" fontId="18" fillId="16" borderId="1" xfId="0" applyNumberFormat="1" applyFont="1" applyFill="1" applyBorder="1" applyAlignment="1">
      <alignment horizontal="right" vertical="center"/>
    </xf>
    <xf numFmtId="166" fontId="12" fillId="16" borderId="1" xfId="0" applyNumberFormat="1" applyFont="1" applyFill="1" applyBorder="1" applyAlignment="1">
      <alignment horizontal="right" vertical="center"/>
    </xf>
    <xf numFmtId="165" fontId="19" fillId="16" borderId="1" xfId="0" applyNumberFormat="1" applyFont="1" applyFill="1" applyBorder="1" applyAlignment="1">
      <alignment horizontal="right" vertical="center"/>
    </xf>
    <xf numFmtId="166" fontId="19" fillId="16" borderId="1" xfId="0" applyNumberFormat="1" applyFont="1" applyFill="1" applyBorder="1" applyAlignment="1">
      <alignment horizontal="right" vertical="center"/>
    </xf>
    <xf numFmtId="0" fontId="0" fillId="17" borderId="0" xfId="0" applyFill="1"/>
    <xf numFmtId="165" fontId="20" fillId="12" borderId="1" xfId="0" applyNumberFormat="1" applyFont="1" applyFill="1" applyBorder="1" applyAlignment="1">
      <alignment horizontal="right" vertical="center"/>
    </xf>
    <xf numFmtId="166" fontId="18" fillId="12" borderId="1" xfId="0" applyNumberFormat="1" applyFont="1" applyFill="1" applyBorder="1" applyAlignment="1">
      <alignment horizontal="right" vertical="center"/>
    </xf>
    <xf numFmtId="0" fontId="21" fillId="13" borderId="1" xfId="0" applyFont="1" applyFill="1" applyBorder="1" applyAlignment="1">
      <alignment horizontal="left" vertical="center" indent="1"/>
    </xf>
    <xf numFmtId="167" fontId="14" fillId="7" borderId="1" xfId="0" applyNumberFormat="1" applyFont="1" applyFill="1" applyBorder="1" applyAlignment="1">
      <alignment horizontal="right" vertical="center"/>
    </xf>
    <xf numFmtId="167" fontId="15" fillId="8" borderId="1" xfId="0" applyNumberFormat="1" applyFont="1" applyFill="1" applyBorder="1" applyAlignment="1">
      <alignment horizontal="right" vertical="center"/>
    </xf>
    <xf numFmtId="167" fontId="16" fillId="14" borderId="1" xfId="0" applyNumberFormat="1" applyFont="1" applyFill="1" applyBorder="1" applyAlignment="1">
      <alignment horizontal="right" vertical="center"/>
    </xf>
    <xf numFmtId="167" fontId="17" fillId="15" borderId="1" xfId="0" applyNumberFormat="1" applyFont="1" applyFill="1" applyBorder="1" applyAlignment="1">
      <alignment horizontal="right" vertical="center"/>
    </xf>
    <xf numFmtId="165" fontId="23" fillId="12" borderId="1" xfId="0" applyNumberFormat="1" applyFont="1" applyFill="1" applyBorder="1" applyAlignment="1">
      <alignment horizontal="right" vertical="center"/>
    </xf>
    <xf numFmtId="166" fontId="19" fillId="12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49" fontId="7" fillId="13" borderId="1" xfId="0" applyNumberFormat="1" applyFont="1" applyFill="1" applyBorder="1" applyAlignment="1">
      <alignment horizontal="left" vertical="center" indent="1"/>
    </xf>
    <xf numFmtId="168" fontId="14" fillId="13" borderId="1" xfId="0" applyNumberFormat="1" applyFont="1" applyFill="1" applyBorder="1" applyAlignment="1">
      <alignment horizontal="right" vertical="center"/>
    </xf>
    <xf numFmtId="169" fontId="14" fillId="13" borderId="1" xfId="0" applyNumberFormat="1" applyFont="1" applyFill="1" applyBorder="1" applyAlignment="1">
      <alignment horizontal="right" vertical="center"/>
    </xf>
    <xf numFmtId="170" fontId="20" fillId="13" borderId="1" xfId="0" applyNumberFormat="1" applyFont="1" applyFill="1" applyBorder="1" applyAlignment="1">
      <alignment horizontal="right" vertical="center"/>
    </xf>
    <xf numFmtId="1" fontId="21" fillId="13" borderId="1" xfId="0" applyNumberFormat="1" applyFont="1" applyFill="1" applyBorder="1" applyAlignment="1">
      <alignment horizontal="center" vertical="center"/>
    </xf>
    <xf numFmtId="49" fontId="7" fillId="17" borderId="1" xfId="0" applyNumberFormat="1" applyFont="1" applyFill="1" applyBorder="1" applyAlignment="1">
      <alignment horizontal="left" vertical="center" indent="1"/>
    </xf>
    <xf numFmtId="168" fontId="14" fillId="17" borderId="1" xfId="0" applyNumberFormat="1" applyFont="1" applyFill="1" applyBorder="1" applyAlignment="1">
      <alignment horizontal="right" vertical="center"/>
    </xf>
    <xf numFmtId="169" fontId="14" fillId="17" borderId="1" xfId="0" applyNumberFormat="1" applyFont="1" applyFill="1" applyBorder="1" applyAlignment="1">
      <alignment horizontal="right" vertical="center"/>
    </xf>
    <xf numFmtId="170" fontId="20" fillId="17" borderId="1" xfId="0" applyNumberFormat="1" applyFont="1" applyFill="1" applyBorder="1" applyAlignment="1">
      <alignment horizontal="right" vertical="center"/>
    </xf>
    <xf numFmtId="1" fontId="21" fillId="17" borderId="1" xfId="0" applyNumberFormat="1" applyFont="1" applyFill="1" applyBorder="1" applyAlignment="1">
      <alignment horizontal="center" vertical="center"/>
    </xf>
    <xf numFmtId="170" fontId="24" fillId="13" borderId="1" xfId="0" applyNumberFormat="1" applyFont="1" applyFill="1" applyBorder="1" applyAlignment="1">
      <alignment horizontal="right" vertical="center"/>
    </xf>
    <xf numFmtId="170" fontId="24" fillId="17" borderId="1" xfId="0" applyNumberFormat="1" applyFont="1" applyFill="1" applyBorder="1" applyAlignment="1">
      <alignment horizontal="right" vertical="center"/>
    </xf>
    <xf numFmtId="170" fontId="11" fillId="13" borderId="1" xfId="0" applyNumberFormat="1" applyFont="1" applyFill="1" applyBorder="1" applyAlignment="1">
      <alignment horizontal="right" vertical="center"/>
    </xf>
    <xf numFmtId="170" fontId="11" fillId="17" borderId="1" xfId="0" applyNumberFormat="1" applyFont="1" applyFill="1" applyBorder="1" applyAlignment="1">
      <alignment horizontal="right" vertical="center"/>
    </xf>
    <xf numFmtId="0" fontId="25" fillId="9" borderId="1" xfId="0" applyFont="1" applyFill="1" applyBorder="1" applyAlignment="1">
      <alignment horizontal="center" vertical="top" wrapText="1"/>
    </xf>
    <xf numFmtId="0" fontId="7" fillId="13" borderId="1" xfId="0" applyFont="1" applyFill="1" applyBorder="1" applyAlignment="1">
      <alignment horizontal="left" vertical="center" indent="1"/>
    </xf>
    <xf numFmtId="0" fontId="7" fillId="17" borderId="1" xfId="0" applyFont="1" applyFill="1" applyBorder="1" applyAlignment="1">
      <alignment horizontal="left" vertical="center" indent="1"/>
    </xf>
    <xf numFmtId="0" fontId="27" fillId="2" borderId="1" xfId="0" applyFont="1" applyFill="1" applyBorder="1" applyAlignment="1">
      <alignment horizontal="left" vertical="center" indent="1"/>
    </xf>
    <xf numFmtId="0" fontId="25" fillId="17" borderId="1" xfId="0" applyFont="1" applyFill="1" applyBorder="1" applyAlignment="1">
      <alignment horizontal="left" vertical="center" indent="1"/>
    </xf>
    <xf numFmtId="0" fontId="25" fillId="13" borderId="1" xfId="0" applyFont="1" applyFill="1" applyBorder="1" applyAlignment="1">
      <alignment horizontal="left" vertical="center" indent="1"/>
    </xf>
    <xf numFmtId="0" fontId="28" fillId="17" borderId="1" xfId="0" applyFont="1" applyFill="1" applyBorder="1" applyAlignment="1">
      <alignment horizontal="left" vertical="center" indent="1"/>
    </xf>
    <xf numFmtId="0" fontId="29" fillId="17" borderId="1" xfId="0" applyFont="1" applyFill="1" applyBorder="1" applyAlignment="1">
      <alignment horizontal="left" vertical="center" indent="1"/>
    </xf>
    <xf numFmtId="0" fontId="26" fillId="13" borderId="1" xfId="0" applyFont="1" applyFill="1" applyBorder="1" applyAlignment="1">
      <alignment horizontal="left" vertical="center" indent="1"/>
    </xf>
    <xf numFmtId="0" fontId="0" fillId="0" borderId="0" xfId="0"/>
    <xf numFmtId="0" fontId="32" fillId="0" borderId="0" xfId="0" applyFont="1"/>
    <xf numFmtId="0" fontId="33" fillId="18" borderId="2" xfId="0" applyFont="1" applyFill="1" applyBorder="1" applyAlignment="1">
      <alignment horizontal="center" vertical="center" wrapText="1"/>
    </xf>
    <xf numFmtId="0" fontId="34" fillId="19" borderId="0" xfId="0" applyFont="1" applyFill="1" applyAlignment="1">
      <alignment horizontal="left" vertical="center" wrapText="1"/>
    </xf>
    <xf numFmtId="0" fontId="0" fillId="19" borderId="0" xfId="0" applyFill="1"/>
    <xf numFmtId="0" fontId="35" fillId="20" borderId="2" xfId="0" applyFont="1" applyFill="1" applyBorder="1" applyAlignment="1">
      <alignment horizontal="left" vertical="center" wrapText="1"/>
    </xf>
    <xf numFmtId="171" fontId="35" fillId="20" borderId="2" xfId="0" applyNumberFormat="1" applyFont="1" applyFill="1" applyBorder="1" applyAlignment="1">
      <alignment horizontal="right" vertical="center"/>
    </xf>
    <xf numFmtId="172" fontId="36" fillId="20" borderId="2" xfId="0" applyNumberFormat="1" applyFont="1" applyFill="1" applyBorder="1" applyAlignment="1">
      <alignment horizontal="right" vertical="center"/>
    </xf>
    <xf numFmtId="0" fontId="36" fillId="0" borderId="2" xfId="0" applyFont="1" applyBorder="1" applyAlignment="1">
      <alignment horizontal="right" vertical="center"/>
    </xf>
    <xf numFmtId="172" fontId="37" fillId="20" borderId="2" xfId="0" applyNumberFormat="1" applyFont="1" applyFill="1" applyBorder="1" applyAlignment="1">
      <alignment horizontal="right" vertical="center"/>
    </xf>
    <xf numFmtId="0" fontId="37" fillId="0" borderId="2" xfId="0" applyFont="1" applyBorder="1" applyAlignment="1">
      <alignment horizontal="right" vertical="center"/>
    </xf>
    <xf numFmtId="0" fontId="38" fillId="21" borderId="2" xfId="0" applyFont="1" applyFill="1" applyBorder="1" applyAlignment="1">
      <alignment horizontal="left" vertical="center" wrapText="1"/>
    </xf>
    <xf numFmtId="0" fontId="39" fillId="0" borderId="2" xfId="0" applyFont="1" applyBorder="1" applyAlignment="1">
      <alignment horizontal="right" vertical="center"/>
    </xf>
    <xf numFmtId="171" fontId="30" fillId="21" borderId="2" xfId="0" applyNumberFormat="1" applyFont="1" applyFill="1" applyBorder="1" applyAlignment="1">
      <alignment horizontal="right" vertical="center"/>
    </xf>
    <xf numFmtId="172" fontId="39" fillId="21" borderId="2" xfId="0" applyNumberFormat="1" applyFont="1" applyFill="1" applyBorder="1" applyAlignment="1">
      <alignment horizontal="right" vertical="center"/>
    </xf>
    <xf numFmtId="0" fontId="30" fillId="21" borderId="2" xfId="0" applyFont="1" applyFill="1" applyBorder="1" applyAlignment="1">
      <alignment horizontal="left" vertical="center" wrapText="1"/>
    </xf>
    <xf numFmtId="172" fontId="40" fillId="21" borderId="2" xfId="0" applyNumberFormat="1" applyFont="1" applyFill="1" applyBorder="1" applyAlignment="1">
      <alignment horizontal="right" vertical="center"/>
    </xf>
    <xf numFmtId="0" fontId="40" fillId="0" borderId="2" xfId="0" applyFont="1" applyBorder="1" applyAlignment="1">
      <alignment horizontal="right" vertical="center"/>
    </xf>
    <xf numFmtId="0" fontId="41" fillId="19" borderId="1" xfId="0" applyFont="1" applyFill="1" applyBorder="1" applyAlignment="1">
      <alignment horizontal="center" vertical="center" wrapText="1"/>
    </xf>
    <xf numFmtId="0" fontId="42" fillId="13" borderId="2" xfId="0" applyFont="1" applyFill="1" applyBorder="1" applyAlignment="1">
      <alignment horizontal="left" vertical="top" wrapText="1"/>
    </xf>
    <xf numFmtId="0" fontId="42" fillId="17" borderId="2" xfId="0" applyFont="1" applyFill="1" applyBorder="1" applyAlignment="1">
      <alignment horizontal="left" vertical="top" wrapText="1"/>
    </xf>
    <xf numFmtId="173" fontId="14" fillId="7" borderId="1" xfId="0" applyNumberFormat="1" applyFont="1" applyFill="1" applyBorder="1" applyAlignment="1">
      <alignment horizontal="right" vertical="center"/>
    </xf>
    <xf numFmtId="173" fontId="0" fillId="0" borderId="0" xfId="0" applyNumberFormat="1"/>
    <xf numFmtId="0" fontId="42" fillId="26" borderId="3" xfId="0" applyFont="1" applyFill="1" applyBorder="1" applyAlignment="1">
      <alignment horizontal="left" vertical="top" wrapText="1"/>
    </xf>
    <xf numFmtId="0" fontId="42" fillId="27" borderId="3" xfId="0" applyFont="1" applyFill="1" applyBorder="1" applyAlignment="1">
      <alignment horizontal="left" vertical="top" wrapText="1"/>
    </xf>
    <xf numFmtId="0" fontId="34" fillId="22" borderId="3" xfId="0" applyFont="1" applyFill="1" applyBorder="1" applyAlignment="1">
      <alignment horizontal="center" vertical="center"/>
    </xf>
    <xf numFmtId="0" fontId="30" fillId="23" borderId="3" xfId="0" applyFont="1" applyFill="1" applyBorder="1" applyAlignment="1">
      <alignment horizontal="center" vertical="center"/>
    </xf>
    <xf numFmtId="0" fontId="30" fillId="24" borderId="3" xfId="0" applyFont="1" applyFill="1" applyBorder="1" applyAlignment="1">
      <alignment horizontal="center" vertical="center"/>
    </xf>
    <xf numFmtId="0" fontId="44" fillId="24" borderId="3" xfId="0" applyFont="1" applyFill="1" applyBorder="1" applyAlignment="1">
      <alignment horizontal="center" vertical="center"/>
    </xf>
    <xf numFmtId="0" fontId="30" fillId="21" borderId="3" xfId="0" applyFont="1" applyFill="1" applyBorder="1" applyAlignment="1">
      <alignment horizontal="center" vertical="center"/>
    </xf>
    <xf numFmtId="0" fontId="44" fillId="21" borderId="3" xfId="0" applyFont="1" applyFill="1" applyBorder="1" applyAlignment="1">
      <alignment horizontal="center" vertical="center"/>
    </xf>
    <xf numFmtId="0" fontId="34" fillId="25" borderId="3" xfId="0" applyFont="1" applyFill="1" applyBorder="1" applyAlignment="1">
      <alignment horizontal="left" vertical="center" indent="1"/>
    </xf>
    <xf numFmtId="0" fontId="34" fillId="25" borderId="3" xfId="0" applyFont="1" applyFill="1" applyBorder="1" applyAlignment="1">
      <alignment horizontal="center" vertical="center"/>
    </xf>
    <xf numFmtId="171" fontId="14" fillId="17" borderId="1" xfId="0" applyNumberFormat="1" applyFont="1" applyFill="1" applyBorder="1" applyAlignment="1">
      <alignment horizontal="right" vertical="center"/>
    </xf>
    <xf numFmtId="171" fontId="14" fillId="13" borderId="1" xfId="0" applyNumberFormat="1" applyFont="1" applyFill="1" applyBorder="1" applyAlignment="1">
      <alignment horizontal="right" vertical="center"/>
    </xf>
    <xf numFmtId="173" fontId="17" fillId="15" borderId="1" xfId="0" applyNumberFormat="1" applyFont="1" applyFill="1" applyBorder="1" applyAlignment="1">
      <alignment horizontal="right" vertical="center"/>
    </xf>
    <xf numFmtId="173" fontId="45" fillId="21" borderId="2" xfId="0" applyNumberFormat="1" applyFont="1" applyFill="1" applyBorder="1" applyAlignment="1">
      <alignment horizontal="right" vertical="center"/>
    </xf>
    <xf numFmtId="174" fontId="39" fillId="21" borderId="2" xfId="0" applyNumberFormat="1" applyFont="1" applyFill="1" applyBorder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left" vertical="center" indent="1"/>
    </xf>
    <xf numFmtId="0" fontId="22" fillId="1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 wrapText="1"/>
    </xf>
    <xf numFmtId="9" fontId="14" fillId="7" borderId="1" xfId="1" applyFont="1" applyFill="1" applyBorder="1" applyAlignment="1">
      <alignment horizontal="right" vertical="center"/>
    </xf>
    <xf numFmtId="164" fontId="64" fillId="8" borderId="1" xfId="0" applyNumberFormat="1" applyFont="1" applyFill="1" applyBorder="1" applyAlignment="1">
      <alignment horizontal="right" vertical="center"/>
    </xf>
    <xf numFmtId="9" fontId="15" fillId="8" borderId="1" xfId="1" applyFont="1" applyFill="1" applyBorder="1" applyAlignment="1">
      <alignment horizontal="right" vertical="center"/>
    </xf>
    <xf numFmtId="0" fontId="63" fillId="28" borderId="3" xfId="0" applyFont="1" applyFill="1" applyBorder="1" applyAlignment="1">
      <alignment horizontal="center" vertical="center"/>
    </xf>
    <xf numFmtId="0" fontId="63" fillId="7" borderId="3" xfId="0" applyFont="1" applyFill="1" applyBorder="1" applyAlignment="1">
      <alignment horizontal="center" vertical="center"/>
    </xf>
    <xf numFmtId="164" fontId="65" fillId="7" borderId="1" xfId="0" applyNumberFormat="1" applyFont="1" applyFill="1" applyBorder="1" applyAlignment="1">
      <alignment horizontal="right" vertical="center"/>
    </xf>
    <xf numFmtId="0" fontId="42" fillId="0" borderId="2" xfId="0" applyFont="1" applyBorder="1" applyAlignment="1">
      <alignment horizontal="center" vertical="top" wrapText="1"/>
    </xf>
    <xf numFmtId="0" fontId="43" fillId="17" borderId="2" xfId="0" applyFont="1" applyFill="1" applyBorder="1" applyAlignment="1">
      <alignment horizontal="center" vertical="top" wrapText="1"/>
    </xf>
    <xf numFmtId="164" fontId="68" fillId="12" borderId="1" xfId="0" applyNumberFormat="1" applyFont="1" applyFill="1" applyBorder="1" applyAlignment="1">
      <alignment horizontal="right" vertical="center"/>
    </xf>
    <xf numFmtId="0" fontId="42" fillId="27" borderId="3" xfId="0" applyFont="1" applyFill="1" applyBorder="1" applyAlignment="1">
      <alignment horizontal="center" vertical="top" wrapText="1"/>
    </xf>
    <xf numFmtId="164" fontId="69" fillId="15" borderId="1" xfId="0" applyNumberFormat="1" applyFont="1" applyFill="1" applyBorder="1" applyAlignment="1">
      <alignment horizontal="right" vertical="center"/>
    </xf>
    <xf numFmtId="164" fontId="66" fillId="14" borderId="1" xfId="0" applyNumberFormat="1" applyFont="1" applyFill="1" applyBorder="1" applyAlignment="1">
      <alignment horizontal="right" vertical="center"/>
    </xf>
    <xf numFmtId="164" fontId="65" fillId="7" borderId="1" xfId="0" applyNumberFormat="1" applyFont="1" applyFill="1" applyBorder="1" applyAlignment="1">
      <alignment horizontal="center" vertical="center"/>
    </xf>
    <xf numFmtId="0" fontId="42" fillId="26" borderId="3" xfId="0" applyFont="1" applyFill="1" applyBorder="1" applyAlignment="1">
      <alignment horizontal="center" vertical="top" wrapText="1"/>
    </xf>
    <xf numFmtId="0" fontId="43" fillId="0" borderId="2" xfId="0" applyFont="1" applyBorder="1" applyAlignment="1">
      <alignment horizontal="center" vertical="top" wrapText="1"/>
    </xf>
    <xf numFmtId="0" fontId="42" fillId="17" borderId="2" xfId="0" applyFont="1" applyFill="1" applyBorder="1" applyAlignment="1">
      <alignment horizontal="center" vertical="top" wrapText="1"/>
    </xf>
    <xf numFmtId="0" fontId="67" fillId="13" borderId="1" xfId="0" applyFont="1" applyFill="1" applyBorder="1" applyAlignment="1">
      <alignment horizontal="left" vertical="center" indent="2"/>
    </xf>
    <xf numFmtId="0" fontId="42" fillId="13" borderId="2" xfId="0" applyFont="1" applyFill="1" applyBorder="1" applyAlignment="1">
      <alignment horizontal="center" vertical="top" wrapText="1"/>
    </xf>
    <xf numFmtId="0" fontId="70" fillId="2" borderId="0" xfId="0" applyFont="1" applyFill="1" applyAlignment="1">
      <alignment horizontal="center" vertical="center"/>
    </xf>
    <xf numFmtId="0" fontId="0" fillId="0" borderId="0" xfId="0" applyAlignment="1"/>
    <xf numFmtId="0" fontId="70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showGridLines="0" tabSelected="1" workbookViewId="0"/>
  </sheetViews>
  <sheetFormatPr defaultRowHeight="14.5" x14ac:dyDescent="0.35"/>
  <cols>
    <col min="1" max="1" width="32" style="56" customWidth="1"/>
    <col min="2" max="4" width="13" style="56" customWidth="1"/>
    <col min="5" max="5" width="10" style="56" customWidth="1"/>
    <col min="6" max="8" width="13" style="56" customWidth="1"/>
    <col min="9" max="9" width="10" style="56" customWidth="1"/>
  </cols>
  <sheetData>
    <row r="1" spans="1:9" ht="22" customHeight="1" x14ac:dyDescent="0.35">
      <c r="A1" s="94" t="s">
        <v>48</v>
      </c>
    </row>
    <row r="2" spans="1:9" x14ac:dyDescent="0.35">
      <c r="A2" s="57" t="s">
        <v>49</v>
      </c>
    </row>
    <row r="4" spans="1:9" ht="28" customHeight="1" x14ac:dyDescent="0.35">
      <c r="A4" s="58" t="s">
        <v>50</v>
      </c>
      <c r="B4" s="58" t="s">
        <v>51</v>
      </c>
      <c r="C4" s="58" t="s">
        <v>52</v>
      </c>
      <c r="D4" s="58" t="s">
        <v>53</v>
      </c>
      <c r="E4" s="58" t="s">
        <v>54</v>
      </c>
      <c r="F4" s="58" t="s">
        <v>55</v>
      </c>
      <c r="G4" s="58" t="s">
        <v>56</v>
      </c>
      <c r="H4" s="58" t="s">
        <v>57</v>
      </c>
      <c r="I4" s="58" t="s">
        <v>58</v>
      </c>
    </row>
    <row r="5" spans="1:9" ht="16" customHeight="1" x14ac:dyDescent="0.35">
      <c r="A5" s="59" t="s">
        <v>59</v>
      </c>
      <c r="B5" s="60"/>
      <c r="C5" s="60"/>
      <c r="D5" s="60"/>
      <c r="E5" s="60"/>
      <c r="F5" s="60"/>
      <c r="G5" s="60"/>
      <c r="H5" s="60"/>
      <c r="I5" s="60"/>
    </row>
    <row r="6" spans="1:9" ht="15" customHeight="1" x14ac:dyDescent="0.35">
      <c r="A6" s="61" t="s">
        <v>60</v>
      </c>
      <c r="B6" s="62">
        <v>21.600890830000001</v>
      </c>
      <c r="C6" s="62">
        <v>22.102499999999999</v>
      </c>
      <c r="D6" s="63">
        <v>-0.50160917000000182</v>
      </c>
      <c r="E6" s="64" t="s">
        <v>61</v>
      </c>
      <c r="F6" s="62">
        <v>41.712539999999997</v>
      </c>
      <c r="G6" s="62">
        <v>41.422499999999999</v>
      </c>
      <c r="H6" s="65">
        <v>0.29004000000000002</v>
      </c>
      <c r="I6" s="66" t="s">
        <v>62</v>
      </c>
    </row>
    <row r="7" spans="1:9" ht="15" customHeight="1" x14ac:dyDescent="0.35">
      <c r="A7" s="61" t="s">
        <v>63</v>
      </c>
      <c r="B7" s="62">
        <v>17.07252141</v>
      </c>
      <c r="C7" s="62">
        <v>15.615600000000001</v>
      </c>
      <c r="D7" s="65">
        <v>1.4569214100000001</v>
      </c>
      <c r="E7" s="66" t="s">
        <v>64</v>
      </c>
      <c r="F7" s="62">
        <v>32.880698180000003</v>
      </c>
      <c r="G7" s="62">
        <v>29.332799999999999</v>
      </c>
      <c r="H7" s="65">
        <v>3.5478981799999998</v>
      </c>
      <c r="I7" s="66" t="s">
        <v>65</v>
      </c>
    </row>
    <row r="8" spans="1:9" ht="15" customHeight="1" x14ac:dyDescent="0.35">
      <c r="A8" s="67" t="s">
        <v>66</v>
      </c>
      <c r="B8" s="92">
        <v>0.79036191351373086</v>
      </c>
      <c r="C8" s="92">
        <v>0.7</v>
      </c>
      <c r="D8" s="93">
        <v>9.0399999999999994E-2</v>
      </c>
      <c r="E8" s="68" t="s">
        <v>67</v>
      </c>
      <c r="F8" s="92">
        <v>0.78826890378768588</v>
      </c>
      <c r="G8" s="92">
        <v>0.7</v>
      </c>
      <c r="H8" s="93">
        <v>8.8300000000000003E-2</v>
      </c>
      <c r="I8" s="68" t="s">
        <v>67</v>
      </c>
    </row>
    <row r="9" spans="1:9" ht="6" customHeight="1" x14ac:dyDescent="0.35"/>
    <row r="10" spans="1:9" ht="15" customHeight="1" x14ac:dyDescent="0.35">
      <c r="A10" s="67" t="s">
        <v>68</v>
      </c>
      <c r="B10" s="69">
        <v>9.2937141999999984</v>
      </c>
      <c r="C10" s="69">
        <v>7.5899985000000001</v>
      </c>
      <c r="D10" s="70">
        <v>1.7037156999999989</v>
      </c>
      <c r="E10" s="68" t="s">
        <v>69</v>
      </c>
      <c r="F10" s="69">
        <v>18.294963710000001</v>
      </c>
      <c r="G10" s="69">
        <v>14.224486499999999</v>
      </c>
      <c r="H10" s="70">
        <v>4.0704772100000008</v>
      </c>
      <c r="I10" s="68" t="s">
        <v>70</v>
      </c>
    </row>
    <row r="11" spans="1:9" ht="15" customHeight="1" x14ac:dyDescent="0.35">
      <c r="A11" s="67" t="s">
        <v>71</v>
      </c>
      <c r="B11" s="69">
        <v>8.2341790100000001</v>
      </c>
      <c r="C11" s="69">
        <v>3.5717639999999999</v>
      </c>
      <c r="D11" s="70">
        <v>4.6624150100000001</v>
      </c>
      <c r="E11" s="68" t="s">
        <v>72</v>
      </c>
      <c r="F11" s="69">
        <v>16.117120379999999</v>
      </c>
      <c r="G11" s="69">
        <v>6.6938760000000004</v>
      </c>
      <c r="H11" s="70">
        <v>9.4232443799999981</v>
      </c>
      <c r="I11" s="68" t="s">
        <v>73</v>
      </c>
    </row>
    <row r="12" spans="1:9" ht="15" customHeight="1" x14ac:dyDescent="0.35">
      <c r="A12" s="67" t="s">
        <v>74</v>
      </c>
      <c r="B12" s="69">
        <v>3.8634385099999999</v>
      </c>
      <c r="C12" s="69">
        <v>2.4555877499999998</v>
      </c>
      <c r="D12" s="70">
        <v>1.4078507600000001</v>
      </c>
      <c r="E12" s="68" t="s">
        <v>75</v>
      </c>
      <c r="F12" s="69">
        <v>7.8504638499999997</v>
      </c>
      <c r="G12" s="69">
        <v>4.6020397500000003</v>
      </c>
      <c r="H12" s="70">
        <v>3.2484240999999998</v>
      </c>
      <c r="I12" s="68" t="s">
        <v>76</v>
      </c>
    </row>
    <row r="13" spans="1:9" ht="6" customHeight="1" x14ac:dyDescent="0.35"/>
    <row r="14" spans="1:9" ht="15" customHeight="1" x14ac:dyDescent="0.35">
      <c r="A14" s="61" t="s">
        <v>77</v>
      </c>
      <c r="B14" s="62">
        <v>-4.3188103</v>
      </c>
      <c r="C14" s="62">
        <v>1.99824975</v>
      </c>
      <c r="D14" s="63">
        <v>-6.3170600499999994</v>
      </c>
      <c r="E14" s="64" t="s">
        <v>78</v>
      </c>
      <c r="F14" s="62">
        <v>-9.3818497599999997</v>
      </c>
      <c r="G14" s="62">
        <v>3.8123977500000001</v>
      </c>
      <c r="H14" s="63">
        <v>-13.19424751</v>
      </c>
      <c r="I14" s="64" t="s">
        <v>79</v>
      </c>
    </row>
    <row r="15" spans="1:9" ht="6" customHeight="1" x14ac:dyDescent="0.35"/>
    <row r="16" spans="1:9" ht="16" customHeight="1" x14ac:dyDescent="0.35">
      <c r="A16" s="59" t="s">
        <v>80</v>
      </c>
      <c r="B16" s="60"/>
      <c r="C16" s="60"/>
      <c r="D16" s="60"/>
      <c r="E16" s="60"/>
      <c r="F16" s="60"/>
      <c r="G16" s="60"/>
      <c r="H16" s="60"/>
      <c r="I16" s="60"/>
    </row>
    <row r="17" spans="1:9" ht="15" customHeight="1" x14ac:dyDescent="0.35">
      <c r="A17" s="71" t="s">
        <v>81</v>
      </c>
      <c r="B17" s="69">
        <v>5.37</v>
      </c>
      <c r="C17" s="69">
        <v>5.0810774399999996</v>
      </c>
      <c r="D17" s="70">
        <v>0.28892256000000049</v>
      </c>
      <c r="E17" s="68" t="s">
        <v>82</v>
      </c>
      <c r="F17" s="69">
        <v>9.42</v>
      </c>
      <c r="G17" s="69">
        <v>8.9690774399999995</v>
      </c>
      <c r="H17" s="70">
        <v>0.45092256000000053</v>
      </c>
      <c r="I17" s="68" t="s">
        <v>83</v>
      </c>
    </row>
    <row r="18" spans="1:9" ht="15" customHeight="1" x14ac:dyDescent="0.35">
      <c r="A18" s="71" t="s">
        <v>84</v>
      </c>
      <c r="B18" s="69">
        <v>2.74</v>
      </c>
      <c r="C18" s="69">
        <v>2.6197934599999999</v>
      </c>
      <c r="D18" s="70">
        <v>0.12020654</v>
      </c>
      <c r="E18" s="68" t="s">
        <v>85</v>
      </c>
      <c r="F18" s="69">
        <v>4.8899999999999997</v>
      </c>
      <c r="G18" s="69">
        <v>4.70529346</v>
      </c>
      <c r="H18" s="70">
        <v>0.18470654</v>
      </c>
      <c r="I18" s="68" t="s">
        <v>86</v>
      </c>
    </row>
    <row r="19" spans="1:9" ht="15" customHeight="1" x14ac:dyDescent="0.35">
      <c r="A19" s="71" t="s">
        <v>87</v>
      </c>
      <c r="B19" s="69">
        <v>0.25</v>
      </c>
      <c r="C19" s="69">
        <v>0.30499999999999999</v>
      </c>
      <c r="D19" s="72">
        <v>-5.5E-2</v>
      </c>
      <c r="E19" s="73" t="s">
        <v>88</v>
      </c>
      <c r="F19" s="69">
        <v>0.44500000000000001</v>
      </c>
      <c r="G19" s="69">
        <v>0.5</v>
      </c>
      <c r="H19" s="72">
        <v>-5.5E-2</v>
      </c>
      <c r="I19" s="73" t="s">
        <v>89</v>
      </c>
    </row>
    <row r="20" spans="1:9" ht="15" customHeight="1" x14ac:dyDescent="0.35">
      <c r="A20" s="71" t="s">
        <v>90</v>
      </c>
      <c r="B20" s="69">
        <v>-0.69</v>
      </c>
      <c r="C20" s="69">
        <v>0.80363454000000001</v>
      </c>
      <c r="D20" s="72">
        <v>-1.49363454</v>
      </c>
      <c r="E20" s="73" t="s">
        <v>91</v>
      </c>
      <c r="F20" s="69">
        <v>-1.2749999999999999</v>
      </c>
      <c r="G20" s="69">
        <v>1.40033454</v>
      </c>
      <c r="H20" s="72">
        <v>-2.6753345400000001</v>
      </c>
      <c r="I20" s="73" t="s">
        <v>92</v>
      </c>
    </row>
    <row r="21" spans="1:9" ht="15" customHeight="1" x14ac:dyDescent="0.35">
      <c r="A21" s="71" t="s">
        <v>93</v>
      </c>
      <c r="B21" s="69">
        <v>-1.075</v>
      </c>
      <c r="C21" s="69">
        <v>1.5349647099999999</v>
      </c>
      <c r="D21" s="72">
        <v>-2.6099647099999999</v>
      </c>
      <c r="E21" s="73" t="s">
        <v>94</v>
      </c>
      <c r="F21" s="69">
        <v>-2.38</v>
      </c>
      <c r="G21" s="69">
        <v>2.8791147100000001</v>
      </c>
      <c r="H21" s="72">
        <v>-5.2591147100000004</v>
      </c>
      <c r="I21" s="73" t="s">
        <v>95</v>
      </c>
    </row>
    <row r="22" spans="1:9" ht="15" customHeight="1" x14ac:dyDescent="0.35">
      <c r="A22" s="61" t="s">
        <v>42</v>
      </c>
      <c r="B22" s="62">
        <v>6.5949999999999998</v>
      </c>
      <c r="C22" s="62">
        <v>5.6672719999999996</v>
      </c>
      <c r="D22" s="65">
        <v>0.927728</v>
      </c>
      <c r="E22" s="66" t="s">
        <v>96</v>
      </c>
      <c r="F22" s="62">
        <v>11.1</v>
      </c>
      <c r="G22" s="62">
        <v>9.8949219999999993</v>
      </c>
      <c r="H22" s="65">
        <v>1.2050780000000001</v>
      </c>
      <c r="I22" s="66" t="s">
        <v>97</v>
      </c>
    </row>
    <row r="23" spans="1:9" ht="15" customHeight="1" x14ac:dyDescent="0.35">
      <c r="A23" s="61" t="s">
        <v>98</v>
      </c>
      <c r="B23" s="62">
        <v>86.1</v>
      </c>
      <c r="C23" s="62">
        <v>84.894921999999994</v>
      </c>
      <c r="D23" s="65">
        <v>1.2050780000000001</v>
      </c>
      <c r="E23" s="66" t="s">
        <v>99</v>
      </c>
      <c r="F23" s="62">
        <v>86.1</v>
      </c>
      <c r="G23" s="62">
        <v>84.894921999999994</v>
      </c>
      <c r="H23" s="65">
        <v>1.2050780000000001</v>
      </c>
      <c r="I23" s="66" t="s">
        <v>99</v>
      </c>
    </row>
    <row r="24" spans="1:9" ht="6" customHeight="1" x14ac:dyDescent="0.35"/>
    <row r="25" spans="1:9" ht="16" customHeight="1" x14ac:dyDescent="0.35">
      <c r="A25" s="59" t="s">
        <v>100</v>
      </c>
      <c r="B25" s="60"/>
      <c r="C25" s="60"/>
      <c r="D25" s="60"/>
      <c r="E25" s="60"/>
      <c r="F25" s="60"/>
      <c r="G25" s="60"/>
      <c r="H25" s="60"/>
      <c r="I25" s="60"/>
    </row>
    <row r="26" spans="1:9" ht="15" customHeight="1" x14ac:dyDescent="0.35">
      <c r="A26" s="71" t="s">
        <v>101</v>
      </c>
      <c r="B26" s="69">
        <v>13.097165410000001</v>
      </c>
      <c r="C26" s="69">
        <v>1.6794198</v>
      </c>
      <c r="D26" s="70">
        <v>11.417745610000001</v>
      </c>
      <c r="E26" s="68" t="s">
        <v>102</v>
      </c>
      <c r="F26" s="69">
        <v>25.62891707</v>
      </c>
      <c r="G26" s="69">
        <v>3.1892982000000001</v>
      </c>
      <c r="H26" s="70">
        <v>22.43961887</v>
      </c>
      <c r="I26" s="68" t="s">
        <v>103</v>
      </c>
    </row>
    <row r="27" spans="1:9" ht="15" customHeight="1" x14ac:dyDescent="0.35">
      <c r="A27" s="61" t="s">
        <v>104</v>
      </c>
      <c r="B27" s="62">
        <v>70.612122069999998</v>
      </c>
      <c r="C27" s="62">
        <v>48.3608482</v>
      </c>
      <c r="D27" s="65">
        <v>22.251273869999991</v>
      </c>
      <c r="E27" s="66" t="s">
        <v>105</v>
      </c>
      <c r="F27" s="62">
        <v>70.612122069999998</v>
      </c>
      <c r="G27" s="62">
        <v>48.3608482</v>
      </c>
      <c r="H27" s="65">
        <v>22.251273869999991</v>
      </c>
      <c r="I27" s="66" t="s">
        <v>105</v>
      </c>
    </row>
  </sheetData>
  <pageMargins left="0.75" right="0.75" top="1" bottom="1" header="0.5" footer="0.5"/>
  <ignoredErrors>
    <ignoredError sqref="E6:E27 I6:I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J1"/>
    </sheetView>
  </sheetViews>
  <sheetFormatPr defaultRowHeight="14.5" x14ac:dyDescent="0.35"/>
  <cols>
    <col min="1" max="1" width="26" style="56" customWidth="1"/>
    <col min="2" max="6" width="10" style="56" customWidth="1"/>
    <col min="7" max="7" width="11" style="56" customWidth="1"/>
    <col min="8" max="13" width="10" style="56" customWidth="1"/>
    <col min="14" max="29" width="11" style="56" customWidth="1"/>
  </cols>
  <sheetData>
    <row r="1" spans="1:36" ht="36" customHeight="1" x14ac:dyDescent="0.35">
      <c r="A1" s="101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</row>
    <row r="2" spans="1:36" ht="20" customHeight="1" x14ac:dyDescent="0.35">
      <c r="B2" s="95" t="s">
        <v>1</v>
      </c>
      <c r="C2" s="96"/>
      <c r="D2" s="96"/>
      <c r="E2" s="96"/>
      <c r="F2" s="96"/>
      <c r="G2" s="96"/>
      <c r="H2" s="102" t="s">
        <v>2</v>
      </c>
      <c r="I2" s="96"/>
      <c r="J2" s="96"/>
      <c r="K2" s="96"/>
      <c r="L2" s="96"/>
      <c r="M2" s="96"/>
      <c r="N2" s="95" t="s">
        <v>3</v>
      </c>
      <c r="O2" s="96"/>
      <c r="P2" s="96"/>
      <c r="Q2" s="96"/>
      <c r="R2" s="97" t="s">
        <v>4</v>
      </c>
      <c r="S2" s="96"/>
      <c r="T2" s="96"/>
      <c r="U2" s="96"/>
      <c r="V2" s="98" t="s">
        <v>5</v>
      </c>
      <c r="W2" s="96"/>
      <c r="X2" s="96"/>
      <c r="Y2" s="96"/>
      <c r="Z2" s="96"/>
      <c r="AA2" s="96"/>
      <c r="AB2" s="96"/>
      <c r="AC2" s="96"/>
    </row>
    <row r="3" spans="1:36" ht="40" customHeight="1" x14ac:dyDescent="0.35">
      <c r="B3" s="107" t="s">
        <v>6</v>
      </c>
      <c r="C3" s="107" t="s">
        <v>7</v>
      </c>
      <c r="D3" s="107" t="s">
        <v>8</v>
      </c>
      <c r="E3" s="107" t="s">
        <v>9</v>
      </c>
      <c r="F3" s="107" t="s">
        <v>10</v>
      </c>
      <c r="G3" s="107" t="s">
        <v>11</v>
      </c>
      <c r="H3" s="106" t="s">
        <v>12</v>
      </c>
      <c r="I3" s="106" t="s">
        <v>13</v>
      </c>
      <c r="J3" s="106" t="s">
        <v>14</v>
      </c>
      <c r="K3" s="106" t="s">
        <v>15</v>
      </c>
      <c r="L3" s="106" t="s">
        <v>16</v>
      </c>
      <c r="M3" s="106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</row>
    <row r="4" spans="1:36" ht="16" customHeight="1" x14ac:dyDescent="0.35">
      <c r="A4" s="99" t="s">
        <v>34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</row>
    <row r="5" spans="1:36" ht="17" customHeight="1" x14ac:dyDescent="0.35">
      <c r="A5" s="5" t="s">
        <v>35</v>
      </c>
      <c r="B5" s="108">
        <v>75</v>
      </c>
      <c r="C5" s="108">
        <v>76.31</v>
      </c>
      <c r="D5" s="108">
        <v>77.81</v>
      </c>
      <c r="E5" s="108">
        <v>79.5</v>
      </c>
      <c r="F5" s="108">
        <v>81.39</v>
      </c>
      <c r="G5" s="108">
        <f>F14</f>
        <v>83.45</v>
      </c>
      <c r="H5" s="104">
        <f>G14</f>
        <v>85.530473000000001</v>
      </c>
      <c r="I5" s="104">
        <f>H14</f>
        <v>87.716178999999997</v>
      </c>
      <c r="J5" s="104">
        <f t="shared" ref="J5:M5" si="0">I14</f>
        <v>89.802405999999991</v>
      </c>
      <c r="K5" s="104">
        <f t="shared" si="0"/>
        <v>91.742547999999985</v>
      </c>
      <c r="L5" s="104">
        <f t="shared" si="0"/>
        <v>93.722906999999978</v>
      </c>
      <c r="M5" s="104">
        <f t="shared" si="0"/>
        <v>95.597818999999973</v>
      </c>
      <c r="N5" s="6">
        <v>75</v>
      </c>
      <c r="O5" s="6">
        <v>79.5</v>
      </c>
      <c r="P5" s="6">
        <v>75</v>
      </c>
      <c r="Q5" s="6">
        <v>86.1</v>
      </c>
      <c r="R5" s="8">
        <v>75</v>
      </c>
      <c r="S5" s="8">
        <v>79.5</v>
      </c>
      <c r="T5" s="8">
        <v>75</v>
      </c>
      <c r="U5" s="8">
        <v>75</v>
      </c>
      <c r="V5" s="9">
        <v>0</v>
      </c>
      <c r="W5" s="9">
        <v>0</v>
      </c>
      <c r="X5" s="9">
        <v>0</v>
      </c>
      <c r="Y5" s="9">
        <v>11.1</v>
      </c>
      <c r="Z5" s="10">
        <v>0</v>
      </c>
      <c r="AA5" s="10">
        <v>0</v>
      </c>
      <c r="AB5" s="10">
        <v>0</v>
      </c>
      <c r="AC5" s="10">
        <v>14.8</v>
      </c>
    </row>
    <row r="6" spans="1:36" ht="17" customHeight="1" x14ac:dyDescent="0.35">
      <c r="A6" s="11" t="s">
        <v>36</v>
      </c>
      <c r="B6" s="12">
        <v>1.2</v>
      </c>
      <c r="C6" s="12">
        <v>1.35</v>
      </c>
      <c r="D6" s="12">
        <v>1.5</v>
      </c>
      <c r="E6" s="12">
        <v>1.65</v>
      </c>
      <c r="F6" s="12">
        <v>1.8</v>
      </c>
      <c r="G6" s="12">
        <v>1.842789</v>
      </c>
      <c r="H6" s="13">
        <v>1.8667149999999999</v>
      </c>
      <c r="I6" s="13">
        <v>1.750478</v>
      </c>
      <c r="J6" s="13">
        <v>1.76511</v>
      </c>
      <c r="K6" s="13">
        <v>1.678393</v>
      </c>
      <c r="L6" s="13">
        <v>1.652682</v>
      </c>
      <c r="M6" s="13">
        <v>1.7459640000000001</v>
      </c>
      <c r="N6" s="12">
        <v>4.05</v>
      </c>
      <c r="O6" s="12">
        <v>5.37</v>
      </c>
      <c r="P6" s="12">
        <v>9.42</v>
      </c>
      <c r="Q6" s="12">
        <v>10.87</v>
      </c>
      <c r="R6" s="15">
        <v>4.05</v>
      </c>
      <c r="S6" s="15">
        <v>3.45</v>
      </c>
      <c r="T6" s="15">
        <v>7.5</v>
      </c>
      <c r="U6" s="15">
        <v>13.417999999999999</v>
      </c>
      <c r="V6" s="16">
        <v>0</v>
      </c>
      <c r="W6" s="17">
        <v>1.92</v>
      </c>
      <c r="X6" s="17">
        <v>1.92</v>
      </c>
      <c r="Y6" s="16">
        <v>-2.548</v>
      </c>
      <c r="Z6" s="18">
        <v>0</v>
      </c>
      <c r="AA6" s="19">
        <v>55.7</v>
      </c>
      <c r="AB6" s="19">
        <v>25.6</v>
      </c>
      <c r="AC6" s="18">
        <v>-19</v>
      </c>
    </row>
    <row r="7" spans="1:36" ht="17" customHeight="1" x14ac:dyDescent="0.35">
      <c r="A7" s="11" t="s">
        <v>37</v>
      </c>
      <c r="B7" s="12">
        <v>0.65</v>
      </c>
      <c r="C7" s="12">
        <v>0.72</v>
      </c>
      <c r="D7" s="12">
        <v>0.78</v>
      </c>
      <c r="E7" s="12">
        <v>0.85</v>
      </c>
      <c r="F7" s="12">
        <v>0.91</v>
      </c>
      <c r="G7" s="12">
        <v>0.94081800000000004</v>
      </c>
      <c r="H7" s="13">
        <v>0.995197</v>
      </c>
      <c r="I7" s="13">
        <v>1.027047</v>
      </c>
      <c r="J7" s="13">
        <v>0.92221299999999995</v>
      </c>
      <c r="K7" s="13">
        <v>1.058122</v>
      </c>
      <c r="L7" s="13">
        <v>0.98223199999999999</v>
      </c>
      <c r="M7" s="13">
        <v>1.0347649999999999</v>
      </c>
      <c r="N7" s="12">
        <v>2.15</v>
      </c>
      <c r="O7" s="12">
        <v>2.74</v>
      </c>
      <c r="P7" s="12">
        <v>4.8899999999999997</v>
      </c>
      <c r="Q7" s="12">
        <v>5.89</v>
      </c>
      <c r="R7" s="15">
        <v>2.15</v>
      </c>
      <c r="S7" s="15">
        <v>1.76</v>
      </c>
      <c r="T7" s="15">
        <v>3.91</v>
      </c>
      <c r="U7" s="15">
        <v>7.3040000000000003</v>
      </c>
      <c r="V7" s="16">
        <v>0</v>
      </c>
      <c r="W7" s="17">
        <v>0.98</v>
      </c>
      <c r="X7" s="17">
        <v>0.98</v>
      </c>
      <c r="Y7" s="16">
        <v>-1.4139999999999999</v>
      </c>
      <c r="Z7" s="18">
        <v>0</v>
      </c>
      <c r="AA7" s="19">
        <v>55.7</v>
      </c>
      <c r="AB7" s="19">
        <v>25.1</v>
      </c>
      <c r="AC7" s="18">
        <v>-19.399999999999999</v>
      </c>
    </row>
    <row r="8" spans="1:36" ht="17" customHeight="1" x14ac:dyDescent="0.35">
      <c r="A8" s="11" t="s">
        <v>38</v>
      </c>
      <c r="B8" s="12">
        <v>0.06</v>
      </c>
      <c r="C8" s="12">
        <v>6.5000000000000002E-2</v>
      </c>
      <c r="D8" s="12">
        <v>7.0000000000000007E-2</v>
      </c>
      <c r="E8" s="12">
        <v>7.4999999999999997E-2</v>
      </c>
      <c r="F8" s="12">
        <v>0.08</v>
      </c>
      <c r="G8" s="12">
        <v>0.15</v>
      </c>
      <c r="H8" s="13">
        <v>0.30747799999999997</v>
      </c>
      <c r="I8" s="13">
        <v>0.37350299999999997</v>
      </c>
      <c r="J8" s="13">
        <v>0.38236100000000001</v>
      </c>
      <c r="K8" s="13">
        <v>0.39112599999999997</v>
      </c>
      <c r="L8" s="13">
        <v>0.39989200000000003</v>
      </c>
      <c r="M8" s="13">
        <v>0.40865800000000002</v>
      </c>
      <c r="N8" s="12">
        <v>0.19500000000000001</v>
      </c>
      <c r="O8" s="12">
        <v>0.25</v>
      </c>
      <c r="P8" s="12">
        <v>0.44500000000000001</v>
      </c>
      <c r="Q8" s="12">
        <v>0.78</v>
      </c>
      <c r="R8" s="15">
        <v>0.19500000000000001</v>
      </c>
      <c r="S8" s="15">
        <v>0.155</v>
      </c>
      <c r="T8" s="15">
        <v>0.35</v>
      </c>
      <c r="U8" s="15">
        <v>1.7270000000000001</v>
      </c>
      <c r="V8" s="20">
        <v>0</v>
      </c>
      <c r="W8" s="17">
        <v>9.5000000000000001E-2</v>
      </c>
      <c r="X8" s="17">
        <v>9.5000000000000001E-2</v>
      </c>
      <c r="Y8" s="16">
        <v>-0.94699999999999995</v>
      </c>
      <c r="Z8" s="21">
        <v>0</v>
      </c>
      <c r="AA8" s="19">
        <v>61.3</v>
      </c>
      <c r="AB8" s="19">
        <v>27.1</v>
      </c>
      <c r="AC8" s="18">
        <v>-54.8</v>
      </c>
    </row>
    <row r="9" spans="1:36" ht="17" customHeight="1" x14ac:dyDescent="0.35">
      <c r="A9" s="11" t="s">
        <v>39</v>
      </c>
      <c r="B9" s="12">
        <v>0.18</v>
      </c>
      <c r="C9" s="12">
        <v>0.19500000000000001</v>
      </c>
      <c r="D9" s="12">
        <v>0.21</v>
      </c>
      <c r="E9" s="12">
        <v>0.22500000000000001</v>
      </c>
      <c r="F9" s="12">
        <v>0.24</v>
      </c>
      <c r="G9" s="12">
        <v>0.32287700000000003</v>
      </c>
      <c r="H9" s="13">
        <v>0.37112099999999998</v>
      </c>
      <c r="I9" s="13">
        <v>0.40243000000000001</v>
      </c>
      <c r="J9" s="13">
        <v>0.42403600000000002</v>
      </c>
      <c r="K9" s="13">
        <v>0.43967899999999999</v>
      </c>
      <c r="L9" s="13">
        <v>0.44097199999999998</v>
      </c>
      <c r="M9" s="13">
        <v>0.47514099999999998</v>
      </c>
      <c r="N9" s="12">
        <v>0.58499999999999996</v>
      </c>
      <c r="O9" s="12">
        <v>0.69</v>
      </c>
      <c r="P9" s="12">
        <v>1.2749999999999999</v>
      </c>
      <c r="Q9" s="12">
        <v>3.64</v>
      </c>
      <c r="R9" s="15">
        <v>0.58499999999999996</v>
      </c>
      <c r="S9" s="15">
        <v>0.46500000000000002</v>
      </c>
      <c r="T9" s="15">
        <v>1.05</v>
      </c>
      <c r="U9" s="15">
        <v>2.5129999999999999</v>
      </c>
      <c r="V9" s="16">
        <v>0</v>
      </c>
      <c r="W9" s="16">
        <v>0.22500000000000001</v>
      </c>
      <c r="X9" s="16">
        <v>0.22500000000000001</v>
      </c>
      <c r="Y9" s="17">
        <v>1.127</v>
      </c>
      <c r="Z9" s="18">
        <v>0</v>
      </c>
      <c r="AA9" s="18">
        <v>48.4</v>
      </c>
      <c r="AB9" s="18">
        <v>21.4</v>
      </c>
      <c r="AC9" s="19">
        <v>44.8</v>
      </c>
    </row>
    <row r="10" spans="1:36" ht="17" customHeight="1" x14ac:dyDescent="0.35">
      <c r="A10" s="11" t="s">
        <v>40</v>
      </c>
      <c r="B10" s="12">
        <v>0.42</v>
      </c>
      <c r="C10" s="12">
        <v>0.435</v>
      </c>
      <c r="D10" s="12">
        <v>0.45</v>
      </c>
      <c r="E10" s="12">
        <v>0.47</v>
      </c>
      <c r="F10" s="12">
        <v>0.49</v>
      </c>
      <c r="G10" s="12">
        <v>0.53025699999999998</v>
      </c>
      <c r="H10" s="13">
        <v>0.61256299999999997</v>
      </c>
      <c r="I10" s="13">
        <v>0.66237100000000004</v>
      </c>
      <c r="J10" s="13">
        <v>0.70550599999999997</v>
      </c>
      <c r="K10" s="13">
        <v>0.70760299999999998</v>
      </c>
      <c r="L10" s="13">
        <v>0.71892199999999995</v>
      </c>
      <c r="M10" s="13">
        <v>0.80212399999999995</v>
      </c>
      <c r="N10" s="12">
        <v>1.3049999999999999</v>
      </c>
      <c r="O10" s="12">
        <v>1.075</v>
      </c>
      <c r="P10" s="12">
        <v>2.38</v>
      </c>
      <c r="Q10" s="12">
        <v>5</v>
      </c>
      <c r="R10" s="15">
        <v>1.3049999999999999</v>
      </c>
      <c r="S10" s="15">
        <v>0.96</v>
      </c>
      <c r="T10" s="15">
        <v>2.2650000000000001</v>
      </c>
      <c r="U10" s="15">
        <v>11.616</v>
      </c>
      <c r="V10" s="16">
        <v>0</v>
      </c>
      <c r="W10" s="16">
        <v>0.115</v>
      </c>
      <c r="X10" s="16">
        <v>0.115</v>
      </c>
      <c r="Y10" s="17">
        <v>-6.6159999999999997</v>
      </c>
      <c r="Z10" s="18">
        <v>0</v>
      </c>
      <c r="AA10" s="18">
        <v>12</v>
      </c>
      <c r="AB10" s="18">
        <v>5.0999999999999996</v>
      </c>
      <c r="AC10" s="19">
        <v>-57</v>
      </c>
    </row>
    <row r="11" spans="1:36" ht="6" customHeight="1" x14ac:dyDescent="0.3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36" ht="16" customHeight="1" x14ac:dyDescent="0.35">
      <c r="A12" s="99" t="s">
        <v>41</v>
      </c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</row>
    <row r="13" spans="1:36" ht="17" customHeight="1" x14ac:dyDescent="0.35">
      <c r="A13" s="5" t="s">
        <v>42</v>
      </c>
      <c r="B13" s="6">
        <v>1.31</v>
      </c>
      <c r="C13" s="6">
        <v>1.5049999999999999</v>
      </c>
      <c r="D13" s="6">
        <v>1.69</v>
      </c>
      <c r="E13" s="6">
        <v>1.88</v>
      </c>
      <c r="F13" s="6">
        <v>2.06</v>
      </c>
      <c r="G13" s="6">
        <f>SUM(G6:G8)-SUM(G9:G10)</f>
        <v>2.0804729999999996</v>
      </c>
      <c r="H13" s="104">
        <f>SUM(H6:H8)-SUM(H9:H10)</f>
        <v>2.1857059999999997</v>
      </c>
      <c r="I13" s="104">
        <f t="shared" ref="I13:M13" si="1">SUM(I6:I8)-SUM(I9:I10)</f>
        <v>2.0862269999999996</v>
      </c>
      <c r="J13" s="104">
        <f t="shared" si="1"/>
        <v>1.940142</v>
      </c>
      <c r="K13" s="104">
        <f t="shared" si="1"/>
        <v>1.9803589999999998</v>
      </c>
      <c r="L13" s="104">
        <f t="shared" si="1"/>
        <v>1.8749120000000001</v>
      </c>
      <c r="M13" s="104">
        <f t="shared" si="1"/>
        <v>1.9121220000000001</v>
      </c>
      <c r="N13" s="6">
        <v>4.5049999999999999</v>
      </c>
      <c r="O13" s="6">
        <v>6.5949999999999998</v>
      </c>
      <c r="P13" s="6">
        <v>11.1</v>
      </c>
      <c r="Q13" s="6">
        <v>8.9</v>
      </c>
      <c r="R13" s="8">
        <v>4.5049999999999999</v>
      </c>
      <c r="S13" s="8">
        <v>3.94</v>
      </c>
      <c r="T13" s="8">
        <v>8.4450000000000003</v>
      </c>
      <c r="U13" s="8">
        <v>17.355</v>
      </c>
      <c r="V13" s="23">
        <v>0</v>
      </c>
      <c r="W13" s="9">
        <v>2.6549999999999998</v>
      </c>
      <c r="X13" s="9">
        <v>2.6549999999999998</v>
      </c>
      <c r="Y13" s="9">
        <v>-8.4550000000000001</v>
      </c>
      <c r="Z13" s="24">
        <v>0</v>
      </c>
      <c r="AA13" s="10">
        <v>67.400000000000006</v>
      </c>
      <c r="AB13" s="10">
        <v>31.4</v>
      </c>
      <c r="AC13" s="10">
        <v>-48.7</v>
      </c>
    </row>
    <row r="14" spans="1:36" ht="17" customHeight="1" x14ac:dyDescent="0.35">
      <c r="A14" s="5" t="s">
        <v>43</v>
      </c>
      <c r="B14" s="6">
        <v>76.31</v>
      </c>
      <c r="C14" s="6">
        <v>77.81</v>
      </c>
      <c r="D14" s="6">
        <v>79.5</v>
      </c>
      <c r="E14" s="6">
        <v>81.38</v>
      </c>
      <c r="F14" s="6">
        <v>83.45</v>
      </c>
      <c r="G14" s="6">
        <f>G5+G13</f>
        <v>85.530473000000001</v>
      </c>
      <c r="H14" s="104">
        <f>H5+H13</f>
        <v>87.716178999999997</v>
      </c>
      <c r="I14" s="104">
        <f t="shared" ref="I14:M14" si="2">I5+I13</f>
        <v>89.802405999999991</v>
      </c>
      <c r="J14" s="104">
        <f t="shared" si="2"/>
        <v>91.742547999999985</v>
      </c>
      <c r="K14" s="104">
        <f t="shared" si="2"/>
        <v>93.722906999999978</v>
      </c>
      <c r="L14" s="104">
        <f t="shared" si="2"/>
        <v>95.597818999999973</v>
      </c>
      <c r="M14" s="104">
        <f t="shared" si="2"/>
        <v>97.509940999999969</v>
      </c>
      <c r="N14" s="6">
        <v>79.5</v>
      </c>
      <c r="O14" s="6">
        <v>86.1</v>
      </c>
      <c r="P14" s="6">
        <v>86.1</v>
      </c>
      <c r="Q14" s="6">
        <v>95</v>
      </c>
      <c r="R14" s="8">
        <v>79.5</v>
      </c>
      <c r="S14" s="8">
        <v>83.44</v>
      </c>
      <c r="T14" s="8">
        <v>83.44</v>
      </c>
      <c r="U14" s="8">
        <v>92.36</v>
      </c>
      <c r="V14" s="23">
        <v>0</v>
      </c>
      <c r="W14" s="9">
        <v>2.66</v>
      </c>
      <c r="X14" s="9">
        <v>2.66</v>
      </c>
      <c r="Y14" s="23">
        <v>2.64</v>
      </c>
      <c r="Z14" s="24">
        <v>0</v>
      </c>
      <c r="AA14" s="10">
        <v>3.2</v>
      </c>
      <c r="AB14" s="10">
        <v>3.2</v>
      </c>
      <c r="AC14" s="24">
        <v>2.9</v>
      </c>
    </row>
    <row r="15" spans="1:36" ht="6" customHeight="1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36" ht="16" customHeight="1" x14ac:dyDescent="0.35">
      <c r="A16" s="99" t="s">
        <v>44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</row>
    <row r="17" spans="1:29" ht="17" customHeight="1" x14ac:dyDescent="0.35">
      <c r="A17" s="25" t="s">
        <v>45</v>
      </c>
      <c r="B17" s="103">
        <v>1.0006999999999999</v>
      </c>
      <c r="C17" s="103">
        <v>1.0012000000000001</v>
      </c>
      <c r="D17" s="103">
        <v>1.0015000000000001</v>
      </c>
      <c r="E17" s="103">
        <v>1.0019</v>
      </c>
      <c r="F17" s="103">
        <v>1.0022</v>
      </c>
      <c r="G17" s="103">
        <v>1.0077</v>
      </c>
      <c r="H17" s="105">
        <v>1.0061</v>
      </c>
      <c r="I17" s="105">
        <v>1.0054000000000001</v>
      </c>
      <c r="J17" s="105">
        <v>1.0058</v>
      </c>
      <c r="K17" s="105">
        <v>1.0051000000000001</v>
      </c>
      <c r="L17" s="105">
        <v>1.0062</v>
      </c>
      <c r="M17" s="105">
        <v>1.0058</v>
      </c>
      <c r="N17" s="77">
        <v>1.0011000000000001</v>
      </c>
      <c r="O17" s="77">
        <v>1.0039</v>
      </c>
      <c r="P17" s="77">
        <v>1.0024999999999999</v>
      </c>
      <c r="Q17" s="77">
        <v>0.99957499999999999</v>
      </c>
      <c r="R17" s="91">
        <v>1.0011000000000001</v>
      </c>
      <c r="S17" s="91">
        <v>1.0014000000000001</v>
      </c>
      <c r="T17" s="91">
        <v>1.0012000000000001</v>
      </c>
      <c r="U17" s="91">
        <v>1.0035000000000001</v>
      </c>
      <c r="V17" s="18">
        <v>4.3333333333350771E-4</v>
      </c>
      <c r="W17" s="18">
        <v>1.350000000000051E-3</v>
      </c>
      <c r="X17" s="18">
        <v>8.0000000000012505E-4</v>
      </c>
      <c r="Y17" s="19">
        <v>-1.1249999999999719E-3</v>
      </c>
      <c r="Z17" s="18">
        <v>4.3303021218497818E-4</v>
      </c>
      <c r="AA17" s="18">
        <v>1.349055661037325E-3</v>
      </c>
      <c r="AB17" s="18">
        <v>7.9944039172591701E-4</v>
      </c>
      <c r="AC17" s="19">
        <v>-1.124213050864367E-3</v>
      </c>
    </row>
    <row r="18" spans="1:29" ht="17" customHeight="1" x14ac:dyDescent="0.35">
      <c r="A18" s="25" t="s">
        <v>46</v>
      </c>
      <c r="B18" s="103">
        <v>0.99199999999999999</v>
      </c>
      <c r="C18" s="103">
        <v>0.99170000000000003</v>
      </c>
      <c r="D18" s="103">
        <v>0.99150000000000005</v>
      </c>
      <c r="E18" s="103">
        <v>0.99129999999999996</v>
      </c>
      <c r="F18" s="103">
        <v>0.99099999999999999</v>
      </c>
      <c r="G18" s="103">
        <v>0.99590000000000001</v>
      </c>
      <c r="H18" s="105">
        <v>0.97840000000000005</v>
      </c>
      <c r="I18" s="105">
        <v>0.9829</v>
      </c>
      <c r="J18" s="105">
        <v>0.97960000000000003</v>
      </c>
      <c r="K18" s="105">
        <v>0.9839</v>
      </c>
      <c r="L18" s="105">
        <v>0.98640000000000005</v>
      </c>
      <c r="M18" s="105">
        <v>0.98119999999999996</v>
      </c>
      <c r="N18" s="77">
        <v>0.99180000000000001</v>
      </c>
      <c r="O18" s="77">
        <v>0.99270000000000003</v>
      </c>
      <c r="P18" s="77">
        <v>0.99219999999999997</v>
      </c>
      <c r="Q18" s="77">
        <v>0.99120833333333336</v>
      </c>
      <c r="R18" s="91">
        <v>0.99170000000000003</v>
      </c>
      <c r="S18" s="91">
        <v>0.99409999999999998</v>
      </c>
      <c r="T18" s="91">
        <v>0.9929</v>
      </c>
      <c r="U18" s="91">
        <v>0.98750000000000004</v>
      </c>
      <c r="V18" s="19">
        <v>-2.6666666666670842E-4</v>
      </c>
      <c r="W18" s="19">
        <v>-8.5000000000007953E-4</v>
      </c>
      <c r="X18" s="19">
        <v>-4.999999999999716E-4</v>
      </c>
      <c r="Y18" s="19">
        <v>-7.9166666666665721E-4</v>
      </c>
      <c r="Z18" s="19">
        <v>-2.6881720430111728E-4</v>
      </c>
      <c r="AA18" s="19">
        <v>-8.5685483870975767E-4</v>
      </c>
      <c r="AB18" s="19">
        <v>-5.0403225806448749E-4</v>
      </c>
      <c r="AC18" s="19">
        <v>-7.9805107526880761E-4</v>
      </c>
    </row>
    <row r="20" spans="1:29" ht="24" customHeight="1" x14ac:dyDescent="0.35">
      <c r="A20" s="100" t="s">
        <v>47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</row>
  </sheetData>
  <mergeCells count="10">
    <mergeCell ref="A20:M20"/>
    <mergeCell ref="A16:AC16"/>
    <mergeCell ref="H2:M2"/>
    <mergeCell ref="A1:AJ1"/>
    <mergeCell ref="B2:G2"/>
    <mergeCell ref="R2:U2"/>
    <mergeCell ref="V2:AC2"/>
    <mergeCell ref="A12:AC12"/>
    <mergeCell ref="A4:AC4"/>
    <mergeCell ref="N2:Q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5"/>
  <sheetViews>
    <sheetView showGridLines="0" workbookViewId="0">
      <pane xSplit="1" ySplit="3" topLeftCell="D4" activePane="bottomRight" state="frozen"/>
      <selection pane="topRight"/>
      <selection pane="bottomLeft"/>
      <selection pane="bottomRight" activeCell="H3" sqref="H3"/>
    </sheetView>
  </sheetViews>
  <sheetFormatPr defaultRowHeight="14.5" x14ac:dyDescent="0.35"/>
  <cols>
    <col min="1" max="1" width="26" style="56" customWidth="1"/>
    <col min="2" max="6" width="10" style="56" customWidth="1"/>
    <col min="7" max="7" width="11" style="56" customWidth="1"/>
    <col min="8" max="13" width="10" style="56" customWidth="1"/>
    <col min="14" max="29" width="11" style="56" customWidth="1"/>
  </cols>
  <sheetData>
    <row r="1" spans="1:36" ht="36" customHeight="1" x14ac:dyDescent="0.35">
      <c r="A1" s="101" t="s">
        <v>106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</row>
    <row r="2" spans="1:36" ht="20" customHeight="1" x14ac:dyDescent="0.35">
      <c r="B2" s="95" t="s">
        <v>1</v>
      </c>
      <c r="C2" s="96"/>
      <c r="D2" s="96"/>
      <c r="E2" s="96"/>
      <c r="F2" s="96"/>
      <c r="G2" s="96"/>
      <c r="H2" s="102" t="s">
        <v>2</v>
      </c>
      <c r="I2" s="96"/>
      <c r="J2" s="96"/>
      <c r="K2" s="96"/>
      <c r="L2" s="96"/>
      <c r="M2" s="96"/>
      <c r="N2" s="95" t="s">
        <v>3</v>
      </c>
      <c r="O2" s="96"/>
      <c r="P2" s="96"/>
      <c r="Q2" s="96"/>
      <c r="R2" s="97" t="s">
        <v>4</v>
      </c>
      <c r="S2" s="96"/>
      <c r="T2" s="96"/>
      <c r="U2" s="96"/>
      <c r="V2" s="98" t="s">
        <v>5</v>
      </c>
      <c r="W2" s="96"/>
      <c r="X2" s="96"/>
      <c r="Y2" s="96"/>
      <c r="Z2" s="96"/>
      <c r="AA2" s="96"/>
      <c r="AB2" s="96"/>
      <c r="AC2" s="96"/>
    </row>
    <row r="3" spans="1:36" ht="32" customHeight="1" x14ac:dyDescent="0.35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</row>
    <row r="4" spans="1:36" ht="16" customHeight="1" x14ac:dyDescent="0.35">
      <c r="A4" s="99" t="s">
        <v>107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</row>
    <row r="5" spans="1:36" ht="17" customHeight="1" x14ac:dyDescent="0.35">
      <c r="A5" s="5" t="s">
        <v>60</v>
      </c>
      <c r="B5" s="6">
        <v>6.59</v>
      </c>
      <c r="C5" s="6">
        <v>6.71</v>
      </c>
      <c r="D5" s="6">
        <v>6.85</v>
      </c>
      <c r="E5" s="6">
        <v>7.01</v>
      </c>
      <c r="F5" s="6">
        <v>7.18</v>
      </c>
      <c r="G5" s="6">
        <v>7.4118000000000004</v>
      </c>
      <c r="H5" s="104">
        <v>7.36</v>
      </c>
      <c r="I5" s="104">
        <v>7.54</v>
      </c>
      <c r="J5" s="104">
        <v>7.73</v>
      </c>
      <c r="K5" s="104">
        <v>7.9</v>
      </c>
      <c r="L5" s="104">
        <v>8.08</v>
      </c>
      <c r="M5" s="104">
        <v>8.24</v>
      </c>
      <c r="N5" s="7">
        <v>20.149999999999999</v>
      </c>
      <c r="O5" s="7">
        <v>14.19</v>
      </c>
      <c r="P5" s="7">
        <v>34.340000000000003</v>
      </c>
      <c r="Q5" s="7">
        <v>89.6</v>
      </c>
      <c r="R5" s="8">
        <v>20.14</v>
      </c>
      <c r="S5" s="8">
        <v>21.52</v>
      </c>
      <c r="T5" s="8">
        <v>41.66</v>
      </c>
      <c r="U5" s="8">
        <v>89.53</v>
      </c>
      <c r="V5" s="23">
        <v>9.9999999999980105E-3</v>
      </c>
      <c r="W5" s="9">
        <v>-7.33</v>
      </c>
      <c r="X5" s="9">
        <v>-7.32</v>
      </c>
      <c r="Y5" s="23">
        <v>6.9999999999993179E-2</v>
      </c>
      <c r="Z5" s="24">
        <v>4.9652432969205613E-4</v>
      </c>
      <c r="AA5" s="10">
        <v>-0.34061338289962828</v>
      </c>
      <c r="AB5" s="10">
        <v>-0.17570811329812769</v>
      </c>
      <c r="AC5" s="24">
        <v>7.8186082877240227E-4</v>
      </c>
    </row>
    <row r="6" spans="1:36" ht="17" customHeight="1" x14ac:dyDescent="0.35">
      <c r="A6" s="11" t="s">
        <v>108</v>
      </c>
      <c r="B6" s="12">
        <v>6.29</v>
      </c>
      <c r="C6" s="12">
        <v>6.41</v>
      </c>
      <c r="D6" s="12">
        <v>6.54</v>
      </c>
      <c r="E6" s="12">
        <v>6.69</v>
      </c>
      <c r="F6" s="12">
        <v>6.85</v>
      </c>
      <c r="G6" s="12">
        <v>7.1694000000000004</v>
      </c>
      <c r="H6" s="13">
        <v>7.0288000000000004</v>
      </c>
      <c r="I6" s="13">
        <v>7.2006999999999994</v>
      </c>
      <c r="J6" s="13">
        <v>7.3821500000000002</v>
      </c>
      <c r="K6" s="13">
        <v>7.5445000000000002</v>
      </c>
      <c r="L6" s="13">
        <v>7.7164000000000001</v>
      </c>
      <c r="M6" s="13">
        <v>7.8692000000000002</v>
      </c>
      <c r="N6" s="14">
        <v>19.239999999999998</v>
      </c>
      <c r="O6" s="14">
        <v>13.54</v>
      </c>
      <c r="P6" s="14">
        <v>32.78</v>
      </c>
      <c r="Q6" s="14">
        <v>85.553300000000007</v>
      </c>
      <c r="R6" s="15">
        <v>19.233699999999999</v>
      </c>
      <c r="S6" s="15">
        <v>20.551600000000001</v>
      </c>
      <c r="T6" s="15">
        <v>39.785299999999999</v>
      </c>
      <c r="U6" s="15">
        <v>85.501149999999996</v>
      </c>
      <c r="V6" s="16">
        <v>6.3000000000030809E-3</v>
      </c>
      <c r="W6" s="17">
        <v>-7.0116000000000014</v>
      </c>
      <c r="X6" s="17">
        <v>-7.0052999999999983</v>
      </c>
      <c r="Y6" s="16">
        <v>5.2150000000011687E-2</v>
      </c>
      <c r="Z6" s="18">
        <v>3.2755008136775983E-4</v>
      </c>
      <c r="AA6" s="19">
        <v>-0.34117051713735191</v>
      </c>
      <c r="AB6" s="19">
        <v>-0.17607759649920951</v>
      </c>
      <c r="AC6" s="18">
        <v>6.0993331668652043E-4</v>
      </c>
    </row>
    <row r="7" spans="1:36" ht="17" customHeight="1" x14ac:dyDescent="0.35">
      <c r="A7" s="11" t="s">
        <v>109</v>
      </c>
      <c r="B7" s="12">
        <v>0.3</v>
      </c>
      <c r="C7" s="12">
        <v>0.3</v>
      </c>
      <c r="D7" s="12">
        <v>0.31</v>
      </c>
      <c r="E7" s="12">
        <v>0.32</v>
      </c>
      <c r="F7" s="12">
        <v>0.33</v>
      </c>
      <c r="G7" s="12">
        <v>0.2424</v>
      </c>
      <c r="H7" s="13">
        <v>0.33119999999999999</v>
      </c>
      <c r="I7" s="13">
        <v>0.33929999999999999</v>
      </c>
      <c r="J7" s="13">
        <v>0.34784999999999999</v>
      </c>
      <c r="K7" s="13">
        <v>0.35549999999999998</v>
      </c>
      <c r="L7" s="13">
        <v>0.36359999999999998</v>
      </c>
      <c r="M7" s="13">
        <v>0.37080000000000002</v>
      </c>
      <c r="N7" s="14">
        <v>0.90999999999999992</v>
      </c>
      <c r="O7" s="14">
        <v>0.65</v>
      </c>
      <c r="P7" s="14">
        <v>1.56</v>
      </c>
      <c r="Q7" s="14">
        <v>4.0467000000000004</v>
      </c>
      <c r="R7" s="15">
        <v>0.90629999999999988</v>
      </c>
      <c r="S7" s="15">
        <v>0.96839999999999993</v>
      </c>
      <c r="T7" s="15">
        <v>1.8747</v>
      </c>
      <c r="U7" s="15">
        <v>4.0288500000000003</v>
      </c>
      <c r="V7" s="16">
        <v>3.700000000000037E-3</v>
      </c>
      <c r="W7" s="17">
        <v>-0.31839999999999991</v>
      </c>
      <c r="X7" s="17">
        <v>-0.31469999999999981</v>
      </c>
      <c r="Y7" s="16">
        <v>1.7849999999999259E-2</v>
      </c>
      <c r="Z7" s="18">
        <v>4.0825333774688714E-3</v>
      </c>
      <c r="AA7" s="19">
        <v>-0.32878975629904988</v>
      </c>
      <c r="AB7" s="19">
        <v>-0.16786685869739151</v>
      </c>
      <c r="AC7" s="18">
        <v>4.4305446963771927E-3</v>
      </c>
    </row>
    <row r="8" spans="1:36" ht="6" customHeight="1" x14ac:dyDescent="0.3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36" ht="16" customHeight="1" x14ac:dyDescent="0.35">
      <c r="A9" s="99" t="s">
        <v>110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</row>
    <row r="10" spans="1:36" ht="17" customHeight="1" x14ac:dyDescent="0.35">
      <c r="A10" s="11" t="s">
        <v>111</v>
      </c>
      <c r="B10" s="12">
        <v>1.52</v>
      </c>
      <c r="C10" s="12">
        <v>1.54</v>
      </c>
      <c r="D10" s="12">
        <v>1.58</v>
      </c>
      <c r="E10" s="12">
        <v>1.61</v>
      </c>
      <c r="F10" s="12">
        <v>1.65</v>
      </c>
      <c r="G10" s="12">
        <v>1.5416000000000001</v>
      </c>
      <c r="H10" s="13">
        <v>1.69</v>
      </c>
      <c r="I10" s="13">
        <v>1.73</v>
      </c>
      <c r="J10" s="13">
        <v>1.78</v>
      </c>
      <c r="K10" s="13">
        <v>1.82</v>
      </c>
      <c r="L10" s="13">
        <v>1.86</v>
      </c>
      <c r="M10" s="13">
        <v>1.9</v>
      </c>
      <c r="N10" s="14">
        <v>4.6400000000000006</v>
      </c>
      <c r="O10" s="14">
        <v>3.26</v>
      </c>
      <c r="P10" s="14">
        <v>7.9</v>
      </c>
      <c r="Q10" s="14">
        <v>20.61</v>
      </c>
      <c r="R10" s="15">
        <v>4.63</v>
      </c>
      <c r="S10" s="15">
        <v>4.95</v>
      </c>
      <c r="T10" s="15">
        <v>9.58</v>
      </c>
      <c r="U10" s="15">
        <v>20.6</v>
      </c>
      <c r="V10" s="17">
        <v>1.000000000000068E-2</v>
      </c>
      <c r="W10" s="16">
        <v>-1.69</v>
      </c>
      <c r="X10" s="16">
        <v>-1.68</v>
      </c>
      <c r="Y10" s="17">
        <v>9.9999999999980105E-3</v>
      </c>
      <c r="Z10" s="19">
        <v>2.15982721382304E-3</v>
      </c>
      <c r="AA10" s="18">
        <v>-0.3414141414141415</v>
      </c>
      <c r="AB10" s="18">
        <v>-0.1753653444676409</v>
      </c>
      <c r="AC10" s="19">
        <v>4.8543689320378693E-4</v>
      </c>
    </row>
    <row r="11" spans="1:36" ht="17" customHeight="1" x14ac:dyDescent="0.35">
      <c r="A11" s="5" t="s">
        <v>63</v>
      </c>
      <c r="B11" s="6">
        <v>5.07</v>
      </c>
      <c r="C11" s="6">
        <v>5.17</v>
      </c>
      <c r="D11" s="6">
        <v>5.27</v>
      </c>
      <c r="E11" s="6">
        <v>5.39</v>
      </c>
      <c r="F11" s="6">
        <v>5.53</v>
      </c>
      <c r="G11" s="6">
        <v>5.8700999999999999</v>
      </c>
      <c r="H11" s="104">
        <v>5.67</v>
      </c>
      <c r="I11" s="104">
        <v>5.81</v>
      </c>
      <c r="J11" s="104">
        <v>5.95</v>
      </c>
      <c r="K11" s="104">
        <v>6.08</v>
      </c>
      <c r="L11" s="104">
        <v>6.22</v>
      </c>
      <c r="M11" s="104">
        <v>6.34</v>
      </c>
      <c r="N11" s="7">
        <v>15.51</v>
      </c>
      <c r="O11" s="7">
        <v>10.92</v>
      </c>
      <c r="P11" s="7">
        <v>26.43</v>
      </c>
      <c r="Q11" s="7">
        <v>68.98</v>
      </c>
      <c r="R11" s="8">
        <v>15.5</v>
      </c>
      <c r="S11" s="8">
        <v>16.57</v>
      </c>
      <c r="T11" s="8">
        <v>32.07</v>
      </c>
      <c r="U11" s="8">
        <v>68.92</v>
      </c>
      <c r="V11" s="23">
        <v>9.9999999999997868E-3</v>
      </c>
      <c r="W11" s="9">
        <v>-5.65</v>
      </c>
      <c r="X11" s="9">
        <v>-5.6400000000000006</v>
      </c>
      <c r="Y11" s="23">
        <v>6.0000000000002267E-2</v>
      </c>
      <c r="Z11" s="24">
        <v>6.4516129032256688E-4</v>
      </c>
      <c r="AA11" s="10">
        <v>-0.34097767048883532</v>
      </c>
      <c r="AB11" s="10">
        <v>-0.17586529466791401</v>
      </c>
      <c r="AC11" s="24">
        <v>8.7057457922231967E-4</v>
      </c>
    </row>
    <row r="12" spans="1:36" ht="17" customHeight="1" x14ac:dyDescent="0.35">
      <c r="A12" s="11" t="s">
        <v>112</v>
      </c>
      <c r="B12" s="26">
        <v>0.77</v>
      </c>
      <c r="C12" s="26">
        <v>0.77</v>
      </c>
      <c r="D12" s="26">
        <v>0.77</v>
      </c>
      <c r="E12" s="26">
        <v>0.77</v>
      </c>
      <c r="F12" s="26">
        <v>0.77</v>
      </c>
      <c r="G12" s="77">
        <v>0.79200000000000004</v>
      </c>
      <c r="H12" s="27">
        <v>0.77</v>
      </c>
      <c r="I12" s="27">
        <v>0.77</v>
      </c>
      <c r="J12" s="27">
        <v>0.77</v>
      </c>
      <c r="K12" s="27">
        <v>0.77</v>
      </c>
      <c r="L12" s="27">
        <v>0.77</v>
      </c>
      <c r="M12" s="27">
        <v>0.77</v>
      </c>
      <c r="N12" s="28">
        <v>0.77</v>
      </c>
      <c r="O12" s="28">
        <v>0.77</v>
      </c>
      <c r="P12" s="28">
        <v>0.77</v>
      </c>
      <c r="Q12" s="28">
        <v>0.77</v>
      </c>
      <c r="R12" s="29">
        <v>0.77</v>
      </c>
      <c r="S12" s="29">
        <v>0.77</v>
      </c>
      <c r="T12" s="29">
        <v>0.77</v>
      </c>
      <c r="U12" s="29">
        <v>0.77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</row>
    <row r="13" spans="1:36" ht="6" customHeight="1" x14ac:dyDescent="0.3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36" ht="16" customHeight="1" x14ac:dyDescent="0.35">
      <c r="A14" s="99" t="s">
        <v>113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</row>
    <row r="15" spans="1:36" ht="17" customHeight="1" x14ac:dyDescent="0.35">
      <c r="A15" s="11" t="s">
        <v>114</v>
      </c>
      <c r="B15" s="12">
        <v>3.43</v>
      </c>
      <c r="C15" s="12">
        <v>3.49</v>
      </c>
      <c r="D15" s="12">
        <v>3.56</v>
      </c>
      <c r="E15" s="12">
        <v>3.64</v>
      </c>
      <c r="F15" s="12">
        <v>3.73</v>
      </c>
      <c r="G15" s="12">
        <v>3.15</v>
      </c>
      <c r="H15" s="13">
        <v>3.83</v>
      </c>
      <c r="I15" s="13">
        <v>3.92</v>
      </c>
      <c r="J15" s="13">
        <v>4.0199999999999996</v>
      </c>
      <c r="K15" s="13">
        <v>4.1100000000000003</v>
      </c>
      <c r="L15" s="13">
        <v>4.2</v>
      </c>
      <c r="M15" s="13">
        <v>4.28</v>
      </c>
      <c r="N15" s="14">
        <v>10.48</v>
      </c>
      <c r="O15" s="14">
        <v>7.37</v>
      </c>
      <c r="P15" s="14">
        <v>17.850000000000001</v>
      </c>
      <c r="Q15" s="14">
        <v>46.58</v>
      </c>
      <c r="R15" s="15">
        <v>10.47</v>
      </c>
      <c r="S15" s="15">
        <v>11.19</v>
      </c>
      <c r="T15" s="15">
        <v>21.66</v>
      </c>
      <c r="U15" s="15">
        <v>46.56</v>
      </c>
      <c r="V15" s="17">
        <v>9.9999999999997868E-3</v>
      </c>
      <c r="W15" s="16">
        <v>-3.819999999999999</v>
      </c>
      <c r="X15" s="16">
        <v>-3.8099999999999992</v>
      </c>
      <c r="Y15" s="17">
        <v>1.9999999999996021E-2</v>
      </c>
      <c r="Z15" s="19">
        <v>9.5510983763130719E-4</v>
      </c>
      <c r="AA15" s="18">
        <v>-0.34137622877569263</v>
      </c>
      <c r="AB15" s="18">
        <v>-0.17590027700831021</v>
      </c>
      <c r="AC15" s="19">
        <v>4.295532646047255E-4</v>
      </c>
    </row>
    <row r="16" spans="1:36" ht="17" customHeight="1" x14ac:dyDescent="0.35">
      <c r="A16" s="11" t="s">
        <v>115</v>
      </c>
      <c r="B16" s="12">
        <v>1.1200000000000001</v>
      </c>
      <c r="C16" s="12">
        <v>1.1399999999999999</v>
      </c>
      <c r="D16" s="12">
        <v>1.1599999999999999</v>
      </c>
      <c r="E16" s="12">
        <v>1.19</v>
      </c>
      <c r="F16" s="12">
        <v>1.22</v>
      </c>
      <c r="G16" s="12">
        <v>2.7572000000000001</v>
      </c>
      <c r="H16" s="13">
        <v>1.25</v>
      </c>
      <c r="I16" s="13">
        <v>1.28</v>
      </c>
      <c r="J16" s="13">
        <v>1.32</v>
      </c>
      <c r="K16" s="13">
        <v>1.35</v>
      </c>
      <c r="L16" s="13">
        <v>1.38</v>
      </c>
      <c r="M16" s="13">
        <v>1.41</v>
      </c>
      <c r="N16" s="14">
        <v>3.42</v>
      </c>
      <c r="O16" s="14">
        <v>2.41</v>
      </c>
      <c r="P16" s="14">
        <v>5.83</v>
      </c>
      <c r="Q16" s="14">
        <v>15.26</v>
      </c>
      <c r="R16" s="15">
        <v>3.36</v>
      </c>
      <c r="S16" s="15">
        <v>3.59</v>
      </c>
      <c r="T16" s="15">
        <v>6.95</v>
      </c>
      <c r="U16" s="15">
        <v>14.96</v>
      </c>
      <c r="V16" s="17">
        <v>5.9999999999999609E-2</v>
      </c>
      <c r="W16" s="16">
        <v>-1.18</v>
      </c>
      <c r="X16" s="16">
        <v>-1.1200000000000001</v>
      </c>
      <c r="Y16" s="17">
        <v>0.29999999999999888</v>
      </c>
      <c r="Z16" s="19">
        <v>1.7857142857142742E-2</v>
      </c>
      <c r="AA16" s="18">
        <v>-0.32869080779944282</v>
      </c>
      <c r="AB16" s="18">
        <v>-0.16115107913669069</v>
      </c>
      <c r="AC16" s="19">
        <v>2.0053475935828801E-2</v>
      </c>
    </row>
    <row r="17" spans="1:29" ht="17" customHeight="1" x14ac:dyDescent="0.35">
      <c r="A17" s="11" t="s">
        <v>116</v>
      </c>
      <c r="B17" s="12">
        <v>0.72</v>
      </c>
      <c r="C17" s="12">
        <v>0.74</v>
      </c>
      <c r="D17" s="12">
        <v>0.75</v>
      </c>
      <c r="E17" s="12">
        <v>0.77</v>
      </c>
      <c r="F17" s="12">
        <v>0.79</v>
      </c>
      <c r="G17" s="12">
        <v>1.26</v>
      </c>
      <c r="H17" s="13">
        <v>0.81</v>
      </c>
      <c r="I17" s="13">
        <v>0.83</v>
      </c>
      <c r="J17" s="13">
        <v>0.85</v>
      </c>
      <c r="K17" s="13">
        <v>0.87</v>
      </c>
      <c r="L17" s="13">
        <v>0.89</v>
      </c>
      <c r="M17" s="13">
        <v>0.91</v>
      </c>
      <c r="N17" s="14">
        <v>2.21</v>
      </c>
      <c r="O17" s="14">
        <v>1.56</v>
      </c>
      <c r="P17" s="14">
        <v>3.77</v>
      </c>
      <c r="Q17" s="14">
        <v>9.86</v>
      </c>
      <c r="R17" s="15">
        <v>2.15</v>
      </c>
      <c r="S17" s="15">
        <v>2.31</v>
      </c>
      <c r="T17" s="15">
        <v>4.46</v>
      </c>
      <c r="U17" s="15">
        <v>9.6199999999999992</v>
      </c>
      <c r="V17" s="17">
        <v>6.0000000000000053E-2</v>
      </c>
      <c r="W17" s="16">
        <v>-0.75</v>
      </c>
      <c r="X17" s="16">
        <v>-0.69</v>
      </c>
      <c r="Y17" s="17">
        <v>0.24000000000000021</v>
      </c>
      <c r="Z17" s="19">
        <v>2.790697674418607E-2</v>
      </c>
      <c r="AA17" s="18">
        <v>-0.32467532467532467</v>
      </c>
      <c r="AB17" s="18">
        <v>-0.1547085201793722</v>
      </c>
      <c r="AC17" s="19">
        <v>2.494802494802497E-2</v>
      </c>
    </row>
    <row r="18" spans="1:29" ht="17" customHeight="1" x14ac:dyDescent="0.35">
      <c r="A18" s="5" t="s">
        <v>117</v>
      </c>
      <c r="B18" s="6">
        <v>5.27</v>
      </c>
      <c r="C18" s="6">
        <v>5.37</v>
      </c>
      <c r="D18" s="6">
        <v>5.47</v>
      </c>
      <c r="E18" s="6">
        <v>5.6</v>
      </c>
      <c r="F18" s="6">
        <v>5.74</v>
      </c>
      <c r="G18" s="6">
        <v>7.1672000000000002</v>
      </c>
      <c r="H18" s="104">
        <v>5.8900000000000006</v>
      </c>
      <c r="I18" s="104">
        <v>6.03</v>
      </c>
      <c r="J18" s="104">
        <v>6.19</v>
      </c>
      <c r="K18" s="104">
        <v>6.330000000000001</v>
      </c>
      <c r="L18" s="104">
        <v>6.47</v>
      </c>
      <c r="M18" s="104">
        <v>6.6000000000000014</v>
      </c>
      <c r="N18" s="7">
        <v>16.11</v>
      </c>
      <c r="O18" s="7">
        <v>11.34</v>
      </c>
      <c r="P18" s="7">
        <v>27.45</v>
      </c>
      <c r="Q18" s="7">
        <v>71.7</v>
      </c>
      <c r="R18" s="8">
        <v>15.98</v>
      </c>
      <c r="S18" s="8">
        <v>17.09</v>
      </c>
      <c r="T18" s="8">
        <v>33.07</v>
      </c>
      <c r="U18" s="8">
        <v>71.14</v>
      </c>
      <c r="V18" s="9">
        <v>0.12999999999999901</v>
      </c>
      <c r="W18" s="23">
        <v>-5.75</v>
      </c>
      <c r="X18" s="23">
        <v>-5.620000000000001</v>
      </c>
      <c r="Y18" s="9">
        <v>0.56000000000000227</v>
      </c>
      <c r="Z18" s="10">
        <v>8.1351689612014395E-3</v>
      </c>
      <c r="AA18" s="24">
        <v>-0.33645406670567579</v>
      </c>
      <c r="AB18" s="24">
        <v>-0.16994254611430301</v>
      </c>
      <c r="AC18" s="10">
        <v>7.8718020804048675E-3</v>
      </c>
    </row>
    <row r="19" spans="1:29" ht="6" customHeight="1" x14ac:dyDescent="0.3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16" customHeight="1" x14ac:dyDescent="0.35">
      <c r="A20" s="99" t="s">
        <v>118</v>
      </c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</row>
    <row r="21" spans="1:29" ht="17" customHeight="1" x14ac:dyDescent="0.35">
      <c r="A21" s="5" t="s">
        <v>77</v>
      </c>
      <c r="B21" s="6">
        <v>-0.2</v>
      </c>
      <c r="C21" s="6">
        <v>-0.2</v>
      </c>
      <c r="D21" s="6">
        <v>-0.21</v>
      </c>
      <c r="E21" s="6">
        <v>-0.21</v>
      </c>
      <c r="F21" s="6">
        <v>-0.22</v>
      </c>
      <c r="G21" s="6">
        <v>-1.2970999999999999</v>
      </c>
      <c r="H21" s="104">
        <v>-0.22</v>
      </c>
      <c r="I21" s="104">
        <v>-0.23</v>
      </c>
      <c r="J21" s="104">
        <v>-0.23</v>
      </c>
      <c r="K21" s="104">
        <v>-0.24</v>
      </c>
      <c r="L21" s="104">
        <v>-0.24</v>
      </c>
      <c r="M21" s="104">
        <v>-0.25</v>
      </c>
      <c r="N21" s="7">
        <v>-0.61</v>
      </c>
      <c r="O21" s="7">
        <v>-0.43</v>
      </c>
      <c r="P21" s="7">
        <v>-1.04</v>
      </c>
      <c r="Q21" s="7">
        <v>-2.7</v>
      </c>
      <c r="R21" s="8">
        <v>-0.61</v>
      </c>
      <c r="S21" s="8">
        <v>-0.65</v>
      </c>
      <c r="T21" s="8">
        <v>-1.26</v>
      </c>
      <c r="U21" s="8">
        <v>-2.7</v>
      </c>
      <c r="V21" s="30">
        <v>0</v>
      </c>
      <c r="W21" s="23">
        <v>0.22</v>
      </c>
      <c r="X21" s="23">
        <v>0.22</v>
      </c>
      <c r="Y21" s="30">
        <v>0</v>
      </c>
      <c r="Z21" s="31">
        <v>0</v>
      </c>
      <c r="AA21" s="24">
        <v>0.33846153846153848</v>
      </c>
      <c r="AB21" s="24">
        <v>0.17460317460317459</v>
      </c>
      <c r="AC21" s="31">
        <v>0</v>
      </c>
    </row>
    <row r="22" spans="1:29" ht="17" customHeight="1" x14ac:dyDescent="0.35">
      <c r="A22" s="11" t="s">
        <v>119</v>
      </c>
      <c r="B22" s="12">
        <v>0.16500000000000001</v>
      </c>
      <c r="C22" s="12">
        <v>0.16800000000000001</v>
      </c>
      <c r="D22" s="12">
        <v>0.17100000000000001</v>
      </c>
      <c r="E22" s="12">
        <v>0.17499999999999999</v>
      </c>
      <c r="F22" s="12">
        <v>0.17899999999999999</v>
      </c>
      <c r="G22" s="12">
        <v>9.1999999999999998E-2</v>
      </c>
      <c r="H22" s="13">
        <v>0.184</v>
      </c>
      <c r="I22" s="13">
        <v>0.189</v>
      </c>
      <c r="J22" s="13">
        <v>0.193</v>
      </c>
      <c r="K22" s="13">
        <v>0.19700000000000001</v>
      </c>
      <c r="L22" s="13">
        <v>0.20200000000000001</v>
      </c>
      <c r="M22" s="13">
        <v>0.20599999999999999</v>
      </c>
      <c r="N22" s="14">
        <v>0.504</v>
      </c>
      <c r="O22" s="14">
        <v>0.35399999999999998</v>
      </c>
      <c r="P22" s="14">
        <v>0.85799999999999998</v>
      </c>
      <c r="Q22" s="14">
        <v>2.2400000000000002</v>
      </c>
      <c r="R22" s="15">
        <v>0.495</v>
      </c>
      <c r="S22" s="15">
        <v>0.52800000000000002</v>
      </c>
      <c r="T22" s="15">
        <v>1.0229999999999999</v>
      </c>
      <c r="U22" s="15">
        <v>2.1869999999999998</v>
      </c>
      <c r="V22" s="17">
        <v>9.000000000000008E-3</v>
      </c>
      <c r="W22" s="16">
        <v>-0.17399999999999999</v>
      </c>
      <c r="X22" s="16">
        <v>-0.1649999999999999</v>
      </c>
      <c r="Y22" s="17">
        <v>5.300000000000038E-2</v>
      </c>
      <c r="Z22" s="19">
        <v>1.8181818181818198E-2</v>
      </c>
      <c r="AA22" s="18">
        <v>-0.32954545454545459</v>
      </c>
      <c r="AB22" s="18">
        <v>-0.1612903225806451</v>
      </c>
      <c r="AC22" s="19">
        <v>2.4234110653863921E-2</v>
      </c>
    </row>
    <row r="23" spans="1:29" ht="17" customHeight="1" x14ac:dyDescent="0.35">
      <c r="A23" s="5" t="s">
        <v>120</v>
      </c>
      <c r="B23" s="6">
        <v>-0.36499999999999999</v>
      </c>
      <c r="C23" s="6">
        <v>-0.36799999999999999</v>
      </c>
      <c r="D23" s="6">
        <v>-0.38100000000000001</v>
      </c>
      <c r="E23" s="6">
        <v>-0.38500000000000001</v>
      </c>
      <c r="F23" s="6">
        <v>-0.39900000000000002</v>
      </c>
      <c r="G23" s="6">
        <v>-1.4240999999999999</v>
      </c>
      <c r="H23" s="104">
        <v>-0.40400000000000003</v>
      </c>
      <c r="I23" s="104">
        <v>-0.41899999999999998</v>
      </c>
      <c r="J23" s="104">
        <v>-0.42299999999999999</v>
      </c>
      <c r="K23" s="104">
        <v>-0.437</v>
      </c>
      <c r="L23" s="104">
        <v>-0.442</v>
      </c>
      <c r="M23" s="104">
        <v>-0.45600000000000002</v>
      </c>
      <c r="N23" s="7">
        <v>-1.1140000000000001</v>
      </c>
      <c r="O23" s="7">
        <v>-0.78400000000000003</v>
      </c>
      <c r="P23" s="7">
        <v>-1.8979999999999999</v>
      </c>
      <c r="Q23" s="7">
        <v>-4.9400000000000004</v>
      </c>
      <c r="R23" s="8">
        <v>-1.105</v>
      </c>
      <c r="S23" s="8">
        <v>-1.1779999999999999</v>
      </c>
      <c r="T23" s="8">
        <v>-2.2829999999999999</v>
      </c>
      <c r="U23" s="8">
        <v>-4.8869999999999996</v>
      </c>
      <c r="V23" s="9">
        <v>-8.999999999999897E-3</v>
      </c>
      <c r="W23" s="23">
        <v>0.39399999999999991</v>
      </c>
      <c r="X23" s="23">
        <v>0.38499999999999979</v>
      </c>
      <c r="Y23" s="9">
        <v>-5.2999999999999943E-2</v>
      </c>
      <c r="Z23" s="10">
        <v>-8.1447963800904046E-3</v>
      </c>
      <c r="AA23" s="24">
        <v>0.3344651952461799</v>
      </c>
      <c r="AB23" s="24">
        <v>0.16863775733683739</v>
      </c>
      <c r="AC23" s="10">
        <v>-1.084509924288928E-2</v>
      </c>
    </row>
    <row r="24" spans="1:29" x14ac:dyDescent="0.35">
      <c r="G24" s="78"/>
    </row>
    <row r="25" spans="1:29" ht="24" customHeight="1" x14ac:dyDescent="0.35">
      <c r="A25" s="100" t="s">
        <v>121</v>
      </c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</row>
  </sheetData>
  <mergeCells count="11">
    <mergeCell ref="A25:M25"/>
    <mergeCell ref="A20:AC20"/>
    <mergeCell ref="R2:U2"/>
    <mergeCell ref="H2:M2"/>
    <mergeCell ref="A1:AJ1"/>
    <mergeCell ref="B2:G2"/>
    <mergeCell ref="A14:AC14"/>
    <mergeCell ref="V2:AC2"/>
    <mergeCell ref="A9:AC9"/>
    <mergeCell ref="N2:Q2"/>
    <mergeCell ref="A4:AC4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7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AJ1"/>
    </sheetView>
  </sheetViews>
  <sheetFormatPr defaultRowHeight="14.5" x14ac:dyDescent="0.35"/>
  <cols>
    <col min="1" max="1" width="26" style="56" customWidth="1"/>
    <col min="2" max="6" width="10" style="56" customWidth="1"/>
    <col min="7" max="7" width="11" style="56" customWidth="1"/>
    <col min="8" max="13" width="10" style="56" customWidth="1"/>
    <col min="14" max="29" width="11" style="56" customWidth="1"/>
  </cols>
  <sheetData>
    <row r="1" spans="1:36" ht="36" customHeight="1" x14ac:dyDescent="0.35">
      <c r="A1" s="101" t="s">
        <v>122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</row>
    <row r="2" spans="1:36" ht="20" customHeight="1" x14ac:dyDescent="0.35">
      <c r="B2" s="95" t="s">
        <v>1</v>
      </c>
      <c r="C2" s="96"/>
      <c r="D2" s="96"/>
      <c r="E2" s="96"/>
      <c r="F2" s="96"/>
      <c r="G2" s="96"/>
      <c r="H2" s="102" t="s">
        <v>2</v>
      </c>
      <c r="I2" s="96"/>
      <c r="J2" s="96"/>
      <c r="K2" s="96"/>
      <c r="L2" s="96"/>
      <c r="M2" s="96"/>
      <c r="N2" s="95" t="s">
        <v>3</v>
      </c>
      <c r="O2" s="96"/>
      <c r="P2" s="96"/>
      <c r="Q2" s="96"/>
      <c r="R2" s="97" t="s">
        <v>4</v>
      </c>
      <c r="S2" s="96"/>
      <c r="T2" s="96"/>
      <c r="U2" s="96"/>
      <c r="V2" s="98" t="s">
        <v>5</v>
      </c>
      <c r="W2" s="96"/>
      <c r="X2" s="96"/>
      <c r="Y2" s="96"/>
      <c r="Z2" s="96"/>
      <c r="AA2" s="96"/>
      <c r="AB2" s="96"/>
      <c r="AC2" s="96"/>
    </row>
    <row r="3" spans="1:36" ht="32" customHeight="1" x14ac:dyDescent="0.35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</row>
    <row r="4" spans="1:36" ht="16" customHeight="1" x14ac:dyDescent="0.35">
      <c r="A4" s="99" t="s">
        <v>123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</row>
    <row r="5" spans="1:36" ht="17" customHeight="1" x14ac:dyDescent="0.35">
      <c r="A5" s="5" t="s">
        <v>124</v>
      </c>
      <c r="B5" s="6">
        <v>46.1</v>
      </c>
      <c r="C5" s="6">
        <v>48.71</v>
      </c>
      <c r="D5" s="6">
        <v>51.01</v>
      </c>
      <c r="E5" s="6">
        <v>58.09</v>
      </c>
      <c r="F5" s="6">
        <v>62.57</v>
      </c>
      <c r="G5" s="6">
        <v>66.037000000000006</v>
      </c>
      <c r="H5" s="104">
        <v>70.61</v>
      </c>
      <c r="I5" s="104">
        <v>69.760000000000005</v>
      </c>
      <c r="J5" s="104">
        <v>69.099999999999994</v>
      </c>
      <c r="K5" s="104">
        <v>68.599999999999994</v>
      </c>
      <c r="L5" s="104">
        <v>68.28</v>
      </c>
      <c r="M5" s="104">
        <v>68.14</v>
      </c>
      <c r="N5" s="114">
        <v>46.1</v>
      </c>
      <c r="O5" s="114">
        <v>58.09</v>
      </c>
      <c r="P5" s="114">
        <v>46.1</v>
      </c>
      <c r="Q5" s="114">
        <v>46.1</v>
      </c>
      <c r="R5" s="113">
        <v>37.950000000000003</v>
      </c>
      <c r="S5" s="113">
        <f>R23</f>
        <v>49.62</v>
      </c>
      <c r="T5" s="113">
        <f>R5</f>
        <v>37.950000000000003</v>
      </c>
      <c r="U5" s="113">
        <f>R5</f>
        <v>37.950000000000003</v>
      </c>
      <c r="V5" s="23">
        <f>N5-R5</f>
        <v>8.1499999999999986</v>
      </c>
      <c r="W5" s="23">
        <f>O5-S5</f>
        <v>8.470000000000006</v>
      </c>
      <c r="X5" s="23">
        <f>P5-T5</f>
        <v>8.1499999999999986</v>
      </c>
      <c r="Y5" s="23">
        <f>Q5-U5</f>
        <v>8.1499999999999986</v>
      </c>
      <c r="Z5" s="24">
        <f>N5/R5</f>
        <v>1.214756258234519</v>
      </c>
      <c r="AA5" s="24">
        <f>O5/S5</f>
        <v>1.1706972994760179</v>
      </c>
      <c r="AB5" s="24">
        <f>P5/T5</f>
        <v>1.214756258234519</v>
      </c>
      <c r="AC5" s="24">
        <f>Q5/U5</f>
        <v>1.214756258234519</v>
      </c>
    </row>
    <row r="6" spans="1:36" ht="6" customHeight="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36" ht="16" customHeight="1" x14ac:dyDescent="0.35">
      <c r="A7" s="99" t="s">
        <v>125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</row>
    <row r="8" spans="1:36" ht="17" customHeight="1" x14ac:dyDescent="0.35">
      <c r="A8" s="11" t="s">
        <v>126</v>
      </c>
      <c r="B8" s="12">
        <v>9.27</v>
      </c>
      <c r="C8" s="12">
        <v>8.67</v>
      </c>
      <c r="D8" s="12">
        <v>13.59</v>
      </c>
      <c r="E8" s="12">
        <v>10.82</v>
      </c>
      <c r="F8" s="12">
        <v>9.65</v>
      </c>
      <c r="G8" s="12">
        <v>11.18</v>
      </c>
      <c r="H8" s="13">
        <v>6.21</v>
      </c>
      <c r="I8" s="13">
        <v>6.48</v>
      </c>
      <c r="J8" s="13">
        <v>6.84</v>
      </c>
      <c r="K8" s="13">
        <v>7.21</v>
      </c>
      <c r="L8" s="13">
        <v>7.59</v>
      </c>
      <c r="M8" s="13">
        <v>7.97</v>
      </c>
      <c r="N8" s="14">
        <v>31.53</v>
      </c>
      <c r="O8" s="14">
        <v>20.47</v>
      </c>
      <c r="P8" s="14">
        <v>52</v>
      </c>
      <c r="Q8" s="14">
        <v>102.66</v>
      </c>
      <c r="R8" s="15">
        <v>31.53</v>
      </c>
      <c r="S8" s="15">
        <v>29.38</v>
      </c>
      <c r="T8" s="15">
        <v>60.91</v>
      </c>
      <c r="U8" s="15">
        <v>99.7</v>
      </c>
      <c r="V8" s="20">
        <v>0</v>
      </c>
      <c r="W8" s="17">
        <v>-8.9100000000000037</v>
      </c>
      <c r="X8" s="17">
        <v>-8.9099999999999966</v>
      </c>
      <c r="Y8" s="16">
        <v>2.9599999999999942</v>
      </c>
      <c r="Z8" s="21">
        <v>0</v>
      </c>
      <c r="AA8" s="19">
        <v>-0.30326752893124592</v>
      </c>
      <c r="AB8" s="19">
        <v>-0.14628139878509269</v>
      </c>
      <c r="AC8" s="18">
        <v>2.968906720160475E-2</v>
      </c>
    </row>
    <row r="9" spans="1:36" ht="6" customHeight="1" x14ac:dyDescent="0.3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36" ht="16" customHeight="1" x14ac:dyDescent="0.35">
      <c r="A10" s="99" t="s">
        <v>127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</row>
    <row r="11" spans="1:36" ht="17" customHeight="1" x14ac:dyDescent="0.35">
      <c r="A11" s="11" t="s">
        <v>128</v>
      </c>
      <c r="B11" s="12">
        <v>3.82</v>
      </c>
      <c r="C11" s="12">
        <v>3.65</v>
      </c>
      <c r="D11" s="12">
        <v>3.74</v>
      </c>
      <c r="E11" s="12">
        <v>3.57</v>
      </c>
      <c r="F11" s="12">
        <v>3.61</v>
      </c>
      <c r="G11" s="12">
        <v>3.8149999999999999</v>
      </c>
      <c r="H11" s="13">
        <v>3.93</v>
      </c>
      <c r="I11" s="13">
        <v>4.03</v>
      </c>
      <c r="J11" s="13">
        <v>4.1399999999999997</v>
      </c>
      <c r="K11" s="13">
        <v>4.26</v>
      </c>
      <c r="L11" s="13">
        <v>4.38</v>
      </c>
      <c r="M11" s="13">
        <v>4.51</v>
      </c>
      <c r="N11" s="14">
        <v>11.21</v>
      </c>
      <c r="O11" s="14">
        <v>7.18</v>
      </c>
      <c r="P11" s="14">
        <v>18.39</v>
      </c>
      <c r="Q11" s="14">
        <v>48.29</v>
      </c>
      <c r="R11" s="111">
        <v>11.42</v>
      </c>
      <c r="S11" s="111">
        <v>11.32</v>
      </c>
      <c r="T11" s="111">
        <v>22.74</v>
      </c>
      <c r="U11" s="111">
        <v>49.24</v>
      </c>
      <c r="V11" s="16">
        <v>-0.2099999999999991</v>
      </c>
      <c r="W11" s="16">
        <v>-4.1400000000000006</v>
      </c>
      <c r="X11" s="16">
        <v>-4.3500000000000014</v>
      </c>
      <c r="Y11" s="16">
        <v>-0.95000000000000284</v>
      </c>
      <c r="Z11" s="18">
        <v>-1.8388791593695188E-2</v>
      </c>
      <c r="AA11" s="18">
        <v>-0.36572438162544169</v>
      </c>
      <c r="AB11" s="18">
        <v>-0.19129287598944589</v>
      </c>
      <c r="AC11" s="18">
        <v>-1.929325751421614E-2</v>
      </c>
    </row>
    <row r="12" spans="1:36" ht="17" customHeight="1" x14ac:dyDescent="0.35">
      <c r="A12" s="11" t="s">
        <v>129</v>
      </c>
      <c r="B12" s="12">
        <v>0.27</v>
      </c>
      <c r="C12" s="12">
        <v>0.3</v>
      </c>
      <c r="D12" s="12">
        <v>0.31</v>
      </c>
      <c r="E12" s="12">
        <v>0.28000000000000003</v>
      </c>
      <c r="F12" s="12">
        <v>0.28999999999999998</v>
      </c>
      <c r="G12" s="12">
        <v>0.33500000000000002</v>
      </c>
      <c r="H12" s="13">
        <v>0.36</v>
      </c>
      <c r="I12" s="13">
        <v>0.39</v>
      </c>
      <c r="J12" s="13">
        <v>0.4</v>
      </c>
      <c r="K12" s="13">
        <v>0.41</v>
      </c>
      <c r="L12" s="13">
        <v>0.42</v>
      </c>
      <c r="M12" s="13">
        <v>0.44</v>
      </c>
      <c r="N12" s="14">
        <v>0.88</v>
      </c>
      <c r="O12" s="14">
        <v>0.57000000000000006</v>
      </c>
      <c r="P12" s="14">
        <v>1.45</v>
      </c>
      <c r="Q12" s="14">
        <v>4.32</v>
      </c>
      <c r="R12" s="111">
        <v>0.91</v>
      </c>
      <c r="S12" s="111">
        <v>0.96</v>
      </c>
      <c r="T12" s="111">
        <v>1.87</v>
      </c>
      <c r="U12" s="111">
        <v>4.38</v>
      </c>
      <c r="V12" s="16">
        <v>-3.000000000000003E-2</v>
      </c>
      <c r="W12" s="16">
        <v>-0.3899999999999999</v>
      </c>
      <c r="X12" s="16">
        <v>-0.42000000000000021</v>
      </c>
      <c r="Y12" s="16">
        <v>-5.9999999999999609E-2</v>
      </c>
      <c r="Z12" s="18">
        <v>-3.2967032967033003E-2</v>
      </c>
      <c r="AA12" s="18">
        <v>-0.40624999999999989</v>
      </c>
      <c r="AB12" s="18">
        <v>-0.22459893048128349</v>
      </c>
      <c r="AC12" s="18">
        <v>-1.369863013698621E-2</v>
      </c>
    </row>
    <row r="13" spans="1:36" ht="17" customHeight="1" x14ac:dyDescent="0.35">
      <c r="A13" s="11" t="s">
        <v>130</v>
      </c>
      <c r="B13" s="12">
        <v>1.38</v>
      </c>
      <c r="C13" s="12">
        <v>1.38</v>
      </c>
      <c r="D13" s="12">
        <v>1.37</v>
      </c>
      <c r="E13" s="12">
        <v>1.36</v>
      </c>
      <c r="F13" s="12">
        <v>1.38</v>
      </c>
      <c r="G13" s="12">
        <v>1.4650000000000001</v>
      </c>
      <c r="H13" s="13">
        <v>1.5</v>
      </c>
      <c r="I13" s="13">
        <v>1.42</v>
      </c>
      <c r="J13" s="13">
        <v>1.46</v>
      </c>
      <c r="K13" s="13">
        <v>1.49</v>
      </c>
      <c r="L13" s="13">
        <v>1.52</v>
      </c>
      <c r="M13" s="13">
        <v>1.55</v>
      </c>
      <c r="N13" s="14">
        <v>4.13</v>
      </c>
      <c r="O13" s="14">
        <v>2.74</v>
      </c>
      <c r="P13" s="14">
        <v>6.87</v>
      </c>
      <c r="Q13" s="14">
        <v>17.39</v>
      </c>
      <c r="R13" s="111">
        <v>4.13</v>
      </c>
      <c r="S13" s="111">
        <v>4.17</v>
      </c>
      <c r="T13" s="111">
        <v>8.3000000000000007</v>
      </c>
      <c r="U13" s="111">
        <v>17.62</v>
      </c>
      <c r="V13" s="20">
        <v>0</v>
      </c>
      <c r="W13" s="16">
        <v>-1.43</v>
      </c>
      <c r="X13" s="16">
        <v>-1.430000000000001</v>
      </c>
      <c r="Y13" s="16">
        <v>-0.2300000000000004</v>
      </c>
      <c r="Z13" s="21">
        <v>0</v>
      </c>
      <c r="AA13" s="18">
        <v>-0.34292565947242198</v>
      </c>
      <c r="AB13" s="18">
        <v>-0.1722891566265061</v>
      </c>
      <c r="AC13" s="18">
        <v>-1.3053348467650419E-2</v>
      </c>
    </row>
    <row r="14" spans="1:36" ht="17" customHeight="1" x14ac:dyDescent="0.35">
      <c r="A14" s="11" t="s">
        <v>131</v>
      </c>
      <c r="B14" s="12">
        <v>9.6000000000000002E-2</v>
      </c>
      <c r="C14" s="12">
        <v>9.6000000000000002E-2</v>
      </c>
      <c r="D14" s="12">
        <v>9.5000000000000001E-2</v>
      </c>
      <c r="E14" s="12">
        <v>9.5000000000000001E-2</v>
      </c>
      <c r="F14" s="12">
        <v>9.6000000000000002E-2</v>
      </c>
      <c r="G14" s="12">
        <v>9.6000000000000002E-2</v>
      </c>
      <c r="H14" s="13">
        <v>0.105</v>
      </c>
      <c r="I14" s="13">
        <v>0.11</v>
      </c>
      <c r="J14" s="13">
        <v>0.115</v>
      </c>
      <c r="K14" s="13">
        <v>0.12</v>
      </c>
      <c r="L14" s="13">
        <v>0.125</v>
      </c>
      <c r="M14" s="13">
        <v>0.13</v>
      </c>
      <c r="N14" s="14">
        <v>0.28699999999999998</v>
      </c>
      <c r="O14" s="14">
        <v>0.191</v>
      </c>
      <c r="P14" s="14">
        <v>0.47799999999999998</v>
      </c>
      <c r="Q14" s="14">
        <v>1.3180000000000001</v>
      </c>
      <c r="R14" s="111">
        <v>0.28699999999999998</v>
      </c>
      <c r="S14" s="111">
        <v>0.29599999999999999</v>
      </c>
      <c r="T14" s="111">
        <v>0.58299999999999996</v>
      </c>
      <c r="U14" s="111">
        <v>1.3180000000000001</v>
      </c>
      <c r="V14" s="20">
        <v>0</v>
      </c>
      <c r="W14" s="16">
        <v>-0.105</v>
      </c>
      <c r="X14" s="16">
        <v>-0.105</v>
      </c>
      <c r="Y14" s="20">
        <v>0</v>
      </c>
      <c r="Z14" s="21">
        <v>0</v>
      </c>
      <c r="AA14" s="18">
        <v>-0.35472972972972971</v>
      </c>
      <c r="AB14" s="18">
        <v>-0.1801029159519725</v>
      </c>
      <c r="AC14" s="21">
        <v>0</v>
      </c>
    </row>
    <row r="15" spans="1:36" ht="17" customHeight="1" x14ac:dyDescent="0.35">
      <c r="A15" s="11" t="s">
        <v>132</v>
      </c>
      <c r="B15" s="12">
        <v>3.5000000000000003E-2</v>
      </c>
      <c r="C15" s="12">
        <v>3.5000000000000003E-2</v>
      </c>
      <c r="D15" s="12">
        <v>3.5000000000000003E-2</v>
      </c>
      <c r="E15" s="12">
        <v>3.5000000000000003E-2</v>
      </c>
      <c r="F15" s="12">
        <v>3.5000000000000003E-2</v>
      </c>
      <c r="G15" s="12">
        <v>3.5000000000000003E-2</v>
      </c>
      <c r="H15" s="13">
        <v>5.5E-2</v>
      </c>
      <c r="I15" s="13">
        <v>5.8000000000000003E-2</v>
      </c>
      <c r="J15" s="13">
        <v>0.06</v>
      </c>
      <c r="K15" s="13">
        <v>6.2E-2</v>
      </c>
      <c r="L15" s="13">
        <v>6.4000000000000001E-2</v>
      </c>
      <c r="M15" s="13">
        <v>6.6000000000000003E-2</v>
      </c>
      <c r="N15" s="14">
        <v>0.105</v>
      </c>
      <c r="O15" s="14">
        <v>7.0000000000000007E-2</v>
      </c>
      <c r="P15" s="14">
        <v>0.17499999999999999</v>
      </c>
      <c r="Q15" s="14">
        <v>0.60799999999999998</v>
      </c>
      <c r="R15" s="111">
        <v>0.105</v>
      </c>
      <c r="S15" s="111">
        <v>0.125</v>
      </c>
      <c r="T15" s="111">
        <v>0.23</v>
      </c>
      <c r="U15" s="111">
        <v>0.60799999999999998</v>
      </c>
      <c r="V15" s="20">
        <v>0</v>
      </c>
      <c r="W15" s="16">
        <v>-5.4999999999999993E-2</v>
      </c>
      <c r="X15" s="16">
        <v>-5.4999999999999993E-2</v>
      </c>
      <c r="Y15" s="20">
        <v>0</v>
      </c>
      <c r="Z15" s="21">
        <v>0</v>
      </c>
      <c r="AA15" s="18">
        <v>-0.43999999999999989</v>
      </c>
      <c r="AB15" s="18">
        <v>-0.23913043478260859</v>
      </c>
      <c r="AC15" s="21">
        <v>0</v>
      </c>
    </row>
    <row r="16" spans="1:36" ht="17" customHeight="1" x14ac:dyDescent="0.35">
      <c r="A16" s="11" t="s">
        <v>133</v>
      </c>
      <c r="B16" s="12">
        <v>0.89500000000000002</v>
      </c>
      <c r="C16" s="12">
        <v>0.73</v>
      </c>
      <c r="D16" s="12">
        <v>0.78</v>
      </c>
      <c r="E16" s="12">
        <v>0.82099999999999995</v>
      </c>
      <c r="F16" s="12">
        <v>0.85</v>
      </c>
      <c r="G16" s="12">
        <v>0.73499999999999999</v>
      </c>
      <c r="H16" s="13">
        <v>0.88500000000000001</v>
      </c>
      <c r="I16" s="13">
        <v>0.91</v>
      </c>
      <c r="J16" s="13">
        <v>0.93500000000000005</v>
      </c>
      <c r="K16" s="13">
        <v>0.96</v>
      </c>
      <c r="L16" s="13">
        <v>0.98499999999999999</v>
      </c>
      <c r="M16" s="13">
        <v>1.01</v>
      </c>
      <c r="N16" s="14">
        <v>2.4049999999999998</v>
      </c>
      <c r="O16" s="14">
        <v>1.671</v>
      </c>
      <c r="P16" s="14">
        <v>4.0759999999999996</v>
      </c>
      <c r="Q16" s="14">
        <v>10.795999999999999</v>
      </c>
      <c r="R16" s="111">
        <v>2.452</v>
      </c>
      <c r="S16" s="111">
        <v>2.6389999999999998</v>
      </c>
      <c r="T16" s="111">
        <v>5.0910000000000002</v>
      </c>
      <c r="U16" s="111">
        <v>11.226000000000001</v>
      </c>
      <c r="V16" s="16">
        <v>-4.6999999999999709E-2</v>
      </c>
      <c r="W16" s="16">
        <v>-0.96800000000000042</v>
      </c>
      <c r="X16" s="16">
        <v>-1.015000000000001</v>
      </c>
      <c r="Y16" s="16">
        <v>-0.42999999999999972</v>
      </c>
      <c r="Z16" s="18">
        <v>-1.9168026101141811E-2</v>
      </c>
      <c r="AA16" s="18">
        <v>-0.36680560818491859</v>
      </c>
      <c r="AB16" s="18">
        <v>-0.199371439795718</v>
      </c>
      <c r="AC16" s="18">
        <v>-3.8303937288437527E-2</v>
      </c>
    </row>
    <row r="17" spans="1:29" ht="17" customHeight="1" x14ac:dyDescent="0.35">
      <c r="A17" s="11" t="s">
        <v>134</v>
      </c>
      <c r="B17" s="12">
        <v>0.18</v>
      </c>
      <c r="C17" s="12">
        <v>0.18</v>
      </c>
      <c r="D17" s="12">
        <v>0.18</v>
      </c>
      <c r="E17" s="12">
        <v>0.18</v>
      </c>
      <c r="F17" s="12">
        <v>0.18</v>
      </c>
      <c r="G17" s="12">
        <v>0.22</v>
      </c>
      <c r="H17" s="13">
        <v>0.223</v>
      </c>
      <c r="I17" s="13">
        <v>0.22600000000000001</v>
      </c>
      <c r="J17" s="13">
        <v>0.22900000000000001</v>
      </c>
      <c r="K17" s="13">
        <v>0.23200000000000001</v>
      </c>
      <c r="L17" s="13">
        <v>0.23499999999999999</v>
      </c>
      <c r="M17" s="13">
        <v>0.23799999999999999</v>
      </c>
      <c r="N17" s="14">
        <v>0.54</v>
      </c>
      <c r="O17" s="14">
        <v>0.36</v>
      </c>
      <c r="P17" s="14">
        <v>0.89999999999999991</v>
      </c>
      <c r="Q17" s="14">
        <v>2.65</v>
      </c>
      <c r="R17" s="111">
        <v>0.54</v>
      </c>
      <c r="S17" s="111">
        <v>0.57999999999999996</v>
      </c>
      <c r="T17" s="111">
        <v>1.1200000000000001</v>
      </c>
      <c r="U17" s="111">
        <v>2.65</v>
      </c>
      <c r="V17" s="20">
        <v>0</v>
      </c>
      <c r="W17" s="16">
        <v>-0.22</v>
      </c>
      <c r="X17" s="16">
        <v>-0.22</v>
      </c>
      <c r="Y17" s="20">
        <v>0</v>
      </c>
      <c r="Z17" s="21">
        <v>0</v>
      </c>
      <c r="AA17" s="18">
        <v>-0.37931034482758619</v>
      </c>
      <c r="AB17" s="18">
        <v>-0.1964285714285714</v>
      </c>
      <c r="AC17" s="21">
        <v>0</v>
      </c>
    </row>
    <row r="18" spans="1:29" ht="6" customHeight="1" x14ac:dyDescent="0.3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17" customHeight="1" x14ac:dyDescent="0.35">
      <c r="A19" s="119" t="s">
        <v>135</v>
      </c>
      <c r="B19" s="108">
        <v>6.6760000000000002</v>
      </c>
      <c r="C19" s="108">
        <v>6.3710000000000004</v>
      </c>
      <c r="D19" s="108">
        <v>6.5100000000000007</v>
      </c>
      <c r="E19" s="108">
        <v>6.3410000000000002</v>
      </c>
      <c r="F19" s="108">
        <v>6.4409999999999998</v>
      </c>
      <c r="G19" s="108">
        <v>6.7009999999999996</v>
      </c>
      <c r="H19" s="104">
        <v>7.0579999999999998</v>
      </c>
      <c r="I19" s="104">
        <v>7.1440000000000001</v>
      </c>
      <c r="J19" s="104">
        <v>7.3390000000000004</v>
      </c>
      <c r="K19" s="104">
        <v>7.5339999999999998</v>
      </c>
      <c r="L19" s="104">
        <v>7.7290000000000001</v>
      </c>
      <c r="M19" s="104">
        <v>7.944</v>
      </c>
      <c r="N19" s="114">
        <v>19.556999999999999</v>
      </c>
      <c r="O19" s="114">
        <v>12.782</v>
      </c>
      <c r="P19" s="114">
        <v>32.338999999999999</v>
      </c>
      <c r="Q19" s="114">
        <v>85.372</v>
      </c>
      <c r="R19" s="8">
        <v>19.844000000000001</v>
      </c>
      <c r="S19" s="8">
        <v>20.09</v>
      </c>
      <c r="T19" s="8">
        <v>39.933999999999997</v>
      </c>
      <c r="U19" s="8">
        <v>87.042000000000002</v>
      </c>
      <c r="V19" s="23">
        <v>-0.28699999999999898</v>
      </c>
      <c r="W19" s="23">
        <v>-7.3079999999999998</v>
      </c>
      <c r="X19" s="23">
        <v>-7.5949999999999989</v>
      </c>
      <c r="Y19" s="23">
        <v>-1.6700000000000019</v>
      </c>
      <c r="Z19" s="24">
        <v>-1.446280991735532E-2</v>
      </c>
      <c r="AA19" s="24">
        <v>-0.36376306620209059</v>
      </c>
      <c r="AB19" s="24">
        <v>-0.19018881153903941</v>
      </c>
      <c r="AC19" s="24">
        <v>-1.918614002435608E-2</v>
      </c>
    </row>
    <row r="20" spans="1:29" ht="17" customHeight="1" x14ac:dyDescent="0.35">
      <c r="A20" s="119" t="s">
        <v>136</v>
      </c>
      <c r="B20" s="108">
        <v>2.593999999999999</v>
      </c>
      <c r="C20" s="108">
        <v>2.2989999999999999</v>
      </c>
      <c r="D20" s="108">
        <v>7.0799999999999992</v>
      </c>
      <c r="E20" s="108">
        <v>4.4790000000000001</v>
      </c>
      <c r="F20" s="108">
        <v>3.209000000000001</v>
      </c>
      <c r="G20" s="108">
        <v>4.4790000000000001</v>
      </c>
      <c r="H20" s="104">
        <v>-0.84799999999999998</v>
      </c>
      <c r="I20" s="104">
        <v>-0.66400000000000003</v>
      </c>
      <c r="J20" s="104">
        <v>-0.499</v>
      </c>
      <c r="K20" s="104">
        <v>-0.32400000000000001</v>
      </c>
      <c r="L20" s="104">
        <v>-0.13900000000000001</v>
      </c>
      <c r="M20" s="104">
        <v>2.5999999999999999E-2</v>
      </c>
      <c r="N20" s="114">
        <v>11.973000000000001</v>
      </c>
      <c r="O20" s="114">
        <v>7.6880000000000006</v>
      </c>
      <c r="P20" s="114">
        <v>19.661000000000001</v>
      </c>
      <c r="Q20" s="114">
        <v>17.288</v>
      </c>
      <c r="R20" s="8">
        <v>11.686</v>
      </c>
      <c r="S20" s="8">
        <v>9.2899999999999991</v>
      </c>
      <c r="T20" s="8">
        <v>20.975999999999999</v>
      </c>
      <c r="U20" s="8">
        <v>12.657999999999999</v>
      </c>
      <c r="V20" s="23">
        <v>0.28699999999999898</v>
      </c>
      <c r="W20" s="9">
        <v>-1.601999999999999</v>
      </c>
      <c r="X20" s="9">
        <v>-1.3149999999999979</v>
      </c>
      <c r="Y20" s="23">
        <v>4.629999999999999</v>
      </c>
      <c r="Z20" s="24">
        <v>2.455930172856401E-2</v>
      </c>
      <c r="AA20" s="10">
        <v>-0.17244348762109779</v>
      </c>
      <c r="AB20" s="10">
        <v>-6.2690694126620788E-2</v>
      </c>
      <c r="AC20" s="24">
        <v>0.36577658397851148</v>
      </c>
    </row>
    <row r="21" spans="1:29" ht="6" customHeight="1" x14ac:dyDescent="0.3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16" customHeight="1" x14ac:dyDescent="0.35">
      <c r="A22" s="99" t="s">
        <v>137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</row>
    <row r="23" spans="1:29" ht="17" customHeight="1" x14ac:dyDescent="0.35">
      <c r="A23" s="119" t="s">
        <v>138</v>
      </c>
      <c r="B23" s="108">
        <v>48.71</v>
      </c>
      <c r="C23" s="108">
        <v>51.01</v>
      </c>
      <c r="D23" s="108">
        <v>58.09</v>
      </c>
      <c r="E23" s="108">
        <v>62.57</v>
      </c>
      <c r="F23" s="108">
        <v>66.040000000000006</v>
      </c>
      <c r="G23" s="108">
        <v>70.611999999999995</v>
      </c>
      <c r="H23" s="104">
        <v>69.760000000000005</v>
      </c>
      <c r="I23" s="104">
        <v>69.099999999999994</v>
      </c>
      <c r="J23" s="104">
        <v>68.599999999999994</v>
      </c>
      <c r="K23" s="104">
        <v>68.28</v>
      </c>
      <c r="L23" s="104">
        <v>68.14</v>
      </c>
      <c r="M23" s="104">
        <v>68.16</v>
      </c>
      <c r="N23" s="114">
        <v>58.09</v>
      </c>
      <c r="O23" s="114">
        <v>70.61</v>
      </c>
      <c r="P23" s="114">
        <v>70.61</v>
      </c>
      <c r="Q23" s="114">
        <v>81.739999999999995</v>
      </c>
      <c r="R23" s="8">
        <v>49.62</v>
      </c>
      <c r="S23" s="8">
        <f>S5+S20</f>
        <v>58.91</v>
      </c>
      <c r="T23" s="8">
        <f>T20+T5</f>
        <v>58.926000000000002</v>
      </c>
      <c r="U23" s="8">
        <f>U5+U20</f>
        <v>50.608000000000004</v>
      </c>
      <c r="V23" s="23">
        <f>N23-R23</f>
        <v>8.470000000000006</v>
      </c>
      <c r="W23" s="23">
        <f>O23-S23</f>
        <v>11.700000000000003</v>
      </c>
      <c r="X23" s="23">
        <f>P23-T23</f>
        <v>11.683999999999997</v>
      </c>
      <c r="Y23" s="23">
        <f>Q23-U23</f>
        <v>31.131999999999991</v>
      </c>
      <c r="Z23" s="24">
        <f>N23/R23</f>
        <v>1.1706972994760179</v>
      </c>
      <c r="AA23" s="24">
        <f>O23/S23</f>
        <v>1.1986080461721271</v>
      </c>
      <c r="AB23" s="24">
        <f t="shared" ref="AB23:AC23" si="0">P23/T23</f>
        <v>1.1982825917252147</v>
      </c>
      <c r="AC23" s="24">
        <f t="shared" si="0"/>
        <v>1.6151596585520074</v>
      </c>
    </row>
    <row r="24" spans="1:29" ht="17" customHeight="1" x14ac:dyDescent="0.35">
      <c r="A24" s="11" t="s">
        <v>139</v>
      </c>
      <c r="B24" s="12">
        <v>10</v>
      </c>
      <c r="C24" s="12">
        <v>10</v>
      </c>
      <c r="D24" s="12">
        <v>10</v>
      </c>
      <c r="E24" s="12">
        <v>10</v>
      </c>
      <c r="F24" s="12">
        <v>10</v>
      </c>
      <c r="G24" s="12">
        <v>10</v>
      </c>
      <c r="H24" s="13">
        <v>10</v>
      </c>
      <c r="I24" s="13">
        <v>10</v>
      </c>
      <c r="J24" s="13">
        <v>10</v>
      </c>
      <c r="K24" s="13">
        <v>10</v>
      </c>
      <c r="L24" s="13">
        <v>10</v>
      </c>
      <c r="M24" s="13">
        <v>10</v>
      </c>
      <c r="N24" s="14">
        <v>10</v>
      </c>
      <c r="O24" s="14">
        <v>10</v>
      </c>
      <c r="P24" s="14">
        <v>10</v>
      </c>
      <c r="Q24" s="14">
        <v>10</v>
      </c>
      <c r="R24" s="111">
        <v>10</v>
      </c>
      <c r="S24" s="111">
        <v>10</v>
      </c>
      <c r="T24" s="111">
        <v>10</v>
      </c>
      <c r="U24" s="111">
        <v>10</v>
      </c>
      <c r="V24" s="17">
        <f>N24-R24</f>
        <v>0</v>
      </c>
      <c r="W24" s="17">
        <f>O24-S24</f>
        <v>0</v>
      </c>
      <c r="X24" s="17">
        <f>P24-T24</f>
        <v>0</v>
      </c>
      <c r="Y24" s="17">
        <f>Q24-U24</f>
        <v>0</v>
      </c>
      <c r="Z24" s="21">
        <v>0</v>
      </c>
      <c r="AA24" s="21">
        <v>0</v>
      </c>
      <c r="AB24" s="21">
        <v>0</v>
      </c>
      <c r="AC24" s="21">
        <v>0</v>
      </c>
    </row>
    <row r="25" spans="1:29" ht="17" customHeight="1" x14ac:dyDescent="0.35">
      <c r="A25" s="25" t="s">
        <v>140</v>
      </c>
      <c r="B25" s="12">
        <v>38.71</v>
      </c>
      <c r="C25" s="12">
        <v>41.01</v>
      </c>
      <c r="D25" s="12">
        <v>48.09</v>
      </c>
      <c r="E25" s="12">
        <v>52.57</v>
      </c>
      <c r="F25" s="12">
        <v>56.040000000000013</v>
      </c>
      <c r="G25" s="12">
        <v>60.612000000000002</v>
      </c>
      <c r="H25" s="13">
        <v>59.76</v>
      </c>
      <c r="I25" s="13">
        <v>59.1</v>
      </c>
      <c r="J25" s="13">
        <v>58.6</v>
      </c>
      <c r="K25" s="13">
        <v>58.28</v>
      </c>
      <c r="L25" s="13">
        <v>58.14</v>
      </c>
      <c r="M25" s="13">
        <v>58.16</v>
      </c>
      <c r="N25" s="14">
        <v>48.09</v>
      </c>
      <c r="O25" s="14">
        <v>60.61</v>
      </c>
      <c r="P25" s="14">
        <v>60.61</v>
      </c>
      <c r="Q25" s="14">
        <v>71.739999999999995</v>
      </c>
      <c r="R25" s="111">
        <f>R23-R24</f>
        <v>39.619999999999997</v>
      </c>
      <c r="S25" s="111">
        <f>S23-S24</f>
        <v>48.91</v>
      </c>
      <c r="T25" s="111">
        <f>T23-T24</f>
        <v>48.926000000000002</v>
      </c>
      <c r="U25" s="111">
        <f>U23-U24</f>
        <v>40.608000000000004</v>
      </c>
      <c r="V25" s="23">
        <f>N25-R25</f>
        <v>8.470000000000006</v>
      </c>
      <c r="W25" s="23">
        <f>O25-S25</f>
        <v>11.700000000000003</v>
      </c>
      <c r="X25" s="23">
        <f>P25-T25</f>
        <v>11.683999999999997</v>
      </c>
      <c r="Y25" s="23">
        <f>Q25-U25</f>
        <v>31.131999999999991</v>
      </c>
      <c r="Z25" s="24">
        <f>N25/R25</f>
        <v>1.2137809187279154</v>
      </c>
      <c r="AA25" s="24">
        <f>O25/S25</f>
        <v>1.2392148844817013</v>
      </c>
      <c r="AB25" s="24">
        <f t="shared" ref="AB25:AC25" si="1">P25/T25</f>
        <v>1.2388096308711114</v>
      </c>
      <c r="AC25" s="24">
        <f t="shared" si="1"/>
        <v>1.766646966115051</v>
      </c>
    </row>
    <row r="27" spans="1:29" ht="24" customHeight="1" x14ac:dyDescent="0.35">
      <c r="A27" s="100" t="s">
        <v>141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</row>
  </sheetData>
  <mergeCells count="11">
    <mergeCell ref="A1:AJ1"/>
    <mergeCell ref="B2:G2"/>
    <mergeCell ref="A27:M27"/>
    <mergeCell ref="A22:AC22"/>
    <mergeCell ref="V2:AC2"/>
    <mergeCell ref="A4:AC4"/>
    <mergeCell ref="A7:AC7"/>
    <mergeCell ref="N2:Q2"/>
    <mergeCell ref="R2:U2"/>
    <mergeCell ref="H2:M2"/>
    <mergeCell ref="A10:AC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2" sqref="A2"/>
    </sheetView>
  </sheetViews>
  <sheetFormatPr defaultRowHeight="14.5" x14ac:dyDescent="0.35"/>
  <cols>
    <col min="1" max="1" width="36.54296875" style="56" bestFit="1" customWidth="1"/>
    <col min="2" max="2" width="5.6328125" style="56" bestFit="1" customWidth="1"/>
    <col min="3" max="6" width="10" style="56" customWidth="1"/>
    <col min="7" max="7" width="11" style="56" customWidth="1"/>
    <col min="8" max="13" width="10" style="56" customWidth="1"/>
    <col min="14" max="29" width="11" style="56" customWidth="1"/>
  </cols>
  <sheetData>
    <row r="1" spans="1:36" ht="36" customHeight="1" x14ac:dyDescent="0.35">
      <c r="A1" s="101" t="s">
        <v>142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</row>
    <row r="2" spans="1:36" ht="20" customHeight="1" x14ac:dyDescent="0.35">
      <c r="B2" s="95" t="s">
        <v>1</v>
      </c>
      <c r="C2" s="96"/>
      <c r="D2" s="96"/>
      <c r="E2" s="96"/>
      <c r="F2" s="96"/>
      <c r="G2" s="96"/>
      <c r="H2" s="102" t="s">
        <v>2</v>
      </c>
      <c r="I2" s="96"/>
      <c r="J2" s="96"/>
      <c r="K2" s="96"/>
      <c r="L2" s="96"/>
      <c r="M2" s="96"/>
      <c r="N2" s="95" t="s">
        <v>3</v>
      </c>
      <c r="O2" s="96"/>
      <c r="P2" s="96"/>
      <c r="Q2" s="96"/>
      <c r="R2" s="97" t="s">
        <v>4</v>
      </c>
      <c r="S2" s="96"/>
      <c r="T2" s="96"/>
      <c r="U2" s="96"/>
      <c r="V2" s="98" t="s">
        <v>5</v>
      </c>
      <c r="W2" s="96"/>
      <c r="X2" s="96"/>
      <c r="Y2" s="96"/>
      <c r="Z2" s="96"/>
      <c r="AA2" s="96"/>
      <c r="AB2" s="96"/>
      <c r="AC2" s="96"/>
    </row>
    <row r="3" spans="1:36" ht="32" customHeight="1" x14ac:dyDescent="0.35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3" t="s">
        <v>22</v>
      </c>
      <c r="S3" s="3" t="s">
        <v>23</v>
      </c>
      <c r="T3" s="3" t="s">
        <v>24</v>
      </c>
      <c r="U3" s="3" t="s">
        <v>25</v>
      </c>
      <c r="V3" s="4" t="s">
        <v>26</v>
      </c>
      <c r="W3" s="4" t="s">
        <v>27</v>
      </c>
      <c r="X3" s="4" t="s">
        <v>28</v>
      </c>
      <c r="Y3" s="4" t="s">
        <v>29</v>
      </c>
      <c r="Z3" s="4" t="s">
        <v>30</v>
      </c>
      <c r="AA3" s="4" t="s">
        <v>31</v>
      </c>
      <c r="AB3" s="4" t="s">
        <v>32</v>
      </c>
      <c r="AC3" s="4" t="s">
        <v>33</v>
      </c>
    </row>
    <row r="4" spans="1:36" ht="16" customHeight="1" x14ac:dyDescent="0.35">
      <c r="A4" s="99" t="s">
        <v>143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</row>
    <row r="5" spans="1:36" ht="17" customHeight="1" x14ac:dyDescent="0.35">
      <c r="A5" s="11" t="s">
        <v>144</v>
      </c>
      <c r="B5" s="12">
        <v>-0.36499999999999999</v>
      </c>
      <c r="C5" s="12">
        <v>-0.36799999999999999</v>
      </c>
      <c r="D5" s="12">
        <v>-0.38100000000000001</v>
      </c>
      <c r="E5" s="12">
        <v>-0.38500000000000001</v>
      </c>
      <c r="F5" s="12">
        <v>-0.39900000000000002</v>
      </c>
      <c r="G5" s="12">
        <v>-1.4239999999999999</v>
      </c>
      <c r="H5" s="13">
        <v>-0.40400000000000003</v>
      </c>
      <c r="I5" s="13">
        <v>-0.41899999999999998</v>
      </c>
      <c r="J5" s="13">
        <v>-0.42299999999999999</v>
      </c>
      <c r="K5" s="13">
        <v>-0.437</v>
      </c>
      <c r="L5" s="13">
        <v>-0.442</v>
      </c>
      <c r="M5" s="13">
        <v>-0.45600000000000002</v>
      </c>
      <c r="N5" s="14">
        <v>-1.1140000000000001</v>
      </c>
      <c r="O5" s="14">
        <v>-0.78400000000000003</v>
      </c>
      <c r="P5" s="14">
        <v>-1.8979999999999999</v>
      </c>
      <c r="Q5" s="14">
        <v>-4.9400000000000004</v>
      </c>
      <c r="R5" s="15">
        <v>-1.105</v>
      </c>
      <c r="S5" s="15">
        <v>-1.1779999999999999</v>
      </c>
      <c r="T5" s="15">
        <v>-2.2829999999999999</v>
      </c>
      <c r="U5" s="15">
        <v>-4.8869999999999996</v>
      </c>
      <c r="V5" s="17">
        <v>-8.999999999999897E-3</v>
      </c>
      <c r="W5" s="16">
        <v>0.39399999999999991</v>
      </c>
      <c r="X5" s="16">
        <v>0.38499999999999979</v>
      </c>
      <c r="Y5" s="17">
        <v>-5.2999999999999943E-2</v>
      </c>
      <c r="Z5" s="19">
        <v>-8.1447963800904046E-3</v>
      </c>
      <c r="AA5" s="18">
        <v>0.3344651952461799</v>
      </c>
      <c r="AB5" s="18">
        <v>0.16863775733683739</v>
      </c>
      <c r="AC5" s="19">
        <v>-1.084509924288928E-2</v>
      </c>
    </row>
    <row r="6" spans="1:36" ht="17" customHeight="1" x14ac:dyDescent="0.35">
      <c r="A6" s="11" t="s">
        <v>145</v>
      </c>
      <c r="B6" s="12">
        <v>0.16500000000000001</v>
      </c>
      <c r="C6" s="12">
        <v>0.16800000000000001</v>
      </c>
      <c r="D6" s="12">
        <v>0.17100000000000001</v>
      </c>
      <c r="E6" s="12">
        <v>0.17499999999999999</v>
      </c>
      <c r="F6" s="12">
        <v>0.17899999999999999</v>
      </c>
      <c r="G6" s="12">
        <v>9.1999999999999998E-2</v>
      </c>
      <c r="H6" s="13">
        <v>0.184</v>
      </c>
      <c r="I6" s="13">
        <v>0.189</v>
      </c>
      <c r="J6" s="13">
        <v>0.193</v>
      </c>
      <c r="K6" s="13">
        <v>0.19700000000000001</v>
      </c>
      <c r="L6" s="13">
        <v>0.20200000000000001</v>
      </c>
      <c r="M6" s="13">
        <v>0.20599999999999999</v>
      </c>
      <c r="N6" s="14">
        <v>0.504</v>
      </c>
      <c r="O6" s="14">
        <v>0.35399999999999998</v>
      </c>
      <c r="P6" s="14">
        <v>0.85799999999999998</v>
      </c>
      <c r="Q6" s="14">
        <v>2.2400000000000002</v>
      </c>
      <c r="R6" s="15">
        <v>0.495</v>
      </c>
      <c r="S6" s="15">
        <v>0.52800000000000002</v>
      </c>
      <c r="T6" s="15">
        <v>1.0229999999999999</v>
      </c>
      <c r="U6" s="15">
        <v>2.1869999999999998</v>
      </c>
      <c r="V6" s="16">
        <v>9.000000000000008E-3</v>
      </c>
      <c r="W6" s="17">
        <v>-0.17399999999999999</v>
      </c>
      <c r="X6" s="17">
        <v>-0.1649999999999999</v>
      </c>
      <c r="Y6" s="16">
        <v>5.300000000000038E-2</v>
      </c>
      <c r="Z6" s="18">
        <v>1.8181818181818198E-2</v>
      </c>
      <c r="AA6" s="19">
        <v>-0.32954545454545459</v>
      </c>
      <c r="AB6" s="19">
        <v>-0.1612903225806451</v>
      </c>
      <c r="AC6" s="18">
        <v>2.4234110653863921E-2</v>
      </c>
    </row>
    <row r="7" spans="1:36" ht="17" customHeight="1" x14ac:dyDescent="0.35">
      <c r="A7" s="11" t="s">
        <v>146</v>
      </c>
      <c r="B7" s="12">
        <v>2.68</v>
      </c>
      <c r="C7" s="12">
        <v>1.96</v>
      </c>
      <c r="D7" s="12">
        <v>6.74</v>
      </c>
      <c r="E7" s="12">
        <v>3.81</v>
      </c>
      <c r="F7" s="12">
        <v>2.4700000000000011</v>
      </c>
      <c r="G7" s="12">
        <v>-0.17</v>
      </c>
      <c r="H7" s="13">
        <v>-1.1499999999999999</v>
      </c>
      <c r="I7" s="13">
        <v>-1.06</v>
      </c>
      <c r="J7" s="13">
        <v>-0.89000000000000057</v>
      </c>
      <c r="K7" s="13">
        <v>-0.69000000000000039</v>
      </c>
      <c r="L7" s="13">
        <v>-0.49000000000000021</v>
      </c>
      <c r="M7" s="13">
        <v>-0.27000000000000052</v>
      </c>
      <c r="N7" s="14">
        <v>11.38</v>
      </c>
      <c r="O7" s="14">
        <v>6.2800000000000011</v>
      </c>
      <c r="P7" s="14">
        <v>17.66</v>
      </c>
      <c r="Q7" s="14">
        <v>13.06</v>
      </c>
      <c r="R7" s="15">
        <v>11.39</v>
      </c>
      <c r="S7" s="15">
        <v>7.8600000000000012</v>
      </c>
      <c r="T7" s="15">
        <v>19.25</v>
      </c>
      <c r="U7" s="15">
        <v>10.17</v>
      </c>
      <c r="V7" s="17">
        <v>-1.000000000000156E-2</v>
      </c>
      <c r="W7" s="17">
        <v>-1.58</v>
      </c>
      <c r="X7" s="17">
        <v>-1.59</v>
      </c>
      <c r="Y7" s="16">
        <v>2.889999999999997</v>
      </c>
      <c r="Z7" s="19">
        <v>-8.7796312554886411E-4</v>
      </c>
      <c r="AA7" s="19">
        <v>-0.2010178117048346</v>
      </c>
      <c r="AB7" s="19">
        <v>-8.2597402597402586E-2</v>
      </c>
      <c r="AC7" s="18">
        <v>0.28416912487708912</v>
      </c>
    </row>
    <row r="8" spans="1:36" ht="17" customHeight="1" x14ac:dyDescent="0.35">
      <c r="A8" s="11" t="s">
        <v>147</v>
      </c>
      <c r="B8" s="12">
        <v>2.68</v>
      </c>
      <c r="C8" s="12">
        <v>1.96</v>
      </c>
      <c r="D8" s="12">
        <v>6.74</v>
      </c>
      <c r="E8" s="12">
        <v>3.81</v>
      </c>
      <c r="F8" s="12">
        <v>2.4700000000000011</v>
      </c>
      <c r="G8" s="12">
        <v>6.1719999999999997</v>
      </c>
      <c r="H8" s="13">
        <v>0.5</v>
      </c>
      <c r="I8" s="13">
        <v>0.5</v>
      </c>
      <c r="J8" s="13">
        <v>0.5</v>
      </c>
      <c r="K8" s="13">
        <v>0.5</v>
      </c>
      <c r="L8" s="13">
        <v>0.5</v>
      </c>
      <c r="M8" s="13">
        <v>0.5</v>
      </c>
      <c r="N8" s="14">
        <v>11.38</v>
      </c>
      <c r="O8" s="14">
        <v>6.2800000000000011</v>
      </c>
      <c r="P8" s="14">
        <v>17.66</v>
      </c>
      <c r="Q8" s="14">
        <v>21.16</v>
      </c>
      <c r="R8" s="15">
        <v>0.89999999999999991</v>
      </c>
      <c r="S8" s="15">
        <v>0.89999999999999991</v>
      </c>
      <c r="T8" s="15">
        <v>1.8</v>
      </c>
      <c r="U8" s="15">
        <v>3.6</v>
      </c>
      <c r="V8" s="16">
        <v>10.48</v>
      </c>
      <c r="W8" s="16">
        <v>5.3800000000000008</v>
      </c>
      <c r="X8" s="16">
        <v>15.86</v>
      </c>
      <c r="Y8" s="16">
        <v>17.559999999999999</v>
      </c>
      <c r="Z8" s="18">
        <v>11.64444444444444</v>
      </c>
      <c r="AA8" s="18">
        <v>5.9777777777777796</v>
      </c>
      <c r="AB8" s="18">
        <v>8.8111111111111118</v>
      </c>
      <c r="AC8" s="18">
        <v>4.8777777777777791</v>
      </c>
    </row>
    <row r="9" spans="1:36" ht="17" customHeight="1" x14ac:dyDescent="0.35">
      <c r="A9" s="11" t="s">
        <v>148</v>
      </c>
      <c r="B9" s="12">
        <v>-6.8999999999999992E-2</v>
      </c>
      <c r="C9" s="12">
        <v>-6.8999999999999992E-2</v>
      </c>
      <c r="D9" s="12">
        <v>-6.8500000000000005E-2</v>
      </c>
      <c r="E9" s="12">
        <v>-6.8000000000000005E-2</v>
      </c>
      <c r="F9" s="12">
        <v>-6.8999999999999992E-2</v>
      </c>
      <c r="G9" s="12">
        <v>0.06</v>
      </c>
      <c r="H9" s="13">
        <v>0.05</v>
      </c>
      <c r="I9" s="13">
        <v>0.05</v>
      </c>
      <c r="J9" s="13">
        <v>0.05</v>
      </c>
      <c r="K9" s="13">
        <v>0.05</v>
      </c>
      <c r="L9" s="13">
        <v>0.05</v>
      </c>
      <c r="M9" s="13">
        <v>0.05</v>
      </c>
      <c r="N9" s="14">
        <v>-0.20649999999999999</v>
      </c>
      <c r="O9" s="14">
        <v>-0.13700000000000001</v>
      </c>
      <c r="P9" s="14">
        <v>-0.34350000000000003</v>
      </c>
      <c r="Q9" s="14">
        <v>6.5000000000000344E-3</v>
      </c>
      <c r="R9" s="15">
        <v>0.12</v>
      </c>
      <c r="S9" s="15">
        <v>0.12</v>
      </c>
      <c r="T9" s="15">
        <v>0.24</v>
      </c>
      <c r="U9" s="15">
        <v>0.48</v>
      </c>
      <c r="V9" s="17">
        <v>-0.32650000000000001</v>
      </c>
      <c r="W9" s="17">
        <v>-0.25700000000000001</v>
      </c>
      <c r="X9" s="17">
        <v>-0.58349999999999991</v>
      </c>
      <c r="Y9" s="17">
        <v>-0.47349999999999992</v>
      </c>
      <c r="Z9" s="19">
        <v>-2.7208333333333341</v>
      </c>
      <c r="AA9" s="19">
        <v>-2.1416666666666671</v>
      </c>
      <c r="AB9" s="19">
        <v>-2.4312499999999999</v>
      </c>
      <c r="AC9" s="19">
        <v>-0.98645833333333321</v>
      </c>
    </row>
    <row r="10" spans="1:36" ht="17" customHeight="1" x14ac:dyDescent="0.35">
      <c r="A10" s="11" t="s">
        <v>149</v>
      </c>
      <c r="B10" s="12">
        <v>-0.27</v>
      </c>
      <c r="C10" s="12">
        <v>-0.3</v>
      </c>
      <c r="D10" s="12">
        <v>-0.31</v>
      </c>
      <c r="E10" s="12">
        <v>-0.28000000000000003</v>
      </c>
      <c r="F10" s="12">
        <v>-0.28999999999999998</v>
      </c>
      <c r="G10" s="12">
        <v>8.7999999999999995E-2</v>
      </c>
      <c r="H10" s="13">
        <v>-0.36</v>
      </c>
      <c r="I10" s="13">
        <v>-0.39</v>
      </c>
      <c r="J10" s="13">
        <v>-0.4</v>
      </c>
      <c r="K10" s="13">
        <v>-0.41</v>
      </c>
      <c r="L10" s="13">
        <v>-0.42</v>
      </c>
      <c r="M10" s="13">
        <v>-0.44</v>
      </c>
      <c r="N10" s="14">
        <v>-0.88</v>
      </c>
      <c r="O10" s="14">
        <v>-0.57000000000000006</v>
      </c>
      <c r="P10" s="14">
        <v>-1.45</v>
      </c>
      <c r="Q10" s="14">
        <v>-4.32</v>
      </c>
      <c r="R10" s="15">
        <v>-0.91</v>
      </c>
      <c r="S10" s="15">
        <v>-0.96</v>
      </c>
      <c r="T10" s="15">
        <v>-1.87</v>
      </c>
      <c r="U10" s="15">
        <v>-4.38</v>
      </c>
      <c r="V10" s="17">
        <v>3.000000000000003E-2</v>
      </c>
      <c r="W10" s="17">
        <v>0.3899999999999999</v>
      </c>
      <c r="X10" s="17">
        <v>0.42000000000000021</v>
      </c>
      <c r="Y10" s="17">
        <v>5.9999999999999609E-2</v>
      </c>
      <c r="Z10" s="19">
        <v>3.2967032967033003E-2</v>
      </c>
      <c r="AA10" s="19">
        <v>0.40624999999999989</v>
      </c>
      <c r="AB10" s="19">
        <v>0.22459893048128349</v>
      </c>
      <c r="AC10" s="19">
        <v>1.369863013698621E-2</v>
      </c>
    </row>
    <row r="11" spans="1:36" ht="6" customHeight="1" x14ac:dyDescent="0.3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36" ht="17" customHeight="1" x14ac:dyDescent="0.35">
      <c r="A12" s="119" t="s">
        <v>150</v>
      </c>
      <c r="B12" s="108">
        <v>2.758999999999999</v>
      </c>
      <c r="C12" s="108">
        <v>2.467000000000001</v>
      </c>
      <c r="D12" s="108">
        <v>7.2509999999999986</v>
      </c>
      <c r="E12" s="108">
        <v>4.6539999999999999</v>
      </c>
      <c r="F12" s="108">
        <v>3.3879999999999999</v>
      </c>
      <c r="G12" s="108">
        <v>4.7949999999999999</v>
      </c>
      <c r="H12" s="104">
        <v>-0.66099999999999981</v>
      </c>
      <c r="I12" s="104">
        <v>-0.47900000000000009</v>
      </c>
      <c r="J12" s="104">
        <v>-0.31699999999999978</v>
      </c>
      <c r="K12" s="104">
        <v>-0.1449999999999996</v>
      </c>
      <c r="L12" s="104">
        <v>3.8000000000000311E-2</v>
      </c>
      <c r="M12" s="104">
        <v>0.19999999999999979</v>
      </c>
      <c r="N12" s="7">
        <v>12.477</v>
      </c>
      <c r="O12" s="7">
        <v>8.0419999999999998</v>
      </c>
      <c r="P12" s="7">
        <v>20.518999999999998</v>
      </c>
      <c r="Q12" s="7">
        <v>19.527999999999999</v>
      </c>
      <c r="R12" s="8">
        <v>12.180999999999999</v>
      </c>
      <c r="S12" s="8">
        <v>9.8179999999999996</v>
      </c>
      <c r="T12" s="8">
        <v>21.998999999999999</v>
      </c>
      <c r="U12" s="8">
        <v>14.845000000000001</v>
      </c>
      <c r="V12" s="23">
        <v>0.29599999999999937</v>
      </c>
      <c r="W12" s="9">
        <v>-1.776</v>
      </c>
      <c r="X12" s="9">
        <v>-1.48</v>
      </c>
      <c r="Y12" s="23">
        <v>4.6829999999999963</v>
      </c>
      <c r="Z12" s="24">
        <v>2.430013956161229E-2</v>
      </c>
      <c r="AA12" s="10">
        <v>-0.18089223874516189</v>
      </c>
      <c r="AB12" s="10">
        <v>-6.7275785262966528E-2</v>
      </c>
      <c r="AC12" s="24">
        <v>0.31545975075783061</v>
      </c>
    </row>
    <row r="13" spans="1:36" ht="6" customHeight="1" x14ac:dyDescent="0.3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36" ht="16" customHeight="1" x14ac:dyDescent="0.35">
      <c r="A14" s="99" t="s">
        <v>151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</row>
    <row r="15" spans="1:36" ht="17" customHeight="1" x14ac:dyDescent="0.35">
      <c r="A15" s="11" t="s">
        <v>152</v>
      </c>
      <c r="B15" s="12">
        <v>-0.18</v>
      </c>
      <c r="C15" s="12">
        <v>-0.18</v>
      </c>
      <c r="D15" s="12">
        <v>-0.18</v>
      </c>
      <c r="E15" s="12">
        <v>-0.18</v>
      </c>
      <c r="F15" s="12">
        <v>-0.18</v>
      </c>
      <c r="G15" s="12">
        <v>-0.22</v>
      </c>
      <c r="H15" s="13">
        <v>-0.22</v>
      </c>
      <c r="I15" s="13">
        <v>-0.23</v>
      </c>
      <c r="J15" s="13">
        <v>-0.24</v>
      </c>
      <c r="K15" s="13">
        <v>-0.25</v>
      </c>
      <c r="L15" s="13">
        <v>-0.26</v>
      </c>
      <c r="M15" s="13">
        <v>-0.27</v>
      </c>
      <c r="N15" s="14">
        <v>-0.54</v>
      </c>
      <c r="O15" s="14">
        <v>-0.36</v>
      </c>
      <c r="P15" s="14">
        <v>-0.89999999999999991</v>
      </c>
      <c r="Q15" s="14">
        <v>-2.65</v>
      </c>
      <c r="R15" s="15">
        <v>-0.54</v>
      </c>
      <c r="S15" s="15">
        <v>-0.57999999999999996</v>
      </c>
      <c r="T15" s="15">
        <v>-1.1200000000000001</v>
      </c>
      <c r="U15" s="15">
        <v>-2.65</v>
      </c>
      <c r="V15" s="20">
        <v>0</v>
      </c>
      <c r="W15" s="17">
        <v>0.22</v>
      </c>
      <c r="X15" s="17">
        <v>0.22</v>
      </c>
      <c r="Y15" s="20">
        <v>0</v>
      </c>
      <c r="Z15" s="21">
        <v>0</v>
      </c>
      <c r="AA15" s="19">
        <v>0.37931034482758619</v>
      </c>
      <c r="AB15" s="19">
        <v>0.1964285714285714</v>
      </c>
      <c r="AC15" s="21">
        <v>0</v>
      </c>
    </row>
    <row r="16" spans="1:36" ht="17" customHeight="1" x14ac:dyDescent="0.35">
      <c r="A16" s="119" t="s">
        <v>153</v>
      </c>
      <c r="B16" s="108">
        <v>-0.18</v>
      </c>
      <c r="C16" s="108">
        <v>-0.18</v>
      </c>
      <c r="D16" s="108">
        <v>-0.18</v>
      </c>
      <c r="E16" s="108">
        <v>-0.18</v>
      </c>
      <c r="F16" s="108">
        <v>-0.18</v>
      </c>
      <c r="G16" s="108">
        <v>-0.22</v>
      </c>
      <c r="H16" s="104">
        <v>-0.22</v>
      </c>
      <c r="I16" s="104">
        <v>-0.23</v>
      </c>
      <c r="J16" s="104">
        <v>-0.24</v>
      </c>
      <c r="K16" s="104">
        <v>-0.25</v>
      </c>
      <c r="L16" s="104">
        <v>-0.26</v>
      </c>
      <c r="M16" s="104">
        <v>-0.27</v>
      </c>
      <c r="N16" s="7">
        <v>-0.54</v>
      </c>
      <c r="O16" s="7">
        <v>-0.36</v>
      </c>
      <c r="P16" s="7">
        <v>-0.89999999999999991</v>
      </c>
      <c r="Q16" s="7">
        <v>-2.65</v>
      </c>
      <c r="R16" s="8">
        <v>-0.54</v>
      </c>
      <c r="S16" s="8">
        <v>-0.57999999999999996</v>
      </c>
      <c r="T16" s="8">
        <v>-1.1200000000000001</v>
      </c>
      <c r="U16" s="8">
        <v>-2.65</v>
      </c>
      <c r="V16" s="30">
        <v>0</v>
      </c>
      <c r="W16" s="23">
        <v>0.22</v>
      </c>
      <c r="X16" s="23">
        <v>0.22</v>
      </c>
      <c r="Y16" s="30">
        <v>0</v>
      </c>
      <c r="Z16" s="31">
        <v>0</v>
      </c>
      <c r="AA16" s="24">
        <v>0.37931034482758619</v>
      </c>
      <c r="AB16" s="24">
        <v>0.1964285714285714</v>
      </c>
      <c r="AC16" s="31">
        <v>0</v>
      </c>
    </row>
    <row r="17" spans="1:29" ht="6" customHeight="1" x14ac:dyDescent="0.3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16" customHeight="1" x14ac:dyDescent="0.35">
      <c r="A18" s="99" t="s">
        <v>154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</row>
    <row r="19" spans="1:29" ht="17" customHeight="1" x14ac:dyDescent="0.35">
      <c r="A19" s="11" t="s">
        <v>155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4">
        <v>0</v>
      </c>
      <c r="O19" s="14">
        <v>0</v>
      </c>
      <c r="P19" s="14">
        <v>0</v>
      </c>
      <c r="Q19" s="14">
        <v>0</v>
      </c>
      <c r="R19" s="15">
        <v>0</v>
      </c>
      <c r="S19" s="15">
        <v>0</v>
      </c>
      <c r="T19" s="15">
        <v>0</v>
      </c>
      <c r="U19" s="15">
        <v>0</v>
      </c>
      <c r="V19" s="20">
        <v>0</v>
      </c>
      <c r="W19" s="20">
        <v>0</v>
      </c>
      <c r="X19" s="20">
        <v>0</v>
      </c>
      <c r="Y19" s="20">
        <v>0</v>
      </c>
      <c r="Z19" s="21">
        <v>0</v>
      </c>
      <c r="AA19" s="21">
        <v>0</v>
      </c>
      <c r="AB19" s="21">
        <v>0</v>
      </c>
      <c r="AC19" s="21">
        <v>0</v>
      </c>
    </row>
    <row r="20" spans="1:29" ht="17" customHeight="1" x14ac:dyDescent="0.35">
      <c r="A20" s="11" t="s">
        <v>156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4">
        <v>0</v>
      </c>
      <c r="P20" s="14">
        <v>0</v>
      </c>
      <c r="Q20" s="14">
        <v>0</v>
      </c>
      <c r="R20" s="15">
        <v>0</v>
      </c>
      <c r="S20" s="15">
        <v>0</v>
      </c>
      <c r="T20" s="15">
        <v>0</v>
      </c>
      <c r="U20" s="15">
        <v>0</v>
      </c>
      <c r="V20" s="20">
        <v>0</v>
      </c>
      <c r="W20" s="20">
        <v>0</v>
      </c>
      <c r="X20" s="20">
        <v>0</v>
      </c>
      <c r="Y20" s="20">
        <v>0</v>
      </c>
      <c r="Z20" s="21">
        <v>0</v>
      </c>
      <c r="AA20" s="21">
        <v>0</v>
      </c>
      <c r="AB20" s="21">
        <v>0</v>
      </c>
      <c r="AC20" s="21">
        <v>0</v>
      </c>
    </row>
    <row r="21" spans="1:29" ht="17" customHeight="1" x14ac:dyDescent="0.35">
      <c r="A21" s="119" t="s">
        <v>157</v>
      </c>
      <c r="B21" s="115">
        <v>0</v>
      </c>
      <c r="C21" s="115">
        <v>0</v>
      </c>
      <c r="D21" s="115">
        <v>0</v>
      </c>
      <c r="E21" s="115">
        <v>0</v>
      </c>
      <c r="F21" s="115">
        <v>0</v>
      </c>
      <c r="G21" s="115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7">
        <v>0</v>
      </c>
      <c r="O21" s="7">
        <v>0</v>
      </c>
      <c r="P21" s="7">
        <v>0</v>
      </c>
      <c r="Q21" s="7">
        <v>0</v>
      </c>
      <c r="R21" s="8">
        <v>0</v>
      </c>
      <c r="S21" s="8">
        <v>0</v>
      </c>
      <c r="T21" s="8">
        <v>0</v>
      </c>
      <c r="U21" s="8">
        <v>0</v>
      </c>
      <c r="V21" s="30">
        <v>0</v>
      </c>
      <c r="W21" s="30">
        <v>0</v>
      </c>
      <c r="X21" s="30">
        <v>0</v>
      </c>
      <c r="Y21" s="30">
        <v>0</v>
      </c>
      <c r="Z21" s="31">
        <v>0</v>
      </c>
      <c r="AA21" s="31">
        <v>0</v>
      </c>
      <c r="AB21" s="31">
        <v>0</v>
      </c>
      <c r="AC21" s="31">
        <v>0</v>
      </c>
    </row>
    <row r="22" spans="1:29" ht="6" customHeight="1" x14ac:dyDescent="0.3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16" customHeight="1" x14ac:dyDescent="0.35">
      <c r="A23" s="99" t="s">
        <v>158</v>
      </c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</row>
    <row r="24" spans="1:29" ht="17" customHeight="1" x14ac:dyDescent="0.35">
      <c r="A24" s="119" t="s">
        <v>159</v>
      </c>
      <c r="B24" s="108">
        <v>2.5789999999999988</v>
      </c>
      <c r="C24" s="108">
        <v>2.2869999999999999</v>
      </c>
      <c r="D24" s="108">
        <v>7.0709999999999997</v>
      </c>
      <c r="E24" s="108">
        <v>4.4740000000000002</v>
      </c>
      <c r="F24" s="108">
        <v>3.2080000000000002</v>
      </c>
      <c r="G24" s="108">
        <v>4.5750000000000002</v>
      </c>
      <c r="H24" s="104">
        <v>-0.88099999999999978</v>
      </c>
      <c r="I24" s="104">
        <v>-0.70900000000000019</v>
      </c>
      <c r="J24" s="104">
        <v>-0.55699999999999972</v>
      </c>
      <c r="K24" s="104">
        <v>-0.39499999999999957</v>
      </c>
      <c r="L24" s="104">
        <v>-0.2219999999999997</v>
      </c>
      <c r="M24" s="104">
        <v>-7.0000000000000256E-2</v>
      </c>
      <c r="N24" s="7">
        <v>11.936999999999999</v>
      </c>
      <c r="O24" s="7">
        <v>7.6820000000000004</v>
      </c>
      <c r="P24" s="7">
        <v>19.619</v>
      </c>
      <c r="Q24" s="7">
        <v>16.878</v>
      </c>
      <c r="R24" s="8">
        <v>11.641</v>
      </c>
      <c r="S24" s="8">
        <v>9.2379999999999995</v>
      </c>
      <c r="T24" s="8">
        <v>20.879000000000001</v>
      </c>
      <c r="U24" s="8">
        <v>12.195</v>
      </c>
      <c r="V24" s="23">
        <v>0.29599999999999937</v>
      </c>
      <c r="W24" s="9">
        <v>-1.5559999999999989</v>
      </c>
      <c r="X24" s="9">
        <v>-1.260000000000002</v>
      </c>
      <c r="Y24" s="23">
        <v>4.6829999999999981</v>
      </c>
      <c r="Z24" s="24">
        <v>2.5427368782750571E-2</v>
      </c>
      <c r="AA24" s="10">
        <v>-0.16843472613119709</v>
      </c>
      <c r="AB24" s="10">
        <v>-6.034771780257682E-2</v>
      </c>
      <c r="AC24" s="24">
        <v>0.38400984009840078</v>
      </c>
    </row>
    <row r="25" spans="1:29" ht="17" customHeight="1" x14ac:dyDescent="0.35">
      <c r="A25" s="11" t="s">
        <v>160</v>
      </c>
      <c r="B25" s="12">
        <v>46.1</v>
      </c>
      <c r="C25" s="12">
        <v>48.71</v>
      </c>
      <c r="D25" s="12">
        <v>51.01</v>
      </c>
      <c r="E25" s="12">
        <v>58.09</v>
      </c>
      <c r="F25" s="12">
        <v>62.57</v>
      </c>
      <c r="G25" s="12">
        <v>66.037000000000006</v>
      </c>
      <c r="H25" s="13">
        <v>66.040000000000006</v>
      </c>
      <c r="I25" s="13">
        <v>65.2</v>
      </c>
      <c r="J25" s="13">
        <v>64.540000000000006</v>
      </c>
      <c r="K25" s="13">
        <v>64.16</v>
      </c>
      <c r="L25" s="13">
        <v>64.040000000000006</v>
      </c>
      <c r="M25" s="13">
        <v>64.2</v>
      </c>
      <c r="N25" s="14">
        <v>145.82</v>
      </c>
      <c r="O25" s="14">
        <v>120.66</v>
      </c>
      <c r="P25" s="14">
        <v>266.48</v>
      </c>
      <c r="Q25" s="14">
        <v>719.28</v>
      </c>
      <c r="R25" s="15">
        <v>37.950000000000003</v>
      </c>
      <c r="S25" s="15">
        <v>77.790000000000006</v>
      </c>
      <c r="T25" s="15">
        <v>115.74</v>
      </c>
      <c r="U25" s="15">
        <v>276.04000000000002</v>
      </c>
      <c r="V25" s="16">
        <v>107.87</v>
      </c>
      <c r="W25" s="16">
        <v>42.86999999999999</v>
      </c>
      <c r="X25" s="16">
        <v>150.74</v>
      </c>
      <c r="Y25" s="16">
        <v>443.24</v>
      </c>
      <c r="Z25" s="18">
        <v>2.8424242424242419</v>
      </c>
      <c r="AA25" s="18">
        <v>0.55109911299652892</v>
      </c>
      <c r="AB25" s="18">
        <v>1.3024019353723859</v>
      </c>
      <c r="AC25" s="18">
        <v>1.6057093174902191</v>
      </c>
    </row>
    <row r="26" spans="1:29" ht="17" customHeight="1" x14ac:dyDescent="0.35">
      <c r="A26" s="119" t="s">
        <v>138</v>
      </c>
      <c r="B26" s="108">
        <v>48.71</v>
      </c>
      <c r="C26" s="108">
        <v>51.01</v>
      </c>
      <c r="D26" s="108">
        <v>58.09</v>
      </c>
      <c r="E26" s="108">
        <v>62.57</v>
      </c>
      <c r="F26" s="108">
        <v>66.040000000000006</v>
      </c>
      <c r="G26" s="108">
        <v>70.611999999999995</v>
      </c>
      <c r="H26" s="104">
        <v>65.2</v>
      </c>
      <c r="I26" s="104">
        <v>64.540000000000006</v>
      </c>
      <c r="J26" s="104">
        <v>64.16</v>
      </c>
      <c r="K26" s="104">
        <v>64.040000000000006</v>
      </c>
      <c r="L26" s="104">
        <v>64.2</v>
      </c>
      <c r="M26" s="104">
        <v>64.62</v>
      </c>
      <c r="N26" s="7">
        <v>157.81</v>
      </c>
      <c r="O26" s="7">
        <v>128.61000000000001</v>
      </c>
      <c r="P26" s="7">
        <v>286.42</v>
      </c>
      <c r="Q26" s="7">
        <v>738.51</v>
      </c>
      <c r="R26" s="8">
        <v>49.62</v>
      </c>
      <c r="S26" s="8">
        <v>87.33</v>
      </c>
      <c r="T26" s="8">
        <v>136.94999999999999</v>
      </c>
      <c r="U26" s="8">
        <v>289.64</v>
      </c>
      <c r="V26" s="23">
        <v>108.19</v>
      </c>
      <c r="W26" s="23">
        <v>41.280000000000022</v>
      </c>
      <c r="X26" s="23">
        <v>149.47</v>
      </c>
      <c r="Y26" s="23">
        <v>448.87</v>
      </c>
      <c r="Z26" s="24">
        <v>2.18037081821846</v>
      </c>
      <c r="AA26" s="24">
        <v>0.47268979732050859</v>
      </c>
      <c r="AB26" s="24">
        <v>1.0914202263599859</v>
      </c>
      <c r="AC26" s="24">
        <v>1.549751415550338</v>
      </c>
    </row>
    <row r="28" spans="1:29" ht="24" customHeight="1" x14ac:dyDescent="0.35">
      <c r="A28" s="100" t="s">
        <v>161</v>
      </c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</row>
  </sheetData>
  <mergeCells count="11">
    <mergeCell ref="A1:AJ1"/>
    <mergeCell ref="A28:M28"/>
    <mergeCell ref="B2:G2"/>
    <mergeCell ref="A23:AC23"/>
    <mergeCell ref="A14:AC14"/>
    <mergeCell ref="V2:AC2"/>
    <mergeCell ref="A18:AC18"/>
    <mergeCell ref="A4:AC4"/>
    <mergeCell ref="N2:Q2"/>
    <mergeCell ref="R2:U2"/>
    <mergeCell ref="H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showGridLines="0" workbookViewId="0">
      <selection sqref="A1:H1"/>
    </sheetView>
  </sheetViews>
  <sheetFormatPr defaultRowHeight="14.5" x14ac:dyDescent="0.35"/>
  <cols>
    <col min="1" max="1" width="22" style="56" customWidth="1"/>
    <col min="2" max="6" width="18" style="56" customWidth="1"/>
  </cols>
  <sheetData>
    <row r="1" spans="1:8" ht="36" customHeight="1" x14ac:dyDescent="0.35">
      <c r="A1" s="101" t="s">
        <v>162</v>
      </c>
      <c r="B1" s="96"/>
      <c r="C1" s="96"/>
      <c r="D1" s="96"/>
      <c r="E1" s="96"/>
      <c r="F1" s="96"/>
      <c r="G1" s="96"/>
      <c r="H1" s="96"/>
    </row>
    <row r="2" spans="1:8" x14ac:dyDescent="0.35">
      <c r="A2" s="32" t="s">
        <v>163</v>
      </c>
      <c r="B2" s="32" t="s">
        <v>164</v>
      </c>
      <c r="C2" s="32" t="s">
        <v>165</v>
      </c>
      <c r="D2" s="32" t="s">
        <v>166</v>
      </c>
      <c r="E2" s="32" t="s">
        <v>167</v>
      </c>
      <c r="F2" s="32" t="s">
        <v>168</v>
      </c>
    </row>
    <row r="3" spans="1:8" x14ac:dyDescent="0.35">
      <c r="A3" s="33" t="s">
        <v>169</v>
      </c>
      <c r="B3" s="34">
        <v>0.08</v>
      </c>
      <c r="C3" s="34">
        <v>1.91</v>
      </c>
      <c r="D3" s="35">
        <v>0.72</v>
      </c>
      <c r="E3" s="36">
        <v>24.9</v>
      </c>
      <c r="F3" s="37">
        <v>1</v>
      </c>
    </row>
    <row r="4" spans="1:8" x14ac:dyDescent="0.35">
      <c r="A4" s="38" t="s">
        <v>170</v>
      </c>
      <c r="B4" s="39">
        <v>0.33</v>
      </c>
      <c r="C4" s="39">
        <v>3.11</v>
      </c>
      <c r="D4" s="40">
        <v>1.91</v>
      </c>
      <c r="E4" s="41">
        <v>9.4</v>
      </c>
      <c r="F4" s="42">
        <v>2</v>
      </c>
    </row>
    <row r="5" spans="1:8" x14ac:dyDescent="0.35">
      <c r="A5" s="33" t="s">
        <v>171</v>
      </c>
      <c r="B5" s="34">
        <v>0.12</v>
      </c>
      <c r="C5" s="34">
        <v>1.45</v>
      </c>
      <c r="D5" s="35">
        <v>0.57999999999999996</v>
      </c>
      <c r="E5" s="36">
        <v>12.1</v>
      </c>
      <c r="F5" s="37">
        <v>3</v>
      </c>
    </row>
    <row r="6" spans="1:8" x14ac:dyDescent="0.35">
      <c r="A6" s="38" t="s">
        <v>172</v>
      </c>
      <c r="B6" s="39">
        <v>0.19</v>
      </c>
      <c r="C6" s="39">
        <v>1.38</v>
      </c>
      <c r="D6" s="40">
        <v>0.44</v>
      </c>
      <c r="E6" s="41">
        <v>7.3</v>
      </c>
      <c r="F6" s="42">
        <v>4</v>
      </c>
    </row>
    <row r="7" spans="1:8" x14ac:dyDescent="0.35">
      <c r="A7" s="33" t="s">
        <v>173</v>
      </c>
      <c r="B7" s="34">
        <v>0.44</v>
      </c>
      <c r="C7" s="34">
        <v>2.21</v>
      </c>
      <c r="D7" s="35">
        <v>0.61</v>
      </c>
      <c r="E7" s="43">
        <v>5</v>
      </c>
      <c r="F7" s="37">
        <v>5</v>
      </c>
    </row>
    <row r="8" spans="1:8" x14ac:dyDescent="0.35">
      <c r="A8" s="38" t="s">
        <v>174</v>
      </c>
      <c r="B8" s="39">
        <v>0.15</v>
      </c>
      <c r="C8" s="39">
        <v>0.72</v>
      </c>
      <c r="D8" s="40">
        <v>0.18</v>
      </c>
      <c r="E8" s="44">
        <v>4.8</v>
      </c>
      <c r="F8" s="42">
        <v>6</v>
      </c>
    </row>
    <row r="9" spans="1:8" x14ac:dyDescent="0.35">
      <c r="A9" s="33" t="s">
        <v>175</v>
      </c>
      <c r="B9" s="34">
        <v>0.52</v>
      </c>
      <c r="C9" s="34">
        <v>1.1200000000000001</v>
      </c>
      <c r="D9" s="35">
        <v>0.22</v>
      </c>
      <c r="E9" s="45">
        <v>2.2000000000000002</v>
      </c>
      <c r="F9" s="37">
        <v>7</v>
      </c>
    </row>
    <row r="10" spans="1:8" x14ac:dyDescent="0.35">
      <c r="A10" s="38" t="s">
        <v>176</v>
      </c>
      <c r="B10" s="39">
        <v>0.38</v>
      </c>
      <c r="C10" s="39">
        <v>0.98</v>
      </c>
      <c r="D10" s="89">
        <v>0</v>
      </c>
      <c r="E10" s="46">
        <v>2.6</v>
      </c>
      <c r="F10" s="42">
        <v>8</v>
      </c>
    </row>
    <row r="11" spans="1:8" x14ac:dyDescent="0.35">
      <c r="A11" s="33" t="s">
        <v>177</v>
      </c>
      <c r="B11" s="34">
        <v>1.56</v>
      </c>
      <c r="C11" s="34">
        <v>2.27</v>
      </c>
      <c r="D11" s="90">
        <v>1.226</v>
      </c>
      <c r="E11" s="45">
        <v>1.5</v>
      </c>
      <c r="F11" s="37">
        <v>9</v>
      </c>
    </row>
    <row r="12" spans="1:8" x14ac:dyDescent="0.35">
      <c r="A12" s="38" t="s">
        <v>178</v>
      </c>
      <c r="B12" s="39">
        <v>1.27</v>
      </c>
      <c r="C12" s="39">
        <v>1.45</v>
      </c>
      <c r="D12" s="89">
        <v>0.98599999999999999</v>
      </c>
      <c r="E12" s="46">
        <v>1.1000000000000001</v>
      </c>
      <c r="F12" s="42">
        <v>10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showGridLines="0" workbookViewId="0">
      <selection sqref="A1:J1"/>
    </sheetView>
  </sheetViews>
  <sheetFormatPr defaultRowHeight="14.5" x14ac:dyDescent="0.35"/>
  <cols>
    <col min="1" max="1" width="22" style="56" customWidth="1"/>
    <col min="2" max="9" width="9" style="56" customWidth="1"/>
    <col min="10" max="10" width="16" style="56" customWidth="1"/>
  </cols>
  <sheetData>
    <row r="1" spans="1:10" ht="36" customHeight="1" x14ac:dyDescent="0.35">
      <c r="A1" s="123" t="s">
        <v>179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22" customHeight="1" x14ac:dyDescent="0.35">
      <c r="A2" s="81" t="s">
        <v>180</v>
      </c>
      <c r="B2" s="81" t="s">
        <v>6</v>
      </c>
      <c r="C2" s="81" t="s">
        <v>7</v>
      </c>
      <c r="D2" s="81" t="s">
        <v>8</v>
      </c>
      <c r="E2" s="81" t="s">
        <v>9</v>
      </c>
      <c r="F2" s="81" t="s">
        <v>10</v>
      </c>
      <c r="G2" s="81" t="s">
        <v>11</v>
      </c>
      <c r="H2" s="81" t="s">
        <v>181</v>
      </c>
      <c r="I2" s="81" t="s">
        <v>182</v>
      </c>
      <c r="J2" s="81" t="s">
        <v>183</v>
      </c>
    </row>
    <row r="3" spans="1:10" ht="18" customHeight="1" x14ac:dyDescent="0.35">
      <c r="A3" s="48" t="s">
        <v>184</v>
      </c>
      <c r="B3" s="83">
        <v>26</v>
      </c>
      <c r="C3" s="83">
        <v>27</v>
      </c>
      <c r="D3" s="83">
        <v>28</v>
      </c>
      <c r="E3" s="83">
        <v>28</v>
      </c>
      <c r="F3" s="83">
        <v>28</v>
      </c>
      <c r="G3" s="82">
        <v>29</v>
      </c>
      <c r="H3" s="83">
        <v>29</v>
      </c>
      <c r="I3" s="84">
        <v>0</v>
      </c>
      <c r="J3" s="83" t="s">
        <v>185</v>
      </c>
    </row>
    <row r="4" spans="1:10" ht="18" customHeight="1" x14ac:dyDescent="0.35">
      <c r="A4" s="49" t="s">
        <v>186</v>
      </c>
      <c r="B4" s="85">
        <v>34</v>
      </c>
      <c r="C4" s="85">
        <v>35</v>
      </c>
      <c r="D4" s="85">
        <v>35</v>
      </c>
      <c r="E4" s="85">
        <v>35</v>
      </c>
      <c r="F4" s="85">
        <v>36</v>
      </c>
      <c r="G4" s="82">
        <v>37</v>
      </c>
      <c r="H4" s="85">
        <v>37</v>
      </c>
      <c r="I4" s="86">
        <v>0</v>
      </c>
      <c r="J4" s="85" t="s">
        <v>185</v>
      </c>
    </row>
    <row r="5" spans="1:10" ht="18" customHeight="1" x14ac:dyDescent="0.35">
      <c r="A5" s="48" t="s">
        <v>187</v>
      </c>
      <c r="B5" s="83">
        <v>15</v>
      </c>
      <c r="C5" s="83">
        <v>15</v>
      </c>
      <c r="D5" s="83">
        <v>15</v>
      </c>
      <c r="E5" s="83">
        <v>16</v>
      </c>
      <c r="F5" s="83">
        <v>16</v>
      </c>
      <c r="G5" s="82">
        <v>17</v>
      </c>
      <c r="H5" s="83">
        <v>17</v>
      </c>
      <c r="I5" s="84">
        <v>0</v>
      </c>
      <c r="J5" s="83" t="s">
        <v>185</v>
      </c>
    </row>
    <row r="6" spans="1:10" ht="18" customHeight="1" x14ac:dyDescent="0.35">
      <c r="A6" s="49" t="s">
        <v>188</v>
      </c>
      <c r="B6" s="85">
        <v>13</v>
      </c>
      <c r="C6" s="85">
        <v>13</v>
      </c>
      <c r="D6" s="85">
        <v>13</v>
      </c>
      <c r="E6" s="85">
        <v>14</v>
      </c>
      <c r="F6" s="85">
        <v>14</v>
      </c>
      <c r="G6" s="82">
        <v>15</v>
      </c>
      <c r="H6" s="85">
        <v>15</v>
      </c>
      <c r="I6" s="86">
        <v>0</v>
      </c>
      <c r="J6" s="85" t="s">
        <v>185</v>
      </c>
    </row>
    <row r="7" spans="1:10" ht="18" customHeight="1" x14ac:dyDescent="0.35">
      <c r="A7" s="48" t="s">
        <v>189</v>
      </c>
      <c r="B7" s="83">
        <v>25</v>
      </c>
      <c r="C7" s="83">
        <v>26</v>
      </c>
      <c r="D7" s="83">
        <v>26</v>
      </c>
      <c r="E7" s="83">
        <v>26</v>
      </c>
      <c r="F7" s="83">
        <v>27</v>
      </c>
      <c r="G7" s="82">
        <v>29</v>
      </c>
      <c r="H7" s="83">
        <v>29</v>
      </c>
      <c r="I7" s="84">
        <v>0</v>
      </c>
      <c r="J7" s="83" t="s">
        <v>185</v>
      </c>
    </row>
    <row r="8" spans="1:10" ht="18" customHeight="1" x14ac:dyDescent="0.35">
      <c r="A8" s="49" t="s">
        <v>190</v>
      </c>
      <c r="B8" s="85">
        <v>8</v>
      </c>
      <c r="C8" s="85">
        <v>8</v>
      </c>
      <c r="D8" s="85">
        <v>9</v>
      </c>
      <c r="E8" s="85">
        <v>9</v>
      </c>
      <c r="F8" s="85">
        <v>9</v>
      </c>
      <c r="G8" s="82">
        <v>10</v>
      </c>
      <c r="H8" s="85">
        <v>10</v>
      </c>
      <c r="I8" s="86">
        <v>0</v>
      </c>
      <c r="J8" s="85" t="s">
        <v>185</v>
      </c>
    </row>
    <row r="9" spans="1:10" ht="18" customHeight="1" x14ac:dyDescent="0.35">
      <c r="A9" s="87" t="s">
        <v>191</v>
      </c>
      <c r="B9" s="88">
        <v>121</v>
      </c>
      <c r="C9" s="88">
        <v>124</v>
      </c>
      <c r="D9" s="88">
        <v>126</v>
      </c>
      <c r="E9" s="88">
        <v>128</v>
      </c>
      <c r="F9" s="88">
        <v>130</v>
      </c>
      <c r="G9" s="88">
        <v>137</v>
      </c>
      <c r="H9" s="88">
        <v>137</v>
      </c>
      <c r="I9" s="88">
        <v>0</v>
      </c>
      <c r="J9" s="88" t="s">
        <v>185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showGridLines="0" workbookViewId="0">
      <selection sqref="A1:L1"/>
    </sheetView>
  </sheetViews>
  <sheetFormatPr defaultRowHeight="14.5" x14ac:dyDescent="0.35"/>
  <cols>
    <col min="1" max="1" width="12" style="56" customWidth="1"/>
    <col min="2" max="2" width="22" style="56" customWidth="1"/>
    <col min="3" max="11" width="10" style="56" customWidth="1"/>
    <col min="12" max="12" width="65" style="56" customWidth="1"/>
  </cols>
  <sheetData>
    <row r="1" spans="1:12" ht="36" customHeight="1" x14ac:dyDescent="0.35">
      <c r="A1" s="121" t="s">
        <v>192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 spans="1:12" ht="24" customHeight="1" x14ac:dyDescent="0.35">
      <c r="A2" s="74" t="s">
        <v>193</v>
      </c>
      <c r="B2" s="74" t="s">
        <v>194</v>
      </c>
      <c r="C2" s="74" t="s">
        <v>195</v>
      </c>
      <c r="D2" s="74" t="s">
        <v>196</v>
      </c>
      <c r="E2" s="74" t="s">
        <v>197</v>
      </c>
      <c r="F2" s="74" t="s">
        <v>51</v>
      </c>
      <c r="G2" s="74" t="s">
        <v>52</v>
      </c>
      <c r="H2" s="74" t="s">
        <v>198</v>
      </c>
      <c r="I2" s="74" t="s">
        <v>55</v>
      </c>
      <c r="J2" s="74" t="s">
        <v>56</v>
      </c>
      <c r="K2" s="74" t="s">
        <v>199</v>
      </c>
      <c r="L2" s="74" t="s">
        <v>200</v>
      </c>
    </row>
    <row r="3" spans="1:12" ht="55" customHeight="1" x14ac:dyDescent="0.35">
      <c r="A3" s="75" t="s">
        <v>201</v>
      </c>
      <c r="B3" s="75" t="s">
        <v>43</v>
      </c>
      <c r="C3" s="120" t="s">
        <v>202</v>
      </c>
      <c r="D3" s="120" t="s">
        <v>203</v>
      </c>
      <c r="E3" s="120" t="s">
        <v>204</v>
      </c>
      <c r="F3" s="109" t="s">
        <v>202</v>
      </c>
      <c r="G3" s="109" t="s">
        <v>203</v>
      </c>
      <c r="H3" s="109" t="s">
        <v>204</v>
      </c>
      <c r="I3" s="109" t="s">
        <v>202</v>
      </c>
      <c r="J3" s="109" t="s">
        <v>203</v>
      </c>
      <c r="K3" s="109" t="s">
        <v>204</v>
      </c>
      <c r="L3" s="109" t="s">
        <v>205</v>
      </c>
    </row>
    <row r="4" spans="1:12" ht="55" customHeight="1" x14ac:dyDescent="0.35">
      <c r="A4" s="76" t="s">
        <v>201</v>
      </c>
      <c r="B4" s="76" t="s">
        <v>42</v>
      </c>
      <c r="C4" s="118" t="s">
        <v>206</v>
      </c>
      <c r="D4" s="118" t="s">
        <v>207</v>
      </c>
      <c r="E4" s="118" t="s">
        <v>208</v>
      </c>
      <c r="F4" s="109" t="s">
        <v>209</v>
      </c>
      <c r="G4" s="109" t="s">
        <v>210</v>
      </c>
      <c r="H4" s="109" t="s">
        <v>211</v>
      </c>
      <c r="I4" s="109" t="s">
        <v>212</v>
      </c>
      <c r="J4" s="109" t="s">
        <v>213</v>
      </c>
      <c r="K4" s="109" t="s">
        <v>204</v>
      </c>
      <c r="L4" s="109" t="s">
        <v>214</v>
      </c>
    </row>
    <row r="5" spans="1:12" ht="55" customHeight="1" x14ac:dyDescent="0.35">
      <c r="A5" s="75" t="s">
        <v>215</v>
      </c>
      <c r="B5" s="75" t="s">
        <v>215</v>
      </c>
      <c r="C5" s="120" t="s">
        <v>216</v>
      </c>
      <c r="D5" s="120" t="s">
        <v>217</v>
      </c>
      <c r="E5" s="120" t="s">
        <v>218</v>
      </c>
      <c r="F5" s="109" t="s">
        <v>219</v>
      </c>
      <c r="G5" s="109" t="s">
        <v>220</v>
      </c>
      <c r="H5" s="109" t="s">
        <v>221</v>
      </c>
      <c r="I5" s="109" t="s">
        <v>222</v>
      </c>
      <c r="J5" s="109" t="s">
        <v>223</v>
      </c>
      <c r="K5" s="109" t="s">
        <v>224</v>
      </c>
      <c r="L5" s="109" t="s">
        <v>225</v>
      </c>
    </row>
    <row r="6" spans="1:12" ht="55" customHeight="1" x14ac:dyDescent="0.35">
      <c r="A6" s="76" t="s">
        <v>215</v>
      </c>
      <c r="B6" s="76" t="s">
        <v>112</v>
      </c>
      <c r="C6" s="118" t="s">
        <v>226</v>
      </c>
      <c r="D6" s="118" t="s">
        <v>227</v>
      </c>
      <c r="E6" s="110" t="s">
        <v>67</v>
      </c>
      <c r="F6" s="109" t="s">
        <v>228</v>
      </c>
      <c r="G6" s="109" t="s">
        <v>229</v>
      </c>
      <c r="H6" s="117" t="s">
        <v>230</v>
      </c>
      <c r="I6" s="109" t="s">
        <v>231</v>
      </c>
      <c r="J6" s="109" t="s">
        <v>232</v>
      </c>
      <c r="K6" s="117" t="s">
        <v>233</v>
      </c>
      <c r="L6" s="109" t="s">
        <v>234</v>
      </c>
    </row>
    <row r="7" spans="1:12" ht="55" customHeight="1" x14ac:dyDescent="0.35">
      <c r="A7" s="75" t="s">
        <v>235</v>
      </c>
      <c r="B7" s="75" t="s">
        <v>77</v>
      </c>
      <c r="C7" s="120" t="s">
        <v>236</v>
      </c>
      <c r="D7" s="120" t="s">
        <v>237</v>
      </c>
      <c r="E7" s="120" t="s">
        <v>238</v>
      </c>
      <c r="F7" s="109" t="s">
        <v>239</v>
      </c>
      <c r="G7" s="109" t="s">
        <v>240</v>
      </c>
      <c r="H7" s="109" t="s">
        <v>241</v>
      </c>
      <c r="I7" s="109" t="s">
        <v>242</v>
      </c>
      <c r="J7" s="109" t="s">
        <v>243</v>
      </c>
      <c r="K7" s="109" t="s">
        <v>244</v>
      </c>
      <c r="L7" s="109" t="s">
        <v>245</v>
      </c>
    </row>
    <row r="8" spans="1:12" ht="55" customHeight="1" x14ac:dyDescent="0.35">
      <c r="A8" s="76" t="s">
        <v>246</v>
      </c>
      <c r="B8" s="76" t="s">
        <v>247</v>
      </c>
      <c r="C8" s="118" t="s">
        <v>248</v>
      </c>
      <c r="D8" s="118" t="s">
        <v>206</v>
      </c>
      <c r="E8" s="118" t="s">
        <v>249</v>
      </c>
      <c r="F8" s="109" t="s">
        <v>250</v>
      </c>
      <c r="G8" s="109" t="s">
        <v>251</v>
      </c>
      <c r="H8" s="109" t="s">
        <v>252</v>
      </c>
      <c r="I8" s="109" t="s">
        <v>253</v>
      </c>
      <c r="J8" s="109" t="s">
        <v>254</v>
      </c>
      <c r="K8" s="109" t="s">
        <v>255</v>
      </c>
      <c r="L8" s="109" t="s">
        <v>256</v>
      </c>
    </row>
    <row r="9" spans="1:12" ht="55" customHeight="1" x14ac:dyDescent="0.35">
      <c r="A9" s="75" t="s">
        <v>257</v>
      </c>
      <c r="B9" s="75" t="s">
        <v>258</v>
      </c>
      <c r="C9" s="120" t="s">
        <v>259</v>
      </c>
      <c r="D9" s="120" t="s">
        <v>260</v>
      </c>
      <c r="E9" s="120" t="s">
        <v>261</v>
      </c>
      <c r="F9" s="109" t="s">
        <v>259</v>
      </c>
      <c r="G9" s="109" t="s">
        <v>260</v>
      </c>
      <c r="H9" s="109" t="s">
        <v>261</v>
      </c>
      <c r="I9" s="109" t="s">
        <v>259</v>
      </c>
      <c r="J9" s="109" t="s">
        <v>260</v>
      </c>
      <c r="K9" s="109" t="s">
        <v>261</v>
      </c>
      <c r="L9" s="109" t="s">
        <v>262</v>
      </c>
    </row>
    <row r="10" spans="1:12" ht="55" customHeight="1" x14ac:dyDescent="0.35">
      <c r="A10" s="76" t="s">
        <v>263</v>
      </c>
      <c r="B10" s="76" t="s">
        <v>264</v>
      </c>
      <c r="C10" s="118" t="s">
        <v>265</v>
      </c>
      <c r="D10" s="118" t="s">
        <v>265</v>
      </c>
      <c r="E10" s="118" t="s">
        <v>266</v>
      </c>
      <c r="F10" s="109" t="s">
        <v>265</v>
      </c>
      <c r="G10" s="109" t="s">
        <v>265</v>
      </c>
      <c r="H10" s="109" t="s">
        <v>266</v>
      </c>
      <c r="I10" s="109" t="s">
        <v>265</v>
      </c>
      <c r="J10" s="109" t="s">
        <v>265</v>
      </c>
      <c r="K10" s="109" t="s">
        <v>266</v>
      </c>
      <c r="L10" s="109" t="s">
        <v>267</v>
      </c>
    </row>
  </sheetData>
  <mergeCells count="1">
    <mergeCell ref="A1:L1"/>
  </mergeCells>
  <pageMargins left="0.75" right="0.75" top="1" bottom="1" header="0.5" footer="0.5"/>
  <ignoredErrors>
    <ignoredError sqref="C10:K10 C6:K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selection sqref="A1:H1"/>
    </sheetView>
  </sheetViews>
  <sheetFormatPr defaultRowHeight="14.5" x14ac:dyDescent="0.35"/>
  <cols>
    <col min="1" max="1" width="8" style="56" customWidth="1"/>
    <col min="2" max="2" width="11" style="56" customWidth="1"/>
    <col min="3" max="3" width="9" style="56" customWidth="1"/>
    <col min="4" max="4" width="55" style="56" customWidth="1"/>
    <col min="5" max="5" width="11" style="56" customWidth="1"/>
    <col min="6" max="6" width="45" style="56" customWidth="1"/>
  </cols>
  <sheetData>
    <row r="1" spans="1:8" ht="36" customHeight="1" x14ac:dyDescent="0.35">
      <c r="A1" s="101" t="s">
        <v>268</v>
      </c>
      <c r="B1" s="96"/>
      <c r="C1" s="96"/>
      <c r="D1" s="96"/>
      <c r="E1" s="96"/>
      <c r="F1" s="96"/>
      <c r="G1" s="96"/>
      <c r="H1" s="96"/>
    </row>
    <row r="2" spans="1:8" x14ac:dyDescent="0.35">
      <c r="A2" s="32" t="s">
        <v>269</v>
      </c>
      <c r="B2" s="32" t="s">
        <v>193</v>
      </c>
      <c r="C2" s="32" t="s">
        <v>270</v>
      </c>
      <c r="D2" s="32" t="s">
        <v>271</v>
      </c>
      <c r="E2" s="32" t="s">
        <v>272</v>
      </c>
      <c r="F2" s="32" t="s">
        <v>273</v>
      </c>
    </row>
    <row r="3" spans="1:8" ht="60" customHeight="1" x14ac:dyDescent="0.35">
      <c r="A3" s="116" t="s">
        <v>274</v>
      </c>
      <c r="B3" s="116" t="s">
        <v>246</v>
      </c>
      <c r="C3" s="116" t="s">
        <v>275</v>
      </c>
      <c r="D3" s="79" t="s">
        <v>276</v>
      </c>
      <c r="E3" s="116" t="s">
        <v>275</v>
      </c>
      <c r="F3" s="79" t="s">
        <v>277</v>
      </c>
    </row>
    <row r="4" spans="1:8" ht="60" customHeight="1" x14ac:dyDescent="0.35">
      <c r="A4" s="116" t="s">
        <v>274</v>
      </c>
      <c r="B4" s="116" t="s">
        <v>278</v>
      </c>
      <c r="C4" s="116" t="s">
        <v>275</v>
      </c>
      <c r="D4" s="79" t="s">
        <v>279</v>
      </c>
      <c r="E4" s="116" t="s">
        <v>275</v>
      </c>
      <c r="F4" s="79" t="s">
        <v>280</v>
      </c>
    </row>
    <row r="5" spans="1:8" ht="60" customHeight="1" x14ac:dyDescent="0.35">
      <c r="A5" s="116" t="s">
        <v>274</v>
      </c>
      <c r="B5" s="116" t="s">
        <v>281</v>
      </c>
      <c r="C5" s="116" t="s">
        <v>282</v>
      </c>
      <c r="D5" s="79" t="s">
        <v>283</v>
      </c>
      <c r="E5" s="116" t="s">
        <v>282</v>
      </c>
      <c r="F5" s="79" t="s">
        <v>284</v>
      </c>
    </row>
    <row r="6" spans="1:8" ht="60" customHeight="1" x14ac:dyDescent="0.35">
      <c r="A6" s="116" t="s">
        <v>274</v>
      </c>
      <c r="B6" s="116" t="s">
        <v>257</v>
      </c>
      <c r="C6" s="116" t="s">
        <v>285</v>
      </c>
      <c r="D6" s="79" t="s">
        <v>286</v>
      </c>
      <c r="E6" s="116" t="s">
        <v>285</v>
      </c>
      <c r="F6" s="79" t="s">
        <v>287</v>
      </c>
    </row>
    <row r="7" spans="1:8" ht="60" customHeight="1" x14ac:dyDescent="0.35">
      <c r="A7" s="112" t="s">
        <v>288</v>
      </c>
      <c r="B7" s="112" t="s">
        <v>246</v>
      </c>
      <c r="C7" s="112" t="s">
        <v>275</v>
      </c>
      <c r="D7" s="80" t="s">
        <v>289</v>
      </c>
      <c r="E7" s="112" t="s">
        <v>275</v>
      </c>
      <c r="F7" s="80" t="s">
        <v>290</v>
      </c>
    </row>
    <row r="8" spans="1:8" ht="60" customHeight="1" x14ac:dyDescent="0.35">
      <c r="A8" s="112" t="s">
        <v>288</v>
      </c>
      <c r="B8" s="112" t="s">
        <v>201</v>
      </c>
      <c r="C8" s="112" t="s">
        <v>275</v>
      </c>
      <c r="D8" s="80" t="s">
        <v>291</v>
      </c>
      <c r="E8" s="112" t="s">
        <v>275</v>
      </c>
      <c r="F8" s="80" t="s">
        <v>292</v>
      </c>
    </row>
    <row r="9" spans="1:8" ht="60" customHeight="1" x14ac:dyDescent="0.35">
      <c r="A9" s="112" t="s">
        <v>288</v>
      </c>
      <c r="B9" s="112" t="s">
        <v>293</v>
      </c>
      <c r="C9" s="112" t="s">
        <v>282</v>
      </c>
      <c r="D9" s="80" t="s">
        <v>294</v>
      </c>
      <c r="E9" s="112" t="s">
        <v>282</v>
      </c>
      <c r="F9" s="80" t="s">
        <v>295</v>
      </c>
    </row>
    <row r="10" spans="1:8" ht="50" customHeight="1" x14ac:dyDescent="0.35">
      <c r="A10" s="112" t="s">
        <v>288</v>
      </c>
      <c r="B10" s="47" t="s">
        <v>257</v>
      </c>
      <c r="C10" s="112" t="s">
        <v>282</v>
      </c>
      <c r="D10" s="80" t="s">
        <v>296</v>
      </c>
      <c r="E10" s="112" t="s">
        <v>282</v>
      </c>
      <c r="F10" s="80" t="s">
        <v>297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showGridLines="0" workbookViewId="0">
      <selection sqref="A1:D1"/>
    </sheetView>
  </sheetViews>
  <sheetFormatPr defaultRowHeight="14.5" x14ac:dyDescent="0.35"/>
  <cols>
    <col min="1" max="1" width="32" style="56" customWidth="1"/>
    <col min="2" max="2" width="55" style="56" customWidth="1"/>
    <col min="3" max="3" width="30" style="56" customWidth="1"/>
    <col min="4" max="4" width="13.1796875" style="56" bestFit="1" customWidth="1"/>
  </cols>
  <sheetData>
    <row r="1" spans="1:8" ht="36" customHeight="1" x14ac:dyDescent="0.35">
      <c r="A1" s="124" t="s">
        <v>298</v>
      </c>
      <c r="B1" s="124"/>
      <c r="C1" s="124"/>
      <c r="D1" s="124"/>
      <c r="E1" s="122"/>
      <c r="F1" s="122"/>
      <c r="G1" s="122"/>
      <c r="H1" s="122"/>
    </row>
    <row r="2" spans="1:8" x14ac:dyDescent="0.35">
      <c r="A2" s="32" t="s">
        <v>299</v>
      </c>
      <c r="B2" s="32" t="s">
        <v>300</v>
      </c>
      <c r="C2" s="32" t="s">
        <v>301</v>
      </c>
      <c r="D2" s="32" t="s">
        <v>302</v>
      </c>
    </row>
    <row r="3" spans="1:8" ht="18" customHeight="1" x14ac:dyDescent="0.35">
      <c r="A3" s="50" t="s">
        <v>303</v>
      </c>
      <c r="B3" s="50"/>
      <c r="C3" s="50"/>
      <c r="D3" s="50"/>
    </row>
    <row r="4" spans="1:8" ht="18" customHeight="1" x14ac:dyDescent="0.35">
      <c r="A4" s="51" t="s">
        <v>304</v>
      </c>
      <c r="B4" s="51" t="s">
        <v>305</v>
      </c>
      <c r="C4" s="51" t="s">
        <v>306</v>
      </c>
      <c r="D4" s="51" t="s">
        <v>266</v>
      </c>
    </row>
    <row r="5" spans="1:8" ht="18" customHeight="1" x14ac:dyDescent="0.35">
      <c r="A5" s="52" t="s">
        <v>307</v>
      </c>
      <c r="B5" s="52" t="s">
        <v>308</v>
      </c>
      <c r="C5" s="52" t="s">
        <v>306</v>
      </c>
      <c r="D5" s="52" t="s">
        <v>266</v>
      </c>
    </row>
    <row r="6" spans="1:8" ht="18" customHeight="1" x14ac:dyDescent="0.35">
      <c r="A6" s="51" t="s">
        <v>309</v>
      </c>
      <c r="B6" s="51" t="s">
        <v>310</v>
      </c>
      <c r="C6" s="51" t="s">
        <v>306</v>
      </c>
      <c r="D6" s="51" t="s">
        <v>266</v>
      </c>
    </row>
    <row r="7" spans="1:8" ht="18" customHeight="1" x14ac:dyDescent="0.35">
      <c r="A7" s="50" t="s">
        <v>311</v>
      </c>
      <c r="B7" s="50"/>
      <c r="C7" s="50"/>
      <c r="D7" s="50"/>
    </row>
    <row r="8" spans="1:8" ht="18" customHeight="1" x14ac:dyDescent="0.35">
      <c r="A8" s="53" t="s">
        <v>312</v>
      </c>
      <c r="B8" s="53" t="s">
        <v>313</v>
      </c>
      <c r="C8" s="53" t="s">
        <v>314</v>
      </c>
      <c r="D8" s="53" t="s">
        <v>266</v>
      </c>
    </row>
    <row r="9" spans="1:8" ht="18" customHeight="1" x14ac:dyDescent="0.35">
      <c r="A9" s="52" t="s">
        <v>315</v>
      </c>
      <c r="B9" s="52" t="s">
        <v>316</v>
      </c>
      <c r="C9" s="52" t="s">
        <v>314</v>
      </c>
      <c r="D9" s="52" t="s">
        <v>266</v>
      </c>
    </row>
    <row r="10" spans="1:8" ht="18" customHeight="1" x14ac:dyDescent="0.35">
      <c r="A10" s="54" t="s">
        <v>317</v>
      </c>
      <c r="B10" s="54" t="s">
        <v>318</v>
      </c>
      <c r="C10" s="54" t="s">
        <v>314</v>
      </c>
      <c r="D10" s="54" t="s">
        <v>266</v>
      </c>
    </row>
    <row r="11" spans="1:8" ht="18" customHeight="1" x14ac:dyDescent="0.35">
      <c r="A11" s="55" t="s">
        <v>319</v>
      </c>
      <c r="B11" s="55" t="s">
        <v>320</v>
      </c>
      <c r="C11" s="55" t="s">
        <v>314</v>
      </c>
      <c r="D11" s="55" t="s">
        <v>266</v>
      </c>
    </row>
    <row r="12" spans="1:8" ht="18" customHeight="1" x14ac:dyDescent="0.35">
      <c r="A12" s="50" t="s">
        <v>321</v>
      </c>
      <c r="B12" s="50"/>
      <c r="C12" s="50"/>
      <c r="D12" s="50"/>
    </row>
    <row r="13" spans="1:8" ht="18" customHeight="1" x14ac:dyDescent="0.35">
      <c r="A13" s="52" t="s">
        <v>322</v>
      </c>
      <c r="B13" s="52" t="s">
        <v>323</v>
      </c>
      <c r="C13" s="52" t="s">
        <v>324</v>
      </c>
      <c r="D13" s="52" t="s">
        <v>325</v>
      </c>
    </row>
    <row r="14" spans="1:8" ht="18" customHeight="1" x14ac:dyDescent="0.35">
      <c r="A14" s="51" t="s">
        <v>326</v>
      </c>
      <c r="B14" s="51" t="s">
        <v>327</v>
      </c>
      <c r="C14" s="51" t="s">
        <v>328</v>
      </c>
      <c r="D14" s="51" t="s">
        <v>329</v>
      </c>
    </row>
    <row r="15" spans="1:8" ht="18" customHeight="1" x14ac:dyDescent="0.35">
      <c r="A15" s="52" t="s">
        <v>330</v>
      </c>
      <c r="B15" s="52" t="s">
        <v>331</v>
      </c>
      <c r="C15" s="52" t="s">
        <v>332</v>
      </c>
      <c r="D15" s="52" t="s">
        <v>325</v>
      </c>
    </row>
    <row r="16" spans="1:8" ht="18" customHeight="1" x14ac:dyDescent="0.35">
      <c r="A16" s="51" t="s">
        <v>333</v>
      </c>
      <c r="B16" s="51" t="s">
        <v>334</v>
      </c>
      <c r="C16" s="51" t="s">
        <v>335</v>
      </c>
      <c r="D16" s="51" t="s">
        <v>336</v>
      </c>
    </row>
    <row r="17" spans="1:4" ht="18" customHeight="1" x14ac:dyDescent="0.35">
      <c r="A17" s="52" t="s">
        <v>337</v>
      </c>
      <c r="B17" s="52" t="s">
        <v>338</v>
      </c>
      <c r="C17" s="52" t="s">
        <v>335</v>
      </c>
      <c r="D17" s="52" t="s">
        <v>336</v>
      </c>
    </row>
    <row r="18" spans="1:4" ht="18" customHeight="1" x14ac:dyDescent="0.35">
      <c r="A18" s="51" t="s">
        <v>339</v>
      </c>
      <c r="B18" s="51" t="s">
        <v>340</v>
      </c>
      <c r="C18" s="51" t="s">
        <v>335</v>
      </c>
      <c r="D18" s="51" t="s">
        <v>341</v>
      </c>
    </row>
    <row r="19" spans="1:4" ht="18" customHeight="1" x14ac:dyDescent="0.35">
      <c r="A19" s="52" t="s">
        <v>342</v>
      </c>
      <c r="B19" s="52" t="s">
        <v>343</v>
      </c>
      <c r="C19" s="52" t="s">
        <v>344</v>
      </c>
      <c r="D19" s="52" t="s">
        <v>345</v>
      </c>
    </row>
    <row r="20" spans="1:4" ht="18" customHeight="1" x14ac:dyDescent="0.35">
      <c r="A20" s="51" t="s">
        <v>346</v>
      </c>
      <c r="B20" s="51" t="s">
        <v>347</v>
      </c>
      <c r="C20" s="51" t="s">
        <v>335</v>
      </c>
      <c r="D20" s="51" t="s">
        <v>336</v>
      </c>
    </row>
    <row r="21" spans="1:4" ht="18" customHeight="1" x14ac:dyDescent="0.35">
      <c r="A21" s="50" t="s">
        <v>348</v>
      </c>
      <c r="B21" s="50"/>
      <c r="C21" s="50"/>
      <c r="D21" s="50"/>
    </row>
    <row r="22" spans="1:4" ht="18" customHeight="1" x14ac:dyDescent="0.35">
      <c r="A22" s="51" t="s">
        <v>349</v>
      </c>
      <c r="B22" s="51" t="s">
        <v>350</v>
      </c>
      <c r="C22" s="51" t="s">
        <v>351</v>
      </c>
      <c r="D22" s="51" t="s">
        <v>325</v>
      </c>
    </row>
    <row r="23" spans="1:4" ht="18" customHeight="1" x14ac:dyDescent="0.35">
      <c r="A23" s="52" t="s">
        <v>352</v>
      </c>
      <c r="B23" s="52" t="s">
        <v>353</v>
      </c>
      <c r="C23" s="52" t="s">
        <v>354</v>
      </c>
      <c r="D23" s="52" t="s">
        <v>325</v>
      </c>
    </row>
    <row r="24" spans="1:4" ht="18" customHeight="1" x14ac:dyDescent="0.35">
      <c r="A24" s="51" t="s">
        <v>355</v>
      </c>
      <c r="B24" s="51" t="s">
        <v>356</v>
      </c>
      <c r="C24" s="51" t="s">
        <v>357</v>
      </c>
      <c r="D24" s="51" t="s">
        <v>345</v>
      </c>
    </row>
    <row r="25" spans="1:4" ht="18" customHeight="1" x14ac:dyDescent="0.35">
      <c r="A25" s="52" t="s">
        <v>358</v>
      </c>
      <c r="B25" s="52" t="s">
        <v>359</v>
      </c>
      <c r="C25" s="52" t="s">
        <v>351</v>
      </c>
      <c r="D25" s="52" t="s">
        <v>325</v>
      </c>
    </row>
    <row r="26" spans="1:4" ht="18" customHeight="1" x14ac:dyDescent="0.35">
      <c r="A26" s="51" t="s">
        <v>360</v>
      </c>
      <c r="B26" s="51" t="s">
        <v>361</v>
      </c>
      <c r="C26" s="51" t="s">
        <v>354</v>
      </c>
      <c r="D26" s="51" t="s">
        <v>325</v>
      </c>
    </row>
    <row r="27" spans="1:4" ht="18" customHeight="1" x14ac:dyDescent="0.35">
      <c r="A27" s="52" t="s">
        <v>362</v>
      </c>
      <c r="B27" s="52" t="s">
        <v>363</v>
      </c>
      <c r="C27" s="52" t="s">
        <v>357</v>
      </c>
      <c r="D27" s="52" t="s">
        <v>345</v>
      </c>
    </row>
    <row r="28" spans="1:4" ht="18" customHeight="1" x14ac:dyDescent="0.35">
      <c r="A28" s="51" t="s">
        <v>364</v>
      </c>
      <c r="B28" s="51" t="s">
        <v>365</v>
      </c>
      <c r="C28" s="51" t="s">
        <v>351</v>
      </c>
      <c r="D28" s="51" t="s">
        <v>325</v>
      </c>
    </row>
    <row r="29" spans="1:4" ht="18" customHeight="1" x14ac:dyDescent="0.35">
      <c r="A29" s="52" t="s">
        <v>366</v>
      </c>
      <c r="B29" s="52" t="s">
        <v>367</v>
      </c>
      <c r="C29" s="52" t="s">
        <v>354</v>
      </c>
      <c r="D29" s="52" t="s">
        <v>325</v>
      </c>
    </row>
    <row r="30" spans="1:4" ht="18" customHeight="1" x14ac:dyDescent="0.35">
      <c r="A30" s="51" t="s">
        <v>368</v>
      </c>
      <c r="B30" s="51" t="s">
        <v>369</v>
      </c>
      <c r="C30" s="51" t="s">
        <v>357</v>
      </c>
      <c r="D30" s="51" t="s">
        <v>345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Q2 vs Budget</vt:lpstr>
      <vt:lpstr>ARR Waterfall</vt:lpstr>
      <vt:lpstr>Income Statement</vt:lpstr>
      <vt:lpstr>Cash Forecast</vt:lpstr>
      <vt:lpstr>Cash Flow Statement</vt:lpstr>
      <vt:lpstr>GTM Review</vt:lpstr>
      <vt:lpstr>Headcount</vt:lpstr>
      <vt:lpstr>Variance Commentary</vt:lpstr>
      <vt:lpstr>Risks &amp; Opportunities</vt:lpstr>
      <vt:lpstr>Assumptions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Justice</cp:lastModifiedBy>
  <dcterms:created xsi:type="dcterms:W3CDTF">2026-05-22T01:55:08Z</dcterms:created>
  <dcterms:modified xsi:type="dcterms:W3CDTF">2026-06-08T17:54:55Z</dcterms:modified>
</cp:coreProperties>
</file>