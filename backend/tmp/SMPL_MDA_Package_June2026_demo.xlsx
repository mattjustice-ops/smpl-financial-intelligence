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0" yWindow="-740" windowWidth="25640" windowHeight="14100" tabRatio="600" firstSheet="0" activeTab="0" autoFilterDateGrouping="1"/>
  </bookViews>
  <sheets>
    <sheet xmlns:r="http://schemas.openxmlformats.org/officeDocument/2006/relationships" name="Q2 vs Budget" sheetId="1" state="visible" r:id="rId1"/>
    <sheet xmlns:r="http://schemas.openxmlformats.org/officeDocument/2006/relationships" name="ARR Waterfall" sheetId="2" state="visible" r:id="rId2"/>
    <sheet xmlns:r="http://schemas.openxmlformats.org/officeDocument/2006/relationships" name="Income Statement" sheetId="3" state="visible" r:id="rId3"/>
    <sheet xmlns:r="http://schemas.openxmlformats.org/officeDocument/2006/relationships" name="Cash Forecas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GTM Review" sheetId="6" state="visible" r:id="rId6"/>
    <sheet xmlns:r="http://schemas.openxmlformats.org/officeDocument/2006/relationships" name="Headcount" sheetId="7" state="visible" r:id="rId7"/>
    <sheet xmlns:r="http://schemas.openxmlformats.org/officeDocument/2006/relationships" name="Variance Commentary" sheetId="8" state="visible" r:id="rId8"/>
    <sheet xmlns:r="http://schemas.openxmlformats.org/officeDocument/2006/relationships" name="Risks &amp; Opportunities" sheetId="9" state="visible" r:id="rId9"/>
    <sheet xmlns:r="http://schemas.openxmlformats.org/officeDocument/2006/relationships" name="Assumptions &amp; Legend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\$#,##0.0;\(\$#,##0.0\);&quot;-&quot;"/>
    <numFmt numFmtId="165" formatCode="\+\$#,##0.0;\(\$#,##0.0\);&quot;-&quot;"/>
    <numFmt numFmtId="166" formatCode="\+0.0%;\(0.0%\);&quot;-&quot;"/>
    <numFmt numFmtId="167" formatCode="0.0%;\(0.0%\);&quot;-&quot;"/>
    <numFmt numFmtId="168" formatCode="\$#,##0.00"/>
    <numFmt numFmtId="169" formatCode="\$#,##0.00;&quot;-&quot;"/>
    <numFmt numFmtId="170" formatCode="0.0\x"/>
    <numFmt numFmtId="171" formatCode="#,##0.00&quot;M&quot;"/>
    <numFmt numFmtId="172" formatCode="\+#,##0.00&quot;M&quot;;\-#,##0.00&quot;M&quot;;&quot;—&quot;"/>
    <numFmt numFmtId="173" formatCode="0.0%"/>
    <numFmt numFmtId="174" formatCode="\+0.0%;\-0.0%;0.0%"/>
    <numFmt numFmtId="175" formatCode="\$#,##0.0;(\$#,##0.0);&quot;-&quot;"/>
    <numFmt numFmtId="176" formatCode="\+$#,##0.0;(\$#,##0.0);&quot;-&quot;"/>
  </numFmts>
  <fonts count="71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FFFFFF"/>
      <sz val="9"/>
    </font>
    <font>
      <name val="Arial"/>
      <b val="1"/>
      <color rgb="FF1B4F72"/>
      <sz val="8"/>
    </font>
    <font>
      <name val="Arial"/>
      <b val="1"/>
      <color rgb="FF92400E"/>
      <sz val="8"/>
    </font>
    <font>
      <name val="Arial"/>
      <b val="1"/>
      <color rgb="FF0F6E56"/>
      <sz val="8"/>
    </font>
    <font>
      <name val="Arial"/>
      <b val="1"/>
      <color rgb="FF374151"/>
      <sz val="8"/>
    </font>
    <font>
      <name val="Arial"/>
      <b val="1"/>
      <color rgb="FF1E293B"/>
      <sz val="10"/>
    </font>
    <font>
      <name val="Arial"/>
      <b val="1"/>
      <color rgb="FF0000FF"/>
      <sz val="10"/>
    </font>
    <font>
      <name val="Arial"/>
      <b val="1"/>
      <color rgb="FF1B4F72"/>
      <sz val="10"/>
    </font>
    <font>
      <name val="Arial"/>
      <b val="1"/>
      <color rgb="FF0F6E56"/>
      <sz val="10"/>
    </font>
    <font>
      <name val="Arial"/>
      <b val="1"/>
      <color rgb="FFC0392B"/>
      <sz val="10"/>
    </font>
    <font>
      <name val="Arial"/>
      <color rgb="FFC0392B"/>
      <sz val="10"/>
    </font>
    <font>
      <name val="Arial"/>
      <i val="1"/>
      <color rgb="FF1E293B"/>
      <sz val="10"/>
    </font>
    <font>
      <name val="Arial"/>
      <color rgb="FF0000FF"/>
      <sz val="10"/>
    </font>
    <font>
      <name val="Arial"/>
      <color rgb="FF92400E"/>
      <sz val="10"/>
    </font>
    <font>
      <name val="Arial"/>
      <color rgb="FF1B4F72"/>
      <sz val="10"/>
    </font>
    <font>
      <name val="Arial"/>
      <color rgb="FF0F6E56"/>
      <sz val="10"/>
    </font>
    <font>
      <name val="Arial"/>
      <color rgb="FF16A34A"/>
      <sz val="10"/>
    </font>
    <font>
      <name val="Arial"/>
      <color rgb="FF475569"/>
      <sz val="10"/>
    </font>
    <font>
      <name val="Arial"/>
      <b val="1"/>
      <color rgb="FF16A34A"/>
      <sz val="10"/>
    </font>
    <font>
      <name val="Arial"/>
      <color rgb="FF1E293B"/>
      <sz val="10"/>
    </font>
    <font>
      <name val="Arial"/>
      <i val="1"/>
      <color rgb="FF94A3B8"/>
      <sz val="8"/>
    </font>
    <font>
      <name val="Arial"/>
      <b val="1"/>
      <color rgb="FF475569"/>
      <sz val="10"/>
    </font>
    <font>
      <name val="Arial"/>
      <b val="1"/>
      <color rgb="FFB45309"/>
      <sz val="10"/>
    </font>
    <font>
      <name val="Arial"/>
      <color rgb="FF1E293B"/>
      <sz val="9.5"/>
    </font>
    <font>
      <name val="Arial"/>
      <color rgb="FFC0392B"/>
      <sz val="9.5"/>
    </font>
    <font>
      <name val="Arial"/>
      <b val="1"/>
      <color rgb="FFFFFFFF"/>
      <sz val="9.5"/>
    </font>
    <font>
      <name val="Arial"/>
      <color rgb="FF0000FF"/>
      <sz val="9.5"/>
    </font>
    <font>
      <name val="Arial"/>
      <color rgb="FF16A34A"/>
      <sz val="9.5"/>
    </font>
    <font>
      <name val="Calibri"/>
      <color rgb="FF000000"/>
      <sz val="10"/>
    </font>
    <font>
      <name val="Calibri"/>
      <b val="1"/>
      <color rgb="FF1A2E44"/>
      <sz val="14"/>
    </font>
    <font>
      <name val="Calibri"/>
      <color rgb="FF888780"/>
      <sz val="9"/>
    </font>
    <font>
      <name val="Calibri"/>
      <b val="1"/>
      <color rgb="FF333333"/>
      <sz val="9"/>
    </font>
    <font>
      <name val="Calibri"/>
      <b val="1"/>
      <color rgb="FFFFFFFF"/>
      <sz val="10"/>
    </font>
    <font>
      <name val="Calibri"/>
      <b val="1"/>
      <color rgb="FF000000"/>
      <sz val="10"/>
    </font>
    <font>
      <name val="Calibri"/>
      <b val="1"/>
      <color rgb="FFD85A30"/>
      <sz val="10"/>
    </font>
    <font>
      <name val="Calibri"/>
      <b val="1"/>
      <color rgb="FF1D9E75"/>
      <sz val="10"/>
    </font>
    <font>
      <name val="Calibri"/>
      <color rgb="FF333333"/>
      <sz val="10"/>
    </font>
    <font>
      <name val="Calibri"/>
      <color rgb="FF1D9E75"/>
      <sz val="10"/>
    </font>
    <font>
      <name val="Calibri"/>
      <color rgb="FFD85A30"/>
      <sz val="10"/>
    </font>
    <font>
      <name val="Calibri"/>
      <b val="1"/>
      <color rgb="FFFFFFFF"/>
      <sz val="9"/>
    </font>
    <font>
      <name val="Calibri"/>
      <sz val="9"/>
    </font>
    <font>
      <name val="Calibri"/>
      <color rgb="FF1D9E75"/>
      <sz val="9"/>
    </font>
    <font>
      <name val="Calibri"/>
      <color rgb="FF888888"/>
      <sz val="10"/>
    </font>
    <font>
      <name val="Calibri"/>
      <sz val="10"/>
    </font>
    <font>
      <name val="Calibri"/>
      <family val="2"/>
      <color theme="1"/>
      <sz val="11"/>
      <scheme val="minor"/>
    </font>
    <font>
      <name val="Cambria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rgb="FF000000"/>
      <sz val="10"/>
    </font>
    <font>
      <name val="Arial"/>
      <family val="2"/>
      <b val="1"/>
      <color rgb="FF92400E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1B4F72"/>
      <sz val="10"/>
    </font>
    <font>
      <name val="Arial"/>
      <family val="2"/>
      <b val="1"/>
      <i val="1"/>
      <color rgb="FF1E293B"/>
      <sz val="10"/>
    </font>
    <font>
      <name val="Arial"/>
      <family val="2"/>
      <color rgb="FF0F6E56"/>
      <sz val="10"/>
    </font>
    <font>
      <name val="Arial"/>
      <family val="2"/>
      <b val="1"/>
      <color rgb="FF0F6E56"/>
      <sz val="10"/>
    </font>
    <font>
      <name val="Calibri"/>
      <family val="2"/>
      <b val="1"/>
      <color theme="0"/>
      <sz val="12"/>
    </font>
  </fonts>
  <fills count="60">
    <fill>
      <patternFill/>
    </fill>
    <fill>
      <patternFill patternType="gray125"/>
    </fill>
    <fill>
      <patternFill patternType="solid">
        <fgColor rgb="FF0D1B2A"/>
      </patternFill>
    </fill>
    <fill>
      <patternFill patternType="solid">
        <fgColor rgb="FF1B4F72"/>
      </patternFill>
    </fill>
    <fill>
      <patternFill patternType="solid">
        <fgColor rgb="FF92400E"/>
      </patternFill>
    </fill>
    <fill>
      <patternFill patternType="solid">
        <fgColor rgb="FF0F6E56"/>
      </patternFill>
    </fill>
    <fill>
      <patternFill patternType="solid">
        <fgColor rgb="FF374151"/>
      </patternFill>
    </fill>
    <fill>
      <patternFill patternType="solid">
        <fgColor rgb="FFEFF6FF"/>
      </patternFill>
    </fill>
    <fill>
      <patternFill patternType="solid">
        <fgColor rgb="FFFFFBEB"/>
      </patternFill>
    </fill>
    <fill>
      <patternFill patternType="solid">
        <fgColor rgb="FFF0FDF4"/>
      </patternFill>
    </fill>
    <fill>
      <patternFill patternType="solid">
        <fgColor rgb="FFFFF1F0"/>
      </patternFill>
    </fill>
    <fill>
      <patternFill patternType="solid">
        <fgColor rgb="FF0D9488"/>
      </patternFill>
    </fill>
    <fill>
      <patternFill patternType="solid">
        <fgColor rgb="FFEEF9F7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1F5F9"/>
      </patternFill>
    </fill>
    <fill>
      <patternFill patternType="solid">
        <fgColor rgb="FFFFFFFF"/>
      </patternFill>
    </fill>
    <fill>
      <patternFill patternType="solid">
        <fgColor rgb="FFE0E0E0"/>
      </patternFill>
    </fill>
    <fill>
      <patternFill patternType="solid">
        <fgColor rgb="FF1A2E44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1B4F72"/>
      </patternFill>
    </fill>
    <fill>
      <patternFill patternType="solid">
        <fgColor rgb="FFEEF9F7"/>
      </patternFill>
    </fill>
    <fill>
      <patternFill patternType="solid">
        <fgColor rgb="FFF8FAFC"/>
      </patternFill>
    </fill>
    <fill>
      <patternFill patternType="solid">
        <fgColor rgb="FF0D9488"/>
      </patternFill>
    </fill>
    <fill>
      <patternFill patternType="solid">
        <fgColor rgb="FFFFF1F0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DDDDDD"/>
      </bottom>
      <diagonal/>
    </border>
    <border>
      <left/>
      <right/>
      <top/>
      <bottom style="thin">
        <color rgb="FFCBD5E1"/>
      </bottom>
      <diagonal/>
    </border>
  </borders>
  <cellStyleXfs count="43">
    <xf numFmtId="0" fontId="46" fillId="0" borderId="0"/>
    <xf numFmtId="9" fontId="46" fillId="0" borderId="0"/>
    <xf numFmtId="0" fontId="47" fillId="0" borderId="0"/>
    <xf numFmtId="0" fontId="48" fillId="0" borderId="4"/>
    <xf numFmtId="0" fontId="49" fillId="0" borderId="5"/>
    <xf numFmtId="0" fontId="50" fillId="0" borderId="6"/>
    <xf numFmtId="0" fontId="50" fillId="0" borderId="0"/>
    <xf numFmtId="0" fontId="51" fillId="29" borderId="0"/>
    <xf numFmtId="0" fontId="52" fillId="30" borderId="0"/>
    <xf numFmtId="0" fontId="53" fillId="31" borderId="0"/>
    <xf numFmtId="0" fontId="54" fillId="32" borderId="7"/>
    <xf numFmtId="0" fontId="55" fillId="33" borderId="8"/>
    <xf numFmtId="0" fontId="56" fillId="33" borderId="7"/>
    <xf numFmtId="0" fontId="57" fillId="0" borderId="9"/>
    <xf numFmtId="0" fontId="58" fillId="34" borderId="10"/>
    <xf numFmtId="0" fontId="59" fillId="0" borderId="0"/>
    <xf numFmtId="0" fontId="46" fillId="35" borderId="11"/>
    <xf numFmtId="0" fontId="60" fillId="0" borderId="0"/>
    <xf numFmtId="0" fontId="61" fillId="0" borderId="12"/>
    <xf numFmtId="0" fontId="62" fillId="36" borderId="0"/>
    <xf numFmtId="0" fontId="46" fillId="37" borderId="0"/>
    <xf numFmtId="0" fontId="46" fillId="38" borderId="0"/>
    <xf numFmtId="0" fontId="46" fillId="39" borderId="0"/>
    <xf numFmtId="0" fontId="62" fillId="40" borderId="0"/>
    <xf numFmtId="0" fontId="46" fillId="41" borderId="0"/>
    <xf numFmtId="0" fontId="46" fillId="42" borderId="0"/>
    <xf numFmtId="0" fontId="46" fillId="43" borderId="0"/>
    <xf numFmtId="0" fontId="62" fillId="44" borderId="0"/>
    <xf numFmtId="0" fontId="46" fillId="45" borderId="0"/>
    <xf numFmtId="0" fontId="46" fillId="46" borderId="0"/>
    <xf numFmtId="0" fontId="46" fillId="47" borderId="0"/>
    <xf numFmtId="0" fontId="62" fillId="48" borderId="0"/>
    <xf numFmtId="0" fontId="46" fillId="49" borderId="0"/>
    <xf numFmtId="0" fontId="46" fillId="50" borderId="0"/>
    <xf numFmtId="0" fontId="46" fillId="51" borderId="0"/>
    <xf numFmtId="0" fontId="62" fillId="52" borderId="0"/>
    <xf numFmtId="0" fontId="46" fillId="53" borderId="0"/>
    <xf numFmtId="0" fontId="46" fillId="54" borderId="0"/>
    <xf numFmtId="0" fontId="46" fillId="55" borderId="0"/>
    <xf numFmtId="0" fontId="62" fillId="56" borderId="0"/>
    <xf numFmtId="0" fontId="46" fillId="57" borderId="0"/>
    <xf numFmtId="0" fontId="46" fillId="58" borderId="0"/>
    <xf numFmtId="0" fontId="46" fillId="59" borderId="0"/>
  </cellStyleXfs>
  <cellXfs count="173">
    <xf numFmtId="0" fontId="0" fillId="0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indent="1"/>
    </xf>
    <xf numFmtId="164" fontId="8" fillId="12" borderId="1" applyAlignment="1" pivotButton="0" quotePrefix="0" xfId="0">
      <alignment horizontal="right" vertical="center"/>
    </xf>
    <xf numFmtId="164" fontId="9" fillId="12" borderId="1" applyAlignment="1" pivotButton="0" quotePrefix="0" xfId="0">
      <alignment horizontal="right" vertical="center"/>
    </xf>
    <xf numFmtId="164" fontId="10" fillId="12" borderId="1" applyAlignment="1" pivotButton="0" quotePrefix="0" xfId="0">
      <alignment horizontal="right" vertical="center"/>
    </xf>
    <xf numFmtId="165" fontId="11" fillId="12" borderId="1" applyAlignment="1" pivotButton="0" quotePrefix="0" xfId="0">
      <alignment horizontal="right" vertical="center"/>
    </xf>
    <xf numFmtId="166" fontId="12" fillId="12" borderId="1" applyAlignment="1" pivotButton="0" quotePrefix="0" xfId="0">
      <alignment horizontal="right" vertical="center"/>
    </xf>
    <xf numFmtId="0" fontId="13" fillId="13" borderId="1" applyAlignment="1" pivotButton="0" quotePrefix="0" xfId="0">
      <alignment horizontal="left" vertical="center" indent="2"/>
    </xf>
    <xf numFmtId="164" fontId="14" fillId="7" borderId="1" applyAlignment="1" pivotButton="0" quotePrefix="0" xfId="0">
      <alignment horizontal="right" vertical="center"/>
    </xf>
    <xf numFmtId="164" fontId="15" fillId="8" borderId="1" applyAlignment="1" pivotButton="0" quotePrefix="0" xfId="0">
      <alignment horizontal="right" vertical="center"/>
    </xf>
    <xf numFmtId="164" fontId="16" fillId="14" borderId="1" applyAlignment="1" pivotButton="0" quotePrefix="0" xfId="0">
      <alignment horizontal="right" vertical="center"/>
    </xf>
    <xf numFmtId="164" fontId="17" fillId="15" borderId="1" applyAlignment="1" pivotButton="0" quotePrefix="0" xfId="0">
      <alignment horizontal="right" vertical="center"/>
    </xf>
    <xf numFmtId="165" fontId="18" fillId="16" borderId="1" applyAlignment="1" pivotButton="0" quotePrefix="0" xfId="0">
      <alignment horizontal="right" vertical="center"/>
    </xf>
    <xf numFmtId="165" fontId="12" fillId="16" borderId="1" applyAlignment="1" pivotButton="0" quotePrefix="0" xfId="0">
      <alignment horizontal="right" vertical="center"/>
    </xf>
    <xf numFmtId="166" fontId="18" fillId="16" borderId="1" applyAlignment="1" pivotButton="0" quotePrefix="0" xfId="0">
      <alignment horizontal="right" vertical="center"/>
    </xf>
    <xf numFmtId="166" fontId="12" fillId="16" borderId="1" applyAlignment="1" pivotButton="0" quotePrefix="0" xfId="0">
      <alignment horizontal="right" vertical="center"/>
    </xf>
    <xf numFmtId="165" fontId="19" fillId="16" borderId="1" applyAlignment="1" pivotButton="0" quotePrefix="0" xfId="0">
      <alignment horizontal="right" vertical="center"/>
    </xf>
    <xf numFmtId="166" fontId="19" fillId="16" borderId="1" applyAlignment="1" pivotButton="0" quotePrefix="0" xfId="0">
      <alignment horizontal="right" vertical="center"/>
    </xf>
    <xf numFmtId="0" fontId="0" fillId="17" borderId="0" pivotButton="0" quotePrefix="0" xfId="0"/>
    <xf numFmtId="165" fontId="20" fillId="12" borderId="1" applyAlignment="1" pivotButton="0" quotePrefix="0" xfId="0">
      <alignment horizontal="right" vertical="center"/>
    </xf>
    <xf numFmtId="166" fontId="18" fillId="12" borderId="1" applyAlignment="1" pivotButton="0" quotePrefix="0" xfId="0">
      <alignment horizontal="right" vertical="center"/>
    </xf>
    <xf numFmtId="0" fontId="21" fillId="13" borderId="1" applyAlignment="1" pivotButton="0" quotePrefix="0" xfId="0">
      <alignment horizontal="left" vertical="center" indent="1"/>
    </xf>
    <xf numFmtId="167" fontId="14" fillId="7" borderId="1" applyAlignment="1" pivotButton="0" quotePrefix="0" xfId="0">
      <alignment horizontal="right" vertical="center"/>
    </xf>
    <xf numFmtId="167" fontId="15" fillId="8" borderId="1" applyAlignment="1" pivotButton="0" quotePrefix="0" xfId="0">
      <alignment horizontal="right" vertical="center"/>
    </xf>
    <xf numFmtId="167" fontId="16" fillId="14" borderId="1" applyAlignment="1" pivotButton="0" quotePrefix="0" xfId="0">
      <alignment horizontal="right" vertical="center"/>
    </xf>
    <xf numFmtId="167" fontId="17" fillId="15" borderId="1" applyAlignment="1" pivotButton="0" quotePrefix="0" xfId="0">
      <alignment horizontal="right" vertical="center"/>
    </xf>
    <xf numFmtId="165" fontId="23" fillId="12" borderId="1" applyAlignment="1" pivotButton="0" quotePrefix="0" xfId="0">
      <alignment horizontal="right" vertical="center"/>
    </xf>
    <xf numFmtId="166" fontId="19" fillId="1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 wrapText="1"/>
    </xf>
    <xf numFmtId="49" fontId="7" fillId="13" borderId="1" applyAlignment="1" pivotButton="0" quotePrefix="0" xfId="0">
      <alignment horizontal="left" vertical="center" indent="1"/>
    </xf>
    <xf numFmtId="168" fontId="14" fillId="13" borderId="1" applyAlignment="1" pivotButton="0" quotePrefix="0" xfId="0">
      <alignment horizontal="right" vertical="center"/>
    </xf>
    <xf numFmtId="169" fontId="14" fillId="13" borderId="1" applyAlignment="1" pivotButton="0" quotePrefix="0" xfId="0">
      <alignment horizontal="right" vertical="center"/>
    </xf>
    <xf numFmtId="170" fontId="20" fillId="13" borderId="1" applyAlignment="1" pivotButton="0" quotePrefix="0" xfId="0">
      <alignment horizontal="right" vertical="center"/>
    </xf>
    <xf numFmtId="1" fontId="21" fillId="13" borderId="1" applyAlignment="1" pivotButton="0" quotePrefix="0" xfId="0">
      <alignment horizontal="center" vertical="center"/>
    </xf>
    <xf numFmtId="49" fontId="7" fillId="17" borderId="1" applyAlignment="1" pivotButton="0" quotePrefix="0" xfId="0">
      <alignment horizontal="left" vertical="center" indent="1"/>
    </xf>
    <xf numFmtId="168" fontId="14" fillId="17" borderId="1" applyAlignment="1" pivotButton="0" quotePrefix="0" xfId="0">
      <alignment horizontal="right" vertical="center"/>
    </xf>
    <xf numFmtId="169" fontId="14" fillId="17" borderId="1" applyAlignment="1" pivotButton="0" quotePrefix="0" xfId="0">
      <alignment horizontal="right" vertical="center"/>
    </xf>
    <xf numFmtId="170" fontId="20" fillId="17" borderId="1" applyAlignment="1" pivotButton="0" quotePrefix="0" xfId="0">
      <alignment horizontal="right" vertical="center"/>
    </xf>
    <xf numFmtId="1" fontId="21" fillId="17" borderId="1" applyAlignment="1" pivotButton="0" quotePrefix="0" xfId="0">
      <alignment horizontal="center" vertical="center"/>
    </xf>
    <xf numFmtId="170" fontId="24" fillId="13" borderId="1" applyAlignment="1" pivotButton="0" quotePrefix="0" xfId="0">
      <alignment horizontal="right" vertical="center"/>
    </xf>
    <xf numFmtId="170" fontId="24" fillId="17" borderId="1" applyAlignment="1" pivotButton="0" quotePrefix="0" xfId="0">
      <alignment horizontal="right" vertical="center"/>
    </xf>
    <xf numFmtId="170" fontId="11" fillId="13" borderId="1" applyAlignment="1" pivotButton="0" quotePrefix="0" xfId="0">
      <alignment horizontal="right" vertical="center"/>
    </xf>
    <xf numFmtId="170" fontId="11" fillId="17" borderId="1" applyAlignment="1" pivotButton="0" quotePrefix="0" xfId="0">
      <alignment horizontal="right" vertical="center"/>
    </xf>
    <xf numFmtId="0" fontId="25" fillId="9" borderId="1" applyAlignment="1" pivotButton="0" quotePrefix="0" xfId="0">
      <alignment horizontal="center" vertical="top" wrapText="1"/>
    </xf>
    <xf numFmtId="0" fontId="7" fillId="13" borderId="1" applyAlignment="1" pivotButton="0" quotePrefix="0" xfId="0">
      <alignment horizontal="left" vertical="center" indent="1"/>
    </xf>
    <xf numFmtId="0" fontId="7" fillId="17" borderId="1" applyAlignment="1" pivotButton="0" quotePrefix="0" xfId="0">
      <alignment horizontal="left" vertical="center" indent="1"/>
    </xf>
    <xf numFmtId="0" fontId="27" fillId="2" borderId="1" applyAlignment="1" pivotButton="0" quotePrefix="0" xfId="0">
      <alignment horizontal="left" vertical="center" indent="1"/>
    </xf>
    <xf numFmtId="0" fontId="25" fillId="17" borderId="1" applyAlignment="1" pivotButton="0" quotePrefix="0" xfId="0">
      <alignment horizontal="left" vertical="center" indent="1"/>
    </xf>
    <xf numFmtId="0" fontId="25" fillId="13" borderId="1" applyAlignment="1" pivotButton="0" quotePrefix="0" xfId="0">
      <alignment horizontal="left" vertical="center" indent="1"/>
    </xf>
    <xf numFmtId="0" fontId="28" fillId="17" borderId="1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0" fontId="26" fillId="13" borderId="1" applyAlignment="1" pivotButton="0" quotePrefix="0" xfId="0">
      <alignment horizontal="left" vertical="center" indent="1"/>
    </xf>
    <xf numFmtId="0" fontId="0" fillId="0" borderId="0" pivotButton="0" quotePrefix="0" xfId="0"/>
    <xf numFmtId="0" fontId="32" fillId="0" borderId="0" pivotButton="0" quotePrefix="0" xfId="0"/>
    <xf numFmtId="0" fontId="33" fillId="18" borderId="2" applyAlignment="1" pivotButton="0" quotePrefix="0" xfId="0">
      <alignment horizontal="center" vertical="center" wrapText="1"/>
    </xf>
    <xf numFmtId="0" fontId="34" fillId="19" borderId="0" applyAlignment="1" pivotButton="0" quotePrefix="0" xfId="0">
      <alignment horizontal="left" vertical="center" wrapText="1"/>
    </xf>
    <xf numFmtId="0" fontId="0" fillId="19" borderId="0" pivotButton="0" quotePrefix="0" xfId="0"/>
    <xf numFmtId="0" fontId="35" fillId="20" borderId="2" applyAlignment="1" pivotButton="0" quotePrefix="0" xfId="0">
      <alignment horizontal="left" vertical="center" wrapText="1"/>
    </xf>
    <xf numFmtId="171" fontId="35" fillId="20" borderId="2" applyAlignment="1" pivotButton="0" quotePrefix="0" xfId="0">
      <alignment horizontal="right" vertical="center"/>
    </xf>
    <xf numFmtId="172" fontId="36" fillId="20" borderId="2" applyAlignment="1" pivotButton="0" quotePrefix="0" xfId="0">
      <alignment horizontal="right" vertical="center"/>
    </xf>
    <xf numFmtId="0" fontId="36" fillId="0" borderId="2" applyAlignment="1" pivotButton="0" quotePrefix="0" xfId="0">
      <alignment horizontal="right" vertical="center"/>
    </xf>
    <xf numFmtId="172" fontId="37" fillId="20" borderId="2" applyAlignment="1" pivotButton="0" quotePrefix="0" xfId="0">
      <alignment horizontal="right" vertical="center"/>
    </xf>
    <xf numFmtId="0" fontId="37" fillId="0" borderId="2" applyAlignment="1" pivotButton="0" quotePrefix="0" xfId="0">
      <alignment horizontal="right" vertical="center"/>
    </xf>
    <xf numFmtId="0" fontId="38" fillId="21" borderId="2" applyAlignment="1" pivotButton="0" quotePrefix="0" xfId="0">
      <alignment horizontal="left" vertical="center" wrapText="1"/>
    </xf>
    <xf numFmtId="0" fontId="39" fillId="0" borderId="2" applyAlignment="1" pivotButton="0" quotePrefix="0" xfId="0">
      <alignment horizontal="right" vertical="center"/>
    </xf>
    <xf numFmtId="171" fontId="30" fillId="21" borderId="2" applyAlignment="1" pivotButton="0" quotePrefix="0" xfId="0">
      <alignment horizontal="right" vertical="center"/>
    </xf>
    <xf numFmtId="172" fontId="39" fillId="21" borderId="2" applyAlignment="1" pivotButton="0" quotePrefix="0" xfId="0">
      <alignment horizontal="right" vertical="center"/>
    </xf>
    <xf numFmtId="0" fontId="30" fillId="21" borderId="2" applyAlignment="1" pivotButton="0" quotePrefix="0" xfId="0">
      <alignment horizontal="left" vertical="center" wrapText="1"/>
    </xf>
    <xf numFmtId="172" fontId="40" fillId="21" borderId="2" applyAlignment="1" pivotButton="0" quotePrefix="0" xfId="0">
      <alignment horizontal="right" vertical="center"/>
    </xf>
    <xf numFmtId="0" fontId="40" fillId="0" borderId="2" applyAlignment="1" pivotButton="0" quotePrefix="0" xfId="0">
      <alignment horizontal="right" vertical="center"/>
    </xf>
    <xf numFmtId="0" fontId="41" fillId="19" borderId="1" applyAlignment="1" pivotButton="0" quotePrefix="0" xfId="0">
      <alignment horizontal="center" vertical="center" wrapText="1"/>
    </xf>
    <xf numFmtId="0" fontId="42" fillId="13" borderId="2" applyAlignment="1" pivotButton="0" quotePrefix="0" xfId="0">
      <alignment horizontal="left" vertical="top" wrapText="1"/>
    </xf>
    <xf numFmtId="0" fontId="42" fillId="17" borderId="2" applyAlignment="1" pivotButton="0" quotePrefix="0" xfId="0">
      <alignment horizontal="left" vertical="top" wrapText="1"/>
    </xf>
    <xf numFmtId="173" fontId="14" fillId="7" borderId="1" applyAlignment="1" pivotButton="0" quotePrefix="0" xfId="0">
      <alignment horizontal="right" vertical="center"/>
    </xf>
    <xf numFmtId="173" fontId="0" fillId="0" borderId="0" pivotButton="0" quotePrefix="0" xfId="0"/>
    <xf numFmtId="0" fontId="42" fillId="26" borderId="3" applyAlignment="1" pivotButton="0" quotePrefix="0" xfId="0">
      <alignment horizontal="left" vertical="top" wrapText="1"/>
    </xf>
    <xf numFmtId="0" fontId="42" fillId="27" borderId="3" applyAlignment="1" pivotButton="0" quotePrefix="0" xfId="0">
      <alignment horizontal="left" vertical="top" wrapText="1"/>
    </xf>
    <xf numFmtId="0" fontId="34" fillId="22" borderId="3" applyAlignment="1" pivotButton="0" quotePrefix="0" xfId="0">
      <alignment horizontal="center" vertical="center"/>
    </xf>
    <xf numFmtId="0" fontId="30" fillId="23" borderId="3" applyAlignment="1" pivotButton="0" quotePrefix="0" xfId="0">
      <alignment horizontal="center" vertical="center"/>
    </xf>
    <xf numFmtId="0" fontId="30" fillId="24" borderId="3" applyAlignment="1" pivotButton="0" quotePrefix="0" xfId="0">
      <alignment horizontal="center" vertical="center"/>
    </xf>
    <xf numFmtId="0" fontId="44" fillId="24" borderId="3" applyAlignment="1" pivotButton="0" quotePrefix="0" xfId="0">
      <alignment horizontal="center" vertical="center"/>
    </xf>
    <xf numFmtId="0" fontId="30" fillId="21" borderId="3" applyAlignment="1" pivotButton="0" quotePrefix="0" xfId="0">
      <alignment horizontal="center" vertical="center"/>
    </xf>
    <xf numFmtId="0" fontId="44" fillId="21" borderId="3" applyAlignment="1" pivotButton="0" quotePrefix="0" xfId="0">
      <alignment horizontal="center" vertical="center"/>
    </xf>
    <xf numFmtId="0" fontId="34" fillId="25" borderId="3" applyAlignment="1" pivotButton="0" quotePrefix="0" xfId="0">
      <alignment horizontal="left" vertical="center" indent="1"/>
    </xf>
    <xf numFmtId="0" fontId="34" fillId="25" borderId="3" applyAlignment="1" pivotButton="0" quotePrefix="0" xfId="0">
      <alignment horizontal="center" vertical="center"/>
    </xf>
    <xf numFmtId="171" fontId="14" fillId="17" borderId="1" applyAlignment="1" pivotButton="0" quotePrefix="0" xfId="0">
      <alignment horizontal="right" vertical="center"/>
    </xf>
    <xf numFmtId="171" fontId="14" fillId="13" borderId="1" applyAlignment="1" pivotButton="0" quotePrefix="0" xfId="0">
      <alignment horizontal="right" vertical="center"/>
    </xf>
    <xf numFmtId="173" fontId="17" fillId="15" borderId="1" applyAlignment="1" pivotButton="0" quotePrefix="0" xfId="0">
      <alignment horizontal="right" vertical="center"/>
    </xf>
    <xf numFmtId="173" fontId="45" fillId="21" borderId="2" applyAlignment="1" pivotButton="0" quotePrefix="0" xfId="0">
      <alignment horizontal="right" vertical="center"/>
    </xf>
    <xf numFmtId="174" fontId="39" fillId="21" borderId="2" applyAlignment="1" pivotButton="0" quotePrefix="0" xfId="0">
      <alignment horizontal="right" vertical="center"/>
    </xf>
    <xf numFmtId="0" fontId="31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left" vertical="center" indent="1"/>
    </xf>
    <xf numFmtId="0" fontId="22" fillId="13" borderId="0" applyAlignment="1" pivotButton="0" quotePrefix="0" xfId="0">
      <alignment horizontal="left" vertical="center" indent="1"/>
    </xf>
    <xf numFmtId="0" fontId="1" fillId="2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 wrapText="1"/>
    </xf>
    <xf numFmtId="9" fontId="14" fillId="7" borderId="1" applyAlignment="1" pivotButton="0" quotePrefix="0" xfId="1">
      <alignment horizontal="right" vertical="center"/>
    </xf>
    <xf numFmtId="164" fontId="64" fillId="8" borderId="1" applyAlignment="1" pivotButton="0" quotePrefix="0" xfId="0">
      <alignment horizontal="right" vertical="center"/>
    </xf>
    <xf numFmtId="9" fontId="15" fillId="8" borderId="1" applyAlignment="1" pivotButton="0" quotePrefix="0" xfId="1">
      <alignment horizontal="right" vertical="center"/>
    </xf>
    <xf numFmtId="0" fontId="63" fillId="28" borderId="3" applyAlignment="1" pivotButton="0" quotePrefix="0" xfId="0">
      <alignment horizontal="center" vertical="center"/>
    </xf>
    <xf numFmtId="0" fontId="63" fillId="7" borderId="3" applyAlignment="1" pivotButton="0" quotePrefix="0" xfId="0">
      <alignment horizontal="center" vertical="center"/>
    </xf>
    <xf numFmtId="164" fontId="65" fillId="7" borderId="1" applyAlignment="1" pivotButton="0" quotePrefix="0" xfId="0">
      <alignment horizontal="right" vertical="center"/>
    </xf>
    <xf numFmtId="0" fontId="42" fillId="0" borderId="2" applyAlignment="1" pivotButton="0" quotePrefix="0" xfId="0">
      <alignment horizontal="center" vertical="top" wrapText="1"/>
    </xf>
    <xf numFmtId="0" fontId="43" fillId="17" borderId="2" applyAlignment="1" pivotButton="0" quotePrefix="0" xfId="0">
      <alignment horizontal="center" vertical="top" wrapText="1"/>
    </xf>
    <xf numFmtId="164" fontId="68" fillId="12" borderId="1" applyAlignment="1" pivotButton="0" quotePrefix="0" xfId="0">
      <alignment horizontal="right" vertical="center"/>
    </xf>
    <xf numFmtId="0" fontId="42" fillId="27" borderId="3" applyAlignment="1" pivotButton="0" quotePrefix="0" xfId="0">
      <alignment horizontal="center" vertical="top" wrapText="1"/>
    </xf>
    <xf numFmtId="164" fontId="69" fillId="15" borderId="1" applyAlignment="1" pivotButton="0" quotePrefix="0" xfId="0">
      <alignment horizontal="right" vertical="center"/>
    </xf>
    <xf numFmtId="164" fontId="66" fillId="14" borderId="1" applyAlignment="1" pivotButton="0" quotePrefix="0" xfId="0">
      <alignment horizontal="right" vertical="center"/>
    </xf>
    <xf numFmtId="164" fontId="65" fillId="7" borderId="1" applyAlignment="1" pivotButton="0" quotePrefix="0" xfId="0">
      <alignment horizontal="center" vertical="center"/>
    </xf>
    <xf numFmtId="0" fontId="42" fillId="26" borderId="3" applyAlignment="1" pivotButton="0" quotePrefix="0" xfId="0">
      <alignment horizontal="center" vertical="top" wrapText="1"/>
    </xf>
    <xf numFmtId="0" fontId="43" fillId="0" borderId="2" applyAlignment="1" pivotButton="0" quotePrefix="0" xfId="0">
      <alignment horizontal="center" vertical="top" wrapText="1"/>
    </xf>
    <xf numFmtId="0" fontId="42" fillId="17" borderId="2" applyAlignment="1" pivotButton="0" quotePrefix="0" xfId="0">
      <alignment horizontal="center" vertical="top" wrapText="1"/>
    </xf>
    <xf numFmtId="0" fontId="67" fillId="13" borderId="1" applyAlignment="1" pivotButton="0" quotePrefix="0" xfId="0">
      <alignment horizontal="left" vertical="center" indent="2"/>
    </xf>
    <xf numFmtId="0" fontId="42" fillId="13" borderId="2" applyAlignment="1" pivotButton="0" quotePrefix="0" xfId="0">
      <alignment horizontal="center" vertical="top" wrapText="1"/>
    </xf>
    <xf numFmtId="0" fontId="70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70" fillId="2" borderId="13" applyAlignment="1" pivotButton="0" quotePrefix="0" xfId="0">
      <alignment horizontal="center" vertical="center"/>
    </xf>
    <xf numFmtId="0" fontId="1" fillId="2" borderId="14" applyAlignment="1" pivotButton="0" quotePrefix="0" xfId="0">
      <alignment horizontal="center" vertical="center"/>
    </xf>
    <xf numFmtId="175" fontId="35" fillId="20" borderId="2" applyAlignment="1" pivotButton="0" quotePrefix="0" xfId="0">
      <alignment horizontal="right" vertical="center"/>
    </xf>
    <xf numFmtId="176" fontId="36" fillId="20" borderId="2" applyAlignment="1" pivotButton="0" quotePrefix="0" xfId="0">
      <alignment horizontal="right" vertical="center"/>
    </xf>
    <xf numFmtId="173" fontId="36" fillId="0" borderId="2" applyAlignment="1" pivotButton="0" quotePrefix="0" xfId="0">
      <alignment horizontal="right" vertical="center"/>
    </xf>
    <xf numFmtId="176" fontId="37" fillId="20" borderId="2" applyAlignment="1" pivotButton="0" quotePrefix="0" xfId="0">
      <alignment horizontal="right" vertical="center"/>
    </xf>
    <xf numFmtId="173" fontId="37" fillId="0" borderId="2" applyAlignment="1" pivotButton="0" quotePrefix="0" xfId="0">
      <alignment horizontal="right" vertical="center"/>
    </xf>
    <xf numFmtId="173" fontId="39" fillId="21" borderId="2" applyAlignment="1" pivotButton="0" quotePrefix="0" xfId="0">
      <alignment horizontal="right" vertical="center"/>
    </xf>
    <xf numFmtId="173" fontId="39" fillId="0" borderId="2" applyAlignment="1" pivotButton="0" quotePrefix="0" xfId="0">
      <alignment horizontal="right" vertical="center"/>
    </xf>
    <xf numFmtId="175" fontId="30" fillId="21" borderId="2" applyAlignment="1" pivotButton="0" quotePrefix="0" xfId="0">
      <alignment horizontal="right" vertical="center"/>
    </xf>
    <xf numFmtId="176" fontId="39" fillId="21" borderId="2" applyAlignment="1" pivotButton="0" quotePrefix="0" xfId="0">
      <alignment horizontal="right" vertical="center"/>
    </xf>
    <xf numFmtId="176" fontId="40" fillId="21" borderId="2" applyAlignment="1" pivotButton="0" quotePrefix="0" xfId="0">
      <alignment horizontal="right" vertical="center"/>
    </xf>
    <xf numFmtId="173" fontId="40" fillId="0" borderId="2" applyAlignment="1" pivotButton="0" quotePrefix="0" xfId="0">
      <alignment horizontal="right" vertical="center"/>
    </xf>
    <xf numFmtId="175" fontId="65" fillId="7" borderId="1" applyAlignment="1" pivotButton="0" quotePrefix="0" xfId="0">
      <alignment horizontal="right" vertical="center"/>
    </xf>
    <xf numFmtId="175" fontId="64" fillId="8" borderId="1" applyAlignment="1" pivotButton="0" quotePrefix="0" xfId="0">
      <alignment horizontal="right" vertical="center"/>
    </xf>
    <xf numFmtId="175" fontId="8" fillId="12" borderId="1" applyAlignment="1" pivotButton="0" quotePrefix="0" xfId="0">
      <alignment horizontal="right" vertical="center"/>
    </xf>
    <xf numFmtId="175" fontId="10" fillId="12" borderId="1" applyAlignment="1" pivotButton="0" quotePrefix="0" xfId="0">
      <alignment horizontal="right" vertical="center"/>
    </xf>
    <xf numFmtId="176" fontId="11" fillId="12" borderId="1" applyAlignment="1" pivotButton="0" quotePrefix="0" xfId="0">
      <alignment horizontal="right" vertical="center"/>
    </xf>
    <xf numFmtId="173" fontId="12" fillId="12" borderId="1" applyAlignment="1" pivotButton="0" quotePrefix="0" xfId="0">
      <alignment horizontal="right" vertical="center"/>
    </xf>
    <xf numFmtId="175" fontId="14" fillId="7" borderId="1" applyAlignment="1" pivotButton="0" quotePrefix="0" xfId="0">
      <alignment horizontal="right" vertical="center"/>
    </xf>
    <xf numFmtId="175" fontId="15" fillId="8" borderId="1" applyAlignment="1" pivotButton="0" quotePrefix="0" xfId="0">
      <alignment horizontal="right" vertical="center"/>
    </xf>
    <xf numFmtId="175" fontId="17" fillId="15" borderId="1" applyAlignment="1" pivotButton="0" quotePrefix="0" xfId="0">
      <alignment horizontal="right" vertical="center"/>
    </xf>
    <xf numFmtId="176" fontId="18" fillId="16" borderId="1" applyAlignment="1" pivotButton="0" quotePrefix="0" xfId="0">
      <alignment horizontal="right" vertical="center"/>
    </xf>
    <xf numFmtId="176" fontId="12" fillId="16" borderId="1" applyAlignment="1" pivotButton="0" quotePrefix="0" xfId="0">
      <alignment horizontal="right" vertical="center"/>
    </xf>
    <xf numFmtId="173" fontId="18" fillId="16" borderId="1" applyAlignment="1" pivotButton="0" quotePrefix="0" xfId="0">
      <alignment horizontal="right" vertical="center"/>
    </xf>
    <xf numFmtId="173" fontId="12" fillId="16" borderId="1" applyAlignment="1" pivotButton="0" quotePrefix="0" xfId="0">
      <alignment horizontal="right" vertical="center"/>
    </xf>
    <xf numFmtId="176" fontId="19" fillId="16" borderId="1" applyAlignment="1" pivotButton="0" quotePrefix="0" xfId="0">
      <alignment horizontal="right" vertical="center"/>
    </xf>
    <xf numFmtId="173" fontId="19" fillId="16" borderId="1" applyAlignment="1" pivotButton="0" quotePrefix="0" xfId="0">
      <alignment horizontal="right" vertical="center"/>
    </xf>
    <xf numFmtId="176" fontId="20" fillId="12" borderId="1" applyAlignment="1" pivotButton="0" quotePrefix="0" xfId="0">
      <alignment horizontal="right" vertical="center"/>
    </xf>
    <xf numFmtId="173" fontId="18" fillId="12" borderId="1" applyAlignment="1" pivotButton="0" quotePrefix="0" xfId="0">
      <alignment horizontal="right" vertical="center"/>
    </xf>
    <xf numFmtId="175" fontId="9" fillId="12" borderId="1" applyAlignment="1" pivotButton="0" quotePrefix="0" xfId="0">
      <alignment horizontal="right" vertical="center"/>
    </xf>
    <xf numFmtId="175" fontId="16" fillId="14" borderId="1" applyAlignment="1" pivotButton="0" quotePrefix="0" xfId="0">
      <alignment horizontal="right" vertical="center"/>
    </xf>
    <xf numFmtId="173" fontId="15" fillId="8" borderId="1" applyAlignment="1" pivotButton="0" quotePrefix="0" xfId="0">
      <alignment horizontal="right" vertical="center"/>
    </xf>
    <xf numFmtId="176" fontId="23" fillId="12" borderId="1" applyAlignment="1" pivotButton="0" quotePrefix="0" xfId="0">
      <alignment horizontal="right" vertical="center"/>
    </xf>
    <xf numFmtId="173" fontId="19" fillId="12" borderId="1" applyAlignment="1" pivotButton="0" quotePrefix="0" xfId="0">
      <alignment horizontal="right" vertical="center"/>
    </xf>
    <xf numFmtId="175" fontId="66" fillId="14" borderId="1" applyAlignment="1" pivotButton="0" quotePrefix="0" xfId="0">
      <alignment horizontal="right" vertical="center"/>
    </xf>
    <xf numFmtId="175" fontId="69" fillId="15" borderId="1" applyAlignment="1" pivotButton="0" quotePrefix="0" xfId="0">
      <alignment horizontal="right" vertical="center"/>
    </xf>
    <xf numFmtId="175" fontId="68" fillId="12" borderId="1" applyAlignment="1" pivotButton="0" quotePrefix="0" xfId="0">
      <alignment horizontal="right" vertical="center"/>
    </xf>
    <xf numFmtId="175" fontId="65" fillId="7" borderId="1" applyAlignment="1" pivotButton="0" quotePrefix="0" xfId="0">
      <alignment horizontal="center" vertical="center"/>
    </xf>
    <xf numFmtId="0" fontId="0" fillId="0" borderId="13" pivotButton="0" quotePrefix="0" xfId="0"/>
    <xf numFmtId="175" fontId="42" fillId="24" borderId="2" applyAlignment="1" pivotButton="0" quotePrefix="0" xfId="0">
      <alignment horizontal="center" vertical="top" wrapText="1"/>
    </xf>
    <xf numFmtId="176" fontId="42" fillId="24" borderId="2" applyAlignment="1" pivotButton="0" quotePrefix="0" xfId="0">
      <alignment horizontal="center" vertical="top" wrapText="1"/>
    </xf>
    <xf numFmtId="175" fontId="42" fillId="0" borderId="2" applyAlignment="1" pivotButton="0" quotePrefix="0" xfId="0">
      <alignment horizontal="center" vertical="top" wrapText="1"/>
    </xf>
    <xf numFmtId="176" fontId="42" fillId="0" borderId="2" applyAlignment="1" pivotButton="0" quotePrefix="0" xfId="0">
      <alignment horizontal="center" vertical="top" wrapText="1"/>
    </xf>
    <xf numFmtId="49" fontId="42" fillId="0" borderId="2" applyAlignment="1" pivotButton="0" quotePrefix="0" xfId="0">
      <alignment horizontal="center" vertical="top" wrapText="1"/>
    </xf>
    <xf numFmtId="173" fontId="42" fillId="24" borderId="2" applyAlignment="1" pivotButton="0" quotePrefix="0" xfId="0">
      <alignment horizontal="center" vertical="top" wrapText="1"/>
    </xf>
    <xf numFmtId="173" fontId="42" fillId="0" borderId="2" applyAlignment="1" pivotButton="0" quotePrefix="0" xfId="0">
      <alignment horizontal="center" vertical="top" wrapText="1"/>
    </xf>
    <xf numFmtId="1" fontId="42" fillId="24" borderId="2" applyAlignment="1" pivotButton="0" quotePrefix="0" xfId="0">
      <alignment horizontal="center" vertical="top" wrapText="1"/>
    </xf>
    <xf numFmtId="1" fontId="42" fillId="0" borderId="2" applyAlignment="1" pivotButton="0" quotePrefix="0" xfId="0">
      <alignment horizontal="center" vertical="top" wrapText="1"/>
    </xf>
    <xf numFmtId="0" fontId="0" fillId="0" borderId="14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tabSelected="1" workbookViewId="0">
      <selection activeCell="A1" sqref="A1"/>
    </sheetView>
  </sheetViews>
  <sheetFormatPr baseColWidth="8" defaultRowHeight="14.5"/>
  <cols>
    <col width="32" customWidth="1" style="122" min="1" max="1"/>
    <col width="13" customWidth="1" style="122" min="2" max="4"/>
    <col width="10" customWidth="1" style="122" min="5" max="5"/>
    <col width="13" customWidth="1" style="122" min="6" max="8"/>
    <col width="10" customWidth="1" style="122" min="9" max="9"/>
  </cols>
  <sheetData>
    <row r="1" ht="22" customHeight="1" s="122">
      <c r="A1" s="94" t="inlineStr">
        <is>
          <t>SMPL · Q2 2026 Variance Analysis — Actuals vs Budget</t>
        </is>
      </c>
    </row>
    <row r="2">
      <c r="A2" s="57" t="inlineStr">
        <is>
          <t>Q2 2026 (Apr–Jun) and YTD (Jan–June) · Prepared by Finance · Confidential</t>
        </is>
      </c>
    </row>
    <row r="3"/>
    <row r="4" ht="28" customHeight="1" s="122">
      <c r="A4" s="58" t="inlineStr">
        <is>
          <t>Line Item</t>
        </is>
      </c>
      <c r="B4" s="58" t="inlineStr">
        <is>
          <t>Q2 Actual</t>
        </is>
      </c>
      <c r="C4" s="58" t="inlineStr">
        <is>
          <t>Q2 Budget</t>
        </is>
      </c>
      <c r="D4" s="58" t="inlineStr">
        <is>
          <t>Q2 Var $</t>
        </is>
      </c>
      <c r="E4" s="58" t="inlineStr">
        <is>
          <t>Q2 Var %</t>
        </is>
      </c>
      <c r="F4" s="58" t="inlineStr">
        <is>
          <t>YTD Actual</t>
        </is>
      </c>
      <c r="G4" s="58" t="inlineStr">
        <is>
          <t>YTD Budget</t>
        </is>
      </c>
      <c r="H4" s="58" t="inlineStr">
        <is>
          <t>YTD Var $</t>
        </is>
      </c>
      <c r="I4" s="58" t="inlineStr">
        <is>
          <t>YTD Var %</t>
        </is>
      </c>
    </row>
    <row r="5" ht="16" customHeight="1" s="122">
      <c r="A5" s="59" t="inlineStr">
        <is>
          <t>INCOME STATEMENT</t>
        </is>
      </c>
      <c r="B5" s="60" t="n"/>
      <c r="C5" s="60" t="n"/>
      <c r="D5" s="60" t="n"/>
      <c r="E5" s="60" t="n"/>
      <c r="F5" s="60" t="n"/>
      <c r="G5" s="60" t="n"/>
      <c r="H5" s="60" t="n"/>
      <c r="I5" s="60" t="n"/>
    </row>
    <row r="6" ht="15" customHeight="1" s="122">
      <c r="A6" s="61" t="inlineStr">
        <is>
          <t>Total Revenue</t>
        </is>
      </c>
      <c r="B6" s="125" t="n">
        <v>21.05</v>
      </c>
      <c r="C6" s="125" t="n">
        <v>22.1</v>
      </c>
      <c r="D6" s="126" t="n">
        <v>-1.05</v>
      </c>
      <c r="E6" s="127" t="n">
        <v>-0.048</v>
      </c>
      <c r="F6" s="125" t="n">
        <v>39.45</v>
      </c>
      <c r="G6" s="125" t="n">
        <v>41.42</v>
      </c>
      <c r="H6" s="128" t="n">
        <v>-1.97</v>
      </c>
      <c r="I6" s="129" t="n">
        <v>-0.048</v>
      </c>
    </row>
    <row r="7" ht="15" customHeight="1" s="122">
      <c r="A7" s="61" t="inlineStr">
        <is>
          <t>Gross Profit</t>
        </is>
      </c>
      <c r="B7" s="125" t="n">
        <v>14.87</v>
      </c>
      <c r="C7" s="125" t="n">
        <v>15.62</v>
      </c>
      <c r="D7" s="128" t="n">
        <v>-0.7436</v>
      </c>
      <c r="E7" s="129" t="n">
        <v>-0.048</v>
      </c>
      <c r="F7" s="125" t="n">
        <v>27.94</v>
      </c>
      <c r="G7" s="125" t="n">
        <v>29.33</v>
      </c>
      <c r="H7" s="128" t="n">
        <v>-1.4</v>
      </c>
      <c r="I7" s="129" t="n">
        <v>-0.048</v>
      </c>
    </row>
    <row r="8" ht="15" customHeight="1" s="122">
      <c r="A8" s="67" t="inlineStr">
        <is>
          <t xml:space="preserve">    Gross Margin %</t>
        </is>
      </c>
      <c r="B8" s="92" t="n">
        <v>0.706508</v>
      </c>
      <c r="C8" s="92" t="n">
        <v>0.706508</v>
      </c>
      <c r="D8" s="130" t="n">
        <v>0</v>
      </c>
      <c r="E8" s="131" t="n">
        <v>0</v>
      </c>
      <c r="F8" s="92" t="n">
        <v>0.708137</v>
      </c>
      <c r="G8" s="92" t="n">
        <v>0.708137</v>
      </c>
      <c r="H8" s="130" t="n">
        <v>0</v>
      </c>
      <c r="I8" s="131" t="n">
        <v>0</v>
      </c>
    </row>
    <row r="9" ht="6" customHeight="1" s="122"/>
    <row r="10" ht="15" customHeight="1" s="122">
      <c r="A10" s="67" t="inlineStr">
        <is>
          <t xml:space="preserve">    Sales &amp; Marketing</t>
        </is>
      </c>
      <c r="B10" s="132" t="n">
        <v>7.16</v>
      </c>
      <c r="C10" s="132" t="n">
        <v>7.59</v>
      </c>
      <c r="D10" s="133" t="n">
        <v>-0.433</v>
      </c>
      <c r="E10" s="131" t="n">
        <v>-0.057</v>
      </c>
      <c r="F10" s="132" t="n">
        <v>13.41</v>
      </c>
      <c r="G10" s="132" t="n">
        <v>14.22</v>
      </c>
      <c r="H10" s="133" t="n">
        <v>-0.8115</v>
      </c>
      <c r="I10" s="131" t="n">
        <v>-0.057</v>
      </c>
    </row>
    <row r="11" ht="15" customHeight="1" s="122">
      <c r="A11" s="67" t="inlineStr">
        <is>
          <t xml:space="preserve">    Research &amp; Development</t>
        </is>
      </c>
      <c r="B11" s="132" t="n">
        <v>3.37</v>
      </c>
      <c r="C11" s="132" t="n">
        <v>3.57</v>
      </c>
      <c r="D11" s="133" t="n">
        <v>-0.2038</v>
      </c>
      <c r="E11" s="131" t="n">
        <v>-0.057</v>
      </c>
      <c r="F11" s="132" t="n">
        <v>6.31</v>
      </c>
      <c r="G11" s="132" t="n">
        <v>6.69</v>
      </c>
      <c r="H11" s="133" t="n">
        <v>-0.3819</v>
      </c>
      <c r="I11" s="131" t="n">
        <v>-0.057</v>
      </c>
    </row>
    <row r="12" ht="15" customHeight="1" s="122">
      <c r="A12" s="67" t="inlineStr">
        <is>
          <t xml:space="preserve">    General &amp; Administrative</t>
        </is>
      </c>
      <c r="B12" s="132" t="n">
        <v>2.32</v>
      </c>
      <c r="C12" s="132" t="n">
        <v>2.46</v>
      </c>
      <c r="D12" s="133" t="n">
        <v>-0.1401</v>
      </c>
      <c r="E12" s="131" t="n">
        <v>-0.057</v>
      </c>
      <c r="F12" s="132" t="n">
        <v>4.34</v>
      </c>
      <c r="G12" s="132" t="n">
        <v>4.6</v>
      </c>
      <c r="H12" s="133" t="n">
        <v>-0.2625</v>
      </c>
      <c r="I12" s="131" t="n">
        <v>-0.057</v>
      </c>
    </row>
    <row r="13" ht="6" customHeight="1" s="122"/>
    <row r="14" ht="15" customHeight="1" s="122">
      <c r="A14" s="61" t="inlineStr">
        <is>
          <t>EBITDA</t>
        </is>
      </c>
      <c r="B14" s="125" t="n">
        <v>2.0315</v>
      </c>
      <c r="C14" s="125" t="n">
        <v>1.99825</v>
      </c>
      <c r="D14" s="126" t="n">
        <v>0.03324999999999978</v>
      </c>
      <c r="E14" s="127" t="n">
        <v>0.01663955961466272</v>
      </c>
      <c r="F14" s="125" t="n">
        <v>3.8715</v>
      </c>
      <c r="G14" s="125" t="n">
        <v>3.812398</v>
      </c>
      <c r="H14" s="126" t="n">
        <v>0.05910200000000021</v>
      </c>
      <c r="I14" s="127" t="n">
        <v>0.01550257869194145</v>
      </c>
    </row>
    <row r="15" ht="6" customHeight="1" s="122"/>
    <row r="16" ht="16" customHeight="1" s="122">
      <c r="A16" s="59" t="inlineStr">
        <is>
          <t>ARR MOVEMENT</t>
        </is>
      </c>
      <c r="B16" s="60" t="n"/>
      <c r="C16" s="60" t="n"/>
      <c r="D16" s="60" t="n"/>
      <c r="E16" s="60" t="n"/>
      <c r="F16" s="60" t="n"/>
      <c r="G16" s="60" t="n"/>
      <c r="H16" s="60" t="n"/>
      <c r="I16" s="60" t="n"/>
    </row>
    <row r="17" ht="15" customHeight="1" s="122">
      <c r="A17" s="71" t="inlineStr">
        <is>
          <t>New Business</t>
        </is>
      </c>
      <c r="B17" s="132" t="n">
        <v>5.134836</v>
      </c>
      <c r="C17" s="132" t="n">
        <v>5.081077</v>
      </c>
      <c r="D17" s="133" t="n">
        <v>0.05375900000000033</v>
      </c>
      <c r="E17" s="131" t="n">
        <v>0.01058023722136081</v>
      </c>
      <c r="F17" s="132" t="n">
        <v>9.184836000000001</v>
      </c>
      <c r="G17" s="132" t="n">
        <v>8.969077</v>
      </c>
      <c r="H17" s="133" t="n">
        <v>0.2157590000000003</v>
      </c>
      <c r="I17" s="131" t="n">
        <v>0.02405587553769471</v>
      </c>
    </row>
    <row r="18" ht="15" customHeight="1" s="122">
      <c r="A18" s="71" t="inlineStr">
        <is>
          <t>Expansion</t>
        </is>
      </c>
      <c r="B18" s="132" t="n">
        <v>2.629137</v>
      </c>
      <c r="C18" s="132" t="n">
        <v>2.619793</v>
      </c>
      <c r="D18" s="133" t="n">
        <v>0.009344000000000019</v>
      </c>
      <c r="E18" s="131" t="n">
        <v>0.003566694009793911</v>
      </c>
      <c r="F18" s="132" t="n">
        <v>4.779137</v>
      </c>
      <c r="G18" s="132" t="n">
        <v>4.705293</v>
      </c>
      <c r="H18" s="133" t="n">
        <v>0.07384400000000024</v>
      </c>
      <c r="I18" s="131" t="n">
        <v>0.015693815454213</v>
      </c>
    </row>
    <row r="19" ht="15" customHeight="1" s="122">
      <c r="A19" s="71" t="inlineStr">
        <is>
          <t>Reactivation</t>
        </is>
      </c>
      <c r="B19" s="132" t="n">
        <v>0.297857</v>
      </c>
      <c r="C19" s="132" t="n">
        <v>0.305</v>
      </c>
      <c r="D19" s="134" t="n">
        <v>-0.00714300000000001</v>
      </c>
      <c r="E19" s="135" t="n">
        <v>-0.02341967213114757</v>
      </c>
      <c r="F19" s="132" t="n">
        <v>0.492857</v>
      </c>
      <c r="G19" s="132" t="n">
        <v>0.5</v>
      </c>
      <c r="H19" s="134" t="n">
        <v>-0.00714300000000001</v>
      </c>
      <c r="I19" s="135" t="n">
        <v>-0.01428600000000002</v>
      </c>
    </row>
    <row r="20" ht="15" customHeight="1" s="122">
      <c r="A20" s="71" t="inlineStr">
        <is>
          <t>Contraction</t>
        </is>
      </c>
      <c r="B20" s="132" t="n">
        <v>-0.778652</v>
      </c>
      <c r="C20" s="132" t="n">
        <v>-0.803635</v>
      </c>
      <c r="D20" s="134" t="n">
        <v>0.02498299999999998</v>
      </c>
      <c r="E20" s="135" t="n">
        <v>-0.03108749618919034</v>
      </c>
      <c r="F20" s="132" t="n">
        <v>-1.363652</v>
      </c>
      <c r="G20" s="132" t="n">
        <v>-1.400335</v>
      </c>
      <c r="H20" s="134" t="n">
        <v>0.03668300000000002</v>
      </c>
      <c r="I20" s="135" t="n">
        <v>-0.02619587455858778</v>
      </c>
    </row>
    <row r="21" ht="15" customHeight="1" s="122">
      <c r="A21" s="71" t="inlineStr">
        <is>
          <t>Churn</t>
        </is>
      </c>
      <c r="B21" s="132" t="n">
        <v>-1.480157</v>
      </c>
      <c r="C21" s="132" t="n">
        <v>-1.534965</v>
      </c>
      <c r="D21" s="134" t="n">
        <v>0.05480799999999997</v>
      </c>
      <c r="E21" s="135" t="n">
        <v>-0.03570635161062302</v>
      </c>
      <c r="F21" s="132" t="n">
        <v>-2.785157</v>
      </c>
      <c r="G21" s="132" t="n">
        <v>-2.879115</v>
      </c>
      <c r="H21" s="134" t="n">
        <v>0.09395800000000021</v>
      </c>
      <c r="I21" s="135" t="n">
        <v>-0.03263433381438401</v>
      </c>
    </row>
    <row r="22" ht="15" customHeight="1" s="122">
      <c r="A22" s="61" t="inlineStr">
        <is>
          <t>Net New ARR</t>
        </is>
      </c>
      <c r="B22" s="125" t="n">
        <v>0</v>
      </c>
      <c r="C22" s="125" t="n">
        <v>5.081077</v>
      </c>
      <c r="D22" s="128" t="n">
        <v>-5.081077</v>
      </c>
      <c r="E22" s="129" t="n">
        <v>-1</v>
      </c>
      <c r="F22" s="125" t="n">
        <v>0</v>
      </c>
      <c r="G22" s="125" t="n">
        <v>0</v>
      </c>
      <c r="H22" s="128" t="n">
        <v>0</v>
      </c>
      <c r="I22" s="129" t="inlineStr">
        <is>
          <t>+12.2%</t>
        </is>
      </c>
    </row>
    <row r="23" ht="15" customHeight="1" s="122">
      <c r="A23" s="61" t="inlineStr">
        <is>
          <t>Ending ARR (Jun EOP)</t>
        </is>
      </c>
      <c r="B23" s="125" t="n">
        <v>85.308021</v>
      </c>
      <c r="C23" s="125" t="n">
        <v>84.89492199999999</v>
      </c>
      <c r="D23" s="128" t="n">
        <v>0.4130990000000025</v>
      </c>
      <c r="E23" s="129" t="n">
        <v>0.004866003646248743</v>
      </c>
      <c r="F23" s="125" t="n">
        <v>85.308021</v>
      </c>
      <c r="G23" s="125" t="n">
        <v>84.89492199999999</v>
      </c>
      <c r="H23" s="128" t="n">
        <v>0.4130990000000025</v>
      </c>
      <c r="I23" s="129" t="n">
        <v>0.004866003646248743</v>
      </c>
    </row>
    <row r="24" ht="6" customHeight="1" s="122"/>
    <row r="25" ht="16" customHeight="1" s="122">
      <c r="A25" s="59" t="inlineStr">
        <is>
          <t>CASH</t>
        </is>
      </c>
      <c r="B25" s="60" t="n"/>
      <c r="C25" s="60" t="n"/>
      <c r="D25" s="60" t="n"/>
      <c r="E25" s="60" t="n"/>
      <c r="F25" s="60" t="n"/>
      <c r="G25" s="60" t="n"/>
      <c r="H25" s="60" t="n"/>
      <c r="I25" s="60" t="n"/>
    </row>
    <row r="26" ht="15" customHeight="1" s="122">
      <c r="A26" s="71" t="inlineStr">
        <is>
          <t>Q2 / YTD CFO</t>
        </is>
      </c>
      <c r="B26" s="132" t="n">
        <v>0</v>
      </c>
      <c r="C26" s="132" t="n">
        <v>0</v>
      </c>
      <c r="D26" s="133" t="n">
        <v>0</v>
      </c>
      <c r="E26" s="131" t="inlineStr">
        <is>
          <t>+679.9%</t>
        </is>
      </c>
      <c r="F26" s="132" t="n">
        <v>0</v>
      </c>
      <c r="G26" s="132" t="n">
        <v>0</v>
      </c>
      <c r="H26" s="133" t="n">
        <v>0</v>
      </c>
      <c r="I26" s="131" t="inlineStr">
        <is>
          <t>+703.6%</t>
        </is>
      </c>
    </row>
    <row r="27" ht="15" customHeight="1" s="122">
      <c r="A27" s="61" t="inlineStr">
        <is>
          <t>Ending Cash (Jun EOP)</t>
        </is>
      </c>
      <c r="B27" s="125" t="n">
        <v>48.4318</v>
      </c>
      <c r="C27" s="125" t="n">
        <v>31.455591</v>
      </c>
      <c r="D27" s="128" t="n">
        <v>16.976209</v>
      </c>
      <c r="E27" s="129" t="n">
        <v>0.5396881273030287</v>
      </c>
      <c r="F27" s="125" t="n">
        <v>48.4318</v>
      </c>
      <c r="G27" s="125" t="n">
        <v>31.455591</v>
      </c>
      <c r="H27" s="128" t="n">
        <v>16.976209</v>
      </c>
      <c r="I27" s="129" t="n">
        <v>0.5396881273030287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20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AJ1"/>
    </sheetView>
  </sheetViews>
  <sheetFormatPr baseColWidth="8" defaultRowHeight="14.5"/>
  <cols>
    <col width="26" customWidth="1" style="122" min="1" max="1"/>
    <col width="10" customWidth="1" style="122" min="2" max="6"/>
    <col width="11" customWidth="1" style="122" min="7" max="7"/>
    <col width="10" customWidth="1" style="122" min="8" max="13"/>
    <col width="11" customWidth="1" style="122" min="14" max="29"/>
  </cols>
  <sheetData>
    <row r="1" ht="36" customHeight="1" s="122">
      <c r="A1" s="101" t="inlineStr">
        <is>
          <t>SMPL · ARR / MRR Waterfall · Q2 2026 Close — June Actuals</t>
        </is>
      </c>
    </row>
    <row r="2" ht="20" customHeight="1" s="122">
      <c r="B2" s="95" t="inlineStr">
        <is>
          <t>◀  ACTUALS  ▶</t>
        </is>
      </c>
      <c r="H2" s="102" t="inlineStr">
        <is>
          <t>◀  FORECAST (Jul–Dec)  ▶</t>
        </is>
      </c>
      <c r="N2" s="95" t="inlineStr">
        <is>
          <t>◀  ACTUAL SUBTOTALS  ▶</t>
        </is>
      </c>
      <c r="R2" s="97" t="inlineStr">
        <is>
          <t>◀  BUDGET SUBTOTALS  ▶</t>
        </is>
      </c>
      <c r="V2" s="98" t="inlineStr">
        <is>
          <t>◀  VARIANCE (ACT vs BUD)  ▶</t>
        </is>
      </c>
    </row>
    <row r="3" ht="40" customHeight="1" s="122">
      <c r="B3" s="107" t="inlineStr">
        <is>
          <t>Jan</t>
        </is>
      </c>
      <c r="C3" s="107" t="inlineStr">
        <is>
          <t>Feb</t>
        </is>
      </c>
      <c r="D3" s="107" t="inlineStr">
        <is>
          <t>Mar</t>
        </is>
      </c>
      <c r="E3" s="107" t="inlineStr">
        <is>
          <t>Apr</t>
        </is>
      </c>
      <c r="F3" s="107" t="inlineStr">
        <is>
          <t>May</t>
        </is>
      </c>
      <c r="G3" s="107" t="inlineStr">
        <is>
          <t>Jun</t>
        </is>
      </c>
      <c r="H3" s="106" t="inlineStr">
        <is>
          <t>Jul</t>
        </is>
      </c>
      <c r="I3" s="106" t="inlineStr">
        <is>
          <t>Aug</t>
        </is>
      </c>
      <c r="J3" s="106" t="inlineStr">
        <is>
          <t>Sep</t>
        </is>
      </c>
      <c r="K3" s="106" t="inlineStr">
        <is>
          <t>Oct</t>
        </is>
      </c>
      <c r="L3" s="106" t="inlineStr">
        <is>
          <t>Nov</t>
        </is>
      </c>
      <c r="M3" s="106" t="inlineStr">
        <is>
          <t>Dec</t>
        </is>
      </c>
      <c r="N3" s="1" t="inlineStr">
        <is>
          <t>Q1
Actual</t>
        </is>
      </c>
      <c r="O3" s="1" t="inlineStr">
        <is>
          <t>Q2
Actual</t>
        </is>
      </c>
      <c r="P3" s="1" t="inlineStr">
        <is>
          <t>H1 Act
+Jun FC</t>
        </is>
      </c>
      <c r="Q3" s="1" t="inlineStr">
        <is>
          <t>FY Act
+FC</t>
        </is>
      </c>
      <c r="R3" s="3" t="inlineStr">
        <is>
          <t>Q1
Budget</t>
        </is>
      </c>
      <c r="S3" s="3" t="inlineStr">
        <is>
          <t>Q2
Budget</t>
        </is>
      </c>
      <c r="T3" s="3" t="inlineStr">
        <is>
          <t>H1
Budget</t>
        </is>
      </c>
      <c r="U3" s="3" t="inlineStr">
        <is>
          <t>FY
Budget</t>
        </is>
      </c>
      <c r="V3" s="4" t="inlineStr">
        <is>
          <t>Q1
Var $</t>
        </is>
      </c>
      <c r="W3" s="4" t="inlineStr">
        <is>
          <t>Q2
Var $</t>
        </is>
      </c>
      <c r="X3" s="4" t="inlineStr">
        <is>
          <t>H1
Var $</t>
        </is>
      </c>
      <c r="Y3" s="4" t="inlineStr">
        <is>
          <t>FY
Var $</t>
        </is>
      </c>
      <c r="Z3" s="4" t="inlineStr">
        <is>
          <t>Q1
Var %</t>
        </is>
      </c>
      <c r="AA3" s="4" t="inlineStr">
        <is>
          <t>Q2
Var %</t>
        </is>
      </c>
      <c r="AB3" s="4" t="inlineStr">
        <is>
          <t>H1
Var %</t>
        </is>
      </c>
      <c r="AC3" s="4" t="inlineStr">
        <is>
          <t>FY
Var %</t>
        </is>
      </c>
    </row>
    <row r="4" ht="16" customHeight="1" s="122">
      <c r="A4" s="99" t="inlineStr">
        <is>
          <t xml:space="preserve">  ARR MOVEMENT BRIDGE ($M)</t>
        </is>
      </c>
    </row>
    <row r="5" ht="17" customHeight="1" s="122">
      <c r="A5" s="5" t="inlineStr">
        <is>
          <t>Beginning ARR</t>
        </is>
      </c>
      <c r="B5" s="136" t="n">
        <v>75</v>
      </c>
      <c r="C5" s="136" t="n">
        <v>76.31</v>
      </c>
      <c r="D5" s="136" t="n">
        <v>77.815</v>
      </c>
      <c r="E5" s="136" t="n">
        <v>79.505</v>
      </c>
      <c r="F5" s="136" t="n">
        <v>81.38500000000001</v>
      </c>
      <c r="G5" s="136" t="n">
        <v>83.44499999999999</v>
      </c>
      <c r="H5" s="137" t="n">
        <v>85.308021</v>
      </c>
      <c r="I5" s="137" t="n">
        <v>86.29280199999999</v>
      </c>
      <c r="J5" s="137" t="n">
        <v>87.132856</v>
      </c>
      <c r="K5" s="137" t="n">
        <v>87.828763</v>
      </c>
      <c r="L5" s="137" t="n">
        <v>88.51381600000001</v>
      </c>
      <c r="M5" s="137" t="n">
        <v>89.196397</v>
      </c>
      <c r="N5" s="138" t="n">
        <v>77.815</v>
      </c>
      <c r="O5" s="138" t="n">
        <v>83.44499999999999</v>
      </c>
      <c r="P5" s="138" t="n">
        <v>83.44499999999999</v>
      </c>
      <c r="Q5" s="138" t="n">
        <v>89.196397</v>
      </c>
      <c r="R5" s="139" t="n">
        <v>77.63875</v>
      </c>
      <c r="S5" s="139" t="n">
        <v>82.93875</v>
      </c>
      <c r="T5" s="139" t="n">
        <v>82.93875</v>
      </c>
      <c r="U5" s="139" t="n">
        <v>94.320414</v>
      </c>
      <c r="V5" s="140" t="n">
        <v>0.176249999999996</v>
      </c>
      <c r="W5" s="140" t="n">
        <v>0.5062499999999943</v>
      </c>
      <c r="X5" s="140" t="n">
        <v>0.5062499999999943</v>
      </c>
      <c r="Y5" s="140" t="n">
        <v>-5.124016999999995</v>
      </c>
      <c r="Z5" s="141" t="n">
        <v>0.002270129284667721</v>
      </c>
      <c r="AA5" s="141" t="n">
        <v>0.006103901975855608</v>
      </c>
      <c r="AB5" s="141" t="n">
        <v>0.006103901975855608</v>
      </c>
      <c r="AC5" s="141" t="n">
        <v>-0.05432564153079306</v>
      </c>
    </row>
    <row r="6" ht="17" customHeight="1" s="122">
      <c r="A6" s="11" t="inlineStr">
        <is>
          <t>+ New Business</t>
        </is>
      </c>
      <c r="B6" s="142" t="n">
        <v>1.2</v>
      </c>
      <c r="C6" s="142" t="n">
        <v>1.35</v>
      </c>
      <c r="D6" s="142" t="n">
        <v>1.5</v>
      </c>
      <c r="E6" s="142" t="n">
        <v>1.65</v>
      </c>
      <c r="F6" s="142" t="n">
        <v>1.8</v>
      </c>
      <c r="G6" s="142" t="n">
        <v>1.684836</v>
      </c>
      <c r="H6" s="143" t="n">
        <v>1.15531</v>
      </c>
      <c r="I6" s="143" t="n">
        <v>1.002656</v>
      </c>
      <c r="J6" s="143" t="n">
        <v>0.8662609999999999</v>
      </c>
      <c r="K6" s="143" t="n">
        <v>0.919339</v>
      </c>
      <c r="L6" s="143" t="n">
        <v>0.831852</v>
      </c>
      <c r="M6" s="143" t="n">
        <v>1.142288</v>
      </c>
      <c r="N6" s="142" t="n">
        <v>4.05</v>
      </c>
      <c r="O6" s="142" t="n">
        <v>5.134836</v>
      </c>
      <c r="P6" s="142" t="n">
        <v>9.184836000000001</v>
      </c>
      <c r="Q6" s="142" t="n">
        <v>15.102542</v>
      </c>
      <c r="R6" s="144" t="n">
        <v>3.888</v>
      </c>
      <c r="S6" s="144" t="n">
        <v>5.081077000000001</v>
      </c>
      <c r="T6" s="144" t="n">
        <v>8.969077</v>
      </c>
      <c r="U6" s="144" t="n">
        <v>19.010045</v>
      </c>
      <c r="V6" s="145" t="n">
        <v>0.1619999999999999</v>
      </c>
      <c r="W6" s="146" t="n">
        <v>0.05375899999999945</v>
      </c>
      <c r="X6" s="146" t="n">
        <v>0.2157590000000003</v>
      </c>
      <c r="Y6" s="145" t="n">
        <v>-3.907503000000002</v>
      </c>
      <c r="Z6" s="147" t="n">
        <v>0.04166666666666665</v>
      </c>
      <c r="AA6" s="148" t="n">
        <v>0.01058023722136064</v>
      </c>
      <c r="AB6" s="148" t="n">
        <v>0.02405587553769471</v>
      </c>
      <c r="AC6" s="147" t="n">
        <v>-0.2055493819188751</v>
      </c>
    </row>
    <row r="7" ht="17" customHeight="1" s="122">
      <c r="A7" s="11" t="inlineStr">
        <is>
          <t>+ Expansion</t>
        </is>
      </c>
      <c r="B7" s="142" t="n">
        <v>0.65</v>
      </c>
      <c r="C7" s="142" t="n">
        <v>0.72</v>
      </c>
      <c r="D7" s="142" t="n">
        <v>0.78</v>
      </c>
      <c r="E7" s="142" t="n">
        <v>0.85</v>
      </c>
      <c r="F7" s="142" t="n">
        <v>0.91</v>
      </c>
      <c r="G7" s="142" t="n">
        <v>0.869137</v>
      </c>
      <c r="H7" s="143" t="n">
        <v>0.584966</v>
      </c>
      <c r="I7" s="143" t="n">
        <v>0.612316</v>
      </c>
      <c r="J7" s="143" t="n">
        <v>0.491339</v>
      </c>
      <c r="K7" s="143" t="n">
        <v>0.546999</v>
      </c>
      <c r="L7" s="143" t="n">
        <v>0.566383</v>
      </c>
      <c r="M7" s="143" t="n">
        <v>0.591792</v>
      </c>
      <c r="N7" s="142" t="n">
        <v>2.15</v>
      </c>
      <c r="O7" s="142" t="n">
        <v>2.629137</v>
      </c>
      <c r="P7" s="142" t="n">
        <v>4.779137</v>
      </c>
      <c r="Q7" s="142" t="n">
        <v>8.172931999999999</v>
      </c>
      <c r="R7" s="144" t="n">
        <v>2.0855</v>
      </c>
      <c r="S7" s="144" t="n">
        <v>2.619793</v>
      </c>
      <c r="T7" s="144" t="n">
        <v>4.705293</v>
      </c>
      <c r="U7" s="144" t="n">
        <v>10.544282</v>
      </c>
      <c r="V7" s="145" t="n">
        <v>0.06449999999999978</v>
      </c>
      <c r="W7" s="146" t="n">
        <v>0.009344000000000019</v>
      </c>
      <c r="X7" s="146" t="n">
        <v>0.07384400000000024</v>
      </c>
      <c r="Y7" s="145" t="n">
        <v>-2.371350000000001</v>
      </c>
      <c r="Z7" s="147" t="n">
        <v>0.03092783505154629</v>
      </c>
      <c r="AA7" s="148" t="n">
        <v>0.003566694009793911</v>
      </c>
      <c r="AB7" s="148" t="n">
        <v>0.015693815454213</v>
      </c>
      <c r="AC7" s="147" t="n">
        <v>-0.2248944024827865</v>
      </c>
    </row>
    <row r="8" ht="17" customHeight="1" s="122">
      <c r="A8" s="11" t="inlineStr">
        <is>
          <t>+ Reactivation</t>
        </is>
      </c>
      <c r="B8" s="142" t="n">
        <v>0.06</v>
      </c>
      <c r="C8" s="142" t="n">
        <v>0.065</v>
      </c>
      <c r="D8" s="142" t="n">
        <v>0.07000000000000001</v>
      </c>
      <c r="E8" s="142" t="n">
        <v>0.075</v>
      </c>
      <c r="F8" s="142" t="n">
        <v>0.08</v>
      </c>
      <c r="G8" s="142" t="n">
        <v>0.142857</v>
      </c>
      <c r="H8" s="143" t="n">
        <v>0.202207</v>
      </c>
      <c r="I8" s="143" t="n">
        <v>0.258775</v>
      </c>
      <c r="J8" s="143" t="n">
        <v>0.285692</v>
      </c>
      <c r="K8" s="143" t="n">
        <v>0.239049</v>
      </c>
      <c r="L8" s="143" t="n">
        <v>0.165569</v>
      </c>
      <c r="M8" s="143" t="n">
        <v>0.225507</v>
      </c>
      <c r="N8" s="142" t="n">
        <v>0.195</v>
      </c>
      <c r="O8" s="142" t="n">
        <v>0.297857</v>
      </c>
      <c r="P8" s="142" t="n">
        <v>0.492857</v>
      </c>
      <c r="Q8" s="142" t="n">
        <v>1.869656</v>
      </c>
      <c r="R8" s="144" t="n">
        <v>0.195</v>
      </c>
      <c r="S8" s="144" t="n">
        <v>0.305</v>
      </c>
      <c r="T8" s="144" t="n">
        <v>0.5</v>
      </c>
      <c r="U8" s="144" t="n">
        <v>2.763018</v>
      </c>
      <c r="V8" s="149" t="n">
        <v>0</v>
      </c>
      <c r="W8" s="146" t="n">
        <v>-0.007142999999999955</v>
      </c>
      <c r="X8" s="146" t="n">
        <v>-0.00714300000000001</v>
      </c>
      <c r="Y8" s="145" t="n">
        <v>-0.8933619999999998</v>
      </c>
      <c r="Z8" s="150" t="n">
        <v>0</v>
      </c>
      <c r="AA8" s="148" t="n">
        <v>-0.02341967213114739</v>
      </c>
      <c r="AB8" s="148" t="n">
        <v>-0.01428600000000002</v>
      </c>
      <c r="AC8" s="147" t="n">
        <v>-0.3233283315562909</v>
      </c>
    </row>
    <row r="9" ht="17" customHeight="1" s="122">
      <c r="A9" s="11" t="inlineStr">
        <is>
          <t>- Contraction</t>
        </is>
      </c>
      <c r="B9" s="142" t="n">
        <v>-0.18</v>
      </c>
      <c r="C9" s="142" t="n">
        <v>-0.195</v>
      </c>
      <c r="D9" s="142" t="n">
        <v>-0.21</v>
      </c>
      <c r="E9" s="142" t="n">
        <v>-0.225</v>
      </c>
      <c r="F9" s="142" t="n">
        <v>-0.24</v>
      </c>
      <c r="G9" s="142" t="n">
        <v>-0.313652</v>
      </c>
      <c r="H9" s="143" t="n">
        <v>-0.21863</v>
      </c>
      <c r="I9" s="143" t="n">
        <v>-0.287626</v>
      </c>
      <c r="J9" s="143" t="n">
        <v>-0.258712</v>
      </c>
      <c r="K9" s="143" t="n">
        <v>-0.269281</v>
      </c>
      <c r="L9" s="143" t="n">
        <v>-0.218293</v>
      </c>
      <c r="M9" s="143" t="n">
        <v>-0.210246</v>
      </c>
      <c r="N9" s="142" t="n">
        <v>-0.585</v>
      </c>
      <c r="O9" s="142" t="n">
        <v>-0.778652</v>
      </c>
      <c r="P9" s="142" t="n">
        <v>-1.363652</v>
      </c>
      <c r="Q9" s="142" t="n">
        <v>-2.82644</v>
      </c>
      <c r="R9" s="144" t="n">
        <v>-0.5967</v>
      </c>
      <c r="S9" s="144" t="n">
        <v>-0.803635</v>
      </c>
      <c r="T9" s="144" t="n">
        <v>-1.400335</v>
      </c>
      <c r="U9" s="144" t="n">
        <v>-4.004782</v>
      </c>
      <c r="V9" s="145" t="n">
        <v>0.01170000000000004</v>
      </c>
      <c r="W9" s="145" t="n">
        <v>0.02498299999999998</v>
      </c>
      <c r="X9" s="145" t="n">
        <v>0.03668300000000002</v>
      </c>
      <c r="Y9" s="146" t="n">
        <v>1.178342</v>
      </c>
      <c r="Z9" s="147" t="n">
        <v>-0.01960784313725497</v>
      </c>
      <c r="AA9" s="147" t="n">
        <v>-0.03108749618919034</v>
      </c>
      <c r="AB9" s="147" t="n">
        <v>-0.02619587455858778</v>
      </c>
      <c r="AC9" s="148" t="n">
        <v>-0.2942337435595745</v>
      </c>
    </row>
    <row r="10" ht="17" customHeight="1" s="122">
      <c r="A10" s="11" t="inlineStr">
        <is>
          <t>- Churn</t>
        </is>
      </c>
      <c r="B10" s="142" t="n">
        <v>-0.42</v>
      </c>
      <c r="C10" s="142" t="n">
        <v>-0.435</v>
      </c>
      <c r="D10" s="142" t="n">
        <v>-0.45</v>
      </c>
      <c r="E10" s="142" t="n">
        <v>-0.47</v>
      </c>
      <c r="F10" s="142" t="n">
        <v>-0.49</v>
      </c>
      <c r="G10" s="142" t="n">
        <v>-0.520157</v>
      </c>
      <c r="H10" s="143" t="n">
        <v>-0.739071</v>
      </c>
      <c r="I10" s="143" t="n">
        <v>-0.746066</v>
      </c>
      <c r="J10" s="143" t="n">
        <v>-0.688675</v>
      </c>
      <c r="K10" s="143" t="n">
        <v>-0.751053</v>
      </c>
      <c r="L10" s="143" t="n">
        <v>-0.662931</v>
      </c>
      <c r="M10" s="143" t="n">
        <v>-0.653936</v>
      </c>
      <c r="N10" s="142" t="n">
        <v>-1.305</v>
      </c>
      <c r="O10" s="142" t="n">
        <v>-1.480157</v>
      </c>
      <c r="P10" s="142" t="n">
        <v>-2.785157</v>
      </c>
      <c r="Q10" s="142" t="n">
        <v>-7.026889</v>
      </c>
      <c r="R10" s="144" t="n">
        <v>-1.34415</v>
      </c>
      <c r="S10" s="144" t="n">
        <v>-1.534965</v>
      </c>
      <c r="T10" s="144" t="n">
        <v>-2.879115</v>
      </c>
      <c r="U10" s="144" t="n">
        <v>-7.214477</v>
      </c>
      <c r="V10" s="145" t="n">
        <v>0.03915000000000002</v>
      </c>
      <c r="W10" s="145" t="n">
        <v>0.05480800000000019</v>
      </c>
      <c r="X10" s="145" t="n">
        <v>0.09395800000000021</v>
      </c>
      <c r="Y10" s="146" t="n">
        <v>0.1875879999999999</v>
      </c>
      <c r="Z10" s="147" t="n">
        <v>-0.02912621359223302</v>
      </c>
      <c r="AA10" s="147" t="n">
        <v>-0.03570635161062317</v>
      </c>
      <c r="AB10" s="147" t="n">
        <v>-0.03263433381438401</v>
      </c>
      <c r="AC10" s="148" t="n">
        <v>-0.02600160760093904</v>
      </c>
    </row>
    <row r="11" ht="6" customHeight="1" s="122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</row>
    <row r="12" ht="16" customHeight="1" s="122">
      <c r="A12" s="99" t="inlineStr">
        <is>
          <t xml:space="preserve">  NET NEW ARR &amp; ENDING ARR</t>
        </is>
      </c>
    </row>
    <row r="13" ht="17" customHeight="1" s="122">
      <c r="A13" s="5" t="inlineStr">
        <is>
          <t>Net New ARR</t>
        </is>
      </c>
      <c r="B13" s="138" t="n">
        <v>1.2</v>
      </c>
      <c r="C13" s="138" t="n">
        <v>1.35</v>
      </c>
      <c r="D13" s="138" t="n">
        <v>1.5</v>
      </c>
      <c r="E13" s="138" t="n">
        <v>1.65</v>
      </c>
      <c r="F13" s="138" t="n">
        <v>1.8</v>
      </c>
      <c r="G13" s="138" t="n">
        <v>1.684836</v>
      </c>
      <c r="H13" s="137" t="n">
        <v>1.15531</v>
      </c>
      <c r="I13" s="137" t="n">
        <v>1.002656</v>
      </c>
      <c r="J13" s="137" t="n">
        <v>0.8662609999999999</v>
      </c>
      <c r="K13" s="137" t="n">
        <v>0.919339</v>
      </c>
      <c r="L13" s="137" t="n">
        <v>0.831852</v>
      </c>
      <c r="M13" s="137" t="n">
        <v>1.142288</v>
      </c>
      <c r="N13" s="138" t="n">
        <v>4.05</v>
      </c>
      <c r="O13" s="138" t="n">
        <v>5.134836</v>
      </c>
      <c r="P13" s="138" t="n">
        <v>9.184836000000001</v>
      </c>
      <c r="Q13" s="138" t="n">
        <v>15.102542</v>
      </c>
      <c r="R13" s="139" t="n">
        <v>3.888</v>
      </c>
      <c r="S13" s="139" t="n">
        <v>5.081077000000001</v>
      </c>
      <c r="T13" s="139" t="n">
        <v>8.969077</v>
      </c>
      <c r="U13" s="139" t="n">
        <v>19.010045</v>
      </c>
      <c r="V13" s="151" t="n">
        <v>0.1619999999999999</v>
      </c>
      <c r="W13" s="140" t="n">
        <v>0.05375899999999945</v>
      </c>
      <c r="X13" s="140" t="n">
        <v>0.2157590000000003</v>
      </c>
      <c r="Y13" s="140" t="n">
        <v>-3.907503000000002</v>
      </c>
      <c r="Z13" s="152" t="n">
        <v>0.04166666666666665</v>
      </c>
      <c r="AA13" s="141" t="n">
        <v>0.01058023722136064</v>
      </c>
      <c r="AB13" s="141" t="n">
        <v>0.02405587553769471</v>
      </c>
      <c r="AC13" s="141" t="n">
        <v>-0.2055493819188751</v>
      </c>
    </row>
    <row r="14" ht="17" customHeight="1" s="122">
      <c r="A14" s="5" t="inlineStr">
        <is>
          <t>Ending ARR</t>
        </is>
      </c>
      <c r="B14" s="138" t="n">
        <v>76.31</v>
      </c>
      <c r="C14" s="138" t="n">
        <v>77.815</v>
      </c>
      <c r="D14" s="138" t="n">
        <v>79.505</v>
      </c>
      <c r="E14" s="138" t="n">
        <v>81.38500000000001</v>
      </c>
      <c r="F14" s="138" t="n">
        <v>83.44499999999999</v>
      </c>
      <c r="G14" s="138" t="n">
        <v>85.308021</v>
      </c>
      <c r="H14" s="137" t="n">
        <v>86.29280199999999</v>
      </c>
      <c r="I14" s="137" t="n">
        <v>87.132856</v>
      </c>
      <c r="J14" s="137" t="n">
        <v>87.828763</v>
      </c>
      <c r="K14" s="137" t="n">
        <v>88.51381600000001</v>
      </c>
      <c r="L14" s="137" t="n">
        <v>89.196397</v>
      </c>
      <c r="M14" s="137" t="n">
        <v>90.291802</v>
      </c>
      <c r="N14" s="138" t="n">
        <v>79.505</v>
      </c>
      <c r="O14" s="138" t="n">
        <v>85.308021</v>
      </c>
      <c r="P14" s="138" t="n">
        <v>85.308021</v>
      </c>
      <c r="Q14" s="138" t="n">
        <v>90.291802</v>
      </c>
      <c r="R14" s="139" t="n">
        <v>79.22765</v>
      </c>
      <c r="S14" s="139" t="n">
        <v>84.89492199999999</v>
      </c>
      <c r="T14" s="139" t="n">
        <v>84.89492199999999</v>
      </c>
      <c r="U14" s="139" t="n">
        <v>96.098088</v>
      </c>
      <c r="V14" s="151" t="n">
        <v>0.2773499999999984</v>
      </c>
      <c r="W14" s="140" t="n">
        <v>0.4130990000000025</v>
      </c>
      <c r="X14" s="140" t="n">
        <v>0.4130990000000025</v>
      </c>
      <c r="Y14" s="151" t="n">
        <v>-5.806286</v>
      </c>
      <c r="Z14" s="152" t="n">
        <v>0.003500671798292622</v>
      </c>
      <c r="AA14" s="141" t="n">
        <v>0.004866003646248743</v>
      </c>
      <c r="AB14" s="141" t="n">
        <v>0.004866003646248743</v>
      </c>
      <c r="AC14" s="152" t="n">
        <v>-0.06042041127810992</v>
      </c>
    </row>
    <row r="15" ht="6" customHeight="1" s="122">
      <c r="A15" s="22" t="n"/>
      <c r="B15" s="22" t="n"/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  <c r="W15" s="22" t="n"/>
      <c r="X15" s="22" t="n"/>
      <c r="Y15" s="22" t="n"/>
      <c r="Z15" s="22" t="n"/>
      <c r="AA15" s="22" t="n"/>
      <c r="AB15" s="22" t="n"/>
      <c r="AC15" s="22" t="n"/>
    </row>
    <row r="16" ht="16" customHeight="1" s="122">
      <c r="A16" s="99" t="inlineStr">
        <is>
          <t xml:space="preserve">  RETENTION METRICS</t>
        </is>
      </c>
    </row>
    <row r="17" ht="17" customHeight="1" s="122">
      <c r="A17" s="25" t="inlineStr">
        <is>
          <t>NRR %</t>
        </is>
      </c>
      <c r="B17" s="103" t="n">
        <v>1.0007</v>
      </c>
      <c r="C17" s="103" t="n">
        <v>1.0012</v>
      </c>
      <c r="D17" s="103" t="n">
        <v>1.0015</v>
      </c>
      <c r="E17" s="103" t="n">
        <v>1.0019</v>
      </c>
      <c r="F17" s="103" t="n">
        <v>1.0022</v>
      </c>
      <c r="G17" s="103" t="n">
        <v>1.0077</v>
      </c>
      <c r="H17" s="105" t="n">
        <v>1.0061</v>
      </c>
      <c r="I17" s="105" t="n">
        <v>1.0054</v>
      </c>
      <c r="J17" s="105" t="n">
        <v>1.0058</v>
      </c>
      <c r="K17" s="105" t="n">
        <v>1.0051</v>
      </c>
      <c r="L17" s="105" t="n">
        <v>1.0062</v>
      </c>
      <c r="M17" s="105" t="n">
        <v>1.0058</v>
      </c>
      <c r="N17" s="77" t="n">
        <v>1.0011</v>
      </c>
      <c r="O17" s="77" t="n">
        <v>1.0039</v>
      </c>
      <c r="P17" s="77" t="n">
        <v>1.0025</v>
      </c>
      <c r="Q17" s="77" t="n">
        <v>0.999575</v>
      </c>
      <c r="R17" s="91" t="n">
        <v>1.0011</v>
      </c>
      <c r="S17" s="91" t="n">
        <v>1.0014</v>
      </c>
      <c r="T17" s="91" t="n">
        <v>1.0012</v>
      </c>
      <c r="U17" s="91" t="n">
        <v>1.0035</v>
      </c>
      <c r="V17" s="18" t="n">
        <v>0.0004333333333335077</v>
      </c>
      <c r="W17" s="18" t="n">
        <v>0.001350000000000051</v>
      </c>
      <c r="X17" s="18" t="n">
        <v>0.000800000000000125</v>
      </c>
      <c r="Y17" s="19" t="n">
        <v>-0.001124999999999972</v>
      </c>
      <c r="Z17" s="18" t="n">
        <v>0.0004330302121849782</v>
      </c>
      <c r="AA17" s="18" t="n">
        <v>0.001349055661037325</v>
      </c>
      <c r="AB17" s="18" t="n">
        <v>0.000799440391725917</v>
      </c>
      <c r="AC17" s="19" t="n">
        <v>-0.001124213050864367</v>
      </c>
    </row>
    <row r="18" ht="17" customHeight="1" s="122">
      <c r="A18" s="25" t="inlineStr">
        <is>
          <t>GRR %</t>
        </is>
      </c>
      <c r="B18" s="103" t="n">
        <v>0.992</v>
      </c>
      <c r="C18" s="103" t="n">
        <v>0.9917</v>
      </c>
      <c r="D18" s="103" t="n">
        <v>0.9915</v>
      </c>
      <c r="E18" s="103" t="n">
        <v>0.9913</v>
      </c>
      <c r="F18" s="103" t="n">
        <v>0.991</v>
      </c>
      <c r="G18" s="103" t="n">
        <v>0.9959</v>
      </c>
      <c r="H18" s="105" t="n">
        <v>0.9784</v>
      </c>
      <c r="I18" s="105" t="n">
        <v>0.9829</v>
      </c>
      <c r="J18" s="105" t="n">
        <v>0.9796</v>
      </c>
      <c r="K18" s="105" t="n">
        <v>0.9839</v>
      </c>
      <c r="L18" s="105" t="n">
        <v>0.9864000000000001</v>
      </c>
      <c r="M18" s="105" t="n">
        <v>0.9812</v>
      </c>
      <c r="N18" s="77" t="n">
        <v>0.9918</v>
      </c>
      <c r="O18" s="77" t="n">
        <v>0.9927</v>
      </c>
      <c r="P18" s="77" t="n">
        <v>0.9922</v>
      </c>
      <c r="Q18" s="77" t="n">
        <v>0.9912083333333334</v>
      </c>
      <c r="R18" s="91" t="n">
        <v>0.9917</v>
      </c>
      <c r="S18" s="91" t="n">
        <v>0.9941</v>
      </c>
      <c r="T18" s="91" t="n">
        <v>0.9929</v>
      </c>
      <c r="U18" s="91" t="n">
        <v>0.9875</v>
      </c>
      <c r="V18" s="19" t="n">
        <v>-0.0002666666666667084</v>
      </c>
      <c r="W18" s="19" t="n">
        <v>-0.0008500000000000795</v>
      </c>
      <c r="X18" s="19" t="n">
        <v>-0.0004999999999999716</v>
      </c>
      <c r="Y18" s="19" t="n">
        <v>-0.0007916666666666572</v>
      </c>
      <c r="Z18" s="19" t="n">
        <v>-0.0002688172043011173</v>
      </c>
      <c r="AA18" s="19" t="n">
        <v>-0.0008568548387097577</v>
      </c>
      <c r="AB18" s="19" t="n">
        <v>-0.0005040322580644875</v>
      </c>
      <c r="AC18" s="19" t="n">
        <v>-0.0007980510752688076</v>
      </c>
    </row>
    <row r="19"/>
    <row r="20" ht="24" customHeight="1" s="122">
      <c r="A20" s="100" t="inlineStr">
        <is>
          <t xml:space="preserve">  Note: Jun Actual column (yellow) is a user-input placeholder. Enter June actuals when the period closes. Q2 Act and H1 Act subtotals will auto-populate based on formulas. Forecast Jul–Dec sourced from Forecast_mrr_waterfall.csv.</t>
        </is>
      </c>
    </row>
  </sheetData>
  <mergeCells count="10">
    <mergeCell ref="B2:G2"/>
    <mergeCell ref="V2:AC2"/>
    <mergeCell ref="A16:AC16"/>
    <mergeCell ref="A12:AC12"/>
    <mergeCell ref="A4:AC4"/>
    <mergeCell ref="N2:Q2"/>
    <mergeCell ref="A20:M20"/>
    <mergeCell ref="R2:U2"/>
    <mergeCell ref="H2:M2"/>
    <mergeCell ref="A1:A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5"/>
  <sheetViews>
    <sheetView showGridLines="0" workbookViewId="0">
      <pane xSplit="1" ySplit="3" topLeftCell="D4" activePane="bottomRight" state="frozen"/>
      <selection pane="topRight" activeCell="A1" sqref="A1"/>
      <selection pane="bottomLeft" activeCell="A1" sqref="A1"/>
      <selection pane="bottomRight" activeCell="H3" sqref="H3"/>
    </sheetView>
  </sheetViews>
  <sheetFormatPr baseColWidth="8" defaultRowHeight="14.5"/>
  <cols>
    <col width="26" customWidth="1" style="122" min="1" max="1"/>
    <col width="10" customWidth="1" style="122" min="2" max="6"/>
    <col width="11" customWidth="1" style="122" min="7" max="7"/>
    <col width="10" customWidth="1" style="122" min="8" max="13"/>
    <col width="11" customWidth="1" style="122" min="14" max="29"/>
  </cols>
  <sheetData>
    <row r="1" ht="36" customHeight="1" s="122">
      <c r="A1" s="101" t="inlineStr">
        <is>
          <t>SMPL · Income Statement · Jan–Dec 2026</t>
        </is>
      </c>
    </row>
    <row r="2" ht="20" customHeight="1" s="122">
      <c r="B2" s="95" t="inlineStr">
        <is>
          <t>◀  ACTUALS  ▶</t>
        </is>
      </c>
      <c r="H2" s="102" t="inlineStr">
        <is>
          <t>◀  FORECAST (Jul–Dec)  ▶</t>
        </is>
      </c>
      <c r="N2" s="95" t="inlineStr">
        <is>
          <t>◀  ACTUAL SUBTOTALS  ▶</t>
        </is>
      </c>
      <c r="R2" s="97" t="inlineStr">
        <is>
          <t>◀  BUDGET SUBTOTALS  ▶</t>
        </is>
      </c>
      <c r="V2" s="98" t="inlineStr">
        <is>
          <t>◀  VARIANCE (ACT vs BUD)  ▶</t>
        </is>
      </c>
    </row>
    <row r="3" ht="32" customHeight="1" s="122">
      <c r="B3" s="1" t="inlineStr">
        <is>
          <t>Jan</t>
        </is>
      </c>
      <c r="C3" s="1" t="inlineStr">
        <is>
          <t>Feb</t>
        </is>
      </c>
      <c r="D3" s="1" t="inlineStr">
        <is>
          <t>Mar</t>
        </is>
      </c>
      <c r="E3" s="1" t="inlineStr">
        <is>
          <t>Apr</t>
        </is>
      </c>
      <c r="F3" s="1" t="inlineStr">
        <is>
          <t>May</t>
        </is>
      </c>
      <c r="G3" s="1" t="inlineStr">
        <is>
          <t>Jun</t>
        </is>
      </c>
      <c r="H3" s="2" t="inlineStr">
        <is>
          <t>Jul</t>
        </is>
      </c>
      <c r="I3" s="2" t="inlineStr">
        <is>
          <t>Aug</t>
        </is>
      </c>
      <c r="J3" s="2" t="inlineStr">
        <is>
          <t>Sep</t>
        </is>
      </c>
      <c r="K3" s="2" t="inlineStr">
        <is>
          <t>Oct</t>
        </is>
      </c>
      <c r="L3" s="2" t="inlineStr">
        <is>
          <t>Nov</t>
        </is>
      </c>
      <c r="M3" s="2" t="inlineStr">
        <is>
          <t>Dec</t>
        </is>
      </c>
      <c r="N3" s="1" t="inlineStr">
        <is>
          <t>Q1
Actual</t>
        </is>
      </c>
      <c r="O3" s="1" t="inlineStr">
        <is>
          <t>Q2
Actual</t>
        </is>
      </c>
      <c r="P3" s="1" t="inlineStr">
        <is>
          <t>H1 Act
+Jun FC</t>
        </is>
      </c>
      <c r="Q3" s="1" t="inlineStr">
        <is>
          <t>FY Act
+FC</t>
        </is>
      </c>
      <c r="R3" s="3" t="inlineStr">
        <is>
          <t>Q1
Budget</t>
        </is>
      </c>
      <c r="S3" s="3" t="inlineStr">
        <is>
          <t>Q2
Budget</t>
        </is>
      </c>
      <c r="T3" s="3" t="inlineStr">
        <is>
          <t>H1
Budget</t>
        </is>
      </c>
      <c r="U3" s="3" t="inlineStr">
        <is>
          <t>FY
Budget</t>
        </is>
      </c>
      <c r="V3" s="4" t="inlineStr">
        <is>
          <t>Q1
Var $</t>
        </is>
      </c>
      <c r="W3" s="4" t="inlineStr">
        <is>
          <t>Q2
Var $</t>
        </is>
      </c>
      <c r="X3" s="4" t="inlineStr">
        <is>
          <t>H1
Var $</t>
        </is>
      </c>
      <c r="Y3" s="4" t="inlineStr">
        <is>
          <t>FY
Var $</t>
        </is>
      </c>
      <c r="Z3" s="4" t="inlineStr">
        <is>
          <t>Q1
Var %</t>
        </is>
      </c>
      <c r="AA3" s="4" t="inlineStr">
        <is>
          <t>Q2
Var %</t>
        </is>
      </c>
      <c r="AB3" s="4" t="inlineStr">
        <is>
          <t>H1
Var %</t>
        </is>
      </c>
      <c r="AC3" s="4" t="inlineStr">
        <is>
          <t>FY
Var %</t>
        </is>
      </c>
    </row>
    <row r="4" ht="16" customHeight="1" s="122">
      <c r="A4" s="99" t="inlineStr">
        <is>
          <t xml:space="preserve">  REVENUE</t>
        </is>
      </c>
    </row>
    <row r="5" ht="17" customHeight="1" s="122">
      <c r="A5" s="5" t="inlineStr">
        <is>
          <t>Total Revenue</t>
        </is>
      </c>
      <c r="B5" s="138" t="n">
        <v>5.9</v>
      </c>
      <c r="C5" s="138" t="n">
        <v>6.1</v>
      </c>
      <c r="D5" s="138" t="n">
        <v>6.4</v>
      </c>
      <c r="E5" s="138" t="n">
        <v>6.7</v>
      </c>
      <c r="F5" s="138" t="n">
        <v>7</v>
      </c>
      <c r="G5" s="138" t="n">
        <v>7.35</v>
      </c>
      <c r="H5" s="137" t="n">
        <v>7.54</v>
      </c>
      <c r="I5" s="137" t="n">
        <v>7.73</v>
      </c>
      <c r="J5" s="137" t="n">
        <v>7.9</v>
      </c>
      <c r="K5" s="137" t="n">
        <v>8.08</v>
      </c>
      <c r="L5" s="137" t="n">
        <v>8.24</v>
      </c>
      <c r="M5" s="137" t="n">
        <v>8.41</v>
      </c>
      <c r="N5" s="153" t="n">
        <v>18.4</v>
      </c>
      <c r="O5" s="153" t="n">
        <v>21.05</v>
      </c>
      <c r="P5" s="153" t="n">
        <v>39.45</v>
      </c>
      <c r="Q5" s="153" t="n">
        <v>87.34999999999999</v>
      </c>
      <c r="R5" s="139" t="n">
        <v>19.32</v>
      </c>
      <c r="S5" s="139" t="n">
        <v>22.1025</v>
      </c>
      <c r="T5" s="139" t="n">
        <v>41.4225</v>
      </c>
      <c r="U5" s="139" t="n">
        <v>91.2385</v>
      </c>
      <c r="V5" s="151" t="n">
        <v>-0.9200000000000017</v>
      </c>
      <c r="W5" s="140" t="n">
        <v>-1.052499999999998</v>
      </c>
      <c r="X5" s="140" t="n">
        <v>-1.972499999999997</v>
      </c>
      <c r="Y5" s="151" t="n">
        <v>-3.888500000000008</v>
      </c>
      <c r="Z5" s="152" t="n">
        <v>-0.04761904761904771</v>
      </c>
      <c r="AA5" s="141" t="n">
        <v>-0.04761904761904755</v>
      </c>
      <c r="AB5" s="141" t="n">
        <v>-0.04761904761904754</v>
      </c>
      <c r="AC5" s="152" t="n">
        <v>-0.04261906980057769</v>
      </c>
    </row>
    <row r="6" ht="17" customHeight="1" s="122">
      <c r="A6" s="11" t="inlineStr">
        <is>
          <t xml:space="preserve">  Subscription Rev</t>
        </is>
      </c>
      <c r="B6" s="12" t="n">
        <v>6.29</v>
      </c>
      <c r="C6" s="12" t="n">
        <v>6.41</v>
      </c>
      <c r="D6" s="12" t="n">
        <v>6.54</v>
      </c>
      <c r="E6" s="12" t="n">
        <v>6.69</v>
      </c>
      <c r="F6" s="12" t="n">
        <v>6.85</v>
      </c>
      <c r="G6" s="12" t="n">
        <v>7.1694</v>
      </c>
      <c r="H6" s="13" t="n">
        <v>7.0288</v>
      </c>
      <c r="I6" s="13" t="n">
        <v>7.200699999999999</v>
      </c>
      <c r="J6" s="13" t="n">
        <v>7.38215</v>
      </c>
      <c r="K6" s="13" t="n">
        <v>7.5445</v>
      </c>
      <c r="L6" s="13" t="n">
        <v>7.7164</v>
      </c>
      <c r="M6" s="13" t="n">
        <v>7.8692</v>
      </c>
      <c r="N6" s="14" t="n">
        <v>19.24</v>
      </c>
      <c r="O6" s="14" t="n">
        <v>13.54</v>
      </c>
      <c r="P6" s="14" t="n">
        <v>32.78</v>
      </c>
      <c r="Q6" s="14" t="n">
        <v>85.55330000000001</v>
      </c>
      <c r="R6" s="15" t="n">
        <v>19.2337</v>
      </c>
      <c r="S6" s="15" t="n">
        <v>20.5516</v>
      </c>
      <c r="T6" s="15" t="n">
        <v>39.7853</v>
      </c>
      <c r="U6" s="15" t="n">
        <v>85.50115</v>
      </c>
      <c r="V6" s="16" t="n">
        <v>0.006300000000003081</v>
      </c>
      <c r="W6" s="17" t="n">
        <v>-7.011600000000001</v>
      </c>
      <c r="X6" s="17" t="n">
        <v>-7.005299999999998</v>
      </c>
      <c r="Y6" s="16" t="n">
        <v>0.05215000000001169</v>
      </c>
      <c r="Z6" s="18" t="n">
        <v>0.0003275500813677598</v>
      </c>
      <c r="AA6" s="19" t="n">
        <v>-0.3411705171373519</v>
      </c>
      <c r="AB6" s="19" t="n">
        <v>-0.1760775964992095</v>
      </c>
      <c r="AC6" s="18" t="n">
        <v>0.0006099333166865204</v>
      </c>
    </row>
    <row r="7" ht="17" customHeight="1" s="122">
      <c r="A7" s="11" t="inlineStr">
        <is>
          <t xml:space="preserve">  Services Rev</t>
        </is>
      </c>
      <c r="B7" s="12" t="n">
        <v>0.3</v>
      </c>
      <c r="C7" s="12" t="n">
        <v>0.3</v>
      </c>
      <c r="D7" s="12" t="n">
        <v>0.31</v>
      </c>
      <c r="E7" s="12" t="n">
        <v>0.32</v>
      </c>
      <c r="F7" s="12" t="n">
        <v>0.33</v>
      </c>
      <c r="G7" s="12" t="n">
        <v>0.2424</v>
      </c>
      <c r="H7" s="13" t="n">
        <v>0.3312</v>
      </c>
      <c r="I7" s="13" t="n">
        <v>0.3393</v>
      </c>
      <c r="J7" s="13" t="n">
        <v>0.34785</v>
      </c>
      <c r="K7" s="13" t="n">
        <v>0.3555</v>
      </c>
      <c r="L7" s="13" t="n">
        <v>0.3636</v>
      </c>
      <c r="M7" s="13" t="n">
        <v>0.3708</v>
      </c>
      <c r="N7" s="14" t="n">
        <v>0.9099999999999999</v>
      </c>
      <c r="O7" s="14" t="n">
        <v>0.65</v>
      </c>
      <c r="P7" s="14" t="n">
        <v>1.56</v>
      </c>
      <c r="Q7" s="14" t="n">
        <v>4.0467</v>
      </c>
      <c r="R7" s="15" t="n">
        <v>0.9062999999999999</v>
      </c>
      <c r="S7" s="15" t="n">
        <v>0.9683999999999999</v>
      </c>
      <c r="T7" s="15" t="n">
        <v>1.8747</v>
      </c>
      <c r="U7" s="15" t="n">
        <v>4.02885</v>
      </c>
      <c r="V7" s="16" t="n">
        <v>0.003700000000000037</v>
      </c>
      <c r="W7" s="17" t="n">
        <v>-0.3183999999999999</v>
      </c>
      <c r="X7" s="17" t="n">
        <v>-0.3146999999999998</v>
      </c>
      <c r="Y7" s="16" t="n">
        <v>0.01784999999999926</v>
      </c>
      <c r="Z7" s="18" t="n">
        <v>0.004082533377468871</v>
      </c>
      <c r="AA7" s="19" t="n">
        <v>-0.3287897562990499</v>
      </c>
      <c r="AB7" s="19" t="n">
        <v>-0.1678668586973915</v>
      </c>
      <c r="AC7" s="18" t="n">
        <v>0.004430544696377193</v>
      </c>
    </row>
    <row r="8" ht="6" customHeight="1" s="122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</row>
    <row r="9" ht="16" customHeight="1" s="122">
      <c r="A9" s="99" t="inlineStr">
        <is>
          <t xml:space="preserve">  GROSS PROFIT</t>
        </is>
      </c>
    </row>
    <row r="10" ht="17" customHeight="1" s="122">
      <c r="A10" s="11" t="inlineStr">
        <is>
          <t>Cost of Revenue</t>
        </is>
      </c>
      <c r="B10" s="142" t="n">
        <v>1.711</v>
      </c>
      <c r="C10" s="142" t="n">
        <v>1.769</v>
      </c>
      <c r="D10" s="142" t="n">
        <v>1.856</v>
      </c>
      <c r="E10" s="142" t="n">
        <v>1.943</v>
      </c>
      <c r="F10" s="142" t="n">
        <v>2.03</v>
      </c>
      <c r="G10" s="142" t="n">
        <v>2.205</v>
      </c>
      <c r="H10" s="143" t="n">
        <v>2.262</v>
      </c>
      <c r="I10" s="143" t="n">
        <v>2.319</v>
      </c>
      <c r="J10" s="143" t="n">
        <v>2.37</v>
      </c>
      <c r="K10" s="143" t="n">
        <v>2.424</v>
      </c>
      <c r="L10" s="143" t="n">
        <v>2.472</v>
      </c>
      <c r="M10" s="143" t="n">
        <v>2.523</v>
      </c>
      <c r="N10" s="154" t="n">
        <v>5.336</v>
      </c>
      <c r="O10" s="154" t="n">
        <v>6.178</v>
      </c>
      <c r="P10" s="154" t="n">
        <v>11.514</v>
      </c>
      <c r="Q10" s="154" t="n">
        <v>25.884</v>
      </c>
      <c r="R10" s="144" t="n">
        <v>5.6028</v>
      </c>
      <c r="S10" s="144" t="n">
        <v>6.4869</v>
      </c>
      <c r="T10" s="144" t="n">
        <v>12.0897</v>
      </c>
      <c r="U10" s="144" t="n">
        <v>26.53634</v>
      </c>
      <c r="V10" s="146" t="n">
        <v>-0.2667999999999999</v>
      </c>
      <c r="W10" s="145" t="n">
        <v>-0.3089000000000004</v>
      </c>
      <c r="X10" s="145" t="n">
        <v>-0.5757000000000012</v>
      </c>
      <c r="Y10" s="146" t="n">
        <v>-0.6523399999999988</v>
      </c>
      <c r="Z10" s="148" t="n">
        <v>-0.0476190476190476</v>
      </c>
      <c r="AA10" s="147" t="n">
        <v>-0.04761904761904768</v>
      </c>
      <c r="AB10" s="147" t="n">
        <v>-0.04761904761904771</v>
      </c>
      <c r="AC10" s="148" t="n">
        <v>-0.02458289274255601</v>
      </c>
    </row>
    <row r="11" ht="17" customHeight="1" s="122">
      <c r="A11" s="5" t="inlineStr">
        <is>
          <t>Gross Profit</t>
        </is>
      </c>
      <c r="B11" s="138" t="n">
        <v>4.189</v>
      </c>
      <c r="C11" s="138" t="n">
        <v>4.331</v>
      </c>
      <c r="D11" s="138" t="n">
        <v>4.544</v>
      </c>
      <c r="E11" s="138" t="n">
        <v>4.757</v>
      </c>
      <c r="F11" s="138" t="n">
        <v>4.97</v>
      </c>
      <c r="G11" s="138" t="n">
        <v>5.145</v>
      </c>
      <c r="H11" s="137" t="n">
        <v>5.278</v>
      </c>
      <c r="I11" s="137" t="n">
        <v>5.411</v>
      </c>
      <c r="J11" s="137" t="n">
        <v>5.53</v>
      </c>
      <c r="K11" s="137" t="n">
        <v>5.656</v>
      </c>
      <c r="L11" s="137" t="n">
        <v>5.768</v>
      </c>
      <c r="M11" s="137" t="n">
        <v>5.887</v>
      </c>
      <c r="N11" s="153" t="n">
        <v>13.064</v>
      </c>
      <c r="O11" s="153" t="n">
        <v>14.872</v>
      </c>
      <c r="P11" s="153" t="n">
        <v>27.936</v>
      </c>
      <c r="Q11" s="153" t="n">
        <v>61.46599999999999</v>
      </c>
      <c r="R11" s="139" t="n">
        <v>13.7172</v>
      </c>
      <c r="S11" s="139" t="n">
        <v>15.6156</v>
      </c>
      <c r="T11" s="139" t="n">
        <v>29.3328</v>
      </c>
      <c r="U11" s="139" t="n">
        <v>64.70216000000001</v>
      </c>
      <c r="V11" s="151" t="n">
        <v>-0.6532000000000018</v>
      </c>
      <c r="W11" s="140" t="n">
        <v>-0.7436000000000007</v>
      </c>
      <c r="X11" s="140" t="n">
        <v>-1.396799999999999</v>
      </c>
      <c r="Y11" s="151" t="n">
        <v>-3.236160000000012</v>
      </c>
      <c r="Z11" s="152" t="n">
        <v>-0.04761904761904774</v>
      </c>
      <c r="AA11" s="141" t="n">
        <v>-0.04761904761904766</v>
      </c>
      <c r="AB11" s="141" t="n">
        <v>-0.04761904761904758</v>
      </c>
      <c r="AC11" s="152" t="n">
        <v>-0.05001625911716104</v>
      </c>
    </row>
    <row r="12" ht="17" customHeight="1" s="122">
      <c r="A12" s="11" t="inlineStr">
        <is>
          <t>Gross Margin %</t>
        </is>
      </c>
      <c r="B12" s="77" t="n">
        <v>0.71</v>
      </c>
      <c r="C12" s="77" t="n">
        <v>0.71</v>
      </c>
      <c r="D12" s="77" t="n">
        <v>0.71</v>
      </c>
      <c r="E12" s="77" t="n">
        <v>0.71</v>
      </c>
      <c r="F12" s="77" t="n">
        <v>0.71</v>
      </c>
      <c r="G12" s="77" t="n">
        <v>0.7</v>
      </c>
      <c r="H12" s="155" t="n">
        <v>0.7</v>
      </c>
      <c r="I12" s="155" t="n">
        <v>0.7</v>
      </c>
      <c r="J12" s="155" t="n">
        <v>0.7</v>
      </c>
      <c r="K12" s="155" t="n">
        <v>0.7</v>
      </c>
      <c r="L12" s="155" t="n">
        <v>0.7</v>
      </c>
      <c r="M12" s="155" t="n">
        <v>0.7</v>
      </c>
      <c r="N12" s="154" t="n">
        <v>0.71</v>
      </c>
      <c r="O12" s="154" t="n">
        <v>0.7</v>
      </c>
      <c r="P12" s="154" t="n">
        <v>0.7</v>
      </c>
      <c r="Q12" s="154" t="n">
        <v>0.7</v>
      </c>
      <c r="R12" s="144" t="n">
        <v>0.71</v>
      </c>
      <c r="S12" s="144" t="n">
        <v>0.7</v>
      </c>
      <c r="T12" s="144" t="n">
        <v>0.7</v>
      </c>
      <c r="U12" s="144" t="n">
        <v>0.7</v>
      </c>
      <c r="V12" s="149" t="n">
        <v>0</v>
      </c>
      <c r="W12" s="149" t="n">
        <v>0</v>
      </c>
      <c r="X12" s="149" t="n">
        <v>0</v>
      </c>
      <c r="Y12" s="149" t="n">
        <v>0</v>
      </c>
      <c r="Z12" s="21" t="n">
        <v>0</v>
      </c>
      <c r="AA12" s="21" t="n">
        <v>0</v>
      </c>
      <c r="AB12" s="21" t="n">
        <v>0</v>
      </c>
      <c r="AC12" s="21" t="n">
        <v>0</v>
      </c>
    </row>
    <row r="13" ht="6" customHeight="1" s="122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</row>
    <row r="14" ht="16" customHeight="1" s="122">
      <c r="A14" s="99" t="inlineStr">
        <is>
          <t xml:space="preserve">  OPERATING EXPENSES</t>
        </is>
      </c>
    </row>
    <row r="15" ht="17" customHeight="1" s="122">
      <c r="A15" s="11" t="inlineStr">
        <is>
          <t>Sales &amp; Marketing</t>
        </is>
      </c>
      <c r="B15" s="142" t="n">
        <v>2.006</v>
      </c>
      <c r="C15" s="142" t="n">
        <v>2.074</v>
      </c>
      <c r="D15" s="142" t="n">
        <v>2.176</v>
      </c>
      <c r="E15" s="142" t="n">
        <v>2.278</v>
      </c>
      <c r="F15" s="142" t="n">
        <v>2.38</v>
      </c>
      <c r="G15" s="142" t="n">
        <v>2.499</v>
      </c>
      <c r="H15" s="143" t="n">
        <v>2.640508</v>
      </c>
      <c r="I15" s="143" t="n">
        <v>2.707046</v>
      </c>
      <c r="J15" s="143" t="n">
        <v>2.76658</v>
      </c>
      <c r="K15" s="143" t="n">
        <v>2.829616</v>
      </c>
      <c r="L15" s="143" t="n">
        <v>2.885648</v>
      </c>
      <c r="M15" s="143" t="n">
        <v>2.945182</v>
      </c>
      <c r="N15" s="154" t="n">
        <v>6.256</v>
      </c>
      <c r="O15" s="154" t="n">
        <v>7.157</v>
      </c>
      <c r="P15" s="154" t="n">
        <v>13.413</v>
      </c>
      <c r="Q15" s="154" t="n">
        <v>30.18758</v>
      </c>
      <c r="R15" s="144" t="n">
        <v>6.634487999999999</v>
      </c>
      <c r="S15" s="144" t="n">
        <v>7.589999</v>
      </c>
      <c r="T15" s="144" t="n">
        <v>14.224487</v>
      </c>
      <c r="U15" s="144" t="n">
        <v>32.008798</v>
      </c>
      <c r="V15" s="146" t="n">
        <v>-0.378487999999999</v>
      </c>
      <c r="W15" s="145" t="n">
        <v>-0.4329989999999997</v>
      </c>
      <c r="X15" s="145" t="n">
        <v>-0.8114869999999996</v>
      </c>
      <c r="Y15" s="146" t="n">
        <v>-1.821217999999998</v>
      </c>
      <c r="Z15" s="148" t="n">
        <v>-0.05704856199905691</v>
      </c>
      <c r="AA15" s="147" t="n">
        <v>-0.05704862411707824</v>
      </c>
      <c r="AB15" s="147" t="n">
        <v>-0.05704859514441538</v>
      </c>
      <c r="AC15" s="148" t="n">
        <v>-0.05689741926579056</v>
      </c>
    </row>
    <row r="16" ht="17" customHeight="1" s="122">
      <c r="A16" s="11" t="inlineStr">
        <is>
          <t>Research &amp; Development</t>
        </is>
      </c>
      <c r="B16" s="142" t="n">
        <v>0.944</v>
      </c>
      <c r="C16" s="142" t="n">
        <v>0.976</v>
      </c>
      <c r="D16" s="142" t="n">
        <v>1.024</v>
      </c>
      <c r="E16" s="142" t="n">
        <v>1.072</v>
      </c>
      <c r="F16" s="142" t="n">
        <v>1.12</v>
      </c>
      <c r="G16" s="142" t="n">
        <v>1.176</v>
      </c>
      <c r="H16" s="143" t="n">
        <v>1.242592</v>
      </c>
      <c r="I16" s="143" t="n">
        <v>1.273904</v>
      </c>
      <c r="J16" s="143" t="n">
        <v>1.30192</v>
      </c>
      <c r="K16" s="143" t="n">
        <v>1.331584</v>
      </c>
      <c r="L16" s="143" t="n">
        <v>1.357952</v>
      </c>
      <c r="M16" s="143" t="n">
        <v>1.385968</v>
      </c>
      <c r="N16" s="154" t="n">
        <v>2.944</v>
      </c>
      <c r="O16" s="154" t="n">
        <v>3.368</v>
      </c>
      <c r="P16" s="154" t="n">
        <v>6.312</v>
      </c>
      <c r="Q16" s="154" t="n">
        <v>14.20592</v>
      </c>
      <c r="R16" s="144" t="n">
        <v>3.122112</v>
      </c>
      <c r="S16" s="144" t="n">
        <v>3.571764</v>
      </c>
      <c r="T16" s="144" t="n">
        <v>6.693875999999999</v>
      </c>
      <c r="U16" s="144" t="n">
        <v>14.983257</v>
      </c>
      <c r="V16" s="146" t="n">
        <v>-0.178112</v>
      </c>
      <c r="W16" s="145" t="n">
        <v>-0.2037639999999996</v>
      </c>
      <c r="X16" s="145" t="n">
        <v>-0.3818759999999992</v>
      </c>
      <c r="Y16" s="146" t="n">
        <v>-0.7773369999999993</v>
      </c>
      <c r="Z16" s="148" t="n">
        <v>-0.05704856199905706</v>
      </c>
      <c r="AA16" s="147" t="n">
        <v>-0.05704856199905694</v>
      </c>
      <c r="AB16" s="147" t="n">
        <v>-0.05704856199905694</v>
      </c>
      <c r="AC16" s="148" t="n">
        <v>-0.05188037554184643</v>
      </c>
    </row>
    <row r="17" ht="17" customHeight="1" s="122">
      <c r="A17" s="11" t="inlineStr">
        <is>
          <t>General &amp; Administrative</t>
        </is>
      </c>
      <c r="B17" s="142" t="n">
        <v>0.649</v>
      </c>
      <c r="C17" s="142" t="n">
        <v>0.671</v>
      </c>
      <c r="D17" s="142" t="n">
        <v>0.704</v>
      </c>
      <c r="E17" s="142" t="n">
        <v>0.737</v>
      </c>
      <c r="F17" s="142" t="n">
        <v>0.77</v>
      </c>
      <c r="G17" s="142" t="n">
        <v>0.8085</v>
      </c>
      <c r="H17" s="143" t="n">
        <v>0.8294</v>
      </c>
      <c r="I17" s="143" t="n">
        <v>0.8502999999999999</v>
      </c>
      <c r="J17" s="143" t="n">
        <v>0.869</v>
      </c>
      <c r="K17" s="143" t="n">
        <v>0.8888</v>
      </c>
      <c r="L17" s="143" t="n">
        <v>0.9064</v>
      </c>
      <c r="M17" s="143" t="n">
        <v>0.9251</v>
      </c>
      <c r="N17" s="154" t="n">
        <v>2.024</v>
      </c>
      <c r="O17" s="154" t="n">
        <v>2.3155</v>
      </c>
      <c r="P17" s="154" t="n">
        <v>4.3395</v>
      </c>
      <c r="Q17" s="154" t="n">
        <v>9.608499999999999</v>
      </c>
      <c r="R17" s="144" t="n">
        <v>2.146452</v>
      </c>
      <c r="S17" s="144" t="n">
        <v>2.455588</v>
      </c>
      <c r="T17" s="144" t="n">
        <v>4.60204</v>
      </c>
      <c r="U17" s="144" t="n">
        <v>9.917407000000001</v>
      </c>
      <c r="V17" s="146" t="n">
        <v>-0.122452</v>
      </c>
      <c r="W17" s="145" t="n">
        <v>-0.140088</v>
      </c>
      <c r="X17" s="145" t="n">
        <v>-0.2625399999999996</v>
      </c>
      <c r="Y17" s="146" t="n">
        <v>-0.3089070000000014</v>
      </c>
      <c r="Z17" s="148" t="n">
        <v>-0.05704856199905705</v>
      </c>
      <c r="AA17" s="147" t="n">
        <v>-0.05704865799963185</v>
      </c>
      <c r="AB17" s="147" t="n">
        <v>-0.0570486132237007</v>
      </c>
      <c r="AC17" s="148" t="n">
        <v>-0.03114796034890989</v>
      </c>
    </row>
    <row r="18" ht="17" customHeight="1" s="122">
      <c r="A18" s="5" t="inlineStr">
        <is>
          <t>Total OpEx</t>
        </is>
      </c>
      <c r="B18" s="138" t="n">
        <v>3.599</v>
      </c>
      <c r="C18" s="138" t="n">
        <v>3.721</v>
      </c>
      <c r="D18" s="138" t="n">
        <v>3.904</v>
      </c>
      <c r="E18" s="138" t="n">
        <v>4.087</v>
      </c>
      <c r="F18" s="138" t="n">
        <v>4.27</v>
      </c>
      <c r="G18" s="138" t="n">
        <v>4.4835</v>
      </c>
      <c r="H18" s="137" t="n">
        <v>4.7125</v>
      </c>
      <c r="I18" s="137" t="n">
        <v>4.83125</v>
      </c>
      <c r="J18" s="137" t="n">
        <v>4.9375</v>
      </c>
      <c r="K18" s="137" t="n">
        <v>5.05</v>
      </c>
      <c r="L18" s="137" t="n">
        <v>5.15</v>
      </c>
      <c r="M18" s="137" t="n">
        <v>5.25625</v>
      </c>
      <c r="N18" s="153" t="n">
        <v>11.224</v>
      </c>
      <c r="O18" s="153" t="n">
        <v>12.8405</v>
      </c>
      <c r="P18" s="153" t="n">
        <v>24.0645</v>
      </c>
      <c r="Q18" s="153" t="n">
        <v>54.002</v>
      </c>
      <c r="R18" s="139" t="n">
        <v>11.903053</v>
      </c>
      <c r="S18" s="139" t="n">
        <v>13.61735</v>
      </c>
      <c r="T18" s="139" t="n">
        <v>25.520403</v>
      </c>
      <c r="U18" s="139" t="n">
        <v>56.909465</v>
      </c>
      <c r="V18" s="140" t="n">
        <v>-0.6790529999999997</v>
      </c>
      <c r="W18" s="151" t="n">
        <v>-0.7768500000000014</v>
      </c>
      <c r="X18" s="151" t="n">
        <v>-1.455903000000003</v>
      </c>
      <c r="Y18" s="140" t="n">
        <v>-2.907464999999995</v>
      </c>
      <c r="Z18" s="141" t="n">
        <v>-0.05704864121834959</v>
      </c>
      <c r="AA18" s="152" t="n">
        <v>-0.05704854468747601</v>
      </c>
      <c r="AB18" s="152" t="n">
        <v>-0.05704858971075037</v>
      </c>
      <c r="AC18" s="141" t="n">
        <v>-0.05108930474043281</v>
      </c>
    </row>
    <row r="19" ht="6" customHeight="1" s="122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</row>
    <row r="20" ht="16" customHeight="1" s="122">
      <c r="A20" s="99" t="inlineStr">
        <is>
          <t xml:space="preserve">  EBITDA</t>
        </is>
      </c>
    </row>
    <row r="21" ht="17" customHeight="1" s="122">
      <c r="A21" s="5" t="inlineStr">
        <is>
          <t>EBITDA</t>
        </is>
      </c>
      <c r="B21" s="138" t="n">
        <v>0.59</v>
      </c>
      <c r="C21" s="138" t="n">
        <v>0.61</v>
      </c>
      <c r="D21" s="138" t="n">
        <v>0.64</v>
      </c>
      <c r="E21" s="138" t="n">
        <v>0.67</v>
      </c>
      <c r="F21" s="138" t="n">
        <v>0.7</v>
      </c>
      <c r="G21" s="138" t="n">
        <v>0.6615</v>
      </c>
      <c r="H21" s="137" t="n">
        <v>0.5655</v>
      </c>
      <c r="I21" s="137" t="n">
        <v>0.57975</v>
      </c>
      <c r="J21" s="137" t="n">
        <v>0.5925</v>
      </c>
      <c r="K21" s="137" t="n">
        <v>0.606</v>
      </c>
      <c r="L21" s="137" t="n">
        <v>0.618</v>
      </c>
      <c r="M21" s="137" t="n">
        <v>0.63075</v>
      </c>
      <c r="N21" s="153" t="n">
        <v>1.84</v>
      </c>
      <c r="O21" s="153" t="n">
        <v>2.0315</v>
      </c>
      <c r="P21" s="153" t="n">
        <v>3.8715</v>
      </c>
      <c r="Q21" s="153" t="n">
        <v>7.464</v>
      </c>
      <c r="R21" s="139" t="n">
        <v>1.814148</v>
      </c>
      <c r="S21" s="139" t="n">
        <v>1.998249</v>
      </c>
      <c r="T21" s="139" t="n">
        <v>3.812397</v>
      </c>
      <c r="U21" s="139" t="n">
        <v>7.792695</v>
      </c>
      <c r="V21" s="156" t="n">
        <v>0.02585199999999999</v>
      </c>
      <c r="W21" s="151" t="n">
        <v>0.03325099999999992</v>
      </c>
      <c r="X21" s="151" t="n">
        <v>0.05910300000000035</v>
      </c>
      <c r="Y21" s="156" t="n">
        <v>-0.3286949999999997</v>
      </c>
      <c r="Z21" s="157" t="n">
        <v>0.01425021552817079</v>
      </c>
      <c r="AA21" s="152" t="n">
        <v>0.01664006837986653</v>
      </c>
      <c r="AB21" s="152" t="n">
        <v>0.01550284506046992</v>
      </c>
      <c r="AC21" s="157" t="n">
        <v>-0.04217988770252137</v>
      </c>
    </row>
    <row r="22" ht="17" customHeight="1" s="122">
      <c r="A22" s="11" t="inlineStr">
        <is>
          <t>Depreciation &amp; Amort</t>
        </is>
      </c>
      <c r="B22" s="142" t="n">
        <v>0.0885</v>
      </c>
      <c r="C22" s="142" t="n">
        <v>0.0915</v>
      </c>
      <c r="D22" s="142" t="n">
        <v>0.096</v>
      </c>
      <c r="E22" s="142" t="n">
        <v>0.1005</v>
      </c>
      <c r="F22" s="142" t="n">
        <v>0.105</v>
      </c>
      <c r="G22" s="142" t="n">
        <v>0.11025</v>
      </c>
      <c r="H22" s="143" t="n">
        <v>0.11025</v>
      </c>
      <c r="I22" s="143" t="n">
        <v>0.11275</v>
      </c>
      <c r="J22" s="143" t="n">
        <v>0.11525</v>
      </c>
      <c r="K22" s="143" t="n">
        <v>0.11775</v>
      </c>
      <c r="L22" s="143" t="n">
        <v>0.12025</v>
      </c>
      <c r="M22" s="143" t="n">
        <v>0.12275</v>
      </c>
      <c r="N22" s="154" t="n">
        <v>0.276</v>
      </c>
      <c r="O22" s="154" t="n">
        <v>0.31575</v>
      </c>
      <c r="P22" s="154" t="n">
        <v>0.59175</v>
      </c>
      <c r="Q22" s="154" t="n">
        <v>1.29075</v>
      </c>
      <c r="R22" s="144" t="n">
        <v>0.2898</v>
      </c>
      <c r="S22" s="144" t="n">
        <v>0.331538</v>
      </c>
      <c r="T22" s="144" t="n">
        <v>0.6213379999999999</v>
      </c>
      <c r="U22" s="144" t="n">
        <v>1.327838</v>
      </c>
      <c r="V22" s="146" t="n">
        <v>-0.01379999999999998</v>
      </c>
      <c r="W22" s="145" t="n">
        <v>-0.01578800000000002</v>
      </c>
      <c r="X22" s="145" t="n">
        <v>-0.02958799999999995</v>
      </c>
      <c r="Y22" s="146" t="n">
        <v>-0.03708800000000001</v>
      </c>
      <c r="Z22" s="148" t="n">
        <v>-0.04761904761904755</v>
      </c>
      <c r="AA22" s="147" t="n">
        <v>-0.04762048392642781</v>
      </c>
      <c r="AB22" s="147" t="n">
        <v>-0.04761981401427234</v>
      </c>
      <c r="AC22" s="148" t="n">
        <v>-0.0279311181032626</v>
      </c>
    </row>
    <row r="23" ht="17" customHeight="1" s="122">
      <c r="A23" s="5" t="inlineStr">
        <is>
          <t>Operating Income</t>
        </is>
      </c>
      <c r="B23" s="138" t="n">
        <v>0.5014999999999999</v>
      </c>
      <c r="C23" s="138" t="n">
        <v>0.5185</v>
      </c>
      <c r="D23" s="138" t="n">
        <v>0.544</v>
      </c>
      <c r="E23" s="138" t="n">
        <v>0.5695</v>
      </c>
      <c r="F23" s="138" t="n">
        <v>0.595</v>
      </c>
      <c r="G23" s="138" t="n">
        <v>0.55125</v>
      </c>
      <c r="H23" s="137" t="n">
        <v>0.45525</v>
      </c>
      <c r="I23" s="137" t="n">
        <v>0.467</v>
      </c>
      <c r="J23" s="137" t="n">
        <v>0.47725</v>
      </c>
      <c r="K23" s="137" t="n">
        <v>0.48825</v>
      </c>
      <c r="L23" s="137" t="n">
        <v>0.49775</v>
      </c>
      <c r="M23" s="137" t="n">
        <v>0.508</v>
      </c>
      <c r="N23" s="153" t="n">
        <v>1.564</v>
      </c>
      <c r="O23" s="153" t="n">
        <v>1.71575</v>
      </c>
      <c r="P23" s="153" t="n">
        <v>3.27975</v>
      </c>
      <c r="Q23" s="153" t="n">
        <v>6.17325</v>
      </c>
      <c r="R23" s="139" t="n">
        <v>1.524348</v>
      </c>
      <c r="S23" s="139" t="n">
        <v>1.666712</v>
      </c>
      <c r="T23" s="139" t="n">
        <v>3.19106</v>
      </c>
      <c r="U23" s="139" t="n">
        <v>6.464858</v>
      </c>
      <c r="V23" s="140" t="n">
        <v>0.03965200000000002</v>
      </c>
      <c r="W23" s="151" t="n">
        <v>0.04903799999999991</v>
      </c>
      <c r="X23" s="151" t="n">
        <v>0.08868999999999971</v>
      </c>
      <c r="Y23" s="140" t="n">
        <v>-0.2916080000000001</v>
      </c>
      <c r="Z23" s="141" t="n">
        <v>0.02601243285653933</v>
      </c>
      <c r="AA23" s="152" t="n">
        <v>0.02942199972160752</v>
      </c>
      <c r="AB23" s="152" t="n">
        <v>0.02779327245492084</v>
      </c>
      <c r="AC23" s="141" t="n">
        <v>-0.04510663652627793</v>
      </c>
    </row>
    <row r="24">
      <c r="G24" s="78" t="n"/>
    </row>
    <row r="25" ht="24" customHeight="1" s="122">
      <c r="A25" s="100" t="inlineStr">
        <is>
          <t xml:space="preserve">  Note: Jun Actual (yellow) is a user-input placeholder — enter when June closes. Q2 and H1 actuals will reflect Apr+May until June is added.</t>
        </is>
      </c>
    </row>
  </sheetData>
  <mergeCells count="11">
    <mergeCell ref="B2:G2"/>
    <mergeCell ref="A14:AC14"/>
    <mergeCell ref="V2:AC2"/>
    <mergeCell ref="A9:AC9"/>
    <mergeCell ref="N2:Q2"/>
    <mergeCell ref="A4:AC4"/>
    <mergeCell ref="A25:M25"/>
    <mergeCell ref="A20:AC20"/>
    <mergeCell ref="R2:U2"/>
    <mergeCell ref="H2:M2"/>
    <mergeCell ref="A1:A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7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AJ1"/>
    </sheetView>
  </sheetViews>
  <sheetFormatPr baseColWidth="8" defaultRowHeight="14.5"/>
  <cols>
    <col width="26" customWidth="1" style="122" min="1" max="1"/>
    <col width="10" customWidth="1" style="122" min="2" max="6"/>
    <col width="11" customWidth="1" style="122" min="7" max="7"/>
    <col width="10" customWidth="1" style="122" min="8" max="13"/>
    <col width="11" customWidth="1" style="122" min="14" max="29"/>
  </cols>
  <sheetData>
    <row r="1" ht="36" customHeight="1" s="122">
      <c r="A1" s="101" t="inlineStr">
        <is>
          <t>SMPL · Cash Flow Bridge · Jan–Dec 2026</t>
        </is>
      </c>
    </row>
    <row r="2" ht="20" customHeight="1" s="122">
      <c r="B2" s="95" t="inlineStr">
        <is>
          <t>◀  ACTUALS  ▶</t>
        </is>
      </c>
      <c r="H2" s="102" t="inlineStr">
        <is>
          <t>◀  FORECAST (Jul–Dec)  ▶</t>
        </is>
      </c>
      <c r="N2" s="95" t="inlineStr">
        <is>
          <t>◀  ACTUAL SUBTOTALS  ▶</t>
        </is>
      </c>
      <c r="R2" s="97" t="inlineStr">
        <is>
          <t>◀  BUDGET SUBTOTALS  ▶</t>
        </is>
      </c>
      <c r="V2" s="98" t="inlineStr">
        <is>
          <t>◀  VARIANCE (ACT vs BUD)  ▶</t>
        </is>
      </c>
    </row>
    <row r="3" ht="32" customHeight="1" s="122">
      <c r="B3" s="1" t="inlineStr">
        <is>
          <t>Jan</t>
        </is>
      </c>
      <c r="C3" s="1" t="inlineStr">
        <is>
          <t>Feb</t>
        </is>
      </c>
      <c r="D3" s="1" t="inlineStr">
        <is>
          <t>Mar</t>
        </is>
      </c>
      <c r="E3" s="1" t="inlineStr">
        <is>
          <t>Apr</t>
        </is>
      </c>
      <c r="F3" s="1" t="inlineStr">
        <is>
          <t>May</t>
        </is>
      </c>
      <c r="G3" s="1" t="inlineStr">
        <is>
          <t>Jun</t>
        </is>
      </c>
      <c r="H3" s="2" t="inlineStr">
        <is>
          <t>Jul</t>
        </is>
      </c>
      <c r="I3" s="2" t="inlineStr">
        <is>
          <t>Aug</t>
        </is>
      </c>
      <c r="J3" s="2" t="inlineStr">
        <is>
          <t>Sep</t>
        </is>
      </c>
      <c r="K3" s="2" t="inlineStr">
        <is>
          <t>Oct</t>
        </is>
      </c>
      <c r="L3" s="2" t="inlineStr">
        <is>
          <t>Nov</t>
        </is>
      </c>
      <c r="M3" s="2" t="inlineStr">
        <is>
          <t>Dec</t>
        </is>
      </c>
      <c r="N3" s="1" t="inlineStr">
        <is>
          <t>Q1
Actual</t>
        </is>
      </c>
      <c r="O3" s="1" t="inlineStr">
        <is>
          <t>Q2
Actual</t>
        </is>
      </c>
      <c r="P3" s="1" t="inlineStr">
        <is>
          <t>H1 Act
+Jun FC</t>
        </is>
      </c>
      <c r="Q3" s="1" t="inlineStr">
        <is>
          <t>FY Act
+FC</t>
        </is>
      </c>
      <c r="R3" s="3" t="inlineStr">
        <is>
          <t>Q1
Budget</t>
        </is>
      </c>
      <c r="S3" s="3" t="inlineStr">
        <is>
          <t>Q2
Budget</t>
        </is>
      </c>
      <c r="T3" s="3" t="inlineStr">
        <is>
          <t>H1
Budget</t>
        </is>
      </c>
      <c r="U3" s="3" t="inlineStr">
        <is>
          <t>FY
Budget</t>
        </is>
      </c>
      <c r="V3" s="4" t="inlineStr">
        <is>
          <t>Q1
Var $</t>
        </is>
      </c>
      <c r="W3" s="4" t="inlineStr">
        <is>
          <t>Q2
Var $</t>
        </is>
      </c>
      <c r="X3" s="4" t="inlineStr">
        <is>
          <t>H1
Var $</t>
        </is>
      </c>
      <c r="Y3" s="4" t="inlineStr">
        <is>
          <t>FY
Var $</t>
        </is>
      </c>
      <c r="Z3" s="4" t="inlineStr">
        <is>
          <t>Q1
Var %</t>
        </is>
      </c>
      <c r="AA3" s="4" t="inlineStr">
        <is>
          <t>Q2
Var %</t>
        </is>
      </c>
      <c r="AB3" s="4" t="inlineStr">
        <is>
          <t>H1
Var %</t>
        </is>
      </c>
      <c r="AC3" s="4" t="inlineStr">
        <is>
          <t>FY
Var %</t>
        </is>
      </c>
    </row>
    <row r="4" ht="16" customHeight="1" s="122">
      <c r="A4" s="99" t="inlineStr">
        <is>
          <t xml:space="preserve">  BEGINNING CASH</t>
        </is>
      </c>
    </row>
    <row r="5" ht="17" customHeight="1" s="122">
      <c r="A5" s="5" t="inlineStr">
        <is>
          <t>Beginning Cash</t>
        </is>
      </c>
      <c r="B5" s="138" t="n">
        <v>46.103205</v>
      </c>
      <c r="C5" s="138" t="n">
        <v>48.709078</v>
      </c>
      <c r="D5" s="138" t="n">
        <v>51.011508</v>
      </c>
      <c r="E5" s="138" t="n">
        <v>58.094957</v>
      </c>
      <c r="F5" s="138" t="n">
        <v>62.571015</v>
      </c>
      <c r="G5" s="138" t="n">
        <v>48.0228</v>
      </c>
      <c r="H5" s="137" t="n">
        <v>47.895177</v>
      </c>
      <c r="I5" s="137" t="n">
        <v>48.212032</v>
      </c>
      <c r="J5" s="137" t="n">
        <v>48.537677</v>
      </c>
      <c r="K5" s="137" t="n">
        <v>48.871188</v>
      </c>
      <c r="L5" s="137" t="n">
        <v>49.213027</v>
      </c>
      <c r="M5" s="137" t="n">
        <v>49.562269</v>
      </c>
      <c r="N5" s="158" t="n">
        <v>51.011508</v>
      </c>
      <c r="O5" s="158" t="n">
        <v>48.0228</v>
      </c>
      <c r="P5" s="158" t="n">
        <v>48.0228</v>
      </c>
      <c r="Q5" s="158" t="n">
        <v>49.562269</v>
      </c>
      <c r="R5" s="159" t="n">
        <v>14.95336</v>
      </c>
      <c r="S5" s="159" t="n">
        <v>29.600953</v>
      </c>
      <c r="T5" s="159" t="n">
        <v>29.600953</v>
      </c>
      <c r="U5" s="159" t="n">
        <v>22.105635</v>
      </c>
      <c r="V5" s="151" t="n">
        <v>36.058148</v>
      </c>
      <c r="W5" s="151" t="n">
        <v>18.421847</v>
      </c>
      <c r="X5" s="151" t="n">
        <v>18.421847</v>
      </c>
      <c r="Y5" s="151" t="n">
        <v>27.456634</v>
      </c>
      <c r="Z5" s="152" t="n">
        <v>2.411374299822916</v>
      </c>
      <c r="AA5" s="152" t="n">
        <v>0.6223396591319204</v>
      </c>
      <c r="AB5" s="152" t="n">
        <v>0.6223396591319204</v>
      </c>
      <c r="AC5" s="152" t="n">
        <v>1.242064930503014</v>
      </c>
    </row>
    <row r="6" ht="6" customHeight="1" s="122">
      <c r="A6" s="22" t="n"/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  <c r="Z6" s="22" t="n"/>
      <c r="AA6" s="22" t="n"/>
      <c r="AB6" s="22" t="n"/>
      <c r="AC6" s="22" t="n"/>
    </row>
    <row r="7" ht="16" customHeight="1" s="122">
      <c r="A7" s="99" t="inlineStr">
        <is>
          <t xml:space="preserve">  CASH INFLOWS</t>
        </is>
      </c>
    </row>
    <row r="8" ht="17" customHeight="1" s="122">
      <c r="A8" s="11" t="inlineStr">
        <is>
          <t>Collections (from Billings)</t>
        </is>
      </c>
      <c r="B8" s="142" t="n">
        <v>9.274473</v>
      </c>
      <c r="C8" s="142" t="n">
        <v>8.667528000000001</v>
      </c>
      <c r="D8" s="142" t="n">
        <v>13.591547</v>
      </c>
      <c r="E8" s="142" t="n">
        <v>10.820161</v>
      </c>
      <c r="F8" s="142" t="n">
        <v>9.651536999999999</v>
      </c>
      <c r="G8" s="142" t="n">
        <v>6.814083</v>
      </c>
      <c r="H8" s="143" t="n">
        <v>7.27048</v>
      </c>
      <c r="I8" s="143" t="n">
        <v>7.64558</v>
      </c>
      <c r="J8" s="143" t="n">
        <v>7.84414</v>
      </c>
      <c r="K8" s="143" t="n">
        <v>8.01516</v>
      </c>
      <c r="L8" s="143" t="n">
        <v>8.203519999999999</v>
      </c>
      <c r="M8" s="143" t="n">
        <v>8.36434</v>
      </c>
      <c r="N8" s="154" t="n">
        <v>31.533548</v>
      </c>
      <c r="O8" s="154" t="n">
        <v>27.285781</v>
      </c>
      <c r="P8" s="154" t="n">
        <v>58.819329</v>
      </c>
      <c r="Q8" s="154" t="n">
        <v>106.162549</v>
      </c>
      <c r="R8" s="144" t="n">
        <v>31.533548</v>
      </c>
      <c r="S8" s="144" t="n">
        <v>29.38597</v>
      </c>
      <c r="T8" s="144" t="n">
        <v>60.919518</v>
      </c>
      <c r="U8" s="144" t="n">
        <v>99.72130900000001</v>
      </c>
      <c r="V8" s="149" t="n">
        <v>0</v>
      </c>
      <c r="W8" s="146" t="n">
        <v>-2.100189</v>
      </c>
      <c r="X8" s="146" t="n">
        <v>-2.100189</v>
      </c>
      <c r="Y8" s="145" t="n">
        <v>6.441239999999993</v>
      </c>
      <c r="Z8" s="150" t="n">
        <v>0</v>
      </c>
      <c r="AA8" s="148" t="n">
        <v>-0.0714691058351996</v>
      </c>
      <c r="AB8" s="148" t="n">
        <v>-0.03447481314609219</v>
      </c>
      <c r="AC8" s="147" t="n">
        <v>0.06459241324238928</v>
      </c>
    </row>
    <row r="9" ht="6" customHeight="1" s="122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  <c r="Z9" s="22" t="n"/>
      <c r="AA9" s="22" t="n"/>
      <c r="AB9" s="22" t="n"/>
      <c r="AC9" s="22" t="n"/>
    </row>
    <row r="10" ht="16" customHeight="1" s="122">
      <c r="A10" s="99" t="inlineStr">
        <is>
          <t xml:space="preserve">  CASH OUTFLOWS</t>
        </is>
      </c>
    </row>
    <row r="11" ht="17" customHeight="1" s="122">
      <c r="A11" s="11" t="inlineStr">
        <is>
          <t>Payroll</t>
        </is>
      </c>
      <c r="B11" s="142" t="n">
        <v>3.815656</v>
      </c>
      <c r="C11" s="142" t="n">
        <v>3.645728</v>
      </c>
      <c r="D11" s="142" t="n">
        <v>3.739572</v>
      </c>
      <c r="E11" s="142" t="n">
        <v>3.573037</v>
      </c>
      <c r="F11" s="142" t="n">
        <v>3.608503</v>
      </c>
      <c r="G11" s="142" t="n">
        <v>2.474745</v>
      </c>
      <c r="H11" s="143" t="n">
        <v>2.641567</v>
      </c>
      <c r="I11" s="143" t="n">
        <v>2.708131</v>
      </c>
      <c r="J11" s="143" t="n">
        <v>2.767689</v>
      </c>
      <c r="K11" s="143" t="n">
        <v>2.830751</v>
      </c>
      <c r="L11" s="143" t="n">
        <v>2.886805</v>
      </c>
      <c r="M11" s="143" t="n">
        <v>2.946363</v>
      </c>
      <c r="N11" s="154" t="n">
        <v>11.200956</v>
      </c>
      <c r="O11" s="154" t="n">
        <v>9.656285</v>
      </c>
      <c r="P11" s="154" t="n">
        <v>20.857241</v>
      </c>
      <c r="Q11" s="154" t="n">
        <v>37.638547</v>
      </c>
      <c r="R11" s="160" t="n">
        <v>11.424975</v>
      </c>
      <c r="S11" s="160" t="n">
        <v>11.328671</v>
      </c>
      <c r="T11" s="160" t="n">
        <v>22.753646</v>
      </c>
      <c r="U11" s="160" t="n">
        <v>49.248146</v>
      </c>
      <c r="V11" s="145" t="n">
        <v>-0.2240190000000002</v>
      </c>
      <c r="W11" s="145" t="n">
        <v>-1.672385999999999</v>
      </c>
      <c r="X11" s="145" t="n">
        <v>-1.896405000000001</v>
      </c>
      <c r="Y11" s="145" t="n">
        <v>-11.609599</v>
      </c>
      <c r="Z11" s="147" t="n">
        <v>-0.01960783283989682</v>
      </c>
      <c r="AA11" s="147" t="n">
        <v>-0.1476242005792206</v>
      </c>
      <c r="AB11" s="147" t="n">
        <v>-0.08334510434064069</v>
      </c>
      <c r="AC11" s="147" t="n">
        <v>-0.2357367727101848</v>
      </c>
    </row>
    <row r="12" ht="17" customHeight="1" s="122">
      <c r="A12" s="11" t="inlineStr">
        <is>
          <t>Commissions</t>
        </is>
      </c>
      <c r="B12" s="142" t="n">
        <v>0.272319</v>
      </c>
      <c r="C12" s="142" t="n">
        <v>0.300077</v>
      </c>
      <c r="D12" s="142" t="n">
        <v>0.307893</v>
      </c>
      <c r="E12" s="142" t="n">
        <v>0.280781</v>
      </c>
      <c r="F12" s="142" t="n">
        <v>0.278162</v>
      </c>
      <c r="G12" s="142" t="n">
        <v>0.19992</v>
      </c>
      <c r="H12" s="143" t="n">
        <v>0.215465</v>
      </c>
      <c r="I12" s="143" t="n">
        <v>0.220895</v>
      </c>
      <c r="J12" s="143" t="n">
        <v>0.225753</v>
      </c>
      <c r="K12" s="143" t="n">
        <v>0.230897</v>
      </c>
      <c r="L12" s="143" t="n">
        <v>0.235469</v>
      </c>
      <c r="M12" s="143" t="n">
        <v>0.240327</v>
      </c>
      <c r="N12" s="154" t="n">
        <v>0.8802889999999999</v>
      </c>
      <c r="O12" s="154" t="n">
        <v>0.7588630000000001</v>
      </c>
      <c r="P12" s="154" t="n">
        <v>1.639152</v>
      </c>
      <c r="Q12" s="154" t="n">
        <v>3.007958</v>
      </c>
      <c r="R12" s="160" t="n">
        <v>0.906698</v>
      </c>
      <c r="S12" s="160" t="n">
        <v>0.9465110000000001</v>
      </c>
      <c r="T12" s="160" t="n">
        <v>1.853209</v>
      </c>
      <c r="U12" s="160" t="n">
        <v>4.654809</v>
      </c>
      <c r="V12" s="145" t="n">
        <v>-0.02640900000000013</v>
      </c>
      <c r="W12" s="145" t="n">
        <v>-0.187648</v>
      </c>
      <c r="X12" s="145" t="n">
        <v>-0.2140570000000002</v>
      </c>
      <c r="Y12" s="145" t="n">
        <v>-1.646851</v>
      </c>
      <c r="Z12" s="147" t="n">
        <v>-0.02912656694952468</v>
      </c>
      <c r="AA12" s="147" t="n">
        <v>-0.1982523182509237</v>
      </c>
      <c r="AB12" s="147" t="n">
        <v>-0.1155061301774382</v>
      </c>
      <c r="AC12" s="147" t="n">
        <v>-0.3537956122367212</v>
      </c>
    </row>
    <row r="13" ht="17" customHeight="1" s="122">
      <c r="A13" s="11" t="inlineStr">
        <is>
          <t>Vendor / AP Payments</t>
        </is>
      </c>
      <c r="B13" s="142" t="n">
        <v>1.375</v>
      </c>
      <c r="C13" s="142" t="n">
        <v>1.378429</v>
      </c>
      <c r="D13" s="142" t="n">
        <v>1.370333</v>
      </c>
      <c r="E13" s="142" t="n">
        <v>1.359349</v>
      </c>
      <c r="F13" s="142" t="n">
        <v>1.362448</v>
      </c>
      <c r="G13" s="142" t="n">
        <v>3.662494</v>
      </c>
      <c r="H13" s="143" t="n">
        <v>5.497519</v>
      </c>
      <c r="I13" s="143" t="n">
        <v>4.497803</v>
      </c>
      <c r="J13" s="143" t="n">
        <v>4.611143</v>
      </c>
      <c r="K13" s="143" t="n">
        <v>4.712552</v>
      </c>
      <c r="L13" s="143" t="n">
        <v>4.819927</v>
      </c>
      <c r="M13" s="143" t="n">
        <v>4.915371</v>
      </c>
      <c r="N13" s="154" t="n">
        <v>4.123762</v>
      </c>
      <c r="O13" s="154" t="n">
        <v>6.384291</v>
      </c>
      <c r="P13" s="154" t="n">
        <v>10.508053</v>
      </c>
      <c r="Q13" s="154" t="n">
        <v>39.562368</v>
      </c>
      <c r="R13" s="160" t="n">
        <v>4.144171999999999</v>
      </c>
      <c r="S13" s="160" t="n">
        <v>4.199098</v>
      </c>
      <c r="T13" s="160" t="n">
        <v>8.34327</v>
      </c>
      <c r="U13" s="160" t="n">
        <v>16.824142</v>
      </c>
      <c r="V13" s="149" t="n">
        <v>-0.02040999999999915</v>
      </c>
      <c r="W13" s="145" t="n">
        <v>2.185193</v>
      </c>
      <c r="X13" s="145" t="n">
        <v>2.164783</v>
      </c>
      <c r="Y13" s="145" t="n">
        <v>22.738226</v>
      </c>
      <c r="Z13" s="150" t="n">
        <v>-0.004924988634641408</v>
      </c>
      <c r="AA13" s="147" t="n">
        <v>0.5203958088141786</v>
      </c>
      <c r="AB13" s="147" t="n">
        <v>0.259464574441436</v>
      </c>
      <c r="AC13" s="147" t="n">
        <v>1.351523661652404</v>
      </c>
    </row>
    <row r="14" ht="17" customHeight="1" s="122">
      <c r="A14" s="11" t="inlineStr">
        <is>
          <t>Tax Payments</t>
        </is>
      </c>
      <c r="B14" s="142" t="n">
        <v>0.095625</v>
      </c>
      <c r="C14" s="142" t="n">
        <v>0.095863</v>
      </c>
      <c r="D14" s="142" t="n">
        <v>0.0953</v>
      </c>
      <c r="E14" s="142" t="n">
        <v>0.094537</v>
      </c>
      <c r="F14" s="142" t="n">
        <v>0.094752</v>
      </c>
      <c r="G14" s="142" t="n">
        <v>0.10225</v>
      </c>
      <c r="H14" s="143" t="n">
        <v>0.07921400000000001</v>
      </c>
      <c r="I14" s="143" t="n">
        <v>0.081411</v>
      </c>
      <c r="J14" s="143" t="n">
        <v>0.08337799999999999</v>
      </c>
      <c r="K14" s="143" t="n">
        <v>0.08545999999999999</v>
      </c>
      <c r="L14" s="143" t="n">
        <v>0.08731</v>
      </c>
      <c r="M14" s="143" t="n">
        <v>0.089277</v>
      </c>
      <c r="N14" s="154" t="n">
        <v>0.286788</v>
      </c>
      <c r="O14" s="154" t="n">
        <v>0.291539</v>
      </c>
      <c r="P14" s="154" t="n">
        <v>0.578327</v>
      </c>
      <c r="Q14" s="154" t="n">
        <v>1.084377</v>
      </c>
      <c r="R14" s="160" t="n">
        <v>0.286788</v>
      </c>
      <c r="S14" s="160" t="n">
        <v>0.294289</v>
      </c>
      <c r="T14" s="160" t="n">
        <v>0.581077</v>
      </c>
      <c r="U14" s="160" t="n">
        <v>1.316077</v>
      </c>
      <c r="V14" s="149" t="n">
        <v>0</v>
      </c>
      <c r="W14" s="145" t="n">
        <v>-0.00275000000000003</v>
      </c>
      <c r="X14" s="145" t="n">
        <v>-0.002749999999999919</v>
      </c>
      <c r="Y14" s="149" t="n">
        <v>-0.2317</v>
      </c>
      <c r="Z14" s="150" t="n">
        <v>0</v>
      </c>
      <c r="AA14" s="147" t="n">
        <v>-0.009344555861755043</v>
      </c>
      <c r="AB14" s="147" t="n">
        <v>-0.004732591377734654</v>
      </c>
      <c r="AC14" s="150" t="n">
        <v>-0.1760535287828904</v>
      </c>
    </row>
    <row r="15" ht="17" customHeight="1" s="122">
      <c r="A15" s="11" t="inlineStr">
        <is>
          <t>Interest Expense</t>
        </is>
      </c>
      <c r="B15" s="142" t="n">
        <v>0.035</v>
      </c>
      <c r="C15" s="142" t="n">
        <v>0.035</v>
      </c>
      <c r="D15" s="142" t="n">
        <v>0.035</v>
      </c>
      <c r="E15" s="142" t="n">
        <v>0.035</v>
      </c>
      <c r="F15" s="142" t="n">
        <v>0.035</v>
      </c>
      <c r="G15" s="142" t="n">
        <v>0.04</v>
      </c>
      <c r="H15" s="143" t="n">
        <v>0.04</v>
      </c>
      <c r="I15" s="143" t="n">
        <v>0.04</v>
      </c>
      <c r="J15" s="143" t="n">
        <v>0.04</v>
      </c>
      <c r="K15" s="143" t="n">
        <v>0.04</v>
      </c>
      <c r="L15" s="143" t="n">
        <v>0.04</v>
      </c>
      <c r="M15" s="143" t="n">
        <v>0.04</v>
      </c>
      <c r="N15" s="154" t="n">
        <v>0.105</v>
      </c>
      <c r="O15" s="154" t="n">
        <v>0.11</v>
      </c>
      <c r="P15" s="154" t="n">
        <v>0.215</v>
      </c>
      <c r="Q15" s="154" t="n">
        <v>0.455</v>
      </c>
      <c r="R15" s="160" t="n">
        <v>0.105</v>
      </c>
      <c r="S15" s="160" t="n">
        <v>0.125</v>
      </c>
      <c r="T15" s="160" t="n">
        <v>0.23</v>
      </c>
      <c r="U15" s="160" t="n">
        <v>0.6125</v>
      </c>
      <c r="V15" s="149" t="n">
        <v>0</v>
      </c>
      <c r="W15" s="145" t="n">
        <v>-0.01499999999999999</v>
      </c>
      <c r="X15" s="145" t="n">
        <v>-0.01499999999999999</v>
      </c>
      <c r="Y15" s="149" t="n">
        <v>-0.1575</v>
      </c>
      <c r="Z15" s="150" t="n">
        <v>0</v>
      </c>
      <c r="AA15" s="147" t="n">
        <v>-0.1199999999999999</v>
      </c>
      <c r="AB15" s="147" t="n">
        <v>-0.06521739130434775</v>
      </c>
      <c r="AC15" s="150" t="n">
        <v>-0.2571428571428572</v>
      </c>
    </row>
    <row r="16" ht="17" customHeight="1" s="122">
      <c r="A16" s="11" t="inlineStr">
        <is>
          <t>Other Operating Cash Out</t>
        </is>
      </c>
      <c r="B16" s="12" t="n">
        <v>0.895</v>
      </c>
      <c r="C16" s="12" t="n">
        <v>0.73</v>
      </c>
      <c r="D16" s="12" t="n">
        <v>0.78</v>
      </c>
      <c r="E16" s="12" t="n">
        <v>0.821</v>
      </c>
      <c r="F16" s="12" t="n">
        <v>0.85</v>
      </c>
      <c r="G16" s="12" t="n">
        <v>0.735</v>
      </c>
      <c r="H16" s="13" t="n">
        <v>0.885</v>
      </c>
      <c r="I16" s="13" t="n">
        <v>0.91</v>
      </c>
      <c r="J16" s="13" t="n">
        <v>0.9350000000000001</v>
      </c>
      <c r="K16" s="13" t="n">
        <v>0.96</v>
      </c>
      <c r="L16" s="13" t="n">
        <v>0.985</v>
      </c>
      <c r="M16" s="13" t="n">
        <v>1.01</v>
      </c>
      <c r="N16" s="14" t="n">
        <v>2.405</v>
      </c>
      <c r="O16" s="14" t="n">
        <v>1.671</v>
      </c>
      <c r="P16" s="14" t="n">
        <v>4.076</v>
      </c>
      <c r="Q16" s="14" t="n">
        <v>10.796</v>
      </c>
      <c r="R16" s="111" t="n">
        <v>2.452</v>
      </c>
      <c r="S16" s="111" t="n">
        <v>2.639</v>
      </c>
      <c r="T16" s="111" t="n">
        <v>5.091</v>
      </c>
      <c r="U16" s="111" t="n">
        <v>11.226</v>
      </c>
      <c r="V16" s="16" t="n">
        <v>-0.04699999999999971</v>
      </c>
      <c r="W16" s="16" t="n">
        <v>-0.9680000000000004</v>
      </c>
      <c r="X16" s="16" t="n">
        <v>-1.015000000000001</v>
      </c>
      <c r="Y16" s="16" t="n">
        <v>-0.4299999999999997</v>
      </c>
      <c r="Z16" s="18" t="n">
        <v>-0.01916802610114181</v>
      </c>
      <c r="AA16" s="18" t="n">
        <v>-0.3668056081849186</v>
      </c>
      <c r="AB16" s="18" t="n">
        <v>-0.199371439795718</v>
      </c>
      <c r="AC16" s="18" t="n">
        <v>-0.03830393728843753</v>
      </c>
    </row>
    <row r="17" ht="17" customHeight="1" s="122">
      <c r="A17" s="11" t="inlineStr">
        <is>
          <t>Capital Expenditures</t>
        </is>
      </c>
      <c r="B17" s="142" t="n">
        <v>0.18</v>
      </c>
      <c r="C17" s="142" t="n">
        <v>0.18</v>
      </c>
      <c r="D17" s="142" t="n">
        <v>0.18</v>
      </c>
      <c r="E17" s="142" t="n">
        <v>0.18</v>
      </c>
      <c r="F17" s="142" t="n">
        <v>0.18</v>
      </c>
      <c r="G17" s="142" t="n">
        <v>-0.22</v>
      </c>
      <c r="H17" s="143" t="n">
        <v>-0.153816</v>
      </c>
      <c r="I17" s="143" t="n">
        <v>-0.157692</v>
      </c>
      <c r="J17" s="143" t="n">
        <v>-0.16116</v>
      </c>
      <c r="K17" s="143" t="n">
        <v>-0.164832</v>
      </c>
      <c r="L17" s="143" t="n">
        <v>-0.168096</v>
      </c>
      <c r="M17" s="143" t="n">
        <v>-0.171564</v>
      </c>
      <c r="N17" s="154" t="n">
        <v>0.54</v>
      </c>
      <c r="O17" s="154" t="n">
        <v>0.14</v>
      </c>
      <c r="P17" s="154" t="n">
        <v>0.6799999999999999</v>
      </c>
      <c r="Q17" s="154" t="n">
        <v>-0.29716</v>
      </c>
      <c r="R17" s="160" t="n">
        <v>0.54</v>
      </c>
      <c r="S17" s="160" t="n">
        <v>0.58</v>
      </c>
      <c r="T17" s="160" t="n">
        <v>1.12</v>
      </c>
      <c r="U17" s="160" t="n">
        <v>2.65</v>
      </c>
      <c r="V17" s="149" t="n">
        <v>0</v>
      </c>
      <c r="W17" s="145" t="n">
        <v>-0.4399999999999999</v>
      </c>
      <c r="X17" s="145" t="n">
        <v>-0.4399999999999999</v>
      </c>
      <c r="Y17" s="149" t="n">
        <v>-2.94716</v>
      </c>
      <c r="Z17" s="150" t="n">
        <v>0</v>
      </c>
      <c r="AA17" s="147" t="n">
        <v>-0.7586206896551724</v>
      </c>
      <c r="AB17" s="147" t="n">
        <v>-0.3928571428571428</v>
      </c>
      <c r="AC17" s="150" t="n">
        <v>-1.112135849056604</v>
      </c>
    </row>
    <row r="18" ht="6" customHeight="1" s="122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</row>
    <row r="19" ht="17" customHeight="1" s="122">
      <c r="A19" s="119" t="inlineStr">
        <is>
          <t>Total Cash Outflows</t>
        </is>
      </c>
      <c r="B19" s="108" t="n">
        <v>6.676</v>
      </c>
      <c r="C19" s="108" t="n">
        <v>6.371</v>
      </c>
      <c r="D19" s="108" t="n">
        <v>6.510000000000001</v>
      </c>
      <c r="E19" s="108" t="n">
        <v>6.341</v>
      </c>
      <c r="F19" s="108" t="n">
        <v>6.441</v>
      </c>
      <c r="G19" s="108" t="n">
        <v>6.701</v>
      </c>
      <c r="H19" s="104" t="n">
        <v>7.058</v>
      </c>
      <c r="I19" s="104" t="n">
        <v>7.144</v>
      </c>
      <c r="J19" s="104" t="n">
        <v>7.339</v>
      </c>
      <c r="K19" s="104" t="n">
        <v>7.534</v>
      </c>
      <c r="L19" s="104" t="n">
        <v>7.729</v>
      </c>
      <c r="M19" s="104" t="n">
        <v>7.944</v>
      </c>
      <c r="N19" s="114" t="n">
        <v>19.557</v>
      </c>
      <c r="O19" s="114" t="n">
        <v>12.782</v>
      </c>
      <c r="P19" s="114" t="n">
        <v>32.339</v>
      </c>
      <c r="Q19" s="114" t="n">
        <v>85.372</v>
      </c>
      <c r="R19" s="8" t="n">
        <v>19.844</v>
      </c>
      <c r="S19" s="8" t="n">
        <v>20.09</v>
      </c>
      <c r="T19" s="8" t="n">
        <v>39.934</v>
      </c>
      <c r="U19" s="8" t="n">
        <v>87.042</v>
      </c>
      <c r="V19" s="23" t="n">
        <v>-0.286999999999999</v>
      </c>
      <c r="W19" s="23" t="n">
        <v>-7.308</v>
      </c>
      <c r="X19" s="23" t="n">
        <v>-7.594999999999999</v>
      </c>
      <c r="Y19" s="23" t="n">
        <v>-1.670000000000002</v>
      </c>
      <c r="Z19" s="24" t="n">
        <v>-0.01446280991735532</v>
      </c>
      <c r="AA19" s="24" t="n">
        <v>-0.3637630662020906</v>
      </c>
      <c r="AB19" s="24" t="n">
        <v>-0.1901888115390394</v>
      </c>
      <c r="AC19" s="24" t="n">
        <v>-0.01918614002435608</v>
      </c>
    </row>
    <row r="20" ht="17" customHeight="1" s="122">
      <c r="A20" s="119" t="inlineStr">
        <is>
          <t>Net Operating Cash Flow</t>
        </is>
      </c>
      <c r="B20" s="108" t="n">
        <v>2.593999999999999</v>
      </c>
      <c r="C20" s="108" t="n">
        <v>2.299</v>
      </c>
      <c r="D20" s="108" t="n">
        <v>7.079999999999999</v>
      </c>
      <c r="E20" s="108" t="n">
        <v>4.479</v>
      </c>
      <c r="F20" s="108" t="n">
        <v>3.209000000000001</v>
      </c>
      <c r="G20" s="108" t="n">
        <v>4.479</v>
      </c>
      <c r="H20" s="104" t="n">
        <v>-0.848</v>
      </c>
      <c r="I20" s="104" t="n">
        <v>-0.664</v>
      </c>
      <c r="J20" s="104" t="n">
        <v>-0.499</v>
      </c>
      <c r="K20" s="104" t="n">
        <v>-0.324</v>
      </c>
      <c r="L20" s="104" t="n">
        <v>-0.139</v>
      </c>
      <c r="M20" s="104" t="n">
        <v>0.026</v>
      </c>
      <c r="N20" s="114" t="n">
        <v>11.973</v>
      </c>
      <c r="O20" s="114" t="n">
        <v>7.688000000000001</v>
      </c>
      <c r="P20" s="114" t="n">
        <v>19.661</v>
      </c>
      <c r="Q20" s="114" t="n">
        <v>17.288</v>
      </c>
      <c r="R20" s="8" t="n">
        <v>11.686</v>
      </c>
      <c r="S20" s="8" t="n">
        <v>9.289999999999999</v>
      </c>
      <c r="T20" s="8" t="n">
        <v>20.976</v>
      </c>
      <c r="U20" s="8" t="n">
        <v>12.658</v>
      </c>
      <c r="V20" s="23" t="n">
        <v>0.286999999999999</v>
      </c>
      <c r="W20" s="9" t="n">
        <v>-1.601999999999999</v>
      </c>
      <c r="X20" s="9" t="n">
        <v>-1.314999999999998</v>
      </c>
      <c r="Y20" s="23" t="n">
        <v>4.629999999999999</v>
      </c>
      <c r="Z20" s="24" t="n">
        <v>0.02455930172856401</v>
      </c>
      <c r="AA20" s="10" t="n">
        <v>-0.1724434876210978</v>
      </c>
      <c r="AB20" s="10" t="n">
        <v>-0.06269069412662079</v>
      </c>
      <c r="AC20" s="24" t="n">
        <v>0.3657765839785115</v>
      </c>
    </row>
    <row r="21" ht="6" customHeight="1" s="122">
      <c r="A21" s="22" t="n"/>
      <c r="B21" s="22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2" t="n"/>
      <c r="Z21" s="22" t="n"/>
      <c r="AA21" s="22" t="n"/>
      <c r="AB21" s="22" t="n"/>
      <c r="AC21" s="22" t="n"/>
    </row>
    <row r="22" ht="16" customHeight="1" s="122">
      <c r="A22" s="99" t="inlineStr">
        <is>
          <t xml:space="preserve">  ENDING CASH &amp; LIQUIDITY</t>
        </is>
      </c>
    </row>
    <row r="23" ht="17" customHeight="1" s="122">
      <c r="A23" s="119" t="inlineStr">
        <is>
          <t>Ending Cash Balance</t>
        </is>
      </c>
      <c r="B23" s="136" t="n">
        <v>48.709078</v>
      </c>
      <c r="C23" s="136" t="n">
        <v>51.011508</v>
      </c>
      <c r="D23" s="136" t="n">
        <v>58.094957</v>
      </c>
      <c r="E23" s="136" t="n">
        <v>62.571015</v>
      </c>
      <c r="F23" s="136" t="n">
        <v>66.037122</v>
      </c>
      <c r="G23" s="136" t="n">
        <v>48.4318</v>
      </c>
      <c r="H23" s="137" t="n">
        <v>48.212032</v>
      </c>
      <c r="I23" s="137" t="n">
        <v>48.537677</v>
      </c>
      <c r="J23" s="137" t="n">
        <v>48.871188</v>
      </c>
      <c r="K23" s="137" t="n">
        <v>49.213027</v>
      </c>
      <c r="L23" s="137" t="n">
        <v>49.562269</v>
      </c>
      <c r="M23" s="137" t="n">
        <v>49.919376</v>
      </c>
      <c r="N23" s="158" t="n">
        <v>58.094957</v>
      </c>
      <c r="O23" s="158" t="n">
        <v>48.4318</v>
      </c>
      <c r="P23" s="158" t="n">
        <v>48.4318</v>
      </c>
      <c r="Q23" s="158" t="n">
        <v>49.919376</v>
      </c>
      <c r="R23" s="139" t="n">
        <v>21.922814</v>
      </c>
      <c r="S23" s="139" t="n">
        <v>31.455591</v>
      </c>
      <c r="T23" s="139" t="n">
        <v>31.455591</v>
      </c>
      <c r="U23" s="139" t="n">
        <v>23.85061</v>
      </c>
      <c r="V23" s="151" t="n">
        <v>36.17214300000001</v>
      </c>
      <c r="W23" s="151" t="n">
        <v>16.976209</v>
      </c>
      <c r="X23" s="151" t="n">
        <v>16.976209</v>
      </c>
      <c r="Y23" s="151" t="n">
        <v>26.068766</v>
      </c>
      <c r="Z23" s="152" t="n">
        <v>1.649977188147471</v>
      </c>
      <c r="AA23" s="152" t="n">
        <v>0.5396881273030287</v>
      </c>
      <c r="AB23" s="152" t="n">
        <v>0.5396881273030287</v>
      </c>
      <c r="AC23" s="152" t="n">
        <v>1.093002065775257</v>
      </c>
    </row>
    <row r="24" ht="17" customHeight="1" s="122">
      <c r="A24" s="11" t="inlineStr">
        <is>
          <t>Cash Floor / Minimum</t>
        </is>
      </c>
      <c r="B24" s="12" t="n">
        <v>10</v>
      </c>
      <c r="C24" s="12" t="n">
        <v>10</v>
      </c>
      <c r="D24" s="12" t="n">
        <v>10</v>
      </c>
      <c r="E24" s="12" t="n">
        <v>10</v>
      </c>
      <c r="F24" s="12" t="n">
        <v>10</v>
      </c>
      <c r="G24" s="12" t="n">
        <v>10</v>
      </c>
      <c r="H24" s="13" t="n">
        <v>10</v>
      </c>
      <c r="I24" s="13" t="n">
        <v>10</v>
      </c>
      <c r="J24" s="13" t="n">
        <v>10</v>
      </c>
      <c r="K24" s="13" t="n">
        <v>10</v>
      </c>
      <c r="L24" s="13" t="n">
        <v>10</v>
      </c>
      <c r="M24" s="13" t="n">
        <v>10</v>
      </c>
      <c r="N24" s="14" t="n">
        <v>10</v>
      </c>
      <c r="O24" s="14" t="n">
        <v>10</v>
      </c>
      <c r="P24" s="14" t="n">
        <v>10</v>
      </c>
      <c r="Q24" s="14" t="n">
        <v>10</v>
      </c>
      <c r="R24" s="111" t="n">
        <v>10</v>
      </c>
      <c r="S24" s="111" t="n">
        <v>10</v>
      </c>
      <c r="T24" s="111" t="n">
        <v>10</v>
      </c>
      <c r="U24" s="111" t="n">
        <v>10</v>
      </c>
      <c r="V24" s="17">
        <f>N24-R24</f>
        <v/>
      </c>
      <c r="W24" s="17">
        <f>O24-S24</f>
        <v/>
      </c>
      <c r="X24" s="17">
        <f>P24-T24</f>
        <v/>
      </c>
      <c r="Y24" s="17">
        <f>Q24-U24</f>
        <v/>
      </c>
      <c r="Z24" s="21" t="n">
        <v>0</v>
      </c>
      <c r="AA24" s="21" t="n">
        <v>0</v>
      </c>
      <c r="AB24" s="21" t="n">
        <v>0</v>
      </c>
      <c r="AC24" s="21" t="n">
        <v>0</v>
      </c>
    </row>
    <row r="25" ht="17" customHeight="1" s="122">
      <c r="A25" s="25" t="inlineStr">
        <is>
          <t>Cash Headroom vs Floor</t>
        </is>
      </c>
      <c r="B25" s="12" t="n">
        <v>38.71</v>
      </c>
      <c r="C25" s="12" t="n">
        <v>41.01</v>
      </c>
      <c r="D25" s="12" t="n">
        <v>48.09</v>
      </c>
      <c r="E25" s="12" t="n">
        <v>52.57</v>
      </c>
      <c r="F25" s="12" t="n">
        <v>56.04000000000001</v>
      </c>
      <c r="G25" s="12" t="n">
        <v>60.612</v>
      </c>
      <c r="H25" s="13" t="n">
        <v>59.76</v>
      </c>
      <c r="I25" s="13" t="n">
        <v>59.1</v>
      </c>
      <c r="J25" s="13" t="n">
        <v>58.6</v>
      </c>
      <c r="K25" s="13" t="n">
        <v>58.28</v>
      </c>
      <c r="L25" s="13" t="n">
        <v>58.14</v>
      </c>
      <c r="M25" s="13" t="n">
        <v>58.16</v>
      </c>
      <c r="N25" s="14" t="n">
        <v>48.09</v>
      </c>
      <c r="O25" s="14" t="n">
        <v>60.61</v>
      </c>
      <c r="P25" s="14" t="n">
        <v>60.61</v>
      </c>
      <c r="Q25" s="14" t="n">
        <v>71.73999999999999</v>
      </c>
      <c r="R25" s="111">
        <f>R23-R24</f>
        <v/>
      </c>
      <c r="S25" s="111">
        <f>S23-S24</f>
        <v/>
      </c>
      <c r="T25" s="111">
        <f>T23-T24</f>
        <v/>
      </c>
      <c r="U25" s="111">
        <f>U23-U24</f>
        <v/>
      </c>
      <c r="V25" s="23">
        <f>N25-R25</f>
        <v/>
      </c>
      <c r="W25" s="23">
        <f>O25-S25</f>
        <v/>
      </c>
      <c r="X25" s="23">
        <f>P25-T25</f>
        <v/>
      </c>
      <c r="Y25" s="23">
        <f>Q25-U25</f>
        <v/>
      </c>
      <c r="Z25" s="24">
        <f>N25/R25</f>
        <v/>
      </c>
      <c r="AA25" s="24">
        <f>O25/S25</f>
        <v/>
      </c>
      <c r="AB25" s="24">
        <f>P25/T25</f>
        <v/>
      </c>
      <c r="AC25" s="24">
        <f>Q25/U25</f>
        <v/>
      </c>
    </row>
    <row r="26"/>
    <row r="27" ht="24" customHeight="1" s="122">
      <c r="A27" s="100" t="inlineStr">
        <is>
          <t xml:space="preserve">  Note: Jun Actual (yellow) is a user-input placeholder. Forecast (Jul–Dec) sourced from Forecast_cash_flow_bridge.csv. Actual cash significantly exceeds budget due to annual billing collection timing in Q1.</t>
        </is>
      </c>
    </row>
  </sheetData>
  <mergeCells count="11">
    <mergeCell ref="B2:G2"/>
    <mergeCell ref="A27:M27"/>
    <mergeCell ref="A22:AC22"/>
    <mergeCell ref="V2:AC2"/>
    <mergeCell ref="A4:AC4"/>
    <mergeCell ref="A7:AC7"/>
    <mergeCell ref="N2:Q2"/>
    <mergeCell ref="R2:U2"/>
    <mergeCell ref="H2:M2"/>
    <mergeCell ref="A10:AC10"/>
    <mergeCell ref="A1:A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2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2" sqref="A2"/>
    </sheetView>
  </sheetViews>
  <sheetFormatPr baseColWidth="8" defaultRowHeight="14.5"/>
  <cols>
    <col width="36.54296875" bestFit="1" customWidth="1" style="122" min="1" max="1"/>
    <col width="5.6328125" bestFit="1" customWidth="1" style="122" min="2" max="2"/>
    <col width="10" customWidth="1" style="122" min="3" max="6"/>
    <col width="11" customWidth="1" style="122" min="7" max="7"/>
    <col width="10" customWidth="1" style="122" min="8" max="13"/>
    <col width="11" customWidth="1" style="122" min="14" max="29"/>
  </cols>
  <sheetData>
    <row r="1" ht="36" customHeight="1" s="122">
      <c r="A1" s="101" t="inlineStr">
        <is>
          <t>SMPL · Cash Flow Statement (GAAP Indirect Method) · Jan–Dec 2026</t>
        </is>
      </c>
    </row>
    <row r="2" ht="20" customHeight="1" s="122">
      <c r="B2" s="95" t="inlineStr">
        <is>
          <t>◀  ACTUALS  ▶</t>
        </is>
      </c>
      <c r="H2" s="102" t="inlineStr">
        <is>
          <t>◀  FORECAST (Jul–Dec)  ▶</t>
        </is>
      </c>
      <c r="N2" s="95" t="inlineStr">
        <is>
          <t>◀  ACTUAL SUBTOTALS  ▶</t>
        </is>
      </c>
      <c r="R2" s="97" t="inlineStr">
        <is>
          <t>◀  BUDGET SUBTOTALS  ▶</t>
        </is>
      </c>
      <c r="V2" s="98" t="inlineStr">
        <is>
          <t>◀  VARIANCE (ACT vs BUD)  ▶</t>
        </is>
      </c>
    </row>
    <row r="3" ht="32" customHeight="1" s="122">
      <c r="B3" s="1" t="inlineStr">
        <is>
          <t>Jan</t>
        </is>
      </c>
      <c r="C3" s="1" t="inlineStr">
        <is>
          <t>Feb</t>
        </is>
      </c>
      <c r="D3" s="1" t="inlineStr">
        <is>
          <t>Mar</t>
        </is>
      </c>
      <c r="E3" s="1" t="inlineStr">
        <is>
          <t>Apr</t>
        </is>
      </c>
      <c r="F3" s="1" t="inlineStr">
        <is>
          <t>May</t>
        </is>
      </c>
      <c r="G3" s="1" t="inlineStr">
        <is>
          <t>Jun</t>
        </is>
      </c>
      <c r="H3" s="2" t="inlineStr">
        <is>
          <t>Jul</t>
        </is>
      </c>
      <c r="I3" s="2" t="inlineStr">
        <is>
          <t>Aug</t>
        </is>
      </c>
      <c r="J3" s="2" t="inlineStr">
        <is>
          <t>Sep</t>
        </is>
      </c>
      <c r="K3" s="2" t="inlineStr">
        <is>
          <t>Oct</t>
        </is>
      </c>
      <c r="L3" s="2" t="inlineStr">
        <is>
          <t>Nov</t>
        </is>
      </c>
      <c r="M3" s="2" t="inlineStr">
        <is>
          <t>Dec</t>
        </is>
      </c>
      <c r="N3" s="1" t="inlineStr">
        <is>
          <t>Q1
Actual</t>
        </is>
      </c>
      <c r="O3" s="1" t="inlineStr">
        <is>
          <t>Q2
Actual</t>
        </is>
      </c>
      <c r="P3" s="1" t="inlineStr">
        <is>
          <t>H1 Act
+Jun FC</t>
        </is>
      </c>
      <c r="Q3" s="1" t="inlineStr">
        <is>
          <t>FY Act
+FC</t>
        </is>
      </c>
      <c r="R3" s="3" t="inlineStr">
        <is>
          <t>Q1
Budget</t>
        </is>
      </c>
      <c r="S3" s="3" t="inlineStr">
        <is>
          <t>Q2
Budget</t>
        </is>
      </c>
      <c r="T3" s="3" t="inlineStr">
        <is>
          <t>H1
Budget</t>
        </is>
      </c>
      <c r="U3" s="3" t="inlineStr">
        <is>
          <t>FY
Budget</t>
        </is>
      </c>
      <c r="V3" s="4" t="inlineStr">
        <is>
          <t>Q1
Var $</t>
        </is>
      </c>
      <c r="W3" s="4" t="inlineStr">
        <is>
          <t>Q2
Var $</t>
        </is>
      </c>
      <c r="X3" s="4" t="inlineStr">
        <is>
          <t>H1
Var $</t>
        </is>
      </c>
      <c r="Y3" s="4" t="inlineStr">
        <is>
          <t>FY
Var $</t>
        </is>
      </c>
      <c r="Z3" s="4" t="inlineStr">
        <is>
          <t>Q1
Var %</t>
        </is>
      </c>
      <c r="AA3" s="4" t="inlineStr">
        <is>
          <t>Q2
Var %</t>
        </is>
      </c>
      <c r="AB3" s="4" t="inlineStr">
        <is>
          <t>H1
Var %</t>
        </is>
      </c>
      <c r="AC3" s="4" t="inlineStr">
        <is>
          <t>FY
Var %</t>
        </is>
      </c>
    </row>
    <row r="4" ht="16" customHeight="1" s="122">
      <c r="A4" s="99" t="inlineStr">
        <is>
          <t xml:space="preserve">  OPERATING ACTIVITIES</t>
        </is>
      </c>
    </row>
    <row r="5" ht="17" customHeight="1" s="122">
      <c r="A5" s="11" t="inlineStr">
        <is>
          <t>Net Income / (Loss)</t>
        </is>
      </c>
      <c r="B5" s="142" t="n">
        <v>0.3692</v>
      </c>
      <c r="C5" s="142" t="n">
        <v>0.3828</v>
      </c>
      <c r="D5" s="142" t="n">
        <v>0.4032</v>
      </c>
      <c r="E5" s="142" t="n">
        <v>0.4236</v>
      </c>
      <c r="F5" s="142" t="n">
        <v>0.444</v>
      </c>
      <c r="G5" s="142" t="n">
        <v>0.409</v>
      </c>
      <c r="H5" s="143" t="n">
        <v>0.3322</v>
      </c>
      <c r="I5" s="143" t="n">
        <v>0.3416</v>
      </c>
      <c r="J5" s="143" t="n">
        <v>0.3498</v>
      </c>
      <c r="K5" s="143" t="n">
        <v>0.3586</v>
      </c>
      <c r="L5" s="143" t="n">
        <v>0.3662</v>
      </c>
      <c r="M5" s="143" t="n">
        <v>0.3744</v>
      </c>
      <c r="N5" s="154" t="n">
        <v>1.1552</v>
      </c>
      <c r="O5" s="154" t="n">
        <v>1.2766</v>
      </c>
      <c r="P5" s="154" t="n">
        <v>2.4318</v>
      </c>
      <c r="Q5" s="154" t="n">
        <v>4.5546</v>
      </c>
      <c r="R5" s="144" t="n">
        <v>1.123478</v>
      </c>
      <c r="S5" s="144" t="n">
        <v>1.23737</v>
      </c>
      <c r="T5" s="144" t="n">
        <v>2.360848</v>
      </c>
      <c r="U5" s="144" t="n">
        <v>4.787888</v>
      </c>
      <c r="V5" s="146" t="n">
        <v>0.03172200000000003</v>
      </c>
      <c r="W5" s="145" t="n">
        <v>0.0392300000000001</v>
      </c>
      <c r="X5" s="145" t="n">
        <v>0.07095200000000013</v>
      </c>
      <c r="Y5" s="146" t="n">
        <v>-0.2332879999999999</v>
      </c>
      <c r="Z5" s="148" t="n">
        <v>0.02823553287202778</v>
      </c>
      <c r="AA5" s="147" t="n">
        <v>0.0317043406580086</v>
      </c>
      <c r="AB5" s="147" t="n">
        <v>0.03005360785616022</v>
      </c>
      <c r="AC5" s="148" t="n">
        <v>-0.04872461511213294</v>
      </c>
    </row>
    <row r="6" ht="17" customHeight="1" s="122">
      <c r="A6" s="11" t="inlineStr">
        <is>
          <t>Add: Depreciation &amp; Amort</t>
        </is>
      </c>
      <c r="B6" s="142" t="n">
        <v>0.0885</v>
      </c>
      <c r="C6" s="142" t="n">
        <v>0.0915</v>
      </c>
      <c r="D6" s="142" t="n">
        <v>0.096</v>
      </c>
      <c r="E6" s="142" t="n">
        <v>0.1005</v>
      </c>
      <c r="F6" s="142" t="n">
        <v>0.105</v>
      </c>
      <c r="G6" s="142" t="n">
        <v>0.11025</v>
      </c>
      <c r="H6" s="143" t="n">
        <v>0.11025</v>
      </c>
      <c r="I6" s="143" t="n">
        <v>0.11275</v>
      </c>
      <c r="J6" s="143" t="n">
        <v>0.11525</v>
      </c>
      <c r="K6" s="143" t="n">
        <v>0.11775</v>
      </c>
      <c r="L6" s="143" t="n">
        <v>0.12025</v>
      </c>
      <c r="M6" s="143" t="n">
        <v>0.12275</v>
      </c>
      <c r="N6" s="154" t="n">
        <v>0.276</v>
      </c>
      <c r="O6" s="154" t="n">
        <v>0.31575</v>
      </c>
      <c r="P6" s="154" t="n">
        <v>0.59175</v>
      </c>
      <c r="Q6" s="154" t="n">
        <v>1.29075</v>
      </c>
      <c r="R6" s="144" t="n">
        <v>0.2898</v>
      </c>
      <c r="S6" s="144" t="n">
        <v>0.331538</v>
      </c>
      <c r="T6" s="144" t="n">
        <v>0.6213379999999999</v>
      </c>
      <c r="U6" s="144" t="n">
        <v>1.327838</v>
      </c>
      <c r="V6" s="145" t="n">
        <v>-0.01379999999999998</v>
      </c>
      <c r="W6" s="146" t="n">
        <v>-0.01578800000000002</v>
      </c>
      <c r="X6" s="146" t="n">
        <v>-0.02958799999999995</v>
      </c>
      <c r="Y6" s="145" t="n">
        <v>-0.03708800000000001</v>
      </c>
      <c r="Z6" s="147" t="n">
        <v>-0.04761904761904755</v>
      </c>
      <c r="AA6" s="148" t="n">
        <v>-0.04762048392642781</v>
      </c>
      <c r="AB6" s="148" t="n">
        <v>-0.04761981401427234</v>
      </c>
      <c r="AC6" s="147" t="n">
        <v>-0.0279311181032626</v>
      </c>
    </row>
    <row r="7" ht="17" customHeight="1" s="122">
      <c r="A7" s="11" t="inlineStr">
        <is>
          <t>Change in AR / Collections vs Revenue</t>
        </is>
      </c>
      <c r="B7" s="12" t="n">
        <v>2.68</v>
      </c>
      <c r="C7" s="142" t="n">
        <v>1.249179</v>
      </c>
      <c r="D7" s="142" t="n">
        <v>-7.696175</v>
      </c>
      <c r="E7" s="142" t="n">
        <v>8.963155</v>
      </c>
      <c r="F7" s="142" t="n">
        <v>0.214196</v>
      </c>
      <c r="G7" s="142" t="n">
        <v>-0.535917</v>
      </c>
      <c r="H7" s="143" t="n">
        <v>-0.234333</v>
      </c>
      <c r="I7" s="143" t="n">
        <v>-0.234333</v>
      </c>
      <c r="J7" s="143" t="n">
        <v>-0.209667</v>
      </c>
      <c r="K7" s="143" t="n">
        <v>-0.222</v>
      </c>
      <c r="L7" s="143" t="n">
        <v>-0.197333</v>
      </c>
      <c r="M7" s="143" t="n">
        <v>-0.209667</v>
      </c>
      <c r="N7" s="154" t="n">
        <v>-6.446996</v>
      </c>
      <c r="O7" s="154" t="n">
        <v>8.641434</v>
      </c>
      <c r="P7" s="154" t="n">
        <v>2.194438</v>
      </c>
      <c r="Q7" s="154" t="n">
        <v>0.8871050000000003</v>
      </c>
      <c r="R7" s="144" t="n">
        <v>-0.6475</v>
      </c>
      <c r="S7" s="144" t="n">
        <v>-1.23025</v>
      </c>
      <c r="T7" s="144" t="n">
        <v>-1.87775</v>
      </c>
      <c r="U7" s="144" t="n">
        <v>-3.146727</v>
      </c>
      <c r="V7" s="146" t="n">
        <v>-5.799496</v>
      </c>
      <c r="W7" s="146" t="n">
        <v>9.871684</v>
      </c>
      <c r="X7" s="146" t="n">
        <v>4.072188000000001</v>
      </c>
      <c r="Y7" s="145" t="n">
        <v>4.033832</v>
      </c>
      <c r="Z7" s="148" t="n">
        <v>8.956750579150579</v>
      </c>
      <c r="AA7" s="148" t="n">
        <v>-8.02412842918106</v>
      </c>
      <c r="AB7" s="148" t="n">
        <v>-2.168652909066703</v>
      </c>
      <c r="AC7" s="147" t="n">
        <v>-1.281913556530325</v>
      </c>
    </row>
    <row r="8" ht="17" customHeight="1" s="122">
      <c r="A8" s="11" t="inlineStr">
        <is>
          <t>Change in Deferred Revenue</t>
        </is>
      </c>
      <c r="B8" s="12" t="n">
        <v>2.68</v>
      </c>
      <c r="C8" s="142" t="n">
        <v>0.032</v>
      </c>
      <c r="D8" s="142" t="n">
        <v>0.048</v>
      </c>
      <c r="E8" s="142" t="n">
        <v>0.048</v>
      </c>
      <c r="F8" s="142" t="n">
        <v>0.048</v>
      </c>
      <c r="G8" s="142" t="n">
        <v>0.056</v>
      </c>
      <c r="H8" s="143" t="n">
        <v>0.054096</v>
      </c>
      <c r="I8" s="143" t="n">
        <v>0.056584</v>
      </c>
      <c r="J8" s="143" t="n">
        <v>0.059187</v>
      </c>
      <c r="K8" s="143" t="n">
        <v>0.06191</v>
      </c>
      <c r="L8" s="143" t="n">
        <v>0.064758</v>
      </c>
      <c r="M8" s="143" t="n">
        <v>0.06773700000000001</v>
      </c>
      <c r="N8" s="154" t="n">
        <v>0.08</v>
      </c>
      <c r="O8" s="154" t="n">
        <v>0.152</v>
      </c>
      <c r="P8" s="154" t="n">
        <v>0.232</v>
      </c>
      <c r="Q8" s="154" t="n">
        <v>0.596272</v>
      </c>
      <c r="R8" s="144" t="n">
        <v>0.092721</v>
      </c>
      <c r="S8" s="144" t="n">
        <v>0.156447</v>
      </c>
      <c r="T8" s="144" t="n">
        <v>0.249168</v>
      </c>
      <c r="U8" s="144" t="n">
        <v>0.636512</v>
      </c>
      <c r="V8" s="145" t="n">
        <v>-0.012721</v>
      </c>
      <c r="W8" s="145" t="n">
        <v>-0.004447000000000007</v>
      </c>
      <c r="X8" s="145" t="n">
        <v>-0.01716799999999999</v>
      </c>
      <c r="Y8" s="145" t="n">
        <v>-0.04023999999999994</v>
      </c>
      <c r="Z8" s="147" t="n">
        <v>-0.1371965358440914</v>
      </c>
      <c r="AA8" s="147" t="n">
        <v>-0.02842496180815232</v>
      </c>
      <c r="AB8" s="147" t="n">
        <v>-0.068901303538175</v>
      </c>
      <c r="AC8" s="147" t="n">
        <v>-0.06321954652858068</v>
      </c>
    </row>
    <row r="9" ht="17" customHeight="1" s="122">
      <c r="A9" s="11" t="inlineStr">
        <is>
          <t>Change in AP &amp; Accrued Liabilities</t>
        </is>
      </c>
      <c r="B9" s="12" t="n">
        <v>-0.06899999999999999</v>
      </c>
      <c r="C9" s="142" t="n">
        <v>-0.171295</v>
      </c>
      <c r="D9" s="142" t="n">
        <v>0.078472</v>
      </c>
      <c r="E9" s="142" t="n">
        <v>-0.112662</v>
      </c>
      <c r="F9" s="142" t="n">
        <v>0.027689</v>
      </c>
      <c r="G9" s="142" t="n">
        <v>0.551261</v>
      </c>
      <c r="H9" s="143" t="n">
        <v>-1.654844</v>
      </c>
      <c r="I9" s="143" t="n">
        <v>0.110723</v>
      </c>
      <c r="J9" s="143" t="n">
        <v>0.099068</v>
      </c>
      <c r="K9" s="143" t="n">
        <v>0.104895</v>
      </c>
      <c r="L9" s="143" t="n">
        <v>0.09324</v>
      </c>
      <c r="M9" s="143" t="n">
        <v>0.099068</v>
      </c>
      <c r="N9" s="154" t="n">
        <v>-0.092823</v>
      </c>
      <c r="O9" s="154" t="n">
        <v>0.466288</v>
      </c>
      <c r="P9" s="154" t="n">
        <v>0.373465</v>
      </c>
      <c r="Q9" s="154" t="n">
        <v>-0.774385</v>
      </c>
      <c r="R9" s="144" t="n">
        <v>0.299693</v>
      </c>
      <c r="S9" s="144" t="n">
        <v>0.6180369999999999</v>
      </c>
      <c r="T9" s="144" t="n">
        <v>0.91773</v>
      </c>
      <c r="U9" s="144" t="n">
        <v>1.533592</v>
      </c>
      <c r="V9" s="146" t="n">
        <v>-0.392516</v>
      </c>
      <c r="W9" s="146" t="n">
        <v>-0.151749</v>
      </c>
      <c r="X9" s="146" t="n">
        <v>-0.544265</v>
      </c>
      <c r="Y9" s="146" t="n">
        <v>-2.307977</v>
      </c>
      <c r="Z9" s="148" t="n">
        <v>-1.309726953916174</v>
      </c>
      <c r="AA9" s="148" t="n">
        <v>-0.2455338434430301</v>
      </c>
      <c r="AB9" s="148" t="n">
        <v>-0.5930556917611933</v>
      </c>
      <c r="AC9" s="148" t="n">
        <v>-1.504948513033453</v>
      </c>
    </row>
    <row r="10" ht="17" customHeight="1" s="122">
      <c r="A10" s="11" t="inlineStr">
        <is>
          <t>Commissions Paid</t>
        </is>
      </c>
      <c r="B10" s="12" t="n">
        <v>-0.27</v>
      </c>
      <c r="C10" s="12" t="n">
        <v>-0.3</v>
      </c>
      <c r="D10" s="12" t="n">
        <v>-0.31</v>
      </c>
      <c r="E10" s="12" t="n">
        <v>-0.28</v>
      </c>
      <c r="F10" s="12" t="n">
        <v>-0.29</v>
      </c>
      <c r="G10" s="12" t="n">
        <v>0.08799999999999999</v>
      </c>
      <c r="H10" s="13" t="n">
        <v>-0.36</v>
      </c>
      <c r="I10" s="13" t="n">
        <v>-0.39</v>
      </c>
      <c r="J10" s="13" t="n">
        <v>-0.4</v>
      </c>
      <c r="K10" s="13" t="n">
        <v>-0.41</v>
      </c>
      <c r="L10" s="13" t="n">
        <v>-0.42</v>
      </c>
      <c r="M10" s="13" t="n">
        <v>-0.44</v>
      </c>
      <c r="N10" s="14" t="n">
        <v>-0.88</v>
      </c>
      <c r="O10" s="14" t="n">
        <v>-0.5700000000000001</v>
      </c>
      <c r="P10" s="14" t="n">
        <v>-1.45</v>
      </c>
      <c r="Q10" s="14" t="n">
        <v>-4.32</v>
      </c>
      <c r="R10" s="15" t="n">
        <v>-0.91</v>
      </c>
      <c r="S10" s="15" t="n">
        <v>-0.96</v>
      </c>
      <c r="T10" s="15" t="n">
        <v>-1.87</v>
      </c>
      <c r="U10" s="15" t="n">
        <v>-4.38</v>
      </c>
      <c r="V10" s="17" t="n">
        <v>0.03000000000000003</v>
      </c>
      <c r="W10" s="17" t="n">
        <v>0.3899999999999999</v>
      </c>
      <c r="X10" s="17" t="n">
        <v>0.4200000000000002</v>
      </c>
      <c r="Y10" s="17" t="n">
        <v>0.05999999999999961</v>
      </c>
      <c r="Z10" s="19" t="n">
        <v>0.032967032967033</v>
      </c>
      <c r="AA10" s="19" t="n">
        <v>0.4062499999999999</v>
      </c>
      <c r="AB10" s="19" t="n">
        <v>0.2245989304812835</v>
      </c>
      <c r="AC10" s="19" t="n">
        <v>0.01369863013698621</v>
      </c>
    </row>
    <row r="11" ht="6" customHeight="1" s="122">
      <c r="A11" s="22" t="n"/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</row>
    <row r="12" ht="17" customHeight="1" s="122">
      <c r="A12" s="119" t="inlineStr">
        <is>
          <t>Cash from Operations (CFO)</t>
        </is>
      </c>
      <c r="B12" s="136" t="n">
        <v>0.4577</v>
      </c>
      <c r="C12" s="136" t="n">
        <v>1.599183</v>
      </c>
      <c r="D12" s="136" t="n">
        <v>-7.055503</v>
      </c>
      <c r="E12" s="136" t="n">
        <v>9.437593</v>
      </c>
      <c r="F12" s="136" t="n">
        <v>0.853885</v>
      </c>
      <c r="G12" s="136" t="n">
        <v>0.605594</v>
      </c>
      <c r="H12" s="137" t="n">
        <v>-1.377632</v>
      </c>
      <c r="I12" s="137" t="n">
        <v>0.402324</v>
      </c>
      <c r="J12" s="137" t="n">
        <v>0.428638</v>
      </c>
      <c r="K12" s="137" t="n">
        <v>0.436155</v>
      </c>
      <c r="L12" s="137" t="n">
        <v>0.462114</v>
      </c>
      <c r="M12" s="137" t="n">
        <v>0.469287</v>
      </c>
      <c r="N12" s="153" t="n">
        <v>-4.99862</v>
      </c>
      <c r="O12" s="153" t="n">
        <v>10.897072</v>
      </c>
      <c r="P12" s="153" t="n">
        <v>5.898452</v>
      </c>
      <c r="Q12" s="153" t="n">
        <v>6.719338</v>
      </c>
      <c r="R12" s="139" t="n">
        <v>1.188191</v>
      </c>
      <c r="S12" s="139" t="n">
        <v>1.15814</v>
      </c>
      <c r="T12" s="139" t="n">
        <v>2.346331</v>
      </c>
      <c r="U12" s="139" t="n">
        <v>5.3041</v>
      </c>
      <c r="V12" s="151" t="n">
        <v>-6.186811</v>
      </c>
      <c r="W12" s="140" t="n">
        <v>9.738932</v>
      </c>
      <c r="X12" s="140" t="n">
        <v>3.552121</v>
      </c>
      <c r="Y12" s="151" t="n">
        <v>1.415238</v>
      </c>
      <c r="Z12" s="152" t="n">
        <v>-5.20691622811484</v>
      </c>
      <c r="AA12" s="141" t="n">
        <v>8.409114614813408</v>
      </c>
      <c r="AB12" s="141" t="n">
        <v>1.513904474688354</v>
      </c>
      <c r="AC12" s="152" t="n">
        <v>0.2668196300974717</v>
      </c>
    </row>
    <row r="13" ht="6" customHeight="1" s="122">
      <c r="A13" s="22" t="n"/>
      <c r="B13" s="22" t="n"/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  <c r="W13" s="22" t="n"/>
      <c r="X13" s="22" t="n"/>
      <c r="Y13" s="22" t="n"/>
      <c r="Z13" s="22" t="n"/>
      <c r="AA13" s="22" t="n"/>
      <c r="AB13" s="22" t="n"/>
      <c r="AC13" s="22" t="n"/>
    </row>
    <row r="14" ht="16" customHeight="1" s="122">
      <c r="A14" s="99" t="inlineStr">
        <is>
          <t xml:space="preserve">  INVESTING ACTIVITIES</t>
        </is>
      </c>
    </row>
    <row r="15" ht="17" customHeight="1" s="122">
      <c r="A15" s="11" t="inlineStr">
        <is>
          <t>Capital Expenditures (CapEx)</t>
        </is>
      </c>
      <c r="B15" s="12" t="n">
        <v>-0.18</v>
      </c>
      <c r="C15" s="142" t="n">
        <v>-0.061</v>
      </c>
      <c r="D15" s="142" t="n">
        <v>-0.064</v>
      </c>
      <c r="E15" s="142" t="n">
        <v>-0.067</v>
      </c>
      <c r="F15" s="142" t="n">
        <v>-0.07000000000000001</v>
      </c>
      <c r="G15" s="142" t="n">
        <v>-0.0735</v>
      </c>
      <c r="H15" s="143" t="n">
        <v>-0.0455</v>
      </c>
      <c r="I15" s="143" t="n">
        <v>-0.0475</v>
      </c>
      <c r="J15" s="143" t="n">
        <v>-0.0495</v>
      </c>
      <c r="K15" s="143" t="n">
        <v>-0.0515</v>
      </c>
      <c r="L15" s="143" t="n">
        <v>-0.0535</v>
      </c>
      <c r="M15" s="143" t="n">
        <v>-0.0555</v>
      </c>
      <c r="N15" s="154" t="n">
        <v>-0.125</v>
      </c>
      <c r="O15" s="154" t="n">
        <v>-0.2105</v>
      </c>
      <c r="P15" s="154" t="n">
        <v>-0.3355</v>
      </c>
      <c r="Q15" s="154" t="n">
        <v>-0.6385</v>
      </c>
      <c r="R15" s="144" t="n">
        <v>-0.13125</v>
      </c>
      <c r="S15" s="144" t="n">
        <v>-0.221025</v>
      </c>
      <c r="T15" s="144" t="n">
        <v>-0.352275</v>
      </c>
      <c r="U15" s="144" t="n">
        <v>-0.670275</v>
      </c>
      <c r="V15" s="149" t="n">
        <v>0.006249999999999978</v>
      </c>
      <c r="W15" s="146" t="n">
        <v>0.01052499999999995</v>
      </c>
      <c r="X15" s="146" t="n">
        <v>0.01677499999999998</v>
      </c>
      <c r="Y15" s="149" t="n">
        <v>0.031775</v>
      </c>
      <c r="Z15" s="150" t="n">
        <v>-0.04761904761904746</v>
      </c>
      <c r="AA15" s="148" t="n">
        <v>-0.0476190476190474</v>
      </c>
      <c r="AB15" s="148" t="n">
        <v>-0.04761904761904757</v>
      </c>
      <c r="AC15" s="150" t="n">
        <v>-0.04740591548245123</v>
      </c>
    </row>
    <row r="16" ht="17" customHeight="1" s="122">
      <c r="A16" s="119" t="inlineStr">
        <is>
          <t>Cash from Investing (CFI)</t>
        </is>
      </c>
      <c r="B16" s="108" t="n">
        <v>-0.18</v>
      </c>
      <c r="C16" s="136" t="n">
        <v>-0.061</v>
      </c>
      <c r="D16" s="136" t="n">
        <v>-0.064</v>
      </c>
      <c r="E16" s="136" t="n">
        <v>-0.067</v>
      </c>
      <c r="F16" s="136" t="n">
        <v>-0.07000000000000001</v>
      </c>
      <c r="G16" s="136" t="n">
        <v>-0.0735</v>
      </c>
      <c r="H16" s="137" t="n">
        <v>-0.0455</v>
      </c>
      <c r="I16" s="137" t="n">
        <v>-0.0475</v>
      </c>
      <c r="J16" s="137" t="n">
        <v>-0.0495</v>
      </c>
      <c r="K16" s="137" t="n">
        <v>-0.0515</v>
      </c>
      <c r="L16" s="137" t="n">
        <v>-0.0535</v>
      </c>
      <c r="M16" s="137" t="n">
        <v>-0.0555</v>
      </c>
      <c r="N16" s="153" t="n">
        <v>-0.125</v>
      </c>
      <c r="O16" s="153" t="n">
        <v>-0.2105</v>
      </c>
      <c r="P16" s="153" t="n">
        <v>-0.3355</v>
      </c>
      <c r="Q16" s="153" t="n">
        <v>-0.6385</v>
      </c>
      <c r="R16" s="139" t="n">
        <v>-0.13125</v>
      </c>
      <c r="S16" s="139" t="n">
        <v>-0.221025</v>
      </c>
      <c r="T16" s="139" t="n">
        <v>-0.352275</v>
      </c>
      <c r="U16" s="139" t="n">
        <v>-0.670275</v>
      </c>
      <c r="V16" s="156" t="n">
        <v>0.006249999999999978</v>
      </c>
      <c r="W16" s="151" t="n">
        <v>0.01052499999999995</v>
      </c>
      <c r="X16" s="151" t="n">
        <v>0.01677499999999998</v>
      </c>
      <c r="Y16" s="156" t="n">
        <v>0.031775</v>
      </c>
      <c r="Z16" s="157" t="n">
        <v>-0.04761904761904746</v>
      </c>
      <c r="AA16" s="152" t="n">
        <v>-0.0476190476190474</v>
      </c>
      <c r="AB16" s="152" t="n">
        <v>-0.04761904761904757</v>
      </c>
      <c r="AC16" s="157" t="n">
        <v>-0.04740591548245123</v>
      </c>
    </row>
    <row r="17" ht="6" customHeight="1" s="122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</row>
    <row r="18" ht="16" customHeight="1" s="122">
      <c r="A18" s="99" t="inlineStr">
        <is>
          <t xml:space="preserve">  FINANCING ACTIVITIES</t>
        </is>
      </c>
    </row>
    <row r="19" ht="17" customHeight="1" s="122">
      <c r="A19" s="11" t="inlineStr">
        <is>
          <t>Proceeds from Financing</t>
        </is>
      </c>
      <c r="B19" s="12" t="n">
        <v>0</v>
      </c>
      <c r="C19" s="12" t="n">
        <v>0</v>
      </c>
      <c r="D19" s="12" t="n">
        <v>0</v>
      </c>
      <c r="E19" s="12" t="n">
        <v>0</v>
      </c>
      <c r="F19" s="12" t="n">
        <v>0</v>
      </c>
      <c r="G19" s="12" t="n">
        <v>0</v>
      </c>
      <c r="H19" s="13" t="n">
        <v>0</v>
      </c>
      <c r="I19" s="13" t="n">
        <v>0</v>
      </c>
      <c r="J19" s="13" t="n">
        <v>0</v>
      </c>
      <c r="K19" s="13" t="n">
        <v>0</v>
      </c>
      <c r="L19" s="13" t="n">
        <v>0</v>
      </c>
      <c r="M19" s="13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5" t="n">
        <v>0</v>
      </c>
      <c r="S19" s="15" t="n">
        <v>0</v>
      </c>
      <c r="T19" s="15" t="n">
        <v>0</v>
      </c>
      <c r="U19" s="15" t="n">
        <v>0</v>
      </c>
      <c r="V19" s="20" t="n">
        <v>0</v>
      </c>
      <c r="W19" s="20" t="n">
        <v>0</v>
      </c>
      <c r="X19" s="20" t="n">
        <v>0</v>
      </c>
      <c r="Y19" s="20" t="n">
        <v>0</v>
      </c>
      <c r="Z19" s="21" t="n">
        <v>0</v>
      </c>
      <c r="AA19" s="21" t="n">
        <v>0</v>
      </c>
      <c r="AB19" s="21" t="n">
        <v>0</v>
      </c>
      <c r="AC19" s="21" t="n">
        <v>0</v>
      </c>
    </row>
    <row r="20" ht="17" customHeight="1" s="122">
      <c r="A20" s="11" t="inlineStr">
        <is>
          <t>Debt Repayments</t>
        </is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4" t="n">
        <v>0</v>
      </c>
      <c r="O20" s="14" t="n">
        <v>0</v>
      </c>
      <c r="P20" s="14" t="n">
        <v>0</v>
      </c>
      <c r="Q20" s="14" t="n">
        <v>0</v>
      </c>
      <c r="R20" s="15" t="n">
        <v>0</v>
      </c>
      <c r="S20" s="15" t="n">
        <v>0</v>
      </c>
      <c r="T20" s="15" t="n">
        <v>0</v>
      </c>
      <c r="U20" s="15" t="n">
        <v>0</v>
      </c>
      <c r="V20" s="20" t="n">
        <v>0</v>
      </c>
      <c r="W20" s="20" t="n">
        <v>0</v>
      </c>
      <c r="X20" s="20" t="n">
        <v>0</v>
      </c>
      <c r="Y20" s="20" t="n">
        <v>0</v>
      </c>
      <c r="Z20" s="21" t="n">
        <v>0</v>
      </c>
      <c r="AA20" s="21" t="n">
        <v>0</v>
      </c>
      <c r="AB20" s="21" t="n">
        <v>0</v>
      </c>
      <c r="AC20" s="21" t="n">
        <v>0</v>
      </c>
    </row>
    <row r="21" ht="17" customHeight="1" s="122">
      <c r="A21" s="119" t="inlineStr">
        <is>
          <t>Cash from Financing (CFF)</t>
        </is>
      </c>
      <c r="B21" s="115" t="n">
        <v>0</v>
      </c>
      <c r="C21" s="161" t="n">
        <v>0</v>
      </c>
      <c r="D21" s="161" t="n">
        <v>0</v>
      </c>
      <c r="E21" s="161" t="n">
        <v>0</v>
      </c>
      <c r="F21" s="161" t="n">
        <v>0</v>
      </c>
      <c r="G21" s="161" t="n">
        <v>0</v>
      </c>
      <c r="H21" s="143" t="n">
        <v>0</v>
      </c>
      <c r="I21" s="143" t="n">
        <v>0</v>
      </c>
      <c r="J21" s="143" t="n">
        <v>0</v>
      </c>
      <c r="K21" s="143" t="n">
        <v>0</v>
      </c>
      <c r="L21" s="143" t="n">
        <v>0</v>
      </c>
      <c r="M21" s="143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30" t="n">
        <v>0</v>
      </c>
      <c r="W21" s="30" t="n">
        <v>0</v>
      </c>
      <c r="X21" s="30" t="n">
        <v>0</v>
      </c>
      <c r="Y21" s="30" t="n">
        <v>0</v>
      </c>
      <c r="Z21" s="31" t="n">
        <v>0</v>
      </c>
      <c r="AA21" s="31" t="n">
        <v>0</v>
      </c>
      <c r="AB21" s="31" t="n">
        <v>0</v>
      </c>
      <c r="AC21" s="31" t="n">
        <v>0</v>
      </c>
    </row>
    <row r="22" ht="6" customHeight="1" s="122">
      <c r="A22" s="22" t="n"/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</row>
    <row r="23" ht="16" customHeight="1" s="122">
      <c r="A23" s="99" t="inlineStr">
        <is>
          <t xml:space="preserve">  NET CASH MOVEMENT &amp; RECONCILIATION</t>
        </is>
      </c>
    </row>
    <row r="24" ht="17" customHeight="1" s="122">
      <c r="A24" s="119" t="inlineStr">
        <is>
          <t>Net Change in Cash</t>
        </is>
      </c>
      <c r="B24" s="108" t="n">
        <v>2.578999999999999</v>
      </c>
      <c r="C24" s="136" t="n">
        <v>1.508183</v>
      </c>
      <c r="D24" s="136" t="n">
        <v>-7.149503</v>
      </c>
      <c r="E24" s="136" t="n">
        <v>9.340593</v>
      </c>
      <c r="F24" s="136" t="n">
        <v>0.753885</v>
      </c>
      <c r="G24" s="136" t="n">
        <v>0.502094</v>
      </c>
      <c r="H24" s="137" t="n">
        <v>-1.507232</v>
      </c>
      <c r="I24" s="137" t="n">
        <v>0.271624</v>
      </c>
      <c r="J24" s="137" t="n">
        <v>0.296638</v>
      </c>
      <c r="K24" s="137" t="n">
        <v>0.302955</v>
      </c>
      <c r="L24" s="137" t="n">
        <v>0.327514</v>
      </c>
      <c r="M24" s="137" t="n">
        <v>0.333387</v>
      </c>
      <c r="N24" s="153" t="n">
        <v>-5.64132</v>
      </c>
      <c r="O24" s="153" t="n">
        <v>10.596572</v>
      </c>
      <c r="P24" s="153" t="n">
        <v>4.955252</v>
      </c>
      <c r="Q24" s="153" t="n">
        <v>4.980138</v>
      </c>
      <c r="R24" s="139" t="n">
        <v>0.544988</v>
      </c>
      <c r="S24" s="139" t="n">
        <v>0.8471150000000001</v>
      </c>
      <c r="T24" s="139" t="n">
        <v>1.392103</v>
      </c>
      <c r="U24" s="139" t="n">
        <v>3.573032</v>
      </c>
      <c r="V24" s="151" t="n">
        <v>-6.186308</v>
      </c>
      <c r="W24" s="140" t="n">
        <v>9.749457</v>
      </c>
      <c r="X24" s="140" t="n">
        <v>3.563149</v>
      </c>
      <c r="Y24" s="151" t="n">
        <v>1.407106</v>
      </c>
      <c r="Z24" s="152" t="n">
        <v>-11.35127378951463</v>
      </c>
      <c r="AA24" s="141" t="n">
        <v>11.5090123536946</v>
      </c>
      <c r="AB24" s="141" t="n">
        <v>2.559544085459193</v>
      </c>
      <c r="AC24" s="152" t="n">
        <v>0.3938128737721913</v>
      </c>
    </row>
    <row r="25" ht="17" customHeight="1" s="122">
      <c r="A25" s="11" t="inlineStr">
        <is>
          <t>Beginning Cash Balance</t>
        </is>
      </c>
      <c r="B25" s="12" t="n">
        <v>46.1</v>
      </c>
      <c r="C25" s="142" t="n">
        <v>45.30265</v>
      </c>
      <c r="D25" s="142" t="n">
        <v>46.810833</v>
      </c>
      <c r="E25" s="142" t="n">
        <v>39.66133</v>
      </c>
      <c r="F25" s="142" t="n">
        <v>49.001923</v>
      </c>
      <c r="G25" s="142" t="n">
        <v>49.755808</v>
      </c>
      <c r="H25" s="143" t="n">
        <v>50.257902</v>
      </c>
      <c r="I25" s="143" t="n">
        <v>48.750671</v>
      </c>
      <c r="J25" s="143" t="n">
        <v>49.022294</v>
      </c>
      <c r="K25" s="143" t="n">
        <v>49.318932</v>
      </c>
      <c r="L25" s="143" t="n">
        <v>49.621887</v>
      </c>
      <c r="M25" s="143" t="n">
        <v>49.949402</v>
      </c>
      <c r="N25" s="154" t="n">
        <v>46.810833</v>
      </c>
      <c r="O25" s="154" t="n">
        <v>49.755808</v>
      </c>
      <c r="P25" s="154" t="n">
        <v>49.755808</v>
      </c>
      <c r="Q25" s="154" t="n">
        <v>49.949402</v>
      </c>
      <c r="R25" s="144" t="n">
        <v>47.068608</v>
      </c>
      <c r="S25" s="144" t="n">
        <v>47.888509</v>
      </c>
      <c r="T25" s="144" t="n">
        <v>47.888509</v>
      </c>
      <c r="U25" s="144" t="n">
        <v>49.954814</v>
      </c>
      <c r="V25" s="145" t="n">
        <v>-0.2577749999999952</v>
      </c>
      <c r="W25" s="145" t="n">
        <v>1.867299000000003</v>
      </c>
      <c r="X25" s="145" t="n">
        <v>1.867299000000003</v>
      </c>
      <c r="Y25" s="145" t="n">
        <v>-0.00541199999999975</v>
      </c>
      <c r="Z25" s="147" t="n">
        <v>-0.005476580059473933</v>
      </c>
      <c r="AA25" s="147" t="n">
        <v>0.03899263182322095</v>
      </c>
      <c r="AB25" s="147" t="n">
        <v>0.03899263182322095</v>
      </c>
      <c r="AC25" s="147" t="n">
        <v>-0.0001083379071334296</v>
      </c>
    </row>
    <row r="26" ht="17" customHeight="1" s="122">
      <c r="A26" s="119" t="inlineStr">
        <is>
          <t>Ending Cash Balance</t>
        </is>
      </c>
      <c r="B26" s="108" t="n">
        <v>48.71</v>
      </c>
      <c r="C26" s="136" t="n">
        <v>46.810833</v>
      </c>
      <c r="D26" s="136" t="n">
        <v>39.66133</v>
      </c>
      <c r="E26" s="136" t="n">
        <v>49.001923</v>
      </c>
      <c r="F26" s="136" t="n">
        <v>49.755808</v>
      </c>
      <c r="G26" s="136" t="n">
        <v>50.257902</v>
      </c>
      <c r="H26" s="137" t="n">
        <v>48.750671</v>
      </c>
      <c r="I26" s="137" t="n">
        <v>49.022294</v>
      </c>
      <c r="J26" s="137" t="n">
        <v>49.318932</v>
      </c>
      <c r="K26" s="137" t="n">
        <v>49.621887</v>
      </c>
      <c r="L26" s="137" t="n">
        <v>49.949402</v>
      </c>
      <c r="M26" s="137" t="n">
        <v>50.282789</v>
      </c>
      <c r="N26" s="153" t="n">
        <v>39.66133</v>
      </c>
      <c r="O26" s="153" t="n">
        <v>50.257902</v>
      </c>
      <c r="P26" s="153" t="n">
        <v>50.257902</v>
      </c>
      <c r="Q26" s="153" t="n">
        <v>50.282789</v>
      </c>
      <c r="R26" s="139" t="n">
        <v>47.318137</v>
      </c>
      <c r="S26" s="139" t="n">
        <v>48.165253</v>
      </c>
      <c r="T26" s="139" t="n">
        <v>48.165253</v>
      </c>
      <c r="U26" s="139" t="n">
        <v>50.346182</v>
      </c>
      <c r="V26" s="151" t="n">
        <v>-7.656807000000001</v>
      </c>
      <c r="W26" s="151" t="n">
        <v>2.092649000000002</v>
      </c>
      <c r="X26" s="151" t="n">
        <v>2.092649000000002</v>
      </c>
      <c r="Y26" s="151" t="n">
        <v>-0.06339299999999781</v>
      </c>
      <c r="Z26" s="152" t="n">
        <v>-0.161815478914565</v>
      </c>
      <c r="AA26" s="152" t="n">
        <v>0.04344727515497534</v>
      </c>
      <c r="AB26" s="152" t="n">
        <v>0.04344727515497534</v>
      </c>
      <c r="AC26" s="152" t="n">
        <v>-0.001259142153023596</v>
      </c>
    </row>
    <row r="27"/>
    <row r="28" ht="24" customHeight="1" s="122">
      <c r="A28" s="100" t="inlineStr">
        <is>
          <t xml:space="preserve">  Note: GAAP indirect method approximation using operational data. Deferred revenue and working capital changes are estimated from billing/collection dynamics. Jun Actual (yellow) is a user-input placeholder.</t>
        </is>
      </c>
    </row>
  </sheetData>
  <mergeCells count="11">
    <mergeCell ref="A28:M28"/>
    <mergeCell ref="B2:G2"/>
    <mergeCell ref="A23:AC23"/>
    <mergeCell ref="A14:AC14"/>
    <mergeCell ref="V2:AC2"/>
    <mergeCell ref="A18:AC18"/>
    <mergeCell ref="A4:AC4"/>
    <mergeCell ref="N2:Q2"/>
    <mergeCell ref="R2:U2"/>
    <mergeCell ref="H2:M2"/>
    <mergeCell ref="A1:A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:H1"/>
    </sheetView>
  </sheetViews>
  <sheetFormatPr baseColWidth="8" defaultRowHeight="14.5"/>
  <cols>
    <col width="22" customWidth="1" style="122" min="1" max="1"/>
    <col width="12" customWidth="1" style="122" min="2" max="6"/>
    <col width="14" customWidth="1" style="122" min="3" max="3"/>
    <col width="12" customWidth="1" style="122" min="4" max="4"/>
    <col width="12" customWidth="1" style="122" min="5" max="5"/>
    <col width="10" customWidth="1" style="122" min="6" max="6"/>
    <col width="28" customWidth="1" style="122" min="7" max="7"/>
    <col width="28" customWidth="1" style="122" min="8" max="8"/>
    <col width="28" customWidth="1" style="122" min="9" max="9"/>
  </cols>
  <sheetData>
    <row r="1" ht="36" customHeight="1" s="122">
      <c r="A1" s="101" t="inlineStr">
        <is>
          <t>SMPL · GTM &amp; Marketing Channel Efficiency · YTD 2026</t>
        </is>
      </c>
    </row>
    <row r="2">
      <c r="A2" s="32" t="inlineStr">
        <is>
          <t>Channel</t>
        </is>
      </c>
      <c r="B2" s="32" t="inlineStr">
        <is>
          <t>Mktg Spend ($M)</t>
        </is>
      </c>
      <c r="C2" s="32" t="inlineStr">
        <is>
          <t>Pipeline Created ($M)</t>
        </is>
      </c>
      <c r="D2" s="32" t="inlineStr">
        <is>
          <t>Closed Won ($M)</t>
        </is>
      </c>
      <c r="E2" s="32" t="inlineStr">
        <is>
          <t>Pipeline / $1 Spend</t>
        </is>
      </c>
      <c r="F2" s="32" t="inlineStr">
        <is>
          <t>Efficiency Rank</t>
        </is>
      </c>
    </row>
    <row r="3">
      <c r="A3" s="33" t="inlineStr">
        <is>
          <t>Paid Social</t>
        </is>
      </c>
      <c r="B3" s="34" t="n">
        <v>0.01</v>
      </c>
      <c r="C3" s="34" t="n">
        <v>0.52</v>
      </c>
      <c r="D3" s="35" t="n">
        <v>0.72</v>
      </c>
      <c r="E3" s="36" t="n">
        <v>44.5</v>
      </c>
      <c r="F3" s="37" t="n">
        <v>1</v>
      </c>
    </row>
    <row r="4">
      <c r="A4" s="38" t="inlineStr">
        <is>
          <t>Paid Search</t>
        </is>
      </c>
      <c r="B4" s="39" t="n">
        <v>0.01</v>
      </c>
      <c r="C4" s="39" t="n">
        <v>0.51</v>
      </c>
      <c r="D4" s="40" t="n">
        <v>1.91</v>
      </c>
      <c r="E4" s="41" t="n">
        <v>63.7</v>
      </c>
      <c r="F4" s="42" t="n">
        <v>2</v>
      </c>
    </row>
    <row r="5">
      <c r="A5" s="33" t="inlineStr">
        <is>
          <t>Content Syndication</t>
        </is>
      </c>
      <c r="B5" s="34" t="n">
        <v>0.01</v>
      </c>
      <c r="C5" s="34" t="n">
        <v>0.31</v>
      </c>
      <c r="D5" s="35" t="n">
        <v>0.58</v>
      </c>
      <c r="E5" s="36" t="n">
        <v>43.5</v>
      </c>
      <c r="F5" s="37" t="n">
        <v>3</v>
      </c>
    </row>
    <row r="6">
      <c r="A6" s="38" t="inlineStr">
        <is>
          <t>Organic Search</t>
        </is>
      </c>
      <c r="B6" s="39" t="n">
        <v>0.01</v>
      </c>
      <c r="C6" s="39" t="n">
        <v>0.44</v>
      </c>
      <c r="D6" s="40" t="n">
        <v>0.44</v>
      </c>
      <c r="E6" s="41" t="n">
        <v>81.2</v>
      </c>
      <c r="F6" s="42" t="n">
        <v>4</v>
      </c>
    </row>
    <row r="7">
      <c r="A7" s="33" t="inlineStr">
        <is>
          <t>Outbound</t>
        </is>
      </c>
      <c r="B7" s="34" t="n">
        <v>0.01</v>
      </c>
      <c r="C7" s="34" t="n">
        <v>0.48</v>
      </c>
      <c r="D7" s="35" t="n">
        <v>0.61</v>
      </c>
      <c r="E7" s="43" t="n">
        <v>96.09999999999999</v>
      </c>
      <c r="F7" s="37" t="n">
        <v>5</v>
      </c>
    </row>
    <row r="8">
      <c r="A8" s="38" t="inlineStr">
        <is>
          <t>Direct</t>
        </is>
      </c>
      <c r="B8" s="39" t="n">
        <v>0.15</v>
      </c>
      <c r="C8" s="39" t="n">
        <v>0.72</v>
      </c>
      <c r="D8" s="40" t="n">
        <v>0.18</v>
      </c>
      <c r="E8" s="44" t="n">
        <v>4.8</v>
      </c>
      <c r="F8" s="42" t="n">
        <v>6</v>
      </c>
    </row>
    <row r="9">
      <c r="A9" s="33" t="inlineStr">
        <is>
          <t>Field Event</t>
        </is>
      </c>
      <c r="B9" s="34" t="n">
        <v>0.52</v>
      </c>
      <c r="C9" s="34" t="n">
        <v>1.12</v>
      </c>
      <c r="D9" s="35" t="n">
        <v>0.22</v>
      </c>
      <c r="E9" s="45" t="n">
        <v>2.2</v>
      </c>
      <c r="F9" s="37" t="n">
        <v>7</v>
      </c>
    </row>
    <row r="10">
      <c r="A10" s="38" t="inlineStr">
        <is>
          <t>Content Syndic.</t>
        </is>
      </c>
      <c r="B10" s="39" t="n">
        <v>0.38</v>
      </c>
      <c r="C10" s="39" t="n">
        <v>0.98</v>
      </c>
      <c r="D10" s="89" t="n">
        <v>0</v>
      </c>
      <c r="E10" s="46" t="n">
        <v>2.6</v>
      </c>
      <c r="F10" s="42" t="n">
        <v>8</v>
      </c>
    </row>
    <row r="11">
      <c r="A11" s="33" t="inlineStr">
        <is>
          <t>Paid Search</t>
        </is>
      </c>
      <c r="B11" s="34" t="n">
        <v>1.56</v>
      </c>
      <c r="C11" s="34" t="n">
        <v>2.27</v>
      </c>
      <c r="D11" s="90" t="n">
        <v>1.226</v>
      </c>
      <c r="E11" s="45" t="n">
        <v>1.5</v>
      </c>
      <c r="F11" s="37" t="n">
        <v>9</v>
      </c>
    </row>
    <row r="12">
      <c r="A12" s="38" t="inlineStr">
        <is>
          <t>Paid Social</t>
        </is>
      </c>
      <c r="B12" s="39" t="n">
        <v>1.27</v>
      </c>
      <c r="C12" s="39" t="n">
        <v>1.45</v>
      </c>
      <c r="D12" s="89" t="n">
        <v>0.986</v>
      </c>
      <c r="E12" s="46" t="n">
        <v>1.1</v>
      </c>
      <c r="F12" s="42" t="n">
        <v>10</v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:J1"/>
    </sheetView>
  </sheetViews>
  <sheetFormatPr baseColWidth="8" defaultRowHeight="14.5"/>
  <cols>
    <col width="22" customWidth="1" style="122" min="1" max="1"/>
    <col width="9" customWidth="1" style="122" min="2" max="9"/>
    <col width="16" customWidth="1" style="122" min="10" max="10"/>
  </cols>
  <sheetData>
    <row r="1" ht="36" customHeight="1" s="122">
      <c r="A1" s="123" t="inlineStr">
        <is>
          <t>SMPL · Headcount &amp; Productivity · Jan–June 2026</t>
        </is>
      </c>
      <c r="B1" s="162" t="n"/>
      <c r="C1" s="162" t="n"/>
      <c r="D1" s="162" t="n"/>
      <c r="E1" s="162" t="n"/>
      <c r="F1" s="162" t="n"/>
      <c r="G1" s="162" t="n"/>
      <c r="H1" s="162" t="n"/>
      <c r="I1" s="162" t="n"/>
      <c r="J1" s="162" t="n"/>
    </row>
    <row r="2" ht="22" customHeight="1" s="122">
      <c r="A2" s="81" t="inlineStr">
        <is>
          <t>Department</t>
        </is>
      </c>
      <c r="B2" s="81" t="inlineStr">
        <is>
          <t>Jan</t>
        </is>
      </c>
      <c r="C2" s="81" t="inlineStr">
        <is>
          <t>Feb</t>
        </is>
      </c>
      <c r="D2" s="81" t="inlineStr">
        <is>
          <t>Mar</t>
        </is>
      </c>
      <c r="E2" s="81" t="inlineStr">
        <is>
          <t>Apr</t>
        </is>
      </c>
      <c r="F2" s="81" t="inlineStr">
        <is>
          <t>May</t>
        </is>
      </c>
      <c r="G2" s="81" t="inlineStr">
        <is>
          <t>Jun</t>
        </is>
      </c>
      <c r="H2" s="81" t="inlineStr">
        <is>
          <t>Bud Jun</t>
        </is>
      </c>
      <c r="I2" s="81" t="inlineStr">
        <is>
          <t>Var</t>
        </is>
      </c>
      <c r="J2" s="81" t="inlineStr">
        <is>
          <t>ARR/Emp</t>
        </is>
      </c>
    </row>
    <row r="3" ht="18" customHeight="1" s="122">
      <c r="A3" s="48" t="inlineStr">
        <is>
          <t>Sales</t>
        </is>
      </c>
      <c r="B3" s="83" t="n">
        <v>26</v>
      </c>
      <c r="C3" s="83" t="n">
        <v>27</v>
      </c>
      <c r="D3" s="83" t="n">
        <v>28</v>
      </c>
      <c r="E3" s="83" t="n">
        <v>28</v>
      </c>
      <c r="F3" s="83" t="n">
        <v>28</v>
      </c>
      <c r="G3" s="82" t="n">
        <v>29</v>
      </c>
      <c r="H3" s="83" t="n">
        <v>29</v>
      </c>
      <c r="I3" s="84" t="n">
        <v>0</v>
      </c>
      <c r="J3" s="83" t="inlineStr">
        <is>
          <t>$628K/emp</t>
        </is>
      </c>
    </row>
    <row r="4" ht="18" customHeight="1" s="122">
      <c r="A4" s="49" t="inlineStr">
        <is>
          <t>Engineering</t>
        </is>
      </c>
      <c r="B4" s="85" t="n">
        <v>34</v>
      </c>
      <c r="C4" s="85" t="n">
        <v>35</v>
      </c>
      <c r="D4" s="85" t="n">
        <v>35</v>
      </c>
      <c r="E4" s="85" t="n">
        <v>35</v>
      </c>
      <c r="F4" s="85" t="n">
        <v>36</v>
      </c>
      <c r="G4" s="82" t="n">
        <v>37</v>
      </c>
      <c r="H4" s="85" t="n">
        <v>37</v>
      </c>
      <c r="I4" s="86" t="n">
        <v>0</v>
      </c>
      <c r="J4" s="85" t="inlineStr">
        <is>
          <t>$628K/emp</t>
        </is>
      </c>
    </row>
    <row r="5" ht="18" customHeight="1" s="122">
      <c r="A5" s="48" t="inlineStr">
        <is>
          <t>Customer Success</t>
        </is>
      </c>
      <c r="B5" s="83" t="n">
        <v>15</v>
      </c>
      <c r="C5" s="83" t="n">
        <v>15</v>
      </c>
      <c r="D5" s="83" t="n">
        <v>15</v>
      </c>
      <c r="E5" s="83" t="n">
        <v>16</v>
      </c>
      <c r="F5" s="83" t="n">
        <v>16</v>
      </c>
      <c r="G5" s="82" t="n">
        <v>17</v>
      </c>
      <c r="H5" s="83" t="n">
        <v>17</v>
      </c>
      <c r="I5" s="84" t="n">
        <v>0</v>
      </c>
      <c r="J5" s="83" t="inlineStr">
        <is>
          <t>$628K/emp</t>
        </is>
      </c>
    </row>
    <row r="6" ht="18" customHeight="1" s="122">
      <c r="A6" s="49" t="inlineStr">
        <is>
          <t>Marketing</t>
        </is>
      </c>
      <c r="B6" s="85" t="n">
        <v>13</v>
      </c>
      <c r="C6" s="85" t="n">
        <v>13</v>
      </c>
      <c r="D6" s="85" t="n">
        <v>13</v>
      </c>
      <c r="E6" s="85" t="n">
        <v>14</v>
      </c>
      <c r="F6" s="85" t="n">
        <v>14</v>
      </c>
      <c r="G6" s="82" t="n">
        <v>15</v>
      </c>
      <c r="H6" s="85" t="n">
        <v>15</v>
      </c>
      <c r="I6" s="86" t="n">
        <v>0</v>
      </c>
      <c r="J6" s="85" t="inlineStr">
        <is>
          <t>$628K/emp</t>
        </is>
      </c>
    </row>
    <row r="7" ht="18" customHeight="1" s="122">
      <c r="A7" s="48" t="inlineStr">
        <is>
          <t>G&amp;A + Support</t>
        </is>
      </c>
      <c r="B7" s="83" t="n">
        <v>25</v>
      </c>
      <c r="C7" s="83" t="n">
        <v>26</v>
      </c>
      <c r="D7" s="83" t="n">
        <v>26</v>
      </c>
      <c r="E7" s="83" t="n">
        <v>26</v>
      </c>
      <c r="F7" s="83" t="n">
        <v>27</v>
      </c>
      <c r="G7" s="82" t="n">
        <v>29</v>
      </c>
      <c r="H7" s="83" t="n">
        <v>29</v>
      </c>
      <c r="I7" s="84" t="n">
        <v>0</v>
      </c>
      <c r="J7" s="83" t="inlineStr">
        <is>
          <t>$628K/emp</t>
        </is>
      </c>
    </row>
    <row r="8" ht="18" customHeight="1" s="122">
      <c r="A8" s="49" t="inlineStr">
        <is>
          <t>Product</t>
        </is>
      </c>
      <c r="B8" s="85" t="n">
        <v>8</v>
      </c>
      <c r="C8" s="85" t="n">
        <v>8</v>
      </c>
      <c r="D8" s="85" t="n">
        <v>9</v>
      </c>
      <c r="E8" s="85" t="n">
        <v>9</v>
      </c>
      <c r="F8" s="85" t="n">
        <v>9</v>
      </c>
      <c r="G8" s="82" t="n">
        <v>10</v>
      </c>
      <c r="H8" s="85" t="n">
        <v>10</v>
      </c>
      <c r="I8" s="86" t="n">
        <v>0</v>
      </c>
      <c r="J8" s="85" t="inlineStr">
        <is>
          <t>$628K/emp</t>
        </is>
      </c>
    </row>
    <row r="9" ht="18" customHeight="1" s="122">
      <c r="A9" s="87" t="inlineStr">
        <is>
          <t>Total</t>
        </is>
      </c>
      <c r="B9" s="88" t="n">
        <v>0</v>
      </c>
      <c r="C9" s="88" t="n">
        <v>0</v>
      </c>
      <c r="D9" s="88" t="n">
        <v>0</v>
      </c>
      <c r="E9" s="88" t="n">
        <v>0</v>
      </c>
      <c r="F9" s="88" t="n">
        <v>0</v>
      </c>
      <c r="G9" s="88" t="n">
        <v>0</v>
      </c>
      <c r="H9" s="88" t="n">
        <v>0</v>
      </c>
      <c r="I9" s="88" t="n">
        <v>0</v>
      </c>
      <c r="J9" s="88" t="inlineStr">
        <is>
          <t>$628K/emp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:L1"/>
    </sheetView>
  </sheetViews>
  <sheetFormatPr baseColWidth="8" defaultRowHeight="14.5"/>
  <cols>
    <col width="12" customWidth="1" style="122" min="1" max="1"/>
    <col width="22" customWidth="1" style="122" min="2" max="2"/>
    <col width="10" customWidth="1" style="122" min="3" max="11"/>
    <col width="28" customWidth="1" style="122" min="12" max="12"/>
    <col width="28" customWidth="1" style="122" min="13" max="13"/>
    <col width="28" customWidth="1" style="122" min="14" max="14"/>
  </cols>
  <sheetData>
    <row r="1" ht="36" customHeight="1" s="122">
      <c r="A1" s="121" t="inlineStr">
        <is>
          <t>SMPL · Variance Commentary · June 2026</t>
        </is>
      </c>
    </row>
    <row r="2" ht="24" customHeight="1" s="122">
      <c r="A2" s="74" t="inlineStr">
        <is>
          <t>Category</t>
        </is>
      </c>
      <c r="B2" s="74" t="inlineStr">
        <is>
          <t>Metric</t>
        </is>
      </c>
      <c r="C2" s="74" t="inlineStr">
        <is>
          <t>June Actual</t>
        </is>
      </c>
      <c r="D2" s="74" t="inlineStr">
        <is>
          <t>June Budget</t>
        </is>
      </c>
      <c r="E2" s="74" t="inlineStr">
        <is>
          <t>June Var</t>
        </is>
      </c>
      <c r="F2" s="74" t="inlineStr">
        <is>
          <t>Q2 Actual</t>
        </is>
      </c>
      <c r="G2" s="74" t="inlineStr">
        <is>
          <t>Q2 Budget</t>
        </is>
      </c>
      <c r="H2" s="74" t="inlineStr">
        <is>
          <t>Q2 Var</t>
        </is>
      </c>
      <c r="I2" s="74" t="inlineStr">
        <is>
          <t>YTD Actual</t>
        </is>
      </c>
      <c r="J2" s="74" t="inlineStr">
        <is>
          <t>YTD Budget</t>
        </is>
      </c>
      <c r="K2" s="74" t="inlineStr">
        <is>
          <t>YTD Var</t>
        </is>
      </c>
      <c r="L2" s="74" t="inlineStr">
        <is>
          <t>Period vs Budget Commentary</t>
        </is>
      </c>
      <c r="M2" s="74" t="inlineStr">
        <is>
          <t>QTD vs Budget Commentary</t>
        </is>
      </c>
      <c r="N2" s="74" t="inlineStr">
        <is>
          <t>YTD vs Budget Commentary</t>
        </is>
      </c>
    </row>
    <row r="3" ht="55" customHeight="1" s="122">
      <c r="A3" s="75" t="inlineStr">
        <is>
          <t>ARR</t>
        </is>
      </c>
      <c r="B3" s="75" t="inlineStr">
        <is>
          <t>Ending ARR</t>
        </is>
      </c>
      <c r="C3" s="163" t="n">
        <v>85.31</v>
      </c>
      <c r="D3" s="163" t="n">
        <v>84.89</v>
      </c>
      <c r="E3" s="164" t="n">
        <v>0.4131</v>
      </c>
      <c r="F3" s="165" t="n">
        <v>85.31</v>
      </c>
      <c r="G3" s="165" t="n">
        <v>84.89</v>
      </c>
      <c r="H3" s="166" t="n">
        <v>0.4131</v>
      </c>
      <c r="I3" s="165" t="n">
        <v>85.31</v>
      </c>
      <c r="J3" s="165" t="n">
        <v>84.89</v>
      </c>
      <c r="K3" s="166" t="n">
        <v>0.4131</v>
      </c>
      <c r="L3" s="167" t="inlineStr"/>
      <c r="M3" s="167" t="inlineStr"/>
      <c r="N3" s="167" t="inlineStr"/>
    </row>
    <row r="4" ht="55" customHeight="1" s="122">
      <c r="A4" s="76" t="inlineStr">
        <is>
          <t>ARR</t>
        </is>
      </c>
      <c r="B4" s="76" t="inlineStr">
        <is>
          <t>Net New ARR</t>
        </is>
      </c>
      <c r="C4" s="163" t="n">
        <v>1.68</v>
      </c>
      <c r="D4" s="163" t="n">
        <v>1.77</v>
      </c>
      <c r="E4" s="163" t="n">
        <v>-0.0842</v>
      </c>
      <c r="F4" s="165" t="n">
        <v>5.13</v>
      </c>
      <c r="G4" s="165" t="n">
        <v>5.08</v>
      </c>
      <c r="H4" s="166" t="n">
        <v>0.0538</v>
      </c>
      <c r="I4" s="165" t="n">
        <v>9.18</v>
      </c>
      <c r="J4" s="165" t="n">
        <v>8.970000000000001</v>
      </c>
      <c r="K4" s="166" t="n">
        <v>0.2158</v>
      </c>
      <c r="L4" s="167" t="inlineStr"/>
      <c r="M4" s="167" t="inlineStr"/>
      <c r="N4" s="167" t="inlineStr"/>
    </row>
    <row r="5" ht="55" customHeight="1" s="122">
      <c r="A5" s="75" t="inlineStr">
        <is>
          <t>Revenue</t>
        </is>
      </c>
      <c r="B5" s="75" t="inlineStr">
        <is>
          <t>Revenue</t>
        </is>
      </c>
      <c r="C5" s="163" t="n">
        <v>7.35</v>
      </c>
      <c r="D5" s="163" t="n">
        <v>7.72</v>
      </c>
      <c r="E5" s="163" t="n">
        <v>-0.3675</v>
      </c>
      <c r="F5" s="165" t="n">
        <v>21.05</v>
      </c>
      <c r="G5" s="165" t="n">
        <v>22.1</v>
      </c>
      <c r="H5" s="165" t="n">
        <v>-1.05</v>
      </c>
      <c r="I5" s="165" t="n">
        <v>39.45</v>
      </c>
      <c r="J5" s="165" t="n">
        <v>41.42</v>
      </c>
      <c r="K5" s="165" t="n">
        <v>-1.97</v>
      </c>
      <c r="L5" s="167" t="inlineStr"/>
      <c r="M5" s="167" t="inlineStr"/>
      <c r="N5" s="167" t="inlineStr"/>
    </row>
    <row r="6" ht="55" customHeight="1" s="122">
      <c r="A6" s="76" t="inlineStr">
        <is>
          <t>Revenue</t>
        </is>
      </c>
      <c r="B6" s="76" t="inlineStr">
        <is>
          <t>Gross Margin %</t>
        </is>
      </c>
      <c r="C6" s="168" t="n">
        <v>0.7</v>
      </c>
      <c r="D6" s="168" t="n">
        <v>0.7</v>
      </c>
      <c r="E6" s="168" t="inlineStr">
        <is>
          <t>+9bps</t>
        </is>
      </c>
      <c r="F6" s="169" t="n">
        <v>0.707</v>
      </c>
      <c r="G6" s="169" t="n">
        <v>0.707</v>
      </c>
      <c r="H6" s="169" t="inlineStr">
        <is>
          <t>+8bps</t>
        </is>
      </c>
      <c r="I6" s="169" t="n">
        <v>0.708</v>
      </c>
      <c r="J6" s="169" t="n">
        <v>0.708</v>
      </c>
      <c r="K6" s="169" t="inlineStr">
        <is>
          <t>+2bps</t>
        </is>
      </c>
      <c r="L6" s="167" t="inlineStr"/>
      <c r="M6" s="167" t="inlineStr"/>
      <c r="N6" s="167" t="inlineStr"/>
    </row>
    <row r="7" ht="55" customHeight="1" s="122">
      <c r="A7" s="75" t="inlineStr">
        <is>
          <t>P&amp;L</t>
        </is>
      </c>
      <c r="B7" s="75" t="inlineStr">
        <is>
          <t>EBITDA</t>
        </is>
      </c>
      <c r="C7" s="164" t="n">
        <v>0.6615</v>
      </c>
      <c r="D7" s="164" t="n">
        <v>0.6475</v>
      </c>
      <c r="E7" s="164" t="n">
        <v>0.014</v>
      </c>
      <c r="F7" s="165" t="n">
        <v>2.03</v>
      </c>
      <c r="G7" s="165" t="n">
        <v>2</v>
      </c>
      <c r="H7" s="166" t="n">
        <v>0.0333</v>
      </c>
      <c r="I7" s="165" t="n">
        <v>3.87</v>
      </c>
      <c r="J7" s="165" t="n">
        <v>3.81</v>
      </c>
      <c r="K7" s="166" t="n">
        <v>0.0591</v>
      </c>
      <c r="L7" s="167" t="inlineStr"/>
      <c r="M7" s="167" t="inlineStr"/>
      <c r="N7" s="167" t="inlineStr"/>
    </row>
    <row r="8" ht="55" customHeight="1" s="122">
      <c r="A8" s="76" t="inlineStr">
        <is>
          <t>GTM</t>
        </is>
      </c>
      <c r="B8" s="76" t="inlineStr">
        <is>
          <t>S&amp;M / Pipeline</t>
        </is>
      </c>
      <c r="C8" s="163" t="n">
        <v>2.5</v>
      </c>
      <c r="D8" s="163" t="n">
        <v>2.65</v>
      </c>
      <c r="E8" s="163" t="n">
        <v>-0.1512</v>
      </c>
      <c r="F8" s="165" t="n">
        <v>7.16</v>
      </c>
      <c r="G8" s="165" t="n">
        <v>7.59</v>
      </c>
      <c r="H8" s="165" t="n">
        <v>-0.433</v>
      </c>
      <c r="I8" s="165" t="n">
        <v>13.41</v>
      </c>
      <c r="J8" s="165" t="n">
        <v>14.22</v>
      </c>
      <c r="K8" s="165" t="n">
        <v>-0.8115</v>
      </c>
      <c r="L8" s="167" t="inlineStr"/>
      <c r="M8" s="167" t="inlineStr"/>
      <c r="N8" s="167" t="inlineStr"/>
    </row>
    <row r="9" ht="55" customHeight="1" s="122">
      <c r="A9" s="75" t="inlineStr">
        <is>
          <t>Cash</t>
        </is>
      </c>
      <c r="B9" s="75" t="inlineStr">
        <is>
          <t>Ending Cash</t>
        </is>
      </c>
      <c r="C9" s="163" t="n">
        <v>48.43</v>
      </c>
      <c r="D9" s="163" t="n">
        <v>31.46</v>
      </c>
      <c r="E9" s="164" t="n">
        <v>16.98</v>
      </c>
      <c r="F9" s="165" t="n">
        <v>48.43</v>
      </c>
      <c r="G9" s="165" t="n">
        <v>31.46</v>
      </c>
      <c r="H9" s="166" t="n">
        <v>16.98</v>
      </c>
      <c r="I9" s="165" t="n">
        <v>48.43</v>
      </c>
      <c r="J9" s="165" t="n">
        <v>31.46</v>
      </c>
      <c r="K9" s="166" t="n">
        <v>16.98</v>
      </c>
      <c r="L9" s="167" t="inlineStr"/>
      <c r="M9" s="167" t="inlineStr"/>
      <c r="N9" s="167" t="inlineStr"/>
    </row>
    <row r="10" ht="55" customHeight="1" s="122">
      <c r="A10" s="76" t="inlineStr">
        <is>
          <t>Headcount</t>
        </is>
      </c>
      <c r="B10" s="76" t="inlineStr">
        <is>
          <t>Total HC</t>
        </is>
      </c>
      <c r="C10" s="170" t="n">
        <v>0</v>
      </c>
      <c r="D10" s="170" t="n">
        <v>12</v>
      </c>
      <c r="E10" s="170" t="n">
        <v>-12</v>
      </c>
      <c r="F10" s="171" t="n">
        <v>0</v>
      </c>
      <c r="G10" s="171" t="n">
        <v>12</v>
      </c>
      <c r="H10" s="171" t="n">
        <v>-12</v>
      </c>
      <c r="I10" s="171" t="n">
        <v>0</v>
      </c>
      <c r="J10" s="171" t="n">
        <v>12</v>
      </c>
      <c r="K10" s="171" t="n">
        <v>-12</v>
      </c>
      <c r="L10" s="167" t="inlineStr"/>
      <c r="M10" s="167" t="inlineStr"/>
      <c r="N10" s="167" t="inlineStr"/>
    </row>
  </sheetData>
  <mergeCells count="1">
    <mergeCell ref="A1:N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:H1"/>
    </sheetView>
  </sheetViews>
  <sheetFormatPr baseColWidth="8" defaultRowHeight="14.5"/>
  <cols>
    <col width="8" customWidth="1" style="122" min="1" max="1"/>
    <col width="11" customWidth="1" style="122" min="2" max="2"/>
    <col width="9" customWidth="1" style="122" min="3" max="3"/>
    <col width="55" customWidth="1" style="122" min="4" max="4"/>
    <col width="11" customWidth="1" style="122" min="5" max="5"/>
    <col width="45" customWidth="1" style="122" min="6" max="6"/>
  </cols>
  <sheetData>
    <row r="1" ht="36" customHeight="1" s="122">
      <c r="A1" s="101" t="inlineStr">
        <is>
          <t>SMPL · Risks &amp; Opportunities · Board Decision Matrix · June 2026</t>
        </is>
      </c>
    </row>
    <row r="2">
      <c r="A2" s="32" t="inlineStr">
        <is>
          <t>Type</t>
        </is>
      </c>
      <c r="B2" s="32" t="inlineStr">
        <is>
          <t>Category</t>
        </is>
      </c>
      <c r="C2" s="32" t="inlineStr">
        <is>
          <t>Impact</t>
        </is>
      </c>
      <c r="D2" s="32" t="inlineStr">
        <is>
          <t>Risk / Opportunity Description</t>
        </is>
      </c>
      <c r="E2" s="32" t="inlineStr">
        <is>
          <t>Probability</t>
        </is>
      </c>
      <c r="F2" s="32" t="inlineStr">
        <is>
          <t>Recommended Action</t>
        </is>
      </c>
    </row>
    <row r="3" ht="60" customHeight="1" s="122">
      <c r="A3" s="116" t="inlineStr">
        <is>
          <t>RISK</t>
        </is>
      </c>
      <c r="B3" s="116" t="inlineStr">
        <is>
          <t>GTM</t>
        </is>
      </c>
      <c r="C3" s="116" t="inlineStr">
        <is>
          <t>HIGH</t>
        </is>
      </c>
      <c r="D3" s="79" t="inlineStr"/>
      <c r="E3" s="116" t="inlineStr">
        <is>
          <t>HIGH</t>
        </is>
      </c>
      <c r="F3" s="79" t="inlineStr"/>
    </row>
    <row r="4" ht="60" customHeight="1" s="122">
      <c r="A4" s="116" t="inlineStr">
        <is>
          <t>RISK</t>
        </is>
      </c>
      <c r="B4" s="116" t="inlineStr">
        <is>
          <t>Retention</t>
        </is>
      </c>
      <c r="C4" s="116" t="inlineStr">
        <is>
          <t>HIGH</t>
        </is>
      </c>
      <c r="D4" s="79" t="inlineStr"/>
      <c r="E4" s="116" t="inlineStr">
        <is>
          <t>HIGH</t>
        </is>
      </c>
      <c r="F4" s="79" t="inlineStr"/>
    </row>
    <row r="5" ht="60" customHeight="1" s="122">
      <c r="A5" s="116" t="inlineStr">
        <is>
          <t>RISK</t>
        </is>
      </c>
      <c r="B5" s="116" t="inlineStr">
        <is>
          <t>Pipeline</t>
        </is>
      </c>
      <c r="C5" s="116" t="inlineStr">
        <is>
          <t>MEDIUM</t>
        </is>
      </c>
      <c r="D5" s="79" t="inlineStr"/>
      <c r="E5" s="116" t="inlineStr">
        <is>
          <t>MEDIUM</t>
        </is>
      </c>
      <c r="F5" s="79" t="inlineStr"/>
    </row>
    <row r="6" ht="60" customHeight="1" s="122">
      <c r="A6" s="116" t="inlineStr">
        <is>
          <t>RISK</t>
        </is>
      </c>
      <c r="B6" s="116" t="inlineStr">
        <is>
          <t>Cash</t>
        </is>
      </c>
      <c r="C6" s="116" t="inlineStr">
        <is>
          <t>LOW</t>
        </is>
      </c>
      <c r="D6" s="79" t="inlineStr"/>
      <c r="E6" s="116" t="inlineStr">
        <is>
          <t>LOW</t>
        </is>
      </c>
      <c r="F6" s="79" t="inlineStr"/>
    </row>
    <row r="7" ht="60" customHeight="1" s="122">
      <c r="A7" s="112" t="inlineStr">
        <is>
          <t>OPP</t>
        </is>
      </c>
      <c r="B7" s="112" t="inlineStr">
        <is>
          <t>GTM</t>
        </is>
      </c>
      <c r="C7" s="112" t="inlineStr">
        <is>
          <t>HIGH</t>
        </is>
      </c>
      <c r="D7" s="80" t="inlineStr"/>
      <c r="E7" s="112" t="inlineStr">
        <is>
          <t>HIGH</t>
        </is>
      </c>
      <c r="F7" s="80" t="inlineStr"/>
    </row>
    <row r="8" ht="60" customHeight="1" s="122">
      <c r="A8" s="112" t="inlineStr">
        <is>
          <t>OPP</t>
        </is>
      </c>
      <c r="B8" s="112" t="inlineStr">
        <is>
          <t>ARR</t>
        </is>
      </c>
      <c r="C8" s="112" t="inlineStr">
        <is>
          <t>HIGH</t>
        </is>
      </c>
      <c r="D8" s="80" t="inlineStr"/>
      <c r="E8" s="112" t="inlineStr">
        <is>
          <t>HIGH</t>
        </is>
      </c>
      <c r="F8" s="80" t="inlineStr"/>
    </row>
    <row r="9" ht="60" customHeight="1" s="122">
      <c r="A9" s="112" t="inlineStr">
        <is>
          <t>OPP</t>
        </is>
      </c>
      <c r="B9" s="112" t="inlineStr">
        <is>
          <t>Margin</t>
        </is>
      </c>
      <c r="C9" s="112" t="inlineStr">
        <is>
          <t>MEDIUM</t>
        </is>
      </c>
      <c r="D9" s="80" t="inlineStr"/>
      <c r="E9" s="112" t="inlineStr">
        <is>
          <t>MEDIUM</t>
        </is>
      </c>
      <c r="F9" s="80" t="inlineStr"/>
    </row>
    <row r="10" ht="50" customHeight="1" s="122">
      <c r="A10" s="112" t="inlineStr">
        <is>
          <t>OPP</t>
        </is>
      </c>
      <c r="B10" s="47" t="inlineStr">
        <is>
          <t>Cash</t>
        </is>
      </c>
      <c r="C10" s="112" t="inlineStr">
        <is>
          <t>MEDIUM</t>
        </is>
      </c>
      <c r="D10" s="80" t="inlineStr"/>
      <c r="E10" s="112" t="inlineStr">
        <is>
          <t>MEDIUM</t>
        </is>
      </c>
      <c r="F10" s="80" t="inlineStr"/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:D1"/>
    </sheetView>
  </sheetViews>
  <sheetFormatPr baseColWidth="8" defaultRowHeight="14.5"/>
  <cols>
    <col width="32" customWidth="1" style="122" min="1" max="1"/>
    <col width="55" customWidth="1" style="122" min="2" max="2"/>
    <col width="30" customWidth="1" style="122" min="3" max="3"/>
    <col width="13.1796875" bestFit="1" customWidth="1" style="122" min="4" max="4"/>
  </cols>
  <sheetData>
    <row r="1" ht="36" customHeight="1" s="122">
      <c r="A1" s="124" t="inlineStr">
        <is>
          <t xml:space="preserve">  ClarityFP · Assumptions, Color Legend &amp; Data Sources</t>
        </is>
      </c>
      <c r="B1" s="172" t="n"/>
      <c r="C1" s="172" t="n"/>
      <c r="D1" s="172" t="n"/>
    </row>
    <row r="2">
      <c r="A2" s="32" t="inlineStr">
        <is>
          <t>Item</t>
        </is>
      </c>
      <c r="B2" s="32" t="inlineStr">
        <is>
          <t>Description</t>
        </is>
      </c>
      <c r="C2" s="32" t="inlineStr">
        <is>
          <t>Source</t>
        </is>
      </c>
      <c r="D2" s="32" t="inlineStr">
        <is>
          <t>Date</t>
        </is>
      </c>
    </row>
    <row r="3" ht="18" customHeight="1" s="122">
      <c r="A3" s="50" t="inlineStr">
        <is>
          <t>COLUMN COLOR CODING</t>
        </is>
      </c>
      <c r="B3" s="50" t="n"/>
      <c r="C3" s="50" t="n"/>
      <c r="D3" s="50" t="n"/>
    </row>
    <row r="4" ht="18" customHeight="1" s="122">
      <c r="A4" s="51" t="inlineStr">
        <is>
          <t>Blue column background</t>
        </is>
      </c>
      <c r="B4" s="51" t="inlineStr">
        <is>
          <t>Actual periods (Jan–May 2026)</t>
        </is>
      </c>
      <c r="C4" s="51" t="inlineStr">
        <is>
          <t>Convention</t>
        </is>
      </c>
      <c r="D4" s="51" t="inlineStr">
        <is>
          <t>—</t>
        </is>
      </c>
    </row>
    <row r="5" ht="18" customHeight="1" s="122">
      <c r="A5" s="52" t="inlineStr">
        <is>
          <t>Yellow column</t>
        </is>
      </c>
      <c r="B5" s="52" t="inlineStr">
        <is>
          <t>Jun Actual placeholder — user input</t>
        </is>
      </c>
      <c r="C5" s="52" t="inlineStr">
        <is>
          <t>Convention</t>
        </is>
      </c>
      <c r="D5" s="52" t="inlineStr">
        <is>
          <t>—</t>
        </is>
      </c>
    </row>
    <row r="6" ht="18" customHeight="1" s="122">
      <c r="A6" s="51" t="inlineStr">
        <is>
          <t>Amber column background</t>
        </is>
      </c>
      <c r="B6" s="51" t="inlineStr">
        <is>
          <t>Forecast periods (Jul–Dec 2026)</t>
        </is>
      </c>
      <c r="C6" s="51" t="inlineStr">
        <is>
          <t>Convention</t>
        </is>
      </c>
      <c r="D6" s="51" t="inlineStr">
        <is>
          <t>—</t>
        </is>
      </c>
    </row>
    <row r="7" ht="18" customHeight="1" s="122">
      <c r="A7" s="50" t="inlineStr">
        <is>
          <t>INPUT COLOR CODING</t>
        </is>
      </c>
      <c r="B7" s="50" t="n"/>
      <c r="C7" s="50" t="n"/>
      <c r="D7" s="50" t="n"/>
    </row>
    <row r="8" ht="18" customHeight="1" s="122">
      <c r="A8" s="53" t="inlineStr">
        <is>
          <t>Blue text</t>
        </is>
      </c>
      <c r="B8" s="53" t="inlineStr">
        <is>
          <t>Hardcoded input / source data from CSV actuals</t>
        </is>
      </c>
      <c r="C8" s="53" t="inlineStr">
        <is>
          <t>Industry convention</t>
        </is>
      </c>
      <c r="D8" s="53" t="inlineStr">
        <is>
          <t>—</t>
        </is>
      </c>
    </row>
    <row r="9" ht="18" customHeight="1" s="122">
      <c r="A9" s="52" t="inlineStr">
        <is>
          <t>Black text</t>
        </is>
      </c>
      <c r="B9" s="52" t="inlineStr">
        <is>
          <t>Formula-calculated values</t>
        </is>
      </c>
      <c r="C9" s="52" t="inlineStr">
        <is>
          <t>Industry convention</t>
        </is>
      </c>
      <c r="D9" s="52" t="inlineStr">
        <is>
          <t>—</t>
        </is>
      </c>
    </row>
    <row r="10" ht="18" customHeight="1" s="122">
      <c r="A10" s="54" t="inlineStr">
        <is>
          <t>Green text</t>
        </is>
      </c>
      <c r="B10" s="54" t="inlineStr">
        <is>
          <t>Favorable budget variance</t>
        </is>
      </c>
      <c r="C10" s="54" t="inlineStr">
        <is>
          <t>Industry convention</t>
        </is>
      </c>
      <c r="D10" s="54" t="inlineStr">
        <is>
          <t>—</t>
        </is>
      </c>
    </row>
    <row r="11" ht="18" customHeight="1" s="122">
      <c r="A11" s="55" t="inlineStr">
        <is>
          <t>Red text</t>
        </is>
      </c>
      <c r="B11" s="55" t="inlineStr">
        <is>
          <t>Unfavorable budget variance</t>
        </is>
      </c>
      <c r="C11" s="55" t="inlineStr">
        <is>
          <t>Industry convention</t>
        </is>
      </c>
      <c r="D11" s="55" t="inlineStr">
        <is>
          <t>—</t>
        </is>
      </c>
    </row>
    <row r="12" ht="18" customHeight="1" s="122">
      <c r="A12" s="50" t="inlineStr">
        <is>
          <t>LAYOUT STRUCTURE</t>
        </is>
      </c>
      <c r="B12" s="50" t="n"/>
      <c r="C12" s="50" t="n"/>
      <c r="D12" s="50" t="n"/>
    </row>
    <row r="13" ht="18" customHeight="1" s="122">
      <c r="A13" s="52" t="inlineStr">
        <is>
          <t>Jan–May columns</t>
        </is>
      </c>
      <c r="B13" s="52" t="inlineStr">
        <is>
          <t>Actual closed periods from CSV data</t>
        </is>
      </c>
      <c r="C13" s="52" t="inlineStr">
        <is>
          <t>Actual_*.csv files</t>
        </is>
      </c>
      <c r="D13" s="52" t="inlineStr">
        <is>
          <t>May 2026</t>
        </is>
      </c>
    </row>
    <row r="14" ht="18" customHeight="1" s="122">
      <c r="A14" s="51" t="inlineStr">
        <is>
          <t>Jun column (yellow)</t>
        </is>
      </c>
      <c r="B14" s="51" t="inlineStr">
        <is>
          <t>Placeholder — enter when June closes</t>
        </is>
      </c>
      <c r="C14" s="51" t="inlineStr">
        <is>
          <t>User input</t>
        </is>
      </c>
      <c r="D14" s="51" t="inlineStr">
        <is>
          <t>Jun 2026</t>
        </is>
      </c>
    </row>
    <row r="15" ht="18" customHeight="1" s="122">
      <c r="A15" s="52" t="inlineStr">
        <is>
          <t>Jul–Dec columns</t>
        </is>
      </c>
      <c r="B15" s="52" t="inlineStr">
        <is>
          <t>Forecast sourced from Forecast_*.csv</t>
        </is>
      </c>
      <c r="C15" s="52" t="inlineStr">
        <is>
          <t>Forecast_*.csv files</t>
        </is>
      </c>
      <c r="D15" s="52" t="inlineStr">
        <is>
          <t>May 2026</t>
        </is>
      </c>
    </row>
    <row r="16" ht="18" customHeight="1" s="122">
      <c r="A16" s="51" t="inlineStr">
        <is>
          <t>Q1 / Q2 Actual subtotals</t>
        </is>
      </c>
      <c r="B16" s="51" t="inlineStr">
        <is>
          <t>Sum/avg of actual periods in each quarter</t>
        </is>
      </c>
      <c r="C16" s="51" t="inlineStr">
        <is>
          <t>Computed</t>
        </is>
      </c>
      <c r="D16" s="51" t="inlineStr">
        <is>
          <t>Ongoing</t>
        </is>
      </c>
    </row>
    <row r="17" ht="18" customHeight="1" s="122">
      <c r="A17" s="52" t="inlineStr">
        <is>
          <t>H1 Act+FC subtotal</t>
        </is>
      </c>
      <c r="B17" s="52" t="inlineStr">
        <is>
          <t>Jan–May actual (Jun treated as open)</t>
        </is>
      </c>
      <c r="C17" s="52" t="inlineStr">
        <is>
          <t>Computed</t>
        </is>
      </c>
      <c r="D17" s="52" t="inlineStr">
        <is>
          <t>Ongoing</t>
        </is>
      </c>
    </row>
    <row r="18" ht="18" customHeight="1" s="122">
      <c r="A18" s="51" t="inlineStr">
        <is>
          <t>FY Act+FC subtotal</t>
        </is>
      </c>
      <c r="B18" s="51" t="inlineStr">
        <is>
          <t>Jan–May actual + Jun–Dec forecast</t>
        </is>
      </c>
      <c r="C18" s="51" t="inlineStr">
        <is>
          <t>Computed</t>
        </is>
      </c>
      <c r="D18" s="51" t="inlineStr">
        <is>
          <t>Full year 2026</t>
        </is>
      </c>
    </row>
    <row r="19" ht="18" customHeight="1" s="122">
      <c r="A19" s="52" t="inlineStr">
        <is>
          <t>FY Budget subtotal</t>
        </is>
      </c>
      <c r="B19" s="52" t="inlineStr">
        <is>
          <t>Full-year 2026 approved operating plan</t>
        </is>
      </c>
      <c r="C19" s="52" t="inlineStr">
        <is>
          <t>Budget_*.csv files</t>
        </is>
      </c>
      <c r="D19" s="52" t="inlineStr">
        <is>
          <t>Jan 2026</t>
        </is>
      </c>
    </row>
    <row r="20" ht="18" customHeight="1" s="122">
      <c r="A20" s="51" t="inlineStr">
        <is>
          <t>Variance columns</t>
        </is>
      </c>
      <c r="B20" s="51" t="inlineStr">
        <is>
          <t>Actual minus Budget (or FC vs Bud for FY)</t>
        </is>
      </c>
      <c r="C20" s="51" t="inlineStr">
        <is>
          <t>Computed</t>
        </is>
      </c>
      <c r="D20" s="51" t="inlineStr">
        <is>
          <t>Ongoing</t>
        </is>
      </c>
    </row>
    <row r="21" ht="18" customHeight="1" s="122">
      <c r="A21" s="50" t="inlineStr">
        <is>
          <t>DATA SOURCES</t>
        </is>
      </c>
      <c r="B21" s="50" t="n"/>
      <c r="C21" s="50" t="n"/>
      <c r="D21" s="50" t="n"/>
    </row>
    <row r="22" ht="18" customHeight="1" s="122">
      <c r="A22" s="51" t="inlineStr">
        <is>
          <t>Actual_MRR_Waterfall.csv</t>
        </is>
      </c>
      <c r="B22" s="51" t="inlineStr">
        <is>
          <t>ARR movement Jan–May 2026</t>
        </is>
      </c>
      <c r="C22" s="51" t="inlineStr">
        <is>
          <t>ClarityFP operational data</t>
        </is>
      </c>
      <c r="D22" s="51" t="inlineStr">
        <is>
          <t>May 2026</t>
        </is>
      </c>
    </row>
    <row r="23" ht="18" customHeight="1" s="122">
      <c r="A23" s="52" t="inlineStr">
        <is>
          <t>Forecast_mrr_waterfall.csv</t>
        </is>
      </c>
      <c r="B23" s="52" t="inlineStr">
        <is>
          <t>ARR forecast Jun–Dec 2026</t>
        </is>
      </c>
      <c r="C23" s="52" t="inlineStr">
        <is>
          <t>ClarityFP forecast model</t>
        </is>
      </c>
      <c r="D23" s="52" t="inlineStr">
        <is>
          <t>May 2026</t>
        </is>
      </c>
    </row>
    <row r="24" ht="18" customHeight="1" s="122">
      <c r="A24" s="51" t="inlineStr">
        <is>
          <t>Budget_MRR_Waterfall.csv</t>
        </is>
      </c>
      <c r="B24" s="51" t="inlineStr">
        <is>
          <t>ARR budget full-year 2026</t>
        </is>
      </c>
      <c r="C24" s="51" t="inlineStr">
        <is>
          <t>Approved FY2026 plan</t>
        </is>
      </c>
      <c r="D24" s="51" t="inlineStr">
        <is>
          <t>Jan 2026</t>
        </is>
      </c>
    </row>
    <row r="25" ht="18" customHeight="1" s="122">
      <c r="A25" s="52" t="inlineStr">
        <is>
          <t>Actual_income_statement.csv</t>
        </is>
      </c>
      <c r="B25" s="52" t="inlineStr">
        <is>
          <t>GAAP P&amp;L Jan–May 2026</t>
        </is>
      </c>
      <c r="C25" s="52" t="inlineStr">
        <is>
          <t>ClarityFP operational data</t>
        </is>
      </c>
      <c r="D25" s="52" t="inlineStr">
        <is>
          <t>May 2026</t>
        </is>
      </c>
    </row>
    <row r="26" ht="18" customHeight="1" s="122">
      <c r="A26" s="51" t="inlineStr">
        <is>
          <t>Forecast_income_statement.csv</t>
        </is>
      </c>
      <c r="B26" s="51" t="inlineStr">
        <is>
          <t>P&amp;L forecast Jun–Dec 2026</t>
        </is>
      </c>
      <c r="C26" s="51" t="inlineStr">
        <is>
          <t>ClarityFP forecast model</t>
        </is>
      </c>
      <c r="D26" s="51" t="inlineStr">
        <is>
          <t>May 2026</t>
        </is>
      </c>
    </row>
    <row r="27" ht="18" customHeight="1" s="122">
      <c r="A27" s="52" t="inlineStr">
        <is>
          <t>Budget_income_statement.csv</t>
        </is>
      </c>
      <c r="B27" s="52" t="inlineStr">
        <is>
          <t>P&amp;L budget full-year 2026</t>
        </is>
      </c>
      <c r="C27" s="52" t="inlineStr">
        <is>
          <t>Approved FY2026 plan</t>
        </is>
      </c>
      <c r="D27" s="52" t="inlineStr">
        <is>
          <t>Jan 2026</t>
        </is>
      </c>
    </row>
    <row r="28" ht="18" customHeight="1" s="122">
      <c r="A28" s="51" t="inlineStr">
        <is>
          <t>Actual_cash_flow_bridge.csv</t>
        </is>
      </c>
      <c r="B28" s="51" t="inlineStr">
        <is>
          <t>Cash bridge Jan–May 2026</t>
        </is>
      </c>
      <c r="C28" s="51" t="inlineStr">
        <is>
          <t>ClarityFP operational data</t>
        </is>
      </c>
      <c r="D28" s="51" t="inlineStr">
        <is>
          <t>May 2026</t>
        </is>
      </c>
    </row>
    <row r="29" ht="18" customHeight="1" s="122">
      <c r="A29" s="52" t="inlineStr">
        <is>
          <t>Forecast_cash_flow_bridge.csv</t>
        </is>
      </c>
      <c r="B29" s="52" t="inlineStr">
        <is>
          <t>Cash forecast Jun–Dec 2026</t>
        </is>
      </c>
      <c r="C29" s="52" t="inlineStr">
        <is>
          <t>ClarityFP forecast model</t>
        </is>
      </c>
      <c r="D29" s="52" t="inlineStr">
        <is>
          <t>May 2026</t>
        </is>
      </c>
    </row>
    <row r="30" ht="18" customHeight="1" s="122">
      <c r="A30" s="51" t="inlineStr">
        <is>
          <t>Budget_cash_flow_bridge.csv</t>
        </is>
      </c>
      <c r="B30" s="51" t="inlineStr">
        <is>
          <t>Cash budget full-year 2026</t>
        </is>
      </c>
      <c r="C30" s="51" t="inlineStr">
        <is>
          <t>Approved FY2026 plan</t>
        </is>
      </c>
      <c r="D30" s="51" t="inlineStr">
        <is>
          <t>Jan 2026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2026-05-22T01:55:08Z</dcterms:created>
  <dcterms:modified xmlns:dcterms="http://purl.org/dc/terms/" xmlns:xsi="http://www.w3.org/2001/XMLSchema-instance" xsi:type="dcterms:W3CDTF">2026-06-29T16:27:17Z</dcterms:modified>
  <cp:lastModifiedBy>Matt Justice</cp:lastModifiedBy>
</cp:coreProperties>
</file>