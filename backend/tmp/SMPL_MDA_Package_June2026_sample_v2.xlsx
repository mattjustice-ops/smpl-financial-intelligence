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-740" windowWidth="25640" windowHeight="14100" tabRatio="600" firstSheet="0" activeTab="0" autoFilterDateGrouping="1"/>
  </bookViews>
  <sheets>
    <sheet xmlns:r="http://schemas.openxmlformats.org/officeDocument/2006/relationships" name="Q2 vs Budget" sheetId="1" state="visible" r:id="rId1"/>
    <sheet xmlns:r="http://schemas.openxmlformats.org/officeDocument/2006/relationships" name="ARR Waterfal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orecas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GTM Review" sheetId="6" state="visible" r:id="rId6"/>
    <sheet xmlns:r="http://schemas.openxmlformats.org/officeDocument/2006/relationships" name="Headcount" sheetId="7" state="visible" r:id="rId7"/>
    <sheet xmlns:r="http://schemas.openxmlformats.org/officeDocument/2006/relationships" name="Variance Commentary" sheetId="8" state="visible" r:id="rId8"/>
    <sheet xmlns:r="http://schemas.openxmlformats.org/officeDocument/2006/relationships" name="Risks &amp; Opportunities" sheetId="9" state="visible" r:id="rId9"/>
    <sheet xmlns:r="http://schemas.openxmlformats.org/officeDocument/2006/relationships" name="Assumptions &amp; Legend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\$#,##0.0;\(\$#,##0.0\);&quot;-&quot;"/>
    <numFmt numFmtId="165" formatCode="\+\$#,##0.0;\(\$#,##0.0\);&quot;-&quot;"/>
    <numFmt numFmtId="166" formatCode="\+0.0%;\(0.0%\);&quot;-&quot;"/>
    <numFmt numFmtId="167" formatCode="0.0%;\(0.0%\);&quot;-&quot;"/>
    <numFmt numFmtId="168" formatCode="\$#,##0.00"/>
    <numFmt numFmtId="169" formatCode="\$#,##0.00;&quot;-&quot;"/>
    <numFmt numFmtId="170" formatCode="0.0\x"/>
    <numFmt numFmtId="171" formatCode="#,##0.00&quot;M&quot;"/>
    <numFmt numFmtId="172" formatCode="\+#,##0.00&quot;M&quot;;\-#,##0.00&quot;M&quot;;&quot;—&quot;"/>
    <numFmt numFmtId="173" formatCode="0.0%"/>
    <numFmt numFmtId="174" formatCode="\+0.0%;\-0.0%;0.0%"/>
  </numFmts>
  <fonts count="7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1B4F72"/>
      <sz val="8"/>
    </font>
    <font>
      <name val="Arial"/>
      <b val="1"/>
      <color rgb="FF92400E"/>
      <sz val="8"/>
    </font>
    <font>
      <name val="Arial"/>
      <b val="1"/>
      <color rgb="FF0F6E56"/>
      <sz val="8"/>
    </font>
    <font>
      <name val="Arial"/>
      <b val="1"/>
      <color rgb="FF374151"/>
      <sz val="8"/>
    </font>
    <font>
      <name val="Arial"/>
      <b val="1"/>
      <color rgb="FF1E293B"/>
      <sz val="10"/>
    </font>
    <font>
      <name val="Arial"/>
      <b val="1"/>
      <color rgb="FF0000FF"/>
      <sz val="10"/>
    </font>
    <font>
      <name val="Arial"/>
      <b val="1"/>
      <color rgb="FF1B4F72"/>
      <sz val="10"/>
    </font>
    <font>
      <name val="Arial"/>
      <b val="1"/>
      <color rgb="FF0F6E56"/>
      <sz val="10"/>
    </font>
    <font>
      <name val="Arial"/>
      <b val="1"/>
      <color rgb="FFC0392B"/>
      <sz val="10"/>
    </font>
    <font>
      <name val="Arial"/>
      <color rgb="FFC0392B"/>
      <sz val="10"/>
    </font>
    <font>
      <name val="Arial"/>
      <i val="1"/>
      <color rgb="FF1E293B"/>
      <sz val="10"/>
    </font>
    <font>
      <name val="Arial"/>
      <color rgb="FF0000FF"/>
      <sz val="10"/>
    </font>
    <font>
      <name val="Arial"/>
      <color rgb="FF92400E"/>
      <sz val="10"/>
    </font>
    <font>
      <name val="Arial"/>
      <color rgb="FF1B4F72"/>
      <sz val="10"/>
    </font>
    <font>
      <name val="Arial"/>
      <color rgb="FF0F6E56"/>
      <sz val="10"/>
    </font>
    <font>
      <name val="Arial"/>
      <color rgb="FF16A34A"/>
      <sz val="10"/>
    </font>
    <font>
      <name val="Arial"/>
      <color rgb="FF475569"/>
      <sz val="10"/>
    </font>
    <font>
      <name val="Arial"/>
      <b val="1"/>
      <color rgb="FF16A34A"/>
      <sz val="10"/>
    </font>
    <font>
      <name val="Arial"/>
      <color rgb="FF1E293B"/>
      <sz val="10"/>
    </font>
    <font>
      <name val="Arial"/>
      <i val="1"/>
      <color rgb="FF94A3B8"/>
      <sz val="8"/>
    </font>
    <font>
      <name val="Arial"/>
      <b val="1"/>
      <color rgb="FF475569"/>
      <sz val="10"/>
    </font>
    <font>
      <name val="Arial"/>
      <b val="1"/>
      <color rgb="FFB45309"/>
      <sz val="10"/>
    </font>
    <font>
      <name val="Arial"/>
      <color rgb="FF1E293B"/>
      <sz val="9.5"/>
    </font>
    <font>
      <name val="Arial"/>
      <color rgb="FFC0392B"/>
      <sz val="9.5"/>
    </font>
    <font>
      <name val="Arial"/>
      <b val="1"/>
      <color rgb="FFFFFFFF"/>
      <sz val="9.5"/>
    </font>
    <font>
      <name val="Arial"/>
      <color rgb="FF0000FF"/>
      <sz val="9.5"/>
    </font>
    <font>
      <name val="Arial"/>
      <color rgb="FF16A34A"/>
      <sz val="9.5"/>
    </font>
    <font>
      <name val="Calibri"/>
      <color rgb="FF000000"/>
      <sz val="10"/>
    </font>
    <font>
      <name val="Calibri"/>
      <b val="1"/>
      <color rgb="FF1A2E44"/>
      <sz val="14"/>
    </font>
    <font>
      <name val="Calibri"/>
      <color rgb="FF888780"/>
      <sz val="9"/>
    </font>
    <font>
      <name val="Calibri"/>
      <b val="1"/>
      <color rgb="FF333333"/>
      <sz val="9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b val="1"/>
      <color rgb="FFD85A30"/>
      <sz val="10"/>
    </font>
    <font>
      <name val="Calibri"/>
      <b val="1"/>
      <color rgb="FF1D9E75"/>
      <sz val="10"/>
    </font>
    <font>
      <name val="Calibri"/>
      <color rgb="FF333333"/>
      <sz val="10"/>
    </font>
    <font>
      <name val="Calibri"/>
      <color rgb="FF1D9E75"/>
      <sz val="10"/>
    </font>
    <font>
      <name val="Calibri"/>
      <color rgb="FFD85A30"/>
      <sz val="10"/>
    </font>
    <font>
      <name val="Calibri"/>
      <b val="1"/>
      <color rgb="FFFFFFFF"/>
      <sz val="9"/>
    </font>
    <font>
      <name val="Calibri"/>
      <sz val="9"/>
    </font>
    <font>
      <name val="Calibri"/>
      <color rgb="FF1D9E75"/>
      <sz val="9"/>
    </font>
    <font>
      <name val="Calibri"/>
      <color rgb="FF888888"/>
      <sz val="10"/>
    </font>
    <font>
      <name val="Calibri"/>
      <sz val="10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0000"/>
      <sz val="10"/>
    </font>
    <font>
      <name val="Arial"/>
      <family val="2"/>
      <b val="1"/>
      <color rgb="FF92400E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B4F72"/>
      <sz val="10"/>
    </font>
    <font>
      <name val="Arial"/>
      <family val="2"/>
      <b val="1"/>
      <i val="1"/>
      <color rgb="FF1E293B"/>
      <sz val="10"/>
    </font>
    <font>
      <name val="Arial"/>
      <family val="2"/>
      <color rgb="FF0F6E56"/>
      <sz val="10"/>
    </font>
    <font>
      <name val="Arial"/>
      <family val="2"/>
      <b val="1"/>
      <color rgb="FF0F6E56"/>
      <sz val="10"/>
    </font>
    <font>
      <name val="Calibri"/>
      <family val="2"/>
      <b val="1"/>
      <color theme="0"/>
      <sz val="12"/>
    </font>
  </fonts>
  <fills count="60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B4F72"/>
      </patternFill>
    </fill>
    <fill>
      <patternFill patternType="solid">
        <fgColor rgb="FF92400E"/>
      </patternFill>
    </fill>
    <fill>
      <patternFill patternType="solid">
        <fgColor rgb="FF0F6E56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FFF1F0"/>
      </patternFill>
    </fill>
    <fill>
      <patternFill patternType="solid">
        <fgColor rgb="FF0D9488"/>
      </patternFill>
    </fill>
    <fill>
      <patternFill patternType="solid">
        <fgColor rgb="FFEEF9F7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1A2E4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B4F72"/>
      </patternFill>
    </fill>
    <fill>
      <patternFill patternType="solid">
        <fgColor rgb="FFEEF9F7"/>
      </patternFill>
    </fill>
    <fill>
      <patternFill patternType="solid">
        <fgColor rgb="FFF8FAFC"/>
      </patternFill>
    </fill>
    <fill>
      <patternFill patternType="solid">
        <fgColor rgb="FF0D9488"/>
      </patternFill>
    </fill>
    <fill>
      <patternFill patternType="solid">
        <fgColor rgb="FFFFF1F0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CBD5E1"/>
      </bottom>
      <diagonal/>
    </border>
  </borders>
  <cellStyleXfs count="43">
    <xf numFmtId="0" fontId="46" fillId="0" borderId="0"/>
    <xf numFmtId="9" fontId="46" fillId="0" borderId="0"/>
    <xf numFmtId="0" fontId="47" fillId="0" borderId="0"/>
    <xf numFmtId="0" fontId="48" fillId="0" borderId="4"/>
    <xf numFmtId="0" fontId="49" fillId="0" borderId="5"/>
    <xf numFmtId="0" fontId="50" fillId="0" borderId="6"/>
    <xf numFmtId="0" fontId="50" fillId="0" borderId="0"/>
    <xf numFmtId="0" fontId="51" fillId="29" borderId="0"/>
    <xf numFmtId="0" fontId="52" fillId="30" borderId="0"/>
    <xf numFmtId="0" fontId="53" fillId="31" borderId="0"/>
    <xf numFmtId="0" fontId="54" fillId="32" borderId="7"/>
    <xf numFmtId="0" fontId="55" fillId="33" borderId="8"/>
    <xf numFmtId="0" fontId="56" fillId="33" borderId="7"/>
    <xf numFmtId="0" fontId="57" fillId="0" borderId="9"/>
    <xf numFmtId="0" fontId="58" fillId="34" borderId="10"/>
    <xf numFmtId="0" fontId="59" fillId="0" borderId="0"/>
    <xf numFmtId="0" fontId="46" fillId="35" borderId="11"/>
    <xf numFmtId="0" fontId="60" fillId="0" borderId="0"/>
    <xf numFmtId="0" fontId="61" fillId="0" borderId="12"/>
    <xf numFmtId="0" fontId="62" fillId="36" borderId="0"/>
    <xf numFmtId="0" fontId="46" fillId="37" borderId="0"/>
    <xf numFmtId="0" fontId="46" fillId="38" borderId="0"/>
    <xf numFmtId="0" fontId="46" fillId="39" borderId="0"/>
    <xf numFmtId="0" fontId="62" fillId="40" borderId="0"/>
    <xf numFmtId="0" fontId="46" fillId="41" borderId="0"/>
    <xf numFmtId="0" fontId="46" fillId="42" borderId="0"/>
    <xf numFmtId="0" fontId="46" fillId="43" borderId="0"/>
    <xf numFmtId="0" fontId="62" fillId="44" borderId="0"/>
    <xf numFmtId="0" fontId="46" fillId="45" borderId="0"/>
    <xf numFmtId="0" fontId="46" fillId="46" borderId="0"/>
    <xf numFmtId="0" fontId="46" fillId="47" borderId="0"/>
    <xf numFmtId="0" fontId="62" fillId="48" borderId="0"/>
    <xf numFmtId="0" fontId="46" fillId="49" borderId="0"/>
    <xf numFmtId="0" fontId="46" fillId="50" borderId="0"/>
    <xf numFmtId="0" fontId="46" fillId="51" borderId="0"/>
    <xf numFmtId="0" fontId="62" fillId="52" borderId="0"/>
    <xf numFmtId="0" fontId="46" fillId="53" borderId="0"/>
    <xf numFmtId="0" fontId="46" fillId="54" borderId="0"/>
    <xf numFmtId="0" fontId="46" fillId="55" borderId="0"/>
    <xf numFmtId="0" fontId="62" fillId="56" borderId="0"/>
    <xf numFmtId="0" fontId="46" fillId="57" borderId="0"/>
    <xf numFmtId="0" fontId="46" fillId="58" borderId="0"/>
    <xf numFmtId="0" fontId="46" fillId="59" borderId="0"/>
  </cellStyleXfs>
  <cellXfs count="131">
    <xf numFmtId="0" fontId="0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indent="1"/>
    </xf>
    <xf numFmtId="164" fontId="8" fillId="12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5" fontId="11" fillId="12" borderId="1" applyAlignment="1" pivotButton="0" quotePrefix="0" xfId="0">
      <alignment horizontal="right" vertical="center"/>
    </xf>
    <xf numFmtId="166" fontId="12" fillId="12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left" vertical="center" indent="2"/>
    </xf>
    <xf numFmtId="164" fontId="14" fillId="7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164" fontId="16" fillId="14" borderId="1" applyAlignment="1" pivotButton="0" quotePrefix="0" xfId="0">
      <alignment horizontal="right" vertical="center"/>
    </xf>
    <xf numFmtId="164" fontId="17" fillId="15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right" vertical="center"/>
    </xf>
    <xf numFmtId="165" fontId="12" fillId="16" borderId="1" applyAlignment="1" pivotButton="0" quotePrefix="0" xfId="0">
      <alignment horizontal="right" vertical="center"/>
    </xf>
    <xf numFmtId="166" fontId="18" fillId="16" borderId="1" applyAlignment="1" pivotButton="0" quotePrefix="0" xfId="0">
      <alignment horizontal="right" vertical="center"/>
    </xf>
    <xf numFmtId="166" fontId="12" fillId="16" borderId="1" applyAlignment="1" pivotButton="0" quotePrefix="0" xfId="0">
      <alignment horizontal="right" vertical="center"/>
    </xf>
    <xf numFmtId="165" fontId="19" fillId="16" borderId="1" applyAlignment="1" pivotButton="0" quotePrefix="0" xfId="0">
      <alignment horizontal="right" vertical="center"/>
    </xf>
    <xf numFmtId="166" fontId="19" fillId="16" borderId="1" applyAlignment="1" pivotButton="0" quotePrefix="0" xfId="0">
      <alignment horizontal="right" vertical="center"/>
    </xf>
    <xf numFmtId="0" fontId="0" fillId="17" borderId="0" pivotButton="0" quotePrefix="0" xfId="0"/>
    <xf numFmtId="165" fontId="20" fillId="12" borderId="1" applyAlignment="1" pivotButton="0" quotePrefix="0" xfId="0">
      <alignment horizontal="right" vertical="center"/>
    </xf>
    <xf numFmtId="166" fontId="18" fillId="12" borderId="1" applyAlignment="1" pivotButton="0" quotePrefix="0" xfId="0">
      <alignment horizontal="right" vertical="center"/>
    </xf>
    <xf numFmtId="0" fontId="21" fillId="13" borderId="1" applyAlignment="1" pivotButton="0" quotePrefix="0" xfId="0">
      <alignment horizontal="left" vertical="center" indent="1"/>
    </xf>
    <xf numFmtId="167" fontId="14" fillId="7" borderId="1" applyAlignment="1" pivotButton="0" quotePrefix="0" xfId="0">
      <alignment horizontal="right" vertical="center"/>
    </xf>
    <xf numFmtId="167" fontId="15" fillId="8" borderId="1" applyAlignment="1" pivotButton="0" quotePrefix="0" xfId="0">
      <alignment horizontal="right" vertical="center"/>
    </xf>
    <xf numFmtId="167" fontId="16" fillId="14" borderId="1" applyAlignment="1" pivotButton="0" quotePrefix="0" xfId="0">
      <alignment horizontal="right" vertical="center"/>
    </xf>
    <xf numFmtId="167" fontId="17" fillId="15" borderId="1" applyAlignment="1" pivotButton="0" quotePrefix="0" xfId="0">
      <alignment horizontal="right" vertical="center"/>
    </xf>
    <xf numFmtId="165" fontId="23" fillId="12" borderId="1" applyAlignment="1" pivotButton="0" quotePrefix="0" xfId="0">
      <alignment horizontal="right" vertical="center"/>
    </xf>
    <xf numFmtId="166" fontId="19" fillId="1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49" fontId="7" fillId="13" borderId="1" applyAlignment="1" pivotButton="0" quotePrefix="0" xfId="0">
      <alignment horizontal="left" vertical="center" indent="1"/>
    </xf>
    <xf numFmtId="168" fontId="14" fillId="13" borderId="1" applyAlignment="1" pivotButton="0" quotePrefix="0" xfId="0">
      <alignment horizontal="right" vertical="center"/>
    </xf>
    <xf numFmtId="169" fontId="14" fillId="13" borderId="1" applyAlignment="1" pivotButton="0" quotePrefix="0" xfId="0">
      <alignment horizontal="right" vertical="center"/>
    </xf>
    <xf numFmtId="170" fontId="20" fillId="13" borderId="1" applyAlignment="1" pivotButton="0" quotePrefix="0" xfId="0">
      <alignment horizontal="right" vertical="center"/>
    </xf>
    <xf numFmtId="1" fontId="21" fillId="13" borderId="1" applyAlignment="1" pivotButton="0" quotePrefix="0" xfId="0">
      <alignment horizontal="center" vertical="center"/>
    </xf>
    <xf numFmtId="49" fontId="7" fillId="17" borderId="1" applyAlignment="1" pivotButton="0" quotePrefix="0" xfId="0">
      <alignment horizontal="left" vertical="center" indent="1"/>
    </xf>
    <xf numFmtId="168" fontId="14" fillId="17" borderId="1" applyAlignment="1" pivotButton="0" quotePrefix="0" xfId="0">
      <alignment horizontal="right" vertical="center"/>
    </xf>
    <xf numFmtId="169" fontId="14" fillId="17" borderId="1" applyAlignment="1" pivotButton="0" quotePrefix="0" xfId="0">
      <alignment horizontal="right" vertical="center"/>
    </xf>
    <xf numFmtId="170" fontId="20" fillId="17" borderId="1" applyAlignment="1" pivotButton="0" quotePrefix="0" xfId="0">
      <alignment horizontal="right" vertical="center"/>
    </xf>
    <xf numFmtId="1" fontId="21" fillId="17" borderId="1" applyAlignment="1" pivotButton="0" quotePrefix="0" xfId="0">
      <alignment horizontal="center" vertical="center"/>
    </xf>
    <xf numFmtId="170" fontId="24" fillId="13" borderId="1" applyAlignment="1" pivotButton="0" quotePrefix="0" xfId="0">
      <alignment horizontal="right" vertical="center"/>
    </xf>
    <xf numFmtId="170" fontId="24" fillId="17" borderId="1" applyAlignment="1" pivotButton="0" quotePrefix="0" xfId="0">
      <alignment horizontal="right" vertical="center"/>
    </xf>
    <xf numFmtId="170" fontId="11" fillId="13" borderId="1" applyAlignment="1" pivotButton="0" quotePrefix="0" xfId="0">
      <alignment horizontal="right" vertical="center"/>
    </xf>
    <xf numFmtId="170" fontId="11" fillId="17" borderId="1" applyAlignment="1" pivotButton="0" quotePrefix="0" xfId="0">
      <alignment horizontal="right" vertical="center"/>
    </xf>
    <xf numFmtId="0" fontId="25" fillId="9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27" fillId="2" borderId="1" applyAlignment="1" pivotButton="0" quotePrefix="0" xfId="0">
      <alignment horizontal="left" vertical="center" indent="1"/>
    </xf>
    <xf numFmtId="0" fontId="25" fillId="17" borderId="1" applyAlignment="1" pivotButton="0" quotePrefix="0" xfId="0">
      <alignment horizontal="left" vertical="center" indent="1"/>
    </xf>
    <xf numFmtId="0" fontId="25" fillId="13" borderId="1" applyAlignment="1" pivotButton="0" quotePrefix="0" xfId="0">
      <alignment horizontal="left" vertical="center" indent="1"/>
    </xf>
    <xf numFmtId="0" fontId="28" fillId="17" borderId="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26" fillId="13" borderId="1" applyAlignment="1" pivotButton="0" quotePrefix="0" xfId="0">
      <alignment horizontal="left" vertical="center" indent="1"/>
    </xf>
    <xf numFmtId="0" fontId="0" fillId="0" borderId="0" pivotButton="0" quotePrefix="0" xfId="0"/>
    <xf numFmtId="0" fontId="32" fillId="0" borderId="0" pivotButton="0" quotePrefix="0" xfId="0"/>
    <xf numFmtId="0" fontId="33" fillId="18" borderId="2" applyAlignment="1" pivotButton="0" quotePrefix="0" xfId="0">
      <alignment horizontal="center" vertical="center" wrapText="1"/>
    </xf>
    <xf numFmtId="0" fontId="34" fillId="19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35" fillId="20" borderId="2" applyAlignment="1" pivotButton="0" quotePrefix="0" xfId="0">
      <alignment horizontal="left" vertical="center" wrapText="1"/>
    </xf>
    <xf numFmtId="171" fontId="35" fillId="20" borderId="2" applyAlignment="1" pivotButton="0" quotePrefix="0" xfId="0">
      <alignment horizontal="right" vertical="center"/>
    </xf>
    <xf numFmtId="172" fontId="36" fillId="20" borderId="2" applyAlignment="1" pivotButton="0" quotePrefix="0" xfId="0">
      <alignment horizontal="right" vertical="center"/>
    </xf>
    <xf numFmtId="0" fontId="36" fillId="0" borderId="2" applyAlignment="1" pivotButton="0" quotePrefix="0" xfId="0">
      <alignment horizontal="right" vertical="center"/>
    </xf>
    <xf numFmtId="172" fontId="37" fillId="20" borderId="2" applyAlignment="1" pivotButton="0" quotePrefix="0" xfId="0">
      <alignment horizontal="right" vertical="center"/>
    </xf>
    <xf numFmtId="0" fontId="37" fillId="0" borderId="2" applyAlignment="1" pivotButton="0" quotePrefix="0" xfId="0">
      <alignment horizontal="right" vertical="center"/>
    </xf>
    <xf numFmtId="0" fontId="38" fillId="21" borderId="2" applyAlignment="1" pivotButton="0" quotePrefix="0" xfId="0">
      <alignment horizontal="left" vertical="center" wrapText="1"/>
    </xf>
    <xf numFmtId="0" fontId="39" fillId="0" borderId="2" applyAlignment="1" pivotButton="0" quotePrefix="0" xfId="0">
      <alignment horizontal="right" vertical="center"/>
    </xf>
    <xf numFmtId="171" fontId="30" fillId="21" borderId="2" applyAlignment="1" pivotButton="0" quotePrefix="0" xfId="0">
      <alignment horizontal="right" vertical="center"/>
    </xf>
    <xf numFmtId="172" fontId="39" fillId="21" borderId="2" applyAlignment="1" pivotButton="0" quotePrefix="0" xfId="0">
      <alignment horizontal="right" vertical="center"/>
    </xf>
    <xf numFmtId="0" fontId="30" fillId="21" borderId="2" applyAlignment="1" pivotButton="0" quotePrefix="0" xfId="0">
      <alignment horizontal="left" vertical="center" wrapText="1"/>
    </xf>
    <xf numFmtId="172" fontId="40" fillId="21" borderId="2" applyAlignment="1" pivotButton="0" quotePrefix="0" xfId="0">
      <alignment horizontal="right" vertical="center"/>
    </xf>
    <xf numFmtId="0" fontId="40" fillId="0" borderId="2" applyAlignment="1" pivotButton="0" quotePrefix="0" xfId="0">
      <alignment horizontal="right" vertical="center"/>
    </xf>
    <xf numFmtId="0" fontId="41" fillId="19" borderId="1" applyAlignment="1" pivotButton="0" quotePrefix="0" xfId="0">
      <alignment horizontal="center" vertical="center" wrapText="1"/>
    </xf>
    <xf numFmtId="0" fontId="42" fillId="13" borderId="2" applyAlignment="1" pivotButton="0" quotePrefix="0" xfId="0">
      <alignment horizontal="left" vertical="top" wrapText="1"/>
    </xf>
    <xf numFmtId="0" fontId="42" fillId="17" borderId="2" applyAlignment="1" pivotButton="0" quotePrefix="0" xfId="0">
      <alignment horizontal="left" vertical="top" wrapText="1"/>
    </xf>
    <xf numFmtId="173" fontId="14" fillId="7" borderId="1" applyAlignment="1" pivotButton="0" quotePrefix="0" xfId="0">
      <alignment horizontal="right" vertical="center"/>
    </xf>
    <xf numFmtId="173" fontId="0" fillId="0" borderId="0" pivotButton="0" quotePrefix="0" xfId="0"/>
    <xf numFmtId="0" fontId="42" fillId="26" borderId="3" applyAlignment="1" pivotButton="0" quotePrefix="0" xfId="0">
      <alignment horizontal="left" vertical="top" wrapText="1"/>
    </xf>
    <xf numFmtId="0" fontId="42" fillId="27" borderId="3" applyAlignment="1" pivotButton="0" quotePrefix="0" xfId="0">
      <alignment horizontal="left" vertical="top" wrapText="1"/>
    </xf>
    <xf numFmtId="0" fontId="34" fillId="22" borderId="3" applyAlignment="1" pivotButton="0" quotePrefix="0" xfId="0">
      <alignment horizontal="center" vertical="center"/>
    </xf>
    <xf numFmtId="0" fontId="30" fillId="23" borderId="3" applyAlignment="1" pivotButton="0" quotePrefix="0" xfId="0">
      <alignment horizontal="center" vertical="center"/>
    </xf>
    <xf numFmtId="0" fontId="30" fillId="24" borderId="3" applyAlignment="1" pivotButton="0" quotePrefix="0" xfId="0">
      <alignment horizontal="center" vertical="center"/>
    </xf>
    <xf numFmtId="0" fontId="44" fillId="24" borderId="3" applyAlignment="1" pivotButton="0" quotePrefix="0" xfId="0">
      <alignment horizontal="center" vertical="center"/>
    </xf>
    <xf numFmtId="0" fontId="30" fillId="21" borderId="3" applyAlignment="1" pivotButton="0" quotePrefix="0" xfId="0">
      <alignment horizontal="center" vertical="center"/>
    </xf>
    <xf numFmtId="0" fontId="44" fillId="21" borderId="3" applyAlignment="1" pivotButton="0" quotePrefix="0" xfId="0">
      <alignment horizontal="center" vertical="center"/>
    </xf>
    <xf numFmtId="0" fontId="34" fillId="25" borderId="3" applyAlignment="1" pivotButton="0" quotePrefix="0" xfId="0">
      <alignment horizontal="left" vertical="center" indent="1"/>
    </xf>
    <xf numFmtId="0" fontId="34" fillId="25" borderId="3" applyAlignment="1" pivotButton="0" quotePrefix="0" xfId="0">
      <alignment horizontal="center" vertical="center"/>
    </xf>
    <xf numFmtId="171" fontId="14" fillId="17" borderId="1" applyAlignment="1" pivotButton="0" quotePrefix="0" xfId="0">
      <alignment horizontal="right" vertical="center"/>
    </xf>
    <xf numFmtId="171" fontId="14" fillId="13" borderId="1" applyAlignment="1" pivotButton="0" quotePrefix="0" xfId="0">
      <alignment horizontal="right" vertical="center"/>
    </xf>
    <xf numFmtId="173" fontId="17" fillId="15" borderId="1" applyAlignment="1" pivotButton="0" quotePrefix="0" xfId="0">
      <alignment horizontal="right" vertical="center"/>
    </xf>
    <xf numFmtId="173" fontId="45" fillId="21" borderId="2" applyAlignment="1" pivotButton="0" quotePrefix="0" xfId="0">
      <alignment horizontal="right" vertical="center"/>
    </xf>
    <xf numFmtId="174" fontId="39" fillId="21" borderId="2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indent="1"/>
    </xf>
    <xf numFmtId="0" fontId="22" fillId="1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 wrapText="1"/>
    </xf>
    <xf numFmtId="9" fontId="14" fillId="7" borderId="1" applyAlignment="1" pivotButton="0" quotePrefix="0" xfId="1">
      <alignment horizontal="right" vertical="center"/>
    </xf>
    <xf numFmtId="164" fontId="64" fillId="8" borderId="1" applyAlignment="1" pivotButton="0" quotePrefix="0" xfId="0">
      <alignment horizontal="right" vertical="center"/>
    </xf>
    <xf numFmtId="9" fontId="15" fillId="8" borderId="1" applyAlignment="1" pivotButton="0" quotePrefix="0" xfId="1">
      <alignment horizontal="right" vertical="center"/>
    </xf>
    <xf numFmtId="0" fontId="63" fillId="28" borderId="3" applyAlignment="1" pivotButton="0" quotePrefix="0" xfId="0">
      <alignment horizontal="center" vertical="center"/>
    </xf>
    <xf numFmtId="0" fontId="63" fillId="7" borderId="3" applyAlignment="1" pivotButton="0" quotePrefix="0" xfId="0">
      <alignment horizontal="center" vertical="center"/>
    </xf>
    <xf numFmtId="164" fontId="65" fillId="7" borderId="1" applyAlignment="1" pivotButton="0" quotePrefix="0" xfId="0">
      <alignment horizontal="right" vertical="center"/>
    </xf>
    <xf numFmtId="0" fontId="42" fillId="0" borderId="2" applyAlignment="1" pivotButton="0" quotePrefix="0" xfId="0">
      <alignment horizontal="center" vertical="top" wrapText="1"/>
    </xf>
    <xf numFmtId="0" fontId="43" fillId="17" borderId="2" applyAlignment="1" pivotButton="0" quotePrefix="0" xfId="0">
      <alignment horizontal="center" vertical="top" wrapText="1"/>
    </xf>
    <xf numFmtId="164" fontId="68" fillId="12" borderId="1" applyAlignment="1" pivotButton="0" quotePrefix="0" xfId="0">
      <alignment horizontal="right" vertical="center"/>
    </xf>
    <xf numFmtId="0" fontId="42" fillId="27" borderId="3" applyAlignment="1" pivotButton="0" quotePrefix="0" xfId="0">
      <alignment horizontal="center" vertical="top" wrapText="1"/>
    </xf>
    <xf numFmtId="164" fontId="69" fillId="15" borderId="1" applyAlignment="1" pivotButton="0" quotePrefix="0" xfId="0">
      <alignment horizontal="right" vertical="center"/>
    </xf>
    <xf numFmtId="164" fontId="66" fillId="14" borderId="1" applyAlignment="1" pivotButton="0" quotePrefix="0" xfId="0">
      <alignment horizontal="right" vertical="center"/>
    </xf>
    <xf numFmtId="164" fontId="65" fillId="7" borderId="1" applyAlignment="1" pivotButton="0" quotePrefix="0" xfId="0">
      <alignment horizontal="center" vertical="center"/>
    </xf>
    <xf numFmtId="0" fontId="42" fillId="26" borderId="3" applyAlignment="1" pivotButton="0" quotePrefix="0" xfId="0">
      <alignment horizontal="center" vertical="top" wrapText="1"/>
    </xf>
    <xf numFmtId="0" fontId="43" fillId="0" borderId="2" applyAlignment="1" pivotButton="0" quotePrefix="0" xfId="0">
      <alignment horizontal="center" vertical="top" wrapText="1"/>
    </xf>
    <xf numFmtId="0" fontId="42" fillId="17" borderId="2" applyAlignment="1" pivotButton="0" quotePrefix="0" xfId="0">
      <alignment horizontal="center" vertical="top" wrapText="1"/>
    </xf>
    <xf numFmtId="0" fontId="67" fillId="13" borderId="1" applyAlignment="1" pivotButton="0" quotePrefix="0" xfId="0">
      <alignment horizontal="left" vertical="center" indent="2"/>
    </xf>
    <xf numFmtId="0" fontId="42" fillId="13" borderId="2" applyAlignment="1" pivotButton="0" quotePrefix="0" xfId="0">
      <alignment horizontal="center" vertical="top" wrapText="1"/>
    </xf>
    <xf numFmtId="0" fontId="70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70" fillId="2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0" fillId="0" borderId="13" pivotButton="0" quotePrefix="0" xfId="0"/>
    <xf numFmtId="49" fontId="42" fillId="24" borderId="2" applyAlignment="1" pivotButton="0" quotePrefix="0" xfId="0">
      <alignment horizontal="center" vertical="top" wrapText="1"/>
    </xf>
    <xf numFmtId="49" fontId="42" fillId="0" borderId="2" applyAlignment="1" pivotButton="0" quotePrefix="0" xfId="0">
      <alignment horizontal="center" vertical="top" wrapText="1"/>
    </xf>
    <xf numFmtId="1" fontId="42" fillId="24" borderId="2" applyAlignment="1" pivotButton="0" quotePrefix="0" xfId="0">
      <alignment horizontal="center" vertical="top" wrapText="1"/>
    </xf>
    <xf numFmtId="1" fontId="42" fillId="0" borderId="2" applyAlignment="1" pivotButton="0" quotePrefix="0" xfId="0">
      <alignment horizontal="center" vertical="top" wrapText="1"/>
    </xf>
    <xf numFmtId="0" fontId="0" fillId="0" borderId="14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tabSelected="1" workbookViewId="0">
      <selection activeCell="A1" sqref="A1"/>
    </sheetView>
  </sheetViews>
  <sheetFormatPr baseColWidth="8" defaultRowHeight="14.5"/>
  <cols>
    <col width="32" customWidth="1" style="122" min="1" max="1"/>
    <col width="13" customWidth="1" style="122" min="2" max="4"/>
    <col width="10" customWidth="1" style="122" min="5" max="5"/>
    <col width="13" customWidth="1" style="122" min="6" max="8"/>
    <col width="10" customWidth="1" style="122" min="9" max="9"/>
  </cols>
  <sheetData>
    <row r="1" ht="22" customHeight="1" s="122">
      <c r="A1" s="94" t="inlineStr">
        <is>
          <t>SMPL · Q2 2026 Variance Analysis — Actuals vs Budget</t>
        </is>
      </c>
    </row>
    <row r="2">
      <c r="A2" s="57" t="inlineStr">
        <is>
          <t>Q2 2026 (Apr–Jun) and YTD (Jan–Jun) · Prepared by Finance · Confidential</t>
        </is>
      </c>
    </row>
    <row r="4" ht="28" customHeight="1" s="122">
      <c r="A4" s="58" t="inlineStr">
        <is>
          <t>Line Item</t>
        </is>
      </c>
      <c r="B4" s="58" t="inlineStr">
        <is>
          <t>Q2 Actual</t>
        </is>
      </c>
      <c r="C4" s="58" t="inlineStr">
        <is>
          <t>Q2 Budget</t>
        </is>
      </c>
      <c r="D4" s="58" t="inlineStr">
        <is>
          <t>Q2 Var $</t>
        </is>
      </c>
      <c r="E4" s="58" t="inlineStr">
        <is>
          <t>Q2 Var %</t>
        </is>
      </c>
      <c r="F4" s="58" t="inlineStr">
        <is>
          <t>YTD Actual</t>
        </is>
      </c>
      <c r="G4" s="58" t="inlineStr">
        <is>
          <t>YTD Budget</t>
        </is>
      </c>
      <c r="H4" s="58" t="inlineStr">
        <is>
          <t>YTD Var $</t>
        </is>
      </c>
      <c r="I4" s="58" t="inlineStr">
        <is>
          <t>YTD Var %</t>
        </is>
      </c>
    </row>
    <row r="5" ht="16" customHeight="1" s="122">
      <c r="A5" s="59" t="inlineStr">
        <is>
          <t>INCOME STATEMENT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</row>
    <row r="6" ht="15" customHeight="1" s="122">
      <c r="A6" s="61" t="inlineStr">
        <is>
          <t>Total Revenue</t>
        </is>
      </c>
      <c r="B6" s="62" t="n">
        <v>21.60089083</v>
      </c>
      <c r="C6" s="62" t="n">
        <v>22.1025</v>
      </c>
      <c r="D6" s="63" t="n">
        <v>-0.5016091700000018</v>
      </c>
      <c r="E6" s="64" t="inlineStr">
        <is>
          <t>-2.3%</t>
        </is>
      </c>
      <c r="F6" s="62" t="n">
        <v>41.71254</v>
      </c>
      <c r="G6" s="62" t="n">
        <v>41.4225</v>
      </c>
      <c r="H6" s="65" t="n">
        <v>0.29004</v>
      </c>
      <c r="I6" s="66" t="inlineStr">
        <is>
          <t>+0.7%</t>
        </is>
      </c>
    </row>
    <row r="7" ht="15" customHeight="1" s="122">
      <c r="A7" s="61" t="inlineStr">
        <is>
          <t>Gross Profit</t>
        </is>
      </c>
      <c r="B7" s="62" t="n">
        <v>17.07252141</v>
      </c>
      <c r="C7" s="62" t="n">
        <v>15.6156</v>
      </c>
      <c r="D7" s="65" t="n">
        <v>1.45692141</v>
      </c>
      <c r="E7" s="66" t="inlineStr">
        <is>
          <t>+9.3%</t>
        </is>
      </c>
      <c r="F7" s="62" t="n">
        <v>32.88069818</v>
      </c>
      <c r="G7" s="62" t="n">
        <v>29.3328</v>
      </c>
      <c r="H7" s="65" t="n">
        <v>3.54789818</v>
      </c>
      <c r="I7" s="66" t="inlineStr">
        <is>
          <t>+12.1%</t>
        </is>
      </c>
    </row>
    <row r="8" ht="15" customHeight="1" s="122">
      <c r="A8" s="67" t="inlineStr">
        <is>
          <t xml:space="preserve">    Gross Margin %</t>
        </is>
      </c>
      <c r="B8" s="92" t="n">
        <v>0.7903619135137309</v>
      </c>
      <c r="C8" s="92" t="n">
        <v>0.7</v>
      </c>
      <c r="D8" s="93" t="n">
        <v>0.09039999999999999</v>
      </c>
      <c r="E8" s="68" t="inlineStr">
        <is>
          <t>+9bps</t>
        </is>
      </c>
      <c r="F8" s="92" t="n">
        <v>0.7882689037876859</v>
      </c>
      <c r="G8" s="92" t="n">
        <v>0.7</v>
      </c>
      <c r="H8" s="93" t="n">
        <v>0.0883</v>
      </c>
      <c r="I8" s="68" t="inlineStr">
        <is>
          <t>+9bps</t>
        </is>
      </c>
    </row>
    <row r="9" ht="6" customHeight="1" s="122"/>
    <row r="10" ht="15" customHeight="1" s="122">
      <c r="A10" s="67" t="inlineStr">
        <is>
          <t xml:space="preserve">    Sales &amp; Marketing</t>
        </is>
      </c>
      <c r="B10" s="69" t="n">
        <v>9.293714199999998</v>
      </c>
      <c r="C10" s="69" t="n">
        <v>7.5899985</v>
      </c>
      <c r="D10" s="70" t="n">
        <v>1.703715699999999</v>
      </c>
      <c r="E10" s="68" t="inlineStr">
        <is>
          <t>+22.4%</t>
        </is>
      </c>
      <c r="F10" s="69" t="n">
        <v>18.29496371</v>
      </c>
      <c r="G10" s="69" t="n">
        <v>14.2244865</v>
      </c>
      <c r="H10" s="70" t="n">
        <v>4.070477210000001</v>
      </c>
      <c r="I10" s="68" t="inlineStr">
        <is>
          <t>+28.6%</t>
        </is>
      </c>
    </row>
    <row r="11" ht="15" customHeight="1" s="122">
      <c r="A11" s="67" t="inlineStr">
        <is>
          <t xml:space="preserve">    Research &amp; Development</t>
        </is>
      </c>
      <c r="B11" s="69" t="n">
        <v>8.23417901</v>
      </c>
      <c r="C11" s="69" t="n">
        <v>3.571764</v>
      </c>
      <c r="D11" s="70" t="n">
        <v>4.66241501</v>
      </c>
      <c r="E11" s="68" t="inlineStr">
        <is>
          <t>+130.5%</t>
        </is>
      </c>
      <c r="F11" s="69" t="n">
        <v>16.11712038</v>
      </c>
      <c r="G11" s="69" t="n">
        <v>6.693876</v>
      </c>
      <c r="H11" s="70" t="n">
        <v>9.423244379999998</v>
      </c>
      <c r="I11" s="68" t="inlineStr">
        <is>
          <t>+140.8%</t>
        </is>
      </c>
    </row>
    <row r="12" ht="15" customHeight="1" s="122">
      <c r="A12" s="67" t="inlineStr">
        <is>
          <t xml:space="preserve">    General &amp; Administrative</t>
        </is>
      </c>
      <c r="B12" s="69" t="n">
        <v>3.86343851</v>
      </c>
      <c r="C12" s="69" t="n">
        <v>2.45558775</v>
      </c>
      <c r="D12" s="70" t="n">
        <v>1.40785076</v>
      </c>
      <c r="E12" s="68" t="inlineStr">
        <is>
          <t>+57.3%</t>
        </is>
      </c>
      <c r="F12" s="69" t="n">
        <v>7.85046385</v>
      </c>
      <c r="G12" s="69" t="n">
        <v>4.60203975</v>
      </c>
      <c r="H12" s="70" t="n">
        <v>3.2484241</v>
      </c>
      <c r="I12" s="68" t="inlineStr">
        <is>
          <t>+70.6%</t>
        </is>
      </c>
    </row>
    <row r="13" ht="6" customHeight="1" s="122"/>
    <row r="14" ht="15" customHeight="1" s="122">
      <c r="A14" s="61" t="inlineStr">
        <is>
          <t>EBITDA</t>
        </is>
      </c>
      <c r="B14" s="62" t="n">
        <v>-4.3188103</v>
      </c>
      <c r="C14" s="62" t="n">
        <v>1.99824975</v>
      </c>
      <c r="D14" s="63" t="n">
        <v>-6.317060049999999</v>
      </c>
      <c r="E14" s="64" t="inlineStr">
        <is>
          <t>-316.1%</t>
        </is>
      </c>
      <c r="F14" s="62" t="n">
        <v>-9.38184976</v>
      </c>
      <c r="G14" s="62" t="n">
        <v>3.81239775</v>
      </c>
      <c r="H14" s="63" t="n">
        <v>-13.19424751</v>
      </c>
      <c r="I14" s="64" t="inlineStr">
        <is>
          <t>-346.1%</t>
        </is>
      </c>
    </row>
    <row r="15" ht="6" customHeight="1" s="122"/>
    <row r="16" ht="16" customHeight="1" s="122">
      <c r="A16" s="59" t="inlineStr">
        <is>
          <t>ARR MOVEMENT</t>
        </is>
      </c>
      <c r="B16" s="60" t="n"/>
      <c r="C16" s="60" t="n"/>
      <c r="D16" s="60" t="n"/>
      <c r="E16" s="60" t="n"/>
      <c r="F16" s="60" t="n"/>
      <c r="G16" s="60" t="n"/>
      <c r="H16" s="60" t="n"/>
      <c r="I16" s="60" t="n"/>
    </row>
    <row r="17" ht="15" customHeight="1" s="122">
      <c r="A17" s="71" t="inlineStr">
        <is>
          <t>New Business</t>
        </is>
      </c>
      <c r="B17" s="69" t="n">
        <v>5.37</v>
      </c>
      <c r="C17" s="69" t="n">
        <v>5.08107744</v>
      </c>
      <c r="D17" s="70" t="n">
        <v>0.2889225600000005</v>
      </c>
      <c r="E17" s="68" t="inlineStr">
        <is>
          <t>+5.7%</t>
        </is>
      </c>
      <c r="F17" s="69" t="n">
        <v>9.42</v>
      </c>
      <c r="G17" s="69" t="n">
        <v>8.96907744</v>
      </c>
      <c r="H17" s="70" t="n">
        <v>0.4509225600000005</v>
      </c>
      <c r="I17" s="68" t="inlineStr">
        <is>
          <t>+5.0%</t>
        </is>
      </c>
    </row>
    <row r="18" ht="15" customHeight="1" s="122">
      <c r="A18" s="71" t="inlineStr">
        <is>
          <t>Expansion</t>
        </is>
      </c>
      <c r="B18" s="69" t="n">
        <v>2.74</v>
      </c>
      <c r="C18" s="69" t="n">
        <v>2.61979346</v>
      </c>
      <c r="D18" s="70" t="n">
        <v>0.12020654</v>
      </c>
      <c r="E18" s="68" t="inlineStr">
        <is>
          <t>+4.6%</t>
        </is>
      </c>
      <c r="F18" s="69" t="n">
        <v>4.89</v>
      </c>
      <c r="G18" s="69" t="n">
        <v>4.70529346</v>
      </c>
      <c r="H18" s="70" t="n">
        <v>0.18470654</v>
      </c>
      <c r="I18" s="68" t="inlineStr">
        <is>
          <t>+3.9%</t>
        </is>
      </c>
    </row>
    <row r="19" ht="15" customHeight="1" s="122">
      <c r="A19" s="71" t="inlineStr">
        <is>
          <t>Reactivation</t>
        </is>
      </c>
      <c r="B19" s="69" t="n">
        <v>0.25</v>
      </c>
      <c r="C19" s="69" t="n">
        <v>0.305</v>
      </c>
      <c r="D19" s="72" t="n">
        <v>-0.055</v>
      </c>
      <c r="E19" s="73" t="inlineStr">
        <is>
          <t>-18.0%</t>
        </is>
      </c>
      <c r="F19" s="69" t="n">
        <v>0.445</v>
      </c>
      <c r="G19" s="69" t="n">
        <v>0.5</v>
      </c>
      <c r="H19" s="72" t="n">
        <v>-0.055</v>
      </c>
      <c r="I19" s="73" t="inlineStr">
        <is>
          <t>-11.0%</t>
        </is>
      </c>
    </row>
    <row r="20" ht="15" customHeight="1" s="122">
      <c r="A20" s="71" t="inlineStr">
        <is>
          <t>Contraction</t>
        </is>
      </c>
      <c r="B20" s="69" t="n">
        <v>-0.6899999999999999</v>
      </c>
      <c r="C20" s="69" t="n">
        <v>0.80363454</v>
      </c>
      <c r="D20" s="72" t="n">
        <v>-1.49363454</v>
      </c>
      <c r="E20" s="73" t="inlineStr">
        <is>
          <t>-185.9%</t>
        </is>
      </c>
      <c r="F20" s="69" t="n">
        <v>-1.275</v>
      </c>
      <c r="G20" s="69" t="n">
        <v>1.40033454</v>
      </c>
      <c r="H20" s="72" t="n">
        <v>-2.67533454</v>
      </c>
      <c r="I20" s="73" t="inlineStr">
        <is>
          <t>-191.0%</t>
        </is>
      </c>
    </row>
    <row r="21" ht="15" customHeight="1" s="122">
      <c r="A21" s="71" t="inlineStr">
        <is>
          <t>Churn</t>
        </is>
      </c>
      <c r="B21" s="69" t="n">
        <v>-1.075</v>
      </c>
      <c r="C21" s="69" t="n">
        <v>1.53496471</v>
      </c>
      <c r="D21" s="72" t="n">
        <v>-2.60996471</v>
      </c>
      <c r="E21" s="73" t="inlineStr">
        <is>
          <t>-170.0%</t>
        </is>
      </c>
      <c r="F21" s="69" t="n">
        <v>-2.38</v>
      </c>
      <c r="G21" s="69" t="n">
        <v>2.87911471</v>
      </c>
      <c r="H21" s="72" t="n">
        <v>-5.25911471</v>
      </c>
      <c r="I21" s="73" t="inlineStr">
        <is>
          <t>-182.7%</t>
        </is>
      </c>
    </row>
    <row r="22" ht="15" customHeight="1" s="122">
      <c r="A22" s="61" t="inlineStr">
        <is>
          <t>Net New ARR</t>
        </is>
      </c>
      <c r="B22" s="62" t="n">
        <v>6.595</v>
      </c>
      <c r="C22" s="62" t="n">
        <v>5.667272</v>
      </c>
      <c r="D22" s="65" t="n">
        <v>0.927728</v>
      </c>
      <c r="E22" s="66" t="inlineStr">
        <is>
          <t>+16.4%</t>
        </is>
      </c>
      <c r="F22" s="62" t="n">
        <v>11.1</v>
      </c>
      <c r="G22" s="62" t="n">
        <v>9.894921999999999</v>
      </c>
      <c r="H22" s="65" t="n">
        <v>1.205078</v>
      </c>
      <c r="I22" s="66" t="inlineStr">
        <is>
          <t>+12.2%</t>
        </is>
      </c>
    </row>
    <row r="23" ht="15" customHeight="1" s="122">
      <c r="A23" s="61" t="inlineStr">
        <is>
          <t>Ending ARR (Jun EOP)</t>
        </is>
      </c>
      <c r="B23" s="62" t="n">
        <v>86.09999999999999</v>
      </c>
      <c r="C23" s="62" t="n">
        <v>84.89492199999999</v>
      </c>
      <c r="D23" s="65" t="n">
        <v>1.205078</v>
      </c>
      <c r="E23" s="66" t="inlineStr">
        <is>
          <t>+1.4%</t>
        </is>
      </c>
      <c r="F23" s="62" t="n">
        <v>86.09999999999999</v>
      </c>
      <c r="G23" s="62" t="n">
        <v>84.89492199999999</v>
      </c>
      <c r="H23" s="65" t="n">
        <v>1.205078</v>
      </c>
      <c r="I23" s="66" t="inlineStr">
        <is>
          <t>+1.4%</t>
        </is>
      </c>
    </row>
    <row r="24" ht="6" customHeight="1" s="122"/>
    <row r="25" ht="16" customHeight="1" s="122">
      <c r="A25" s="59" t="inlineStr">
        <is>
          <t>CASH</t>
        </is>
      </c>
      <c r="B25" s="60" t="n"/>
      <c r="C25" s="60" t="n"/>
      <c r="D25" s="60" t="n"/>
      <c r="E25" s="60" t="n"/>
      <c r="F25" s="60" t="n"/>
      <c r="G25" s="60" t="n"/>
      <c r="H25" s="60" t="n"/>
      <c r="I25" s="60" t="n"/>
    </row>
    <row r="26" ht="15" customHeight="1" s="122">
      <c r="A26" s="71" t="inlineStr">
        <is>
          <t>Q2 / YTD CFO</t>
        </is>
      </c>
      <c r="B26" s="69" t="n">
        <v>13.09716541</v>
      </c>
      <c r="C26" s="69" t="n">
        <v>1.6794198</v>
      </c>
      <c r="D26" s="70" t="n">
        <v>11.41774561</v>
      </c>
      <c r="E26" s="68" t="inlineStr">
        <is>
          <t>+679.9%</t>
        </is>
      </c>
      <c r="F26" s="69" t="n">
        <v>25.62891707</v>
      </c>
      <c r="G26" s="69" t="n">
        <v>3.1892982</v>
      </c>
      <c r="H26" s="70" t="n">
        <v>22.43961887</v>
      </c>
      <c r="I26" s="68" t="inlineStr">
        <is>
          <t>+703.6%</t>
        </is>
      </c>
    </row>
    <row r="27" ht="15" customHeight="1" s="122">
      <c r="A27" s="61" t="inlineStr">
        <is>
          <t>Ending Cash (Jun EOP)</t>
        </is>
      </c>
      <c r="B27" s="62" t="n">
        <v>70.61212207</v>
      </c>
      <c r="C27" s="62" t="n">
        <v>48.3608482</v>
      </c>
      <c r="D27" s="65" t="n">
        <v>22.25127386999999</v>
      </c>
      <c r="E27" s="66" t="inlineStr">
        <is>
          <t>+46.0%</t>
        </is>
      </c>
      <c r="F27" s="62" t="n">
        <v>70.61212207</v>
      </c>
      <c r="G27" s="62" t="n">
        <v>48.3608482</v>
      </c>
      <c r="H27" s="65" t="n">
        <v>22.25127386999999</v>
      </c>
      <c r="I27" s="66" t="inlineStr">
        <is>
          <t>+46.0%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AJ1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ARR / MRR Waterfall · Q2 2026 Close — June Actuals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40" customHeight="1" s="122">
      <c r="B3" s="107" t="inlineStr">
        <is>
          <t>Jan</t>
        </is>
      </c>
      <c r="C3" s="107" t="inlineStr">
        <is>
          <t>Feb</t>
        </is>
      </c>
      <c r="D3" s="107" t="inlineStr">
        <is>
          <t>Mar</t>
        </is>
      </c>
      <c r="E3" s="107" t="inlineStr">
        <is>
          <t>Apr</t>
        </is>
      </c>
      <c r="F3" s="107" t="inlineStr">
        <is>
          <t>May</t>
        </is>
      </c>
      <c r="G3" s="107" t="inlineStr">
        <is>
          <t>Jun</t>
        </is>
      </c>
      <c r="H3" s="106" t="inlineStr">
        <is>
          <t>Jul</t>
        </is>
      </c>
      <c r="I3" s="106" t="inlineStr">
        <is>
          <t>Aug</t>
        </is>
      </c>
      <c r="J3" s="106" t="inlineStr">
        <is>
          <t>Sep</t>
        </is>
      </c>
      <c r="K3" s="106" t="inlineStr">
        <is>
          <t>Oct</t>
        </is>
      </c>
      <c r="L3" s="106" t="inlineStr">
        <is>
          <t>Nov</t>
        </is>
      </c>
      <c r="M3" s="106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ARR MOVEMENT BRIDGE ($M)</t>
        </is>
      </c>
    </row>
    <row r="5" ht="17" customHeight="1" s="122">
      <c r="A5" s="5" t="inlineStr">
        <is>
          <t>Beginning ARR</t>
        </is>
      </c>
      <c r="B5" s="108" t="n">
        <v>75</v>
      </c>
      <c r="C5" s="108" t="n">
        <v>76.31</v>
      </c>
      <c r="D5" s="108" t="n">
        <v>77.81</v>
      </c>
      <c r="E5" s="108" t="n">
        <v>79.5</v>
      </c>
      <c r="F5" s="108" t="n">
        <v>81.39</v>
      </c>
      <c r="G5" s="108">
        <f>F14</f>
        <v/>
      </c>
      <c r="H5" s="104">
        <f>G14</f>
        <v/>
      </c>
      <c r="I5" s="104">
        <f>H14</f>
        <v/>
      </c>
      <c r="J5" s="104">
        <f>I14</f>
        <v/>
      </c>
      <c r="K5" s="104">
        <f>J14</f>
        <v/>
      </c>
      <c r="L5" s="104">
        <f>K14</f>
        <v/>
      </c>
      <c r="M5" s="104">
        <f>L14</f>
        <v/>
      </c>
      <c r="N5" s="6" t="n">
        <v>75</v>
      </c>
      <c r="O5" s="6" t="n">
        <v>79.5</v>
      </c>
      <c r="P5" s="6" t="n">
        <v>75</v>
      </c>
      <c r="Q5" s="6" t="n">
        <v>86.09999999999999</v>
      </c>
      <c r="R5" s="8" t="n">
        <v>75</v>
      </c>
      <c r="S5" s="8" t="n">
        <v>79.5</v>
      </c>
      <c r="T5" s="8" t="n">
        <v>75</v>
      </c>
      <c r="U5" s="8" t="n">
        <v>75</v>
      </c>
      <c r="V5" s="9" t="n">
        <v>0</v>
      </c>
      <c r="W5" s="9" t="n">
        <v>0</v>
      </c>
      <c r="X5" s="9" t="n">
        <v>0</v>
      </c>
      <c r="Y5" s="9" t="n">
        <v>11.1</v>
      </c>
      <c r="Z5" s="10" t="n">
        <v>0</v>
      </c>
      <c r="AA5" s="10" t="n">
        <v>0</v>
      </c>
      <c r="AB5" s="10" t="n">
        <v>0</v>
      </c>
      <c r="AC5" s="10" t="n">
        <v>14.8</v>
      </c>
    </row>
    <row r="6" ht="17" customHeight="1" s="122">
      <c r="A6" s="11" t="inlineStr">
        <is>
          <t>+ New Business</t>
        </is>
      </c>
      <c r="B6" s="12" t="n">
        <v>1.2</v>
      </c>
      <c r="C6" s="12" t="n">
        <v>1.35</v>
      </c>
      <c r="D6" s="12" t="n">
        <v>1.5</v>
      </c>
      <c r="E6" s="12" t="n">
        <v>1.65</v>
      </c>
      <c r="F6" s="12" t="n">
        <v>1.8</v>
      </c>
      <c r="G6" s="12" t="n">
        <v>1.842789</v>
      </c>
      <c r="H6" s="13" t="n">
        <v>1.866715</v>
      </c>
      <c r="I6" s="13" t="n">
        <v>1.750478</v>
      </c>
      <c r="J6" s="13" t="n">
        <v>1.76511</v>
      </c>
      <c r="K6" s="13" t="n">
        <v>1.678393</v>
      </c>
      <c r="L6" s="13" t="n">
        <v>1.652682</v>
      </c>
      <c r="M6" s="13" t="n">
        <v>1.745964</v>
      </c>
      <c r="N6" s="12" t="n">
        <v>4.05</v>
      </c>
      <c r="O6" s="12" t="n">
        <v>5.37</v>
      </c>
      <c r="P6" s="12" t="n">
        <v>9.42</v>
      </c>
      <c r="Q6" s="12" t="n">
        <v>10.87</v>
      </c>
      <c r="R6" s="15" t="n">
        <v>4.05</v>
      </c>
      <c r="S6" s="15" t="n">
        <v>3.45</v>
      </c>
      <c r="T6" s="15" t="n">
        <v>7.5</v>
      </c>
      <c r="U6" s="15" t="n">
        <v>13.418</v>
      </c>
      <c r="V6" s="16" t="n">
        <v>0</v>
      </c>
      <c r="W6" s="17" t="n">
        <v>1.92</v>
      </c>
      <c r="X6" s="17" t="n">
        <v>1.92</v>
      </c>
      <c r="Y6" s="16" t="n">
        <v>-2.548</v>
      </c>
      <c r="Z6" s="18" t="n">
        <v>0</v>
      </c>
      <c r="AA6" s="19" t="n">
        <v>55.7</v>
      </c>
      <c r="AB6" s="19" t="n">
        <v>25.6</v>
      </c>
      <c r="AC6" s="18" t="n">
        <v>-19</v>
      </c>
    </row>
    <row r="7" ht="17" customHeight="1" s="122">
      <c r="A7" s="11" t="inlineStr">
        <is>
          <t>+ Expansion</t>
        </is>
      </c>
      <c r="B7" s="12" t="n">
        <v>0.65</v>
      </c>
      <c r="C7" s="12" t="n">
        <v>0.72</v>
      </c>
      <c r="D7" s="12" t="n">
        <v>0.78</v>
      </c>
      <c r="E7" s="12" t="n">
        <v>0.85</v>
      </c>
      <c r="F7" s="12" t="n">
        <v>0.91</v>
      </c>
      <c r="G7" s="12" t="n">
        <v>0.940818</v>
      </c>
      <c r="H7" s="13" t="n">
        <v>0.995197</v>
      </c>
      <c r="I7" s="13" t="n">
        <v>1.027047</v>
      </c>
      <c r="J7" s="13" t="n">
        <v>0.9222129999999999</v>
      </c>
      <c r="K7" s="13" t="n">
        <v>1.058122</v>
      </c>
      <c r="L7" s="13" t="n">
        <v>0.982232</v>
      </c>
      <c r="M7" s="13" t="n">
        <v>1.034765</v>
      </c>
      <c r="N7" s="12" t="n">
        <v>2.15</v>
      </c>
      <c r="O7" s="12" t="n">
        <v>2.74</v>
      </c>
      <c r="P7" s="12" t="n">
        <v>4.89</v>
      </c>
      <c r="Q7" s="12" t="n">
        <v>5.89</v>
      </c>
      <c r="R7" s="15" t="n">
        <v>2.15</v>
      </c>
      <c r="S7" s="15" t="n">
        <v>1.76</v>
      </c>
      <c r="T7" s="15" t="n">
        <v>3.91</v>
      </c>
      <c r="U7" s="15" t="n">
        <v>7.304</v>
      </c>
      <c r="V7" s="16" t="n">
        <v>0</v>
      </c>
      <c r="W7" s="17" t="n">
        <v>0.98</v>
      </c>
      <c r="X7" s="17" t="n">
        <v>0.98</v>
      </c>
      <c r="Y7" s="16" t="n">
        <v>-1.414</v>
      </c>
      <c r="Z7" s="18" t="n">
        <v>0</v>
      </c>
      <c r="AA7" s="19" t="n">
        <v>55.7</v>
      </c>
      <c r="AB7" s="19" t="n">
        <v>25.1</v>
      </c>
      <c r="AC7" s="18" t="n">
        <v>-19.4</v>
      </c>
    </row>
    <row r="8" ht="17" customHeight="1" s="122">
      <c r="A8" s="11" t="inlineStr">
        <is>
          <t>+ Reactivation</t>
        </is>
      </c>
      <c r="B8" s="12" t="n">
        <v>0.06</v>
      </c>
      <c r="C8" s="12" t="n">
        <v>0.065</v>
      </c>
      <c r="D8" s="12" t="n">
        <v>0.07000000000000001</v>
      </c>
      <c r="E8" s="12" t="n">
        <v>0.075</v>
      </c>
      <c r="F8" s="12" t="n">
        <v>0.08</v>
      </c>
      <c r="G8" s="12" t="n">
        <v>0.15</v>
      </c>
      <c r="H8" s="13" t="n">
        <v>0.307478</v>
      </c>
      <c r="I8" s="13" t="n">
        <v>0.373503</v>
      </c>
      <c r="J8" s="13" t="n">
        <v>0.382361</v>
      </c>
      <c r="K8" s="13" t="n">
        <v>0.391126</v>
      </c>
      <c r="L8" s="13" t="n">
        <v>0.399892</v>
      </c>
      <c r="M8" s="13" t="n">
        <v>0.408658</v>
      </c>
      <c r="N8" s="12" t="n">
        <v>0.195</v>
      </c>
      <c r="O8" s="12" t="n">
        <v>0.25</v>
      </c>
      <c r="P8" s="12" t="n">
        <v>0.445</v>
      </c>
      <c r="Q8" s="12" t="n">
        <v>0.78</v>
      </c>
      <c r="R8" s="15" t="n">
        <v>0.195</v>
      </c>
      <c r="S8" s="15" t="n">
        <v>0.155</v>
      </c>
      <c r="T8" s="15" t="n">
        <v>0.35</v>
      </c>
      <c r="U8" s="15" t="n">
        <v>1.727</v>
      </c>
      <c r="V8" s="20" t="n">
        <v>0</v>
      </c>
      <c r="W8" s="17" t="n">
        <v>0.095</v>
      </c>
      <c r="X8" s="17" t="n">
        <v>0.095</v>
      </c>
      <c r="Y8" s="16" t="n">
        <v>-0.947</v>
      </c>
      <c r="Z8" s="21" t="n">
        <v>0</v>
      </c>
      <c r="AA8" s="19" t="n">
        <v>61.3</v>
      </c>
      <c r="AB8" s="19" t="n">
        <v>27.1</v>
      </c>
      <c r="AC8" s="18" t="n">
        <v>-54.8</v>
      </c>
    </row>
    <row r="9" ht="17" customHeight="1" s="122">
      <c r="A9" s="11" t="inlineStr">
        <is>
          <t>- Contraction</t>
        </is>
      </c>
      <c r="B9" s="12" t="n">
        <v>0.18</v>
      </c>
      <c r="C9" s="12" t="n">
        <v>0.195</v>
      </c>
      <c r="D9" s="12" t="n">
        <v>0.21</v>
      </c>
      <c r="E9" s="12" t="n">
        <v>0.225</v>
      </c>
      <c r="F9" s="12" t="n">
        <v>0.24</v>
      </c>
      <c r="G9" s="12" t="n">
        <v>0.322877</v>
      </c>
      <c r="H9" s="13" t="n">
        <v>0.371121</v>
      </c>
      <c r="I9" s="13" t="n">
        <v>0.40243</v>
      </c>
      <c r="J9" s="13" t="n">
        <v>0.424036</v>
      </c>
      <c r="K9" s="13" t="n">
        <v>0.439679</v>
      </c>
      <c r="L9" s="13" t="n">
        <v>0.440972</v>
      </c>
      <c r="M9" s="13" t="n">
        <v>0.475141</v>
      </c>
      <c r="N9" s="12" t="n">
        <v>0.585</v>
      </c>
      <c r="O9" s="12" t="n">
        <v>0.6899999999999999</v>
      </c>
      <c r="P9" s="12" t="n">
        <v>1.275</v>
      </c>
      <c r="Q9" s="12" t="n">
        <v>3.64</v>
      </c>
      <c r="R9" s="15" t="n">
        <v>0.585</v>
      </c>
      <c r="S9" s="15" t="n">
        <v>0.465</v>
      </c>
      <c r="T9" s="15" t="n">
        <v>1.05</v>
      </c>
      <c r="U9" s="15" t="n">
        <v>2.513</v>
      </c>
      <c r="V9" s="16" t="n">
        <v>0</v>
      </c>
      <c r="W9" s="16" t="n">
        <v>0.225</v>
      </c>
      <c r="X9" s="16" t="n">
        <v>0.225</v>
      </c>
      <c r="Y9" s="17" t="n">
        <v>1.127</v>
      </c>
      <c r="Z9" s="18" t="n">
        <v>0</v>
      </c>
      <c r="AA9" s="18" t="n">
        <v>48.4</v>
      </c>
      <c r="AB9" s="18" t="n">
        <v>21.4</v>
      </c>
      <c r="AC9" s="19" t="n">
        <v>44.8</v>
      </c>
    </row>
    <row r="10" ht="17" customHeight="1" s="122">
      <c r="A10" s="11" t="inlineStr">
        <is>
          <t>- Churn</t>
        </is>
      </c>
      <c r="B10" s="12" t="n">
        <v>0.42</v>
      </c>
      <c r="C10" s="12" t="n">
        <v>0.435</v>
      </c>
      <c r="D10" s="12" t="n">
        <v>0.45</v>
      </c>
      <c r="E10" s="12" t="n">
        <v>0.47</v>
      </c>
      <c r="F10" s="12" t="n">
        <v>0.49</v>
      </c>
      <c r="G10" s="12" t="n">
        <v>0.530257</v>
      </c>
      <c r="H10" s="13" t="n">
        <v>0.612563</v>
      </c>
      <c r="I10" s="13" t="n">
        <v>0.662371</v>
      </c>
      <c r="J10" s="13" t="n">
        <v>0.705506</v>
      </c>
      <c r="K10" s="13" t="n">
        <v>0.707603</v>
      </c>
      <c r="L10" s="13" t="n">
        <v>0.7189219999999999</v>
      </c>
      <c r="M10" s="13" t="n">
        <v>0.8021239999999999</v>
      </c>
      <c r="N10" s="12" t="n">
        <v>1.305</v>
      </c>
      <c r="O10" s="12" t="n">
        <v>1.075</v>
      </c>
      <c r="P10" s="12" t="n">
        <v>2.38</v>
      </c>
      <c r="Q10" s="12" t="n">
        <v>5</v>
      </c>
      <c r="R10" s="15" t="n">
        <v>1.305</v>
      </c>
      <c r="S10" s="15" t="n">
        <v>0.96</v>
      </c>
      <c r="T10" s="15" t="n">
        <v>2.265</v>
      </c>
      <c r="U10" s="15" t="n">
        <v>11.616</v>
      </c>
      <c r="V10" s="16" t="n">
        <v>0</v>
      </c>
      <c r="W10" s="16" t="n">
        <v>0.115</v>
      </c>
      <c r="X10" s="16" t="n">
        <v>0.115</v>
      </c>
      <c r="Y10" s="17" t="n">
        <v>-6.616</v>
      </c>
      <c r="Z10" s="18" t="n">
        <v>0</v>
      </c>
      <c r="AA10" s="18" t="n">
        <v>12</v>
      </c>
      <c r="AB10" s="18" t="n">
        <v>5.1</v>
      </c>
      <c r="AC10" s="19" t="n">
        <v>-57</v>
      </c>
    </row>
    <row r="11" ht="6" customHeight="1" s="122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</row>
    <row r="12" ht="16" customHeight="1" s="122">
      <c r="A12" s="99" t="inlineStr">
        <is>
          <t xml:space="preserve">  NET NEW ARR &amp; ENDING ARR</t>
        </is>
      </c>
    </row>
    <row r="13" ht="17" customHeight="1" s="122">
      <c r="A13" s="5" t="inlineStr">
        <is>
          <t>Net New ARR</t>
        </is>
      </c>
      <c r="B13" s="6" t="n">
        <v>1.31</v>
      </c>
      <c r="C13" s="6" t="n">
        <v>1.505</v>
      </c>
      <c r="D13" s="6" t="n">
        <v>1.69</v>
      </c>
      <c r="E13" s="6" t="n">
        <v>1.88</v>
      </c>
      <c r="F13" s="6" t="n">
        <v>2.06</v>
      </c>
      <c r="G13" s="6">
        <f>SUM(G6:G8)-SUM(G9:G10)</f>
        <v/>
      </c>
      <c r="H13" s="104">
        <f>SUM(H6:H8)-SUM(H9:H10)</f>
        <v/>
      </c>
      <c r="I13" s="104">
        <f>SUM(I6:I8)-SUM(I9:I10)</f>
        <v/>
      </c>
      <c r="J13" s="104">
        <f>SUM(J6:J8)-SUM(J9:J10)</f>
        <v/>
      </c>
      <c r="K13" s="104">
        <f>SUM(K6:K8)-SUM(K9:K10)</f>
        <v/>
      </c>
      <c r="L13" s="104">
        <f>SUM(L6:L8)-SUM(L9:L10)</f>
        <v/>
      </c>
      <c r="M13" s="104">
        <f>SUM(M6:M8)-SUM(M9:M10)</f>
        <v/>
      </c>
      <c r="N13" s="6" t="n">
        <v>4.505</v>
      </c>
      <c r="O13" s="6" t="n">
        <v>6.595</v>
      </c>
      <c r="P13" s="6" t="n">
        <v>11.1</v>
      </c>
      <c r="Q13" s="6" t="n">
        <v>8.9</v>
      </c>
      <c r="R13" s="8" t="n">
        <v>4.505</v>
      </c>
      <c r="S13" s="8" t="n">
        <v>3.94</v>
      </c>
      <c r="T13" s="8" t="n">
        <v>8.445</v>
      </c>
      <c r="U13" s="8" t="n">
        <v>17.355</v>
      </c>
      <c r="V13" s="23" t="n">
        <v>0</v>
      </c>
      <c r="W13" s="9" t="n">
        <v>2.655</v>
      </c>
      <c r="X13" s="9" t="n">
        <v>2.655</v>
      </c>
      <c r="Y13" s="9" t="n">
        <v>-8.455</v>
      </c>
      <c r="Z13" s="24" t="n">
        <v>0</v>
      </c>
      <c r="AA13" s="10" t="n">
        <v>67.40000000000001</v>
      </c>
      <c r="AB13" s="10" t="n">
        <v>31.4</v>
      </c>
      <c r="AC13" s="10" t="n">
        <v>-48.7</v>
      </c>
    </row>
    <row r="14" ht="17" customHeight="1" s="122">
      <c r="A14" s="5" t="inlineStr">
        <is>
          <t>Ending ARR</t>
        </is>
      </c>
      <c r="B14" s="6" t="n">
        <v>76.31</v>
      </c>
      <c r="C14" s="6" t="n">
        <v>77.81</v>
      </c>
      <c r="D14" s="6" t="n">
        <v>79.5</v>
      </c>
      <c r="E14" s="6" t="n">
        <v>81.38</v>
      </c>
      <c r="F14" s="6" t="n">
        <v>83.45</v>
      </c>
      <c r="G14" s="6">
        <f>G5+G13</f>
        <v/>
      </c>
      <c r="H14" s="104">
        <f>H5+H13</f>
        <v/>
      </c>
      <c r="I14" s="104">
        <f>I5+I13</f>
        <v/>
      </c>
      <c r="J14" s="104">
        <f>J5+J13</f>
        <v/>
      </c>
      <c r="K14" s="104">
        <f>K5+K13</f>
        <v/>
      </c>
      <c r="L14" s="104">
        <f>L5+L13</f>
        <v/>
      </c>
      <c r="M14" s="104">
        <f>M5+M13</f>
        <v/>
      </c>
      <c r="N14" s="6" t="n">
        <v>79.5</v>
      </c>
      <c r="O14" s="6" t="n">
        <v>86.09999999999999</v>
      </c>
      <c r="P14" s="6" t="n">
        <v>86.09999999999999</v>
      </c>
      <c r="Q14" s="6" t="n">
        <v>95</v>
      </c>
      <c r="R14" s="8" t="n">
        <v>79.5</v>
      </c>
      <c r="S14" s="8" t="n">
        <v>83.44</v>
      </c>
      <c r="T14" s="8" t="n">
        <v>83.44</v>
      </c>
      <c r="U14" s="8" t="n">
        <v>92.36</v>
      </c>
      <c r="V14" s="23" t="n">
        <v>0</v>
      </c>
      <c r="W14" s="9" t="n">
        <v>2.66</v>
      </c>
      <c r="X14" s="9" t="n">
        <v>2.66</v>
      </c>
      <c r="Y14" s="23" t="n">
        <v>2.64</v>
      </c>
      <c r="Z14" s="24" t="n">
        <v>0</v>
      </c>
      <c r="AA14" s="10" t="n">
        <v>3.2</v>
      </c>
      <c r="AB14" s="10" t="n">
        <v>3.2</v>
      </c>
      <c r="AC14" s="24" t="n">
        <v>2.9</v>
      </c>
    </row>
    <row r="15" ht="6" customHeight="1" s="122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</row>
    <row r="16" ht="16" customHeight="1" s="122">
      <c r="A16" s="99" t="inlineStr">
        <is>
          <t xml:space="preserve">  RETENTION METRICS</t>
        </is>
      </c>
    </row>
    <row r="17" ht="17" customHeight="1" s="122">
      <c r="A17" s="25" t="inlineStr">
        <is>
          <t>NRR %</t>
        </is>
      </c>
      <c r="B17" s="103" t="n">
        <v>1.0007</v>
      </c>
      <c r="C17" s="103" t="n">
        <v>1.0012</v>
      </c>
      <c r="D17" s="103" t="n">
        <v>1.0015</v>
      </c>
      <c r="E17" s="103" t="n">
        <v>1.0019</v>
      </c>
      <c r="F17" s="103" t="n">
        <v>1.0022</v>
      </c>
      <c r="G17" s="103" t="n">
        <v>1.0077</v>
      </c>
      <c r="H17" s="105" t="n">
        <v>1.0061</v>
      </c>
      <c r="I17" s="105" t="n">
        <v>1.0054</v>
      </c>
      <c r="J17" s="105" t="n">
        <v>1.0058</v>
      </c>
      <c r="K17" s="105" t="n">
        <v>1.0051</v>
      </c>
      <c r="L17" s="105" t="n">
        <v>1.0062</v>
      </c>
      <c r="M17" s="105" t="n">
        <v>1.0058</v>
      </c>
      <c r="N17" s="77" t="n">
        <v>1.0011</v>
      </c>
      <c r="O17" s="77" t="n">
        <v>1.0039</v>
      </c>
      <c r="P17" s="77" t="n">
        <v>1.0025</v>
      </c>
      <c r="Q17" s="77" t="n">
        <v>0.999575</v>
      </c>
      <c r="R17" s="91" t="n">
        <v>1.0011</v>
      </c>
      <c r="S17" s="91" t="n">
        <v>1.0014</v>
      </c>
      <c r="T17" s="91" t="n">
        <v>1.0012</v>
      </c>
      <c r="U17" s="91" t="n">
        <v>1.0035</v>
      </c>
      <c r="V17" s="18" t="n">
        <v>0.0004333333333335077</v>
      </c>
      <c r="W17" s="18" t="n">
        <v>0.001350000000000051</v>
      </c>
      <c r="X17" s="18" t="n">
        <v>0.000800000000000125</v>
      </c>
      <c r="Y17" s="19" t="n">
        <v>-0.001124999999999972</v>
      </c>
      <c r="Z17" s="18" t="n">
        <v>0.0004330302121849782</v>
      </c>
      <c r="AA17" s="18" t="n">
        <v>0.001349055661037325</v>
      </c>
      <c r="AB17" s="18" t="n">
        <v>0.000799440391725917</v>
      </c>
      <c r="AC17" s="19" t="n">
        <v>-0.001124213050864367</v>
      </c>
    </row>
    <row r="18" ht="17" customHeight="1" s="122">
      <c r="A18" s="25" t="inlineStr">
        <is>
          <t>GRR %</t>
        </is>
      </c>
      <c r="B18" s="103" t="n">
        <v>0.992</v>
      </c>
      <c r="C18" s="103" t="n">
        <v>0.9917</v>
      </c>
      <c r="D18" s="103" t="n">
        <v>0.9915</v>
      </c>
      <c r="E18" s="103" t="n">
        <v>0.9913</v>
      </c>
      <c r="F18" s="103" t="n">
        <v>0.991</v>
      </c>
      <c r="G18" s="103" t="n">
        <v>0.9959</v>
      </c>
      <c r="H18" s="105" t="n">
        <v>0.9784</v>
      </c>
      <c r="I18" s="105" t="n">
        <v>0.9829</v>
      </c>
      <c r="J18" s="105" t="n">
        <v>0.9796</v>
      </c>
      <c r="K18" s="105" t="n">
        <v>0.9839</v>
      </c>
      <c r="L18" s="105" t="n">
        <v>0.9864000000000001</v>
      </c>
      <c r="M18" s="105" t="n">
        <v>0.9812</v>
      </c>
      <c r="N18" s="77" t="n">
        <v>0.9918</v>
      </c>
      <c r="O18" s="77" t="n">
        <v>0.9927</v>
      </c>
      <c r="P18" s="77" t="n">
        <v>0.9922</v>
      </c>
      <c r="Q18" s="77" t="n">
        <v>0.9912083333333334</v>
      </c>
      <c r="R18" s="91" t="n">
        <v>0.9917</v>
      </c>
      <c r="S18" s="91" t="n">
        <v>0.9941</v>
      </c>
      <c r="T18" s="91" t="n">
        <v>0.9929</v>
      </c>
      <c r="U18" s="91" t="n">
        <v>0.9875</v>
      </c>
      <c r="V18" s="19" t="n">
        <v>-0.0002666666666667084</v>
      </c>
      <c r="W18" s="19" t="n">
        <v>-0.0008500000000000795</v>
      </c>
      <c r="X18" s="19" t="n">
        <v>-0.0004999999999999716</v>
      </c>
      <c r="Y18" s="19" t="n">
        <v>-0.0007916666666666572</v>
      </c>
      <c r="Z18" s="19" t="n">
        <v>-0.0002688172043011173</v>
      </c>
      <c r="AA18" s="19" t="n">
        <v>-0.0008568548387097577</v>
      </c>
      <c r="AB18" s="19" t="n">
        <v>-0.0005040322580644875</v>
      </c>
      <c r="AC18" s="19" t="n">
        <v>-0.0007980510752688076</v>
      </c>
    </row>
    <row r="20" ht="24" customHeight="1" s="122">
      <c r="A20" s="100" t="inlineStr">
        <is>
          <t xml:space="preserve">  Note: Jun Actual column (yellow) is a user-input placeholder. Enter June actuals when the period closes. Q2 Act and H1 Act subtotals will auto-populate based on formulas. Forecast Jul–Dec sourced from Forecast_mrr_waterfall.csv.</t>
        </is>
      </c>
    </row>
  </sheetData>
  <mergeCells count="10">
    <mergeCell ref="B2:G2"/>
    <mergeCell ref="V2:AC2"/>
    <mergeCell ref="A16:AC16"/>
    <mergeCell ref="A12:AC12"/>
    <mergeCell ref="A4:AC4"/>
    <mergeCell ref="N2:Q2"/>
    <mergeCell ref="A20:M20"/>
    <mergeCell ref="R2:U2"/>
    <mergeCell ref="H2:M2"/>
    <mergeCell ref="A1:A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showGridLines="0" workbookViewId="0">
      <pane xSplit="1" ySplit="3" topLeftCell="D4" activePane="bottomRight" state="frozen"/>
      <selection pane="topRight" activeCell="A1" sqref="A1"/>
      <selection pane="bottomLeft" activeCell="A1" sqref="A1"/>
      <selection pane="bottomRight" activeCell="H3" sqref="H3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Income Statement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REVENUE</t>
        </is>
      </c>
    </row>
    <row r="5" ht="17" customHeight="1" s="122">
      <c r="A5" s="5" t="inlineStr">
        <is>
          <t>Total Revenue</t>
        </is>
      </c>
      <c r="B5" s="6" t="n">
        <v>6.59</v>
      </c>
      <c r="C5" s="6" t="n">
        <v>6.71</v>
      </c>
      <c r="D5" s="6" t="n">
        <v>6.85</v>
      </c>
      <c r="E5" s="6" t="n">
        <v>7.01</v>
      </c>
      <c r="F5" s="6" t="n">
        <v>7.18</v>
      </c>
      <c r="G5" s="6" t="n">
        <v>7.4118</v>
      </c>
      <c r="H5" s="104" t="n">
        <v>7.36</v>
      </c>
      <c r="I5" s="104" t="n">
        <v>7.54</v>
      </c>
      <c r="J5" s="104" t="n">
        <v>7.73</v>
      </c>
      <c r="K5" s="104" t="n">
        <v>7.9</v>
      </c>
      <c r="L5" s="104" t="n">
        <v>8.08</v>
      </c>
      <c r="M5" s="104" t="n">
        <v>8.24</v>
      </c>
      <c r="N5" s="7" t="n">
        <v>20.15</v>
      </c>
      <c r="O5" s="7" t="n">
        <v>14.19</v>
      </c>
      <c r="P5" s="7" t="n">
        <v>34.34</v>
      </c>
      <c r="Q5" s="7" t="n">
        <v>89.59999999999999</v>
      </c>
      <c r="R5" s="8" t="n">
        <v>20.14</v>
      </c>
      <c r="S5" s="8" t="n">
        <v>21.52</v>
      </c>
      <c r="T5" s="8" t="n">
        <v>41.66</v>
      </c>
      <c r="U5" s="8" t="n">
        <v>89.53</v>
      </c>
      <c r="V5" s="23" t="n">
        <v>0.00999999999999801</v>
      </c>
      <c r="W5" s="9" t="n">
        <v>-7.33</v>
      </c>
      <c r="X5" s="9" t="n">
        <v>-7.32</v>
      </c>
      <c r="Y5" s="23" t="n">
        <v>0.06999999999999318</v>
      </c>
      <c r="Z5" s="24" t="n">
        <v>0.0004965243296920561</v>
      </c>
      <c r="AA5" s="10" t="n">
        <v>-0.3406133828996283</v>
      </c>
      <c r="AB5" s="10" t="n">
        <v>-0.1757081132981277</v>
      </c>
      <c r="AC5" s="24" t="n">
        <v>0.0007818608287724023</v>
      </c>
    </row>
    <row r="6" ht="17" customHeight="1" s="122">
      <c r="A6" s="11" t="inlineStr">
        <is>
          <t xml:space="preserve">  Subscription Rev</t>
        </is>
      </c>
      <c r="B6" s="12" t="n">
        <v>6.29</v>
      </c>
      <c r="C6" s="12" t="n">
        <v>6.41</v>
      </c>
      <c r="D6" s="12" t="n">
        <v>6.54</v>
      </c>
      <c r="E6" s="12" t="n">
        <v>6.69</v>
      </c>
      <c r="F6" s="12" t="n">
        <v>6.85</v>
      </c>
      <c r="G6" s="12" t="n">
        <v>7.1694</v>
      </c>
      <c r="H6" s="13" t="n">
        <v>7.0288</v>
      </c>
      <c r="I6" s="13" t="n">
        <v>7.200699999999999</v>
      </c>
      <c r="J6" s="13" t="n">
        <v>7.38215</v>
      </c>
      <c r="K6" s="13" t="n">
        <v>7.5445</v>
      </c>
      <c r="L6" s="13" t="n">
        <v>7.7164</v>
      </c>
      <c r="M6" s="13" t="n">
        <v>7.8692</v>
      </c>
      <c r="N6" s="14" t="n">
        <v>19.24</v>
      </c>
      <c r="O6" s="14" t="n">
        <v>13.54</v>
      </c>
      <c r="P6" s="14" t="n">
        <v>32.78</v>
      </c>
      <c r="Q6" s="14" t="n">
        <v>85.55330000000001</v>
      </c>
      <c r="R6" s="15" t="n">
        <v>19.2337</v>
      </c>
      <c r="S6" s="15" t="n">
        <v>20.5516</v>
      </c>
      <c r="T6" s="15" t="n">
        <v>39.7853</v>
      </c>
      <c r="U6" s="15" t="n">
        <v>85.50115</v>
      </c>
      <c r="V6" s="16" t="n">
        <v>0.006300000000003081</v>
      </c>
      <c r="W6" s="17" t="n">
        <v>-7.011600000000001</v>
      </c>
      <c r="X6" s="17" t="n">
        <v>-7.005299999999998</v>
      </c>
      <c r="Y6" s="16" t="n">
        <v>0.05215000000001169</v>
      </c>
      <c r="Z6" s="18" t="n">
        <v>0.0003275500813677598</v>
      </c>
      <c r="AA6" s="19" t="n">
        <v>-0.3411705171373519</v>
      </c>
      <c r="AB6" s="19" t="n">
        <v>-0.1760775964992095</v>
      </c>
      <c r="AC6" s="18" t="n">
        <v>0.0006099333166865204</v>
      </c>
    </row>
    <row r="7" ht="17" customHeight="1" s="122">
      <c r="A7" s="11" t="inlineStr">
        <is>
          <t xml:space="preserve">  Services Rev</t>
        </is>
      </c>
      <c r="B7" s="12" t="n">
        <v>0.3</v>
      </c>
      <c r="C7" s="12" t="n">
        <v>0.3</v>
      </c>
      <c r="D7" s="12" t="n">
        <v>0.31</v>
      </c>
      <c r="E7" s="12" t="n">
        <v>0.32</v>
      </c>
      <c r="F7" s="12" t="n">
        <v>0.33</v>
      </c>
      <c r="G7" s="12" t="n">
        <v>0.2424</v>
      </c>
      <c r="H7" s="13" t="n">
        <v>0.3312</v>
      </c>
      <c r="I7" s="13" t="n">
        <v>0.3393</v>
      </c>
      <c r="J7" s="13" t="n">
        <v>0.34785</v>
      </c>
      <c r="K7" s="13" t="n">
        <v>0.3555</v>
      </c>
      <c r="L7" s="13" t="n">
        <v>0.3636</v>
      </c>
      <c r="M7" s="13" t="n">
        <v>0.3708</v>
      </c>
      <c r="N7" s="14" t="n">
        <v>0.9099999999999999</v>
      </c>
      <c r="O7" s="14" t="n">
        <v>0.65</v>
      </c>
      <c r="P7" s="14" t="n">
        <v>1.56</v>
      </c>
      <c r="Q7" s="14" t="n">
        <v>4.0467</v>
      </c>
      <c r="R7" s="15" t="n">
        <v>0.9062999999999999</v>
      </c>
      <c r="S7" s="15" t="n">
        <v>0.9683999999999999</v>
      </c>
      <c r="T7" s="15" t="n">
        <v>1.8747</v>
      </c>
      <c r="U7" s="15" t="n">
        <v>4.02885</v>
      </c>
      <c r="V7" s="16" t="n">
        <v>0.003700000000000037</v>
      </c>
      <c r="W7" s="17" t="n">
        <v>-0.3183999999999999</v>
      </c>
      <c r="X7" s="17" t="n">
        <v>-0.3146999999999998</v>
      </c>
      <c r="Y7" s="16" t="n">
        <v>0.01784999999999926</v>
      </c>
      <c r="Z7" s="18" t="n">
        <v>0.004082533377468871</v>
      </c>
      <c r="AA7" s="19" t="n">
        <v>-0.3287897562990499</v>
      </c>
      <c r="AB7" s="19" t="n">
        <v>-0.1678668586973915</v>
      </c>
      <c r="AC7" s="18" t="n">
        <v>0.004430544696377193</v>
      </c>
    </row>
    <row r="8" ht="6" customHeight="1" s="122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</row>
    <row r="9" ht="16" customHeight="1" s="122">
      <c r="A9" s="99" t="inlineStr">
        <is>
          <t xml:space="preserve">  GROSS PROFIT</t>
        </is>
      </c>
    </row>
    <row r="10" ht="17" customHeight="1" s="122">
      <c r="A10" s="11" t="inlineStr">
        <is>
          <t>Cost of Revenue</t>
        </is>
      </c>
      <c r="B10" s="12" t="n">
        <v>1.52</v>
      </c>
      <c r="C10" s="12" t="n">
        <v>1.54</v>
      </c>
      <c r="D10" s="12" t="n">
        <v>1.58</v>
      </c>
      <c r="E10" s="12" t="n">
        <v>1.61</v>
      </c>
      <c r="F10" s="12" t="n">
        <v>1.65</v>
      </c>
      <c r="G10" s="12" t="n">
        <v>1.5416</v>
      </c>
      <c r="H10" s="13" t="n">
        <v>1.69</v>
      </c>
      <c r="I10" s="13" t="n">
        <v>1.73</v>
      </c>
      <c r="J10" s="13" t="n">
        <v>1.78</v>
      </c>
      <c r="K10" s="13" t="n">
        <v>1.82</v>
      </c>
      <c r="L10" s="13" t="n">
        <v>1.86</v>
      </c>
      <c r="M10" s="13" t="n">
        <v>1.9</v>
      </c>
      <c r="N10" s="14" t="n">
        <v>4.640000000000001</v>
      </c>
      <c r="O10" s="14" t="n">
        <v>3.26</v>
      </c>
      <c r="P10" s="14" t="n">
        <v>7.9</v>
      </c>
      <c r="Q10" s="14" t="n">
        <v>20.61</v>
      </c>
      <c r="R10" s="15" t="n">
        <v>4.63</v>
      </c>
      <c r="S10" s="15" t="n">
        <v>4.95</v>
      </c>
      <c r="T10" s="15" t="n">
        <v>9.58</v>
      </c>
      <c r="U10" s="15" t="n">
        <v>20.6</v>
      </c>
      <c r="V10" s="17" t="n">
        <v>0.01000000000000068</v>
      </c>
      <c r="W10" s="16" t="n">
        <v>-1.69</v>
      </c>
      <c r="X10" s="16" t="n">
        <v>-1.68</v>
      </c>
      <c r="Y10" s="17" t="n">
        <v>0.00999999999999801</v>
      </c>
      <c r="Z10" s="19" t="n">
        <v>0.00215982721382304</v>
      </c>
      <c r="AA10" s="18" t="n">
        <v>-0.3414141414141415</v>
      </c>
      <c r="AB10" s="18" t="n">
        <v>-0.1753653444676409</v>
      </c>
      <c r="AC10" s="19" t="n">
        <v>0.0004854368932037869</v>
      </c>
    </row>
    <row r="11" ht="17" customHeight="1" s="122">
      <c r="A11" s="5" t="inlineStr">
        <is>
          <t>Gross Profit</t>
        </is>
      </c>
      <c r="B11" s="6" t="n">
        <v>5.07</v>
      </c>
      <c r="C11" s="6" t="n">
        <v>5.17</v>
      </c>
      <c r="D11" s="6" t="n">
        <v>5.27</v>
      </c>
      <c r="E11" s="6" t="n">
        <v>5.39</v>
      </c>
      <c r="F11" s="6" t="n">
        <v>5.53</v>
      </c>
      <c r="G11" s="6" t="n">
        <v>5.8701</v>
      </c>
      <c r="H11" s="104" t="n">
        <v>5.67</v>
      </c>
      <c r="I11" s="104" t="n">
        <v>5.81</v>
      </c>
      <c r="J11" s="104" t="n">
        <v>5.95</v>
      </c>
      <c r="K11" s="104" t="n">
        <v>6.08</v>
      </c>
      <c r="L11" s="104" t="n">
        <v>6.22</v>
      </c>
      <c r="M11" s="104" t="n">
        <v>6.34</v>
      </c>
      <c r="N11" s="7" t="n">
        <v>15.51</v>
      </c>
      <c r="O11" s="7" t="n">
        <v>10.92</v>
      </c>
      <c r="P11" s="7" t="n">
        <v>26.43</v>
      </c>
      <c r="Q11" s="7" t="n">
        <v>68.98</v>
      </c>
      <c r="R11" s="8" t="n">
        <v>15.5</v>
      </c>
      <c r="S11" s="8" t="n">
        <v>16.57</v>
      </c>
      <c r="T11" s="8" t="n">
        <v>32.07</v>
      </c>
      <c r="U11" s="8" t="n">
        <v>68.92</v>
      </c>
      <c r="V11" s="23" t="n">
        <v>0.009999999999999787</v>
      </c>
      <c r="W11" s="9" t="n">
        <v>-5.65</v>
      </c>
      <c r="X11" s="9" t="n">
        <v>-5.640000000000001</v>
      </c>
      <c r="Y11" s="23" t="n">
        <v>0.06000000000000227</v>
      </c>
      <c r="Z11" s="24" t="n">
        <v>0.0006451612903225669</v>
      </c>
      <c r="AA11" s="10" t="n">
        <v>-0.3409776704888353</v>
      </c>
      <c r="AB11" s="10" t="n">
        <v>-0.175865294667914</v>
      </c>
      <c r="AC11" s="24" t="n">
        <v>0.0008705745792223197</v>
      </c>
    </row>
    <row r="12" ht="17" customHeight="1" s="122">
      <c r="A12" s="11" t="inlineStr">
        <is>
          <t>Gross Margin %</t>
        </is>
      </c>
      <c r="B12" s="26" t="n">
        <v>0.77</v>
      </c>
      <c r="C12" s="26" t="n">
        <v>0.77</v>
      </c>
      <c r="D12" s="26" t="n">
        <v>0.77</v>
      </c>
      <c r="E12" s="26" t="n">
        <v>0.77</v>
      </c>
      <c r="F12" s="26" t="n">
        <v>0.77</v>
      </c>
      <c r="G12" s="77" t="n">
        <v>0.792</v>
      </c>
      <c r="H12" s="27" t="n">
        <v>0.77</v>
      </c>
      <c r="I12" s="27" t="n">
        <v>0.77</v>
      </c>
      <c r="J12" s="27" t="n">
        <v>0.77</v>
      </c>
      <c r="K12" s="27" t="n">
        <v>0.77</v>
      </c>
      <c r="L12" s="27" t="n">
        <v>0.77</v>
      </c>
      <c r="M12" s="27" t="n">
        <v>0.77</v>
      </c>
      <c r="N12" s="28" t="n">
        <v>0.77</v>
      </c>
      <c r="O12" s="28" t="n">
        <v>0.77</v>
      </c>
      <c r="P12" s="28" t="n">
        <v>0.77</v>
      </c>
      <c r="Q12" s="28" t="n">
        <v>0.77</v>
      </c>
      <c r="R12" s="29" t="n">
        <v>0.77</v>
      </c>
      <c r="S12" s="29" t="n">
        <v>0.77</v>
      </c>
      <c r="T12" s="29" t="n">
        <v>0.77</v>
      </c>
      <c r="U12" s="29" t="n">
        <v>0.77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</row>
    <row r="13" ht="6" customHeight="1" s="122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</row>
    <row r="14" ht="16" customHeight="1" s="122">
      <c r="A14" s="99" t="inlineStr">
        <is>
          <t xml:space="preserve">  OPERATING EXPENSES</t>
        </is>
      </c>
    </row>
    <row r="15" ht="17" customHeight="1" s="122">
      <c r="A15" s="11" t="inlineStr">
        <is>
          <t>Sales &amp; Marketing</t>
        </is>
      </c>
      <c r="B15" s="12" t="n">
        <v>3.43</v>
      </c>
      <c r="C15" s="12" t="n">
        <v>3.49</v>
      </c>
      <c r="D15" s="12" t="n">
        <v>3.56</v>
      </c>
      <c r="E15" s="12" t="n">
        <v>3.64</v>
      </c>
      <c r="F15" s="12" t="n">
        <v>3.73</v>
      </c>
      <c r="G15" s="12" t="n">
        <v>3.15</v>
      </c>
      <c r="H15" s="13" t="n">
        <v>3.83</v>
      </c>
      <c r="I15" s="13" t="n">
        <v>3.92</v>
      </c>
      <c r="J15" s="13" t="n">
        <v>4.02</v>
      </c>
      <c r="K15" s="13" t="n">
        <v>4.11</v>
      </c>
      <c r="L15" s="13" t="n">
        <v>4.2</v>
      </c>
      <c r="M15" s="13" t="n">
        <v>4.28</v>
      </c>
      <c r="N15" s="14" t="n">
        <v>10.48</v>
      </c>
      <c r="O15" s="14" t="n">
        <v>7.37</v>
      </c>
      <c r="P15" s="14" t="n">
        <v>17.85</v>
      </c>
      <c r="Q15" s="14" t="n">
        <v>46.58</v>
      </c>
      <c r="R15" s="15" t="n">
        <v>10.47</v>
      </c>
      <c r="S15" s="15" t="n">
        <v>11.19</v>
      </c>
      <c r="T15" s="15" t="n">
        <v>21.66</v>
      </c>
      <c r="U15" s="15" t="n">
        <v>46.56</v>
      </c>
      <c r="V15" s="17" t="n">
        <v>0.009999999999999787</v>
      </c>
      <c r="W15" s="16" t="n">
        <v>-3.819999999999999</v>
      </c>
      <c r="X15" s="16" t="n">
        <v>-3.809999999999999</v>
      </c>
      <c r="Y15" s="17" t="n">
        <v>0.01999999999999602</v>
      </c>
      <c r="Z15" s="19" t="n">
        <v>0.0009551098376313072</v>
      </c>
      <c r="AA15" s="18" t="n">
        <v>-0.3413762287756926</v>
      </c>
      <c r="AB15" s="18" t="n">
        <v>-0.1759002770083102</v>
      </c>
      <c r="AC15" s="19" t="n">
        <v>0.0004295532646047255</v>
      </c>
    </row>
    <row r="16" ht="17" customHeight="1" s="122">
      <c r="A16" s="11" t="inlineStr">
        <is>
          <t>Research &amp; Development</t>
        </is>
      </c>
      <c r="B16" s="12" t="n">
        <v>1.12</v>
      </c>
      <c r="C16" s="12" t="n">
        <v>1.14</v>
      </c>
      <c r="D16" s="12" t="n">
        <v>1.16</v>
      </c>
      <c r="E16" s="12" t="n">
        <v>1.19</v>
      </c>
      <c r="F16" s="12" t="n">
        <v>1.22</v>
      </c>
      <c r="G16" s="12" t="n">
        <v>2.7572</v>
      </c>
      <c r="H16" s="13" t="n">
        <v>1.25</v>
      </c>
      <c r="I16" s="13" t="n">
        <v>1.28</v>
      </c>
      <c r="J16" s="13" t="n">
        <v>1.32</v>
      </c>
      <c r="K16" s="13" t="n">
        <v>1.35</v>
      </c>
      <c r="L16" s="13" t="n">
        <v>1.38</v>
      </c>
      <c r="M16" s="13" t="n">
        <v>1.41</v>
      </c>
      <c r="N16" s="14" t="n">
        <v>3.42</v>
      </c>
      <c r="O16" s="14" t="n">
        <v>2.41</v>
      </c>
      <c r="P16" s="14" t="n">
        <v>5.83</v>
      </c>
      <c r="Q16" s="14" t="n">
        <v>15.26</v>
      </c>
      <c r="R16" s="15" t="n">
        <v>3.36</v>
      </c>
      <c r="S16" s="15" t="n">
        <v>3.59</v>
      </c>
      <c r="T16" s="15" t="n">
        <v>6.95</v>
      </c>
      <c r="U16" s="15" t="n">
        <v>14.96</v>
      </c>
      <c r="V16" s="17" t="n">
        <v>0.05999999999999961</v>
      </c>
      <c r="W16" s="16" t="n">
        <v>-1.18</v>
      </c>
      <c r="X16" s="16" t="n">
        <v>-1.12</v>
      </c>
      <c r="Y16" s="17" t="n">
        <v>0.2999999999999989</v>
      </c>
      <c r="Z16" s="19" t="n">
        <v>0.01785714285714274</v>
      </c>
      <c r="AA16" s="18" t="n">
        <v>-0.3286908077994428</v>
      </c>
      <c r="AB16" s="18" t="n">
        <v>-0.1611510791366907</v>
      </c>
      <c r="AC16" s="19" t="n">
        <v>0.0200534759358288</v>
      </c>
    </row>
    <row r="17" ht="17" customHeight="1" s="122">
      <c r="A17" s="11" t="inlineStr">
        <is>
          <t>General &amp; Administrative</t>
        </is>
      </c>
      <c r="B17" s="12" t="n">
        <v>0.72</v>
      </c>
      <c r="C17" s="12" t="n">
        <v>0.74</v>
      </c>
      <c r="D17" s="12" t="n">
        <v>0.75</v>
      </c>
      <c r="E17" s="12" t="n">
        <v>0.77</v>
      </c>
      <c r="F17" s="12" t="n">
        <v>0.79</v>
      </c>
      <c r="G17" s="12" t="n">
        <v>1.26</v>
      </c>
      <c r="H17" s="13" t="n">
        <v>0.8100000000000001</v>
      </c>
      <c r="I17" s="13" t="n">
        <v>0.83</v>
      </c>
      <c r="J17" s="13" t="n">
        <v>0.85</v>
      </c>
      <c r="K17" s="13" t="n">
        <v>0.87</v>
      </c>
      <c r="L17" s="13" t="n">
        <v>0.89</v>
      </c>
      <c r="M17" s="13" t="n">
        <v>0.91</v>
      </c>
      <c r="N17" s="14" t="n">
        <v>2.21</v>
      </c>
      <c r="O17" s="14" t="n">
        <v>1.56</v>
      </c>
      <c r="P17" s="14" t="n">
        <v>3.77</v>
      </c>
      <c r="Q17" s="14" t="n">
        <v>9.859999999999999</v>
      </c>
      <c r="R17" s="15" t="n">
        <v>2.15</v>
      </c>
      <c r="S17" s="15" t="n">
        <v>2.31</v>
      </c>
      <c r="T17" s="15" t="n">
        <v>4.46</v>
      </c>
      <c r="U17" s="15" t="n">
        <v>9.619999999999999</v>
      </c>
      <c r="V17" s="17" t="n">
        <v>0.06000000000000005</v>
      </c>
      <c r="W17" s="16" t="n">
        <v>-0.75</v>
      </c>
      <c r="X17" s="16" t="n">
        <v>-0.6899999999999999</v>
      </c>
      <c r="Y17" s="17" t="n">
        <v>0.2400000000000002</v>
      </c>
      <c r="Z17" s="19" t="n">
        <v>0.02790697674418607</v>
      </c>
      <c r="AA17" s="18" t="n">
        <v>-0.3246753246753247</v>
      </c>
      <c r="AB17" s="18" t="n">
        <v>-0.1547085201793722</v>
      </c>
      <c r="AC17" s="19" t="n">
        <v>0.02494802494802497</v>
      </c>
    </row>
    <row r="18" ht="17" customHeight="1" s="122">
      <c r="A18" s="5" t="inlineStr">
        <is>
          <t>Total OpEx</t>
        </is>
      </c>
      <c r="B18" s="6" t="n">
        <v>5.27</v>
      </c>
      <c r="C18" s="6" t="n">
        <v>5.37</v>
      </c>
      <c r="D18" s="6" t="n">
        <v>5.47</v>
      </c>
      <c r="E18" s="6" t="n">
        <v>5.6</v>
      </c>
      <c r="F18" s="6" t="n">
        <v>5.74</v>
      </c>
      <c r="G18" s="6" t="n">
        <v>7.1672</v>
      </c>
      <c r="H18" s="104" t="n">
        <v>5.890000000000001</v>
      </c>
      <c r="I18" s="104" t="n">
        <v>6.03</v>
      </c>
      <c r="J18" s="104" t="n">
        <v>6.19</v>
      </c>
      <c r="K18" s="104" t="n">
        <v>6.330000000000001</v>
      </c>
      <c r="L18" s="104" t="n">
        <v>6.47</v>
      </c>
      <c r="M18" s="104" t="n">
        <v>6.600000000000001</v>
      </c>
      <c r="N18" s="7" t="n">
        <v>16.11</v>
      </c>
      <c r="O18" s="7" t="n">
        <v>11.34</v>
      </c>
      <c r="P18" s="7" t="n">
        <v>27.45</v>
      </c>
      <c r="Q18" s="7" t="n">
        <v>71.7</v>
      </c>
      <c r="R18" s="8" t="n">
        <v>15.98</v>
      </c>
      <c r="S18" s="8" t="n">
        <v>17.09</v>
      </c>
      <c r="T18" s="8" t="n">
        <v>33.07</v>
      </c>
      <c r="U18" s="8" t="n">
        <v>71.14</v>
      </c>
      <c r="V18" s="9" t="n">
        <v>0.129999999999999</v>
      </c>
      <c r="W18" s="23" t="n">
        <v>-5.75</v>
      </c>
      <c r="X18" s="23" t="n">
        <v>-5.620000000000001</v>
      </c>
      <c r="Y18" s="9" t="n">
        <v>0.5600000000000023</v>
      </c>
      <c r="Z18" s="10" t="n">
        <v>0.00813516896120144</v>
      </c>
      <c r="AA18" s="24" t="n">
        <v>-0.3364540667056758</v>
      </c>
      <c r="AB18" s="24" t="n">
        <v>-0.169942546114303</v>
      </c>
      <c r="AC18" s="10" t="n">
        <v>0.007871802080404867</v>
      </c>
    </row>
    <row r="19" ht="6" customHeight="1" s="122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</row>
    <row r="20" ht="16" customHeight="1" s="122">
      <c r="A20" s="99" t="inlineStr">
        <is>
          <t xml:space="preserve">  EBITDA</t>
        </is>
      </c>
    </row>
    <row r="21" ht="17" customHeight="1" s="122">
      <c r="A21" s="5" t="inlineStr">
        <is>
          <t>EBITDA</t>
        </is>
      </c>
      <c r="B21" s="6" t="n">
        <v>-0.2</v>
      </c>
      <c r="C21" s="6" t="n">
        <v>-0.2</v>
      </c>
      <c r="D21" s="6" t="n">
        <v>-0.21</v>
      </c>
      <c r="E21" s="6" t="n">
        <v>-0.21</v>
      </c>
      <c r="F21" s="6" t="n">
        <v>-0.22</v>
      </c>
      <c r="G21" s="6" t="n">
        <v>-1.2971</v>
      </c>
      <c r="H21" s="104" t="n">
        <v>-0.22</v>
      </c>
      <c r="I21" s="104" t="n">
        <v>-0.23</v>
      </c>
      <c r="J21" s="104" t="n">
        <v>-0.23</v>
      </c>
      <c r="K21" s="104" t="n">
        <v>-0.24</v>
      </c>
      <c r="L21" s="104" t="n">
        <v>-0.24</v>
      </c>
      <c r="M21" s="104" t="n">
        <v>-0.25</v>
      </c>
      <c r="N21" s="7" t="n">
        <v>-0.61</v>
      </c>
      <c r="O21" s="7" t="n">
        <v>-0.43</v>
      </c>
      <c r="P21" s="7" t="n">
        <v>-1.04</v>
      </c>
      <c r="Q21" s="7" t="n">
        <v>-2.7</v>
      </c>
      <c r="R21" s="8" t="n">
        <v>-0.61</v>
      </c>
      <c r="S21" s="8" t="n">
        <v>-0.65</v>
      </c>
      <c r="T21" s="8" t="n">
        <v>-1.26</v>
      </c>
      <c r="U21" s="8" t="n">
        <v>-2.7</v>
      </c>
      <c r="V21" s="30" t="n">
        <v>0</v>
      </c>
      <c r="W21" s="23" t="n">
        <v>0.22</v>
      </c>
      <c r="X21" s="23" t="n">
        <v>0.22</v>
      </c>
      <c r="Y21" s="30" t="n">
        <v>0</v>
      </c>
      <c r="Z21" s="31" t="n">
        <v>0</v>
      </c>
      <c r="AA21" s="24" t="n">
        <v>0.3384615384615385</v>
      </c>
      <c r="AB21" s="24" t="n">
        <v>0.1746031746031746</v>
      </c>
      <c r="AC21" s="31" t="n">
        <v>0</v>
      </c>
    </row>
    <row r="22" ht="17" customHeight="1" s="122">
      <c r="A22" s="11" t="inlineStr">
        <is>
          <t>Depreciation &amp; Amort</t>
        </is>
      </c>
      <c r="B22" s="12" t="n">
        <v>0.165</v>
      </c>
      <c r="C22" s="12" t="n">
        <v>0.168</v>
      </c>
      <c r="D22" s="12" t="n">
        <v>0.171</v>
      </c>
      <c r="E22" s="12" t="n">
        <v>0.175</v>
      </c>
      <c r="F22" s="12" t="n">
        <v>0.179</v>
      </c>
      <c r="G22" s="12" t="n">
        <v>0.092</v>
      </c>
      <c r="H22" s="13" t="n">
        <v>0.184</v>
      </c>
      <c r="I22" s="13" t="n">
        <v>0.189</v>
      </c>
      <c r="J22" s="13" t="n">
        <v>0.193</v>
      </c>
      <c r="K22" s="13" t="n">
        <v>0.197</v>
      </c>
      <c r="L22" s="13" t="n">
        <v>0.202</v>
      </c>
      <c r="M22" s="13" t="n">
        <v>0.206</v>
      </c>
      <c r="N22" s="14" t="n">
        <v>0.504</v>
      </c>
      <c r="O22" s="14" t="n">
        <v>0.354</v>
      </c>
      <c r="P22" s="14" t="n">
        <v>0.858</v>
      </c>
      <c r="Q22" s="14" t="n">
        <v>2.24</v>
      </c>
      <c r="R22" s="15" t="n">
        <v>0.495</v>
      </c>
      <c r="S22" s="15" t="n">
        <v>0.528</v>
      </c>
      <c r="T22" s="15" t="n">
        <v>1.023</v>
      </c>
      <c r="U22" s="15" t="n">
        <v>2.187</v>
      </c>
      <c r="V22" s="17" t="n">
        <v>0.009000000000000008</v>
      </c>
      <c r="W22" s="16" t="n">
        <v>-0.174</v>
      </c>
      <c r="X22" s="16" t="n">
        <v>-0.1649999999999999</v>
      </c>
      <c r="Y22" s="17" t="n">
        <v>0.05300000000000038</v>
      </c>
      <c r="Z22" s="19" t="n">
        <v>0.0181818181818182</v>
      </c>
      <c r="AA22" s="18" t="n">
        <v>-0.3295454545454546</v>
      </c>
      <c r="AB22" s="18" t="n">
        <v>-0.1612903225806451</v>
      </c>
      <c r="AC22" s="19" t="n">
        <v>0.02423411065386392</v>
      </c>
    </row>
    <row r="23" ht="17" customHeight="1" s="122">
      <c r="A23" s="5" t="inlineStr">
        <is>
          <t>Operating Income</t>
        </is>
      </c>
      <c r="B23" s="6" t="n">
        <v>-0.365</v>
      </c>
      <c r="C23" s="6" t="n">
        <v>-0.368</v>
      </c>
      <c r="D23" s="6" t="n">
        <v>-0.381</v>
      </c>
      <c r="E23" s="6" t="n">
        <v>-0.385</v>
      </c>
      <c r="F23" s="6" t="n">
        <v>-0.399</v>
      </c>
      <c r="G23" s="6" t="n">
        <v>-1.4241</v>
      </c>
      <c r="H23" s="104" t="n">
        <v>-0.404</v>
      </c>
      <c r="I23" s="104" t="n">
        <v>-0.419</v>
      </c>
      <c r="J23" s="104" t="n">
        <v>-0.423</v>
      </c>
      <c r="K23" s="104" t="n">
        <v>-0.437</v>
      </c>
      <c r="L23" s="104" t="n">
        <v>-0.442</v>
      </c>
      <c r="M23" s="104" t="n">
        <v>-0.456</v>
      </c>
      <c r="N23" s="7" t="n">
        <v>-1.114</v>
      </c>
      <c r="O23" s="7" t="n">
        <v>-0.784</v>
      </c>
      <c r="P23" s="7" t="n">
        <v>-1.898</v>
      </c>
      <c r="Q23" s="7" t="n">
        <v>-4.94</v>
      </c>
      <c r="R23" s="8" t="n">
        <v>-1.105</v>
      </c>
      <c r="S23" s="8" t="n">
        <v>-1.178</v>
      </c>
      <c r="T23" s="8" t="n">
        <v>-2.283</v>
      </c>
      <c r="U23" s="8" t="n">
        <v>-4.887</v>
      </c>
      <c r="V23" s="9" t="n">
        <v>-0.008999999999999897</v>
      </c>
      <c r="W23" s="23" t="n">
        <v>0.3939999999999999</v>
      </c>
      <c r="X23" s="23" t="n">
        <v>0.3849999999999998</v>
      </c>
      <c r="Y23" s="9" t="n">
        <v>-0.05299999999999994</v>
      </c>
      <c r="Z23" s="10" t="n">
        <v>-0.008144796380090405</v>
      </c>
      <c r="AA23" s="24" t="n">
        <v>0.3344651952461799</v>
      </c>
      <c r="AB23" s="24" t="n">
        <v>0.1686377573368374</v>
      </c>
      <c r="AC23" s="10" t="n">
        <v>-0.01084509924288928</v>
      </c>
    </row>
    <row r="24">
      <c r="G24" s="78" t="n"/>
    </row>
    <row r="25" ht="24" customHeight="1" s="122">
      <c r="A25" s="100" t="inlineStr">
        <is>
          <t xml:space="preserve">  Note: Jun Actual (yellow) is a user-input placeholder — enter when June closes. Q2 and H1 actuals will reflect Apr+May until June is added.</t>
        </is>
      </c>
    </row>
  </sheetData>
  <mergeCells count="11">
    <mergeCell ref="B2:G2"/>
    <mergeCell ref="A14:AC14"/>
    <mergeCell ref="V2:AC2"/>
    <mergeCell ref="A9:AC9"/>
    <mergeCell ref="N2:Q2"/>
    <mergeCell ref="A4:AC4"/>
    <mergeCell ref="A25:M25"/>
    <mergeCell ref="A20:AC20"/>
    <mergeCell ref="R2:U2"/>
    <mergeCell ref="H2:M2"/>
    <mergeCell ref="A1:A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AJ1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Cash Flow Bridge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BEGINNING CASH</t>
        </is>
      </c>
    </row>
    <row r="5" ht="17" customHeight="1" s="122">
      <c r="A5" s="5" t="inlineStr">
        <is>
          <t>Beginning Cash</t>
        </is>
      </c>
      <c r="B5" s="6" t="n">
        <v>46.1</v>
      </c>
      <c r="C5" s="6" t="n">
        <v>48.71</v>
      </c>
      <c r="D5" s="6" t="n">
        <v>51.01</v>
      </c>
      <c r="E5" s="6" t="n">
        <v>58.09</v>
      </c>
      <c r="F5" s="6" t="n">
        <v>62.57</v>
      </c>
      <c r="G5" s="6" t="n">
        <v>66.03700000000001</v>
      </c>
      <c r="H5" s="104" t="n">
        <v>70.61</v>
      </c>
      <c r="I5" s="104" t="n">
        <v>69.76000000000001</v>
      </c>
      <c r="J5" s="104" t="n">
        <v>69.09999999999999</v>
      </c>
      <c r="K5" s="104" t="n">
        <v>68.59999999999999</v>
      </c>
      <c r="L5" s="104" t="n">
        <v>68.28</v>
      </c>
      <c r="M5" s="104" t="n">
        <v>68.14</v>
      </c>
      <c r="N5" s="114" t="n">
        <v>46.1</v>
      </c>
      <c r="O5" s="114" t="n">
        <v>58.09</v>
      </c>
      <c r="P5" s="114" t="n">
        <v>46.1</v>
      </c>
      <c r="Q5" s="114" t="n">
        <v>46.1</v>
      </c>
      <c r="R5" s="113" t="n">
        <v>37.95</v>
      </c>
      <c r="S5" s="113">
        <f>R23</f>
        <v/>
      </c>
      <c r="T5" s="113">
        <f>R5</f>
        <v/>
      </c>
      <c r="U5" s="113">
        <f>R5</f>
        <v/>
      </c>
      <c r="V5" s="23">
        <f>N5-R5</f>
        <v/>
      </c>
      <c r="W5" s="23">
        <f>O5-S5</f>
        <v/>
      </c>
      <c r="X5" s="23">
        <f>P5-T5</f>
        <v/>
      </c>
      <c r="Y5" s="23">
        <f>Q5-U5</f>
        <v/>
      </c>
      <c r="Z5" s="24">
        <f>N5/R5</f>
        <v/>
      </c>
      <c r="AA5" s="24">
        <f>O5/S5</f>
        <v/>
      </c>
      <c r="AB5" s="24">
        <f>P5/T5</f>
        <v/>
      </c>
      <c r="AC5" s="24">
        <f>Q5/U5</f>
        <v/>
      </c>
    </row>
    <row r="6" ht="6" customHeight="1" s="122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</row>
    <row r="7" ht="16" customHeight="1" s="122">
      <c r="A7" s="99" t="inlineStr">
        <is>
          <t xml:space="preserve">  CASH INFLOWS</t>
        </is>
      </c>
    </row>
    <row r="8" ht="17" customHeight="1" s="122">
      <c r="A8" s="11" t="inlineStr">
        <is>
          <t>Collections (from Billings)</t>
        </is>
      </c>
      <c r="B8" s="12" t="n">
        <v>9.27</v>
      </c>
      <c r="C8" s="12" t="n">
        <v>8.67</v>
      </c>
      <c r="D8" s="12" t="n">
        <v>13.59</v>
      </c>
      <c r="E8" s="12" t="n">
        <v>10.82</v>
      </c>
      <c r="F8" s="12" t="n">
        <v>9.65</v>
      </c>
      <c r="G8" s="12" t="n">
        <v>11.18</v>
      </c>
      <c r="H8" s="13" t="n">
        <v>6.21</v>
      </c>
      <c r="I8" s="13" t="n">
        <v>6.48</v>
      </c>
      <c r="J8" s="13" t="n">
        <v>6.84</v>
      </c>
      <c r="K8" s="13" t="n">
        <v>7.21</v>
      </c>
      <c r="L8" s="13" t="n">
        <v>7.59</v>
      </c>
      <c r="M8" s="13" t="n">
        <v>7.97</v>
      </c>
      <c r="N8" s="14" t="n">
        <v>31.53</v>
      </c>
      <c r="O8" s="14" t="n">
        <v>20.47</v>
      </c>
      <c r="P8" s="14" t="n">
        <v>52</v>
      </c>
      <c r="Q8" s="14" t="n">
        <v>102.66</v>
      </c>
      <c r="R8" s="15" t="n">
        <v>31.53</v>
      </c>
      <c r="S8" s="15" t="n">
        <v>29.38</v>
      </c>
      <c r="T8" s="15" t="n">
        <v>60.91</v>
      </c>
      <c r="U8" s="15" t="n">
        <v>99.7</v>
      </c>
      <c r="V8" s="20" t="n">
        <v>0</v>
      </c>
      <c r="W8" s="17" t="n">
        <v>-8.910000000000004</v>
      </c>
      <c r="X8" s="17" t="n">
        <v>-8.909999999999997</v>
      </c>
      <c r="Y8" s="16" t="n">
        <v>2.959999999999994</v>
      </c>
      <c r="Z8" s="21" t="n">
        <v>0</v>
      </c>
      <c r="AA8" s="19" t="n">
        <v>-0.3032675289312459</v>
      </c>
      <c r="AB8" s="19" t="n">
        <v>-0.1462813987850927</v>
      </c>
      <c r="AC8" s="18" t="n">
        <v>0.02968906720160475</v>
      </c>
    </row>
    <row r="9" ht="6" customHeight="1" s="122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</row>
    <row r="10" ht="16" customHeight="1" s="122">
      <c r="A10" s="99" t="inlineStr">
        <is>
          <t xml:space="preserve">  CASH OUTFLOWS</t>
        </is>
      </c>
    </row>
    <row r="11" ht="17" customHeight="1" s="122">
      <c r="A11" s="11" t="inlineStr">
        <is>
          <t>Payroll</t>
        </is>
      </c>
      <c r="B11" s="12" t="n">
        <v>3.82</v>
      </c>
      <c r="C11" s="12" t="n">
        <v>3.65</v>
      </c>
      <c r="D11" s="12" t="n">
        <v>3.74</v>
      </c>
      <c r="E11" s="12" t="n">
        <v>3.57</v>
      </c>
      <c r="F11" s="12" t="n">
        <v>3.61</v>
      </c>
      <c r="G11" s="12" t="n">
        <v>3.815</v>
      </c>
      <c r="H11" s="13" t="n">
        <v>3.93</v>
      </c>
      <c r="I11" s="13" t="n">
        <v>4.03</v>
      </c>
      <c r="J11" s="13" t="n">
        <v>4.14</v>
      </c>
      <c r="K11" s="13" t="n">
        <v>4.26</v>
      </c>
      <c r="L11" s="13" t="n">
        <v>4.38</v>
      </c>
      <c r="M11" s="13" t="n">
        <v>4.51</v>
      </c>
      <c r="N11" s="14" t="n">
        <v>11.21</v>
      </c>
      <c r="O11" s="14" t="n">
        <v>7.18</v>
      </c>
      <c r="P11" s="14" t="n">
        <v>18.39</v>
      </c>
      <c r="Q11" s="14" t="n">
        <v>48.29</v>
      </c>
      <c r="R11" s="111" t="n">
        <v>11.42</v>
      </c>
      <c r="S11" s="111" t="n">
        <v>11.32</v>
      </c>
      <c r="T11" s="111" t="n">
        <v>22.74</v>
      </c>
      <c r="U11" s="111" t="n">
        <v>49.24</v>
      </c>
      <c r="V11" s="16" t="n">
        <v>-0.2099999999999991</v>
      </c>
      <c r="W11" s="16" t="n">
        <v>-4.140000000000001</v>
      </c>
      <c r="X11" s="16" t="n">
        <v>-4.350000000000001</v>
      </c>
      <c r="Y11" s="16" t="n">
        <v>-0.9500000000000028</v>
      </c>
      <c r="Z11" s="18" t="n">
        <v>-0.01838879159369519</v>
      </c>
      <c r="AA11" s="18" t="n">
        <v>-0.3657243816254417</v>
      </c>
      <c r="AB11" s="18" t="n">
        <v>-0.1912928759894459</v>
      </c>
      <c r="AC11" s="18" t="n">
        <v>-0.01929325751421614</v>
      </c>
    </row>
    <row r="12" ht="17" customHeight="1" s="122">
      <c r="A12" s="11" t="inlineStr">
        <is>
          <t>Commissions</t>
        </is>
      </c>
      <c r="B12" s="12" t="n">
        <v>0.27</v>
      </c>
      <c r="C12" s="12" t="n">
        <v>0.3</v>
      </c>
      <c r="D12" s="12" t="n">
        <v>0.31</v>
      </c>
      <c r="E12" s="12" t="n">
        <v>0.28</v>
      </c>
      <c r="F12" s="12" t="n">
        <v>0.29</v>
      </c>
      <c r="G12" s="12" t="n">
        <v>0.335</v>
      </c>
      <c r="H12" s="13" t="n">
        <v>0.36</v>
      </c>
      <c r="I12" s="13" t="n">
        <v>0.39</v>
      </c>
      <c r="J12" s="13" t="n">
        <v>0.4</v>
      </c>
      <c r="K12" s="13" t="n">
        <v>0.41</v>
      </c>
      <c r="L12" s="13" t="n">
        <v>0.42</v>
      </c>
      <c r="M12" s="13" t="n">
        <v>0.44</v>
      </c>
      <c r="N12" s="14" t="n">
        <v>0.88</v>
      </c>
      <c r="O12" s="14" t="n">
        <v>0.5700000000000001</v>
      </c>
      <c r="P12" s="14" t="n">
        <v>1.45</v>
      </c>
      <c r="Q12" s="14" t="n">
        <v>4.32</v>
      </c>
      <c r="R12" s="111" t="n">
        <v>0.91</v>
      </c>
      <c r="S12" s="111" t="n">
        <v>0.96</v>
      </c>
      <c r="T12" s="111" t="n">
        <v>1.87</v>
      </c>
      <c r="U12" s="111" t="n">
        <v>4.38</v>
      </c>
      <c r="V12" s="16" t="n">
        <v>-0.03000000000000003</v>
      </c>
      <c r="W12" s="16" t="n">
        <v>-0.3899999999999999</v>
      </c>
      <c r="X12" s="16" t="n">
        <v>-0.4200000000000002</v>
      </c>
      <c r="Y12" s="16" t="n">
        <v>-0.05999999999999961</v>
      </c>
      <c r="Z12" s="18" t="n">
        <v>-0.032967032967033</v>
      </c>
      <c r="AA12" s="18" t="n">
        <v>-0.4062499999999999</v>
      </c>
      <c r="AB12" s="18" t="n">
        <v>-0.2245989304812835</v>
      </c>
      <c r="AC12" s="18" t="n">
        <v>-0.01369863013698621</v>
      </c>
    </row>
    <row r="13" ht="17" customHeight="1" s="122">
      <c r="A13" s="11" t="inlineStr">
        <is>
          <t>Vendor / AP Payments</t>
        </is>
      </c>
      <c r="B13" s="12" t="n">
        <v>1.38</v>
      </c>
      <c r="C13" s="12" t="n">
        <v>1.38</v>
      </c>
      <c r="D13" s="12" t="n">
        <v>1.37</v>
      </c>
      <c r="E13" s="12" t="n">
        <v>1.36</v>
      </c>
      <c r="F13" s="12" t="n">
        <v>1.38</v>
      </c>
      <c r="G13" s="12" t="n">
        <v>1.465</v>
      </c>
      <c r="H13" s="13" t="n">
        <v>1.5</v>
      </c>
      <c r="I13" s="13" t="n">
        <v>1.42</v>
      </c>
      <c r="J13" s="13" t="n">
        <v>1.46</v>
      </c>
      <c r="K13" s="13" t="n">
        <v>1.49</v>
      </c>
      <c r="L13" s="13" t="n">
        <v>1.52</v>
      </c>
      <c r="M13" s="13" t="n">
        <v>1.55</v>
      </c>
      <c r="N13" s="14" t="n">
        <v>4.13</v>
      </c>
      <c r="O13" s="14" t="n">
        <v>2.74</v>
      </c>
      <c r="P13" s="14" t="n">
        <v>6.87</v>
      </c>
      <c r="Q13" s="14" t="n">
        <v>17.39</v>
      </c>
      <c r="R13" s="111" t="n">
        <v>4.13</v>
      </c>
      <c r="S13" s="111" t="n">
        <v>4.17</v>
      </c>
      <c r="T13" s="111" t="n">
        <v>8.300000000000001</v>
      </c>
      <c r="U13" s="111" t="n">
        <v>17.62</v>
      </c>
      <c r="V13" s="20" t="n">
        <v>0</v>
      </c>
      <c r="W13" s="16" t="n">
        <v>-1.43</v>
      </c>
      <c r="X13" s="16" t="n">
        <v>-1.430000000000001</v>
      </c>
      <c r="Y13" s="16" t="n">
        <v>-0.2300000000000004</v>
      </c>
      <c r="Z13" s="21" t="n">
        <v>0</v>
      </c>
      <c r="AA13" s="18" t="n">
        <v>-0.342925659472422</v>
      </c>
      <c r="AB13" s="18" t="n">
        <v>-0.1722891566265061</v>
      </c>
      <c r="AC13" s="18" t="n">
        <v>-0.01305334846765042</v>
      </c>
    </row>
    <row r="14" ht="17" customHeight="1" s="122">
      <c r="A14" s="11" t="inlineStr">
        <is>
          <t>Tax Payments</t>
        </is>
      </c>
      <c r="B14" s="12" t="n">
        <v>0.096</v>
      </c>
      <c r="C14" s="12" t="n">
        <v>0.096</v>
      </c>
      <c r="D14" s="12" t="n">
        <v>0.095</v>
      </c>
      <c r="E14" s="12" t="n">
        <v>0.095</v>
      </c>
      <c r="F14" s="12" t="n">
        <v>0.096</v>
      </c>
      <c r="G14" s="12" t="n">
        <v>0.096</v>
      </c>
      <c r="H14" s="13" t="n">
        <v>0.105</v>
      </c>
      <c r="I14" s="13" t="n">
        <v>0.11</v>
      </c>
      <c r="J14" s="13" t="n">
        <v>0.115</v>
      </c>
      <c r="K14" s="13" t="n">
        <v>0.12</v>
      </c>
      <c r="L14" s="13" t="n">
        <v>0.125</v>
      </c>
      <c r="M14" s="13" t="n">
        <v>0.13</v>
      </c>
      <c r="N14" s="14" t="n">
        <v>0.287</v>
      </c>
      <c r="O14" s="14" t="n">
        <v>0.191</v>
      </c>
      <c r="P14" s="14" t="n">
        <v>0.478</v>
      </c>
      <c r="Q14" s="14" t="n">
        <v>1.318</v>
      </c>
      <c r="R14" s="111" t="n">
        <v>0.287</v>
      </c>
      <c r="S14" s="111" t="n">
        <v>0.296</v>
      </c>
      <c r="T14" s="111" t="n">
        <v>0.583</v>
      </c>
      <c r="U14" s="111" t="n">
        <v>1.318</v>
      </c>
      <c r="V14" s="20" t="n">
        <v>0</v>
      </c>
      <c r="W14" s="16" t="n">
        <v>-0.105</v>
      </c>
      <c r="X14" s="16" t="n">
        <v>-0.105</v>
      </c>
      <c r="Y14" s="20" t="n">
        <v>0</v>
      </c>
      <c r="Z14" s="21" t="n">
        <v>0</v>
      </c>
      <c r="AA14" s="18" t="n">
        <v>-0.3547297297297297</v>
      </c>
      <c r="AB14" s="18" t="n">
        <v>-0.1801029159519725</v>
      </c>
      <c r="AC14" s="21" t="n">
        <v>0</v>
      </c>
    </row>
    <row r="15" ht="17" customHeight="1" s="122">
      <c r="A15" s="11" t="inlineStr">
        <is>
          <t>Interest Expense</t>
        </is>
      </c>
      <c r="B15" s="12" t="n">
        <v>0.035</v>
      </c>
      <c r="C15" s="12" t="n">
        <v>0.035</v>
      </c>
      <c r="D15" s="12" t="n">
        <v>0.035</v>
      </c>
      <c r="E15" s="12" t="n">
        <v>0.035</v>
      </c>
      <c r="F15" s="12" t="n">
        <v>0.035</v>
      </c>
      <c r="G15" s="12" t="n">
        <v>0.035</v>
      </c>
      <c r="H15" s="13" t="n">
        <v>0.055</v>
      </c>
      <c r="I15" s="13" t="n">
        <v>0.058</v>
      </c>
      <c r="J15" s="13" t="n">
        <v>0.06</v>
      </c>
      <c r="K15" s="13" t="n">
        <v>0.062</v>
      </c>
      <c r="L15" s="13" t="n">
        <v>0.064</v>
      </c>
      <c r="M15" s="13" t="n">
        <v>0.066</v>
      </c>
      <c r="N15" s="14" t="n">
        <v>0.105</v>
      </c>
      <c r="O15" s="14" t="n">
        <v>0.07000000000000001</v>
      </c>
      <c r="P15" s="14" t="n">
        <v>0.175</v>
      </c>
      <c r="Q15" s="14" t="n">
        <v>0.608</v>
      </c>
      <c r="R15" s="111" t="n">
        <v>0.105</v>
      </c>
      <c r="S15" s="111" t="n">
        <v>0.125</v>
      </c>
      <c r="T15" s="111" t="n">
        <v>0.23</v>
      </c>
      <c r="U15" s="111" t="n">
        <v>0.608</v>
      </c>
      <c r="V15" s="20" t="n">
        <v>0</v>
      </c>
      <c r="W15" s="16" t="n">
        <v>-0.05499999999999999</v>
      </c>
      <c r="X15" s="16" t="n">
        <v>-0.05499999999999999</v>
      </c>
      <c r="Y15" s="20" t="n">
        <v>0</v>
      </c>
      <c r="Z15" s="21" t="n">
        <v>0</v>
      </c>
      <c r="AA15" s="18" t="n">
        <v>-0.4399999999999999</v>
      </c>
      <c r="AB15" s="18" t="n">
        <v>-0.2391304347826086</v>
      </c>
      <c r="AC15" s="21" t="n">
        <v>0</v>
      </c>
    </row>
    <row r="16" ht="17" customHeight="1" s="122">
      <c r="A16" s="11" t="inlineStr">
        <is>
          <t>Other Operating Cash Out</t>
        </is>
      </c>
      <c r="B16" s="12" t="n">
        <v>0.895</v>
      </c>
      <c r="C16" s="12" t="n">
        <v>0.73</v>
      </c>
      <c r="D16" s="12" t="n">
        <v>0.78</v>
      </c>
      <c r="E16" s="12" t="n">
        <v>0.821</v>
      </c>
      <c r="F16" s="12" t="n">
        <v>0.85</v>
      </c>
      <c r="G16" s="12" t="n">
        <v>0.735</v>
      </c>
      <c r="H16" s="13" t="n">
        <v>0.885</v>
      </c>
      <c r="I16" s="13" t="n">
        <v>0.91</v>
      </c>
      <c r="J16" s="13" t="n">
        <v>0.9350000000000001</v>
      </c>
      <c r="K16" s="13" t="n">
        <v>0.96</v>
      </c>
      <c r="L16" s="13" t="n">
        <v>0.985</v>
      </c>
      <c r="M16" s="13" t="n">
        <v>1.01</v>
      </c>
      <c r="N16" s="14" t="n">
        <v>2.405</v>
      </c>
      <c r="O16" s="14" t="n">
        <v>1.671</v>
      </c>
      <c r="P16" s="14" t="n">
        <v>4.076</v>
      </c>
      <c r="Q16" s="14" t="n">
        <v>10.796</v>
      </c>
      <c r="R16" s="111" t="n">
        <v>2.452</v>
      </c>
      <c r="S16" s="111" t="n">
        <v>2.639</v>
      </c>
      <c r="T16" s="111" t="n">
        <v>5.091</v>
      </c>
      <c r="U16" s="111" t="n">
        <v>11.226</v>
      </c>
      <c r="V16" s="16" t="n">
        <v>-0.04699999999999971</v>
      </c>
      <c r="W16" s="16" t="n">
        <v>-0.9680000000000004</v>
      </c>
      <c r="X16" s="16" t="n">
        <v>-1.015000000000001</v>
      </c>
      <c r="Y16" s="16" t="n">
        <v>-0.4299999999999997</v>
      </c>
      <c r="Z16" s="18" t="n">
        <v>-0.01916802610114181</v>
      </c>
      <c r="AA16" s="18" t="n">
        <v>-0.3668056081849186</v>
      </c>
      <c r="AB16" s="18" t="n">
        <v>-0.199371439795718</v>
      </c>
      <c r="AC16" s="18" t="n">
        <v>-0.03830393728843753</v>
      </c>
    </row>
    <row r="17" ht="17" customHeight="1" s="122">
      <c r="A17" s="11" t="inlineStr">
        <is>
          <t>Capital Expenditures</t>
        </is>
      </c>
      <c r="B17" s="12" t="n">
        <v>0.18</v>
      </c>
      <c r="C17" s="12" t="n">
        <v>0.18</v>
      </c>
      <c r="D17" s="12" t="n">
        <v>0.18</v>
      </c>
      <c r="E17" s="12" t="n">
        <v>0.18</v>
      </c>
      <c r="F17" s="12" t="n">
        <v>0.18</v>
      </c>
      <c r="G17" s="12" t="n">
        <v>0.22</v>
      </c>
      <c r="H17" s="13" t="n">
        <v>0.223</v>
      </c>
      <c r="I17" s="13" t="n">
        <v>0.226</v>
      </c>
      <c r="J17" s="13" t="n">
        <v>0.229</v>
      </c>
      <c r="K17" s="13" t="n">
        <v>0.232</v>
      </c>
      <c r="L17" s="13" t="n">
        <v>0.235</v>
      </c>
      <c r="M17" s="13" t="n">
        <v>0.238</v>
      </c>
      <c r="N17" s="14" t="n">
        <v>0.54</v>
      </c>
      <c r="O17" s="14" t="n">
        <v>0.36</v>
      </c>
      <c r="P17" s="14" t="n">
        <v>0.8999999999999999</v>
      </c>
      <c r="Q17" s="14" t="n">
        <v>2.65</v>
      </c>
      <c r="R17" s="111" t="n">
        <v>0.54</v>
      </c>
      <c r="S17" s="111" t="n">
        <v>0.58</v>
      </c>
      <c r="T17" s="111" t="n">
        <v>1.12</v>
      </c>
      <c r="U17" s="111" t="n">
        <v>2.65</v>
      </c>
      <c r="V17" s="20" t="n">
        <v>0</v>
      </c>
      <c r="W17" s="16" t="n">
        <v>-0.22</v>
      </c>
      <c r="X17" s="16" t="n">
        <v>-0.22</v>
      </c>
      <c r="Y17" s="20" t="n">
        <v>0</v>
      </c>
      <c r="Z17" s="21" t="n">
        <v>0</v>
      </c>
      <c r="AA17" s="18" t="n">
        <v>-0.3793103448275862</v>
      </c>
      <c r="AB17" s="18" t="n">
        <v>-0.1964285714285714</v>
      </c>
      <c r="AC17" s="21" t="n">
        <v>0</v>
      </c>
    </row>
    <row r="18" ht="6" customHeight="1" s="122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</row>
    <row r="19" ht="17" customHeight="1" s="122">
      <c r="A19" s="119" t="inlineStr">
        <is>
          <t>Total Cash Outflows</t>
        </is>
      </c>
      <c r="B19" s="108" t="n">
        <v>6.676</v>
      </c>
      <c r="C19" s="108" t="n">
        <v>6.371</v>
      </c>
      <c r="D19" s="108" t="n">
        <v>6.510000000000001</v>
      </c>
      <c r="E19" s="108" t="n">
        <v>6.341</v>
      </c>
      <c r="F19" s="108" t="n">
        <v>6.441</v>
      </c>
      <c r="G19" s="108" t="n">
        <v>6.701</v>
      </c>
      <c r="H19" s="104" t="n">
        <v>7.058</v>
      </c>
      <c r="I19" s="104" t="n">
        <v>7.144</v>
      </c>
      <c r="J19" s="104" t="n">
        <v>7.339</v>
      </c>
      <c r="K19" s="104" t="n">
        <v>7.534</v>
      </c>
      <c r="L19" s="104" t="n">
        <v>7.729</v>
      </c>
      <c r="M19" s="104" t="n">
        <v>7.944</v>
      </c>
      <c r="N19" s="114" t="n">
        <v>19.557</v>
      </c>
      <c r="O19" s="114" t="n">
        <v>12.782</v>
      </c>
      <c r="P19" s="114" t="n">
        <v>32.339</v>
      </c>
      <c r="Q19" s="114" t="n">
        <v>85.372</v>
      </c>
      <c r="R19" s="8" t="n">
        <v>19.844</v>
      </c>
      <c r="S19" s="8" t="n">
        <v>20.09</v>
      </c>
      <c r="T19" s="8" t="n">
        <v>39.934</v>
      </c>
      <c r="U19" s="8" t="n">
        <v>87.042</v>
      </c>
      <c r="V19" s="23" t="n">
        <v>-0.286999999999999</v>
      </c>
      <c r="W19" s="23" t="n">
        <v>-7.308</v>
      </c>
      <c r="X19" s="23" t="n">
        <v>-7.594999999999999</v>
      </c>
      <c r="Y19" s="23" t="n">
        <v>-1.670000000000002</v>
      </c>
      <c r="Z19" s="24" t="n">
        <v>-0.01446280991735532</v>
      </c>
      <c r="AA19" s="24" t="n">
        <v>-0.3637630662020906</v>
      </c>
      <c r="AB19" s="24" t="n">
        <v>-0.1901888115390394</v>
      </c>
      <c r="AC19" s="24" t="n">
        <v>-0.01918614002435608</v>
      </c>
    </row>
    <row r="20" ht="17" customHeight="1" s="122">
      <c r="A20" s="119" t="inlineStr">
        <is>
          <t>Net Operating Cash Flow</t>
        </is>
      </c>
      <c r="B20" s="108" t="n">
        <v>2.593999999999999</v>
      </c>
      <c r="C20" s="108" t="n">
        <v>2.299</v>
      </c>
      <c r="D20" s="108" t="n">
        <v>7.079999999999999</v>
      </c>
      <c r="E20" s="108" t="n">
        <v>4.479</v>
      </c>
      <c r="F20" s="108" t="n">
        <v>3.209000000000001</v>
      </c>
      <c r="G20" s="108" t="n">
        <v>4.479</v>
      </c>
      <c r="H20" s="104" t="n">
        <v>-0.848</v>
      </c>
      <c r="I20" s="104" t="n">
        <v>-0.664</v>
      </c>
      <c r="J20" s="104" t="n">
        <v>-0.499</v>
      </c>
      <c r="K20" s="104" t="n">
        <v>-0.324</v>
      </c>
      <c r="L20" s="104" t="n">
        <v>-0.139</v>
      </c>
      <c r="M20" s="104" t="n">
        <v>0.026</v>
      </c>
      <c r="N20" s="114" t="n">
        <v>11.973</v>
      </c>
      <c r="O20" s="114" t="n">
        <v>7.688000000000001</v>
      </c>
      <c r="P20" s="114" t="n">
        <v>19.661</v>
      </c>
      <c r="Q20" s="114" t="n">
        <v>17.288</v>
      </c>
      <c r="R20" s="8" t="n">
        <v>11.686</v>
      </c>
      <c r="S20" s="8" t="n">
        <v>9.289999999999999</v>
      </c>
      <c r="T20" s="8" t="n">
        <v>20.976</v>
      </c>
      <c r="U20" s="8" t="n">
        <v>12.658</v>
      </c>
      <c r="V20" s="23" t="n">
        <v>0.286999999999999</v>
      </c>
      <c r="W20" s="9" t="n">
        <v>-1.601999999999999</v>
      </c>
      <c r="X20" s="9" t="n">
        <v>-1.314999999999998</v>
      </c>
      <c r="Y20" s="23" t="n">
        <v>4.629999999999999</v>
      </c>
      <c r="Z20" s="24" t="n">
        <v>0.02455930172856401</v>
      </c>
      <c r="AA20" s="10" t="n">
        <v>-0.1724434876210978</v>
      </c>
      <c r="AB20" s="10" t="n">
        <v>-0.06269069412662079</v>
      </c>
      <c r="AC20" s="24" t="n">
        <v>0.3657765839785115</v>
      </c>
    </row>
    <row r="21" ht="6" customHeight="1" s="122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</row>
    <row r="22" ht="16" customHeight="1" s="122">
      <c r="A22" s="99" t="inlineStr">
        <is>
          <t xml:space="preserve">  ENDING CASH &amp; LIQUIDITY</t>
        </is>
      </c>
    </row>
    <row r="23" ht="17" customHeight="1" s="122">
      <c r="A23" s="119" t="inlineStr">
        <is>
          <t>Ending Cash Balance</t>
        </is>
      </c>
      <c r="B23" s="108" t="n">
        <v>48.71</v>
      </c>
      <c r="C23" s="108" t="n">
        <v>51.01</v>
      </c>
      <c r="D23" s="108" t="n">
        <v>58.09</v>
      </c>
      <c r="E23" s="108" t="n">
        <v>62.57</v>
      </c>
      <c r="F23" s="108" t="n">
        <v>66.04000000000001</v>
      </c>
      <c r="G23" s="108" t="n">
        <v>70.61199999999999</v>
      </c>
      <c r="H23" s="104" t="n">
        <v>69.76000000000001</v>
      </c>
      <c r="I23" s="104" t="n">
        <v>69.09999999999999</v>
      </c>
      <c r="J23" s="104" t="n">
        <v>68.59999999999999</v>
      </c>
      <c r="K23" s="104" t="n">
        <v>68.28</v>
      </c>
      <c r="L23" s="104" t="n">
        <v>68.14</v>
      </c>
      <c r="M23" s="104" t="n">
        <v>68.16</v>
      </c>
      <c r="N23" s="114" t="n">
        <v>58.09</v>
      </c>
      <c r="O23" s="114" t="n">
        <v>70.61</v>
      </c>
      <c r="P23" s="114" t="n">
        <v>70.61</v>
      </c>
      <c r="Q23" s="114" t="n">
        <v>81.73999999999999</v>
      </c>
      <c r="R23" s="8" t="n">
        <v>49.62</v>
      </c>
      <c r="S23" s="8">
        <f>S5+S20</f>
        <v/>
      </c>
      <c r="T23" s="8">
        <f>T20+T5</f>
        <v/>
      </c>
      <c r="U23" s="8">
        <f>U5+U20</f>
        <v/>
      </c>
      <c r="V23" s="23">
        <f>N23-R23</f>
        <v/>
      </c>
      <c r="W23" s="23">
        <f>O23-S23</f>
        <v/>
      </c>
      <c r="X23" s="23">
        <f>P23-T23</f>
        <v/>
      </c>
      <c r="Y23" s="23">
        <f>Q23-U23</f>
        <v/>
      </c>
      <c r="Z23" s="24">
        <f>N23/R23</f>
        <v/>
      </c>
      <c r="AA23" s="24">
        <f>O23/S23</f>
        <v/>
      </c>
      <c r="AB23" s="24">
        <f>P23/T23</f>
        <v/>
      </c>
      <c r="AC23" s="24">
        <f>Q23/U23</f>
        <v/>
      </c>
    </row>
    <row r="24" ht="17" customHeight="1" s="122">
      <c r="A24" s="11" t="inlineStr">
        <is>
          <t>Cash Floor / Minimum</t>
        </is>
      </c>
      <c r="B24" s="12" t="n">
        <v>10</v>
      </c>
      <c r="C24" s="12" t="n">
        <v>10</v>
      </c>
      <c r="D24" s="12" t="n">
        <v>10</v>
      </c>
      <c r="E24" s="12" t="n">
        <v>10</v>
      </c>
      <c r="F24" s="12" t="n">
        <v>10</v>
      </c>
      <c r="G24" s="12" t="n">
        <v>10</v>
      </c>
      <c r="H24" s="13" t="n">
        <v>10</v>
      </c>
      <c r="I24" s="13" t="n">
        <v>10</v>
      </c>
      <c r="J24" s="13" t="n">
        <v>10</v>
      </c>
      <c r="K24" s="13" t="n">
        <v>10</v>
      </c>
      <c r="L24" s="13" t="n">
        <v>10</v>
      </c>
      <c r="M24" s="13" t="n">
        <v>10</v>
      </c>
      <c r="N24" s="14" t="n">
        <v>10</v>
      </c>
      <c r="O24" s="14" t="n">
        <v>10</v>
      </c>
      <c r="P24" s="14" t="n">
        <v>10</v>
      </c>
      <c r="Q24" s="14" t="n">
        <v>10</v>
      </c>
      <c r="R24" s="111" t="n">
        <v>10</v>
      </c>
      <c r="S24" s="111" t="n">
        <v>10</v>
      </c>
      <c r="T24" s="111" t="n">
        <v>10</v>
      </c>
      <c r="U24" s="111" t="n">
        <v>10</v>
      </c>
      <c r="V24" s="17">
        <f>N24-R24</f>
        <v/>
      </c>
      <c r="W24" s="17">
        <f>O24-S24</f>
        <v/>
      </c>
      <c r="X24" s="17">
        <f>P24-T24</f>
        <v/>
      </c>
      <c r="Y24" s="17">
        <f>Q24-U24</f>
        <v/>
      </c>
      <c r="Z24" s="21" t="n">
        <v>0</v>
      </c>
      <c r="AA24" s="21" t="n">
        <v>0</v>
      </c>
      <c r="AB24" s="21" t="n">
        <v>0</v>
      </c>
      <c r="AC24" s="21" t="n">
        <v>0</v>
      </c>
    </row>
    <row r="25" ht="17" customHeight="1" s="122">
      <c r="A25" s="25" t="inlineStr">
        <is>
          <t>Cash Headroom vs Floor</t>
        </is>
      </c>
      <c r="B25" s="12" t="n">
        <v>38.71</v>
      </c>
      <c r="C25" s="12" t="n">
        <v>41.01</v>
      </c>
      <c r="D25" s="12" t="n">
        <v>48.09</v>
      </c>
      <c r="E25" s="12" t="n">
        <v>52.57</v>
      </c>
      <c r="F25" s="12" t="n">
        <v>56.04000000000001</v>
      </c>
      <c r="G25" s="12" t="n">
        <v>60.612</v>
      </c>
      <c r="H25" s="13" t="n">
        <v>59.76</v>
      </c>
      <c r="I25" s="13" t="n">
        <v>59.1</v>
      </c>
      <c r="J25" s="13" t="n">
        <v>58.6</v>
      </c>
      <c r="K25" s="13" t="n">
        <v>58.28</v>
      </c>
      <c r="L25" s="13" t="n">
        <v>58.14</v>
      </c>
      <c r="M25" s="13" t="n">
        <v>58.16</v>
      </c>
      <c r="N25" s="14" t="n">
        <v>48.09</v>
      </c>
      <c r="O25" s="14" t="n">
        <v>60.61</v>
      </c>
      <c r="P25" s="14" t="n">
        <v>60.61</v>
      </c>
      <c r="Q25" s="14" t="n">
        <v>71.73999999999999</v>
      </c>
      <c r="R25" s="111">
        <f>R23-R24</f>
        <v/>
      </c>
      <c r="S25" s="111">
        <f>S23-S24</f>
        <v/>
      </c>
      <c r="T25" s="111">
        <f>T23-T24</f>
        <v/>
      </c>
      <c r="U25" s="111">
        <f>U23-U24</f>
        <v/>
      </c>
      <c r="V25" s="23">
        <f>N25-R25</f>
        <v/>
      </c>
      <c r="W25" s="23">
        <f>O25-S25</f>
        <v/>
      </c>
      <c r="X25" s="23">
        <f>P25-T25</f>
        <v/>
      </c>
      <c r="Y25" s="23">
        <f>Q25-U25</f>
        <v/>
      </c>
      <c r="Z25" s="24">
        <f>N25/R25</f>
        <v/>
      </c>
      <c r="AA25" s="24">
        <f>O25/S25</f>
        <v/>
      </c>
      <c r="AB25" s="24">
        <f>P25/T25</f>
        <v/>
      </c>
      <c r="AC25" s="24">
        <f>Q25/U25</f>
        <v/>
      </c>
    </row>
    <row r="27" ht="24" customHeight="1" s="122">
      <c r="A27" s="100" t="inlineStr">
        <is>
          <t xml:space="preserve">  Note: Jun Actual (yellow) is a user-input placeholder. Forecast (Jul–Dec) sourced from Forecast_cash_flow_bridge.csv. Actual cash significantly exceeds budget due to annual billing collection timing in Q1.</t>
        </is>
      </c>
    </row>
  </sheetData>
  <mergeCells count="11">
    <mergeCell ref="B2:G2"/>
    <mergeCell ref="A27:M27"/>
    <mergeCell ref="A22:AC22"/>
    <mergeCell ref="V2:AC2"/>
    <mergeCell ref="A4:AC4"/>
    <mergeCell ref="A7:AC7"/>
    <mergeCell ref="N2:Q2"/>
    <mergeCell ref="R2:U2"/>
    <mergeCell ref="H2:M2"/>
    <mergeCell ref="A10:AC10"/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4.5"/>
  <cols>
    <col width="36.54296875" bestFit="1" customWidth="1" style="122" min="1" max="1"/>
    <col width="5.6328125" bestFit="1" customWidth="1" style="122" min="2" max="2"/>
    <col width="10" customWidth="1" style="122" min="3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Cash Flow Statement (GAAP Indirect Method)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OPERATING ACTIVITIES</t>
        </is>
      </c>
    </row>
    <row r="5" ht="17" customHeight="1" s="122">
      <c r="A5" s="11" t="inlineStr">
        <is>
          <t>Net Income / (Loss)</t>
        </is>
      </c>
      <c r="B5" s="12" t="n">
        <v>-0.365</v>
      </c>
      <c r="C5" s="12" t="n">
        <v>-0.368</v>
      </c>
      <c r="D5" s="12" t="n">
        <v>-0.381</v>
      </c>
      <c r="E5" s="12" t="n">
        <v>-0.385</v>
      </c>
      <c r="F5" s="12" t="n">
        <v>-0.399</v>
      </c>
      <c r="G5" s="12" t="n">
        <v>-1.424</v>
      </c>
      <c r="H5" s="13" t="n">
        <v>-0.404</v>
      </c>
      <c r="I5" s="13" t="n">
        <v>-0.419</v>
      </c>
      <c r="J5" s="13" t="n">
        <v>-0.423</v>
      </c>
      <c r="K5" s="13" t="n">
        <v>-0.437</v>
      </c>
      <c r="L5" s="13" t="n">
        <v>-0.442</v>
      </c>
      <c r="M5" s="13" t="n">
        <v>-0.456</v>
      </c>
      <c r="N5" s="14" t="n">
        <v>-1.114</v>
      </c>
      <c r="O5" s="14" t="n">
        <v>-0.784</v>
      </c>
      <c r="P5" s="14" t="n">
        <v>-1.898</v>
      </c>
      <c r="Q5" s="14" t="n">
        <v>-4.94</v>
      </c>
      <c r="R5" s="15" t="n">
        <v>-1.105</v>
      </c>
      <c r="S5" s="15" t="n">
        <v>-1.178</v>
      </c>
      <c r="T5" s="15" t="n">
        <v>-2.283</v>
      </c>
      <c r="U5" s="15" t="n">
        <v>-4.887</v>
      </c>
      <c r="V5" s="17" t="n">
        <v>-0.008999999999999897</v>
      </c>
      <c r="W5" s="16" t="n">
        <v>0.3939999999999999</v>
      </c>
      <c r="X5" s="16" t="n">
        <v>0.3849999999999998</v>
      </c>
      <c r="Y5" s="17" t="n">
        <v>-0.05299999999999994</v>
      </c>
      <c r="Z5" s="19" t="n">
        <v>-0.008144796380090405</v>
      </c>
      <c r="AA5" s="18" t="n">
        <v>0.3344651952461799</v>
      </c>
      <c r="AB5" s="18" t="n">
        <v>0.1686377573368374</v>
      </c>
      <c r="AC5" s="19" t="n">
        <v>-0.01084509924288928</v>
      </c>
    </row>
    <row r="6" ht="17" customHeight="1" s="122">
      <c r="A6" s="11" t="inlineStr">
        <is>
          <t>Add: Depreciation &amp; Amort</t>
        </is>
      </c>
      <c r="B6" s="12" t="n">
        <v>0.165</v>
      </c>
      <c r="C6" s="12" t="n">
        <v>0.168</v>
      </c>
      <c r="D6" s="12" t="n">
        <v>0.171</v>
      </c>
      <c r="E6" s="12" t="n">
        <v>0.175</v>
      </c>
      <c r="F6" s="12" t="n">
        <v>0.179</v>
      </c>
      <c r="G6" s="12" t="n">
        <v>0.092</v>
      </c>
      <c r="H6" s="13" t="n">
        <v>0.184</v>
      </c>
      <c r="I6" s="13" t="n">
        <v>0.189</v>
      </c>
      <c r="J6" s="13" t="n">
        <v>0.193</v>
      </c>
      <c r="K6" s="13" t="n">
        <v>0.197</v>
      </c>
      <c r="L6" s="13" t="n">
        <v>0.202</v>
      </c>
      <c r="M6" s="13" t="n">
        <v>0.206</v>
      </c>
      <c r="N6" s="14" t="n">
        <v>0.504</v>
      </c>
      <c r="O6" s="14" t="n">
        <v>0.354</v>
      </c>
      <c r="P6" s="14" t="n">
        <v>0.858</v>
      </c>
      <c r="Q6" s="14" t="n">
        <v>2.24</v>
      </c>
      <c r="R6" s="15" t="n">
        <v>0.495</v>
      </c>
      <c r="S6" s="15" t="n">
        <v>0.528</v>
      </c>
      <c r="T6" s="15" t="n">
        <v>1.023</v>
      </c>
      <c r="U6" s="15" t="n">
        <v>2.187</v>
      </c>
      <c r="V6" s="16" t="n">
        <v>0.009000000000000008</v>
      </c>
      <c r="W6" s="17" t="n">
        <v>-0.174</v>
      </c>
      <c r="X6" s="17" t="n">
        <v>-0.1649999999999999</v>
      </c>
      <c r="Y6" s="16" t="n">
        <v>0.05300000000000038</v>
      </c>
      <c r="Z6" s="18" t="n">
        <v>0.0181818181818182</v>
      </c>
      <c r="AA6" s="19" t="n">
        <v>-0.3295454545454546</v>
      </c>
      <c r="AB6" s="19" t="n">
        <v>-0.1612903225806451</v>
      </c>
      <c r="AC6" s="18" t="n">
        <v>0.02423411065386392</v>
      </c>
    </row>
    <row r="7" ht="17" customHeight="1" s="122">
      <c r="A7" s="11" t="inlineStr">
        <is>
          <t>Change in AR / Collections vs Revenue</t>
        </is>
      </c>
      <c r="B7" s="12" t="n">
        <v>2.68</v>
      </c>
      <c r="C7" s="12" t="n">
        <v>1.96</v>
      </c>
      <c r="D7" s="12" t="n">
        <v>6.74</v>
      </c>
      <c r="E7" s="12" t="n">
        <v>3.81</v>
      </c>
      <c r="F7" s="12" t="n">
        <v>2.470000000000001</v>
      </c>
      <c r="G7" s="12" t="n">
        <v>-0.17</v>
      </c>
      <c r="H7" s="13" t="n">
        <v>-1.15</v>
      </c>
      <c r="I7" s="13" t="n">
        <v>-1.06</v>
      </c>
      <c r="J7" s="13" t="n">
        <v>-0.8900000000000006</v>
      </c>
      <c r="K7" s="13" t="n">
        <v>-0.6900000000000004</v>
      </c>
      <c r="L7" s="13" t="n">
        <v>-0.4900000000000002</v>
      </c>
      <c r="M7" s="13" t="n">
        <v>-0.2700000000000005</v>
      </c>
      <c r="N7" s="14" t="n">
        <v>11.38</v>
      </c>
      <c r="O7" s="14" t="n">
        <v>6.280000000000001</v>
      </c>
      <c r="P7" s="14" t="n">
        <v>17.66</v>
      </c>
      <c r="Q7" s="14" t="n">
        <v>13.06</v>
      </c>
      <c r="R7" s="15" t="n">
        <v>11.39</v>
      </c>
      <c r="S7" s="15" t="n">
        <v>7.860000000000001</v>
      </c>
      <c r="T7" s="15" t="n">
        <v>19.25</v>
      </c>
      <c r="U7" s="15" t="n">
        <v>10.17</v>
      </c>
      <c r="V7" s="17" t="n">
        <v>-0.01000000000000156</v>
      </c>
      <c r="W7" s="17" t="n">
        <v>-1.58</v>
      </c>
      <c r="X7" s="17" t="n">
        <v>-1.59</v>
      </c>
      <c r="Y7" s="16" t="n">
        <v>2.889999999999997</v>
      </c>
      <c r="Z7" s="19" t="n">
        <v>-0.0008779631255488641</v>
      </c>
      <c r="AA7" s="19" t="n">
        <v>-0.2010178117048346</v>
      </c>
      <c r="AB7" s="19" t="n">
        <v>-0.08259740259740259</v>
      </c>
      <c r="AC7" s="18" t="n">
        <v>0.2841691248770891</v>
      </c>
    </row>
    <row r="8" ht="17" customHeight="1" s="122">
      <c r="A8" s="11" t="inlineStr">
        <is>
          <t>Change in Deferred Revenue</t>
        </is>
      </c>
      <c r="B8" s="12" t="n">
        <v>2.68</v>
      </c>
      <c r="C8" s="12" t="n">
        <v>1.96</v>
      </c>
      <c r="D8" s="12" t="n">
        <v>6.74</v>
      </c>
      <c r="E8" s="12" t="n">
        <v>3.81</v>
      </c>
      <c r="F8" s="12" t="n">
        <v>2.470000000000001</v>
      </c>
      <c r="G8" s="12" t="n">
        <v>6.172</v>
      </c>
      <c r="H8" s="13" t="n">
        <v>0.5</v>
      </c>
      <c r="I8" s="13" t="n">
        <v>0.5</v>
      </c>
      <c r="J8" s="13" t="n">
        <v>0.5</v>
      </c>
      <c r="K8" s="13" t="n">
        <v>0.5</v>
      </c>
      <c r="L8" s="13" t="n">
        <v>0.5</v>
      </c>
      <c r="M8" s="13" t="n">
        <v>0.5</v>
      </c>
      <c r="N8" s="14" t="n">
        <v>11.38</v>
      </c>
      <c r="O8" s="14" t="n">
        <v>6.280000000000001</v>
      </c>
      <c r="P8" s="14" t="n">
        <v>17.66</v>
      </c>
      <c r="Q8" s="14" t="n">
        <v>21.16</v>
      </c>
      <c r="R8" s="15" t="n">
        <v>0.8999999999999999</v>
      </c>
      <c r="S8" s="15" t="n">
        <v>0.8999999999999999</v>
      </c>
      <c r="T8" s="15" t="n">
        <v>1.8</v>
      </c>
      <c r="U8" s="15" t="n">
        <v>3.6</v>
      </c>
      <c r="V8" s="16" t="n">
        <v>10.48</v>
      </c>
      <c r="W8" s="16" t="n">
        <v>5.380000000000001</v>
      </c>
      <c r="X8" s="16" t="n">
        <v>15.86</v>
      </c>
      <c r="Y8" s="16" t="n">
        <v>17.56</v>
      </c>
      <c r="Z8" s="18" t="n">
        <v>11.64444444444444</v>
      </c>
      <c r="AA8" s="18" t="n">
        <v>5.97777777777778</v>
      </c>
      <c r="AB8" s="18" t="n">
        <v>8.811111111111112</v>
      </c>
      <c r="AC8" s="18" t="n">
        <v>4.877777777777779</v>
      </c>
    </row>
    <row r="9" ht="17" customHeight="1" s="122">
      <c r="A9" s="11" t="inlineStr">
        <is>
          <t>Change in AP &amp; Accrued Liabilities</t>
        </is>
      </c>
      <c r="B9" s="12" t="n">
        <v>-0.06899999999999999</v>
      </c>
      <c r="C9" s="12" t="n">
        <v>-0.06899999999999999</v>
      </c>
      <c r="D9" s="12" t="n">
        <v>-0.06850000000000001</v>
      </c>
      <c r="E9" s="12" t="n">
        <v>-0.068</v>
      </c>
      <c r="F9" s="12" t="n">
        <v>-0.06899999999999999</v>
      </c>
      <c r="G9" s="12" t="n">
        <v>0.06</v>
      </c>
      <c r="H9" s="13" t="n">
        <v>0.05</v>
      </c>
      <c r="I9" s="13" t="n">
        <v>0.05</v>
      </c>
      <c r="J9" s="13" t="n">
        <v>0.05</v>
      </c>
      <c r="K9" s="13" t="n">
        <v>0.05</v>
      </c>
      <c r="L9" s="13" t="n">
        <v>0.05</v>
      </c>
      <c r="M9" s="13" t="n">
        <v>0.05</v>
      </c>
      <c r="N9" s="14" t="n">
        <v>-0.2065</v>
      </c>
      <c r="O9" s="14" t="n">
        <v>-0.137</v>
      </c>
      <c r="P9" s="14" t="n">
        <v>-0.3435</v>
      </c>
      <c r="Q9" s="14" t="n">
        <v>0.006500000000000034</v>
      </c>
      <c r="R9" s="15" t="n">
        <v>0.12</v>
      </c>
      <c r="S9" s="15" t="n">
        <v>0.12</v>
      </c>
      <c r="T9" s="15" t="n">
        <v>0.24</v>
      </c>
      <c r="U9" s="15" t="n">
        <v>0.48</v>
      </c>
      <c r="V9" s="17" t="n">
        <v>-0.3265</v>
      </c>
      <c r="W9" s="17" t="n">
        <v>-0.257</v>
      </c>
      <c r="X9" s="17" t="n">
        <v>-0.5834999999999999</v>
      </c>
      <c r="Y9" s="17" t="n">
        <v>-0.4734999999999999</v>
      </c>
      <c r="Z9" s="19" t="n">
        <v>-2.720833333333334</v>
      </c>
      <c r="AA9" s="19" t="n">
        <v>-2.141666666666667</v>
      </c>
      <c r="AB9" s="19" t="n">
        <v>-2.43125</v>
      </c>
      <c r="AC9" s="19" t="n">
        <v>-0.9864583333333332</v>
      </c>
    </row>
    <row r="10" ht="17" customHeight="1" s="122">
      <c r="A10" s="11" t="inlineStr">
        <is>
          <t>Commissions Paid</t>
        </is>
      </c>
      <c r="B10" s="12" t="n">
        <v>-0.27</v>
      </c>
      <c r="C10" s="12" t="n">
        <v>-0.3</v>
      </c>
      <c r="D10" s="12" t="n">
        <v>-0.31</v>
      </c>
      <c r="E10" s="12" t="n">
        <v>-0.28</v>
      </c>
      <c r="F10" s="12" t="n">
        <v>-0.29</v>
      </c>
      <c r="G10" s="12" t="n">
        <v>0.08799999999999999</v>
      </c>
      <c r="H10" s="13" t="n">
        <v>-0.36</v>
      </c>
      <c r="I10" s="13" t="n">
        <v>-0.39</v>
      </c>
      <c r="J10" s="13" t="n">
        <v>-0.4</v>
      </c>
      <c r="K10" s="13" t="n">
        <v>-0.41</v>
      </c>
      <c r="L10" s="13" t="n">
        <v>-0.42</v>
      </c>
      <c r="M10" s="13" t="n">
        <v>-0.44</v>
      </c>
      <c r="N10" s="14" t="n">
        <v>-0.88</v>
      </c>
      <c r="O10" s="14" t="n">
        <v>-0.5700000000000001</v>
      </c>
      <c r="P10" s="14" t="n">
        <v>-1.45</v>
      </c>
      <c r="Q10" s="14" t="n">
        <v>-4.32</v>
      </c>
      <c r="R10" s="15" t="n">
        <v>-0.91</v>
      </c>
      <c r="S10" s="15" t="n">
        <v>-0.96</v>
      </c>
      <c r="T10" s="15" t="n">
        <v>-1.87</v>
      </c>
      <c r="U10" s="15" t="n">
        <v>-4.38</v>
      </c>
      <c r="V10" s="17" t="n">
        <v>0.03000000000000003</v>
      </c>
      <c r="W10" s="17" t="n">
        <v>0.3899999999999999</v>
      </c>
      <c r="X10" s="17" t="n">
        <v>0.4200000000000002</v>
      </c>
      <c r="Y10" s="17" t="n">
        <v>0.05999999999999961</v>
      </c>
      <c r="Z10" s="19" t="n">
        <v>0.032967032967033</v>
      </c>
      <c r="AA10" s="19" t="n">
        <v>0.4062499999999999</v>
      </c>
      <c r="AB10" s="19" t="n">
        <v>0.2245989304812835</v>
      </c>
      <c r="AC10" s="19" t="n">
        <v>0.01369863013698621</v>
      </c>
    </row>
    <row r="11" ht="6" customHeight="1" s="122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</row>
    <row r="12" ht="17" customHeight="1" s="122">
      <c r="A12" s="119" t="inlineStr">
        <is>
          <t>Cash from Operations (CFO)</t>
        </is>
      </c>
      <c r="B12" s="108" t="n">
        <v>2.758999999999999</v>
      </c>
      <c r="C12" s="108" t="n">
        <v>2.467000000000001</v>
      </c>
      <c r="D12" s="108" t="n">
        <v>7.250999999999999</v>
      </c>
      <c r="E12" s="108" t="n">
        <v>4.654</v>
      </c>
      <c r="F12" s="108" t="n">
        <v>3.388</v>
      </c>
      <c r="G12" s="108" t="n">
        <v>4.795</v>
      </c>
      <c r="H12" s="104" t="n">
        <v>-0.6609999999999998</v>
      </c>
      <c r="I12" s="104" t="n">
        <v>-0.4790000000000001</v>
      </c>
      <c r="J12" s="104" t="n">
        <v>-0.3169999999999998</v>
      </c>
      <c r="K12" s="104" t="n">
        <v>-0.1449999999999996</v>
      </c>
      <c r="L12" s="104" t="n">
        <v>0.03800000000000031</v>
      </c>
      <c r="M12" s="104" t="n">
        <v>0.1999999999999998</v>
      </c>
      <c r="N12" s="7" t="n">
        <v>12.477</v>
      </c>
      <c r="O12" s="7" t="n">
        <v>8.042</v>
      </c>
      <c r="P12" s="7" t="n">
        <v>20.519</v>
      </c>
      <c r="Q12" s="7" t="n">
        <v>19.528</v>
      </c>
      <c r="R12" s="8" t="n">
        <v>12.181</v>
      </c>
      <c r="S12" s="8" t="n">
        <v>9.818</v>
      </c>
      <c r="T12" s="8" t="n">
        <v>21.999</v>
      </c>
      <c r="U12" s="8" t="n">
        <v>14.845</v>
      </c>
      <c r="V12" s="23" t="n">
        <v>0.2959999999999994</v>
      </c>
      <c r="W12" s="9" t="n">
        <v>-1.776</v>
      </c>
      <c r="X12" s="9" t="n">
        <v>-1.48</v>
      </c>
      <c r="Y12" s="23" t="n">
        <v>4.682999999999996</v>
      </c>
      <c r="Z12" s="24" t="n">
        <v>0.02430013956161229</v>
      </c>
      <c r="AA12" s="10" t="n">
        <v>-0.1808922387451619</v>
      </c>
      <c r="AB12" s="10" t="n">
        <v>-0.06727578526296653</v>
      </c>
      <c r="AC12" s="24" t="n">
        <v>0.3154597507578306</v>
      </c>
    </row>
    <row r="13" ht="6" customHeight="1" s="122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</row>
    <row r="14" ht="16" customHeight="1" s="122">
      <c r="A14" s="99" t="inlineStr">
        <is>
          <t xml:space="preserve">  INVESTING ACTIVITIES</t>
        </is>
      </c>
    </row>
    <row r="15" ht="17" customHeight="1" s="122">
      <c r="A15" s="11" t="inlineStr">
        <is>
          <t>Capital Expenditures (CapEx)</t>
        </is>
      </c>
      <c r="B15" s="12" t="n">
        <v>-0.18</v>
      </c>
      <c r="C15" s="12" t="n">
        <v>-0.18</v>
      </c>
      <c r="D15" s="12" t="n">
        <v>-0.18</v>
      </c>
      <c r="E15" s="12" t="n">
        <v>-0.18</v>
      </c>
      <c r="F15" s="12" t="n">
        <v>-0.18</v>
      </c>
      <c r="G15" s="12" t="n">
        <v>-0.22</v>
      </c>
      <c r="H15" s="13" t="n">
        <v>-0.22</v>
      </c>
      <c r="I15" s="13" t="n">
        <v>-0.23</v>
      </c>
      <c r="J15" s="13" t="n">
        <v>-0.24</v>
      </c>
      <c r="K15" s="13" t="n">
        <v>-0.25</v>
      </c>
      <c r="L15" s="13" t="n">
        <v>-0.26</v>
      </c>
      <c r="M15" s="13" t="n">
        <v>-0.27</v>
      </c>
      <c r="N15" s="14" t="n">
        <v>-0.54</v>
      </c>
      <c r="O15" s="14" t="n">
        <v>-0.36</v>
      </c>
      <c r="P15" s="14" t="n">
        <v>-0.8999999999999999</v>
      </c>
      <c r="Q15" s="14" t="n">
        <v>-2.65</v>
      </c>
      <c r="R15" s="15" t="n">
        <v>-0.54</v>
      </c>
      <c r="S15" s="15" t="n">
        <v>-0.58</v>
      </c>
      <c r="T15" s="15" t="n">
        <v>-1.12</v>
      </c>
      <c r="U15" s="15" t="n">
        <v>-2.65</v>
      </c>
      <c r="V15" s="20" t="n">
        <v>0</v>
      </c>
      <c r="W15" s="17" t="n">
        <v>0.22</v>
      </c>
      <c r="X15" s="17" t="n">
        <v>0.22</v>
      </c>
      <c r="Y15" s="20" t="n">
        <v>0</v>
      </c>
      <c r="Z15" s="21" t="n">
        <v>0</v>
      </c>
      <c r="AA15" s="19" t="n">
        <v>0.3793103448275862</v>
      </c>
      <c r="AB15" s="19" t="n">
        <v>0.1964285714285714</v>
      </c>
      <c r="AC15" s="21" t="n">
        <v>0</v>
      </c>
    </row>
    <row r="16" ht="17" customHeight="1" s="122">
      <c r="A16" s="119" t="inlineStr">
        <is>
          <t>Cash from Investing (CFI)</t>
        </is>
      </c>
      <c r="B16" s="108" t="n">
        <v>-0.18</v>
      </c>
      <c r="C16" s="108" t="n">
        <v>-0.18</v>
      </c>
      <c r="D16" s="108" t="n">
        <v>-0.18</v>
      </c>
      <c r="E16" s="108" t="n">
        <v>-0.18</v>
      </c>
      <c r="F16" s="108" t="n">
        <v>-0.18</v>
      </c>
      <c r="G16" s="108" t="n">
        <v>-0.22</v>
      </c>
      <c r="H16" s="104" t="n">
        <v>-0.22</v>
      </c>
      <c r="I16" s="104" t="n">
        <v>-0.23</v>
      </c>
      <c r="J16" s="104" t="n">
        <v>-0.24</v>
      </c>
      <c r="K16" s="104" t="n">
        <v>-0.25</v>
      </c>
      <c r="L16" s="104" t="n">
        <v>-0.26</v>
      </c>
      <c r="M16" s="104" t="n">
        <v>-0.27</v>
      </c>
      <c r="N16" s="7" t="n">
        <v>-0.54</v>
      </c>
      <c r="O16" s="7" t="n">
        <v>-0.36</v>
      </c>
      <c r="P16" s="7" t="n">
        <v>-0.8999999999999999</v>
      </c>
      <c r="Q16" s="7" t="n">
        <v>-2.65</v>
      </c>
      <c r="R16" s="8" t="n">
        <v>-0.54</v>
      </c>
      <c r="S16" s="8" t="n">
        <v>-0.58</v>
      </c>
      <c r="T16" s="8" t="n">
        <v>-1.12</v>
      </c>
      <c r="U16" s="8" t="n">
        <v>-2.65</v>
      </c>
      <c r="V16" s="30" t="n">
        <v>0</v>
      </c>
      <c r="W16" s="23" t="n">
        <v>0.22</v>
      </c>
      <c r="X16" s="23" t="n">
        <v>0.22</v>
      </c>
      <c r="Y16" s="30" t="n">
        <v>0</v>
      </c>
      <c r="Z16" s="31" t="n">
        <v>0</v>
      </c>
      <c r="AA16" s="24" t="n">
        <v>0.3793103448275862</v>
      </c>
      <c r="AB16" s="24" t="n">
        <v>0.1964285714285714</v>
      </c>
      <c r="AC16" s="31" t="n">
        <v>0</v>
      </c>
    </row>
    <row r="17" ht="6" customHeight="1" s="122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</row>
    <row r="18" ht="16" customHeight="1" s="122">
      <c r="A18" s="99" t="inlineStr">
        <is>
          <t xml:space="preserve">  FINANCING ACTIVITIES</t>
        </is>
      </c>
    </row>
    <row r="19" ht="17" customHeight="1" s="122">
      <c r="A19" s="11" t="inlineStr">
        <is>
          <t>Proceeds from Financing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</row>
    <row r="20" ht="17" customHeight="1" s="122">
      <c r="A20" s="11" t="inlineStr">
        <is>
          <t>Debt Repayments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</row>
    <row r="21" ht="17" customHeight="1" s="122">
      <c r="A21" s="119" t="inlineStr">
        <is>
          <t>Cash from Financing (CFF)</t>
        </is>
      </c>
      <c r="B21" s="115" t="n">
        <v>0</v>
      </c>
      <c r="C21" s="115" t="n">
        <v>0</v>
      </c>
      <c r="D21" s="115" t="n">
        <v>0</v>
      </c>
      <c r="E21" s="115" t="n">
        <v>0</v>
      </c>
      <c r="F21" s="115" t="n">
        <v>0</v>
      </c>
      <c r="G21" s="115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30" t="n">
        <v>0</v>
      </c>
      <c r="W21" s="30" t="n">
        <v>0</v>
      </c>
      <c r="X21" s="30" t="n">
        <v>0</v>
      </c>
      <c r="Y21" s="30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</row>
    <row r="22" ht="6" customHeight="1" s="1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</row>
    <row r="23" ht="16" customHeight="1" s="122">
      <c r="A23" s="99" t="inlineStr">
        <is>
          <t xml:space="preserve">  NET CASH MOVEMENT &amp; RECONCILIATION</t>
        </is>
      </c>
    </row>
    <row r="24" ht="17" customHeight="1" s="122">
      <c r="A24" s="119" t="inlineStr">
        <is>
          <t>Net Change in Cash</t>
        </is>
      </c>
      <c r="B24" s="108" t="n">
        <v>2.578999999999999</v>
      </c>
      <c r="C24" s="108" t="n">
        <v>2.287</v>
      </c>
      <c r="D24" s="108" t="n">
        <v>7.071</v>
      </c>
      <c r="E24" s="108" t="n">
        <v>4.474</v>
      </c>
      <c r="F24" s="108" t="n">
        <v>3.208</v>
      </c>
      <c r="G24" s="108" t="n">
        <v>4.575</v>
      </c>
      <c r="H24" s="104" t="n">
        <v>-0.8809999999999998</v>
      </c>
      <c r="I24" s="104" t="n">
        <v>-0.7090000000000002</v>
      </c>
      <c r="J24" s="104" t="n">
        <v>-0.5569999999999997</v>
      </c>
      <c r="K24" s="104" t="n">
        <v>-0.3949999999999996</v>
      </c>
      <c r="L24" s="104" t="n">
        <v>-0.2219999999999997</v>
      </c>
      <c r="M24" s="104" t="n">
        <v>-0.07000000000000026</v>
      </c>
      <c r="N24" s="7" t="n">
        <v>11.937</v>
      </c>
      <c r="O24" s="7" t="n">
        <v>7.682</v>
      </c>
      <c r="P24" s="7" t="n">
        <v>19.619</v>
      </c>
      <c r="Q24" s="7" t="n">
        <v>16.878</v>
      </c>
      <c r="R24" s="8" t="n">
        <v>11.641</v>
      </c>
      <c r="S24" s="8" t="n">
        <v>9.238</v>
      </c>
      <c r="T24" s="8" t="n">
        <v>20.879</v>
      </c>
      <c r="U24" s="8" t="n">
        <v>12.195</v>
      </c>
      <c r="V24" s="23" t="n">
        <v>0.2959999999999994</v>
      </c>
      <c r="W24" s="9" t="n">
        <v>-1.555999999999999</v>
      </c>
      <c r="X24" s="9" t="n">
        <v>-1.260000000000002</v>
      </c>
      <c r="Y24" s="23" t="n">
        <v>4.682999999999998</v>
      </c>
      <c r="Z24" s="24" t="n">
        <v>0.02542736878275057</v>
      </c>
      <c r="AA24" s="10" t="n">
        <v>-0.1684347261311971</v>
      </c>
      <c r="AB24" s="10" t="n">
        <v>-0.06034771780257682</v>
      </c>
      <c r="AC24" s="24" t="n">
        <v>0.3840098400984008</v>
      </c>
    </row>
    <row r="25" ht="17" customHeight="1" s="122">
      <c r="A25" s="11" t="inlineStr">
        <is>
          <t>Beginning Cash Balance</t>
        </is>
      </c>
      <c r="B25" s="12" t="n">
        <v>46.1</v>
      </c>
      <c r="C25" s="12" t="n">
        <v>48.71</v>
      </c>
      <c r="D25" s="12" t="n">
        <v>51.01</v>
      </c>
      <c r="E25" s="12" t="n">
        <v>58.09</v>
      </c>
      <c r="F25" s="12" t="n">
        <v>62.57</v>
      </c>
      <c r="G25" s="12" t="n">
        <v>66.03700000000001</v>
      </c>
      <c r="H25" s="13" t="n">
        <v>66.04000000000001</v>
      </c>
      <c r="I25" s="13" t="n">
        <v>65.2</v>
      </c>
      <c r="J25" s="13" t="n">
        <v>64.54000000000001</v>
      </c>
      <c r="K25" s="13" t="n">
        <v>64.16</v>
      </c>
      <c r="L25" s="13" t="n">
        <v>64.04000000000001</v>
      </c>
      <c r="M25" s="13" t="n">
        <v>64.2</v>
      </c>
      <c r="N25" s="14" t="n">
        <v>145.82</v>
      </c>
      <c r="O25" s="14" t="n">
        <v>120.66</v>
      </c>
      <c r="P25" s="14" t="n">
        <v>266.48</v>
      </c>
      <c r="Q25" s="14" t="n">
        <v>719.28</v>
      </c>
      <c r="R25" s="15" t="n">
        <v>37.95</v>
      </c>
      <c r="S25" s="15" t="n">
        <v>77.79000000000001</v>
      </c>
      <c r="T25" s="15" t="n">
        <v>115.74</v>
      </c>
      <c r="U25" s="15" t="n">
        <v>276.04</v>
      </c>
      <c r="V25" s="16" t="n">
        <v>107.87</v>
      </c>
      <c r="W25" s="16" t="n">
        <v>42.86999999999999</v>
      </c>
      <c r="X25" s="16" t="n">
        <v>150.74</v>
      </c>
      <c r="Y25" s="16" t="n">
        <v>443.24</v>
      </c>
      <c r="Z25" s="18" t="n">
        <v>2.842424242424242</v>
      </c>
      <c r="AA25" s="18" t="n">
        <v>0.5510991129965289</v>
      </c>
      <c r="AB25" s="18" t="n">
        <v>1.302401935372386</v>
      </c>
      <c r="AC25" s="18" t="n">
        <v>1.605709317490219</v>
      </c>
    </row>
    <row r="26" ht="17" customHeight="1" s="122">
      <c r="A26" s="119" t="inlineStr">
        <is>
          <t>Ending Cash Balance</t>
        </is>
      </c>
      <c r="B26" s="108" t="n">
        <v>48.71</v>
      </c>
      <c r="C26" s="108" t="n">
        <v>51.01</v>
      </c>
      <c r="D26" s="108" t="n">
        <v>58.09</v>
      </c>
      <c r="E26" s="108" t="n">
        <v>62.57</v>
      </c>
      <c r="F26" s="108" t="n">
        <v>66.04000000000001</v>
      </c>
      <c r="G26" s="108" t="n">
        <v>70.61199999999999</v>
      </c>
      <c r="H26" s="104" t="n">
        <v>65.2</v>
      </c>
      <c r="I26" s="104" t="n">
        <v>64.54000000000001</v>
      </c>
      <c r="J26" s="104" t="n">
        <v>64.16</v>
      </c>
      <c r="K26" s="104" t="n">
        <v>64.04000000000001</v>
      </c>
      <c r="L26" s="104" t="n">
        <v>64.2</v>
      </c>
      <c r="M26" s="104" t="n">
        <v>64.62</v>
      </c>
      <c r="N26" s="7" t="n">
        <v>157.81</v>
      </c>
      <c r="O26" s="7" t="n">
        <v>128.61</v>
      </c>
      <c r="P26" s="7" t="n">
        <v>286.42</v>
      </c>
      <c r="Q26" s="7" t="n">
        <v>738.51</v>
      </c>
      <c r="R26" s="8" t="n">
        <v>49.62</v>
      </c>
      <c r="S26" s="8" t="n">
        <v>87.33</v>
      </c>
      <c r="T26" s="8" t="n">
        <v>136.95</v>
      </c>
      <c r="U26" s="8" t="n">
        <v>289.64</v>
      </c>
      <c r="V26" s="23" t="n">
        <v>108.19</v>
      </c>
      <c r="W26" s="23" t="n">
        <v>41.28000000000002</v>
      </c>
      <c r="X26" s="23" t="n">
        <v>149.47</v>
      </c>
      <c r="Y26" s="23" t="n">
        <v>448.87</v>
      </c>
      <c r="Z26" s="24" t="n">
        <v>2.18037081821846</v>
      </c>
      <c r="AA26" s="24" t="n">
        <v>0.4726897973205086</v>
      </c>
      <c r="AB26" s="24" t="n">
        <v>1.091420226359986</v>
      </c>
      <c r="AC26" s="24" t="n">
        <v>1.549751415550338</v>
      </c>
    </row>
    <row r="28" ht="24" customHeight="1" s="122">
      <c r="A28" s="100" t="inlineStr">
        <is>
          <t xml:space="preserve">  Note: GAAP indirect method approximation using operational data. Deferred revenue and working capital changes are estimated from billing/collection dynamics. Jun Actual (yellow) is a user-input placeholder.</t>
        </is>
      </c>
    </row>
  </sheetData>
  <mergeCells count="11">
    <mergeCell ref="A28:M28"/>
    <mergeCell ref="B2:G2"/>
    <mergeCell ref="A23:AC23"/>
    <mergeCell ref="A14:AC14"/>
    <mergeCell ref="V2:AC2"/>
    <mergeCell ref="A18:AC18"/>
    <mergeCell ref="A4:AC4"/>
    <mergeCell ref="N2:Q2"/>
    <mergeCell ref="R2:U2"/>
    <mergeCell ref="H2:M2"/>
    <mergeCell ref="A1:A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:H1"/>
    </sheetView>
  </sheetViews>
  <sheetFormatPr baseColWidth="8" defaultRowHeight="14.5"/>
  <cols>
    <col width="22" customWidth="1" style="122" min="1" max="1"/>
    <col width="18" customWidth="1" style="122" min="2" max="6"/>
  </cols>
  <sheetData>
    <row r="1" ht="36" customHeight="1" s="122">
      <c r="A1" s="101" t="inlineStr">
        <is>
          <t xml:space="preserve">  ClarityFP · GTM &amp; Marketing Channel Efficiency · YTD 2026</t>
        </is>
      </c>
    </row>
    <row r="2">
      <c r="A2" s="32" t="inlineStr">
        <is>
          <t>Channel</t>
        </is>
      </c>
      <c r="B2" s="32" t="inlineStr">
        <is>
          <t>Mktg Spend ($M)</t>
        </is>
      </c>
      <c r="C2" s="32" t="inlineStr">
        <is>
          <t>Pipeline Created ($M)</t>
        </is>
      </c>
      <c r="D2" s="32" t="inlineStr">
        <is>
          <t>Closed Won ($M)</t>
        </is>
      </c>
      <c r="E2" s="32" t="inlineStr">
        <is>
          <t>Pipeline / $1 Spend</t>
        </is>
      </c>
      <c r="F2" s="32" t="inlineStr">
        <is>
          <t>Efficiency Rank</t>
        </is>
      </c>
    </row>
    <row r="3">
      <c r="A3" s="33" t="inlineStr">
        <is>
          <t>Organic Search</t>
        </is>
      </c>
      <c r="B3" s="34" t="n">
        <v>0.08</v>
      </c>
      <c r="C3" s="34" t="n">
        <v>1.91</v>
      </c>
      <c r="D3" s="35" t="n">
        <v>0.72</v>
      </c>
      <c r="E3" s="36" t="n">
        <v>24.9</v>
      </c>
      <c r="F3" s="37" t="n">
        <v>1</v>
      </c>
    </row>
    <row r="4">
      <c r="A4" s="38" t="inlineStr">
        <is>
          <t>Partner</t>
        </is>
      </c>
      <c r="B4" s="39" t="n">
        <v>0.33</v>
      </c>
      <c r="C4" s="39" t="n">
        <v>3.11</v>
      </c>
      <c r="D4" s="40" t="n">
        <v>1.91</v>
      </c>
      <c r="E4" s="41" t="n">
        <v>9.4</v>
      </c>
      <c r="F4" s="42" t="n">
        <v>2</v>
      </c>
    </row>
    <row r="5">
      <c r="A5" s="33" t="inlineStr">
        <is>
          <t>Referral</t>
        </is>
      </c>
      <c r="B5" s="34" t="n">
        <v>0.12</v>
      </c>
      <c r="C5" s="34" t="n">
        <v>1.45</v>
      </c>
      <c r="D5" s="35" t="n">
        <v>0.58</v>
      </c>
      <c r="E5" s="36" t="n">
        <v>12.1</v>
      </c>
      <c r="F5" s="37" t="n">
        <v>3</v>
      </c>
    </row>
    <row r="6">
      <c r="A6" s="38" t="inlineStr">
        <is>
          <t>Webinar</t>
        </is>
      </c>
      <c r="B6" s="39" t="n">
        <v>0.19</v>
      </c>
      <c r="C6" s="39" t="n">
        <v>1.38</v>
      </c>
      <c r="D6" s="40" t="n">
        <v>0.44</v>
      </c>
      <c r="E6" s="41" t="n">
        <v>7.3</v>
      </c>
      <c r="F6" s="42" t="n">
        <v>4</v>
      </c>
    </row>
    <row r="7">
      <c r="A7" s="33" t="inlineStr">
        <is>
          <t>Outbound</t>
        </is>
      </c>
      <c r="B7" s="34" t="n">
        <v>0.44</v>
      </c>
      <c r="C7" s="34" t="n">
        <v>2.21</v>
      </c>
      <c r="D7" s="35" t="n">
        <v>0.61</v>
      </c>
      <c r="E7" s="43" t="n">
        <v>5</v>
      </c>
      <c r="F7" s="37" t="n">
        <v>5</v>
      </c>
    </row>
    <row r="8">
      <c r="A8" s="38" t="inlineStr">
        <is>
          <t>Direct</t>
        </is>
      </c>
      <c r="B8" s="39" t="n">
        <v>0.15</v>
      </c>
      <c r="C8" s="39" t="n">
        <v>0.72</v>
      </c>
      <c r="D8" s="40" t="n">
        <v>0.18</v>
      </c>
      <c r="E8" s="44" t="n">
        <v>4.8</v>
      </c>
      <c r="F8" s="42" t="n">
        <v>6</v>
      </c>
    </row>
    <row r="9">
      <c r="A9" s="33" t="inlineStr">
        <is>
          <t>Field Event</t>
        </is>
      </c>
      <c r="B9" s="34" t="n">
        <v>0.52</v>
      </c>
      <c r="C9" s="34" t="n">
        <v>1.12</v>
      </c>
      <c r="D9" s="35" t="n">
        <v>0.22</v>
      </c>
      <c r="E9" s="45" t="n">
        <v>2.2</v>
      </c>
      <c r="F9" s="37" t="n">
        <v>7</v>
      </c>
    </row>
    <row r="10">
      <c r="A10" s="38" t="inlineStr">
        <is>
          <t>Content Syndic.</t>
        </is>
      </c>
      <c r="B10" s="39" t="n">
        <v>0.38</v>
      </c>
      <c r="C10" s="39" t="n">
        <v>0.98</v>
      </c>
      <c r="D10" s="89" t="n">
        <v>0</v>
      </c>
      <c r="E10" s="46" t="n">
        <v>2.6</v>
      </c>
      <c r="F10" s="42" t="n">
        <v>8</v>
      </c>
    </row>
    <row r="11">
      <c r="A11" s="33" t="inlineStr">
        <is>
          <t>Paid Search</t>
        </is>
      </c>
      <c r="B11" s="34" t="n">
        <v>1.56</v>
      </c>
      <c r="C11" s="34" t="n">
        <v>2.27</v>
      </c>
      <c r="D11" s="90" t="n">
        <v>1.226</v>
      </c>
      <c r="E11" s="45" t="n">
        <v>1.5</v>
      </c>
      <c r="F11" s="37" t="n">
        <v>9</v>
      </c>
    </row>
    <row r="12">
      <c r="A12" s="38" t="inlineStr">
        <is>
          <t>Paid Social</t>
        </is>
      </c>
      <c r="B12" s="39" t="n">
        <v>1.27</v>
      </c>
      <c r="C12" s="39" t="n">
        <v>1.45</v>
      </c>
      <c r="D12" s="89" t="n">
        <v>0.986</v>
      </c>
      <c r="E12" s="46" t="n">
        <v>1.1</v>
      </c>
      <c r="F12" s="42" t="n">
        <v>10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:J1"/>
    </sheetView>
  </sheetViews>
  <sheetFormatPr baseColWidth="8" defaultRowHeight="14.5"/>
  <cols>
    <col width="22" customWidth="1" style="122" min="1" max="1"/>
    <col width="9" customWidth="1" style="122" min="2" max="9"/>
    <col width="16" customWidth="1" style="122" min="10" max="10"/>
  </cols>
  <sheetData>
    <row r="1" ht="36" customHeight="1" s="122">
      <c r="A1" s="123" t="inlineStr">
        <is>
          <t>SMPL · Headcount &amp; Productivity · Jan–Jun 2026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</row>
    <row r="2" ht="22" customHeight="1" s="122">
      <c r="A2" s="81" t="inlineStr">
        <is>
          <t>Department</t>
        </is>
      </c>
      <c r="B2" s="81" t="inlineStr">
        <is>
          <t>Jan</t>
        </is>
      </c>
      <c r="C2" s="81" t="inlineStr">
        <is>
          <t>Feb</t>
        </is>
      </c>
      <c r="D2" s="81" t="inlineStr">
        <is>
          <t>Mar</t>
        </is>
      </c>
      <c r="E2" s="81" t="inlineStr">
        <is>
          <t>Apr</t>
        </is>
      </c>
      <c r="F2" s="81" t="inlineStr">
        <is>
          <t>May</t>
        </is>
      </c>
      <c r="G2" s="81" t="inlineStr">
        <is>
          <t>Jun</t>
        </is>
      </c>
      <c r="H2" s="81" t="inlineStr">
        <is>
          <t>Bud Jun</t>
        </is>
      </c>
      <c r="I2" s="81" t="inlineStr">
        <is>
          <t>Var</t>
        </is>
      </c>
      <c r="J2" s="81" t="inlineStr">
        <is>
          <t>ARR/Emp</t>
        </is>
      </c>
    </row>
    <row r="3" ht="18" customHeight="1" s="122">
      <c r="A3" s="48" t="inlineStr">
        <is>
          <t>Sales</t>
        </is>
      </c>
      <c r="B3" s="83" t="n">
        <v>26</v>
      </c>
      <c r="C3" s="83" t="n">
        <v>27</v>
      </c>
      <c r="D3" s="83" t="n">
        <v>28</v>
      </c>
      <c r="E3" s="83" t="n">
        <v>28</v>
      </c>
      <c r="F3" s="83" t="n">
        <v>28</v>
      </c>
      <c r="G3" s="82" t="n">
        <v>29</v>
      </c>
      <c r="H3" s="83" t="n">
        <v>29</v>
      </c>
      <c r="I3" s="84" t="n">
        <v>0</v>
      </c>
      <c r="J3" s="83" t="inlineStr">
        <is>
          <t>$628K/emp</t>
        </is>
      </c>
    </row>
    <row r="4" ht="18" customHeight="1" s="122">
      <c r="A4" s="49" t="inlineStr">
        <is>
          <t>Engineering</t>
        </is>
      </c>
      <c r="B4" s="85" t="n">
        <v>34</v>
      </c>
      <c r="C4" s="85" t="n">
        <v>35</v>
      </c>
      <c r="D4" s="85" t="n">
        <v>35</v>
      </c>
      <c r="E4" s="85" t="n">
        <v>35</v>
      </c>
      <c r="F4" s="85" t="n">
        <v>36</v>
      </c>
      <c r="G4" s="82" t="n">
        <v>37</v>
      </c>
      <c r="H4" s="85" t="n">
        <v>37</v>
      </c>
      <c r="I4" s="86" t="n">
        <v>0</v>
      </c>
      <c r="J4" s="85" t="inlineStr">
        <is>
          <t>$628K/emp</t>
        </is>
      </c>
    </row>
    <row r="5" ht="18" customHeight="1" s="122">
      <c r="A5" s="48" t="inlineStr">
        <is>
          <t>Customer Success</t>
        </is>
      </c>
      <c r="B5" s="83" t="n">
        <v>15</v>
      </c>
      <c r="C5" s="83" t="n">
        <v>15</v>
      </c>
      <c r="D5" s="83" t="n">
        <v>15</v>
      </c>
      <c r="E5" s="83" t="n">
        <v>16</v>
      </c>
      <c r="F5" s="83" t="n">
        <v>16</v>
      </c>
      <c r="G5" s="82" t="n">
        <v>17</v>
      </c>
      <c r="H5" s="83" t="n">
        <v>17</v>
      </c>
      <c r="I5" s="84" t="n">
        <v>0</v>
      </c>
      <c r="J5" s="83" t="inlineStr">
        <is>
          <t>$628K/emp</t>
        </is>
      </c>
    </row>
    <row r="6" ht="18" customHeight="1" s="122">
      <c r="A6" s="49" t="inlineStr">
        <is>
          <t>Marketing</t>
        </is>
      </c>
      <c r="B6" s="85" t="n">
        <v>13</v>
      </c>
      <c r="C6" s="85" t="n">
        <v>13</v>
      </c>
      <c r="D6" s="85" t="n">
        <v>13</v>
      </c>
      <c r="E6" s="85" t="n">
        <v>14</v>
      </c>
      <c r="F6" s="85" t="n">
        <v>14</v>
      </c>
      <c r="G6" s="82" t="n">
        <v>15</v>
      </c>
      <c r="H6" s="85" t="n">
        <v>15</v>
      </c>
      <c r="I6" s="86" t="n">
        <v>0</v>
      </c>
      <c r="J6" s="85" t="inlineStr">
        <is>
          <t>$628K/emp</t>
        </is>
      </c>
    </row>
    <row r="7" ht="18" customHeight="1" s="122">
      <c r="A7" s="48" t="inlineStr">
        <is>
          <t>G&amp;A + Support</t>
        </is>
      </c>
      <c r="B7" s="83" t="n">
        <v>25</v>
      </c>
      <c r="C7" s="83" t="n">
        <v>26</v>
      </c>
      <c r="D7" s="83" t="n">
        <v>26</v>
      </c>
      <c r="E7" s="83" t="n">
        <v>26</v>
      </c>
      <c r="F7" s="83" t="n">
        <v>27</v>
      </c>
      <c r="G7" s="82" t="n">
        <v>29</v>
      </c>
      <c r="H7" s="83" t="n">
        <v>29</v>
      </c>
      <c r="I7" s="84" t="n">
        <v>0</v>
      </c>
      <c r="J7" s="83" t="inlineStr">
        <is>
          <t>$628K/emp</t>
        </is>
      </c>
    </row>
    <row r="8" ht="18" customHeight="1" s="122">
      <c r="A8" s="49" t="inlineStr">
        <is>
          <t>Product</t>
        </is>
      </c>
      <c r="B8" s="85" t="n">
        <v>8</v>
      </c>
      <c r="C8" s="85" t="n">
        <v>8</v>
      </c>
      <c r="D8" s="85" t="n">
        <v>9</v>
      </c>
      <c r="E8" s="85" t="n">
        <v>9</v>
      </c>
      <c r="F8" s="85" t="n">
        <v>9</v>
      </c>
      <c r="G8" s="82" t="n">
        <v>10</v>
      </c>
      <c r="H8" s="85" t="n">
        <v>10</v>
      </c>
      <c r="I8" s="86" t="n">
        <v>0</v>
      </c>
      <c r="J8" s="85" t="inlineStr">
        <is>
          <t>$628K/emp</t>
        </is>
      </c>
    </row>
    <row r="9" ht="18" customHeight="1" s="122">
      <c r="A9" s="87" t="inlineStr">
        <is>
          <t>Total</t>
        </is>
      </c>
      <c r="B9" s="88" t="n">
        <v>121</v>
      </c>
      <c r="C9" s="88" t="n">
        <v>124</v>
      </c>
      <c r="D9" s="88" t="n">
        <v>126</v>
      </c>
      <c r="E9" s="88" t="n">
        <v>128</v>
      </c>
      <c r="F9" s="88" t="n">
        <v>130</v>
      </c>
      <c r="G9" s="88" t="n">
        <v>137</v>
      </c>
      <c r="H9" s="88" t="n">
        <v>137</v>
      </c>
      <c r="I9" s="88" t="n">
        <v>0</v>
      </c>
      <c r="J9" s="88" t="inlineStr">
        <is>
          <t>$628K/emp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:L1"/>
    </sheetView>
  </sheetViews>
  <sheetFormatPr baseColWidth="8" defaultRowHeight="14.5"/>
  <cols>
    <col width="12" customWidth="1" style="122" min="1" max="1"/>
    <col width="22" customWidth="1" style="122" min="2" max="2"/>
    <col width="10" customWidth="1" style="122" min="3" max="11"/>
    <col width="42" customWidth="1" style="122" min="12" max="12"/>
    <col width="42" customWidth="1" style="122" min="13" max="13"/>
    <col width="42" customWidth="1" style="122" min="14" max="14"/>
  </cols>
  <sheetData>
    <row r="1" ht="36" customHeight="1" s="122">
      <c r="A1" s="121" t="inlineStr">
        <is>
          <t>SMPL · Variance Commentary · June 2026</t>
        </is>
      </c>
    </row>
    <row r="2" ht="24" customHeight="1" s="122">
      <c r="A2" s="74" t="inlineStr">
        <is>
          <t>Category</t>
        </is>
      </c>
      <c r="B2" s="74" t="inlineStr">
        <is>
          <t>Metric</t>
        </is>
      </c>
      <c r="C2" s="74" t="inlineStr">
        <is>
          <t>June Actual</t>
        </is>
      </c>
      <c r="D2" s="74" t="inlineStr">
        <is>
          <t>June Budget</t>
        </is>
      </c>
      <c r="E2" s="74" t="inlineStr">
        <is>
          <t>June Var</t>
        </is>
      </c>
      <c r="F2" s="74" t="inlineStr">
        <is>
          <t>Q2 Actual</t>
        </is>
      </c>
      <c r="G2" s="74" t="inlineStr">
        <is>
          <t>Q2 Budget</t>
        </is>
      </c>
      <c r="H2" s="74" t="inlineStr">
        <is>
          <t>Q2 Var</t>
        </is>
      </c>
      <c r="I2" s="74" t="inlineStr">
        <is>
          <t>YTD Actual</t>
        </is>
      </c>
      <c r="J2" s="74" t="inlineStr">
        <is>
          <t>YTD Budget</t>
        </is>
      </c>
      <c r="K2" s="74" t="inlineStr">
        <is>
          <t>YTD Var</t>
        </is>
      </c>
      <c r="L2" s="74" t="inlineStr">
        <is>
          <t>Period vs Budget Commentary</t>
        </is>
      </c>
      <c r="M2" s="74" t="inlineStr">
        <is>
          <t>QTD vs Budget Commentary</t>
        </is>
      </c>
      <c r="N2" s="74" t="inlineStr">
        <is>
          <t>YTD vs Budget Commentary</t>
        </is>
      </c>
    </row>
    <row r="3" ht="55" customHeight="1" s="122">
      <c r="A3" s="75" t="inlineStr">
        <is>
          <t>X</t>
        </is>
      </c>
      <c r="B3" s="75" t="inlineStr">
        <is>
          <t>Y</t>
        </is>
      </c>
      <c r="C3" s="126" t="inlineStr"/>
      <c r="D3" s="126" t="inlineStr"/>
      <c r="E3" s="126" t="inlineStr"/>
      <c r="F3" s="127" t="inlineStr"/>
      <c r="G3" s="127" t="inlineStr"/>
      <c r="H3" s="127" t="inlineStr"/>
      <c r="I3" s="127" t="inlineStr"/>
      <c r="J3" s="127" t="inlineStr"/>
      <c r="K3" s="127" t="inlineStr"/>
      <c r="L3" s="127" t="inlineStr">
        <is>
          <t>arr_ending period.</t>
        </is>
      </c>
      <c r="M3" s="127" t="inlineStr">
        <is>
          <t>arr_ending qtd.</t>
        </is>
      </c>
      <c r="N3" s="127" t="inlineStr">
        <is>
          <t>arr_ending ytd.</t>
        </is>
      </c>
    </row>
    <row r="4" ht="55" customHeight="1" s="122">
      <c r="A4" s="76" t="inlineStr">
        <is>
          <t>X</t>
        </is>
      </c>
      <c r="B4" s="76" t="inlineStr">
        <is>
          <t>Y</t>
        </is>
      </c>
      <c r="C4" s="126" t="inlineStr"/>
      <c r="D4" s="126" t="inlineStr"/>
      <c r="E4" s="126" t="inlineStr"/>
      <c r="F4" s="127" t="inlineStr"/>
      <c r="G4" s="127" t="inlineStr"/>
      <c r="H4" s="127" t="inlineStr"/>
      <c r="I4" s="127" t="inlineStr"/>
      <c r="J4" s="127" t="inlineStr"/>
      <c r="K4" s="127" t="inlineStr"/>
      <c r="L4" s="127" t="inlineStr">
        <is>
          <t>net_new_arr period.</t>
        </is>
      </c>
      <c r="M4" s="127" t="inlineStr">
        <is>
          <t>net_new_arr qtd.</t>
        </is>
      </c>
      <c r="N4" s="127" t="inlineStr">
        <is>
          <t>net_new_arr ytd.</t>
        </is>
      </c>
    </row>
    <row r="5" ht="55" customHeight="1" s="122">
      <c r="A5" s="75" t="inlineStr">
        <is>
          <t>X</t>
        </is>
      </c>
      <c r="B5" s="75" t="inlineStr">
        <is>
          <t>Y</t>
        </is>
      </c>
      <c r="C5" s="126" t="inlineStr"/>
      <c r="D5" s="126" t="inlineStr"/>
      <c r="E5" s="126" t="inlineStr"/>
      <c r="F5" s="127" t="inlineStr"/>
      <c r="G5" s="127" t="inlineStr"/>
      <c r="H5" s="127" t="inlineStr"/>
      <c r="I5" s="127" t="inlineStr"/>
      <c r="J5" s="127" t="inlineStr"/>
      <c r="K5" s="127" t="inlineStr"/>
      <c r="L5" s="127" t="inlineStr">
        <is>
          <t>revenue period.</t>
        </is>
      </c>
      <c r="M5" s="127" t="inlineStr">
        <is>
          <t>revenue qtd.</t>
        </is>
      </c>
      <c r="N5" s="127" t="inlineStr">
        <is>
          <t>revenue ytd.</t>
        </is>
      </c>
    </row>
    <row r="6" ht="55" customHeight="1" s="122">
      <c r="A6" s="76" t="inlineStr">
        <is>
          <t>X</t>
        </is>
      </c>
      <c r="B6" s="76" t="inlineStr">
        <is>
          <t>Y</t>
        </is>
      </c>
      <c r="C6" s="126" t="inlineStr"/>
      <c r="D6" s="126" t="inlineStr"/>
      <c r="E6" s="126" t="inlineStr"/>
      <c r="F6" s="127" t="inlineStr"/>
      <c r="G6" s="127" t="inlineStr"/>
      <c r="H6" s="127" t="inlineStr"/>
      <c r="I6" s="127" t="inlineStr"/>
      <c r="J6" s="127" t="inlineStr"/>
      <c r="K6" s="127" t="inlineStr"/>
      <c r="L6" s="127" t="inlineStr">
        <is>
          <t>gross_margin period.</t>
        </is>
      </c>
      <c r="M6" s="127" t="inlineStr">
        <is>
          <t>gross_margin qtd.</t>
        </is>
      </c>
      <c r="N6" s="127" t="inlineStr">
        <is>
          <t>gross_margin ytd.</t>
        </is>
      </c>
    </row>
    <row r="7" ht="55" customHeight="1" s="122">
      <c r="A7" s="75" t="inlineStr">
        <is>
          <t>X</t>
        </is>
      </c>
      <c r="B7" s="75" t="inlineStr">
        <is>
          <t>Y</t>
        </is>
      </c>
      <c r="C7" s="126" t="inlineStr"/>
      <c r="D7" s="126" t="inlineStr"/>
      <c r="E7" s="126" t="inlineStr"/>
      <c r="F7" s="127" t="inlineStr"/>
      <c r="G7" s="127" t="inlineStr"/>
      <c r="H7" s="127" t="inlineStr"/>
      <c r="I7" s="127" t="inlineStr"/>
      <c r="J7" s="127" t="inlineStr"/>
      <c r="K7" s="127" t="inlineStr"/>
      <c r="L7" s="127" t="inlineStr">
        <is>
          <t>ebitda period.</t>
        </is>
      </c>
      <c r="M7" s="127" t="inlineStr">
        <is>
          <t>ebitda qtd.</t>
        </is>
      </c>
      <c r="N7" s="127" t="inlineStr">
        <is>
          <t>ebitda ytd.</t>
        </is>
      </c>
    </row>
    <row r="8" ht="55" customHeight="1" s="122">
      <c r="A8" s="76" t="inlineStr">
        <is>
          <t>GTM</t>
        </is>
      </c>
      <c r="B8" s="76" t="inlineStr">
        <is>
          <t>S&amp;M / Pipeline</t>
        </is>
      </c>
      <c r="C8" s="126" t="inlineStr">
        <is>
          <t>.15M</t>
        </is>
      </c>
      <c r="D8" s="126" t="inlineStr">
        <is>
          <t>.65M</t>
        </is>
      </c>
      <c r="E8" s="126" t="inlineStr">
        <is>
          <t>$+0.50M</t>
        </is>
      </c>
      <c r="F8" s="127" t="inlineStr">
        <is>
          <t>.29M</t>
        </is>
      </c>
      <c r="G8" s="127" t="inlineStr">
        <is>
          <t>.59M</t>
        </is>
      </c>
      <c r="H8" s="127" t="inlineStr">
        <is>
          <t>$+1.70M</t>
        </is>
      </c>
      <c r="I8" s="127" t="inlineStr">
        <is>
          <t>.29M</t>
        </is>
      </c>
      <c r="J8" s="127" t="inlineStr">
        <is>
          <t>.22M</t>
        </is>
      </c>
      <c r="K8" s="127" t="inlineStr">
        <is>
          <t>$+4.07M</t>
        </is>
      </c>
      <c r="L8" s="127" t="inlineStr">
        <is>
          <t>sm_pipeline period.</t>
        </is>
      </c>
      <c r="M8" s="127" t="inlineStr">
        <is>
          <t>sm_pipeline qtd.</t>
        </is>
      </c>
      <c r="N8" s="127" t="inlineStr">
        <is>
          <t>sm_pipeline ytd.</t>
        </is>
      </c>
    </row>
    <row r="9" ht="55" customHeight="1" s="122">
      <c r="A9" s="75" t="inlineStr">
        <is>
          <t>Cash</t>
        </is>
      </c>
      <c r="B9" s="75" t="inlineStr">
        <is>
          <t>Ending Cash</t>
        </is>
      </c>
      <c r="C9" s="126" t="inlineStr">
        <is>
          <t>.61M</t>
        </is>
      </c>
      <c r="D9" s="126" t="inlineStr">
        <is>
          <t>.36M</t>
        </is>
      </c>
      <c r="E9" s="126" t="inlineStr">
        <is>
          <t>$+22.25M</t>
        </is>
      </c>
      <c r="F9" s="127" t="inlineStr">
        <is>
          <t>.61M</t>
        </is>
      </c>
      <c r="G9" s="127" t="inlineStr">
        <is>
          <t>.36M</t>
        </is>
      </c>
      <c r="H9" s="127" t="inlineStr">
        <is>
          <t>$+22.25M</t>
        </is>
      </c>
      <c r="I9" s="127" t="inlineStr">
        <is>
          <t>.61M</t>
        </is>
      </c>
      <c r="J9" s="127" t="inlineStr">
        <is>
          <t>.36M</t>
        </is>
      </c>
      <c r="K9" s="127" t="inlineStr">
        <is>
          <t>$+22.25M</t>
        </is>
      </c>
      <c r="L9" s="127" t="inlineStr">
        <is>
          <t>cash period.</t>
        </is>
      </c>
      <c r="M9" s="127" t="inlineStr">
        <is>
          <t>cash qtd.</t>
        </is>
      </c>
      <c r="N9" s="127" t="inlineStr">
        <is>
          <t>cash ytd.</t>
        </is>
      </c>
    </row>
    <row r="10" ht="55" customHeight="1" s="122">
      <c r="A10" s="76" t="inlineStr">
        <is>
          <t>Headcount</t>
        </is>
      </c>
      <c r="B10" s="76" t="inlineStr">
        <is>
          <t>Total HC</t>
        </is>
      </c>
      <c r="C10" s="128" t="inlineStr">
        <is>
          <t>137</t>
        </is>
      </c>
      <c r="D10" s="128" t="inlineStr">
        <is>
          <t>137</t>
        </is>
      </c>
      <c r="E10" s="128" t="inlineStr">
        <is>
          <t>—</t>
        </is>
      </c>
      <c r="F10" s="129" t="inlineStr">
        <is>
          <t>137</t>
        </is>
      </c>
      <c r="G10" s="129" t="inlineStr">
        <is>
          <t>137</t>
        </is>
      </c>
      <c r="H10" s="129" t="inlineStr">
        <is>
          <t>—</t>
        </is>
      </c>
      <c r="I10" s="129" t="inlineStr">
        <is>
          <t>137</t>
        </is>
      </c>
      <c r="J10" s="129" t="inlineStr">
        <is>
          <t>137</t>
        </is>
      </c>
      <c r="K10" s="129" t="inlineStr">
        <is>
          <t>—</t>
        </is>
      </c>
      <c r="L10" s="127" t="inlineStr">
        <is>
          <t>headcount period.</t>
        </is>
      </c>
      <c r="M10" s="127" t="inlineStr">
        <is>
          <t>headcount qtd.</t>
        </is>
      </c>
      <c r="N10" s="127" t="inlineStr">
        <is>
          <t>headcount ytd.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:H1"/>
    </sheetView>
  </sheetViews>
  <sheetFormatPr baseColWidth="8" defaultRowHeight="14.5"/>
  <cols>
    <col width="8" customWidth="1" style="122" min="1" max="1"/>
    <col width="11" customWidth="1" style="122" min="2" max="2"/>
    <col width="9" customWidth="1" style="122" min="3" max="3"/>
    <col width="55" customWidth="1" style="122" min="4" max="4"/>
    <col width="11" customWidth="1" style="122" min="5" max="5"/>
    <col width="45" customWidth="1" style="122" min="6" max="6"/>
  </cols>
  <sheetData>
    <row r="1" ht="36" customHeight="1" s="122">
      <c r="A1" s="101" t="inlineStr">
        <is>
          <t>SMPL · Risks &amp; Opportunities · Board Decision Matrix · June 2026</t>
        </is>
      </c>
    </row>
    <row r="2">
      <c r="A2" s="32" t="inlineStr">
        <is>
          <t>Type</t>
        </is>
      </c>
      <c r="B2" s="32" t="inlineStr">
        <is>
          <t>Category</t>
        </is>
      </c>
      <c r="C2" s="32" t="inlineStr">
        <is>
          <t>Impact</t>
        </is>
      </c>
      <c r="D2" s="32" t="inlineStr">
        <is>
          <t>Risk / Opportunity Description</t>
        </is>
      </c>
      <c r="E2" s="32" t="inlineStr">
        <is>
          <t>Probability</t>
        </is>
      </c>
      <c r="F2" s="32" t="inlineStr">
        <is>
          <t>Recommended Action</t>
        </is>
      </c>
    </row>
    <row r="3" ht="60" customHeight="1" s="122">
      <c r="A3" s="116" t="inlineStr">
        <is>
          <t>RISK</t>
        </is>
      </c>
      <c r="B3" s="116" t="inlineStr">
        <is>
          <t>GTM</t>
        </is>
      </c>
      <c r="C3" s="116" t="inlineStr">
        <is>
          <t>HIGH</t>
        </is>
      </c>
      <c r="D3" s="79" t="inlineStr"/>
      <c r="E3" s="116" t="inlineStr">
        <is>
          <t>HIGH</t>
        </is>
      </c>
      <c r="F3" s="79" t="inlineStr"/>
    </row>
    <row r="4" ht="60" customHeight="1" s="122">
      <c r="A4" s="116" t="inlineStr">
        <is>
          <t>RISK</t>
        </is>
      </c>
      <c r="B4" s="116" t="inlineStr">
        <is>
          <t>Retention</t>
        </is>
      </c>
      <c r="C4" s="116" t="inlineStr">
        <is>
          <t>HIGH</t>
        </is>
      </c>
      <c r="D4" s="79" t="inlineStr"/>
      <c r="E4" s="116" t="inlineStr">
        <is>
          <t>HIGH</t>
        </is>
      </c>
      <c r="F4" s="79" t="inlineStr"/>
    </row>
    <row r="5" ht="60" customHeight="1" s="122">
      <c r="A5" s="116" t="inlineStr">
        <is>
          <t>RISK</t>
        </is>
      </c>
      <c r="B5" s="116" t="inlineStr">
        <is>
          <t>Pipeline</t>
        </is>
      </c>
      <c r="C5" s="116" t="inlineStr">
        <is>
          <t>MEDIUM</t>
        </is>
      </c>
      <c r="D5" s="79" t="inlineStr"/>
      <c r="E5" s="116" t="inlineStr">
        <is>
          <t>MEDIUM</t>
        </is>
      </c>
      <c r="F5" s="79" t="inlineStr"/>
    </row>
    <row r="6" ht="60" customHeight="1" s="122">
      <c r="A6" s="116" t="inlineStr">
        <is>
          <t>RISK</t>
        </is>
      </c>
      <c r="B6" s="116" t="inlineStr">
        <is>
          <t>Cash</t>
        </is>
      </c>
      <c r="C6" s="116" t="inlineStr">
        <is>
          <t>LOW</t>
        </is>
      </c>
      <c r="D6" s="79" t="inlineStr"/>
      <c r="E6" s="116" t="inlineStr">
        <is>
          <t>LOW</t>
        </is>
      </c>
      <c r="F6" s="79" t="inlineStr"/>
    </row>
    <row r="7" ht="60" customHeight="1" s="122">
      <c r="A7" s="112" t="inlineStr">
        <is>
          <t>OPP</t>
        </is>
      </c>
      <c r="B7" s="112" t="inlineStr">
        <is>
          <t>GTM</t>
        </is>
      </c>
      <c r="C7" s="112" t="inlineStr">
        <is>
          <t>HIGH</t>
        </is>
      </c>
      <c r="D7" s="80" t="inlineStr"/>
      <c r="E7" s="112" t="inlineStr">
        <is>
          <t>HIGH</t>
        </is>
      </c>
      <c r="F7" s="80" t="inlineStr"/>
    </row>
    <row r="8" ht="60" customHeight="1" s="122">
      <c r="A8" s="112" t="inlineStr">
        <is>
          <t>OPP</t>
        </is>
      </c>
      <c r="B8" s="112" t="inlineStr">
        <is>
          <t>ARR</t>
        </is>
      </c>
      <c r="C8" s="112" t="inlineStr">
        <is>
          <t>HIGH</t>
        </is>
      </c>
      <c r="D8" s="80" t="inlineStr"/>
      <c r="E8" s="112" t="inlineStr">
        <is>
          <t>HIGH</t>
        </is>
      </c>
      <c r="F8" s="80" t="inlineStr"/>
    </row>
    <row r="9" ht="60" customHeight="1" s="122">
      <c r="A9" s="112" t="inlineStr">
        <is>
          <t>OPP</t>
        </is>
      </c>
      <c r="B9" s="112" t="inlineStr">
        <is>
          <t>Margin</t>
        </is>
      </c>
      <c r="C9" s="112" t="inlineStr">
        <is>
          <t>MEDIUM</t>
        </is>
      </c>
      <c r="D9" s="80" t="inlineStr"/>
      <c r="E9" s="112" t="inlineStr">
        <is>
          <t>MEDIUM</t>
        </is>
      </c>
      <c r="F9" s="80" t="inlineStr"/>
    </row>
    <row r="10" ht="50" customHeight="1" s="122">
      <c r="A10" s="112" t="inlineStr">
        <is>
          <t>OPP</t>
        </is>
      </c>
      <c r="B10" s="47" t="inlineStr">
        <is>
          <t>Cash</t>
        </is>
      </c>
      <c r="C10" s="112" t="inlineStr">
        <is>
          <t>MEDIUM</t>
        </is>
      </c>
      <c r="D10" s="80" t="inlineStr"/>
      <c r="E10" s="112" t="inlineStr">
        <is>
          <t>MEDIUM</t>
        </is>
      </c>
      <c r="F10" s="80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:D1"/>
    </sheetView>
  </sheetViews>
  <sheetFormatPr baseColWidth="8" defaultRowHeight="14.5"/>
  <cols>
    <col width="32" customWidth="1" style="122" min="1" max="1"/>
    <col width="55" customWidth="1" style="122" min="2" max="2"/>
    <col width="30" customWidth="1" style="122" min="3" max="3"/>
    <col width="13.1796875" bestFit="1" customWidth="1" style="122" min="4" max="4"/>
  </cols>
  <sheetData>
    <row r="1" ht="36" customHeight="1" s="122">
      <c r="A1" s="124" t="inlineStr">
        <is>
          <t xml:space="preserve">  ClarityFP · Assumptions, Color Legend &amp; Data Sources</t>
        </is>
      </c>
      <c r="B1" s="130" t="n"/>
      <c r="C1" s="130" t="n"/>
      <c r="D1" s="130" t="n"/>
    </row>
    <row r="2">
      <c r="A2" s="32" t="inlineStr">
        <is>
          <t>Item</t>
        </is>
      </c>
      <c r="B2" s="32" t="inlineStr">
        <is>
          <t>Description</t>
        </is>
      </c>
      <c r="C2" s="32" t="inlineStr">
        <is>
          <t>Source</t>
        </is>
      </c>
      <c r="D2" s="32" t="inlineStr">
        <is>
          <t>Date</t>
        </is>
      </c>
    </row>
    <row r="3" ht="18" customHeight="1" s="122">
      <c r="A3" s="50" t="inlineStr">
        <is>
          <t>COLUMN COLOR CODING</t>
        </is>
      </c>
      <c r="B3" s="50" t="n"/>
      <c r="C3" s="50" t="n"/>
      <c r="D3" s="50" t="n"/>
    </row>
    <row r="4" ht="18" customHeight="1" s="122">
      <c r="A4" s="51" t="inlineStr">
        <is>
          <t>Blue column background</t>
        </is>
      </c>
      <c r="B4" s="51" t="inlineStr">
        <is>
          <t>Actual periods (Jan–May 2026)</t>
        </is>
      </c>
      <c r="C4" s="51" t="inlineStr">
        <is>
          <t>Convention</t>
        </is>
      </c>
      <c r="D4" s="51" t="inlineStr">
        <is>
          <t>—</t>
        </is>
      </c>
    </row>
    <row r="5" ht="18" customHeight="1" s="122">
      <c r="A5" s="52" t="inlineStr">
        <is>
          <t>Yellow column</t>
        </is>
      </c>
      <c r="B5" s="52" t="inlineStr">
        <is>
          <t>Jun Actual placeholder — user input</t>
        </is>
      </c>
      <c r="C5" s="52" t="inlineStr">
        <is>
          <t>Convention</t>
        </is>
      </c>
      <c r="D5" s="52" t="inlineStr">
        <is>
          <t>—</t>
        </is>
      </c>
    </row>
    <row r="6" ht="18" customHeight="1" s="122">
      <c r="A6" s="51" t="inlineStr">
        <is>
          <t>Amber column background</t>
        </is>
      </c>
      <c r="B6" s="51" t="inlineStr">
        <is>
          <t>Forecast periods (Jul–Dec 2026)</t>
        </is>
      </c>
      <c r="C6" s="51" t="inlineStr">
        <is>
          <t>Convention</t>
        </is>
      </c>
      <c r="D6" s="51" t="inlineStr">
        <is>
          <t>—</t>
        </is>
      </c>
    </row>
    <row r="7" ht="18" customHeight="1" s="122">
      <c r="A7" s="50" t="inlineStr">
        <is>
          <t>INPUT COLOR CODING</t>
        </is>
      </c>
      <c r="B7" s="50" t="n"/>
      <c r="C7" s="50" t="n"/>
      <c r="D7" s="50" t="n"/>
    </row>
    <row r="8" ht="18" customHeight="1" s="122">
      <c r="A8" s="53" t="inlineStr">
        <is>
          <t>Blue text</t>
        </is>
      </c>
      <c r="B8" s="53" t="inlineStr">
        <is>
          <t>Hardcoded input / source data from CSV actuals</t>
        </is>
      </c>
      <c r="C8" s="53" t="inlineStr">
        <is>
          <t>Industry convention</t>
        </is>
      </c>
      <c r="D8" s="53" t="inlineStr">
        <is>
          <t>—</t>
        </is>
      </c>
    </row>
    <row r="9" ht="18" customHeight="1" s="122">
      <c r="A9" s="52" t="inlineStr">
        <is>
          <t>Black text</t>
        </is>
      </c>
      <c r="B9" s="52" t="inlineStr">
        <is>
          <t>Formula-calculated values</t>
        </is>
      </c>
      <c r="C9" s="52" t="inlineStr">
        <is>
          <t>Industry convention</t>
        </is>
      </c>
      <c r="D9" s="52" t="inlineStr">
        <is>
          <t>—</t>
        </is>
      </c>
    </row>
    <row r="10" ht="18" customHeight="1" s="122">
      <c r="A10" s="54" t="inlineStr">
        <is>
          <t>Green text</t>
        </is>
      </c>
      <c r="B10" s="54" t="inlineStr">
        <is>
          <t>Favorable budget variance</t>
        </is>
      </c>
      <c r="C10" s="54" t="inlineStr">
        <is>
          <t>Industry convention</t>
        </is>
      </c>
      <c r="D10" s="54" t="inlineStr">
        <is>
          <t>—</t>
        </is>
      </c>
    </row>
    <row r="11" ht="18" customHeight="1" s="122">
      <c r="A11" s="55" t="inlineStr">
        <is>
          <t>Red text</t>
        </is>
      </c>
      <c r="B11" s="55" t="inlineStr">
        <is>
          <t>Unfavorable budget variance</t>
        </is>
      </c>
      <c r="C11" s="55" t="inlineStr">
        <is>
          <t>Industry convention</t>
        </is>
      </c>
      <c r="D11" s="55" t="inlineStr">
        <is>
          <t>—</t>
        </is>
      </c>
    </row>
    <row r="12" ht="18" customHeight="1" s="122">
      <c r="A12" s="50" t="inlineStr">
        <is>
          <t>LAYOUT STRUCTURE</t>
        </is>
      </c>
      <c r="B12" s="50" t="n"/>
      <c r="C12" s="50" t="n"/>
      <c r="D12" s="50" t="n"/>
    </row>
    <row r="13" ht="18" customHeight="1" s="122">
      <c r="A13" s="52" t="inlineStr">
        <is>
          <t>Jan–May columns</t>
        </is>
      </c>
      <c r="B13" s="52" t="inlineStr">
        <is>
          <t>Actual closed periods from CSV data</t>
        </is>
      </c>
      <c r="C13" s="52" t="inlineStr">
        <is>
          <t>Actual_*.csv files</t>
        </is>
      </c>
      <c r="D13" s="52" t="inlineStr">
        <is>
          <t>May 2026</t>
        </is>
      </c>
    </row>
    <row r="14" ht="18" customHeight="1" s="122">
      <c r="A14" s="51" t="inlineStr">
        <is>
          <t>Jun column (yellow)</t>
        </is>
      </c>
      <c r="B14" s="51" t="inlineStr">
        <is>
          <t>Placeholder — enter when June closes</t>
        </is>
      </c>
      <c r="C14" s="51" t="inlineStr">
        <is>
          <t>User input</t>
        </is>
      </c>
      <c r="D14" s="51" t="inlineStr">
        <is>
          <t>Jun 2026</t>
        </is>
      </c>
    </row>
    <row r="15" ht="18" customHeight="1" s="122">
      <c r="A15" s="52" t="inlineStr">
        <is>
          <t>Jul–Dec columns</t>
        </is>
      </c>
      <c r="B15" s="52" t="inlineStr">
        <is>
          <t>Forecast sourced from Forecast_*.csv</t>
        </is>
      </c>
      <c r="C15" s="52" t="inlineStr">
        <is>
          <t>Forecast_*.csv files</t>
        </is>
      </c>
      <c r="D15" s="52" t="inlineStr">
        <is>
          <t>May 2026</t>
        </is>
      </c>
    </row>
    <row r="16" ht="18" customHeight="1" s="122">
      <c r="A16" s="51" t="inlineStr">
        <is>
          <t>Q1 / Q2 Actual subtotals</t>
        </is>
      </c>
      <c r="B16" s="51" t="inlineStr">
        <is>
          <t>Sum/avg of actual periods in each quarter</t>
        </is>
      </c>
      <c r="C16" s="51" t="inlineStr">
        <is>
          <t>Computed</t>
        </is>
      </c>
      <c r="D16" s="51" t="inlineStr">
        <is>
          <t>Ongoing</t>
        </is>
      </c>
    </row>
    <row r="17" ht="18" customHeight="1" s="122">
      <c r="A17" s="52" t="inlineStr">
        <is>
          <t>H1 Act+FC subtotal</t>
        </is>
      </c>
      <c r="B17" s="52" t="inlineStr">
        <is>
          <t>Jan–May actual (Jun treated as open)</t>
        </is>
      </c>
      <c r="C17" s="52" t="inlineStr">
        <is>
          <t>Computed</t>
        </is>
      </c>
      <c r="D17" s="52" t="inlineStr">
        <is>
          <t>Ongoing</t>
        </is>
      </c>
    </row>
    <row r="18" ht="18" customHeight="1" s="122">
      <c r="A18" s="51" t="inlineStr">
        <is>
          <t>FY Act+FC subtotal</t>
        </is>
      </c>
      <c r="B18" s="51" t="inlineStr">
        <is>
          <t>Jan–May actual + Jun–Dec forecast</t>
        </is>
      </c>
      <c r="C18" s="51" t="inlineStr">
        <is>
          <t>Computed</t>
        </is>
      </c>
      <c r="D18" s="51" t="inlineStr">
        <is>
          <t>Full year 2026</t>
        </is>
      </c>
    </row>
    <row r="19" ht="18" customHeight="1" s="122">
      <c r="A19" s="52" t="inlineStr">
        <is>
          <t>FY Budget subtotal</t>
        </is>
      </c>
      <c r="B19" s="52" t="inlineStr">
        <is>
          <t>Full-year 2026 approved operating plan</t>
        </is>
      </c>
      <c r="C19" s="52" t="inlineStr">
        <is>
          <t>Budget_*.csv files</t>
        </is>
      </c>
      <c r="D19" s="52" t="inlineStr">
        <is>
          <t>Jan 2026</t>
        </is>
      </c>
    </row>
    <row r="20" ht="18" customHeight="1" s="122">
      <c r="A20" s="51" t="inlineStr">
        <is>
          <t>Variance columns</t>
        </is>
      </c>
      <c r="B20" s="51" t="inlineStr">
        <is>
          <t>Actual minus Budget (or FC vs Bud for FY)</t>
        </is>
      </c>
      <c r="C20" s="51" t="inlineStr">
        <is>
          <t>Computed</t>
        </is>
      </c>
      <c r="D20" s="51" t="inlineStr">
        <is>
          <t>Ongoing</t>
        </is>
      </c>
    </row>
    <row r="21" ht="18" customHeight="1" s="122">
      <c r="A21" s="50" t="inlineStr">
        <is>
          <t>DATA SOURCES</t>
        </is>
      </c>
      <c r="B21" s="50" t="n"/>
      <c r="C21" s="50" t="n"/>
      <c r="D21" s="50" t="n"/>
    </row>
    <row r="22" ht="18" customHeight="1" s="122">
      <c r="A22" s="51" t="inlineStr">
        <is>
          <t>Actual_MRR_Waterfall.csv</t>
        </is>
      </c>
      <c r="B22" s="51" t="inlineStr">
        <is>
          <t>ARR movement Jan–May 2026</t>
        </is>
      </c>
      <c r="C22" s="51" t="inlineStr">
        <is>
          <t>ClarityFP operational data</t>
        </is>
      </c>
      <c r="D22" s="51" t="inlineStr">
        <is>
          <t>May 2026</t>
        </is>
      </c>
    </row>
    <row r="23" ht="18" customHeight="1" s="122">
      <c r="A23" s="52" t="inlineStr">
        <is>
          <t>Forecast_mrr_waterfall.csv</t>
        </is>
      </c>
      <c r="B23" s="52" t="inlineStr">
        <is>
          <t>ARR forecast Jun–Dec 2026</t>
        </is>
      </c>
      <c r="C23" s="52" t="inlineStr">
        <is>
          <t>ClarityFP forecast model</t>
        </is>
      </c>
      <c r="D23" s="52" t="inlineStr">
        <is>
          <t>May 2026</t>
        </is>
      </c>
    </row>
    <row r="24" ht="18" customHeight="1" s="122">
      <c r="A24" s="51" t="inlineStr">
        <is>
          <t>Budget_MRR_Waterfall.csv</t>
        </is>
      </c>
      <c r="B24" s="51" t="inlineStr">
        <is>
          <t>ARR budget full-year 2026</t>
        </is>
      </c>
      <c r="C24" s="51" t="inlineStr">
        <is>
          <t>Approved FY2026 plan</t>
        </is>
      </c>
      <c r="D24" s="51" t="inlineStr">
        <is>
          <t>Jan 2026</t>
        </is>
      </c>
    </row>
    <row r="25" ht="18" customHeight="1" s="122">
      <c r="A25" s="52" t="inlineStr">
        <is>
          <t>Actual_income_statement.csv</t>
        </is>
      </c>
      <c r="B25" s="52" t="inlineStr">
        <is>
          <t>GAAP P&amp;L Jan–May 2026</t>
        </is>
      </c>
      <c r="C25" s="52" t="inlineStr">
        <is>
          <t>ClarityFP operational data</t>
        </is>
      </c>
      <c r="D25" s="52" t="inlineStr">
        <is>
          <t>May 2026</t>
        </is>
      </c>
    </row>
    <row r="26" ht="18" customHeight="1" s="122">
      <c r="A26" s="51" t="inlineStr">
        <is>
          <t>Forecast_income_statement.csv</t>
        </is>
      </c>
      <c r="B26" s="51" t="inlineStr">
        <is>
          <t>P&amp;L forecast Jun–Dec 2026</t>
        </is>
      </c>
      <c r="C26" s="51" t="inlineStr">
        <is>
          <t>ClarityFP forecast model</t>
        </is>
      </c>
      <c r="D26" s="51" t="inlineStr">
        <is>
          <t>May 2026</t>
        </is>
      </c>
    </row>
    <row r="27" ht="18" customHeight="1" s="122">
      <c r="A27" s="52" t="inlineStr">
        <is>
          <t>Budget_income_statement.csv</t>
        </is>
      </c>
      <c r="B27" s="52" t="inlineStr">
        <is>
          <t>P&amp;L budget full-year 2026</t>
        </is>
      </c>
      <c r="C27" s="52" t="inlineStr">
        <is>
          <t>Approved FY2026 plan</t>
        </is>
      </c>
      <c r="D27" s="52" t="inlineStr">
        <is>
          <t>Jan 2026</t>
        </is>
      </c>
    </row>
    <row r="28" ht="18" customHeight="1" s="122">
      <c r="A28" s="51" t="inlineStr">
        <is>
          <t>Actual_cash_flow_bridge.csv</t>
        </is>
      </c>
      <c r="B28" s="51" t="inlineStr">
        <is>
          <t>Cash bridge Jan–May 2026</t>
        </is>
      </c>
      <c r="C28" s="51" t="inlineStr">
        <is>
          <t>ClarityFP operational data</t>
        </is>
      </c>
      <c r="D28" s="51" t="inlineStr">
        <is>
          <t>May 2026</t>
        </is>
      </c>
    </row>
    <row r="29" ht="18" customHeight="1" s="122">
      <c r="A29" s="52" t="inlineStr">
        <is>
          <t>Forecast_cash_flow_bridge.csv</t>
        </is>
      </c>
      <c r="B29" s="52" t="inlineStr">
        <is>
          <t>Cash forecast Jun–Dec 2026</t>
        </is>
      </c>
      <c r="C29" s="52" t="inlineStr">
        <is>
          <t>ClarityFP forecast model</t>
        </is>
      </c>
      <c r="D29" s="52" t="inlineStr">
        <is>
          <t>May 2026</t>
        </is>
      </c>
    </row>
    <row r="30" ht="18" customHeight="1" s="122">
      <c r="A30" s="51" t="inlineStr">
        <is>
          <t>Budget_cash_flow_bridge.csv</t>
        </is>
      </c>
      <c r="B30" s="51" t="inlineStr">
        <is>
          <t>Cash budget full-year 2026</t>
        </is>
      </c>
      <c r="C30" s="51" t="inlineStr">
        <is>
          <t>Approved FY2026 plan</t>
        </is>
      </c>
      <c r="D30" s="51" t="inlineStr">
        <is>
          <t>Jan 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2026-05-22T01:55:08Z</dcterms:created>
  <dcterms:modified xmlns:dcterms="http://purl.org/dc/terms/" xmlns:xsi="http://www.w3.org/2001/XMLSchema-instance" xsi:type="dcterms:W3CDTF">2026-06-29T15:38:05Z</dcterms:modified>
  <cp:lastModifiedBy>Matt Justice</cp:lastModifiedBy>
</cp:coreProperties>
</file>